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신촌\metadata\"/>
    </mc:Choice>
  </mc:AlternateContent>
  <xr:revisionPtr revIDLastSave="0" documentId="13_ncr:1_{70C98439-84AC-4E21-BBFA-058D95670434}" xr6:coauthVersionLast="47" xr6:coauthVersionMax="47" xr10:uidLastSave="{00000000-0000-0000-0000-000000000000}"/>
  <bookViews>
    <workbookView xWindow="32130" yWindow="3645" windowWidth="24075" windowHeight="11295" xr2:uid="{00000000-000D-0000-FFFF-FFFF00000000}"/>
  </bookViews>
  <sheets>
    <sheet name="Sheet1" sheetId="1" r:id="rId1"/>
  </sheets>
  <definedNames>
    <definedName name="_xlnm._FilterDatabase" localSheetId="0" hidden="1">Sheet1!$A$1:$H$3163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63" i="1" l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<sst xmlns="http://schemas.openxmlformats.org/spreadsheetml/2006/main" count="15813" uniqueCount="3388">
  <si>
    <t>232</t>
  </si>
  <si>
    <t>190</t>
  </si>
  <si>
    <t>196</t>
  </si>
  <si>
    <t>193</t>
  </si>
  <si>
    <t>227</t>
  </si>
  <si>
    <t>192</t>
  </si>
  <si>
    <t>183</t>
  </si>
  <si>
    <t>2066679</t>
  </si>
  <si>
    <t>3774022</t>
  </si>
  <si>
    <t>1656764</t>
  </si>
  <si>
    <t>3790769</t>
  </si>
  <si>
    <t>3402292</t>
  </si>
  <si>
    <t>4310173</t>
  </si>
  <si>
    <t>1722945</t>
  </si>
  <si>
    <t>1791080</t>
  </si>
  <si>
    <t>2894899</t>
  </si>
  <si>
    <t>3251828</t>
  </si>
  <si>
    <t>2299141</t>
  </si>
  <si>
    <t>3977055</t>
  </si>
  <si>
    <t>17</t>
  </si>
  <si>
    <t>143</t>
  </si>
  <si>
    <t>95</t>
  </si>
  <si>
    <t>163</t>
  </si>
  <si>
    <t>15</t>
  </si>
  <si>
    <t>21</t>
  </si>
  <si>
    <t>141</t>
  </si>
  <si>
    <t>144</t>
  </si>
  <si>
    <t>119</t>
  </si>
  <si>
    <t>90</t>
  </si>
  <si>
    <t>102</t>
  </si>
  <si>
    <t>9</t>
  </si>
  <si>
    <t>89</t>
  </si>
  <si>
    <t>136</t>
  </si>
  <si>
    <t>218</t>
  </si>
  <si>
    <t>115</t>
  </si>
  <si>
    <t>129</t>
  </si>
  <si>
    <t>100</t>
  </si>
  <si>
    <t>220</t>
  </si>
  <si>
    <t>104</t>
  </si>
  <si>
    <t>197</t>
  </si>
  <si>
    <t>187</t>
  </si>
  <si>
    <t>111</t>
  </si>
  <si>
    <t>128</t>
  </si>
  <si>
    <t>105</t>
  </si>
  <si>
    <t>123</t>
  </si>
  <si>
    <t>117</t>
  </si>
  <si>
    <t>107</t>
  </si>
  <si>
    <t>146</t>
  </si>
  <si>
    <t>113</t>
  </si>
  <si>
    <t>173</t>
  </si>
  <si>
    <t>97</t>
  </si>
  <si>
    <t>130</t>
  </si>
  <si>
    <t>148</t>
  </si>
  <si>
    <t>126</t>
  </si>
  <si>
    <t>134</t>
  </si>
  <si>
    <t>164</t>
  </si>
  <si>
    <t>99</t>
  </si>
  <si>
    <t>109</t>
  </si>
  <si>
    <t>161</t>
  </si>
  <si>
    <t>188</t>
  </si>
  <si>
    <t>94</t>
  </si>
  <si>
    <t>98</t>
  </si>
  <si>
    <t>153</t>
  </si>
  <si>
    <t>154</t>
  </si>
  <si>
    <t>171</t>
  </si>
  <si>
    <t>138</t>
  </si>
  <si>
    <t>185</t>
  </si>
  <si>
    <t>170</t>
  </si>
  <si>
    <t>139</t>
  </si>
  <si>
    <t>124</t>
  </si>
  <si>
    <t>103</t>
  </si>
  <si>
    <t>174</t>
  </si>
  <si>
    <t>108</t>
  </si>
  <si>
    <t>87</t>
  </si>
  <si>
    <t>92</t>
  </si>
  <si>
    <t>208</t>
  </si>
  <si>
    <t>125</t>
  </si>
  <si>
    <t>101</t>
  </si>
  <si>
    <t>149</t>
  </si>
  <si>
    <t>93</t>
  </si>
  <si>
    <t>157</t>
  </si>
  <si>
    <t>106</t>
  </si>
  <si>
    <t>182</t>
  </si>
  <si>
    <t>160</t>
  </si>
  <si>
    <t>167</t>
  </si>
  <si>
    <t>203</t>
  </si>
  <si>
    <t>240</t>
  </si>
  <si>
    <t>96</t>
  </si>
  <si>
    <t>114</t>
  </si>
  <si>
    <t>200</t>
  </si>
  <si>
    <t>127</t>
  </si>
  <si>
    <t>186</t>
  </si>
  <si>
    <t>184</t>
  </si>
  <si>
    <t>189</t>
  </si>
  <si>
    <t>159</t>
  </si>
  <si>
    <t>147</t>
  </si>
  <si>
    <t>121</t>
  </si>
  <si>
    <t>112</t>
  </si>
  <si>
    <t>116</t>
  </si>
  <si>
    <t>122</t>
  </si>
  <si>
    <t>198</t>
  </si>
  <si>
    <t>172</t>
  </si>
  <si>
    <t>177</t>
  </si>
  <si>
    <t>178</t>
  </si>
  <si>
    <t>156</t>
  </si>
  <si>
    <t>135</t>
  </si>
  <si>
    <t>169</t>
  </si>
  <si>
    <t>155</t>
  </si>
  <si>
    <t>150</t>
  </si>
  <si>
    <t>1</t>
  </si>
  <si>
    <t>140</t>
  </si>
  <si>
    <t>M</t>
  </si>
  <si>
    <t>77</t>
  </si>
  <si>
    <t>76</t>
  </si>
  <si>
    <t>53</t>
  </si>
  <si>
    <t>82</t>
  </si>
  <si>
    <t>64</t>
  </si>
  <si>
    <t>kVp</t>
  </si>
  <si>
    <t>61</t>
  </si>
  <si>
    <t>F</t>
  </si>
  <si>
    <t>65</t>
  </si>
  <si>
    <t>N/A</t>
  </si>
  <si>
    <t>45</t>
  </si>
  <si>
    <t>60</t>
  </si>
  <si>
    <t>235</t>
  </si>
  <si>
    <t>74</t>
  </si>
  <si>
    <t>47</t>
  </si>
  <si>
    <t>59</t>
  </si>
  <si>
    <t>79</t>
  </si>
  <si>
    <t>67</t>
  </si>
  <si>
    <t>30</t>
  </si>
  <si>
    <t>57</t>
  </si>
  <si>
    <t>38</t>
  </si>
  <si>
    <t>66</t>
  </si>
  <si>
    <t>78</t>
  </si>
  <si>
    <t>75</t>
  </si>
  <si>
    <t>71</t>
  </si>
  <si>
    <t>69</t>
  </si>
  <si>
    <t>56</t>
  </si>
  <si>
    <t>51</t>
  </si>
  <si>
    <t>62</t>
  </si>
  <si>
    <t>39</t>
  </si>
  <si>
    <t>54</t>
  </si>
  <si>
    <t>72</t>
  </si>
  <si>
    <t>48</t>
  </si>
  <si>
    <t>33</t>
  </si>
  <si>
    <t>52</t>
  </si>
  <si>
    <t>31</t>
  </si>
  <si>
    <t>63</t>
  </si>
  <si>
    <t>58</t>
  </si>
  <si>
    <t>80</t>
  </si>
  <si>
    <t>49</t>
  </si>
  <si>
    <t>36</t>
  </si>
  <si>
    <t>26</t>
  </si>
  <si>
    <t>34</t>
  </si>
  <si>
    <t>217</t>
  </si>
  <si>
    <t>81</t>
  </si>
  <si>
    <t>46</t>
  </si>
  <si>
    <t>14</t>
  </si>
  <si>
    <t>55</t>
  </si>
  <si>
    <t>35</t>
  </si>
  <si>
    <t>43</t>
  </si>
  <si>
    <t>40</t>
  </si>
  <si>
    <t>41</t>
  </si>
  <si>
    <t>73</t>
  </si>
  <si>
    <t>70</t>
  </si>
  <si>
    <t>50</t>
  </si>
  <si>
    <t>68</t>
  </si>
  <si>
    <t>37</t>
  </si>
  <si>
    <t>22</t>
  </si>
  <si>
    <t>42</t>
  </si>
  <si>
    <t>4994239</t>
  </si>
  <si>
    <t>4671949</t>
  </si>
  <si>
    <t>4988761</t>
  </si>
  <si>
    <t>5014392</t>
  </si>
  <si>
    <t>2104106</t>
  </si>
  <si>
    <t>3879697</t>
  </si>
  <si>
    <t>4993149</t>
  </si>
  <si>
    <t>5004879</t>
  </si>
  <si>
    <t>3946148</t>
  </si>
  <si>
    <t>5010220</t>
  </si>
  <si>
    <t>5012967</t>
  </si>
  <si>
    <t>5009918</t>
  </si>
  <si>
    <t>4997909</t>
  </si>
  <si>
    <t>4874629</t>
  </si>
  <si>
    <t>1904985</t>
  </si>
  <si>
    <t>4989000</t>
  </si>
  <si>
    <t>5008283</t>
  </si>
  <si>
    <t>4991336</t>
  </si>
  <si>
    <t>3082736</t>
  </si>
  <si>
    <t>2731995</t>
  </si>
  <si>
    <t>5010244</t>
  </si>
  <si>
    <t>3106549</t>
  </si>
  <si>
    <t>5009929</t>
  </si>
  <si>
    <t>5010489</t>
  </si>
  <si>
    <t>5002077</t>
  </si>
  <si>
    <t>4988393</t>
  </si>
  <si>
    <t>9060234</t>
  </si>
  <si>
    <t>9060502</t>
  </si>
  <si>
    <t>5011222</t>
  </si>
  <si>
    <t>4997053</t>
  </si>
  <si>
    <t>5009984</t>
  </si>
  <si>
    <t>5001283</t>
  </si>
  <si>
    <t>4991166</t>
  </si>
  <si>
    <t>9058914</t>
  </si>
  <si>
    <t>9060618</t>
  </si>
  <si>
    <t>2946400</t>
  </si>
  <si>
    <t>9060730</t>
  </si>
  <si>
    <t>5005489</t>
  </si>
  <si>
    <t>5009901</t>
  </si>
  <si>
    <t>2379962</t>
  </si>
  <si>
    <t>9061165</t>
  </si>
  <si>
    <t>9061254</t>
  </si>
  <si>
    <t>9059057</t>
  </si>
  <si>
    <t>5011360</t>
  </si>
  <si>
    <t>4998820</t>
  </si>
  <si>
    <t>4994515</t>
  </si>
  <si>
    <t>4996000</t>
  </si>
  <si>
    <t>4997375</t>
  </si>
  <si>
    <t>9068615</t>
  </si>
  <si>
    <t>9070844</t>
  </si>
  <si>
    <t>9070662</t>
  </si>
  <si>
    <t>9068896</t>
  </si>
  <si>
    <t>9072213</t>
  </si>
  <si>
    <t>9069826</t>
  </si>
  <si>
    <t>9071561</t>
  </si>
  <si>
    <t>9071618</t>
  </si>
  <si>
    <t>9073006</t>
  </si>
  <si>
    <t>9088462</t>
  </si>
  <si>
    <t>9063335</t>
  </si>
  <si>
    <t>9090555</t>
  </si>
  <si>
    <t>9066225</t>
  </si>
  <si>
    <t>9061798</t>
  </si>
  <si>
    <t>9072753</t>
  </si>
  <si>
    <t>9069209</t>
  </si>
  <si>
    <t>9084371</t>
  </si>
  <si>
    <t>9066540</t>
  </si>
  <si>
    <t>9065974</t>
  </si>
  <si>
    <t>9071962</t>
  </si>
  <si>
    <t>9068376</t>
  </si>
  <si>
    <t>9064720</t>
  </si>
  <si>
    <t>3567653</t>
  </si>
  <si>
    <t>4528199</t>
  </si>
  <si>
    <t>9068791</t>
  </si>
  <si>
    <t>9445307</t>
  </si>
  <si>
    <t>9454743</t>
  </si>
  <si>
    <t>9457862</t>
  </si>
  <si>
    <t>9082657</t>
  </si>
  <si>
    <t>9442435</t>
  </si>
  <si>
    <t>9463039</t>
  </si>
  <si>
    <t>3729985</t>
  </si>
  <si>
    <t>9463332</t>
  </si>
  <si>
    <t>9445423</t>
  </si>
  <si>
    <t>9455270</t>
  </si>
  <si>
    <t>9083343</t>
  </si>
  <si>
    <t>9447142</t>
  </si>
  <si>
    <t>2056442</t>
  </si>
  <si>
    <t>9085508</t>
  </si>
  <si>
    <t>9087369</t>
  </si>
  <si>
    <t>9091882</t>
  </si>
  <si>
    <t>9087383</t>
  </si>
  <si>
    <t>9444916</t>
  </si>
  <si>
    <t>9089350</t>
  </si>
  <si>
    <t>9087237</t>
  </si>
  <si>
    <t>9445269</t>
  </si>
  <si>
    <t>9083653</t>
  </si>
  <si>
    <t>9445279</t>
  </si>
  <si>
    <t>9482815</t>
  </si>
  <si>
    <t>9470953</t>
  </si>
  <si>
    <t>4757829</t>
  </si>
  <si>
    <t>9470322</t>
  </si>
  <si>
    <t>9469389</t>
  </si>
  <si>
    <t>9472388</t>
  </si>
  <si>
    <t>9480106</t>
  </si>
  <si>
    <t>9478899</t>
  </si>
  <si>
    <t>9482655</t>
  </si>
  <si>
    <t>9474217</t>
  </si>
  <si>
    <t>3106262</t>
  </si>
  <si>
    <t>9478000</t>
  </si>
  <si>
    <t>9484223</t>
  </si>
  <si>
    <t>9477175</t>
  </si>
  <si>
    <t>9478792</t>
  </si>
  <si>
    <t>9448490</t>
  </si>
  <si>
    <t>9480066</t>
  </si>
  <si>
    <t>9477239</t>
  </si>
  <si>
    <t>9463767</t>
  </si>
  <si>
    <t>9484392</t>
  </si>
  <si>
    <t>4362393</t>
  </si>
  <si>
    <t>9455267</t>
  </si>
  <si>
    <t>4640286</t>
  </si>
  <si>
    <t>9478660</t>
  </si>
  <si>
    <t>9477347</t>
  </si>
  <si>
    <t>9463809</t>
  </si>
  <si>
    <t>9468180</t>
  </si>
  <si>
    <t>9486511</t>
  </si>
  <si>
    <t>9488817</t>
  </si>
  <si>
    <t>9494300</t>
  </si>
  <si>
    <t>9494972</t>
  </si>
  <si>
    <t>9493548</t>
  </si>
  <si>
    <t>9488060</t>
  </si>
  <si>
    <t>9489336</t>
  </si>
  <si>
    <t>9488679</t>
  </si>
  <si>
    <t>9492943</t>
  </si>
  <si>
    <t>9494320</t>
  </si>
  <si>
    <t>9490593</t>
  </si>
  <si>
    <t>9493821</t>
  </si>
  <si>
    <t>9490908</t>
  </si>
  <si>
    <t>9495851</t>
  </si>
  <si>
    <t>9495710</t>
  </si>
  <si>
    <t>9496137</t>
  </si>
  <si>
    <t>9488030</t>
  </si>
  <si>
    <t>4870978</t>
  </si>
  <si>
    <t>4567722</t>
  </si>
  <si>
    <t>9490758</t>
  </si>
  <si>
    <t>9486644</t>
  </si>
  <si>
    <t>2768386</t>
  </si>
  <si>
    <t>1602453</t>
  </si>
  <si>
    <t>4717608</t>
  </si>
  <si>
    <t>1839582</t>
  </si>
  <si>
    <t>2942562</t>
  </si>
  <si>
    <t>9780132</t>
  </si>
  <si>
    <t>4230888</t>
  </si>
  <si>
    <t>4639567</t>
  </si>
  <si>
    <t>3146917</t>
  </si>
  <si>
    <t>1948936</t>
  </si>
  <si>
    <t>4539159</t>
  </si>
  <si>
    <t>2091729</t>
  </si>
  <si>
    <t>1536774</t>
  </si>
  <si>
    <t>4188766</t>
  </si>
  <si>
    <t>3459532</t>
  </si>
  <si>
    <t>3276901</t>
  </si>
  <si>
    <t>2249517</t>
  </si>
  <si>
    <t>2137689</t>
  </si>
  <si>
    <t>4495917</t>
  </si>
  <si>
    <t>3929768</t>
  </si>
  <si>
    <t>3472566</t>
  </si>
  <si>
    <t>2442492</t>
  </si>
  <si>
    <t>3768843</t>
  </si>
  <si>
    <t>4267433</t>
  </si>
  <si>
    <t>4054776</t>
  </si>
  <si>
    <t>4986534</t>
  </si>
  <si>
    <t>1868556</t>
  </si>
  <si>
    <t>2069310</t>
  </si>
  <si>
    <t>2635398</t>
  </si>
  <si>
    <t>3682504</t>
  </si>
  <si>
    <t>768696</t>
  </si>
  <si>
    <t>3690212</t>
  </si>
  <si>
    <t>2874369</t>
  </si>
  <si>
    <t>2220913</t>
  </si>
  <si>
    <t>2814703</t>
  </si>
  <si>
    <t>4143027</t>
  </si>
  <si>
    <t>1769242</t>
  </si>
  <si>
    <t>3035671</t>
  </si>
  <si>
    <t>3101307</t>
  </si>
  <si>
    <t>3596506</t>
  </si>
  <si>
    <t>2113524</t>
  </si>
  <si>
    <t>4433916</t>
  </si>
  <si>
    <t>3083531</t>
  </si>
  <si>
    <t>2991397</t>
  </si>
  <si>
    <t>3144804</t>
  </si>
  <si>
    <t>2304847</t>
  </si>
  <si>
    <t>4771385</t>
  </si>
  <si>
    <t>4378607</t>
  </si>
  <si>
    <t>4654299</t>
  </si>
  <si>
    <t>3225995</t>
  </si>
  <si>
    <t>2555473</t>
  </si>
  <si>
    <t>2647153</t>
  </si>
  <si>
    <t>4859659</t>
  </si>
  <si>
    <t>2332432</t>
  </si>
  <si>
    <t>3295155</t>
  </si>
  <si>
    <t>3166683</t>
  </si>
  <si>
    <t>2831117</t>
  </si>
  <si>
    <t>4350725</t>
  </si>
  <si>
    <t>2112507</t>
  </si>
  <si>
    <t>2507334</t>
  </si>
  <si>
    <t>2777830</t>
  </si>
  <si>
    <t>4532168</t>
  </si>
  <si>
    <t>4088818</t>
  </si>
  <si>
    <t>3159424</t>
  </si>
  <si>
    <t>2535782</t>
  </si>
  <si>
    <t>2498435</t>
  </si>
  <si>
    <t>3304331</t>
  </si>
  <si>
    <t>4900260</t>
  </si>
  <si>
    <t>2054876</t>
  </si>
  <si>
    <t>3803090</t>
  </si>
  <si>
    <t>4329883</t>
  </si>
  <si>
    <t>4466824</t>
  </si>
  <si>
    <t>3181464</t>
  </si>
  <si>
    <t>1698646</t>
  </si>
  <si>
    <t>2493069</t>
  </si>
  <si>
    <t>3386600</t>
  </si>
  <si>
    <t>2122582</t>
  </si>
  <si>
    <t>3432476</t>
  </si>
  <si>
    <t>1978017</t>
  </si>
  <si>
    <t>2791421</t>
  </si>
  <si>
    <t>4496388</t>
  </si>
  <si>
    <t>1875062</t>
  </si>
  <si>
    <t>1579946</t>
  </si>
  <si>
    <t>4611745</t>
  </si>
  <si>
    <t>4438898</t>
  </si>
  <si>
    <t>2801727</t>
  </si>
  <si>
    <t>4052744</t>
  </si>
  <si>
    <t>4458467</t>
  </si>
  <si>
    <t>4840638</t>
  </si>
  <si>
    <t>2368141</t>
  </si>
  <si>
    <t>2365252</t>
  </si>
  <si>
    <t>4580615</t>
  </si>
  <si>
    <t>2624969</t>
  </si>
  <si>
    <t>4236679</t>
  </si>
  <si>
    <t>2682359</t>
  </si>
  <si>
    <t>2473465</t>
  </si>
  <si>
    <t>2156672</t>
  </si>
  <si>
    <t>1944945</t>
  </si>
  <si>
    <t>4602908</t>
  </si>
  <si>
    <t>2800375</t>
  </si>
  <si>
    <t>4855246</t>
  </si>
  <si>
    <t>2268335</t>
  </si>
  <si>
    <t>3226569</t>
  </si>
  <si>
    <t>3853646</t>
  </si>
  <si>
    <t>2476877</t>
  </si>
  <si>
    <t>2223550</t>
  </si>
  <si>
    <t>2994423</t>
  </si>
  <si>
    <t>4620608</t>
  </si>
  <si>
    <t>3055492</t>
  </si>
  <si>
    <t>2636811</t>
  </si>
  <si>
    <t>1846099</t>
  </si>
  <si>
    <t>4650814</t>
  </si>
  <si>
    <t>3799785</t>
  </si>
  <si>
    <t>2192432</t>
  </si>
  <si>
    <t>2598147</t>
  </si>
  <si>
    <t>4360503</t>
  </si>
  <si>
    <t>2768722</t>
  </si>
  <si>
    <t>4166893</t>
  </si>
  <si>
    <t>4880343</t>
  </si>
  <si>
    <t>4558921</t>
  </si>
  <si>
    <t>3048055</t>
  </si>
  <si>
    <t>3839084</t>
  </si>
  <si>
    <t>1976166</t>
  </si>
  <si>
    <t>3899898</t>
  </si>
  <si>
    <t>3106440</t>
  </si>
  <si>
    <t>4583135</t>
  </si>
  <si>
    <t>1797918</t>
  </si>
  <si>
    <t>2856875</t>
  </si>
  <si>
    <t>3384619</t>
  </si>
  <si>
    <t>207</t>
  </si>
  <si>
    <t>142</t>
  </si>
  <si>
    <t>181</t>
  </si>
  <si>
    <t>209</t>
  </si>
  <si>
    <t>151</t>
  </si>
  <si>
    <t>131</t>
  </si>
  <si>
    <t>132</t>
  </si>
  <si>
    <t>199</t>
  </si>
  <si>
    <t>180</t>
  </si>
  <si>
    <t>165</t>
  </si>
  <si>
    <t>110</t>
  </si>
  <si>
    <t>152</t>
  </si>
  <si>
    <t>91</t>
  </si>
  <si>
    <t>176</t>
  </si>
  <si>
    <t>162</t>
  </si>
  <si>
    <t>137</t>
  </si>
  <si>
    <t>202</t>
  </si>
  <si>
    <t>204</t>
  </si>
  <si>
    <t>194</t>
  </si>
  <si>
    <t>175</t>
  </si>
  <si>
    <t>191</t>
  </si>
  <si>
    <t>158</t>
  </si>
  <si>
    <t>145</t>
  </si>
  <si>
    <t>118</t>
  </si>
  <si>
    <t>179</t>
  </si>
  <si>
    <t>216</t>
  </si>
  <si>
    <t>279</t>
  </si>
  <si>
    <t>201</t>
  </si>
  <si>
    <t>195</t>
  </si>
  <si>
    <t>166</t>
  </si>
  <si>
    <t>133</t>
  </si>
  <si>
    <t>168</t>
  </si>
  <si>
    <t>2119560</t>
  </si>
  <si>
    <t>2611684</t>
  </si>
  <si>
    <t>2611325</t>
  </si>
  <si>
    <t>1619530</t>
  </si>
  <si>
    <t>4527836</t>
  </si>
  <si>
    <t>1750083</t>
  </si>
  <si>
    <t>4157737</t>
  </si>
  <si>
    <t>4615162</t>
  </si>
  <si>
    <t>4819766</t>
  </si>
  <si>
    <t>3496361</t>
  </si>
  <si>
    <t>3524057</t>
  </si>
  <si>
    <t>2718616</t>
  </si>
  <si>
    <t>4383901</t>
  </si>
  <si>
    <t>4255373</t>
  </si>
  <si>
    <t>3178804</t>
  </si>
  <si>
    <t>4022073</t>
  </si>
  <si>
    <t>3227879</t>
  </si>
  <si>
    <t>4401307</t>
  </si>
  <si>
    <t>454127</t>
  </si>
  <si>
    <t>2926872</t>
  </si>
  <si>
    <t>3411903</t>
  </si>
  <si>
    <t>2280698</t>
  </si>
  <si>
    <t>4135356</t>
  </si>
  <si>
    <t>1837288</t>
  </si>
  <si>
    <t>2648772</t>
  </si>
  <si>
    <t>3891337</t>
  </si>
  <si>
    <t>3609848</t>
  </si>
  <si>
    <t>4627568</t>
  </si>
  <si>
    <t>4629107</t>
  </si>
  <si>
    <t>3630612</t>
  </si>
  <si>
    <t>BMI</t>
  </si>
  <si>
    <t>4952426</t>
  </si>
  <si>
    <t>3151384</t>
  </si>
  <si>
    <t>2266478</t>
  </si>
  <si>
    <t>4431939</t>
  </si>
  <si>
    <t>1684436</t>
  </si>
  <si>
    <t>2448090</t>
  </si>
  <si>
    <t>3437174</t>
  </si>
  <si>
    <t>4925491</t>
  </si>
  <si>
    <t>2764714</t>
  </si>
  <si>
    <t>4290807</t>
  </si>
  <si>
    <t>4307911</t>
  </si>
  <si>
    <t>4218048</t>
  </si>
  <si>
    <t>2325977</t>
  </si>
  <si>
    <t>4721909</t>
  </si>
  <si>
    <t>1837377</t>
  </si>
  <si>
    <t>3658820</t>
  </si>
  <si>
    <t>1978654</t>
  </si>
  <si>
    <t>3721838</t>
  </si>
  <si>
    <t>2860827</t>
  </si>
  <si>
    <t>3837182</t>
  </si>
  <si>
    <t>4282943</t>
  </si>
  <si>
    <t>3735771</t>
  </si>
  <si>
    <t>3909185</t>
  </si>
  <si>
    <t>4389594</t>
  </si>
  <si>
    <t>3675926</t>
  </si>
  <si>
    <t>2949848</t>
  </si>
  <si>
    <t>3962007</t>
  </si>
  <si>
    <t>1657698</t>
  </si>
  <si>
    <t>3137096</t>
  </si>
  <si>
    <t>2006923</t>
  </si>
  <si>
    <t>3404084</t>
  </si>
  <si>
    <t>4195965</t>
  </si>
  <si>
    <t>2006204</t>
  </si>
  <si>
    <t>3971602</t>
  </si>
  <si>
    <t>2355620</t>
  </si>
  <si>
    <t>3481908</t>
  </si>
  <si>
    <t>2834974</t>
  </si>
  <si>
    <t>4824295</t>
  </si>
  <si>
    <t>1842266</t>
  </si>
  <si>
    <t>1908993</t>
  </si>
  <si>
    <t>3286608</t>
  </si>
  <si>
    <t>2229442</t>
  </si>
  <si>
    <t>2492930</t>
  </si>
  <si>
    <t>2462216</t>
  </si>
  <si>
    <t>2259176</t>
  </si>
  <si>
    <t>2735162</t>
  </si>
  <si>
    <t>3228823</t>
  </si>
  <si>
    <t>2624635</t>
  </si>
  <si>
    <t>2930256</t>
  </si>
  <si>
    <t>4254019</t>
  </si>
  <si>
    <t>4300869</t>
  </si>
  <si>
    <t>1913696</t>
  </si>
  <si>
    <t>1985626</t>
  </si>
  <si>
    <t>2056544</t>
  </si>
  <si>
    <t>2964921</t>
  </si>
  <si>
    <t>3714331</t>
  </si>
  <si>
    <t>3918280</t>
  </si>
  <si>
    <t>2462036</t>
  </si>
  <si>
    <t>2498351</t>
  </si>
  <si>
    <t>2002996</t>
  </si>
  <si>
    <t>2085414</t>
  </si>
  <si>
    <t>1992670</t>
  </si>
  <si>
    <t>3910805</t>
  </si>
  <si>
    <t>2215659</t>
  </si>
  <si>
    <t>3</t>
  </si>
  <si>
    <t>16</t>
  </si>
  <si>
    <t>32</t>
  </si>
  <si>
    <t>18</t>
  </si>
  <si>
    <t>120</t>
  </si>
  <si>
    <t>25</t>
  </si>
  <si>
    <t>28</t>
  </si>
  <si>
    <t>8</t>
  </si>
  <si>
    <t>24</t>
  </si>
  <si>
    <t>2</t>
  </si>
  <si>
    <t>88</t>
  </si>
  <si>
    <t>29</t>
  </si>
  <si>
    <t>85</t>
  </si>
  <si>
    <t>23</t>
  </si>
  <si>
    <t>84</t>
  </si>
  <si>
    <t>20</t>
  </si>
  <si>
    <t>44</t>
  </si>
  <si>
    <t>86</t>
  </si>
  <si>
    <t>27</t>
  </si>
  <si>
    <t>0</t>
  </si>
  <si>
    <t>83</t>
  </si>
  <si>
    <t>19</t>
  </si>
  <si>
    <t>206</t>
  </si>
  <si>
    <t>PatientID</t>
  </si>
  <si>
    <t>PatientAge</t>
  </si>
  <si>
    <t>PatientSex</t>
  </si>
  <si>
    <t>1884505</t>
  </si>
  <si>
    <t>2519226</t>
  </si>
  <si>
    <t>4719084</t>
  </si>
  <si>
    <t>4093097</t>
  </si>
  <si>
    <t>2129758</t>
  </si>
  <si>
    <t>4145786</t>
  </si>
  <si>
    <t>3702301</t>
  </si>
  <si>
    <t>3073885</t>
  </si>
  <si>
    <t>4901834</t>
  </si>
  <si>
    <t>3387272</t>
  </si>
  <si>
    <t>3988651</t>
  </si>
  <si>
    <t>4515992</t>
  </si>
  <si>
    <t>2964991</t>
  </si>
  <si>
    <t>4090201</t>
  </si>
  <si>
    <t>4693256</t>
  </si>
  <si>
    <t>4944146</t>
  </si>
  <si>
    <t>3352412</t>
  </si>
  <si>
    <t>2456997</t>
  </si>
  <si>
    <t>4986259</t>
  </si>
  <si>
    <t>4601437</t>
  </si>
  <si>
    <t>1943198</t>
  </si>
  <si>
    <t>4391440</t>
  </si>
  <si>
    <t>2976320</t>
  </si>
  <si>
    <t>2357403</t>
  </si>
  <si>
    <t>2393214</t>
  </si>
  <si>
    <t>3515525</t>
  </si>
  <si>
    <t>2438932</t>
  </si>
  <si>
    <t>2026087</t>
  </si>
  <si>
    <t>3538700</t>
  </si>
  <si>
    <t>3021253</t>
  </si>
  <si>
    <t>2991462</t>
  </si>
  <si>
    <t>4837106</t>
  </si>
  <si>
    <t>4269921</t>
  </si>
  <si>
    <t>3494151</t>
  </si>
  <si>
    <t>2991111</t>
  </si>
  <si>
    <t>2074596</t>
  </si>
  <si>
    <t>2985434</t>
  </si>
  <si>
    <t>4561038</t>
  </si>
  <si>
    <t>2166554</t>
  </si>
  <si>
    <t>3367434</t>
  </si>
  <si>
    <t>4127290</t>
  </si>
  <si>
    <t>4885872</t>
  </si>
  <si>
    <t>1840256</t>
  </si>
  <si>
    <t>3711889</t>
  </si>
  <si>
    <t>2815916</t>
  </si>
  <si>
    <t>1756865</t>
  </si>
  <si>
    <t>4317922</t>
  </si>
  <si>
    <t>1837860</t>
  </si>
  <si>
    <t>1660057</t>
  </si>
  <si>
    <t>4546548</t>
  </si>
  <si>
    <t>3331296</t>
  </si>
  <si>
    <t>4931920</t>
  </si>
  <si>
    <t>4973353</t>
  </si>
  <si>
    <t>1924038</t>
  </si>
  <si>
    <t>1763264</t>
  </si>
  <si>
    <t>2607172</t>
  </si>
  <si>
    <t>4754980</t>
  </si>
  <si>
    <t>3918004</t>
  </si>
  <si>
    <t>2947325</t>
  </si>
  <si>
    <t>3460912</t>
  </si>
  <si>
    <t>1872443</t>
  </si>
  <si>
    <t>2926803</t>
  </si>
  <si>
    <t>3834374</t>
  </si>
  <si>
    <t>3065012</t>
  </si>
  <si>
    <t>3149349</t>
  </si>
  <si>
    <t>4561645</t>
  </si>
  <si>
    <t>4188525</t>
  </si>
  <si>
    <t>2291062</t>
  </si>
  <si>
    <t>3941637</t>
  </si>
  <si>
    <t>2558560</t>
  </si>
  <si>
    <t>4848033</t>
  </si>
  <si>
    <t>1772837</t>
  </si>
  <si>
    <t>3942529</t>
  </si>
  <si>
    <t>2980394</t>
  </si>
  <si>
    <t>4724303</t>
  </si>
  <si>
    <t>3574697</t>
  </si>
  <si>
    <t>2290729</t>
  </si>
  <si>
    <t>2478650</t>
  </si>
  <si>
    <t>1890368</t>
  </si>
  <si>
    <t>3926676</t>
  </si>
  <si>
    <t>1934544</t>
  </si>
  <si>
    <t>2010131</t>
  </si>
  <si>
    <t>2582855</t>
  </si>
  <si>
    <t>2549580</t>
  </si>
  <si>
    <t>4855565</t>
  </si>
  <si>
    <t>2431472</t>
  </si>
  <si>
    <t>3918928</t>
  </si>
  <si>
    <t>4072863</t>
  </si>
  <si>
    <t>2883715</t>
  </si>
  <si>
    <t>3056199</t>
  </si>
  <si>
    <t>3329123</t>
  </si>
  <si>
    <t>1715871</t>
  </si>
  <si>
    <t>9496933</t>
  </si>
  <si>
    <t>3261459</t>
  </si>
  <si>
    <t>3799786</t>
  </si>
  <si>
    <t>4274337</t>
  </si>
  <si>
    <t>1852652</t>
  </si>
  <si>
    <t>4676424</t>
  </si>
  <si>
    <t>3158227</t>
  </si>
  <si>
    <t>4827444</t>
  </si>
  <si>
    <t>2179768</t>
  </si>
  <si>
    <t>3087234</t>
  </si>
  <si>
    <t>4530412</t>
  </si>
  <si>
    <t>2628084</t>
  </si>
  <si>
    <t>4315020</t>
  </si>
  <si>
    <t>4926773</t>
  </si>
  <si>
    <t>2484550</t>
  </si>
  <si>
    <t>2337613</t>
  </si>
  <si>
    <t>2550148</t>
  </si>
  <si>
    <t>1855924</t>
  </si>
  <si>
    <t>2340853</t>
  </si>
  <si>
    <t>3022699</t>
  </si>
  <si>
    <t>4474321</t>
  </si>
  <si>
    <t>4855447</t>
  </si>
  <si>
    <t>2018506</t>
  </si>
  <si>
    <t>4059925</t>
  </si>
  <si>
    <t>4131636</t>
  </si>
  <si>
    <t>2041160</t>
  </si>
  <si>
    <t>3542950</t>
  </si>
  <si>
    <t>4577284</t>
  </si>
  <si>
    <t>4978836</t>
  </si>
  <si>
    <t>4855031</t>
  </si>
  <si>
    <t>3984183</t>
  </si>
  <si>
    <t>2637100</t>
  </si>
  <si>
    <t>2938767</t>
  </si>
  <si>
    <t>3209431</t>
  </si>
  <si>
    <t>4661954</t>
  </si>
  <si>
    <t>1736156</t>
  </si>
  <si>
    <t>3288148</t>
  </si>
  <si>
    <t>4407739</t>
  </si>
  <si>
    <t>3721124</t>
  </si>
  <si>
    <t>3225267</t>
  </si>
  <si>
    <t>2890690</t>
  </si>
  <si>
    <t>2086087</t>
  </si>
  <si>
    <t>1689141</t>
  </si>
  <si>
    <t>2732708</t>
  </si>
  <si>
    <t>3207185</t>
  </si>
  <si>
    <t>4607977</t>
  </si>
  <si>
    <t>1975321</t>
  </si>
  <si>
    <t>4174650</t>
  </si>
  <si>
    <t>2723799</t>
  </si>
  <si>
    <t>2844265</t>
  </si>
  <si>
    <t>2234487</t>
  </si>
  <si>
    <t>1635534</t>
  </si>
  <si>
    <t>4861432</t>
  </si>
  <si>
    <t>3737132</t>
  </si>
  <si>
    <t>3248235</t>
  </si>
  <si>
    <t>2925324</t>
  </si>
  <si>
    <t>3722357</t>
  </si>
  <si>
    <t>1726427</t>
  </si>
  <si>
    <t>2711991</t>
  </si>
  <si>
    <t>3703270</t>
  </si>
  <si>
    <t>4522107</t>
  </si>
  <si>
    <t>2460011</t>
  </si>
  <si>
    <t>3111913</t>
  </si>
  <si>
    <t>2620553</t>
  </si>
  <si>
    <t>3684209</t>
  </si>
  <si>
    <t>2181887</t>
  </si>
  <si>
    <t>4165038</t>
  </si>
  <si>
    <t>2966846</t>
  </si>
  <si>
    <t>1867890</t>
  </si>
  <si>
    <t>4759050</t>
  </si>
  <si>
    <t>3615421</t>
  </si>
  <si>
    <t>4421283</t>
  </si>
  <si>
    <t>4483927</t>
  </si>
  <si>
    <t>3143921</t>
  </si>
  <si>
    <t>2287356</t>
  </si>
  <si>
    <t>3153566</t>
  </si>
  <si>
    <t>4818575</t>
  </si>
  <si>
    <t>2612372</t>
  </si>
  <si>
    <t>2955990</t>
  </si>
  <si>
    <t>3680418</t>
  </si>
  <si>
    <t>3252177</t>
  </si>
  <si>
    <t>4752897</t>
  </si>
  <si>
    <t>1847967</t>
  </si>
  <si>
    <t>4565646</t>
  </si>
  <si>
    <t>4185557</t>
  </si>
  <si>
    <t>3980550</t>
  </si>
  <si>
    <t>3583118</t>
  </si>
  <si>
    <t>4118768</t>
  </si>
  <si>
    <t>2003897</t>
  </si>
  <si>
    <t>2658552</t>
  </si>
  <si>
    <t>3170811</t>
  </si>
  <si>
    <t>3754381</t>
  </si>
  <si>
    <t>4242013</t>
  </si>
  <si>
    <t>3385306</t>
  </si>
  <si>
    <t>4320823</t>
  </si>
  <si>
    <t>3693565</t>
  </si>
  <si>
    <t>3717409</t>
  </si>
  <si>
    <t>4452071</t>
  </si>
  <si>
    <t>1765933</t>
  </si>
  <si>
    <t>4791938</t>
  </si>
  <si>
    <t>3778116</t>
  </si>
  <si>
    <t>3697583</t>
  </si>
  <si>
    <t>3312024</t>
  </si>
  <si>
    <t>2532341</t>
  </si>
  <si>
    <t>3580745</t>
  </si>
  <si>
    <t>3635971</t>
  </si>
  <si>
    <t>1824723</t>
  </si>
  <si>
    <t>3086314</t>
  </si>
  <si>
    <t>1630820</t>
  </si>
  <si>
    <t>4380138</t>
  </si>
  <si>
    <t>3505661</t>
  </si>
  <si>
    <t>4311454</t>
  </si>
  <si>
    <t>2231782</t>
  </si>
  <si>
    <t>3812731</t>
  </si>
  <si>
    <t>2667026</t>
  </si>
  <si>
    <t>2694166</t>
  </si>
  <si>
    <t>4039492</t>
  </si>
  <si>
    <t>3128615</t>
  </si>
  <si>
    <t>3476839</t>
  </si>
  <si>
    <t>3821211</t>
  </si>
  <si>
    <t>3014977</t>
  </si>
  <si>
    <t>3217949</t>
  </si>
  <si>
    <t>3030914</t>
  </si>
  <si>
    <t>2096517</t>
  </si>
  <si>
    <t>2230621</t>
  </si>
  <si>
    <t>3684744</t>
  </si>
  <si>
    <t>3276443</t>
  </si>
  <si>
    <t>3655031</t>
  </si>
  <si>
    <t>2755808</t>
  </si>
  <si>
    <t>3293818</t>
  </si>
  <si>
    <t>3483527</t>
  </si>
  <si>
    <t>2211583</t>
  </si>
  <si>
    <t>3253867</t>
  </si>
  <si>
    <t>3161040</t>
  </si>
  <si>
    <t>4485982</t>
  </si>
  <si>
    <t>2291512</t>
  </si>
  <si>
    <t>3733894</t>
  </si>
  <si>
    <t>4961911</t>
  </si>
  <si>
    <t>2091405</t>
  </si>
  <si>
    <t>3335522</t>
  </si>
  <si>
    <t>2992783</t>
  </si>
  <si>
    <t>4840644</t>
  </si>
  <si>
    <t>2309430</t>
  </si>
  <si>
    <t>4788466</t>
  </si>
  <si>
    <t>3965697</t>
  </si>
  <si>
    <t>3278112</t>
  </si>
  <si>
    <t>2789893</t>
  </si>
  <si>
    <t>1998272</t>
  </si>
  <si>
    <t>3482012</t>
  </si>
  <si>
    <t>3280367</t>
  </si>
  <si>
    <t>4712455</t>
  </si>
  <si>
    <t>4039222</t>
  </si>
  <si>
    <t>1707933</t>
  </si>
  <si>
    <t>4406730</t>
  </si>
  <si>
    <t>2796604</t>
  </si>
  <si>
    <t>3723937</t>
  </si>
  <si>
    <t>3680840</t>
  </si>
  <si>
    <t>2650062</t>
  </si>
  <si>
    <t>4951362</t>
  </si>
  <si>
    <t>4190709</t>
  </si>
  <si>
    <t>4229413</t>
  </si>
  <si>
    <t>4958133</t>
  </si>
  <si>
    <t>2150605</t>
  </si>
  <si>
    <t>1644355</t>
  </si>
  <si>
    <t>4111364</t>
  </si>
  <si>
    <t>2617732</t>
  </si>
  <si>
    <t>1987656</t>
  </si>
  <si>
    <t>2232190</t>
  </si>
  <si>
    <t>4439971</t>
  </si>
  <si>
    <t>4926565</t>
  </si>
  <si>
    <t>2016023</t>
  </si>
  <si>
    <t>3875214</t>
  </si>
  <si>
    <t>2732764</t>
  </si>
  <si>
    <t>3306398</t>
  </si>
  <si>
    <t>3225599</t>
  </si>
  <si>
    <t>4815349</t>
  </si>
  <si>
    <t>4616425</t>
  </si>
  <si>
    <t>1651525</t>
  </si>
  <si>
    <t>4916346</t>
  </si>
  <si>
    <t>2327448</t>
  </si>
  <si>
    <t>2973430</t>
  </si>
  <si>
    <t>4062058</t>
  </si>
  <si>
    <t>2834678</t>
  </si>
  <si>
    <t>2681178</t>
  </si>
  <si>
    <t>3250947</t>
  </si>
  <si>
    <t>4562973</t>
  </si>
  <si>
    <t>2129784</t>
  </si>
  <si>
    <t>3866448</t>
  </si>
  <si>
    <t>4561077</t>
  </si>
  <si>
    <t>1189922</t>
  </si>
  <si>
    <t>2118110</t>
  </si>
  <si>
    <t>3350368</t>
  </si>
  <si>
    <t>1932721</t>
  </si>
  <si>
    <t>2117911</t>
  </si>
  <si>
    <t>3225573</t>
  </si>
  <si>
    <t>2603810</t>
  </si>
  <si>
    <t>3974457</t>
  </si>
  <si>
    <t>2894281</t>
  </si>
  <si>
    <t>2971325</t>
  </si>
  <si>
    <t>4715258</t>
  </si>
  <si>
    <t>3886052</t>
  </si>
  <si>
    <t>3401711</t>
  </si>
  <si>
    <t>3765478</t>
  </si>
  <si>
    <t>2543174</t>
  </si>
  <si>
    <t>2472459</t>
  </si>
  <si>
    <t>4379700</t>
  </si>
  <si>
    <t>3952218</t>
  </si>
  <si>
    <t>3866054</t>
  </si>
  <si>
    <t>2611903</t>
  </si>
  <si>
    <t>2469409</t>
  </si>
  <si>
    <t>1824825</t>
  </si>
  <si>
    <t>1708487</t>
  </si>
  <si>
    <t>4513175</t>
  </si>
  <si>
    <t>2977974</t>
  </si>
  <si>
    <t>1865954</t>
  </si>
  <si>
    <t>3746184</t>
  </si>
  <si>
    <t>4551044</t>
  </si>
  <si>
    <t>3153571</t>
  </si>
  <si>
    <t>1580695</t>
  </si>
  <si>
    <t>3567237</t>
  </si>
  <si>
    <t>3634409</t>
  </si>
  <si>
    <t>4260409</t>
  </si>
  <si>
    <t>3889037</t>
  </si>
  <si>
    <t>1921455</t>
  </si>
  <si>
    <t>3401849</t>
  </si>
  <si>
    <t>3843871</t>
  </si>
  <si>
    <t>3082401</t>
  </si>
  <si>
    <t>3473864</t>
  </si>
  <si>
    <t>4985181</t>
  </si>
  <si>
    <t>4592312</t>
  </si>
  <si>
    <t>2850504</t>
  </si>
  <si>
    <t>2058636</t>
  </si>
  <si>
    <t>4514679</t>
  </si>
  <si>
    <t>3346696</t>
  </si>
  <si>
    <t>2213911</t>
  </si>
  <si>
    <t>4718444</t>
  </si>
  <si>
    <t>2890431</t>
  </si>
  <si>
    <t>2271241</t>
  </si>
  <si>
    <t>1394643</t>
  </si>
  <si>
    <t>1420473</t>
  </si>
  <si>
    <t>1933440</t>
  </si>
  <si>
    <t>1874592</t>
  </si>
  <si>
    <t>1758812</t>
  </si>
  <si>
    <t>3592340</t>
  </si>
  <si>
    <t>3606498</t>
  </si>
  <si>
    <t>3644388</t>
  </si>
  <si>
    <t>1823198</t>
  </si>
  <si>
    <t>4042948</t>
  </si>
  <si>
    <t>3992660</t>
  </si>
  <si>
    <t>1867849</t>
  </si>
  <si>
    <t>2878288</t>
  </si>
  <si>
    <t>1796871</t>
  </si>
  <si>
    <t>3215938</t>
  </si>
  <si>
    <t>4800859</t>
  </si>
  <si>
    <t>2704706</t>
  </si>
  <si>
    <t>4384602</t>
  </si>
  <si>
    <t>2817617</t>
  </si>
  <si>
    <t>3581789</t>
  </si>
  <si>
    <t>4142955</t>
  </si>
  <si>
    <t>4003135</t>
  </si>
  <si>
    <t>1811648</t>
  </si>
  <si>
    <t>2891768</t>
  </si>
  <si>
    <t>2807178</t>
  </si>
  <si>
    <t>4036195</t>
  </si>
  <si>
    <t>3098918</t>
  </si>
  <si>
    <t>2908175</t>
  </si>
  <si>
    <t>4847987</t>
  </si>
  <si>
    <t>4824990</t>
  </si>
  <si>
    <t>3491785</t>
  </si>
  <si>
    <t>2931498</t>
  </si>
  <si>
    <t>1371818</t>
  </si>
  <si>
    <t>3254378</t>
  </si>
  <si>
    <t>4500689</t>
  </si>
  <si>
    <t>1619734</t>
  </si>
  <si>
    <t>4879467</t>
  </si>
  <si>
    <t>2381923</t>
  </si>
  <si>
    <t>2446720</t>
  </si>
  <si>
    <t>2378143</t>
  </si>
  <si>
    <t>3798196</t>
  </si>
  <si>
    <t>4589830</t>
  </si>
  <si>
    <t>2193483</t>
  </si>
  <si>
    <t>3479810</t>
  </si>
  <si>
    <t>4898935</t>
  </si>
  <si>
    <t>2246604</t>
  </si>
  <si>
    <t>2677384</t>
  </si>
  <si>
    <t>3433973</t>
  </si>
  <si>
    <t>1868004</t>
  </si>
  <si>
    <t>2408108</t>
  </si>
  <si>
    <t>1700650</t>
  </si>
  <si>
    <t>2322522</t>
  </si>
  <si>
    <t>301907</t>
  </si>
  <si>
    <t>2787031</t>
  </si>
  <si>
    <t>4763500</t>
  </si>
  <si>
    <t>2869777</t>
  </si>
  <si>
    <t>4901227</t>
  </si>
  <si>
    <t>2607607</t>
  </si>
  <si>
    <t>1599729</t>
  </si>
  <si>
    <t>4676731</t>
  </si>
  <si>
    <t>3786642</t>
  </si>
  <si>
    <t>1878305</t>
  </si>
  <si>
    <t>4925954</t>
  </si>
  <si>
    <t>1632695</t>
  </si>
  <si>
    <t>3542821</t>
  </si>
  <si>
    <t>3660507</t>
  </si>
  <si>
    <t>2606353</t>
  </si>
  <si>
    <t>3831904</t>
  </si>
  <si>
    <t>2863498</t>
  </si>
  <si>
    <t>4676241</t>
  </si>
  <si>
    <t>3191004</t>
  </si>
  <si>
    <t>2863840</t>
  </si>
  <si>
    <t>2441820</t>
  </si>
  <si>
    <t>4405858</t>
  </si>
  <si>
    <t>2219639</t>
  </si>
  <si>
    <t>1830222</t>
  </si>
  <si>
    <t>3625605</t>
  </si>
  <si>
    <t>4502751</t>
  </si>
  <si>
    <t>1752425</t>
  </si>
  <si>
    <t>3783684</t>
  </si>
  <si>
    <t>4704753</t>
  </si>
  <si>
    <t>4626164</t>
  </si>
  <si>
    <t>2446688</t>
  </si>
  <si>
    <t>2512765</t>
  </si>
  <si>
    <t>4323195</t>
  </si>
  <si>
    <t>2092089</t>
  </si>
  <si>
    <t>3196375</t>
  </si>
  <si>
    <t>3185548</t>
  </si>
  <si>
    <t>4648422</t>
  </si>
  <si>
    <t>2072297</t>
  </si>
  <si>
    <t>3445796</t>
  </si>
  <si>
    <t>4511002</t>
  </si>
  <si>
    <t>4368895</t>
  </si>
  <si>
    <t>2625712</t>
  </si>
  <si>
    <t>2087409</t>
  </si>
  <si>
    <t>3238284</t>
  </si>
  <si>
    <t>2306656</t>
  </si>
  <si>
    <t>2876691</t>
  </si>
  <si>
    <t>4179957</t>
  </si>
  <si>
    <t>3750061</t>
  </si>
  <si>
    <t>2750562</t>
  </si>
  <si>
    <t>2460569</t>
  </si>
  <si>
    <t>1595693</t>
  </si>
  <si>
    <t>3170727</t>
  </si>
  <si>
    <t>2362970</t>
  </si>
  <si>
    <t>2078325</t>
  </si>
  <si>
    <t>4545751</t>
  </si>
  <si>
    <t>3828134</t>
  </si>
  <si>
    <t>2805765</t>
  </si>
  <si>
    <t>3499881</t>
  </si>
  <si>
    <t>3867936</t>
  </si>
  <si>
    <t>2796835</t>
  </si>
  <si>
    <t>2754759</t>
  </si>
  <si>
    <t>3484575</t>
  </si>
  <si>
    <t>2050549</t>
  </si>
  <si>
    <t>4733212</t>
  </si>
  <si>
    <t>1791884</t>
  </si>
  <si>
    <t>3915537</t>
  </si>
  <si>
    <t>4486636</t>
  </si>
  <si>
    <t>2184844</t>
  </si>
  <si>
    <t>2163776</t>
  </si>
  <si>
    <t>2225655</t>
  </si>
  <si>
    <t>2704033</t>
  </si>
  <si>
    <t>3590699</t>
  </si>
  <si>
    <t>3832991</t>
  </si>
  <si>
    <t>3931046</t>
  </si>
  <si>
    <t>4345751</t>
  </si>
  <si>
    <t>3138477</t>
  </si>
  <si>
    <t>4970687</t>
  </si>
  <si>
    <t>3832762</t>
  </si>
  <si>
    <t>3431065</t>
  </si>
  <si>
    <t>3837311</t>
  </si>
  <si>
    <t>2278390</t>
  </si>
  <si>
    <t>1711026</t>
  </si>
  <si>
    <t>4843569</t>
  </si>
  <si>
    <t>2204770</t>
  </si>
  <si>
    <t>1740475</t>
  </si>
  <si>
    <t>2239048</t>
  </si>
  <si>
    <t>3930275</t>
  </si>
  <si>
    <t>4348580</t>
  </si>
  <si>
    <t>3032932</t>
  </si>
  <si>
    <t>2231556</t>
  </si>
  <si>
    <t>4555552</t>
  </si>
  <si>
    <t>4496880</t>
  </si>
  <si>
    <t>3719190</t>
  </si>
  <si>
    <t>3554093</t>
  </si>
  <si>
    <t>3553442</t>
  </si>
  <si>
    <t>1861697</t>
  </si>
  <si>
    <t>2244665</t>
  </si>
  <si>
    <t>3763292</t>
  </si>
  <si>
    <t>2494025</t>
  </si>
  <si>
    <t>2848202</t>
  </si>
  <si>
    <t>3013422</t>
  </si>
  <si>
    <t>3695780</t>
  </si>
  <si>
    <t>1657863</t>
  </si>
  <si>
    <t>2858051</t>
  </si>
  <si>
    <t>4795941</t>
  </si>
  <si>
    <t>4480240</t>
  </si>
  <si>
    <t>4730420</t>
  </si>
  <si>
    <t>3373751</t>
  </si>
  <si>
    <t>4818531</t>
  </si>
  <si>
    <t>1800164</t>
  </si>
  <si>
    <t>2151295</t>
  </si>
  <si>
    <t>2953443</t>
  </si>
  <si>
    <t>2949332</t>
  </si>
  <si>
    <t>3195171</t>
  </si>
  <si>
    <t>3452708</t>
  </si>
  <si>
    <t>4208133</t>
  </si>
  <si>
    <t>2786438</t>
  </si>
  <si>
    <t>3436450</t>
  </si>
  <si>
    <t>3334043</t>
  </si>
  <si>
    <t>4371520</t>
  </si>
  <si>
    <t>1668309</t>
  </si>
  <si>
    <t>3111168</t>
  </si>
  <si>
    <t>3742059</t>
  </si>
  <si>
    <t>2035643</t>
  </si>
  <si>
    <t>4627266</t>
  </si>
  <si>
    <t>3663909</t>
  </si>
  <si>
    <t>4611898</t>
  </si>
  <si>
    <t>3749225</t>
  </si>
  <si>
    <t>3772109</t>
  </si>
  <si>
    <t>4317931</t>
  </si>
  <si>
    <t>2531661</t>
  </si>
  <si>
    <t>3305584</t>
  </si>
  <si>
    <t>3521415</t>
  </si>
  <si>
    <t>1877494</t>
  </si>
  <si>
    <t>3403807</t>
  </si>
  <si>
    <t>233441</t>
  </si>
  <si>
    <t>2831232</t>
  </si>
  <si>
    <t>2845102</t>
  </si>
  <si>
    <t>3759105</t>
  </si>
  <si>
    <t>3941952</t>
  </si>
  <si>
    <t>2014971</t>
  </si>
  <si>
    <t>1848231</t>
  </si>
  <si>
    <t>1949718</t>
  </si>
  <si>
    <t>4351300</t>
  </si>
  <si>
    <t>4652273</t>
  </si>
  <si>
    <t>3457804</t>
  </si>
  <si>
    <t>2689344</t>
  </si>
  <si>
    <t>2364798</t>
  </si>
  <si>
    <t>4961475</t>
  </si>
  <si>
    <t>4899726</t>
  </si>
  <si>
    <t>3633721</t>
  </si>
  <si>
    <t>4683770</t>
  </si>
  <si>
    <t>1867490</t>
  </si>
  <si>
    <t>3608147</t>
  </si>
  <si>
    <t>1905058</t>
  </si>
  <si>
    <t>3410893</t>
  </si>
  <si>
    <t>4528642</t>
  </si>
  <si>
    <t>3630929</t>
  </si>
  <si>
    <t>3919283</t>
  </si>
  <si>
    <t>2894222</t>
  </si>
  <si>
    <t>1666557</t>
  </si>
  <si>
    <t>4534737</t>
  </si>
  <si>
    <t>2014794</t>
  </si>
  <si>
    <t>4354130</t>
  </si>
  <si>
    <t>2399876</t>
  </si>
  <si>
    <t>232434</t>
  </si>
  <si>
    <t>3846628</t>
  </si>
  <si>
    <t>1770426</t>
  </si>
  <si>
    <t>4701181</t>
  </si>
  <si>
    <t>4221502</t>
  </si>
  <si>
    <t>4182301</t>
  </si>
  <si>
    <t>2182985</t>
  </si>
  <si>
    <t>3082016</t>
  </si>
  <si>
    <t>2302181</t>
  </si>
  <si>
    <t>3324122</t>
  </si>
  <si>
    <t>4268418</t>
  </si>
  <si>
    <t>3982057</t>
  </si>
  <si>
    <t>1805227</t>
  </si>
  <si>
    <t>1988605</t>
  </si>
  <si>
    <t>3617150</t>
  </si>
  <si>
    <t>4372891</t>
  </si>
  <si>
    <t>1776672</t>
  </si>
  <si>
    <t>4546085</t>
  </si>
  <si>
    <t>2538513</t>
  </si>
  <si>
    <t>4891699</t>
  </si>
  <si>
    <t>3808306</t>
  </si>
  <si>
    <t>1571052</t>
  </si>
  <si>
    <t>4652930</t>
  </si>
  <si>
    <t>4662961</t>
  </si>
  <si>
    <t>1729165</t>
  </si>
  <si>
    <t>4558484</t>
  </si>
  <si>
    <t>2167288</t>
  </si>
  <si>
    <t>4684603</t>
  </si>
  <si>
    <t>4950893</t>
  </si>
  <si>
    <t>1803233</t>
  </si>
  <si>
    <t>4111123</t>
  </si>
  <si>
    <t>2225606</t>
  </si>
  <si>
    <t>1947691</t>
  </si>
  <si>
    <t>4467059</t>
  </si>
  <si>
    <t>3934977</t>
  </si>
  <si>
    <t>4480118</t>
  </si>
  <si>
    <t>2197236</t>
  </si>
  <si>
    <t>4538129</t>
  </si>
  <si>
    <t>4542884</t>
  </si>
  <si>
    <t>2333115</t>
  </si>
  <si>
    <t>3224801</t>
  </si>
  <si>
    <t>4338591</t>
  </si>
  <si>
    <t>3798907</t>
  </si>
  <si>
    <t>4375466</t>
  </si>
  <si>
    <t>1540320</t>
  </si>
  <si>
    <t>4300661</t>
  </si>
  <si>
    <t>2165406</t>
  </si>
  <si>
    <t>2051318</t>
  </si>
  <si>
    <t>2262747</t>
  </si>
  <si>
    <t>3616200</t>
  </si>
  <si>
    <t>4040108</t>
  </si>
  <si>
    <t>3440342</t>
  </si>
  <si>
    <t>1628193</t>
  </si>
  <si>
    <t>1902991</t>
  </si>
  <si>
    <t>1745198</t>
  </si>
  <si>
    <t>4914593</t>
  </si>
  <si>
    <t>2021844</t>
  </si>
  <si>
    <t>4526460</t>
  </si>
  <si>
    <t>3134500</t>
  </si>
  <si>
    <t>3382087</t>
  </si>
  <si>
    <t>3184620</t>
  </si>
  <si>
    <t>2412158</t>
  </si>
  <si>
    <t>2823215</t>
  </si>
  <si>
    <t>2948372</t>
  </si>
  <si>
    <t>4554170</t>
  </si>
  <si>
    <t>1771265</t>
  </si>
  <si>
    <t>3231105</t>
  </si>
  <si>
    <t>3760153</t>
  </si>
  <si>
    <t>4942703</t>
  </si>
  <si>
    <t>1936714</t>
  </si>
  <si>
    <t>4932858</t>
  </si>
  <si>
    <t>3263603</t>
  </si>
  <si>
    <t>4406983</t>
  </si>
  <si>
    <t>2881065</t>
  </si>
  <si>
    <t>3392202</t>
  </si>
  <si>
    <t>2991494</t>
  </si>
  <si>
    <t>4447402</t>
  </si>
  <si>
    <t>430439</t>
  </si>
  <si>
    <t>3769003</t>
  </si>
  <si>
    <t>3865894</t>
  </si>
  <si>
    <t>4599126</t>
  </si>
  <si>
    <t>1802478</t>
  </si>
  <si>
    <t>2769464</t>
  </si>
  <si>
    <t>2796748</t>
  </si>
  <si>
    <t>1706615</t>
  </si>
  <si>
    <t>3911802</t>
  </si>
  <si>
    <t>4420675</t>
  </si>
  <si>
    <t>3788370</t>
  </si>
  <si>
    <t>3234164</t>
  </si>
  <si>
    <t>3374472</t>
  </si>
  <si>
    <t>3210647</t>
  </si>
  <si>
    <t>1780000</t>
  </si>
  <si>
    <t>2190982</t>
  </si>
  <si>
    <t>3209696</t>
  </si>
  <si>
    <t>1600267</t>
  </si>
  <si>
    <t>3797204</t>
  </si>
  <si>
    <t>2038177</t>
  </si>
  <si>
    <t>1752756</t>
  </si>
  <si>
    <t>2699640</t>
  </si>
  <si>
    <t>4431862</t>
  </si>
  <si>
    <t>4900218</t>
  </si>
  <si>
    <t>3040438</t>
  </si>
  <si>
    <t>2801655</t>
  </si>
  <si>
    <t>3653004</t>
  </si>
  <si>
    <t>3263225</t>
  </si>
  <si>
    <t>2297511</t>
  </si>
  <si>
    <t>4015158</t>
  </si>
  <si>
    <t>3386232</t>
  </si>
  <si>
    <t>4745789</t>
  </si>
  <si>
    <t>4718575</t>
  </si>
  <si>
    <t>3644450</t>
  </si>
  <si>
    <t>4159897</t>
  </si>
  <si>
    <t>3883135</t>
  </si>
  <si>
    <t>4614791</t>
  </si>
  <si>
    <t>4527315</t>
  </si>
  <si>
    <t>2187123</t>
  </si>
  <si>
    <t>4685635</t>
  </si>
  <si>
    <t>2682023</t>
  </si>
  <si>
    <t>4024262</t>
  </si>
  <si>
    <t>1645067</t>
  </si>
  <si>
    <t>3336070</t>
  </si>
  <si>
    <t>1929344</t>
  </si>
  <si>
    <t>4667597</t>
  </si>
  <si>
    <t>3858685</t>
  </si>
  <si>
    <t>2802737</t>
  </si>
  <si>
    <t>2133750</t>
  </si>
  <si>
    <t>4552039</t>
  </si>
  <si>
    <t>3262310</t>
  </si>
  <si>
    <t>1541638</t>
  </si>
  <si>
    <t>2274901</t>
  </si>
  <si>
    <t>3507514</t>
  </si>
  <si>
    <t>4242562</t>
  </si>
  <si>
    <t>3215766</t>
  </si>
  <si>
    <t>3635017</t>
  </si>
  <si>
    <t>2461056</t>
  </si>
  <si>
    <t>2214183</t>
  </si>
  <si>
    <t>4250775</t>
  </si>
  <si>
    <t>2425147</t>
  </si>
  <si>
    <t>1937763</t>
  </si>
  <si>
    <t>1727674</t>
  </si>
  <si>
    <t>3482141</t>
  </si>
  <si>
    <t>4230497</t>
  </si>
  <si>
    <t>2982512</t>
  </si>
  <si>
    <t>3216656</t>
  </si>
  <si>
    <t>4585913</t>
  </si>
  <si>
    <t>2422336</t>
  </si>
  <si>
    <t>3897021</t>
  </si>
  <si>
    <t>3645671</t>
  </si>
  <si>
    <t>4811694</t>
  </si>
  <si>
    <t>3251610</t>
  </si>
  <si>
    <t>2254717</t>
  </si>
  <si>
    <t>4875865</t>
  </si>
  <si>
    <t>3204440</t>
  </si>
  <si>
    <t>1792765</t>
  </si>
  <si>
    <t>2894525</t>
  </si>
  <si>
    <t>2019463</t>
  </si>
  <si>
    <t>3884948</t>
  </si>
  <si>
    <t>2856050</t>
  </si>
  <si>
    <t>2759694</t>
  </si>
  <si>
    <t>3260918</t>
  </si>
  <si>
    <t>2992514</t>
  </si>
  <si>
    <t>4671434</t>
  </si>
  <si>
    <t>3206882</t>
  </si>
  <si>
    <t>4768437</t>
  </si>
  <si>
    <t>3136198</t>
  </si>
  <si>
    <t>4633346</t>
  </si>
  <si>
    <t>3470745</t>
  </si>
  <si>
    <t>3423239</t>
  </si>
  <si>
    <t>4721355</t>
  </si>
  <si>
    <t>4701332</t>
  </si>
  <si>
    <t>4344870</t>
  </si>
  <si>
    <t>2549641</t>
  </si>
  <si>
    <t>2234868</t>
  </si>
  <si>
    <t>1651888</t>
  </si>
  <si>
    <t>2706444</t>
  </si>
  <si>
    <t>4932360</t>
  </si>
  <si>
    <t>1800176</t>
  </si>
  <si>
    <t>4178423</t>
  </si>
  <si>
    <t>2439096</t>
  </si>
  <si>
    <t>4540859</t>
  </si>
  <si>
    <t>2110537</t>
  </si>
  <si>
    <t>3954819</t>
  </si>
  <si>
    <t>1990798</t>
  </si>
  <si>
    <t>3073004</t>
  </si>
  <si>
    <t>2893659</t>
  </si>
  <si>
    <t>4596004</t>
  </si>
  <si>
    <t>2577459</t>
  </si>
  <si>
    <t>4613922</t>
  </si>
  <si>
    <t>4408330</t>
  </si>
  <si>
    <t>4769539</t>
  </si>
  <si>
    <t>4136245</t>
  </si>
  <si>
    <t>4504756</t>
  </si>
  <si>
    <t>2735677</t>
  </si>
  <si>
    <t>2165387</t>
  </si>
  <si>
    <t>2661396</t>
  </si>
  <si>
    <t>1805315</t>
  </si>
  <si>
    <t>3559699</t>
  </si>
  <si>
    <t>1785575</t>
  </si>
  <si>
    <t>3450398</t>
  </si>
  <si>
    <t>4296878</t>
  </si>
  <si>
    <t>1655505</t>
  </si>
  <si>
    <t>2572899</t>
  </si>
  <si>
    <t>221462</t>
  </si>
  <si>
    <t>2321426</t>
  </si>
  <si>
    <t>2036751</t>
  </si>
  <si>
    <t>4656166</t>
  </si>
  <si>
    <t>2889039</t>
  </si>
  <si>
    <t>3442657</t>
  </si>
  <si>
    <t>4090598</t>
  </si>
  <si>
    <t>3213873</t>
  </si>
  <si>
    <t>1670320</t>
  </si>
  <si>
    <t>1548549</t>
  </si>
  <si>
    <t>1910388</t>
  </si>
  <si>
    <t>2366963</t>
  </si>
  <si>
    <t>2746074</t>
  </si>
  <si>
    <t>4783677</t>
  </si>
  <si>
    <t>4559567</t>
  </si>
  <si>
    <t>3417489</t>
  </si>
  <si>
    <t>2006903</t>
  </si>
  <si>
    <t>1798849</t>
  </si>
  <si>
    <t>4446091</t>
  </si>
  <si>
    <t>3844103</t>
  </si>
  <si>
    <t>3960247</t>
  </si>
  <si>
    <t>2850370</t>
  </si>
  <si>
    <t>3127419</t>
  </si>
  <si>
    <t>1931863</t>
  </si>
  <si>
    <t>3553799</t>
  </si>
  <si>
    <t>1660972</t>
  </si>
  <si>
    <t>3825074</t>
  </si>
  <si>
    <t>3945245</t>
  </si>
  <si>
    <t>2848236</t>
  </si>
  <si>
    <t>1808123</t>
  </si>
  <si>
    <t>3024220</t>
  </si>
  <si>
    <t>3771284</t>
  </si>
  <si>
    <t>3580995</t>
  </si>
  <si>
    <t>2495166</t>
  </si>
  <si>
    <t>4836796</t>
  </si>
  <si>
    <t>2025858</t>
  </si>
  <si>
    <t>3976197</t>
  </si>
  <si>
    <t>4894396</t>
  </si>
  <si>
    <t>4029749</t>
  </si>
  <si>
    <t>4884743</t>
  </si>
  <si>
    <t>2268387</t>
  </si>
  <si>
    <t>2863564</t>
  </si>
  <si>
    <t>4625102</t>
  </si>
  <si>
    <t>2715630</t>
  </si>
  <si>
    <t>4779877</t>
  </si>
  <si>
    <t>3822142</t>
  </si>
  <si>
    <t>193616</t>
  </si>
  <si>
    <t>3641166</t>
  </si>
  <si>
    <t>2504073</t>
  </si>
  <si>
    <t>2297987</t>
  </si>
  <si>
    <t>4077023</t>
  </si>
  <si>
    <t>2271633</t>
  </si>
  <si>
    <t>1093729</t>
  </si>
  <si>
    <t>2564920</t>
  </si>
  <si>
    <t>3142923</t>
  </si>
  <si>
    <t>2749771</t>
  </si>
  <si>
    <t>3720962</t>
  </si>
  <si>
    <t>4455934</t>
  </si>
  <si>
    <t>1097614</t>
  </si>
  <si>
    <t>2022527</t>
  </si>
  <si>
    <t>3006553</t>
  </si>
  <si>
    <t>3546651</t>
  </si>
  <si>
    <t>4195908</t>
  </si>
  <si>
    <t>4276418</t>
  </si>
  <si>
    <t>3480115</t>
  </si>
  <si>
    <t>2766987</t>
  </si>
  <si>
    <t>2894683</t>
  </si>
  <si>
    <t>4861913</t>
  </si>
  <si>
    <t>2018251</t>
  </si>
  <si>
    <t>4979070</t>
  </si>
  <si>
    <t>3696802</t>
  </si>
  <si>
    <t>2983913</t>
  </si>
  <si>
    <t>2119263</t>
  </si>
  <si>
    <t>4106277</t>
  </si>
  <si>
    <t>2581239</t>
  </si>
  <si>
    <t>4591356</t>
  </si>
  <si>
    <t>2837392</t>
  </si>
  <si>
    <t>3964043</t>
  </si>
  <si>
    <t>4808164</t>
  </si>
  <si>
    <t>1539988</t>
  </si>
  <si>
    <t>4347332</t>
  </si>
  <si>
    <t>2827129</t>
  </si>
  <si>
    <t>3946958</t>
  </si>
  <si>
    <t>2471699</t>
  </si>
  <si>
    <t>1805436</t>
  </si>
  <si>
    <t>4203975</t>
  </si>
  <si>
    <t>3353616</t>
  </si>
  <si>
    <t>4721659</t>
  </si>
  <si>
    <t>4841835</t>
  </si>
  <si>
    <t>3916014</t>
  </si>
  <si>
    <t>2122332</t>
  </si>
  <si>
    <t>3609023</t>
  </si>
  <si>
    <t>2680880</t>
  </si>
  <si>
    <t>4326275</t>
  </si>
  <si>
    <t>4000463</t>
  </si>
  <si>
    <t>4047605</t>
  </si>
  <si>
    <t>2126772</t>
  </si>
  <si>
    <t>2423275</t>
  </si>
  <si>
    <t>3392974</t>
  </si>
  <si>
    <t>3754867</t>
  </si>
  <si>
    <t>3314774</t>
  </si>
  <si>
    <t>1302878</t>
  </si>
  <si>
    <t>2940373</t>
  </si>
  <si>
    <t>1714989</t>
  </si>
  <si>
    <t>1117491</t>
  </si>
  <si>
    <t>2955096</t>
  </si>
  <si>
    <t>4083956</t>
  </si>
  <si>
    <t>2983311</t>
  </si>
  <si>
    <t>4886699</t>
  </si>
  <si>
    <t>4600686</t>
  </si>
  <si>
    <t>4427341</t>
  </si>
  <si>
    <t>3265494</t>
  </si>
  <si>
    <t>2533540</t>
  </si>
  <si>
    <t>4448127</t>
  </si>
  <si>
    <t>4429749</t>
  </si>
  <si>
    <t>3017739</t>
  </si>
  <si>
    <t>4460762</t>
  </si>
  <si>
    <t>2667886</t>
  </si>
  <si>
    <t>3192587</t>
  </si>
  <si>
    <t>3062506</t>
  </si>
  <si>
    <t>2769240</t>
  </si>
  <si>
    <t>1910942</t>
  </si>
  <si>
    <t>3872690</t>
  </si>
  <si>
    <t>4169692</t>
  </si>
  <si>
    <t>3019566</t>
  </si>
  <si>
    <t>2845371</t>
  </si>
  <si>
    <t>9780380</t>
  </si>
  <si>
    <t>9785711</t>
  </si>
  <si>
    <t>9781492</t>
  </si>
  <si>
    <t>9783920</t>
  </si>
  <si>
    <t>9784234</t>
  </si>
  <si>
    <t>9780400</t>
  </si>
  <si>
    <t>9780407</t>
  </si>
  <si>
    <t>9785181</t>
  </si>
  <si>
    <t>9785252</t>
  </si>
  <si>
    <t>9789132</t>
  </si>
  <si>
    <t>9786053</t>
  </si>
  <si>
    <t>3525196</t>
  </si>
  <si>
    <t>1958223</t>
  </si>
  <si>
    <t>9788976</t>
  </si>
  <si>
    <t>9788829</t>
  </si>
  <si>
    <t>9790231</t>
  </si>
  <si>
    <t>9790180</t>
  </si>
  <si>
    <t>9785116</t>
  </si>
  <si>
    <t>9781543</t>
  </si>
  <si>
    <t>9784818</t>
  </si>
  <si>
    <t>9780829</t>
  </si>
  <si>
    <t>9786626</t>
  </si>
  <si>
    <t>9781623</t>
  </si>
  <si>
    <t>9781458</t>
  </si>
  <si>
    <t>9781776</t>
  </si>
  <si>
    <t>3000814</t>
  </si>
  <si>
    <t>9784812</t>
  </si>
  <si>
    <t>9793995</t>
  </si>
  <si>
    <t>9790244</t>
  </si>
  <si>
    <t>4915401</t>
  </si>
  <si>
    <t>9795151</t>
  </si>
  <si>
    <t>9796732</t>
  </si>
  <si>
    <t>9797709</t>
  </si>
  <si>
    <t>9790307</t>
  </si>
  <si>
    <t>9791083</t>
  </si>
  <si>
    <t>9793004</t>
  </si>
  <si>
    <t>9792651</t>
  </si>
  <si>
    <t>9796796</t>
  </si>
  <si>
    <t>9796952</t>
  </si>
  <si>
    <t>9792576</t>
  </si>
  <si>
    <t>9792424</t>
  </si>
  <si>
    <t>9797610</t>
  </si>
  <si>
    <t>9789784</t>
  </si>
  <si>
    <t>9797377</t>
  </si>
  <si>
    <t>9789698</t>
  </si>
  <si>
    <t>9792737</t>
  </si>
  <si>
    <t>4222906</t>
  </si>
  <si>
    <t>9798377</t>
  </si>
  <si>
    <t>9799504</t>
  </si>
  <si>
    <t>9799336</t>
  </si>
  <si>
    <t>9799847</t>
  </si>
  <si>
    <t>9802781</t>
  </si>
  <si>
    <t>9806141</t>
  </si>
  <si>
    <t>9799998</t>
  </si>
  <si>
    <t>9807298</t>
  </si>
  <si>
    <t>9804671</t>
  </si>
  <si>
    <t>3561878</t>
  </si>
  <si>
    <t>9807378</t>
  </si>
  <si>
    <t>9802034</t>
  </si>
  <si>
    <t>9806820</t>
  </si>
  <si>
    <t>1037167</t>
  </si>
  <si>
    <t>9807213</t>
  </si>
  <si>
    <t>9803316</t>
  </si>
  <si>
    <t>9803906</t>
  </si>
  <si>
    <t>9799315</t>
  </si>
  <si>
    <t>9803779</t>
  </si>
  <si>
    <t>9799734</t>
  </si>
  <si>
    <t>9803928</t>
  </si>
  <si>
    <t>9805927</t>
  </si>
  <si>
    <t>1015069</t>
  </si>
  <si>
    <t>9821243</t>
  </si>
  <si>
    <t>9813339</t>
  </si>
  <si>
    <t>9815159</t>
  </si>
  <si>
    <t>9807983</t>
  </si>
  <si>
    <t>9809862</t>
  </si>
  <si>
    <t>9815280</t>
  </si>
  <si>
    <t>9815700</t>
  </si>
  <si>
    <t>9815164</t>
  </si>
  <si>
    <t>9814547</t>
  </si>
  <si>
    <t>9816531</t>
  </si>
  <si>
    <t>2250298</t>
  </si>
  <si>
    <t>9818807</t>
  </si>
  <si>
    <t>9819499</t>
  </si>
  <si>
    <t>9810205</t>
  </si>
  <si>
    <t>9815775</t>
  </si>
  <si>
    <t>9820001</t>
  </si>
  <si>
    <t>9807980</t>
  </si>
  <si>
    <t>9815811</t>
  </si>
  <si>
    <t>9812186</t>
  </si>
  <si>
    <t>9821503</t>
  </si>
  <si>
    <t>9815740</t>
  </si>
  <si>
    <t>9821400</t>
  </si>
  <si>
    <t>9810302</t>
  </si>
  <si>
    <t>9809556</t>
  </si>
  <si>
    <t>9809675</t>
  </si>
  <si>
    <t>9831522</t>
  </si>
  <si>
    <t>9822895</t>
  </si>
  <si>
    <t>9827751</t>
  </si>
  <si>
    <t>4299541</t>
  </si>
  <si>
    <t>3915220</t>
  </si>
  <si>
    <t>9823912</t>
  </si>
  <si>
    <t>9822223</t>
  </si>
  <si>
    <t>9826487</t>
  </si>
  <si>
    <t>9826933</t>
  </si>
  <si>
    <t>9828955</t>
  </si>
  <si>
    <t>9827908</t>
  </si>
  <si>
    <t>9829339</t>
  </si>
  <si>
    <t>1930483</t>
  </si>
  <si>
    <t>9824883</t>
  </si>
  <si>
    <t>4570624</t>
  </si>
  <si>
    <t>9830626</t>
  </si>
  <si>
    <t>6685445</t>
  </si>
  <si>
    <t>9830099</t>
  </si>
  <si>
    <t>9824289</t>
  </si>
  <si>
    <t>9824032</t>
  </si>
  <si>
    <t>9830381</t>
  </si>
  <si>
    <t>9825119</t>
  </si>
  <si>
    <t>9831700</t>
  </si>
  <si>
    <t>9833644</t>
  </si>
  <si>
    <t>9836079</t>
  </si>
  <si>
    <t>9836530</t>
  </si>
  <si>
    <t>9838117</t>
  </si>
  <si>
    <t>9836598</t>
  </si>
  <si>
    <t>9837496</t>
  </si>
  <si>
    <t>9837653</t>
  </si>
  <si>
    <t>9836535</t>
  </si>
  <si>
    <t>9836086</t>
  </si>
  <si>
    <t>9832976</t>
  </si>
  <si>
    <t>2232073</t>
  </si>
  <si>
    <t>9834366</t>
  </si>
  <si>
    <t>9835327</t>
  </si>
  <si>
    <t>9834580</t>
  </si>
  <si>
    <t>9836240</t>
  </si>
  <si>
    <t>4171050</t>
  </si>
  <si>
    <t>9832573</t>
  </si>
  <si>
    <t>9836300</t>
  </si>
  <si>
    <t>9836951</t>
  </si>
  <si>
    <t>9831469</t>
  </si>
  <si>
    <t>9832429</t>
  </si>
  <si>
    <t>9833346</t>
  </si>
  <si>
    <t>9835136</t>
  </si>
  <si>
    <t>9836088</t>
  </si>
  <si>
    <t>9838761</t>
  </si>
  <si>
    <t>9842459</t>
  </si>
  <si>
    <t>9840710</t>
  </si>
  <si>
    <t>9845207</t>
  </si>
  <si>
    <t>9849005</t>
  </si>
  <si>
    <t>9848717</t>
  </si>
  <si>
    <t>1574175</t>
  </si>
  <si>
    <t>9839501</t>
  </si>
  <si>
    <t>9841419</t>
  </si>
  <si>
    <t>9842501</t>
  </si>
  <si>
    <t>1763698</t>
  </si>
  <si>
    <t>9842394</t>
  </si>
  <si>
    <t>9839670</t>
  </si>
  <si>
    <t>9839813</t>
  </si>
  <si>
    <t>8654169</t>
  </si>
  <si>
    <t>9839288</t>
  </si>
  <si>
    <t>9841370</t>
  </si>
  <si>
    <t>9847594</t>
  </si>
  <si>
    <t>9844223</t>
  </si>
  <si>
    <t>9838499</t>
  </si>
  <si>
    <t>9839059</t>
  </si>
  <si>
    <t>9842463</t>
  </si>
  <si>
    <t>9841578</t>
  </si>
  <si>
    <t>3984474</t>
  </si>
  <si>
    <t>2303546</t>
  </si>
  <si>
    <t>9851076</t>
  </si>
  <si>
    <t>9851739</t>
  </si>
  <si>
    <t>9852207</t>
  </si>
  <si>
    <t>9852538</t>
  </si>
  <si>
    <t>9854566</t>
  </si>
  <si>
    <t>9852989</t>
  </si>
  <si>
    <t>9850080</t>
  </si>
  <si>
    <t>9855755</t>
  </si>
  <si>
    <t>9857294</t>
  </si>
  <si>
    <t>9857089</t>
  </si>
  <si>
    <t>9858097</t>
  </si>
  <si>
    <t>9851857</t>
  </si>
  <si>
    <t>9856259</t>
  </si>
  <si>
    <t>9849834</t>
  </si>
  <si>
    <t>9853446</t>
  </si>
  <si>
    <t>9850863</t>
  </si>
  <si>
    <t>9854457</t>
  </si>
  <si>
    <t>9854376</t>
  </si>
  <si>
    <t>9857319</t>
  </si>
  <si>
    <t>9861199</t>
  </si>
  <si>
    <t>9869302</t>
  </si>
  <si>
    <t>9870629</t>
  </si>
  <si>
    <t>9872456</t>
  </si>
  <si>
    <t>9866966</t>
  </si>
  <si>
    <t>9873682</t>
  </si>
  <si>
    <t>9865876</t>
  </si>
  <si>
    <t>9867278</t>
  </si>
  <si>
    <t>940278</t>
  </si>
  <si>
    <t>9863018</t>
  </si>
  <si>
    <t>9873706</t>
  </si>
  <si>
    <t>9871185</t>
  </si>
  <si>
    <t>9868162</t>
  </si>
  <si>
    <t>9874377</t>
  </si>
  <si>
    <t>9864356</t>
  </si>
  <si>
    <t>3069417</t>
  </si>
  <si>
    <t>9859173</t>
  </si>
  <si>
    <t>4027276</t>
  </si>
  <si>
    <t>9861428</t>
  </si>
  <si>
    <t>9867328</t>
  </si>
  <si>
    <t>9866675</t>
  </si>
  <si>
    <t>4937646</t>
  </si>
  <si>
    <t>9866183</t>
  </si>
  <si>
    <t>9859656</t>
  </si>
  <si>
    <t>2759394</t>
  </si>
  <si>
    <t>1982746</t>
  </si>
  <si>
    <t>9876023</t>
  </si>
  <si>
    <t>9875486</t>
  </si>
  <si>
    <t>9875660</t>
  </si>
  <si>
    <t>9875467</t>
  </si>
  <si>
    <t>9877925</t>
  </si>
  <si>
    <t>9883885</t>
  </si>
  <si>
    <t>9887760</t>
  </si>
  <si>
    <t>9889246</t>
  </si>
  <si>
    <t>9879359</t>
  </si>
  <si>
    <t>9877541</t>
  </si>
  <si>
    <t>9902367</t>
  </si>
  <si>
    <t>9907472</t>
  </si>
  <si>
    <t>365373</t>
  </si>
  <si>
    <t>3655861</t>
  </si>
  <si>
    <t>9887646</t>
  </si>
  <si>
    <t>9888740</t>
  </si>
  <si>
    <t>9877943</t>
  </si>
  <si>
    <t>9881471</t>
  </si>
  <si>
    <t>9886327</t>
  </si>
  <si>
    <t>2439936</t>
  </si>
  <si>
    <t>1932899</t>
  </si>
  <si>
    <t>2089952</t>
  </si>
  <si>
    <t>4148547</t>
  </si>
  <si>
    <t>4972111</t>
  </si>
  <si>
    <t>3415512</t>
  </si>
  <si>
    <t>2845861</t>
  </si>
  <si>
    <t>2217531</t>
  </si>
  <si>
    <t>3958656</t>
  </si>
  <si>
    <t>2181444</t>
  </si>
  <si>
    <t>2799456</t>
  </si>
  <si>
    <t>4675677</t>
  </si>
  <si>
    <t>2044554</t>
  </si>
  <si>
    <t>2009694</t>
  </si>
  <si>
    <t>4799418</t>
  </si>
  <si>
    <t>2273364</t>
  </si>
  <si>
    <t>1595500</t>
  </si>
  <si>
    <t>4905378</t>
  </si>
  <si>
    <t>4626806</t>
  </si>
  <si>
    <t>1801722</t>
  </si>
  <si>
    <t>4844953</t>
  </si>
  <si>
    <t>2320991</t>
  </si>
  <si>
    <t>2649937</t>
  </si>
  <si>
    <t>2561029</t>
  </si>
  <si>
    <t>2269840</t>
  </si>
  <si>
    <t>2094015</t>
  </si>
  <si>
    <t>4294419</t>
  </si>
  <si>
    <t>3478408</t>
  </si>
  <si>
    <t>2500979</t>
  </si>
  <si>
    <t>3599762</t>
  </si>
  <si>
    <t>1655741</t>
  </si>
  <si>
    <t>2938414</t>
  </si>
  <si>
    <t>2132544</t>
  </si>
  <si>
    <t>3485346</t>
  </si>
  <si>
    <t>4045394</t>
  </si>
  <si>
    <t>2173106</t>
  </si>
  <si>
    <t>3520780</t>
  </si>
  <si>
    <t>2500527</t>
  </si>
  <si>
    <t>4834849</t>
  </si>
  <si>
    <t>1648068</t>
  </si>
  <si>
    <t>3878710</t>
  </si>
  <si>
    <t>2165555</t>
  </si>
  <si>
    <t>4261528</t>
  </si>
  <si>
    <t>3189134</t>
  </si>
  <si>
    <t>2017861</t>
  </si>
  <si>
    <t>2564742</t>
  </si>
  <si>
    <t>1864889</t>
  </si>
  <si>
    <t>3158767</t>
  </si>
  <si>
    <t>4001262</t>
  </si>
  <si>
    <t>3010031</t>
  </si>
  <si>
    <t>2461682</t>
  </si>
  <si>
    <t>2171480</t>
  </si>
  <si>
    <t>3157155</t>
  </si>
  <si>
    <t>3538600</t>
  </si>
  <si>
    <t>1760617</t>
  </si>
  <si>
    <t>2778373</t>
  </si>
  <si>
    <t>3566009</t>
  </si>
  <si>
    <t>1603010</t>
  </si>
  <si>
    <t>4847945</t>
  </si>
  <si>
    <t>3031087</t>
  </si>
  <si>
    <t>4214767</t>
  </si>
  <si>
    <t>3301494</t>
  </si>
  <si>
    <t>3094228</t>
  </si>
  <si>
    <t>2462472</t>
  </si>
  <si>
    <t>4475370</t>
  </si>
  <si>
    <t>4586361</t>
  </si>
  <si>
    <t>3668233</t>
  </si>
  <si>
    <t>4099936</t>
  </si>
  <si>
    <t>3048215</t>
  </si>
  <si>
    <t>2803956</t>
  </si>
  <si>
    <t>4334446</t>
  </si>
  <si>
    <t>3273845</t>
  </si>
  <si>
    <t>3929709</t>
  </si>
  <si>
    <t>3110987</t>
  </si>
  <si>
    <t>2684950</t>
  </si>
  <si>
    <t>2220266</t>
  </si>
  <si>
    <t>3419566</t>
  </si>
  <si>
    <t>2511725</t>
  </si>
  <si>
    <t>4767390</t>
  </si>
  <si>
    <t>3176532</t>
  </si>
  <si>
    <t>3413261</t>
  </si>
  <si>
    <t>2219820</t>
  </si>
  <si>
    <t>3586118</t>
  </si>
  <si>
    <t>2977167</t>
  </si>
  <si>
    <t>9767383</t>
  </si>
  <si>
    <t>9060867</t>
  </si>
  <si>
    <t>9661806</t>
  </si>
  <si>
    <t>3487672</t>
  </si>
  <si>
    <t>9597196</t>
  </si>
  <si>
    <t>9683901</t>
  </si>
  <si>
    <t>9854487</t>
  </si>
  <si>
    <t>1653686</t>
  </si>
  <si>
    <t>9509143</t>
  </si>
  <si>
    <t>9542517</t>
  </si>
  <si>
    <t>9641886</t>
  </si>
  <si>
    <t>9758680</t>
  </si>
  <si>
    <t>9714666</t>
  </si>
  <si>
    <t>9875926</t>
  </si>
  <si>
    <t>9663606</t>
  </si>
  <si>
    <t>9448243</t>
  </si>
  <si>
    <t>2032850</t>
  </si>
  <si>
    <t>9593520</t>
  </si>
  <si>
    <t>3138499</t>
  </si>
  <si>
    <t>9760741</t>
  </si>
  <si>
    <t>3047489</t>
  </si>
  <si>
    <t>9568130</t>
  </si>
  <si>
    <t>9604639</t>
  </si>
  <si>
    <t>9672737</t>
  </si>
  <si>
    <t>9566915</t>
  </si>
  <si>
    <t>3003871</t>
  </si>
  <si>
    <t>2974131</t>
  </si>
  <si>
    <t>1872739</t>
  </si>
  <si>
    <t>2191441</t>
  </si>
  <si>
    <t>2290765</t>
  </si>
  <si>
    <t>3476714</t>
  </si>
  <si>
    <t>4876481</t>
  </si>
  <si>
    <t>4698294</t>
  </si>
  <si>
    <t>2301515</t>
  </si>
  <si>
    <t>3975893</t>
  </si>
  <si>
    <t>3536797</t>
  </si>
  <si>
    <t>4966995</t>
  </si>
  <si>
    <t>2766140</t>
  </si>
  <si>
    <t>2928884</t>
  </si>
  <si>
    <t>3997826</t>
  </si>
  <si>
    <t>2407719</t>
  </si>
  <si>
    <t>1703349</t>
  </si>
  <si>
    <t>2305829</t>
  </si>
  <si>
    <t>3947084</t>
  </si>
  <si>
    <t>2643875</t>
  </si>
  <si>
    <t>2781821</t>
  </si>
  <si>
    <t>3710949</t>
  </si>
  <si>
    <t>1960354</t>
  </si>
  <si>
    <t>3129629</t>
  </si>
  <si>
    <t>2798322</t>
  </si>
  <si>
    <t>1998502</t>
  </si>
  <si>
    <t>2540394</t>
  </si>
  <si>
    <t>2531887</t>
  </si>
  <si>
    <t>2962213</t>
  </si>
  <si>
    <t>2726674</t>
  </si>
  <si>
    <t>4207701</t>
  </si>
  <si>
    <t>4716184</t>
  </si>
  <si>
    <t>3828752</t>
  </si>
  <si>
    <t>4971093</t>
  </si>
  <si>
    <t>3055103</t>
  </si>
  <si>
    <t>2799827</t>
  </si>
  <si>
    <t>2050439</t>
  </si>
  <si>
    <t>4593369</t>
  </si>
  <si>
    <t>3705677</t>
  </si>
  <si>
    <t>2985810</t>
  </si>
  <si>
    <t>3366288</t>
  </si>
  <si>
    <t>1716962</t>
  </si>
  <si>
    <t>1706238</t>
  </si>
  <si>
    <t>3564186</t>
  </si>
  <si>
    <t>3637202</t>
  </si>
  <si>
    <t>3748553</t>
  </si>
  <si>
    <t>2901183</t>
  </si>
  <si>
    <t>4624877</t>
  </si>
  <si>
    <t>2151485</t>
  </si>
  <si>
    <t>4706976</t>
  </si>
  <si>
    <t>2470674</t>
  </si>
  <si>
    <t>3150331</t>
  </si>
  <si>
    <t>2473496</t>
  </si>
  <si>
    <t>2994844</t>
  </si>
  <si>
    <t>1161546</t>
  </si>
  <si>
    <t>3592021</t>
  </si>
  <si>
    <t>2859198</t>
  </si>
  <si>
    <t>4117313</t>
  </si>
  <si>
    <t>3403339</t>
  </si>
  <si>
    <t>3786584</t>
  </si>
  <si>
    <t>4281548</t>
  </si>
  <si>
    <t>1879050</t>
  </si>
  <si>
    <t>2499492</t>
  </si>
  <si>
    <t>2235219</t>
  </si>
  <si>
    <t>2871573</t>
  </si>
  <si>
    <t>4015223</t>
  </si>
  <si>
    <t>3319066</t>
  </si>
  <si>
    <t>3207332</t>
  </si>
  <si>
    <t>1551262</t>
  </si>
  <si>
    <t>2798090</t>
  </si>
  <si>
    <t>914899</t>
  </si>
  <si>
    <t>4326323</t>
  </si>
  <si>
    <t>3034550</t>
  </si>
  <si>
    <t>1769354</t>
  </si>
  <si>
    <t>3962755</t>
  </si>
  <si>
    <t>4790000</t>
  </si>
  <si>
    <t>2612530</t>
  </si>
  <si>
    <t>4890078</t>
  </si>
  <si>
    <t>3984478</t>
  </si>
  <si>
    <t>2824748</t>
  </si>
  <si>
    <t>2232254</t>
  </si>
  <si>
    <t>3537547</t>
  </si>
  <si>
    <t>3550380</t>
  </si>
  <si>
    <t>4848063</t>
  </si>
  <si>
    <t>4234333</t>
  </si>
  <si>
    <t>2874418</t>
  </si>
  <si>
    <t>1679788</t>
  </si>
  <si>
    <t>1688837</t>
  </si>
  <si>
    <t>3039380</t>
  </si>
  <si>
    <t>2920109</t>
  </si>
  <si>
    <t>3557801</t>
  </si>
  <si>
    <t>3865585</t>
  </si>
  <si>
    <t>4634146</t>
  </si>
  <si>
    <t>2691802</t>
  </si>
  <si>
    <t>4679259</t>
  </si>
  <si>
    <t>2641785</t>
  </si>
  <si>
    <t>2447988</t>
  </si>
  <si>
    <t>4194619</t>
  </si>
  <si>
    <t>2847521</t>
  </si>
  <si>
    <t>4186278</t>
  </si>
  <si>
    <t>921106</t>
  </si>
  <si>
    <t>4194814</t>
  </si>
  <si>
    <t>1768375</t>
  </si>
  <si>
    <t>4621820</t>
  </si>
  <si>
    <t>2690823</t>
  </si>
  <si>
    <t>3558145</t>
  </si>
  <si>
    <t>4382975</t>
  </si>
  <si>
    <t>1795422</t>
  </si>
  <si>
    <t>3479259</t>
  </si>
  <si>
    <t>3371643</t>
  </si>
  <si>
    <t>10746859</t>
  </si>
  <si>
    <t>10406237</t>
  </si>
  <si>
    <t>10236447</t>
  </si>
  <si>
    <t>11093709</t>
  </si>
  <si>
    <t>10033248</t>
  </si>
  <si>
    <t>10030497</t>
  </si>
  <si>
    <t>10383011</t>
  </si>
  <si>
    <t>10689760</t>
  </si>
  <si>
    <t>4360690</t>
  </si>
  <si>
    <t>2195333</t>
  </si>
  <si>
    <t>2316858</t>
  </si>
  <si>
    <t>4817911</t>
  </si>
  <si>
    <t>2006986</t>
  </si>
  <si>
    <t>80.0</t>
  </si>
  <si>
    <t>2440245</t>
  </si>
  <si>
    <t>3084824</t>
  </si>
  <si>
    <t>2581744</t>
  </si>
  <si>
    <t>3964416</t>
  </si>
  <si>
    <t>4844095</t>
  </si>
  <si>
    <t>1986573</t>
  </si>
  <si>
    <t>4840898</t>
  </si>
  <si>
    <t>2549531</t>
  </si>
  <si>
    <t>2314379</t>
  </si>
  <si>
    <t>3399532</t>
  </si>
  <si>
    <t>3266480</t>
  </si>
  <si>
    <t>3164928</t>
  </si>
  <si>
    <t>4278459</t>
  </si>
  <si>
    <t>4108572</t>
  </si>
  <si>
    <t>4097480</t>
  </si>
  <si>
    <t>3495989</t>
  </si>
  <si>
    <t>1830326</t>
  </si>
  <si>
    <t>3577192</t>
  </si>
  <si>
    <t>4815518</t>
  </si>
  <si>
    <t>3371911</t>
  </si>
  <si>
    <t>2993229</t>
  </si>
  <si>
    <t>90.0</t>
  </si>
  <si>
    <t>2787909</t>
  </si>
  <si>
    <t>4882144</t>
  </si>
  <si>
    <t>110.0</t>
  </si>
  <si>
    <t>2107379</t>
  </si>
  <si>
    <t>3006694</t>
  </si>
  <si>
    <t>3888370</t>
  </si>
  <si>
    <t>1995116</t>
  </si>
  <si>
    <t>3042483</t>
  </si>
  <si>
    <t>3893499</t>
  </si>
  <si>
    <t>3310664</t>
  </si>
  <si>
    <t>2155669</t>
  </si>
  <si>
    <t>2195366</t>
  </si>
  <si>
    <t>4077538</t>
  </si>
  <si>
    <t>3584387</t>
  </si>
  <si>
    <t>1936087</t>
  </si>
  <si>
    <t>4210227</t>
  </si>
  <si>
    <t>3163507</t>
  </si>
  <si>
    <t>2472295</t>
  </si>
  <si>
    <t>4892191</t>
  </si>
  <si>
    <t>3982598</t>
  </si>
  <si>
    <t>2660553</t>
  </si>
  <si>
    <t>3662431</t>
  </si>
  <si>
    <t>3267308</t>
  </si>
  <si>
    <t>4660005</t>
  </si>
  <si>
    <t>4851918</t>
  </si>
  <si>
    <t>3091921</t>
  </si>
  <si>
    <t>3502125</t>
  </si>
  <si>
    <t>4382915</t>
  </si>
  <si>
    <t>4356673</t>
  </si>
  <si>
    <t>3657839</t>
  </si>
  <si>
    <t>2338738</t>
  </si>
  <si>
    <t>3337691</t>
  </si>
  <si>
    <t>2808354</t>
  </si>
  <si>
    <t>1647864</t>
  </si>
  <si>
    <t>3735789</t>
  </si>
  <si>
    <t>2746086</t>
  </si>
  <si>
    <t>1757444</t>
  </si>
  <si>
    <t>3545173</t>
  </si>
  <si>
    <t>4929246</t>
  </si>
  <si>
    <t>4572203</t>
  </si>
  <si>
    <t>3284217</t>
  </si>
  <si>
    <t>2077825</t>
  </si>
  <si>
    <t>4255403</t>
  </si>
  <si>
    <t>3563157</t>
  </si>
  <si>
    <t>2833766</t>
  </si>
  <si>
    <t>1655737</t>
  </si>
  <si>
    <t>2639150</t>
  </si>
  <si>
    <t>3466752</t>
  </si>
  <si>
    <t>279918</t>
  </si>
  <si>
    <t>4255410</t>
  </si>
  <si>
    <t>3863978</t>
  </si>
  <si>
    <t>3468435</t>
  </si>
  <si>
    <t>4717560</t>
  </si>
  <si>
    <t>416182</t>
  </si>
  <si>
    <t>3196713</t>
  </si>
  <si>
    <t>2992923</t>
  </si>
  <si>
    <t>4310946</t>
  </si>
  <si>
    <t>2664782</t>
  </si>
  <si>
    <t>140.0</t>
  </si>
  <si>
    <t>3705345</t>
  </si>
  <si>
    <t>5200445</t>
  </si>
  <si>
    <t>2085340</t>
  </si>
  <si>
    <t>2135467</t>
  </si>
  <si>
    <t>3887414</t>
  </si>
  <si>
    <t>2485358</t>
  </si>
  <si>
    <t>4892249</t>
  </si>
  <si>
    <t>4434556</t>
  </si>
  <si>
    <t>3220475</t>
  </si>
  <si>
    <t>4278400</t>
  </si>
  <si>
    <t>3125076</t>
  </si>
  <si>
    <t>5976660</t>
  </si>
  <si>
    <t>4192476</t>
  </si>
  <si>
    <t>4934231</t>
  </si>
  <si>
    <t>6017145</t>
  </si>
  <si>
    <t>2211683</t>
  </si>
  <si>
    <t>1934492</t>
  </si>
  <si>
    <t>1975131</t>
  </si>
  <si>
    <t>4867883</t>
  </si>
  <si>
    <t>4878182</t>
  </si>
  <si>
    <t>4460731</t>
  </si>
  <si>
    <t>2643286</t>
  </si>
  <si>
    <t>4889254</t>
  </si>
  <si>
    <t>4061887</t>
  </si>
  <si>
    <t>6148990</t>
  </si>
  <si>
    <t>2654966</t>
  </si>
  <si>
    <t>3575531</t>
  </si>
  <si>
    <t>4976728</t>
  </si>
  <si>
    <t>1702350</t>
  </si>
  <si>
    <t>3953617</t>
  </si>
  <si>
    <t>4664689</t>
  </si>
  <si>
    <t>4559071</t>
  </si>
  <si>
    <t>3811164</t>
  </si>
  <si>
    <t>4523988</t>
  </si>
  <si>
    <t>2790029</t>
  </si>
  <si>
    <t>5028481</t>
  </si>
  <si>
    <t>8704796</t>
  </si>
  <si>
    <t>3420411</t>
  </si>
  <si>
    <t>3835596</t>
  </si>
  <si>
    <t>2110501</t>
  </si>
  <si>
    <t>2295106</t>
  </si>
  <si>
    <t>4346242</t>
  </si>
  <si>
    <t>1891885</t>
  </si>
  <si>
    <t>4949624</t>
  </si>
  <si>
    <t>4830507</t>
  </si>
  <si>
    <t>3399393</t>
  </si>
  <si>
    <t>8757234</t>
  </si>
  <si>
    <t>6738700</t>
  </si>
  <si>
    <t>1859865</t>
  </si>
  <si>
    <t>1627504</t>
  </si>
  <si>
    <t>8717066</t>
  </si>
  <si>
    <t>1800399</t>
  </si>
  <si>
    <t>3184131</t>
  </si>
  <si>
    <t>8913235</t>
  </si>
  <si>
    <t>2846816</t>
  </si>
  <si>
    <t>3182646</t>
  </si>
  <si>
    <t>2125116</t>
  </si>
  <si>
    <t>4031278</t>
  </si>
  <si>
    <t>2909991</t>
  </si>
  <si>
    <t>298673</t>
  </si>
  <si>
    <t>2568533</t>
  </si>
  <si>
    <t>8530821</t>
  </si>
  <si>
    <t>4340605</t>
  </si>
  <si>
    <t>3890349</t>
  </si>
  <si>
    <t>1328916</t>
  </si>
  <si>
    <t>3066715</t>
  </si>
  <si>
    <t>1810147</t>
  </si>
  <si>
    <t>2855734</t>
  </si>
  <si>
    <t>3950252</t>
  </si>
  <si>
    <t>2701929</t>
  </si>
  <si>
    <t>3977711</t>
  </si>
  <si>
    <t>8592832</t>
  </si>
  <si>
    <t>4681042</t>
  </si>
  <si>
    <t>324688</t>
  </si>
  <si>
    <t>3333889</t>
  </si>
  <si>
    <t>2286861</t>
  </si>
  <si>
    <t>3585247</t>
  </si>
  <si>
    <t>3301008</t>
  </si>
  <si>
    <t>3793873</t>
  </si>
  <si>
    <t>2848064</t>
  </si>
  <si>
    <t>4641824</t>
  </si>
  <si>
    <t>4852013</t>
  </si>
  <si>
    <t>4899051</t>
  </si>
  <si>
    <t>2506376</t>
  </si>
  <si>
    <t>2078149</t>
  </si>
  <si>
    <t>1586180</t>
  </si>
  <si>
    <t>2168708</t>
  </si>
  <si>
    <t>2611289</t>
  </si>
  <si>
    <t>1709820</t>
  </si>
  <si>
    <t>3954996</t>
  </si>
  <si>
    <t>3401865</t>
  </si>
  <si>
    <t>2182110</t>
  </si>
  <si>
    <t>2463082</t>
  </si>
  <si>
    <t>1544465</t>
  </si>
  <si>
    <t>4423838</t>
  </si>
  <si>
    <t>4912943</t>
  </si>
  <si>
    <t>2424258</t>
  </si>
  <si>
    <t>3458913</t>
  </si>
  <si>
    <t>4491474</t>
  </si>
  <si>
    <t>2260192</t>
  </si>
  <si>
    <t>2457796</t>
  </si>
  <si>
    <t>2510282</t>
  </si>
  <si>
    <t>3618048</t>
  </si>
  <si>
    <t>3442394</t>
  </si>
  <si>
    <t>4923216</t>
  </si>
  <si>
    <t>4441503</t>
  </si>
  <si>
    <t>2304617</t>
  </si>
  <si>
    <t>4716914</t>
  </si>
  <si>
    <t>1720347</t>
  </si>
  <si>
    <t>3240308</t>
  </si>
  <si>
    <t>3029402</t>
  </si>
  <si>
    <t>4084754</t>
  </si>
  <si>
    <t>4760814</t>
  </si>
  <si>
    <t>3214639</t>
  </si>
  <si>
    <t>130.0</t>
  </si>
  <si>
    <t>258948</t>
  </si>
  <si>
    <t>2837360</t>
  </si>
  <si>
    <t>1882368</t>
  </si>
  <si>
    <t>1684467</t>
  </si>
  <si>
    <t>3516822</t>
  </si>
  <si>
    <t>3537711</t>
  </si>
  <si>
    <t>2960737</t>
  </si>
  <si>
    <t>4947168</t>
  </si>
  <si>
    <t>4431627</t>
  </si>
  <si>
    <t>2159164</t>
  </si>
  <si>
    <t>2802181</t>
  </si>
  <si>
    <t>2452841</t>
  </si>
  <si>
    <t>3326553</t>
  </si>
  <si>
    <t>2560628</t>
  </si>
  <si>
    <t>1704364</t>
  </si>
  <si>
    <t>1676412</t>
  </si>
  <si>
    <t>4403874</t>
  </si>
  <si>
    <t>2216842</t>
  </si>
  <si>
    <t>3258536</t>
  </si>
  <si>
    <t>4426721</t>
  </si>
  <si>
    <t>4508630</t>
  </si>
  <si>
    <t>4166577</t>
  </si>
  <si>
    <t>4681634</t>
  </si>
  <si>
    <t>3579607</t>
  </si>
  <si>
    <t>2086648</t>
  </si>
  <si>
    <t>3451726</t>
  </si>
  <si>
    <t>3282797</t>
  </si>
  <si>
    <t>2782956</t>
  </si>
  <si>
    <t>3306307</t>
  </si>
  <si>
    <t>4371724</t>
  </si>
  <si>
    <t>2604271</t>
  </si>
  <si>
    <t>4491719</t>
  </si>
  <si>
    <t>2961666</t>
  </si>
  <si>
    <t>2673224</t>
  </si>
  <si>
    <t>2956391</t>
  </si>
  <si>
    <t>2538864</t>
  </si>
  <si>
    <t>3393397</t>
  </si>
  <si>
    <t>2053173</t>
  </si>
  <si>
    <t>3891729</t>
  </si>
  <si>
    <t>1914722</t>
  </si>
  <si>
    <t>4779382</t>
  </si>
  <si>
    <t>3481041</t>
  </si>
  <si>
    <t>2726842</t>
  </si>
  <si>
    <t>4489240</t>
  </si>
  <si>
    <t>1668765</t>
  </si>
  <si>
    <t>2618076</t>
  </si>
  <si>
    <t>1632252</t>
  </si>
  <si>
    <t>3893193</t>
  </si>
  <si>
    <t>2565097</t>
  </si>
  <si>
    <t>4460621</t>
  </si>
  <si>
    <t>3796702</t>
  </si>
  <si>
    <t>2458169</t>
  </si>
  <si>
    <t>2784187</t>
  </si>
  <si>
    <t>4551222</t>
  </si>
  <si>
    <t>4640251</t>
  </si>
  <si>
    <t>2324887</t>
  </si>
  <si>
    <t>4580906</t>
  </si>
  <si>
    <t>4080370</t>
  </si>
  <si>
    <t>2358377</t>
  </si>
  <si>
    <t>2957020</t>
  </si>
  <si>
    <t>2666806</t>
  </si>
  <si>
    <t>1578162</t>
  </si>
  <si>
    <t>4824253</t>
  </si>
  <si>
    <t>4092124</t>
  </si>
  <si>
    <t>4867306</t>
  </si>
  <si>
    <t>4339451</t>
  </si>
  <si>
    <t>4401359</t>
  </si>
  <si>
    <t>4351583</t>
  </si>
  <si>
    <t>3550613</t>
  </si>
  <si>
    <t>2682731</t>
  </si>
  <si>
    <t>2536732</t>
  </si>
  <si>
    <t>2481197</t>
  </si>
  <si>
    <t>3942400</t>
  </si>
  <si>
    <t>3221049</t>
  </si>
  <si>
    <t>2492860</t>
  </si>
  <si>
    <t>1621599</t>
  </si>
  <si>
    <t>4077344</t>
  </si>
  <si>
    <t>4268171</t>
  </si>
  <si>
    <t>3732683</t>
  </si>
  <si>
    <t>2732856</t>
  </si>
  <si>
    <t>3194693</t>
  </si>
  <si>
    <t>4596660</t>
  </si>
  <si>
    <t>4918630</t>
  </si>
  <si>
    <t>3452578</t>
  </si>
  <si>
    <t>3495063</t>
  </si>
  <si>
    <t>3008378</t>
  </si>
  <si>
    <t>1629027</t>
  </si>
  <si>
    <t>1735593</t>
  </si>
  <si>
    <t>3460732</t>
  </si>
  <si>
    <t>1914529</t>
  </si>
  <si>
    <t>1919888</t>
  </si>
  <si>
    <t>1798116</t>
  </si>
  <si>
    <t>3469410</t>
  </si>
  <si>
    <t>1647135</t>
  </si>
  <si>
    <t>3111743</t>
  </si>
  <si>
    <t>4312512</t>
  </si>
  <si>
    <t>2778041</t>
  </si>
  <si>
    <t>2056164</t>
  </si>
  <si>
    <t>4585461</t>
  </si>
  <si>
    <t>4765596</t>
  </si>
  <si>
    <t>4251445</t>
  </si>
  <si>
    <t>3496085</t>
  </si>
  <si>
    <t>2489701</t>
  </si>
  <si>
    <t>1660093</t>
  </si>
  <si>
    <t>3406941</t>
  </si>
  <si>
    <t>1680193</t>
  </si>
  <si>
    <t>2845703</t>
  </si>
  <si>
    <t>4563676</t>
  </si>
  <si>
    <t>4581686</t>
  </si>
  <si>
    <t>4768394</t>
  </si>
  <si>
    <t>4970891</t>
  </si>
  <si>
    <t>1576373</t>
  </si>
  <si>
    <t>2973583</t>
  </si>
  <si>
    <t>2783019</t>
  </si>
  <si>
    <t>2817427</t>
  </si>
  <si>
    <t>2793538</t>
  </si>
  <si>
    <t>2534698</t>
  </si>
  <si>
    <t>4984602</t>
  </si>
  <si>
    <t>3544160</t>
  </si>
  <si>
    <t>4520697</t>
  </si>
  <si>
    <t>4430842</t>
  </si>
  <si>
    <t>3576728</t>
  </si>
  <si>
    <t>4681633</t>
  </si>
  <si>
    <t>3067218</t>
  </si>
  <si>
    <t>4791557</t>
  </si>
  <si>
    <t>3254311</t>
  </si>
  <si>
    <t>1914804</t>
  </si>
  <si>
    <t>2142617</t>
  </si>
  <si>
    <t>4090885</t>
  </si>
  <si>
    <t>4907283</t>
  </si>
  <si>
    <t>3870799</t>
  </si>
  <si>
    <t>3444215</t>
  </si>
  <si>
    <t>2866603</t>
  </si>
  <si>
    <t>2832121</t>
  </si>
  <si>
    <t>2643465</t>
  </si>
  <si>
    <t>294928</t>
  </si>
  <si>
    <t>2551274</t>
  </si>
  <si>
    <t>1872301</t>
  </si>
  <si>
    <t>3668715</t>
  </si>
  <si>
    <t>150.0</t>
  </si>
  <si>
    <t>4203855</t>
  </si>
  <si>
    <t>2319234</t>
  </si>
  <si>
    <t>4968806</t>
  </si>
  <si>
    <t>3670606</t>
  </si>
  <si>
    <t>4089273</t>
  </si>
  <si>
    <t>3403781</t>
  </si>
  <si>
    <t>4211339</t>
  </si>
  <si>
    <t>2085001</t>
  </si>
  <si>
    <t>4293160</t>
  </si>
  <si>
    <t>4933132</t>
  </si>
  <si>
    <t>2377794</t>
  </si>
  <si>
    <t>2974435</t>
  </si>
  <si>
    <t>4674038</t>
  </si>
  <si>
    <t>4303960</t>
  </si>
  <si>
    <t>1552691</t>
  </si>
  <si>
    <t>3743094</t>
  </si>
  <si>
    <t>3818609</t>
  </si>
  <si>
    <t>4668312</t>
  </si>
  <si>
    <t>3716300</t>
  </si>
  <si>
    <t>3705509</t>
  </si>
  <si>
    <t>4267454</t>
  </si>
  <si>
    <t>2798401</t>
  </si>
  <si>
    <t>1684064</t>
  </si>
  <si>
    <t>1569394</t>
  </si>
  <si>
    <t>1607755</t>
  </si>
  <si>
    <t>3787846</t>
  </si>
  <si>
    <t>3541996</t>
  </si>
  <si>
    <t>4776608</t>
  </si>
  <si>
    <t>3674148</t>
  </si>
  <si>
    <t>4974524</t>
  </si>
  <si>
    <t>2119546</t>
  </si>
  <si>
    <t>3807634</t>
  </si>
  <si>
    <t>3956202</t>
  </si>
  <si>
    <t>1858333</t>
  </si>
  <si>
    <t>2693303</t>
  </si>
  <si>
    <t>4309615</t>
  </si>
  <si>
    <t>3562381</t>
  </si>
  <si>
    <t>4986627</t>
  </si>
  <si>
    <t>1871891</t>
  </si>
  <si>
    <t>3046631</t>
  </si>
  <si>
    <t>2559254</t>
  </si>
  <si>
    <t>4663629</t>
  </si>
  <si>
    <t>1689787</t>
  </si>
  <si>
    <t>3156584</t>
  </si>
  <si>
    <t>4130741</t>
  </si>
  <si>
    <t>3056339</t>
  </si>
  <si>
    <t>1971731</t>
  </si>
  <si>
    <t>4334757</t>
  </si>
  <si>
    <t>3155962</t>
  </si>
  <si>
    <t>1623281</t>
  </si>
  <si>
    <t>4013350</t>
  </si>
  <si>
    <t>4356910</t>
  </si>
  <si>
    <t>3986334</t>
  </si>
  <si>
    <t>4585030</t>
  </si>
  <si>
    <t>1962911</t>
  </si>
  <si>
    <t>1709336</t>
  </si>
  <si>
    <t>3760275</t>
  </si>
  <si>
    <t>2036899</t>
  </si>
  <si>
    <t>4770553</t>
  </si>
  <si>
    <t>3121180</t>
  </si>
  <si>
    <t>2113880</t>
  </si>
  <si>
    <t>3052139</t>
  </si>
  <si>
    <t>3948975</t>
  </si>
  <si>
    <t>3821404</t>
  </si>
  <si>
    <t>2848133</t>
  </si>
  <si>
    <t>4300112</t>
  </si>
  <si>
    <t>3229353</t>
  </si>
  <si>
    <t>4095456</t>
  </si>
  <si>
    <t>4395034</t>
  </si>
  <si>
    <t>1627317</t>
  </si>
  <si>
    <t>2997826</t>
  </si>
  <si>
    <t>2145411</t>
  </si>
  <si>
    <t>1822757</t>
  </si>
  <si>
    <t>3363370</t>
  </si>
  <si>
    <t>3368264</t>
  </si>
  <si>
    <t>4750600</t>
  </si>
  <si>
    <t>3010639</t>
  </si>
  <si>
    <t>3791673</t>
  </si>
  <si>
    <t>1798891</t>
  </si>
  <si>
    <t>2529123</t>
  </si>
  <si>
    <t>3761582</t>
  </si>
  <si>
    <t>2528587</t>
  </si>
  <si>
    <t>2274186</t>
  </si>
  <si>
    <t>1576769</t>
  </si>
  <si>
    <t>519916</t>
  </si>
  <si>
    <t>4539072</t>
  </si>
  <si>
    <t>3527448</t>
  </si>
  <si>
    <t>4580192</t>
  </si>
  <si>
    <t>1681092</t>
  </si>
  <si>
    <t>4819408</t>
  </si>
  <si>
    <t>3629936</t>
  </si>
  <si>
    <t>4307337</t>
  </si>
  <si>
    <t>2745995</t>
  </si>
  <si>
    <t>3162645</t>
  </si>
  <si>
    <t>3288216</t>
  </si>
  <si>
    <t>2957628</t>
  </si>
  <si>
    <t>2238437</t>
  </si>
  <si>
    <t>3643032</t>
  </si>
  <si>
    <t>2225951</t>
  </si>
  <si>
    <t>3948347</t>
  </si>
  <si>
    <t>4264168</t>
  </si>
  <si>
    <t>3383294</t>
  </si>
  <si>
    <t>1937927</t>
  </si>
  <si>
    <t>4606379</t>
  </si>
  <si>
    <t>3234873</t>
  </si>
  <si>
    <t>2409504</t>
  </si>
  <si>
    <t>4886683</t>
  </si>
  <si>
    <t>4633270</t>
  </si>
  <si>
    <t>2135231</t>
  </si>
  <si>
    <t>4559899</t>
  </si>
  <si>
    <t>3616721</t>
  </si>
  <si>
    <t>3788998</t>
  </si>
  <si>
    <t>3856114</t>
  </si>
  <si>
    <t>2436054</t>
  </si>
  <si>
    <t>3636961</t>
  </si>
  <si>
    <t>1797729</t>
  </si>
  <si>
    <t>4208285</t>
  </si>
  <si>
    <t>2579552</t>
  </si>
  <si>
    <t>2967902</t>
  </si>
  <si>
    <t>2809338</t>
  </si>
  <si>
    <t>2429840</t>
  </si>
  <si>
    <t>2809817</t>
  </si>
  <si>
    <t>2345209</t>
  </si>
  <si>
    <t>1723066</t>
  </si>
  <si>
    <t>3038694</t>
  </si>
  <si>
    <t>4507734</t>
  </si>
  <si>
    <t>2284149</t>
  </si>
  <si>
    <t>2104617</t>
  </si>
  <si>
    <t>3842158</t>
  </si>
  <si>
    <t>2752172</t>
  </si>
  <si>
    <t>2103924</t>
  </si>
  <si>
    <t>4172609</t>
  </si>
  <si>
    <t>2955534</t>
  </si>
  <si>
    <t>4774797</t>
  </si>
  <si>
    <t>4941443</t>
  </si>
  <si>
    <t>529714</t>
  </si>
  <si>
    <t>3248387</t>
  </si>
  <si>
    <t>3568114</t>
  </si>
  <si>
    <t>3321796</t>
  </si>
  <si>
    <t>4704182</t>
  </si>
  <si>
    <t>2692988</t>
  </si>
  <si>
    <t>4657939</t>
  </si>
  <si>
    <t>2983537</t>
  </si>
  <si>
    <t>2752487</t>
  </si>
  <si>
    <t>2582201</t>
  </si>
  <si>
    <t>4643748</t>
  </si>
  <si>
    <t>1714207</t>
  </si>
  <si>
    <t>2568481</t>
  </si>
  <si>
    <t>1833530</t>
  </si>
  <si>
    <t>1546897</t>
  </si>
  <si>
    <t>1745170</t>
  </si>
  <si>
    <t>535577</t>
  </si>
  <si>
    <t>2357972</t>
  </si>
  <si>
    <t>2842221</t>
  </si>
  <si>
    <t>4215662</t>
  </si>
  <si>
    <t>2037893</t>
  </si>
  <si>
    <t>2914413</t>
  </si>
  <si>
    <t>2212205</t>
  </si>
  <si>
    <t>3922159</t>
  </si>
  <si>
    <t>1980810</t>
  </si>
  <si>
    <t>4801637</t>
  </si>
  <si>
    <t>2623862</t>
  </si>
  <si>
    <t>3551975</t>
  </si>
  <si>
    <t>4121225</t>
  </si>
  <si>
    <t>3562234</t>
  </si>
  <si>
    <t>4601806</t>
  </si>
  <si>
    <t>2711938</t>
  </si>
  <si>
    <t>3387347</t>
  </si>
  <si>
    <t>4555656</t>
  </si>
  <si>
    <t>4950919</t>
  </si>
  <si>
    <t>2252708</t>
  </si>
  <si>
    <t>4141979</t>
  </si>
  <si>
    <t>3699226</t>
  </si>
  <si>
    <t>4031644</t>
  </si>
  <si>
    <t>3299233</t>
  </si>
  <si>
    <t>1865356</t>
  </si>
  <si>
    <t>1926866</t>
  </si>
  <si>
    <t>4002931</t>
  </si>
  <si>
    <t>2481317</t>
  </si>
  <si>
    <t>2313642</t>
  </si>
  <si>
    <t>4370770</t>
  </si>
  <si>
    <t>3062187</t>
  </si>
  <si>
    <t>4046082</t>
  </si>
  <si>
    <t>4950352</t>
  </si>
  <si>
    <t>1945091</t>
  </si>
  <si>
    <t>4429163</t>
  </si>
  <si>
    <t>4328593</t>
  </si>
  <si>
    <t>4731767</t>
  </si>
  <si>
    <t>3376890</t>
  </si>
  <si>
    <t>4478589</t>
  </si>
  <si>
    <t>1913108</t>
  </si>
  <si>
    <t>3087976</t>
  </si>
  <si>
    <t>2863998</t>
  </si>
  <si>
    <t>2764074</t>
  </si>
  <si>
    <t>4840952</t>
  </si>
  <si>
    <t>4256530</t>
  </si>
  <si>
    <t>4255988</t>
  </si>
  <si>
    <t>3817063</t>
  </si>
  <si>
    <t>4937581</t>
  </si>
  <si>
    <t>1921639</t>
  </si>
  <si>
    <t>2579554</t>
  </si>
  <si>
    <t>2385156</t>
  </si>
  <si>
    <t>1596911</t>
  </si>
  <si>
    <t>4699734</t>
  </si>
  <si>
    <t>4371979</t>
  </si>
  <si>
    <t>1996528</t>
  </si>
  <si>
    <t>2991260</t>
  </si>
  <si>
    <t>2505212</t>
  </si>
  <si>
    <t>4014363</t>
  </si>
  <si>
    <t>3163420</t>
  </si>
  <si>
    <t>2125846</t>
  </si>
  <si>
    <t>4655430</t>
  </si>
  <si>
    <t>4836764</t>
  </si>
  <si>
    <t>4273887</t>
  </si>
  <si>
    <t>3518891</t>
  </si>
  <si>
    <t>3532202</t>
  </si>
  <si>
    <t>3619505</t>
  </si>
  <si>
    <t>2175082</t>
  </si>
  <si>
    <t>1658354</t>
  </si>
  <si>
    <t>4744413</t>
  </si>
  <si>
    <t>4625547</t>
  </si>
  <si>
    <t>2923722</t>
  </si>
  <si>
    <t>2705118</t>
  </si>
  <si>
    <t>4546914</t>
  </si>
  <si>
    <t>2596495</t>
  </si>
  <si>
    <t>2511246</t>
  </si>
  <si>
    <t>3482228</t>
  </si>
  <si>
    <t>4239855</t>
  </si>
  <si>
    <t>4696923</t>
  </si>
  <si>
    <t>3103304</t>
  </si>
  <si>
    <t>3225488</t>
  </si>
  <si>
    <t>4247838</t>
  </si>
  <si>
    <t>2743368</t>
  </si>
  <si>
    <t>3657565</t>
  </si>
  <si>
    <t>4341038</t>
  </si>
  <si>
    <t>2689353</t>
  </si>
  <si>
    <t>3560792</t>
  </si>
  <si>
    <t>3905336</t>
  </si>
  <si>
    <t>2189898</t>
  </si>
  <si>
    <t>4497108</t>
  </si>
  <si>
    <t>4154320</t>
  </si>
  <si>
    <t>2645306</t>
  </si>
  <si>
    <t>2654705</t>
  </si>
  <si>
    <t>3902619</t>
  </si>
  <si>
    <t>4347687</t>
  </si>
  <si>
    <t>2338826</t>
  </si>
  <si>
    <t>2447255</t>
  </si>
  <si>
    <t>4820671</t>
  </si>
  <si>
    <t>3506901</t>
  </si>
  <si>
    <t>4715103</t>
  </si>
  <si>
    <t>4145720</t>
  </si>
  <si>
    <t>4623690</t>
  </si>
  <si>
    <t>2491446</t>
  </si>
  <si>
    <t>1541823</t>
  </si>
  <si>
    <t>2818113</t>
  </si>
  <si>
    <t>1871397</t>
  </si>
  <si>
    <t>4650287</t>
  </si>
  <si>
    <t>2815858</t>
  </si>
  <si>
    <t>2482491</t>
  </si>
  <si>
    <t>2231637</t>
  </si>
  <si>
    <t>2004448</t>
  </si>
  <si>
    <t>2265137</t>
  </si>
  <si>
    <t>1928589</t>
  </si>
  <si>
    <t>3606891</t>
  </si>
  <si>
    <t>4290495</t>
  </si>
  <si>
    <t>1724688</t>
  </si>
  <si>
    <t>2703449</t>
  </si>
  <si>
    <t>4184623</t>
  </si>
  <si>
    <t>4174003</t>
  </si>
  <si>
    <t>3922677</t>
  </si>
  <si>
    <t>3921377</t>
  </si>
  <si>
    <t>3818283</t>
  </si>
  <si>
    <t>2179046</t>
  </si>
  <si>
    <t>3038989</t>
  </si>
  <si>
    <t>2559260</t>
  </si>
  <si>
    <t>2894257</t>
  </si>
  <si>
    <t>2083433</t>
  </si>
  <si>
    <t>3677756</t>
  </si>
  <si>
    <t>3913467</t>
  </si>
  <si>
    <t>2299452</t>
  </si>
  <si>
    <t>3904690</t>
  </si>
  <si>
    <t>4965957</t>
  </si>
  <si>
    <t>3817736</t>
  </si>
  <si>
    <t>2624720</t>
  </si>
  <si>
    <t>3561360</t>
  </si>
  <si>
    <t>3526553</t>
  </si>
  <si>
    <t>4363883</t>
  </si>
  <si>
    <t>3039275</t>
  </si>
  <si>
    <t>4311148</t>
  </si>
  <si>
    <t>2398729</t>
  </si>
  <si>
    <t>3032361</t>
  </si>
  <si>
    <t>3253765</t>
  </si>
  <si>
    <t>4138927</t>
  </si>
  <si>
    <t>4711182</t>
  </si>
  <si>
    <t>2402343</t>
  </si>
  <si>
    <t>3104886</t>
  </si>
  <si>
    <t>4286030</t>
  </si>
  <si>
    <t>3283791</t>
  </si>
  <si>
    <t>3499813</t>
  </si>
  <si>
    <t>4504915</t>
  </si>
  <si>
    <t>2518127</t>
  </si>
  <si>
    <t>3119175</t>
  </si>
  <si>
    <t>4108941</t>
  </si>
  <si>
    <t>2643644</t>
  </si>
  <si>
    <t>2739539</t>
  </si>
  <si>
    <t>3580680</t>
  </si>
  <si>
    <t>4150184</t>
  </si>
  <si>
    <t>4459467</t>
  </si>
  <si>
    <t>1977000</t>
  </si>
  <si>
    <t>3521932</t>
  </si>
  <si>
    <t>1767552</t>
  </si>
  <si>
    <t>4026594</t>
  </si>
  <si>
    <t>1884257</t>
  </si>
  <si>
    <t>2233081</t>
  </si>
  <si>
    <t>2355739</t>
  </si>
  <si>
    <t>4525413</t>
  </si>
  <si>
    <t>2379012</t>
  </si>
  <si>
    <t>3968895</t>
  </si>
  <si>
    <t>3628399</t>
  </si>
  <si>
    <t>3490909</t>
  </si>
  <si>
    <t>4703209</t>
  </si>
  <si>
    <t>3982359</t>
  </si>
  <si>
    <t>2916720</t>
  </si>
  <si>
    <t>4169964</t>
  </si>
  <si>
    <t>4881878</t>
  </si>
  <si>
    <t>3667965</t>
  </si>
  <si>
    <t>3002646</t>
  </si>
  <si>
    <t>2071338</t>
  </si>
  <si>
    <t>2361738</t>
  </si>
  <si>
    <t>2809926</t>
  </si>
  <si>
    <t>4828218</t>
  </si>
  <si>
    <t>3570486</t>
  </si>
  <si>
    <t>3523578</t>
  </si>
  <si>
    <t>4904131</t>
  </si>
  <si>
    <t>4875705</t>
  </si>
  <si>
    <t>4726428</t>
  </si>
  <si>
    <t>2385179</t>
  </si>
  <si>
    <t>457712</t>
  </si>
  <si>
    <t>1657486</t>
  </si>
  <si>
    <t>3126150</t>
  </si>
  <si>
    <t>2078283</t>
  </si>
  <si>
    <t>2315163</t>
  </si>
  <si>
    <t>4427008</t>
  </si>
  <si>
    <t>2523106</t>
  </si>
  <si>
    <t>2730841</t>
  </si>
  <si>
    <t>4923170</t>
  </si>
  <si>
    <t>2267150</t>
  </si>
  <si>
    <t>3213363</t>
  </si>
  <si>
    <t>2854791</t>
  </si>
  <si>
    <t>596011</t>
  </si>
  <si>
    <t>2163454</t>
  </si>
  <si>
    <t>3361630</t>
  </si>
  <si>
    <t>2547595</t>
  </si>
  <si>
    <t>1835038</t>
  </si>
  <si>
    <t>4883953</t>
  </si>
  <si>
    <t>3709541</t>
  </si>
  <si>
    <t>1662735</t>
  </si>
  <si>
    <t>1967481</t>
  </si>
  <si>
    <t>4276050</t>
  </si>
  <si>
    <t>2090311</t>
  </si>
  <si>
    <t>4438358</t>
  </si>
  <si>
    <t>3093894</t>
  </si>
  <si>
    <t>3323075</t>
  </si>
  <si>
    <t>3447388</t>
  </si>
  <si>
    <t>2867166</t>
  </si>
  <si>
    <t>1928575</t>
  </si>
  <si>
    <t>4621090</t>
  </si>
  <si>
    <t>3881925</t>
  </si>
  <si>
    <t>3707097</t>
  </si>
  <si>
    <t>2993549</t>
  </si>
  <si>
    <t>2782127</t>
  </si>
  <si>
    <t>3453811</t>
  </si>
  <si>
    <t>1715710</t>
  </si>
  <si>
    <t>4328071</t>
  </si>
  <si>
    <t>1601775</t>
  </si>
  <si>
    <t>3501058</t>
  </si>
  <si>
    <t>1853091</t>
  </si>
  <si>
    <t>3282593</t>
  </si>
  <si>
    <t>3889894</t>
  </si>
  <si>
    <t>2391315</t>
  </si>
  <si>
    <t>1783210</t>
  </si>
  <si>
    <t>3564173</t>
  </si>
  <si>
    <t>4155736</t>
  </si>
  <si>
    <t>4704303</t>
  </si>
  <si>
    <t>2565471</t>
  </si>
  <si>
    <t>3341241</t>
  </si>
  <si>
    <t>3875408</t>
  </si>
  <si>
    <t>1925945</t>
  </si>
  <si>
    <t>3365688</t>
  </si>
  <si>
    <t>2749247</t>
  </si>
  <si>
    <t>1630148</t>
  </si>
  <si>
    <t>4592022</t>
  </si>
  <si>
    <t>3185052</t>
  </si>
  <si>
    <t>2301533</t>
  </si>
  <si>
    <t>2821578</t>
  </si>
  <si>
    <t>2417825</t>
  </si>
  <si>
    <t>3065397</t>
  </si>
  <si>
    <t>4257103</t>
  </si>
  <si>
    <t>2984945</t>
  </si>
  <si>
    <t>1551148</t>
  </si>
  <si>
    <t>4491500</t>
  </si>
  <si>
    <t>3261732</t>
  </si>
  <si>
    <t>4080636</t>
  </si>
  <si>
    <t>1785356</t>
  </si>
  <si>
    <t>4644351</t>
  </si>
  <si>
    <t>2632263</t>
  </si>
  <si>
    <t>2917410</t>
  </si>
  <si>
    <t>2645590</t>
  </si>
  <si>
    <t>4895686</t>
  </si>
  <si>
    <t>4598093</t>
  </si>
  <si>
    <t>1903894</t>
  </si>
  <si>
    <t>2237876</t>
  </si>
  <si>
    <t>2840324</t>
  </si>
  <si>
    <t>3060876</t>
  </si>
  <si>
    <t>1804041</t>
  </si>
  <si>
    <t>2169409</t>
  </si>
  <si>
    <t>3137625</t>
  </si>
  <si>
    <t>3899892</t>
  </si>
  <si>
    <t>4958342</t>
  </si>
  <si>
    <t>1707555</t>
  </si>
  <si>
    <t>2440092</t>
  </si>
  <si>
    <t>2600627</t>
  </si>
  <si>
    <t>3489406</t>
  </si>
  <si>
    <t>2519943</t>
  </si>
  <si>
    <t>2164754</t>
  </si>
  <si>
    <t>2747178</t>
  </si>
  <si>
    <t>2146107</t>
  </si>
  <si>
    <t>4021448</t>
  </si>
  <si>
    <t>3726179</t>
  </si>
  <si>
    <t>2042034</t>
  </si>
  <si>
    <t>2236989</t>
  </si>
  <si>
    <t>3589330</t>
  </si>
  <si>
    <t>2089916</t>
  </si>
  <si>
    <t>2498269</t>
  </si>
  <si>
    <t>4474160</t>
  </si>
  <si>
    <t>3701508</t>
  </si>
  <si>
    <t>4424984</t>
  </si>
  <si>
    <t>2657909</t>
  </si>
  <si>
    <t>2092137</t>
  </si>
  <si>
    <t>1811226</t>
  </si>
  <si>
    <t>1752079</t>
  </si>
  <si>
    <t>4101682</t>
  </si>
  <si>
    <t>1782511</t>
  </si>
  <si>
    <t>4937113</t>
  </si>
  <si>
    <t>3525594</t>
  </si>
  <si>
    <t>3055549</t>
  </si>
  <si>
    <t>3691023</t>
  </si>
  <si>
    <t>4912391</t>
  </si>
  <si>
    <t>3738976</t>
  </si>
  <si>
    <t>4828559</t>
  </si>
  <si>
    <t>1622217</t>
  </si>
  <si>
    <t>1571260</t>
  </si>
  <si>
    <t>3499941</t>
  </si>
  <si>
    <t>4807858</t>
  </si>
  <si>
    <t>4905369</t>
  </si>
  <si>
    <t>2119495</t>
  </si>
  <si>
    <t>2124375</t>
  </si>
  <si>
    <t>4598409</t>
  </si>
  <si>
    <t>2973479</t>
  </si>
  <si>
    <t>3527857</t>
  </si>
  <si>
    <t>1881129</t>
  </si>
  <si>
    <t>3376248</t>
  </si>
  <si>
    <t>2785673</t>
  </si>
  <si>
    <t>2111140</t>
  </si>
  <si>
    <t>3654132</t>
  </si>
  <si>
    <t>2196155</t>
  </si>
  <si>
    <t>2930948</t>
  </si>
  <si>
    <t>2746967</t>
  </si>
  <si>
    <t>4306271</t>
  </si>
  <si>
    <t>2096054</t>
  </si>
  <si>
    <t>4218389</t>
  </si>
  <si>
    <t>2004774</t>
  </si>
  <si>
    <t>2792368</t>
  </si>
  <si>
    <t>2014743</t>
  </si>
  <si>
    <t>2341349</t>
  </si>
  <si>
    <t>3350673</t>
  </si>
  <si>
    <t>2036503</t>
  </si>
  <si>
    <t>4488090</t>
  </si>
  <si>
    <t>3095191</t>
  </si>
  <si>
    <t>2076724</t>
  </si>
  <si>
    <t>3869964</t>
  </si>
  <si>
    <t>1619783</t>
  </si>
  <si>
    <t>3989388</t>
  </si>
  <si>
    <t>2076430</t>
  </si>
  <si>
    <t>4391030</t>
  </si>
  <si>
    <t>4484950</t>
  </si>
  <si>
    <t>3784026</t>
  </si>
  <si>
    <t>2469603</t>
  </si>
  <si>
    <t>4268623</t>
  </si>
  <si>
    <t>4238868</t>
  </si>
  <si>
    <t>4678203</t>
  </si>
  <si>
    <t>3646801</t>
  </si>
  <si>
    <t>1785535</t>
  </si>
  <si>
    <t>2613874</t>
  </si>
  <si>
    <t>2993294</t>
  </si>
  <si>
    <t>3856207</t>
  </si>
  <si>
    <t>2554203</t>
  </si>
  <si>
    <t>3220173</t>
  </si>
  <si>
    <t>2932815</t>
  </si>
  <si>
    <t>3514024</t>
  </si>
  <si>
    <t>3796267</t>
  </si>
  <si>
    <t>3238090</t>
  </si>
  <si>
    <t>4754227</t>
  </si>
  <si>
    <t>3039473</t>
  </si>
  <si>
    <t>2834099</t>
  </si>
  <si>
    <t>4579458</t>
  </si>
  <si>
    <t>3325272</t>
  </si>
  <si>
    <t>3851103</t>
  </si>
  <si>
    <t>2561718</t>
  </si>
  <si>
    <t>4522159</t>
  </si>
  <si>
    <t>4551617</t>
  </si>
  <si>
    <t>3153235</t>
  </si>
  <si>
    <t>3209655</t>
  </si>
  <si>
    <t>3085464</t>
  </si>
  <si>
    <t>3227139</t>
  </si>
  <si>
    <t>4181142</t>
  </si>
  <si>
    <t>3288880</t>
  </si>
  <si>
    <t>3916275</t>
  </si>
  <si>
    <t>4982484</t>
  </si>
  <si>
    <t>2843258</t>
  </si>
  <si>
    <t>4022406</t>
  </si>
  <si>
    <t>2050421</t>
  </si>
  <si>
    <t>4665325</t>
  </si>
  <si>
    <t>4881669</t>
  </si>
  <si>
    <t>4830222</t>
  </si>
  <si>
    <t>2668444</t>
  </si>
  <si>
    <t>2816482</t>
  </si>
  <si>
    <t>4475394</t>
  </si>
  <si>
    <t>1878382</t>
  </si>
  <si>
    <t>1915834</t>
  </si>
  <si>
    <t>4220155</t>
  </si>
  <si>
    <t>4818221</t>
  </si>
  <si>
    <t>2276310</t>
  </si>
  <si>
    <t>2370962</t>
  </si>
  <si>
    <t>2513283</t>
  </si>
  <si>
    <t>2731394</t>
  </si>
  <si>
    <t>2741218</t>
  </si>
  <si>
    <t>2344488</t>
  </si>
  <si>
    <t>2969715</t>
  </si>
  <si>
    <t>2303505</t>
  </si>
  <si>
    <t>2822344</t>
  </si>
  <si>
    <t>3247898</t>
  </si>
  <si>
    <t>2487872</t>
  </si>
  <si>
    <t>2033806</t>
  </si>
  <si>
    <t>4235088</t>
  </si>
  <si>
    <t>3701969</t>
  </si>
  <si>
    <t>4800976</t>
  </si>
  <si>
    <t>4821439</t>
  </si>
  <si>
    <t>3843182</t>
  </si>
  <si>
    <t>3384292</t>
  </si>
  <si>
    <t>4022907</t>
  </si>
  <si>
    <t>1961345</t>
  </si>
  <si>
    <t>3164185</t>
  </si>
  <si>
    <t>3220453</t>
  </si>
  <si>
    <t>2634654</t>
  </si>
  <si>
    <t>4733772</t>
  </si>
  <si>
    <t>2549070</t>
  </si>
  <si>
    <t>4834290</t>
  </si>
  <si>
    <t>3643766</t>
  </si>
  <si>
    <t>2670042</t>
  </si>
  <si>
    <t>1730729</t>
  </si>
  <si>
    <t>3681019</t>
  </si>
  <si>
    <t>2665055</t>
  </si>
  <si>
    <t>3245536</t>
  </si>
  <si>
    <t>3210872</t>
  </si>
  <si>
    <t>3272273</t>
  </si>
  <si>
    <t>4265134</t>
  </si>
  <si>
    <t>2489320</t>
  </si>
  <si>
    <t>4663650</t>
  </si>
  <si>
    <t>2492058</t>
  </si>
  <si>
    <t>2002267</t>
  </si>
  <si>
    <t>2373250</t>
  </si>
  <si>
    <t>3159469</t>
  </si>
  <si>
    <t>1877621</t>
  </si>
  <si>
    <t>2753926</t>
  </si>
  <si>
    <t>2577708</t>
  </si>
  <si>
    <t>4806047</t>
  </si>
  <si>
    <t>3878302</t>
  </si>
  <si>
    <t>2833116</t>
  </si>
  <si>
    <t>2530145</t>
  </si>
  <si>
    <t>3305475</t>
  </si>
  <si>
    <t>4790309</t>
  </si>
  <si>
    <t>3782555</t>
  </si>
  <si>
    <t>3413774</t>
  </si>
  <si>
    <t>3460683</t>
  </si>
  <si>
    <t>2752958</t>
  </si>
  <si>
    <t>2962461</t>
  </si>
  <si>
    <t>100.0</t>
  </si>
  <si>
    <t>2836899</t>
  </si>
  <si>
    <t>1823239</t>
  </si>
  <si>
    <t>1679020</t>
  </si>
  <si>
    <t>4116327</t>
  </si>
  <si>
    <t>2034146</t>
  </si>
  <si>
    <t>1705289</t>
  </si>
  <si>
    <t>2495446</t>
  </si>
  <si>
    <t>120.0</t>
  </si>
  <si>
    <t>3260249</t>
  </si>
  <si>
    <t>4710624</t>
  </si>
  <si>
    <t>2342403</t>
  </si>
  <si>
    <t>2761476</t>
  </si>
  <si>
    <t>4881112</t>
  </si>
  <si>
    <t>2196654</t>
  </si>
  <si>
    <t>2391293</t>
  </si>
  <si>
    <t>1619148</t>
  </si>
  <si>
    <t>2062411</t>
  </si>
  <si>
    <t>2771809</t>
  </si>
  <si>
    <t>9742586</t>
  </si>
  <si>
    <t>9747444</t>
  </si>
  <si>
    <t>9740950</t>
  </si>
  <si>
    <t>9742698</t>
  </si>
  <si>
    <t>9747905</t>
  </si>
  <si>
    <t>9744999</t>
  </si>
  <si>
    <t>9740426</t>
  </si>
  <si>
    <t>9739930</t>
  </si>
  <si>
    <t>9739978</t>
  </si>
  <si>
    <t>9741708</t>
  </si>
  <si>
    <t>9738319</t>
  </si>
  <si>
    <t>9743042</t>
  </si>
  <si>
    <t>9745188</t>
  </si>
  <si>
    <t>9740372</t>
  </si>
  <si>
    <t>9746575</t>
  </si>
  <si>
    <t>9743640</t>
  </si>
  <si>
    <t>9746936</t>
  </si>
  <si>
    <t>3908795</t>
  </si>
  <si>
    <t>9747133</t>
  </si>
  <si>
    <t>9740577</t>
  </si>
  <si>
    <t>9749093</t>
  </si>
  <si>
    <t>2276669</t>
  </si>
  <si>
    <t>9740731</t>
  </si>
  <si>
    <t>3164728</t>
  </si>
  <si>
    <t>9752400</t>
  </si>
  <si>
    <t>9749036</t>
  </si>
  <si>
    <t>9749570</t>
  </si>
  <si>
    <t>9757462</t>
  </si>
  <si>
    <t>9750038</t>
  </si>
  <si>
    <t>9756472</t>
  </si>
  <si>
    <t>9752186</t>
  </si>
  <si>
    <t>9752394</t>
  </si>
  <si>
    <t>9749556</t>
  </si>
  <si>
    <t>9752840</t>
  </si>
  <si>
    <t>9752534</t>
  </si>
  <si>
    <t>6215493</t>
  </si>
  <si>
    <t>9760423</t>
  </si>
  <si>
    <t>9763301</t>
  </si>
  <si>
    <t>9763726</t>
  </si>
  <si>
    <t>9752410</t>
  </si>
  <si>
    <t>9764318</t>
  </si>
  <si>
    <t>4790060</t>
  </si>
  <si>
    <t>9750731</t>
  </si>
  <si>
    <t>9759668</t>
  </si>
  <si>
    <t>9752803</t>
  </si>
  <si>
    <t>4882514</t>
  </si>
  <si>
    <t>9756660</t>
  </si>
  <si>
    <t>9752642</t>
  </si>
  <si>
    <t>9760935</t>
  </si>
  <si>
    <t>9751589</t>
  </si>
  <si>
    <t>9770072</t>
  </si>
  <si>
    <t>814377</t>
  </si>
  <si>
    <t>9776490</t>
  </si>
  <si>
    <t>9778722</t>
  </si>
  <si>
    <t>1993276</t>
  </si>
  <si>
    <t>9766702</t>
  </si>
  <si>
    <t>9765833</t>
  </si>
  <si>
    <t>9775648</t>
  </si>
  <si>
    <t>9769809</t>
  </si>
  <si>
    <t>9764401</t>
  </si>
  <si>
    <t>9764897</t>
  </si>
  <si>
    <t>9765838</t>
  </si>
  <si>
    <t>9770075</t>
  </si>
  <si>
    <t>9772166</t>
  </si>
  <si>
    <t>9766086</t>
  </si>
  <si>
    <t>9773109</t>
  </si>
  <si>
    <t>2405774</t>
  </si>
  <si>
    <t>9770073</t>
  </si>
  <si>
    <t>9771963</t>
  </si>
  <si>
    <t>9778785</t>
  </si>
  <si>
    <t>9779030</t>
  </si>
  <si>
    <t>9779623</t>
  </si>
  <si>
    <t>9769566</t>
  </si>
  <si>
    <t>9764657</t>
  </si>
  <si>
    <t>9773258</t>
  </si>
  <si>
    <t>9771887</t>
  </si>
  <si>
    <t>9508939</t>
  </si>
  <si>
    <t>4774018</t>
  </si>
  <si>
    <t>9517101</t>
  </si>
  <si>
    <t>9506983</t>
  </si>
  <si>
    <t>9508038</t>
  </si>
  <si>
    <t>9511487</t>
  </si>
  <si>
    <t>9501817</t>
  </si>
  <si>
    <t>9520848</t>
  </si>
  <si>
    <t>9512940</t>
  </si>
  <si>
    <t>9519154</t>
  </si>
  <si>
    <t>9505959</t>
  </si>
  <si>
    <t>9520433</t>
  </si>
  <si>
    <t>9520361</t>
  </si>
  <si>
    <t>9522909</t>
  </si>
  <si>
    <t>9502934</t>
  </si>
  <si>
    <t>4153531</t>
  </si>
  <si>
    <t>9524252</t>
  </si>
  <si>
    <t>9525067</t>
  </si>
  <si>
    <t>9502782</t>
  </si>
  <si>
    <t>9504712</t>
  </si>
  <si>
    <t>9507850</t>
  </si>
  <si>
    <t>9507756</t>
  </si>
  <si>
    <t>4490872</t>
  </si>
  <si>
    <t>9512691</t>
  </si>
  <si>
    <t>9505039</t>
  </si>
  <si>
    <t>4207254</t>
  </si>
  <si>
    <t>9525236</t>
  </si>
  <si>
    <t>9525466</t>
  </si>
  <si>
    <t>9526910</t>
  </si>
  <si>
    <t>9541822</t>
  </si>
  <si>
    <t>9528276</t>
  </si>
  <si>
    <t>9529978</t>
  </si>
  <si>
    <t>9537093</t>
  </si>
  <si>
    <t>9538505</t>
  </si>
  <si>
    <t>9541621</t>
  </si>
  <si>
    <t>9532002</t>
  </si>
  <si>
    <t>9534867</t>
  </si>
  <si>
    <t>4742104</t>
  </si>
  <si>
    <t>9531644</t>
  </si>
  <si>
    <t>9538441</t>
  </si>
  <si>
    <t>9535829</t>
  </si>
  <si>
    <t>9529477</t>
  </si>
  <si>
    <t>9530886</t>
  </si>
  <si>
    <t>9532562</t>
  </si>
  <si>
    <t>9538968</t>
  </si>
  <si>
    <t>9537409</t>
  </si>
  <si>
    <t>4041677</t>
  </si>
  <si>
    <t>9550739</t>
  </si>
  <si>
    <t>9555310</t>
  </si>
  <si>
    <t>9543848</t>
  </si>
  <si>
    <t>9550273</t>
  </si>
  <si>
    <t>2915796</t>
  </si>
  <si>
    <t>9544539</t>
  </si>
  <si>
    <t>9556753</t>
  </si>
  <si>
    <t>9552722</t>
  </si>
  <si>
    <t>9552727</t>
  </si>
  <si>
    <t>9541301</t>
  </si>
  <si>
    <t>9554294</t>
  </si>
  <si>
    <t>9549596</t>
  </si>
  <si>
    <t>9556977</t>
  </si>
  <si>
    <t>9552338</t>
  </si>
  <si>
    <t>9549179</t>
  </si>
  <si>
    <t>9546835</t>
  </si>
  <si>
    <t>9549318</t>
  </si>
  <si>
    <t>9544897</t>
  </si>
  <si>
    <t>9552664</t>
  </si>
  <si>
    <t>9543475</t>
  </si>
  <si>
    <t>9545472</t>
  </si>
  <si>
    <t>9570107</t>
  </si>
  <si>
    <t>9565388</t>
  </si>
  <si>
    <t>9568549</t>
  </si>
  <si>
    <t>6573123</t>
  </si>
  <si>
    <t>9560948</t>
  </si>
  <si>
    <t>4261926</t>
  </si>
  <si>
    <t>9563928</t>
  </si>
  <si>
    <t>9562807</t>
  </si>
  <si>
    <t>9565519</t>
  </si>
  <si>
    <t>9568553</t>
  </si>
  <si>
    <t>9568726</t>
  </si>
  <si>
    <t>3936245</t>
  </si>
  <si>
    <t>9565558</t>
  </si>
  <si>
    <t>9558427</t>
  </si>
  <si>
    <t>759355</t>
  </si>
  <si>
    <t>9566566</t>
  </si>
  <si>
    <t>9563772</t>
  </si>
  <si>
    <t>9559897</t>
  </si>
  <si>
    <t>9559444</t>
  </si>
  <si>
    <t>9565239</t>
  </si>
  <si>
    <t>9567478</t>
  </si>
  <si>
    <t>9564050</t>
  </si>
  <si>
    <t>9566150</t>
  </si>
  <si>
    <t>9568997</t>
  </si>
  <si>
    <t>9567612</t>
  </si>
  <si>
    <t>9580092</t>
  </si>
  <si>
    <t>9572029</t>
  </si>
  <si>
    <t>9580330</t>
  </si>
  <si>
    <t>9571652</t>
  </si>
  <si>
    <t>9573393</t>
  </si>
  <si>
    <t>9574603</t>
  </si>
  <si>
    <t>9570131</t>
  </si>
  <si>
    <t>9574717</t>
  </si>
  <si>
    <t>9574153</t>
  </si>
  <si>
    <t>9570671</t>
  </si>
  <si>
    <t>9575744</t>
  </si>
  <si>
    <t>3743641</t>
  </si>
  <si>
    <t>9575799</t>
  </si>
  <si>
    <t>9578921</t>
  </si>
  <si>
    <t>9574473</t>
  </si>
  <si>
    <t>9579159</t>
  </si>
  <si>
    <t>9572167</t>
  </si>
  <si>
    <t>9579937</t>
  </si>
  <si>
    <t>4143178</t>
  </si>
  <si>
    <t>3604349</t>
  </si>
  <si>
    <t>9571991</t>
  </si>
  <si>
    <t>9572117</t>
  </si>
  <si>
    <t>9570341</t>
  </si>
  <si>
    <t>9575861</t>
  </si>
  <si>
    <t>9576361</t>
  </si>
  <si>
    <t>9576925</t>
  </si>
  <si>
    <t>9575385</t>
  </si>
  <si>
    <t>9591958</t>
  </si>
  <si>
    <t>4198347</t>
  </si>
  <si>
    <t>9596140</t>
  </si>
  <si>
    <t>9582335</t>
  </si>
  <si>
    <t>9588648</t>
  </si>
  <si>
    <t>9592708</t>
  </si>
  <si>
    <t>9589038</t>
  </si>
  <si>
    <t>9592011</t>
  </si>
  <si>
    <t>9593692</t>
  </si>
  <si>
    <t>2530638</t>
  </si>
  <si>
    <t>9596223</t>
  </si>
  <si>
    <t>9596840</t>
  </si>
  <si>
    <t>9586600</t>
  </si>
  <si>
    <t>9590946</t>
  </si>
  <si>
    <t>9589515</t>
  </si>
  <si>
    <t>9590287</t>
  </si>
  <si>
    <t>9582309</t>
  </si>
  <si>
    <t>9588709</t>
  </si>
  <si>
    <t>9593203</t>
  </si>
  <si>
    <t>9580931</t>
  </si>
  <si>
    <t>9586584</t>
  </si>
  <si>
    <t>9587915</t>
  </si>
  <si>
    <t>9593944</t>
  </si>
  <si>
    <t>9583183</t>
  </si>
  <si>
    <t>9604922</t>
  </si>
  <si>
    <t>9601857</t>
  </si>
  <si>
    <t>9602931</t>
  </si>
  <si>
    <t>9605045</t>
  </si>
  <si>
    <t>9601661</t>
  </si>
  <si>
    <t>9608609</t>
  </si>
  <si>
    <t>9608433</t>
  </si>
  <si>
    <t>9609741</t>
  </si>
  <si>
    <t>9602763</t>
  </si>
  <si>
    <t>9604985</t>
  </si>
  <si>
    <t>9610430</t>
  </si>
  <si>
    <t>9604468</t>
  </si>
  <si>
    <t>9610429</t>
  </si>
  <si>
    <t>9603525</t>
  </si>
  <si>
    <t>9598140</t>
  </si>
  <si>
    <t>9597918</t>
  </si>
  <si>
    <t>9604835</t>
  </si>
  <si>
    <t>2454334</t>
  </si>
  <si>
    <t>9597698</t>
  </si>
  <si>
    <t>9607434</t>
  </si>
  <si>
    <t>9608317</t>
  </si>
  <si>
    <t>9598479</t>
  </si>
  <si>
    <t>3878078</t>
  </si>
  <si>
    <t>9622339</t>
  </si>
  <si>
    <t>9622990</t>
  </si>
  <si>
    <t>9610865</t>
  </si>
  <si>
    <t>9613530</t>
  </si>
  <si>
    <t>9618041</t>
  </si>
  <si>
    <t>9615473</t>
  </si>
  <si>
    <t>876751</t>
  </si>
  <si>
    <t>9618973</t>
  </si>
  <si>
    <t>9613501</t>
  </si>
  <si>
    <t>9616145</t>
  </si>
  <si>
    <t>9618057</t>
  </si>
  <si>
    <t>9617992</t>
  </si>
  <si>
    <t>9619026</t>
  </si>
  <si>
    <t>9618678</t>
  </si>
  <si>
    <t>3373327</t>
  </si>
  <si>
    <t>9621548</t>
  </si>
  <si>
    <t>9618515</t>
  </si>
  <si>
    <t>9614030</t>
  </si>
  <si>
    <t>9621070</t>
  </si>
  <si>
    <t>4819254</t>
  </si>
  <si>
    <t>9621389</t>
  </si>
  <si>
    <t>9621040</t>
  </si>
  <si>
    <t>9627684</t>
  </si>
  <si>
    <t>9631744</t>
  </si>
  <si>
    <t>9626709</t>
  </si>
  <si>
    <t>2325177</t>
  </si>
  <si>
    <t>9630241</t>
  </si>
  <si>
    <t>9628615</t>
  </si>
  <si>
    <t>9625258</t>
  </si>
  <si>
    <t>9628349</t>
  </si>
  <si>
    <t>9628895</t>
  </si>
  <si>
    <t>2287962</t>
  </si>
  <si>
    <t>9629701</t>
  </si>
  <si>
    <t>9626649</t>
  </si>
  <si>
    <t>9627536</t>
  </si>
  <si>
    <t>9630395</t>
  </si>
  <si>
    <t>9626283</t>
  </si>
  <si>
    <t>9629288</t>
  </si>
  <si>
    <t>9631591</t>
  </si>
  <si>
    <t>9625154</t>
  </si>
  <si>
    <t>9623938</t>
  </si>
  <si>
    <t>9631995</t>
  </si>
  <si>
    <t>9632160</t>
  </si>
  <si>
    <t>9631580</t>
  </si>
  <si>
    <t>9631579</t>
  </si>
  <si>
    <t>9624281</t>
  </si>
  <si>
    <t>9627785</t>
  </si>
  <si>
    <t>9634885</t>
  </si>
  <si>
    <t>9631778</t>
  </si>
  <si>
    <t>9640475</t>
  </si>
  <si>
    <t>9632201</t>
  </si>
  <si>
    <t>9634196</t>
  </si>
  <si>
    <t>9636920</t>
  </si>
  <si>
    <t>9638391</t>
  </si>
  <si>
    <t>9633080</t>
  </si>
  <si>
    <t>9641036</t>
  </si>
  <si>
    <t>9635071</t>
  </si>
  <si>
    <t>9635306</t>
  </si>
  <si>
    <t>9640509</t>
  </si>
  <si>
    <t>9641778</t>
  </si>
  <si>
    <t>9632797</t>
  </si>
  <si>
    <t>9635346</t>
  </si>
  <si>
    <t>9638324</t>
  </si>
  <si>
    <t>3752425</t>
  </si>
  <si>
    <t>9642090</t>
  </si>
  <si>
    <t>9635315</t>
  </si>
  <si>
    <t>3186299</t>
  </si>
  <si>
    <t>9638483</t>
  </si>
  <si>
    <t>9638135</t>
  </si>
  <si>
    <t>2671775</t>
  </si>
  <si>
    <t>9636805</t>
  </si>
  <si>
    <t>9655119</t>
  </si>
  <si>
    <t>9654275</t>
  </si>
  <si>
    <t>9650506</t>
  </si>
  <si>
    <t>9650107</t>
  </si>
  <si>
    <t>9650791</t>
  </si>
  <si>
    <t>9655801</t>
  </si>
  <si>
    <t>9648955</t>
  </si>
  <si>
    <t>9651763</t>
  </si>
  <si>
    <t>9653218</t>
  </si>
  <si>
    <t>9651602</t>
  </si>
  <si>
    <t>9648398</t>
  </si>
  <si>
    <t>9650335</t>
  </si>
  <si>
    <t>9647603</t>
  </si>
  <si>
    <t>9655280</t>
  </si>
  <si>
    <t>9645437</t>
  </si>
  <si>
    <t>4419510</t>
  </si>
  <si>
    <t>9650366</t>
  </si>
  <si>
    <t>4171698</t>
  </si>
  <si>
    <t>9644016</t>
  </si>
  <si>
    <t>9652162</t>
  </si>
  <si>
    <t>9642003</t>
  </si>
  <si>
    <t>9655018</t>
  </si>
  <si>
    <t>2456961</t>
  </si>
  <si>
    <t>9069399</t>
  </si>
  <si>
    <t>3985511</t>
  </si>
  <si>
    <t>9659437</t>
  </si>
  <si>
    <t>9696543</t>
  </si>
  <si>
    <t>9656754</t>
  </si>
  <si>
    <t>9268529</t>
  </si>
  <si>
    <t>2647140</t>
  </si>
  <si>
    <t>9593184</t>
  </si>
  <si>
    <t>9658552</t>
  </si>
  <si>
    <t>4727486</t>
  </si>
  <si>
    <t>9656666</t>
  </si>
  <si>
    <t>9660492</t>
  </si>
  <si>
    <t>9660581</t>
  </si>
  <si>
    <t>9439297</t>
  </si>
  <si>
    <t>9509834</t>
  </si>
  <si>
    <t>4671437</t>
  </si>
  <si>
    <t>4722617</t>
  </si>
  <si>
    <t>9506850</t>
  </si>
  <si>
    <t>9340738</t>
  </si>
  <si>
    <t>9656129</t>
  </si>
  <si>
    <t>9659674</t>
  </si>
  <si>
    <t>9660699</t>
  </si>
  <si>
    <t>9657261</t>
  </si>
  <si>
    <t>9663083</t>
  </si>
  <si>
    <t>9668503</t>
  </si>
  <si>
    <t>2777539</t>
  </si>
  <si>
    <t>9666353</t>
  </si>
  <si>
    <t>9661246</t>
  </si>
  <si>
    <t>9668292</t>
  </si>
  <si>
    <t>9666068</t>
  </si>
  <si>
    <t>3374337</t>
  </si>
  <si>
    <t>9671666</t>
  </si>
  <si>
    <t>9662093</t>
  </si>
  <si>
    <t>9666379</t>
  </si>
  <si>
    <t>9672963</t>
  </si>
  <si>
    <t>9661455</t>
  </si>
  <si>
    <t>9663792</t>
  </si>
  <si>
    <t>9672991</t>
  </si>
  <si>
    <t>9674158</t>
  </si>
  <si>
    <t>9666024</t>
  </si>
  <si>
    <t>1804093</t>
  </si>
  <si>
    <t>9663798</t>
  </si>
  <si>
    <t>9667329</t>
  </si>
  <si>
    <t>9663538</t>
  </si>
  <si>
    <t>9668035</t>
  </si>
  <si>
    <t>9667525</t>
  </si>
  <si>
    <t>3993063</t>
  </si>
  <si>
    <t>9682359</t>
  </si>
  <si>
    <t>9678472</t>
  </si>
  <si>
    <t>9683269</t>
  </si>
  <si>
    <t>3690126</t>
  </si>
  <si>
    <t>9675784</t>
  </si>
  <si>
    <t>9676459</t>
  </si>
  <si>
    <t>9677210</t>
  </si>
  <si>
    <t>9674072</t>
  </si>
  <si>
    <t>9680606</t>
  </si>
  <si>
    <t>9681479</t>
  </si>
  <si>
    <t>9681624</t>
  </si>
  <si>
    <t>9674245</t>
  </si>
  <si>
    <t>9677567</t>
  </si>
  <si>
    <t>9680446</t>
  </si>
  <si>
    <t>9683380</t>
  </si>
  <si>
    <t>9673866</t>
  </si>
  <si>
    <t>9679804</t>
  </si>
  <si>
    <t>9683728</t>
  </si>
  <si>
    <t>9675880</t>
  </si>
  <si>
    <t>9677858</t>
  </si>
  <si>
    <t>9673662</t>
  </si>
  <si>
    <t>9680149</t>
  </si>
  <si>
    <t>9681456</t>
  </si>
  <si>
    <t>9687359</t>
  </si>
  <si>
    <t>9687235</t>
  </si>
  <si>
    <t>9687168</t>
  </si>
  <si>
    <t>9688418</t>
  </si>
  <si>
    <t>9689179</t>
  </si>
  <si>
    <t>9683825</t>
  </si>
  <si>
    <t>9687088</t>
  </si>
  <si>
    <t>9683976</t>
  </si>
  <si>
    <t>9690938</t>
  </si>
  <si>
    <t>9690675</t>
  </si>
  <si>
    <t>9692862</t>
  </si>
  <si>
    <t>3353313</t>
  </si>
  <si>
    <t>9694193</t>
  </si>
  <si>
    <t>9690733</t>
  </si>
  <si>
    <t>9686707</t>
  </si>
  <si>
    <t>9683775</t>
  </si>
  <si>
    <t>9691400</t>
  </si>
  <si>
    <t>9693073</t>
  </si>
  <si>
    <t>9687711</t>
  </si>
  <si>
    <t>1672122</t>
  </si>
  <si>
    <t>9688450</t>
  </si>
  <si>
    <t>9693100</t>
  </si>
  <si>
    <t>4186855</t>
  </si>
  <si>
    <t>9687194</t>
  </si>
  <si>
    <t>9687322</t>
  </si>
  <si>
    <t>9704126</t>
  </si>
  <si>
    <t>9704629</t>
  </si>
  <si>
    <t>9702843</t>
  </si>
  <si>
    <t>4927741</t>
  </si>
  <si>
    <t>9705616</t>
  </si>
  <si>
    <t>9695018</t>
  </si>
  <si>
    <t>9706594</t>
  </si>
  <si>
    <t>9698168</t>
  </si>
  <si>
    <t>9697984</t>
  </si>
  <si>
    <t>9703362</t>
  </si>
  <si>
    <t>9699693</t>
  </si>
  <si>
    <t>9702956</t>
  </si>
  <si>
    <t>9707730</t>
  </si>
  <si>
    <t>9694264</t>
  </si>
  <si>
    <t>9697143</t>
  </si>
  <si>
    <t>9694936</t>
  </si>
  <si>
    <t>2941594</t>
  </si>
  <si>
    <t>9698668</t>
  </si>
  <si>
    <t>9694905</t>
  </si>
  <si>
    <t>9698417</t>
  </si>
  <si>
    <t>9702798</t>
  </si>
  <si>
    <t>9703324</t>
  </si>
  <si>
    <t>9697155</t>
  </si>
  <si>
    <t>9718470</t>
  </si>
  <si>
    <t>9716633</t>
  </si>
  <si>
    <t>9719633</t>
  </si>
  <si>
    <t>9718838</t>
  </si>
  <si>
    <t>9720066</t>
  </si>
  <si>
    <t>9719725</t>
  </si>
  <si>
    <t>9716588</t>
  </si>
  <si>
    <t>9707509</t>
  </si>
  <si>
    <t>9714786</t>
  </si>
  <si>
    <t>9712133</t>
  </si>
  <si>
    <t>9712012</t>
  </si>
  <si>
    <t>4059345</t>
  </si>
  <si>
    <t>9720081</t>
  </si>
  <si>
    <t>9712830</t>
  </si>
  <si>
    <t>9716589</t>
  </si>
  <si>
    <t>9721059</t>
  </si>
  <si>
    <t>9720577</t>
  </si>
  <si>
    <t>9720506</t>
  </si>
  <si>
    <t>9707394</t>
  </si>
  <si>
    <t>1776503</t>
  </si>
  <si>
    <t>4483441</t>
  </si>
  <si>
    <t>9714099</t>
  </si>
  <si>
    <t>9710841</t>
  </si>
  <si>
    <t>9709147</t>
  </si>
  <si>
    <t>9718515</t>
  </si>
  <si>
    <t>9710080</t>
  </si>
  <si>
    <t>9721801</t>
  </si>
  <si>
    <t>9724048</t>
  </si>
  <si>
    <t>9728284</t>
  </si>
  <si>
    <t>9723431</t>
  </si>
  <si>
    <t>9723222</t>
  </si>
  <si>
    <t>9726768</t>
  </si>
  <si>
    <t>9727882</t>
  </si>
  <si>
    <t>9730042</t>
  </si>
  <si>
    <t>9729867</t>
  </si>
  <si>
    <t>9729329</t>
  </si>
  <si>
    <t>9730633</t>
  </si>
  <si>
    <t>9727343</t>
  </si>
  <si>
    <t>9732407</t>
  </si>
  <si>
    <t>9723409</t>
  </si>
  <si>
    <t>3713094</t>
  </si>
  <si>
    <t>9727844</t>
  </si>
  <si>
    <t>9729255</t>
  </si>
  <si>
    <t>9732392</t>
  </si>
  <si>
    <t>9733360</t>
  </si>
  <si>
    <t>9733209</t>
  </si>
  <si>
    <t>1020030</t>
  </si>
  <si>
    <t>9736160</t>
  </si>
  <si>
    <t>9736303</t>
  </si>
  <si>
    <t>9735840</t>
  </si>
  <si>
    <t>9735940</t>
  </si>
  <si>
    <t>4165739</t>
  </si>
  <si>
    <t>TAMA</t>
    <phoneticPr fontId="3" type="noConversion"/>
  </si>
  <si>
    <t>SRC_Report</t>
    <phoneticPr fontId="3" type="noConversion"/>
  </si>
  <si>
    <t>IMATA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</si>
</sst>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163"/>
  <sheetViews>
    <sheetView tabSelected="1" zoomScaleNormal="100" zoomScaleSheetLayoutView="75" workbookViewId="0">
      <pane ySplit="1" topLeftCell="A2" activePane="bottomLeft" state="frozen"/>
      <selection pane="bottomLeft" activeCell="G1" sqref="G1:G1048576"/>
    </sheetView>
  </sheetViews>
  <sheetFormatPr defaultColWidth="8.875" defaultRowHeight="16.5" x14ac:dyDescent="0.3"/>
  <cols>
    <col min="1" max="3" width="13.625" style="1" customWidth="1"/>
    <col min="5" max="7" width="13.625" style="1" customWidth="1"/>
    <col min="9" max="9" width="10.375" style="5" customWidth="1"/>
    <col min="10" max="10" width="11" style="5" customWidth="1"/>
    <col min="11" max="11" width="10.375" style="5" customWidth="1"/>
  </cols>
  <sheetData>
    <row r="1" spans="1:11" x14ac:dyDescent="0.3">
      <c r="A1" s="3" t="s">
        <v>594</v>
      </c>
      <c r="B1" s="3" t="s">
        <v>595</v>
      </c>
      <c r="C1" s="3" t="s">
        <v>596</v>
      </c>
      <c r="D1" s="3" t="s">
        <v>117</v>
      </c>
      <c r="E1" s="3" t="s">
        <v>3386</v>
      </c>
      <c r="F1" s="3" t="s">
        <v>3385</v>
      </c>
      <c r="G1" s="3" t="s">
        <v>3387</v>
      </c>
      <c r="H1" s="3" t="s">
        <v>506</v>
      </c>
    </row>
    <row r="2" spans="1:11" x14ac:dyDescent="0.3">
      <c r="A2" s="2" t="s">
        <v>2854</v>
      </c>
      <c r="B2" s="2" t="s">
        <v>115</v>
      </c>
      <c r="C2" s="2" t="s">
        <v>111</v>
      </c>
      <c r="D2" s="2" t="s">
        <v>2859</v>
      </c>
      <c r="E2" s="4" t="str">
        <f>HYPERLINK("./Results/DLO\0\Osteo_Sarco_1.png","RPT")</f>
        <v>RPT</v>
      </c>
      <c r="F2" s="2" t="s">
        <v>25</v>
      </c>
      <c r="G2" s="6"/>
      <c r="I2"/>
      <c r="J2"/>
      <c r="K2"/>
    </row>
    <row r="3" spans="1:11" x14ac:dyDescent="0.3">
      <c r="A3" s="2" t="s">
        <v>2857</v>
      </c>
      <c r="B3" s="2" t="s">
        <v>112</v>
      </c>
      <c r="C3" s="2" t="s">
        <v>111</v>
      </c>
      <c r="D3" s="2" t="s">
        <v>2859</v>
      </c>
      <c r="E3" s="4" t="str">
        <f>HYPERLINK("./Results/DLO\1\Osteo_Sarco_1.png","RPT")</f>
        <v>RPT</v>
      </c>
      <c r="F3" s="2" t="s">
        <v>22</v>
      </c>
      <c r="G3" s="6"/>
      <c r="I3"/>
      <c r="J3"/>
      <c r="K3"/>
    </row>
    <row r="4" spans="1:11" x14ac:dyDescent="0.3">
      <c r="A4" s="2" t="s">
        <v>2855</v>
      </c>
      <c r="B4" s="2" t="s">
        <v>113</v>
      </c>
      <c r="C4" s="2" t="s">
        <v>111</v>
      </c>
      <c r="D4" s="2" t="s">
        <v>2859</v>
      </c>
      <c r="E4" s="4" t="str">
        <f>HYPERLINK("./Results/DLO\10\Osteo_Sarco_1.png","RPT")</f>
        <v>RPT</v>
      </c>
      <c r="F4" s="2" t="s">
        <v>32</v>
      </c>
      <c r="G4" s="6"/>
      <c r="I4"/>
      <c r="J4"/>
      <c r="K4"/>
    </row>
    <row r="5" spans="1:11" x14ac:dyDescent="0.3">
      <c r="A5" s="2" t="s">
        <v>2866</v>
      </c>
      <c r="B5" s="2" t="s">
        <v>114</v>
      </c>
      <c r="C5" s="2" t="s">
        <v>111</v>
      </c>
      <c r="D5" s="2" t="s">
        <v>2859</v>
      </c>
      <c r="E5" s="4" t="str">
        <f>HYPERLINK("./Results/DLO\100\Osteo_Sarco_1.png","RPT")</f>
        <v>RPT</v>
      </c>
      <c r="F5" s="2" t="s">
        <v>26</v>
      </c>
      <c r="G5" s="6"/>
      <c r="I5"/>
      <c r="J5"/>
      <c r="K5"/>
    </row>
    <row r="6" spans="1:11" x14ac:dyDescent="0.3">
      <c r="A6" s="2" t="s">
        <v>2862</v>
      </c>
      <c r="B6" s="2" t="s">
        <v>116</v>
      </c>
      <c r="C6" s="2" t="s">
        <v>119</v>
      </c>
      <c r="D6" s="2" t="s">
        <v>2867</v>
      </c>
      <c r="E6" s="4" t="str">
        <f>HYPERLINK("./Results/DLO\1000\Osteo_Sarco_1.png","RPT")</f>
        <v>RPT</v>
      </c>
      <c r="F6" s="2" t="s">
        <v>29</v>
      </c>
      <c r="G6" s="6"/>
      <c r="I6"/>
      <c r="J6"/>
      <c r="K6"/>
    </row>
    <row r="7" spans="1:11" x14ac:dyDescent="0.3">
      <c r="A7" s="2" t="s">
        <v>2868</v>
      </c>
      <c r="B7" s="2" t="s">
        <v>120</v>
      </c>
      <c r="C7" s="2" t="s">
        <v>111</v>
      </c>
      <c r="D7" s="2" t="s">
        <v>2859</v>
      </c>
      <c r="E7" s="4" t="str">
        <f>HYPERLINK("./Results/DLO\1001\Osteo_Sarco_1.png","RPT")</f>
        <v>RPT</v>
      </c>
      <c r="F7" s="2" t="s">
        <v>20</v>
      </c>
      <c r="G7" s="6"/>
      <c r="I7"/>
      <c r="J7"/>
      <c r="K7"/>
    </row>
    <row r="8" spans="1:11" x14ac:dyDescent="0.3">
      <c r="A8" s="2" t="s">
        <v>2858</v>
      </c>
      <c r="B8" s="2" t="s">
        <v>127</v>
      </c>
      <c r="C8" s="2" t="s">
        <v>119</v>
      </c>
      <c r="D8" s="2" t="s">
        <v>2859</v>
      </c>
      <c r="E8" s="4" t="str">
        <f>HYPERLINK("./Results/DLO\1002\Osteo_Sarco_1.png","RPT")</f>
        <v>RPT</v>
      </c>
      <c r="F8" s="2" t="s">
        <v>27</v>
      </c>
      <c r="G8" s="6"/>
      <c r="I8"/>
      <c r="J8"/>
      <c r="K8"/>
    </row>
    <row r="9" spans="1:11" x14ac:dyDescent="0.3">
      <c r="A9" s="2" t="s">
        <v>2861</v>
      </c>
      <c r="B9" s="2" t="s">
        <v>123</v>
      </c>
      <c r="C9" s="2" t="s">
        <v>111</v>
      </c>
      <c r="D9" s="2" t="s">
        <v>2859</v>
      </c>
      <c r="E9" s="4" t="str">
        <f>HYPERLINK("./Results/DLO\1003\Osteo_Sarco_1.png","RPT")</f>
        <v>RPT</v>
      </c>
      <c r="F9" s="2" t="s">
        <v>55</v>
      </c>
      <c r="G9" s="6"/>
      <c r="I9"/>
      <c r="J9"/>
      <c r="K9"/>
    </row>
    <row r="10" spans="1:11" x14ac:dyDescent="0.3">
      <c r="A10" s="2" t="s">
        <v>2860</v>
      </c>
      <c r="B10" s="2" t="s">
        <v>118</v>
      </c>
      <c r="C10" s="2" t="s">
        <v>119</v>
      </c>
      <c r="D10" s="2" t="s">
        <v>2859</v>
      </c>
      <c r="E10" s="4" t="str">
        <f>HYPERLINK("./Results/DLO\1004\Osteo_Sarco_1.png","RPT")</f>
        <v>RPT</v>
      </c>
      <c r="F10" s="2" t="s">
        <v>56</v>
      </c>
      <c r="G10" s="6"/>
      <c r="I10"/>
      <c r="J10"/>
      <c r="K10"/>
    </row>
    <row r="11" spans="1:11" x14ac:dyDescent="0.3">
      <c r="A11" s="2" t="s">
        <v>2864</v>
      </c>
      <c r="B11" s="2" t="s">
        <v>116</v>
      </c>
      <c r="C11" s="2" t="s">
        <v>119</v>
      </c>
      <c r="D11" s="2" t="s">
        <v>2859</v>
      </c>
      <c r="E11" s="4" t="str">
        <f>HYPERLINK("./Results/DLO\1005\Osteo_Sarco_1.png","RPT")</f>
        <v>RPT</v>
      </c>
      <c r="F11" s="2" t="s">
        <v>34</v>
      </c>
      <c r="G11" s="6"/>
      <c r="I11"/>
      <c r="J11"/>
      <c r="K11"/>
    </row>
    <row r="12" spans="1:11" x14ac:dyDescent="0.3">
      <c r="A12" s="2" t="s">
        <v>2865</v>
      </c>
      <c r="B12" s="2" t="s">
        <v>122</v>
      </c>
      <c r="C12" s="2" t="s">
        <v>119</v>
      </c>
      <c r="D12" s="2" t="s">
        <v>2859</v>
      </c>
      <c r="E12" s="4" t="str">
        <f>HYPERLINK("./Results/DLO\1006\Osteo_Sarco_1.png","RPT")</f>
        <v>RPT</v>
      </c>
      <c r="F12" s="2" t="s">
        <v>45</v>
      </c>
      <c r="G12" s="6"/>
      <c r="I12"/>
      <c r="J12"/>
      <c r="K12"/>
    </row>
    <row r="13" spans="1:11" x14ac:dyDescent="0.3">
      <c r="A13" s="2" t="s">
        <v>2853</v>
      </c>
      <c r="B13" s="2" t="s">
        <v>112</v>
      </c>
      <c r="C13" s="2" t="s">
        <v>111</v>
      </c>
      <c r="D13" s="2" t="s">
        <v>2859</v>
      </c>
      <c r="E13" s="4" t="str">
        <f>HYPERLINK("./Results/DLO\1007\Osteo_Sarco_1.png","RPT")</f>
        <v>RPT</v>
      </c>
      <c r="F13" s="2" t="s">
        <v>48</v>
      </c>
      <c r="G13" s="6"/>
      <c r="I13"/>
      <c r="J13"/>
      <c r="K13"/>
    </row>
    <row r="14" spans="1:11" x14ac:dyDescent="0.3">
      <c r="A14" s="2" t="s">
        <v>2856</v>
      </c>
      <c r="B14" s="2" t="s">
        <v>125</v>
      </c>
      <c r="C14" s="2" t="s">
        <v>111</v>
      </c>
      <c r="D14" s="2" t="s">
        <v>2859</v>
      </c>
      <c r="E14" s="4" t="str">
        <f>HYPERLINK("./Results/DLO\1008\Osteo_Sarco_1.png","RPT")</f>
        <v>RPT</v>
      </c>
      <c r="F14" s="2" t="s">
        <v>22</v>
      </c>
      <c r="G14" s="6"/>
      <c r="I14"/>
      <c r="J14"/>
      <c r="K14"/>
    </row>
    <row r="15" spans="1:11" x14ac:dyDescent="0.3">
      <c r="A15" s="2" t="s">
        <v>2863</v>
      </c>
      <c r="B15" s="2" t="s">
        <v>126</v>
      </c>
      <c r="C15" s="2" t="s">
        <v>119</v>
      </c>
      <c r="D15" s="2" t="s">
        <v>2859</v>
      </c>
      <c r="E15" s="4" t="str">
        <f>HYPERLINK("./Results/DLO\1009\Osteo_Sarco_1.png","RPT")</f>
        <v>RPT</v>
      </c>
      <c r="F15" s="2" t="s">
        <v>134</v>
      </c>
      <c r="G15" s="6"/>
      <c r="I15"/>
      <c r="J15"/>
      <c r="K15"/>
    </row>
    <row r="16" spans="1:11" x14ac:dyDescent="0.3">
      <c r="A16" s="2" t="s">
        <v>2874</v>
      </c>
      <c r="B16" s="2" t="s">
        <v>146</v>
      </c>
      <c r="C16" s="2" t="s">
        <v>119</v>
      </c>
      <c r="D16" s="2" t="s">
        <v>2859</v>
      </c>
      <c r="E16" s="4" t="str">
        <f>HYPERLINK("./Results/DLO\101\Osteo_Sarco_1.png","RPT")</f>
        <v>RPT</v>
      </c>
      <c r="F16" s="2" t="s">
        <v>27</v>
      </c>
      <c r="G16" s="6"/>
      <c r="I16"/>
      <c r="J16"/>
      <c r="K16"/>
    </row>
    <row r="17" spans="1:11" x14ac:dyDescent="0.3">
      <c r="A17" s="2" t="s">
        <v>2872</v>
      </c>
      <c r="B17" s="2" t="s">
        <v>129</v>
      </c>
      <c r="C17" s="2" t="s">
        <v>111</v>
      </c>
      <c r="D17" s="2" t="s">
        <v>2859</v>
      </c>
      <c r="E17" s="4" t="str">
        <f>HYPERLINK("./Results/DLO\1011\Osteo_Sarco_1.png","RPT")</f>
        <v>RPT</v>
      </c>
      <c r="F17" s="2" t="s">
        <v>39</v>
      </c>
      <c r="G17" s="6"/>
      <c r="H17" s="1">
        <v>25.99</v>
      </c>
    </row>
    <row r="18" spans="1:11" x14ac:dyDescent="0.3">
      <c r="A18" s="2" t="s">
        <v>2876</v>
      </c>
      <c r="B18" s="2" t="s">
        <v>145</v>
      </c>
      <c r="C18" s="2" t="s">
        <v>119</v>
      </c>
      <c r="D18" s="2" t="s">
        <v>2859</v>
      </c>
      <c r="E18" s="4" t="str">
        <f>HYPERLINK("./Results/DLO\1012\Osteo_Sarco_1.png","RPT")</f>
        <v>RPT</v>
      </c>
      <c r="F18" s="2" t="s">
        <v>48</v>
      </c>
      <c r="G18" s="6"/>
      <c r="I18"/>
      <c r="J18"/>
      <c r="K18"/>
    </row>
    <row r="19" spans="1:11" x14ac:dyDescent="0.3">
      <c r="A19" s="2" t="s">
        <v>2869</v>
      </c>
      <c r="B19" s="2" t="s">
        <v>129</v>
      </c>
      <c r="C19" s="2" t="s">
        <v>111</v>
      </c>
      <c r="D19" s="2" t="s">
        <v>2859</v>
      </c>
      <c r="E19" s="4" t="str">
        <f>HYPERLINK("./Results/DLO\1013\Osteo_Sarco_1.png","RPT")</f>
        <v>RPT</v>
      </c>
      <c r="F19" s="2" t="s">
        <v>52</v>
      </c>
      <c r="G19" s="6"/>
      <c r="H19" s="1">
        <v>22.09</v>
      </c>
    </row>
    <row r="20" spans="1:11" x14ac:dyDescent="0.3">
      <c r="A20" s="2" t="s">
        <v>2877</v>
      </c>
      <c r="B20" s="2" t="s">
        <v>116</v>
      </c>
      <c r="C20" s="2" t="s">
        <v>111</v>
      </c>
      <c r="D20" s="2" t="s">
        <v>2867</v>
      </c>
      <c r="E20" s="4" t="str">
        <f>HYPERLINK("./Results/DLO\1014\Osteo_Sarco_1.png","RPT")</f>
        <v>RPT</v>
      </c>
      <c r="F20" s="2" t="s">
        <v>47</v>
      </c>
      <c r="G20" s="6"/>
      <c r="H20" s="1">
        <v>23.81</v>
      </c>
    </row>
    <row r="21" spans="1:11" x14ac:dyDescent="0.3">
      <c r="A21" s="2" t="s">
        <v>2875</v>
      </c>
      <c r="B21" s="2" t="s">
        <v>147</v>
      </c>
      <c r="C21" s="2" t="s">
        <v>119</v>
      </c>
      <c r="D21" s="2" t="s">
        <v>2859</v>
      </c>
      <c r="E21" s="4" t="str">
        <f>HYPERLINK("./Results/DLO\1015\Osteo_Sarco_1.png","RPT")</f>
        <v>RPT</v>
      </c>
      <c r="F21" s="2" t="s">
        <v>57</v>
      </c>
      <c r="G21" s="6"/>
      <c r="I21"/>
      <c r="J21"/>
      <c r="K21"/>
    </row>
    <row r="22" spans="1:11" x14ac:dyDescent="0.3">
      <c r="A22" s="2" t="s">
        <v>2870</v>
      </c>
      <c r="B22" s="2" t="s">
        <v>135</v>
      </c>
      <c r="C22" s="2" t="s">
        <v>111</v>
      </c>
      <c r="D22" s="2" t="s">
        <v>2859</v>
      </c>
      <c r="E22" s="4" t="str">
        <f>HYPERLINK("./Results/DLO\1016\Osteo_Sarco_1.png","RPT")</f>
        <v>RPT</v>
      </c>
      <c r="F22" s="2" t="s">
        <v>26</v>
      </c>
      <c r="G22" s="6"/>
      <c r="H22" s="1">
        <v>23.95</v>
      </c>
    </row>
    <row r="23" spans="1:11" x14ac:dyDescent="0.3">
      <c r="A23" s="2" t="s">
        <v>2873</v>
      </c>
      <c r="B23" s="2" t="s">
        <v>149</v>
      </c>
      <c r="C23" s="2" t="s">
        <v>111</v>
      </c>
      <c r="D23" s="2" t="s">
        <v>2867</v>
      </c>
      <c r="E23" s="4" t="str">
        <f>HYPERLINK("./Results/DLO\1017\Osteo_Sarco_1.png","RPT")</f>
        <v>RPT</v>
      </c>
      <c r="F23" s="2" t="s">
        <v>40</v>
      </c>
      <c r="G23" s="6"/>
      <c r="H23" s="1">
        <v>30.4</v>
      </c>
    </row>
    <row r="24" spans="1:11" x14ac:dyDescent="0.3">
      <c r="A24" s="2" t="s">
        <v>2871</v>
      </c>
      <c r="B24" s="2" t="s">
        <v>137</v>
      </c>
      <c r="C24" s="2" t="s">
        <v>111</v>
      </c>
      <c r="D24" s="2" t="s">
        <v>2867</v>
      </c>
      <c r="E24" s="4" t="str">
        <f>HYPERLINK("./Results/DLO\1018\Osteo_Sarco_1.png","RPT")</f>
        <v>RPT</v>
      </c>
      <c r="F24" s="2" t="s">
        <v>41</v>
      </c>
      <c r="G24" s="6"/>
      <c r="I24"/>
      <c r="J24"/>
      <c r="K24"/>
    </row>
    <row r="25" spans="1:11" x14ac:dyDescent="0.3">
      <c r="A25" s="2" t="s">
        <v>1933</v>
      </c>
      <c r="B25" s="2" t="s">
        <v>126</v>
      </c>
      <c r="C25" s="2" t="s">
        <v>111</v>
      </c>
      <c r="D25" s="2" t="s">
        <v>2859</v>
      </c>
      <c r="E25" s="4" t="str">
        <f>HYPERLINK("./Results/DLO\1019\Osteo_Sarco_1.png","RPT")</f>
        <v>RPT</v>
      </c>
      <c r="F25" s="2" t="s">
        <v>42</v>
      </c>
      <c r="G25" s="6"/>
      <c r="I25"/>
      <c r="J25"/>
      <c r="K25"/>
    </row>
    <row r="26" spans="1:11" x14ac:dyDescent="0.3">
      <c r="A26" s="2" t="s">
        <v>1953</v>
      </c>
      <c r="B26" s="2" t="s">
        <v>142</v>
      </c>
      <c r="C26" s="2" t="s">
        <v>119</v>
      </c>
      <c r="D26" s="2" t="s">
        <v>2859</v>
      </c>
      <c r="E26" s="4" t="str">
        <f>HYPERLINK("./Results/DLO\102\Osteo_Sarco_1.png","RPT")</f>
        <v>RPT</v>
      </c>
      <c r="F26" s="2" t="s">
        <v>21</v>
      </c>
      <c r="G26" s="6"/>
      <c r="H26" s="1">
        <v>21.69</v>
      </c>
    </row>
    <row r="27" spans="1:11" x14ac:dyDescent="0.3">
      <c r="A27" s="2" t="s">
        <v>1950</v>
      </c>
      <c r="B27" s="2" t="s">
        <v>129</v>
      </c>
      <c r="C27" s="2" t="s">
        <v>119</v>
      </c>
      <c r="D27" s="2" t="s">
        <v>2867</v>
      </c>
      <c r="E27" s="4" t="str">
        <f>HYPERLINK("./Results/DLO\1020\Osteo_Sarco_1.png","RPT")</f>
        <v>RPT</v>
      </c>
      <c r="F27" s="2" t="s">
        <v>48</v>
      </c>
      <c r="G27" s="6"/>
      <c r="I27"/>
      <c r="J27"/>
      <c r="K27"/>
    </row>
    <row r="28" spans="1:11" x14ac:dyDescent="0.3">
      <c r="A28" s="2" t="s">
        <v>1930</v>
      </c>
      <c r="B28" s="2" t="s">
        <v>116</v>
      </c>
      <c r="C28" s="2" t="s">
        <v>119</v>
      </c>
      <c r="D28" s="2" t="s">
        <v>2859</v>
      </c>
      <c r="E28" s="4" t="str">
        <f>HYPERLINK("./Results/DLO\1021\Osteo_Sarco_1.png","RPT")</f>
        <v>RPT</v>
      </c>
      <c r="F28" s="2" t="s">
        <v>38</v>
      </c>
      <c r="G28" s="6"/>
      <c r="I28"/>
      <c r="J28"/>
      <c r="K28"/>
    </row>
    <row r="29" spans="1:11" x14ac:dyDescent="0.3">
      <c r="A29" s="2" t="s">
        <v>1931</v>
      </c>
      <c r="B29" s="2" t="s">
        <v>116</v>
      </c>
      <c r="C29" s="2" t="s">
        <v>119</v>
      </c>
      <c r="D29" s="2" t="s">
        <v>2859</v>
      </c>
      <c r="E29" s="4" t="str">
        <f>HYPERLINK("./Results/DLO\1022\Osteo_Sarco_1.png","RPT")</f>
        <v>RPT</v>
      </c>
      <c r="F29" s="2" t="s">
        <v>46</v>
      </c>
      <c r="G29" s="6"/>
      <c r="I29"/>
      <c r="J29"/>
      <c r="K29"/>
    </row>
    <row r="30" spans="1:11" x14ac:dyDescent="0.3">
      <c r="A30" s="2" t="s">
        <v>1939</v>
      </c>
      <c r="B30" s="2" t="s">
        <v>137</v>
      </c>
      <c r="C30" s="2" t="s">
        <v>111</v>
      </c>
      <c r="D30" s="2" t="s">
        <v>2867</v>
      </c>
      <c r="E30" s="4" t="str">
        <f>HYPERLINK("./Results/DLO\1023\Osteo_Sarco_1.png","RPT")</f>
        <v>RPT</v>
      </c>
      <c r="F30" s="2" t="s">
        <v>44</v>
      </c>
      <c r="G30" s="6"/>
      <c r="I30"/>
      <c r="J30"/>
      <c r="K30"/>
    </row>
    <row r="31" spans="1:11" x14ac:dyDescent="0.3">
      <c r="A31" s="2" t="s">
        <v>1942</v>
      </c>
      <c r="B31" s="2" t="s">
        <v>143</v>
      </c>
      <c r="C31" s="2" t="s">
        <v>111</v>
      </c>
      <c r="D31" s="2" t="s">
        <v>2867</v>
      </c>
      <c r="E31" s="4" t="str">
        <f>HYPERLINK("./Results/DLO\1024\Osteo_Sarco_1.png","RPT")</f>
        <v>RPT</v>
      </c>
      <c r="F31" s="2" t="s">
        <v>49</v>
      </c>
      <c r="G31" s="6"/>
      <c r="I31"/>
      <c r="J31"/>
      <c r="K31"/>
    </row>
    <row r="32" spans="1:11" x14ac:dyDescent="0.3">
      <c r="A32" s="2" t="s">
        <v>1951</v>
      </c>
      <c r="B32" s="2" t="s">
        <v>130</v>
      </c>
      <c r="C32" s="2" t="s">
        <v>119</v>
      </c>
      <c r="D32" s="2" t="s">
        <v>2859</v>
      </c>
      <c r="E32" s="4" t="str">
        <f>HYPERLINK("./Results/DLO\1025\Osteo_Sarco_1.png","RPT")</f>
        <v>RPT</v>
      </c>
      <c r="F32" s="2" t="s">
        <v>43</v>
      </c>
      <c r="G32" s="6"/>
      <c r="I32"/>
      <c r="J32"/>
      <c r="K32"/>
    </row>
    <row r="33" spans="1:11" x14ac:dyDescent="0.3">
      <c r="A33" s="2" t="s">
        <v>1952</v>
      </c>
      <c r="B33" s="2" t="s">
        <v>128</v>
      </c>
      <c r="C33" s="2" t="s">
        <v>111</v>
      </c>
      <c r="D33" s="2" t="s">
        <v>2859</v>
      </c>
      <c r="E33" s="4" t="str">
        <f>HYPERLINK("./Results/DLO\1026\Osteo_Sarco_1.png","RPT")</f>
        <v>RPT</v>
      </c>
      <c r="F33" s="2" t="s">
        <v>53</v>
      </c>
      <c r="G33" s="6"/>
      <c r="H33" s="1">
        <v>21.45</v>
      </c>
    </row>
    <row r="34" spans="1:11" x14ac:dyDescent="0.3">
      <c r="A34" s="2" t="s">
        <v>1932</v>
      </c>
      <c r="B34" s="2" t="s">
        <v>148</v>
      </c>
      <c r="C34" s="2" t="s">
        <v>119</v>
      </c>
      <c r="D34" s="2" t="s">
        <v>2859</v>
      </c>
      <c r="E34" s="4" t="str">
        <f>HYPERLINK("./Results/DLO\1027\Osteo_Sarco_1.png","RPT")</f>
        <v>RPT</v>
      </c>
      <c r="F34" s="2" t="s">
        <v>51</v>
      </c>
      <c r="G34" s="6"/>
      <c r="I34"/>
      <c r="J34"/>
      <c r="K34"/>
    </row>
    <row r="35" spans="1:11" x14ac:dyDescent="0.3">
      <c r="A35" s="2" t="s">
        <v>1936</v>
      </c>
      <c r="B35" s="2" t="s">
        <v>130</v>
      </c>
      <c r="C35" s="2" t="s">
        <v>119</v>
      </c>
      <c r="D35" s="2" t="s">
        <v>1935</v>
      </c>
      <c r="E35" s="4" t="str">
        <f>HYPERLINK("./Results/DLO\1028\Osteo_Sarco_1.png","RPT")</f>
        <v>RPT</v>
      </c>
      <c r="F35" s="2" t="s">
        <v>50</v>
      </c>
      <c r="G35" s="6"/>
      <c r="I35"/>
      <c r="J35"/>
      <c r="K35"/>
    </row>
    <row r="36" spans="1:11" x14ac:dyDescent="0.3">
      <c r="A36" s="2" t="s">
        <v>1934</v>
      </c>
      <c r="B36" s="2" t="s">
        <v>146</v>
      </c>
      <c r="C36" s="2" t="s">
        <v>119</v>
      </c>
      <c r="D36" s="2" t="s">
        <v>2859</v>
      </c>
      <c r="E36" s="4" t="str">
        <f>HYPERLINK("./Results/DLO\1029\Osteo_Sarco_1.png","RPT")</f>
        <v>RPT</v>
      </c>
      <c r="F36" s="2" t="s">
        <v>36</v>
      </c>
      <c r="G36" s="6"/>
      <c r="I36"/>
      <c r="J36"/>
      <c r="K36"/>
    </row>
    <row r="37" spans="1:11" x14ac:dyDescent="0.3">
      <c r="A37" s="2" t="s">
        <v>1937</v>
      </c>
      <c r="B37" s="2" t="s">
        <v>132</v>
      </c>
      <c r="C37" s="2" t="s">
        <v>119</v>
      </c>
      <c r="D37" s="2" t="s">
        <v>2859</v>
      </c>
      <c r="E37" s="4" t="str">
        <f>HYPERLINK("./Results/DLO\103\Osteo_Sarco_1.png","RPT")</f>
        <v>RPT</v>
      </c>
      <c r="F37" s="2" t="s">
        <v>60</v>
      </c>
      <c r="G37" s="6"/>
      <c r="I37"/>
      <c r="J37"/>
      <c r="K37"/>
    </row>
    <row r="38" spans="1:11" x14ac:dyDescent="0.3">
      <c r="A38" s="2" t="s">
        <v>1938</v>
      </c>
      <c r="B38" s="2" t="s">
        <v>131</v>
      </c>
      <c r="C38" s="2" t="s">
        <v>119</v>
      </c>
      <c r="D38" s="2" t="s">
        <v>2859</v>
      </c>
      <c r="E38" s="4" t="str">
        <f>HYPERLINK("./Results/DLO\1030\Osteo_Sarco_1.png","RPT")</f>
        <v>RPT</v>
      </c>
      <c r="F38" s="2" t="s">
        <v>41</v>
      </c>
      <c r="G38" s="6"/>
      <c r="I38"/>
      <c r="J38"/>
      <c r="K38"/>
    </row>
    <row r="39" spans="1:11" x14ac:dyDescent="0.3">
      <c r="A39" s="2" t="s">
        <v>1944</v>
      </c>
      <c r="B39" s="2" t="s">
        <v>137</v>
      </c>
      <c r="C39" s="2" t="s">
        <v>119</v>
      </c>
      <c r="D39" s="2" t="s">
        <v>2859</v>
      </c>
      <c r="E39" s="4" t="str">
        <f>HYPERLINK("./Results/DLO\1031\Osteo_Sarco_1.png","RPT")</f>
        <v>RPT</v>
      </c>
      <c r="F39" s="2" t="s">
        <v>115</v>
      </c>
      <c r="G39" s="6"/>
      <c r="I39"/>
      <c r="J39"/>
      <c r="K39"/>
    </row>
    <row r="40" spans="1:11" x14ac:dyDescent="0.3">
      <c r="A40" s="2" t="s">
        <v>1940</v>
      </c>
      <c r="B40" s="2" t="s">
        <v>127</v>
      </c>
      <c r="C40" s="2" t="s">
        <v>111</v>
      </c>
      <c r="D40" s="2" t="s">
        <v>2867</v>
      </c>
      <c r="E40" s="4" t="str">
        <f>HYPERLINK("./Results/DLO\1032\Osteo_Sarco_1.png","RPT")</f>
        <v>RPT</v>
      </c>
      <c r="F40" s="2" t="s">
        <v>54</v>
      </c>
      <c r="G40" s="6"/>
      <c r="I40"/>
      <c r="J40"/>
      <c r="K40"/>
    </row>
    <row r="41" spans="1:11" x14ac:dyDescent="0.3">
      <c r="A41" s="2" t="s">
        <v>1945</v>
      </c>
      <c r="B41" s="2" t="s">
        <v>122</v>
      </c>
      <c r="C41" s="2" t="s">
        <v>119</v>
      </c>
      <c r="D41" s="2" t="s">
        <v>2859</v>
      </c>
      <c r="E41" s="4" t="str">
        <f>HYPERLINK("./Results/DLO\1033\Osteo_Sarco_1.png","RPT")</f>
        <v>RPT</v>
      </c>
      <c r="F41" s="2" t="s">
        <v>50</v>
      </c>
      <c r="G41" s="6"/>
      <c r="I41"/>
      <c r="J41"/>
      <c r="K41"/>
    </row>
    <row r="42" spans="1:11" x14ac:dyDescent="0.3">
      <c r="A42" s="2" t="s">
        <v>1941</v>
      </c>
      <c r="B42" s="2" t="s">
        <v>133</v>
      </c>
      <c r="C42" s="2" t="s">
        <v>111</v>
      </c>
      <c r="D42" s="2" t="s">
        <v>2859</v>
      </c>
      <c r="E42" s="4" t="str">
        <f>HYPERLINK("./Results/DLO\1034\Osteo_Sarco_1.png","RPT")</f>
        <v>RPT</v>
      </c>
      <c r="F42" s="2" t="s">
        <v>58</v>
      </c>
      <c r="G42" s="6"/>
      <c r="H42" s="1">
        <v>23.39</v>
      </c>
    </row>
    <row r="43" spans="1:11" x14ac:dyDescent="0.3">
      <c r="A43" s="2" t="s">
        <v>1943</v>
      </c>
      <c r="B43" s="2" t="s">
        <v>137</v>
      </c>
      <c r="C43" s="2" t="s">
        <v>111</v>
      </c>
      <c r="D43" s="2" t="s">
        <v>2867</v>
      </c>
      <c r="E43" s="4" t="str">
        <f>HYPERLINK("./Results/DLO\1035\Osteo_Sarco_1.png","RPT")</f>
        <v>RPT</v>
      </c>
      <c r="F43" s="2" t="s">
        <v>58</v>
      </c>
      <c r="G43" s="6"/>
      <c r="H43" s="1">
        <v>22.8</v>
      </c>
    </row>
    <row r="44" spans="1:11" x14ac:dyDescent="0.3">
      <c r="A44" s="2" t="s">
        <v>1946</v>
      </c>
      <c r="B44" s="2" t="s">
        <v>123</v>
      </c>
      <c r="C44" s="2" t="s">
        <v>111</v>
      </c>
      <c r="D44" s="2" t="s">
        <v>2859</v>
      </c>
      <c r="E44" s="4" t="str">
        <f>HYPERLINK("./Results/DLO\1036\Osteo_Sarco_1.png","RPT")</f>
        <v>RPT</v>
      </c>
      <c r="F44" s="2" t="s">
        <v>59</v>
      </c>
      <c r="G44" s="6"/>
      <c r="I44"/>
      <c r="J44"/>
      <c r="K44"/>
    </row>
    <row r="45" spans="1:11" x14ac:dyDescent="0.3">
      <c r="A45" s="2" t="s">
        <v>1947</v>
      </c>
      <c r="B45" s="2" t="s">
        <v>127</v>
      </c>
      <c r="C45" s="2" t="s">
        <v>119</v>
      </c>
      <c r="D45" s="2" t="s">
        <v>2859</v>
      </c>
      <c r="E45" s="4" t="str">
        <f>HYPERLINK("./Results/DLO\1037\Osteo_Sarco_1.png","RPT")</f>
        <v>RPT</v>
      </c>
      <c r="F45" s="2" t="s">
        <v>48</v>
      </c>
      <c r="G45" s="6"/>
      <c r="I45"/>
      <c r="J45"/>
      <c r="K45"/>
    </row>
    <row r="46" spans="1:11" x14ac:dyDescent="0.3">
      <c r="A46" s="2" t="s">
        <v>1948</v>
      </c>
      <c r="B46" s="2" t="s">
        <v>146</v>
      </c>
      <c r="C46" s="2" t="s">
        <v>119</v>
      </c>
      <c r="D46" s="2" t="s">
        <v>2859</v>
      </c>
      <c r="E46" s="4" t="str">
        <f>HYPERLINK("./Results/DLO\1038\Osteo_Sarco_1.png","RPT")</f>
        <v>RPT</v>
      </c>
      <c r="F46" s="2" t="s">
        <v>38</v>
      </c>
      <c r="G46" s="6"/>
      <c r="I46"/>
      <c r="J46"/>
      <c r="K46"/>
    </row>
    <row r="47" spans="1:11" x14ac:dyDescent="0.3">
      <c r="A47" s="2" t="s">
        <v>1949</v>
      </c>
      <c r="B47" s="2" t="s">
        <v>148</v>
      </c>
      <c r="C47" s="2" t="s">
        <v>119</v>
      </c>
      <c r="D47" s="2" t="s">
        <v>2859</v>
      </c>
      <c r="E47" s="4" t="str">
        <f>HYPERLINK("./Results/DLO\1039\Osteo_Sarco_1.png","RPT")</f>
        <v>RPT</v>
      </c>
      <c r="F47" s="2" t="s">
        <v>56</v>
      </c>
      <c r="G47" s="6"/>
      <c r="I47"/>
      <c r="J47"/>
      <c r="K47"/>
    </row>
    <row r="48" spans="1:11" x14ac:dyDescent="0.3">
      <c r="A48" s="2" t="s">
        <v>1970</v>
      </c>
      <c r="B48" s="2" t="s">
        <v>134</v>
      </c>
      <c r="C48" s="2" t="s">
        <v>111</v>
      </c>
      <c r="D48" s="2" t="s">
        <v>2859</v>
      </c>
      <c r="E48" s="4" t="str">
        <f>HYPERLINK("./Results/DLO\104\Osteo_Sarco_1.png","RPT")</f>
        <v>RPT</v>
      </c>
      <c r="F48" s="2" t="s">
        <v>35</v>
      </c>
      <c r="G48" s="6"/>
      <c r="I48"/>
      <c r="J48"/>
      <c r="K48"/>
    </row>
    <row r="49" spans="1:11" x14ac:dyDescent="0.3">
      <c r="A49" s="2" t="s">
        <v>1955</v>
      </c>
      <c r="B49" s="2" t="s">
        <v>148</v>
      </c>
      <c r="C49" s="2" t="s">
        <v>111</v>
      </c>
      <c r="D49" s="2" t="s">
        <v>2859</v>
      </c>
      <c r="E49" s="4" t="str">
        <f>HYPERLINK("./Results/DLO\1040\Osteo_Sarco_1.png","RPT")</f>
        <v>RPT</v>
      </c>
      <c r="F49" s="2" t="s">
        <v>78</v>
      </c>
      <c r="G49" s="6"/>
      <c r="H49" s="1">
        <v>25.7</v>
      </c>
    </row>
    <row r="50" spans="1:11" x14ac:dyDescent="0.3">
      <c r="A50" s="2" t="s">
        <v>1972</v>
      </c>
      <c r="B50" s="2" t="s">
        <v>141</v>
      </c>
      <c r="C50" s="2" t="s">
        <v>111</v>
      </c>
      <c r="D50" s="2" t="s">
        <v>2867</v>
      </c>
      <c r="E50" s="4" t="str">
        <f>HYPERLINK("./Results/DLO\1041\Osteo_Sarco_1.png","RPT")</f>
        <v>RPT</v>
      </c>
      <c r="F50" s="2" t="s">
        <v>65</v>
      </c>
      <c r="G50" s="6"/>
      <c r="I50"/>
      <c r="J50"/>
      <c r="K50"/>
    </row>
    <row r="51" spans="1:11" x14ac:dyDescent="0.3">
      <c r="A51" s="2" t="s">
        <v>1973</v>
      </c>
      <c r="B51" s="2" t="s">
        <v>148</v>
      </c>
      <c r="C51" s="2" t="s">
        <v>119</v>
      </c>
      <c r="D51" s="2" t="s">
        <v>2859</v>
      </c>
      <c r="E51" s="4" t="str">
        <f>HYPERLINK("./Results/DLO\1042\Osteo_Sarco_1.png","RPT")</f>
        <v>RPT</v>
      </c>
      <c r="F51" s="2" t="s">
        <v>73</v>
      </c>
      <c r="G51" s="6"/>
      <c r="I51"/>
      <c r="J51"/>
      <c r="K51"/>
    </row>
    <row r="52" spans="1:11" x14ac:dyDescent="0.3">
      <c r="A52" s="2" t="s">
        <v>1971</v>
      </c>
      <c r="B52" s="2" t="s">
        <v>132</v>
      </c>
      <c r="C52" s="2" t="s">
        <v>111</v>
      </c>
      <c r="D52" s="2" t="s">
        <v>2859</v>
      </c>
      <c r="E52" s="4" t="str">
        <f>HYPERLINK("./Results/DLO\1043\Osteo_Sarco_1.png","RPT")</f>
        <v>RPT</v>
      </c>
      <c r="F52" s="2" t="s">
        <v>66</v>
      </c>
      <c r="G52" s="6"/>
      <c r="I52"/>
      <c r="J52"/>
      <c r="K52"/>
    </row>
    <row r="53" spans="1:11" x14ac:dyDescent="0.3">
      <c r="A53" s="2" t="s">
        <v>1961</v>
      </c>
      <c r="B53" s="2" t="s">
        <v>136</v>
      </c>
      <c r="C53" s="2" t="s">
        <v>111</v>
      </c>
      <c r="D53" s="2" t="s">
        <v>2867</v>
      </c>
      <c r="E53" s="4" t="str">
        <f>HYPERLINK("./Results/DLO\1044\Osteo_Sarco_1.png","RPT")</f>
        <v>RPT</v>
      </c>
      <c r="F53" s="2" t="s">
        <v>80</v>
      </c>
      <c r="G53" s="6"/>
      <c r="H53" s="1">
        <v>28.23</v>
      </c>
    </row>
    <row r="54" spans="1:11" x14ac:dyDescent="0.3">
      <c r="A54" s="2" t="s">
        <v>1958</v>
      </c>
      <c r="B54" s="2" t="s">
        <v>138</v>
      </c>
      <c r="C54" s="2" t="s">
        <v>119</v>
      </c>
      <c r="D54" s="2" t="s">
        <v>2859</v>
      </c>
      <c r="E54" s="4" t="str">
        <f>HYPERLINK("./Results/DLO\1045\Osteo_Sarco_1.png","RPT")</f>
        <v>RPT</v>
      </c>
      <c r="F54" s="2" t="s">
        <v>70</v>
      </c>
      <c r="G54" s="6"/>
      <c r="H54" s="1">
        <v>22.22</v>
      </c>
    </row>
    <row r="55" spans="1:11" x14ac:dyDescent="0.3">
      <c r="A55" s="2">
        <v>3973376</v>
      </c>
      <c r="B55" s="2" t="s">
        <v>113</v>
      </c>
      <c r="C55" s="2" t="s">
        <v>119</v>
      </c>
      <c r="D55" s="2" t="s">
        <v>2859</v>
      </c>
      <c r="E55" s="4" t="str">
        <f>HYPERLINK("./Results/DLO\1046\Osteo_Sarco_1.png","RPT")</f>
        <v>RPT</v>
      </c>
      <c r="F55" s="2" t="s">
        <v>43</v>
      </c>
      <c r="G55" s="6"/>
      <c r="I55"/>
      <c r="J55"/>
      <c r="K55"/>
    </row>
    <row r="56" spans="1:11" x14ac:dyDescent="0.3">
      <c r="A56" s="2" t="s">
        <v>1967</v>
      </c>
      <c r="B56" s="2" t="s">
        <v>114</v>
      </c>
      <c r="C56" s="2" t="s">
        <v>111</v>
      </c>
      <c r="D56" s="2" t="s">
        <v>2867</v>
      </c>
      <c r="E56" s="4" t="str">
        <f>HYPERLINK("./Results/DLO\1047\Osteo_Sarco_1.png","RPT")</f>
        <v>RPT</v>
      </c>
      <c r="F56" s="2" t="s">
        <v>22</v>
      </c>
      <c r="G56" s="6"/>
      <c r="I56"/>
      <c r="J56"/>
      <c r="K56"/>
    </row>
    <row r="57" spans="1:11" x14ac:dyDescent="0.3">
      <c r="A57" s="2" t="s">
        <v>1963</v>
      </c>
      <c r="B57" s="2" t="s">
        <v>131</v>
      </c>
      <c r="C57" s="2" t="s">
        <v>111</v>
      </c>
      <c r="D57" s="2" t="s">
        <v>2859</v>
      </c>
      <c r="E57" s="4" t="str">
        <f>HYPERLINK("./Results/DLO\1048\Osteo_Sarco_1.png","RPT")</f>
        <v>RPT</v>
      </c>
      <c r="F57" s="2" t="s">
        <v>71</v>
      </c>
      <c r="G57" s="6"/>
      <c r="I57"/>
      <c r="J57"/>
      <c r="K57"/>
    </row>
    <row r="58" spans="1:11" x14ac:dyDescent="0.3">
      <c r="A58" s="2" t="s">
        <v>1954</v>
      </c>
      <c r="B58" s="2" t="s">
        <v>139</v>
      </c>
      <c r="C58" s="2" t="s">
        <v>119</v>
      </c>
      <c r="D58" s="2" t="s">
        <v>2859</v>
      </c>
      <c r="E58" s="4" t="str">
        <f>HYPERLINK("./Results/DLO\1049\Osteo_Sarco_1.png","RPT")</f>
        <v>RPT</v>
      </c>
      <c r="F58" s="2" t="s">
        <v>60</v>
      </c>
      <c r="G58" s="6"/>
      <c r="I58"/>
      <c r="J58"/>
      <c r="K58"/>
    </row>
    <row r="59" spans="1:11" x14ac:dyDescent="0.3">
      <c r="A59" s="2" t="s">
        <v>1959</v>
      </c>
      <c r="B59" s="2" t="s">
        <v>148</v>
      </c>
      <c r="C59" s="2" t="s">
        <v>119</v>
      </c>
      <c r="D59" s="2" t="s">
        <v>2859</v>
      </c>
      <c r="E59" s="4" t="str">
        <f>HYPERLINK("./Results/DLO\105\Osteo_Sarco_1.png","RPT")</f>
        <v>RPT</v>
      </c>
      <c r="F59" s="2" t="s">
        <v>64</v>
      </c>
      <c r="G59" s="6"/>
      <c r="I59"/>
      <c r="J59"/>
      <c r="K59"/>
    </row>
    <row r="60" spans="1:11" x14ac:dyDescent="0.3">
      <c r="A60" s="2" t="s">
        <v>1962</v>
      </c>
      <c r="B60" s="2" t="s">
        <v>140</v>
      </c>
      <c r="C60" s="2" t="s">
        <v>119</v>
      </c>
      <c r="D60" s="2" t="s">
        <v>2859</v>
      </c>
      <c r="E60" s="4" t="str">
        <f>HYPERLINK("./Results/DLO\1050\Osteo_Sarco_1.png","RPT")</f>
        <v>RPT</v>
      </c>
      <c r="F60" s="2" t="s">
        <v>61</v>
      </c>
      <c r="G60" s="6"/>
      <c r="I60"/>
      <c r="J60"/>
      <c r="K60"/>
    </row>
    <row r="61" spans="1:11" x14ac:dyDescent="0.3">
      <c r="A61" s="2" t="s">
        <v>1968</v>
      </c>
      <c r="B61" s="2" t="s">
        <v>138</v>
      </c>
      <c r="C61" s="2" t="s">
        <v>119</v>
      </c>
      <c r="D61" s="2" t="s">
        <v>2859</v>
      </c>
      <c r="E61" s="4" t="str">
        <f>HYPERLINK("./Results/DLO\1051\Osteo_Sarco_1.png","RPT")</f>
        <v>RPT</v>
      </c>
      <c r="F61" s="2" t="s">
        <v>72</v>
      </c>
      <c r="G61" s="6"/>
      <c r="I61"/>
      <c r="J61"/>
      <c r="K61"/>
    </row>
    <row r="62" spans="1:11" x14ac:dyDescent="0.3">
      <c r="A62" s="2" t="s">
        <v>1964</v>
      </c>
      <c r="B62" s="2" t="s">
        <v>139</v>
      </c>
      <c r="C62" s="2" t="s">
        <v>119</v>
      </c>
      <c r="D62" s="2" t="s">
        <v>2859</v>
      </c>
      <c r="E62" s="4" t="str">
        <f>HYPERLINK("./Results/DLO\1053\Osteo_Sarco_1.png","RPT")</f>
        <v>RPT</v>
      </c>
      <c r="F62" s="2" t="s">
        <v>113</v>
      </c>
      <c r="G62" s="6"/>
      <c r="I62"/>
      <c r="J62"/>
      <c r="K62"/>
    </row>
    <row r="63" spans="1:11" x14ac:dyDescent="0.3">
      <c r="A63" s="2">
        <v>2645254</v>
      </c>
      <c r="B63" s="2" t="s">
        <v>136</v>
      </c>
      <c r="C63" s="2" t="s">
        <v>119</v>
      </c>
      <c r="D63" s="2" t="s">
        <v>1960</v>
      </c>
      <c r="E63" s="4" t="str">
        <f>HYPERLINK("./Results/DLO\1054\Osteo_Sarco_1.png","RPT")</f>
        <v>RPT</v>
      </c>
      <c r="F63" s="2" t="s">
        <v>150</v>
      </c>
      <c r="G63" s="6"/>
      <c r="H63" s="1">
        <v>20.170000000000002</v>
      </c>
    </row>
    <row r="64" spans="1:11" x14ac:dyDescent="0.3">
      <c r="A64" s="2" t="s">
        <v>1956</v>
      </c>
      <c r="B64" s="2" t="s">
        <v>144</v>
      </c>
      <c r="C64" s="2" t="s">
        <v>119</v>
      </c>
      <c r="D64" s="2" t="s">
        <v>2859</v>
      </c>
      <c r="E64" s="4" t="str">
        <f>HYPERLINK("./Results/DLO\1055\Osteo_Sarco_1.png","RPT")</f>
        <v>RPT</v>
      </c>
      <c r="F64" s="2" t="s">
        <v>44</v>
      </c>
      <c r="G64" s="6"/>
      <c r="I64"/>
      <c r="J64"/>
      <c r="K64"/>
    </row>
    <row r="65" spans="1:11" x14ac:dyDescent="0.3">
      <c r="A65" s="2" t="s">
        <v>1965</v>
      </c>
      <c r="B65" s="2" t="s">
        <v>127</v>
      </c>
      <c r="C65" s="2" t="s">
        <v>119</v>
      </c>
      <c r="D65" s="2" t="s">
        <v>2859</v>
      </c>
      <c r="E65" s="4" t="str">
        <f>HYPERLINK("./Results/DLO\1056\Osteo_Sarco_1.png","RPT")</f>
        <v>RPT</v>
      </c>
      <c r="F65" s="2" t="s">
        <v>79</v>
      </c>
      <c r="G65" s="6"/>
      <c r="I65"/>
      <c r="J65"/>
      <c r="K65"/>
    </row>
    <row r="66" spans="1:11" x14ac:dyDescent="0.3">
      <c r="A66" s="2" t="s">
        <v>1969</v>
      </c>
      <c r="B66" s="2" t="s">
        <v>118</v>
      </c>
      <c r="C66" s="2" t="s">
        <v>111</v>
      </c>
      <c r="D66" s="2" t="s">
        <v>1957</v>
      </c>
      <c r="E66" s="4" t="str">
        <f>HYPERLINK("./Results/DLO\1057\Osteo_Sarco_1.png","RPT")</f>
        <v>RPT</v>
      </c>
      <c r="F66" s="2" t="s">
        <v>67</v>
      </c>
      <c r="G66" s="6"/>
      <c r="H66" s="1">
        <v>30.02</v>
      </c>
    </row>
    <row r="67" spans="1:11" x14ac:dyDescent="0.3">
      <c r="A67" s="2" t="s">
        <v>1966</v>
      </c>
      <c r="B67" s="2" t="s">
        <v>138</v>
      </c>
      <c r="C67" s="2" t="s">
        <v>119</v>
      </c>
      <c r="D67" s="2" t="s">
        <v>2859</v>
      </c>
      <c r="E67" s="4" t="str">
        <f>HYPERLINK("./Results/DLO\1058\Osteo_Sarco_1.png","RPT")</f>
        <v>RPT</v>
      </c>
      <c r="F67" s="2" t="s">
        <v>77</v>
      </c>
      <c r="G67" s="6"/>
      <c r="H67" s="1">
        <v>28.68</v>
      </c>
    </row>
    <row r="68" spans="1:11" x14ac:dyDescent="0.3">
      <c r="A68" s="2" t="s">
        <v>1992</v>
      </c>
      <c r="B68" s="2" t="s">
        <v>137</v>
      </c>
      <c r="C68" s="2" t="s">
        <v>119</v>
      </c>
      <c r="D68" s="2" t="s">
        <v>2859</v>
      </c>
      <c r="E68" s="4" t="str">
        <f>HYPERLINK("./Results/DLO\1059\Osteo_Sarco_1.png","RPT")</f>
        <v>RPT</v>
      </c>
      <c r="F68" s="2" t="s">
        <v>115</v>
      </c>
      <c r="G68" s="6"/>
      <c r="H68" s="1">
        <v>28</v>
      </c>
    </row>
    <row r="69" spans="1:11" x14ac:dyDescent="0.3">
      <c r="A69" s="2" t="s">
        <v>1983</v>
      </c>
      <c r="B69" s="2" t="s">
        <v>149</v>
      </c>
      <c r="C69" s="2" t="s">
        <v>119</v>
      </c>
      <c r="D69" s="2" t="s">
        <v>2859</v>
      </c>
      <c r="E69" s="4" t="str">
        <f>HYPERLINK("./Results/DLO\106\Osteo_Sarco_1.png","RPT")</f>
        <v>RPT</v>
      </c>
      <c r="F69" s="2" t="s">
        <v>585</v>
      </c>
      <c r="G69" s="6"/>
      <c r="I69"/>
      <c r="J69"/>
      <c r="K69"/>
    </row>
    <row r="70" spans="1:11" x14ac:dyDescent="0.3">
      <c r="A70" s="2" t="s">
        <v>1984</v>
      </c>
      <c r="B70" s="2" t="s">
        <v>133</v>
      </c>
      <c r="C70" s="2" t="s">
        <v>111</v>
      </c>
      <c r="D70" s="2" t="s">
        <v>2859</v>
      </c>
      <c r="E70" s="4" t="str">
        <f>HYPERLINK("./Results/DLO\1060\Osteo_Sarco_1.png","RPT")</f>
        <v>RPT</v>
      </c>
      <c r="F70" s="2" t="s">
        <v>63</v>
      </c>
      <c r="G70" s="6"/>
      <c r="H70" s="1">
        <v>23.66</v>
      </c>
    </row>
    <row r="71" spans="1:11" x14ac:dyDescent="0.3">
      <c r="A71" s="2" t="s">
        <v>1981</v>
      </c>
      <c r="B71" s="2" t="s">
        <v>118</v>
      </c>
      <c r="C71" s="2" t="s">
        <v>119</v>
      </c>
      <c r="D71" s="2" t="s">
        <v>2859</v>
      </c>
      <c r="E71" s="4" t="str">
        <f>HYPERLINK("./Results/DLO\1061\Osteo_Sarco_1.png","RPT")</f>
        <v>RPT</v>
      </c>
      <c r="F71" s="2" t="s">
        <v>69</v>
      </c>
      <c r="G71" s="6"/>
      <c r="I71"/>
      <c r="J71"/>
      <c r="K71"/>
    </row>
    <row r="72" spans="1:11" x14ac:dyDescent="0.3">
      <c r="A72" s="2" t="s">
        <v>1994</v>
      </c>
      <c r="B72" s="2" t="s">
        <v>123</v>
      </c>
      <c r="C72" s="2" t="s">
        <v>119</v>
      </c>
      <c r="D72" s="2" t="s">
        <v>2867</v>
      </c>
      <c r="E72" s="4" t="str">
        <f>HYPERLINK("./Results/DLO\1062\Osteo_Sarco_1.png","RPT")</f>
        <v>RPT</v>
      </c>
      <c r="F72" s="2" t="s">
        <v>48</v>
      </c>
      <c r="G72" s="6"/>
      <c r="I72"/>
      <c r="J72"/>
      <c r="K72"/>
    </row>
    <row r="73" spans="1:11" x14ac:dyDescent="0.3">
      <c r="A73" s="2" t="s">
        <v>1976</v>
      </c>
      <c r="B73" s="2" t="s">
        <v>129</v>
      </c>
      <c r="C73" s="2" t="s">
        <v>119</v>
      </c>
      <c r="D73" s="2" t="s">
        <v>2859</v>
      </c>
      <c r="E73" s="4" t="str">
        <f>HYPERLINK("./Results/DLO\1063\Osteo_Sarco_1.png","RPT")</f>
        <v>RPT</v>
      </c>
      <c r="F73" s="2" t="s">
        <v>74</v>
      </c>
      <c r="G73" s="6"/>
      <c r="I73"/>
      <c r="J73"/>
      <c r="K73"/>
    </row>
    <row r="74" spans="1:11" x14ac:dyDescent="0.3">
      <c r="A74" s="2" t="s">
        <v>1993</v>
      </c>
      <c r="B74" s="2" t="s">
        <v>165</v>
      </c>
      <c r="C74" s="2" t="s">
        <v>111</v>
      </c>
      <c r="D74" s="2" t="s">
        <v>2867</v>
      </c>
      <c r="E74" s="4" t="str">
        <f>HYPERLINK("./Results/DLO\1064\Osteo_Sarco_1.png","RPT")</f>
        <v>RPT</v>
      </c>
      <c r="F74" s="2" t="s">
        <v>71</v>
      </c>
      <c r="G74" s="6"/>
      <c r="I74"/>
      <c r="J74"/>
      <c r="K74"/>
    </row>
    <row r="75" spans="1:11" x14ac:dyDescent="0.3">
      <c r="A75" s="2" t="s">
        <v>1980</v>
      </c>
      <c r="B75" s="2" t="s">
        <v>120</v>
      </c>
      <c r="C75" s="2" t="s">
        <v>119</v>
      </c>
      <c r="D75" s="2" t="s">
        <v>2867</v>
      </c>
      <c r="E75" s="4" t="str">
        <f>HYPERLINK("./Results/DLO\1065\Osteo_Sarco_1.png","RPT")</f>
        <v>RPT</v>
      </c>
      <c r="F75" s="2" t="s">
        <v>61</v>
      </c>
      <c r="G75" s="6"/>
      <c r="I75"/>
      <c r="J75"/>
      <c r="K75"/>
    </row>
    <row r="76" spans="1:11" x14ac:dyDescent="0.3">
      <c r="A76" s="2" t="s">
        <v>1990</v>
      </c>
      <c r="B76" s="2" t="s">
        <v>126</v>
      </c>
      <c r="C76" s="2" t="s">
        <v>119</v>
      </c>
      <c r="D76" s="2" t="s">
        <v>2859</v>
      </c>
      <c r="E76" s="4" t="str">
        <f>HYPERLINK("./Results/DLO\1066\Osteo_Sarco_1.png","RPT")</f>
        <v>RPT</v>
      </c>
      <c r="F76" s="2" t="s">
        <v>72</v>
      </c>
      <c r="G76" s="6"/>
      <c r="I76"/>
      <c r="J76"/>
      <c r="K76"/>
    </row>
    <row r="77" spans="1:11" x14ac:dyDescent="0.3">
      <c r="A77" s="2" t="s">
        <v>1982</v>
      </c>
      <c r="B77" s="2" t="s">
        <v>167</v>
      </c>
      <c r="C77" s="2" t="s">
        <v>111</v>
      </c>
      <c r="D77" s="2" t="s">
        <v>2859</v>
      </c>
      <c r="E77" s="4" t="str">
        <f>HYPERLINK("./Results/DLO\1067\Osteo_Sarco_1.png","RPT")</f>
        <v>RPT</v>
      </c>
      <c r="F77" s="2" t="s">
        <v>34</v>
      </c>
      <c r="G77" s="6"/>
      <c r="H77" s="1">
        <v>23.12</v>
      </c>
    </row>
    <row r="78" spans="1:11" x14ac:dyDescent="0.3">
      <c r="A78" s="2" t="s">
        <v>1988</v>
      </c>
      <c r="B78" s="2" t="s">
        <v>156</v>
      </c>
      <c r="C78" s="2" t="s">
        <v>111</v>
      </c>
      <c r="D78" s="2" t="s">
        <v>2859</v>
      </c>
      <c r="E78" s="4" t="str">
        <f>HYPERLINK("./Results/DLO\1068\Osteo_Sarco_1.png","RPT")</f>
        <v>RPT</v>
      </c>
      <c r="F78" s="2" t="s">
        <v>76</v>
      </c>
      <c r="G78" s="6"/>
      <c r="H78" s="1">
        <v>20.66</v>
      </c>
    </row>
    <row r="79" spans="1:11" x14ac:dyDescent="0.3">
      <c r="A79" s="2" t="s">
        <v>1977</v>
      </c>
      <c r="B79" s="2" t="s">
        <v>127</v>
      </c>
      <c r="C79" s="2" t="s">
        <v>119</v>
      </c>
      <c r="D79" s="2" t="s">
        <v>2859</v>
      </c>
      <c r="E79" s="4" t="str">
        <f>HYPERLINK("./Results/DLO\107\Osteo_Sarco_1.png","RPT")</f>
        <v>RPT</v>
      </c>
      <c r="F79" s="2" t="s">
        <v>29</v>
      </c>
      <c r="G79" s="6"/>
      <c r="I79"/>
      <c r="J79"/>
      <c r="K79"/>
    </row>
    <row r="80" spans="1:11" x14ac:dyDescent="0.3">
      <c r="A80" s="2" t="s">
        <v>1978</v>
      </c>
      <c r="B80" s="2" t="s">
        <v>118</v>
      </c>
      <c r="C80" s="2" t="s">
        <v>111</v>
      </c>
      <c r="D80" s="2" t="s">
        <v>2859</v>
      </c>
      <c r="E80" s="4" t="str">
        <f>HYPERLINK("./Results/DLO\1070\Osteo_Sarco_1.png","RPT")</f>
        <v>RPT</v>
      </c>
      <c r="F80" s="2" t="s">
        <v>62</v>
      </c>
      <c r="G80" s="6"/>
      <c r="I80"/>
      <c r="J80"/>
      <c r="K80"/>
    </row>
    <row r="81" spans="1:11" x14ac:dyDescent="0.3">
      <c r="A81" s="2" t="s">
        <v>1975</v>
      </c>
      <c r="B81" s="2" t="s">
        <v>140</v>
      </c>
      <c r="C81" s="2" t="s">
        <v>111</v>
      </c>
      <c r="D81" s="2" t="s">
        <v>2859</v>
      </c>
      <c r="E81" s="4" t="str">
        <f>HYPERLINK("./Results/DLO\1071\Osteo_Sarco_1.png","RPT")</f>
        <v>RPT</v>
      </c>
      <c r="F81" s="2" t="s">
        <v>64</v>
      </c>
      <c r="G81" s="6"/>
      <c r="I81"/>
      <c r="J81"/>
      <c r="K81"/>
    </row>
    <row r="82" spans="1:11" x14ac:dyDescent="0.3">
      <c r="A82" s="2" t="s">
        <v>1974</v>
      </c>
      <c r="B82" s="2" t="s">
        <v>118</v>
      </c>
      <c r="C82" s="2" t="s">
        <v>111</v>
      </c>
      <c r="D82" s="2" t="s">
        <v>2859</v>
      </c>
      <c r="E82" s="4" t="str">
        <f>HYPERLINK("./Results/DLO\1072\Osteo_Sarco_1.png","RPT")</f>
        <v>RPT</v>
      </c>
      <c r="F82" s="2" t="s">
        <v>68</v>
      </c>
      <c r="G82" s="6"/>
      <c r="H82" s="1">
        <v>26.93</v>
      </c>
    </row>
    <row r="83" spans="1:11" x14ac:dyDescent="0.3">
      <c r="A83" s="2" t="s">
        <v>1979</v>
      </c>
      <c r="B83" s="2" t="s">
        <v>159</v>
      </c>
      <c r="C83" s="2" t="s">
        <v>119</v>
      </c>
      <c r="D83" s="2" t="s">
        <v>2859</v>
      </c>
      <c r="E83" s="4" t="str">
        <f>HYPERLINK("./Results/DLO\1073\Osteo_Sarco_1.png","RPT")</f>
        <v>RPT</v>
      </c>
      <c r="F83" s="2" t="s">
        <v>81</v>
      </c>
      <c r="G83" s="6"/>
      <c r="I83"/>
      <c r="J83"/>
      <c r="K83"/>
    </row>
    <row r="84" spans="1:11" x14ac:dyDescent="0.3">
      <c r="A84" s="2" t="s">
        <v>1991</v>
      </c>
      <c r="B84" s="2" t="s">
        <v>129</v>
      </c>
      <c r="C84" s="2" t="s">
        <v>111</v>
      </c>
      <c r="D84" s="2" t="s">
        <v>2859</v>
      </c>
      <c r="E84" s="4" t="str">
        <f>HYPERLINK("./Results/DLO\1074\Osteo_Sarco_1.png","RPT")</f>
        <v>RPT</v>
      </c>
      <c r="F84" s="2" t="s">
        <v>108</v>
      </c>
      <c r="G84" s="6"/>
      <c r="I84"/>
      <c r="J84"/>
      <c r="K84"/>
    </row>
    <row r="85" spans="1:11" x14ac:dyDescent="0.3">
      <c r="A85" s="2" t="s">
        <v>1985</v>
      </c>
      <c r="B85" s="2" t="s">
        <v>137</v>
      </c>
      <c r="C85" s="2" t="s">
        <v>119</v>
      </c>
      <c r="D85" s="2" t="s">
        <v>2859</v>
      </c>
      <c r="E85" s="4" t="str">
        <f>HYPERLINK("./Results/DLO\1075\Osteo_Sarco_1.png","RPT")</f>
        <v>RPT</v>
      </c>
      <c r="F85" s="2" t="s">
        <v>88</v>
      </c>
      <c r="G85" s="6"/>
      <c r="I85"/>
      <c r="J85"/>
      <c r="K85"/>
    </row>
    <row r="86" spans="1:11" x14ac:dyDescent="0.3">
      <c r="A86" s="2" t="s">
        <v>1986</v>
      </c>
      <c r="B86" s="2" t="s">
        <v>138</v>
      </c>
      <c r="C86" s="2" t="s">
        <v>119</v>
      </c>
      <c r="D86" s="2" t="s">
        <v>2859</v>
      </c>
      <c r="E86" s="4" t="str">
        <f>HYPERLINK("./Results/DLO\1076\Osteo_Sarco_1.png","RPT")</f>
        <v>RPT</v>
      </c>
      <c r="F86" s="2" t="s">
        <v>72</v>
      </c>
      <c r="G86" s="6"/>
      <c r="I86"/>
      <c r="J86"/>
      <c r="K86"/>
    </row>
    <row r="87" spans="1:11" x14ac:dyDescent="0.3">
      <c r="A87" s="2" t="s">
        <v>1987</v>
      </c>
      <c r="B87" s="2" t="s">
        <v>118</v>
      </c>
      <c r="C87" s="2" t="s">
        <v>119</v>
      </c>
      <c r="D87" s="2" t="s">
        <v>2859</v>
      </c>
      <c r="E87" s="4" t="str">
        <f>HYPERLINK("./Results/DLO\1077\Osteo_Sarco_1.png","RPT")</f>
        <v>RPT</v>
      </c>
      <c r="F87" s="2" t="s">
        <v>87</v>
      </c>
      <c r="G87" s="6"/>
      <c r="I87"/>
      <c r="J87"/>
      <c r="K87"/>
    </row>
    <row r="88" spans="1:11" x14ac:dyDescent="0.3">
      <c r="A88" s="2" t="s">
        <v>1989</v>
      </c>
      <c r="B88" s="2" t="s">
        <v>140</v>
      </c>
      <c r="C88" s="2" t="s">
        <v>111</v>
      </c>
      <c r="D88" s="2" t="s">
        <v>2859</v>
      </c>
      <c r="E88" s="4" t="str">
        <f>HYPERLINK("./Results/DLO\1078\Osteo_Sarco_1.png","RPT")</f>
        <v>RPT</v>
      </c>
      <c r="F88" s="2" t="s">
        <v>105</v>
      </c>
      <c r="G88" s="6"/>
      <c r="I88"/>
      <c r="J88"/>
      <c r="K88"/>
    </row>
    <row r="89" spans="1:11" x14ac:dyDescent="0.3">
      <c r="A89" s="2" t="s">
        <v>1995</v>
      </c>
      <c r="B89" s="2" t="s">
        <v>114</v>
      </c>
      <c r="C89" s="2" t="s">
        <v>111</v>
      </c>
      <c r="D89" s="2" t="s">
        <v>2859</v>
      </c>
      <c r="E89" s="4" t="str">
        <f>HYPERLINK("./Results/DLO\1079\Osteo_Sarco_1.png","RPT")</f>
        <v>RPT</v>
      </c>
      <c r="F89" s="2" t="s">
        <v>82</v>
      </c>
      <c r="G89" s="6"/>
      <c r="I89"/>
      <c r="J89"/>
      <c r="K89"/>
    </row>
    <row r="90" spans="1:11" x14ac:dyDescent="0.3">
      <c r="A90" s="2" t="s">
        <v>2006</v>
      </c>
      <c r="B90" s="2" t="s">
        <v>138</v>
      </c>
      <c r="C90" s="2" t="s">
        <v>119</v>
      </c>
      <c r="D90" s="2" t="s">
        <v>2859</v>
      </c>
      <c r="E90" s="4" t="str">
        <f>HYPERLINK("./Results/DLO\108\Osteo_Sarco_1.png","RPT")</f>
        <v>RPT</v>
      </c>
      <c r="F90" s="2" t="s">
        <v>57</v>
      </c>
      <c r="G90" s="6"/>
      <c r="H90" s="1">
        <v>23.31</v>
      </c>
    </row>
    <row r="91" spans="1:11" x14ac:dyDescent="0.3">
      <c r="A91" s="2" t="s">
        <v>1996</v>
      </c>
      <c r="B91" s="2" t="s">
        <v>144</v>
      </c>
      <c r="C91" s="2" t="s">
        <v>119</v>
      </c>
      <c r="D91" s="2" t="s">
        <v>2859</v>
      </c>
      <c r="E91" s="4" t="str">
        <f>HYPERLINK("./Results/DLO\1080\Osteo_Sarco_1.png","RPT")</f>
        <v>RPT</v>
      </c>
      <c r="F91" s="2" t="s">
        <v>36</v>
      </c>
      <c r="G91" s="6"/>
      <c r="I91"/>
      <c r="J91"/>
      <c r="K91"/>
    </row>
    <row r="92" spans="1:11" x14ac:dyDescent="0.3">
      <c r="A92" s="2" t="s">
        <v>1997</v>
      </c>
      <c r="B92" s="2" t="s">
        <v>146</v>
      </c>
      <c r="C92" s="2" t="s">
        <v>119</v>
      </c>
      <c r="D92" s="2" t="s">
        <v>2867</v>
      </c>
      <c r="E92" s="4" t="str">
        <f>HYPERLINK("./Results/DLO\1081\Osteo_Sarco_1.png","RPT")</f>
        <v>RPT</v>
      </c>
      <c r="F92" s="2" t="s">
        <v>57</v>
      </c>
      <c r="G92" s="6"/>
      <c r="I92"/>
      <c r="J92"/>
      <c r="K92"/>
    </row>
    <row r="93" spans="1:11" x14ac:dyDescent="0.3">
      <c r="A93" s="2" t="s">
        <v>2004</v>
      </c>
      <c r="B93" s="2" t="s">
        <v>158</v>
      </c>
      <c r="C93" s="2" t="s">
        <v>119</v>
      </c>
      <c r="D93" s="2" t="s">
        <v>1935</v>
      </c>
      <c r="E93" s="4" t="str">
        <f>HYPERLINK("./Results/DLO\1082\Osteo_Sarco_1.png","RPT")</f>
        <v>RPT</v>
      </c>
      <c r="F93" s="2" t="s">
        <v>582</v>
      </c>
      <c r="G93" s="6"/>
      <c r="I93"/>
      <c r="J93"/>
      <c r="K93"/>
    </row>
    <row r="94" spans="1:11" x14ac:dyDescent="0.3">
      <c r="A94" s="2" t="s">
        <v>2009</v>
      </c>
      <c r="B94" s="2" t="s">
        <v>133</v>
      </c>
      <c r="C94" s="2" t="s">
        <v>119</v>
      </c>
      <c r="D94" s="2" t="s">
        <v>2859</v>
      </c>
      <c r="E94" s="4" t="str">
        <f>HYPERLINK("./Results/DLO\1083\Osteo_Sarco_1.png","RPT")</f>
        <v>RPT</v>
      </c>
      <c r="F94" s="2" t="s">
        <v>50</v>
      </c>
      <c r="G94" s="6"/>
      <c r="H94" s="1">
        <v>23.19</v>
      </c>
    </row>
    <row r="95" spans="1:11" x14ac:dyDescent="0.3">
      <c r="A95" s="2" t="s">
        <v>2000</v>
      </c>
      <c r="B95" s="2" t="s">
        <v>116</v>
      </c>
      <c r="C95" s="2" t="s">
        <v>119</v>
      </c>
      <c r="D95" s="2" t="s">
        <v>2859</v>
      </c>
      <c r="E95" s="4" t="str">
        <f>HYPERLINK("./Results/DLO\1084\Osteo_Sarco_1.png","RPT")</f>
        <v>RPT</v>
      </c>
      <c r="F95" s="2" t="s">
        <v>29</v>
      </c>
      <c r="G95" s="6"/>
      <c r="I95"/>
      <c r="J95"/>
      <c r="K95"/>
    </row>
    <row r="96" spans="1:11" x14ac:dyDescent="0.3">
      <c r="A96" s="2" t="s">
        <v>2001</v>
      </c>
      <c r="B96" s="2" t="s">
        <v>128</v>
      </c>
      <c r="C96" s="2" t="s">
        <v>111</v>
      </c>
      <c r="D96" s="2" t="s">
        <v>1960</v>
      </c>
      <c r="E96" s="4" t="str">
        <f>HYPERLINK("./Results/DLO\1085\Osteo_Sarco_1.png","RPT")</f>
        <v>RPT</v>
      </c>
      <c r="F96" s="2" t="s">
        <v>20</v>
      </c>
      <c r="G96" s="6"/>
      <c r="H96" s="1">
        <v>23.88</v>
      </c>
    </row>
    <row r="97" spans="1:11" x14ac:dyDescent="0.3">
      <c r="A97" s="2" t="s">
        <v>2005</v>
      </c>
      <c r="B97" s="2" t="s">
        <v>137</v>
      </c>
      <c r="C97" s="2" t="s">
        <v>119</v>
      </c>
      <c r="D97" s="2" t="s">
        <v>2859</v>
      </c>
      <c r="E97" s="4" t="str">
        <f>HYPERLINK("./Results/DLO\1086\Osteo_Sarco_1.png","RPT")</f>
        <v>RPT</v>
      </c>
      <c r="F97" s="2" t="s">
        <v>56</v>
      </c>
      <c r="G97" s="6"/>
      <c r="I97"/>
      <c r="J97"/>
      <c r="K97"/>
    </row>
    <row r="98" spans="1:11" x14ac:dyDescent="0.3">
      <c r="A98" s="2" t="s">
        <v>2012</v>
      </c>
      <c r="B98" s="2" t="s">
        <v>146</v>
      </c>
      <c r="C98" s="2" t="s">
        <v>119</v>
      </c>
      <c r="D98" s="2" t="s">
        <v>2867</v>
      </c>
      <c r="E98" s="4" t="str">
        <f>HYPERLINK("./Results/DLO\1087\Osteo_Sarco_1.png","RPT")</f>
        <v>RPT</v>
      </c>
      <c r="F98" s="2" t="s">
        <v>46</v>
      </c>
      <c r="G98" s="6"/>
      <c r="H98" s="1">
        <v>24.56</v>
      </c>
    </row>
    <row r="99" spans="1:11" x14ac:dyDescent="0.3">
      <c r="A99" s="2" t="s">
        <v>2003</v>
      </c>
      <c r="B99" s="2" t="s">
        <v>120</v>
      </c>
      <c r="C99" s="2" t="s">
        <v>111</v>
      </c>
      <c r="D99" s="2" t="s">
        <v>2859</v>
      </c>
      <c r="E99" s="4" t="str">
        <f>HYPERLINK("./Results/DLO\1088\Osteo_Sarco_1.png","RPT")</f>
        <v>RPT</v>
      </c>
      <c r="F99" s="2" t="s">
        <v>27</v>
      </c>
      <c r="G99" s="6"/>
      <c r="I99"/>
      <c r="J99"/>
      <c r="K99"/>
    </row>
    <row r="100" spans="1:11" x14ac:dyDescent="0.3">
      <c r="A100" s="2" t="s">
        <v>2010</v>
      </c>
      <c r="B100" s="2" t="s">
        <v>140</v>
      </c>
      <c r="C100" s="2" t="s">
        <v>119</v>
      </c>
      <c r="D100" s="2" t="s">
        <v>2859</v>
      </c>
      <c r="E100" s="4" t="str">
        <f>HYPERLINK("./Results/DLO\1089\Osteo_Sarco_1.png","RPT")</f>
        <v>RPT</v>
      </c>
      <c r="F100" s="2" t="s">
        <v>77</v>
      </c>
      <c r="G100" s="6"/>
      <c r="I100"/>
      <c r="J100"/>
      <c r="K100"/>
    </row>
    <row r="101" spans="1:11" x14ac:dyDescent="0.3">
      <c r="A101" s="2" t="s">
        <v>2011</v>
      </c>
      <c r="B101" s="2" t="s">
        <v>125</v>
      </c>
      <c r="C101" s="2" t="s">
        <v>111</v>
      </c>
      <c r="D101" s="2" t="s">
        <v>2867</v>
      </c>
      <c r="E101" s="4" t="str">
        <f>HYPERLINK("./Results/DLO\109\Osteo_Sarco_1.png","RPT")</f>
        <v>RPT</v>
      </c>
      <c r="F101" s="2" t="s">
        <v>90</v>
      </c>
      <c r="G101" s="6"/>
      <c r="I101"/>
      <c r="J101"/>
      <c r="K101"/>
    </row>
    <row r="102" spans="1:11" x14ac:dyDescent="0.3">
      <c r="A102" s="2" t="s">
        <v>2014</v>
      </c>
      <c r="B102" s="2" t="s">
        <v>120</v>
      </c>
      <c r="C102" s="2" t="s">
        <v>111</v>
      </c>
      <c r="D102" s="2" t="s">
        <v>2859</v>
      </c>
      <c r="E102" s="4" t="str">
        <f>HYPERLINK("./Results/DLO\1090\Osteo_Sarco_1.png","RPT")</f>
        <v>RPT</v>
      </c>
      <c r="F102" s="2" t="s">
        <v>78</v>
      </c>
      <c r="G102" s="6"/>
      <c r="H102" s="1">
        <v>25.92</v>
      </c>
    </row>
    <row r="103" spans="1:11" x14ac:dyDescent="0.3">
      <c r="A103" s="2" t="s">
        <v>2013</v>
      </c>
      <c r="B103" s="2" t="s">
        <v>161</v>
      </c>
      <c r="C103" s="2" t="s">
        <v>119</v>
      </c>
      <c r="D103" s="2" t="s">
        <v>2859</v>
      </c>
      <c r="E103" s="4" t="str">
        <f>HYPERLINK("./Results/DLO\1092\Osteo_Sarco_1.png","RPT")</f>
        <v>RPT</v>
      </c>
      <c r="F103" s="2" t="s">
        <v>97</v>
      </c>
      <c r="G103" s="6"/>
      <c r="I103"/>
      <c r="J103"/>
      <c r="K103"/>
    </row>
    <row r="104" spans="1:11" x14ac:dyDescent="0.3">
      <c r="A104" s="2" t="s">
        <v>1998</v>
      </c>
      <c r="B104" s="2" t="s">
        <v>136</v>
      </c>
      <c r="C104" s="2" t="s">
        <v>119</v>
      </c>
      <c r="D104" s="2" t="s">
        <v>2859</v>
      </c>
      <c r="E104" s="4" t="str">
        <f>HYPERLINK("./Results/DLO\1093\Osteo_Sarco_1.png","RPT")</f>
        <v>RPT</v>
      </c>
      <c r="F104" s="2" t="s">
        <v>56</v>
      </c>
      <c r="G104" s="6"/>
      <c r="I104"/>
      <c r="J104"/>
      <c r="K104"/>
    </row>
    <row r="105" spans="1:11" x14ac:dyDescent="0.3">
      <c r="A105" s="2" t="s">
        <v>2007</v>
      </c>
      <c r="B105" s="2" t="s">
        <v>160</v>
      </c>
      <c r="C105" s="2" t="s">
        <v>119</v>
      </c>
      <c r="D105" s="2" t="s">
        <v>2859</v>
      </c>
      <c r="E105" s="4" t="str">
        <f>HYPERLINK("./Results/DLO\1094\Osteo_Sarco_1.png","RPT")</f>
        <v>RPT</v>
      </c>
      <c r="F105" s="2" t="s">
        <v>70</v>
      </c>
      <c r="G105" s="6"/>
      <c r="H105" s="1">
        <v>22.55</v>
      </c>
    </row>
    <row r="106" spans="1:11" x14ac:dyDescent="0.3">
      <c r="A106" s="2" t="s">
        <v>1999</v>
      </c>
      <c r="B106" s="2" t="s">
        <v>140</v>
      </c>
      <c r="C106" s="2" t="s">
        <v>111</v>
      </c>
      <c r="D106" s="2" t="s">
        <v>2859</v>
      </c>
      <c r="E106" s="4" t="str">
        <f>HYPERLINK("./Results/DLO\1095\Osteo_Sarco_1.png","RPT")</f>
        <v>RPT</v>
      </c>
      <c r="F106" s="2" t="s">
        <v>78</v>
      </c>
      <c r="G106" s="6"/>
      <c r="I106"/>
      <c r="J106"/>
      <c r="K106"/>
    </row>
    <row r="107" spans="1:11" x14ac:dyDescent="0.3">
      <c r="A107" s="2" t="s">
        <v>2008</v>
      </c>
      <c r="B107" s="2" t="s">
        <v>149</v>
      </c>
      <c r="C107" s="2" t="s">
        <v>119</v>
      </c>
      <c r="D107" s="2" t="s">
        <v>2859</v>
      </c>
      <c r="E107" s="4" t="str">
        <f>HYPERLINK("./Results/DLO\1096\Osteo_Sarco_1.png","RPT")</f>
        <v>RPT</v>
      </c>
      <c r="F107" s="2" t="s">
        <v>56</v>
      </c>
      <c r="G107" s="6"/>
      <c r="I107"/>
      <c r="J107"/>
      <c r="K107"/>
    </row>
    <row r="108" spans="1:11" x14ac:dyDescent="0.3">
      <c r="A108" s="2" t="s">
        <v>2002</v>
      </c>
      <c r="B108" s="2" t="s">
        <v>135</v>
      </c>
      <c r="C108" s="2" t="s">
        <v>119</v>
      </c>
      <c r="D108" s="2" t="s">
        <v>2859</v>
      </c>
      <c r="E108" s="4" t="str">
        <f>HYPERLINK("./Results/DLO\1098\Osteo_Sarco_1.png","RPT")</f>
        <v>RPT</v>
      </c>
      <c r="F108" s="2" t="s">
        <v>96</v>
      </c>
      <c r="G108" s="6"/>
      <c r="I108"/>
      <c r="J108"/>
      <c r="K108"/>
    </row>
    <row r="109" spans="1:11" x14ac:dyDescent="0.3">
      <c r="A109" s="2" t="s">
        <v>2029</v>
      </c>
      <c r="B109" s="2" t="s">
        <v>118</v>
      </c>
      <c r="C109" s="2" t="s">
        <v>111</v>
      </c>
      <c r="D109" s="2" t="s">
        <v>2867</v>
      </c>
      <c r="E109" s="4" t="str">
        <f>HYPERLINK("./Results/DLO\1099\Osteo_Sarco_1.png","RPT")</f>
        <v>RPT</v>
      </c>
      <c r="F109" s="2" t="s">
        <v>110</v>
      </c>
      <c r="G109" s="6"/>
      <c r="I109"/>
      <c r="J109"/>
      <c r="K109"/>
    </row>
    <row r="110" spans="1:11" x14ac:dyDescent="0.3">
      <c r="A110" s="2" t="s">
        <v>2027</v>
      </c>
      <c r="B110" s="2" t="s">
        <v>126</v>
      </c>
      <c r="C110" s="2" t="s">
        <v>111</v>
      </c>
      <c r="D110" s="2" t="s">
        <v>2867</v>
      </c>
      <c r="E110" s="4" t="str">
        <f>HYPERLINK("./Results/DLO\11\Osteo_Sarco_1.png","RPT")</f>
        <v>RPT</v>
      </c>
      <c r="F110" s="2" t="s">
        <v>89</v>
      </c>
      <c r="G110" s="6"/>
      <c r="I110"/>
      <c r="J110"/>
      <c r="K110"/>
    </row>
    <row r="111" spans="1:11" x14ac:dyDescent="0.3">
      <c r="A111" s="2" t="s">
        <v>2023</v>
      </c>
      <c r="B111" s="2" t="s">
        <v>170</v>
      </c>
      <c r="C111" s="2" t="s">
        <v>111</v>
      </c>
      <c r="D111" s="2" t="s">
        <v>2859</v>
      </c>
      <c r="E111" s="4" t="str">
        <f>HYPERLINK("./Results/DLO\110\Osteo_Sarco_1.png","RPT")</f>
        <v>RPT</v>
      </c>
      <c r="F111" s="2" t="s">
        <v>36</v>
      </c>
      <c r="G111" s="6"/>
      <c r="I111"/>
      <c r="J111"/>
      <c r="K111"/>
    </row>
    <row r="112" spans="1:11" x14ac:dyDescent="0.3">
      <c r="A112" s="2" t="s">
        <v>2017</v>
      </c>
      <c r="B112" s="2" t="s">
        <v>146</v>
      </c>
      <c r="C112" s="2" t="s">
        <v>119</v>
      </c>
      <c r="D112" s="2" t="s">
        <v>2859</v>
      </c>
      <c r="E112" s="4" t="str">
        <f>HYPERLINK("./Results/DLO\1100\Osteo_Sarco_1.png","RPT")</f>
        <v>RPT</v>
      </c>
      <c r="F112" s="2" t="s">
        <v>72</v>
      </c>
      <c r="G112" s="6"/>
      <c r="I112"/>
      <c r="J112"/>
      <c r="K112"/>
    </row>
    <row r="113" spans="1:11" x14ac:dyDescent="0.3">
      <c r="A113" s="2" t="s">
        <v>2018</v>
      </c>
      <c r="B113" s="2" t="s">
        <v>122</v>
      </c>
      <c r="C113" s="2" t="s">
        <v>111</v>
      </c>
      <c r="D113" s="2" t="s">
        <v>2859</v>
      </c>
      <c r="E113" s="4" t="str">
        <f>HYPERLINK("./Results/DLO\1101\Osteo_Sarco_1.png","RPT")</f>
        <v>RPT</v>
      </c>
      <c r="F113" s="2" t="s">
        <v>83</v>
      </c>
      <c r="G113" s="6"/>
      <c r="H113" s="1">
        <v>26.64</v>
      </c>
    </row>
    <row r="114" spans="1:11" x14ac:dyDescent="0.3">
      <c r="A114" s="2" t="s">
        <v>2024</v>
      </c>
      <c r="B114" s="2" t="s">
        <v>126</v>
      </c>
      <c r="C114" s="2" t="s">
        <v>111</v>
      </c>
      <c r="D114" s="2" t="s">
        <v>2859</v>
      </c>
      <c r="E114" s="4" t="str">
        <f>HYPERLINK("./Results/DLO\1102\Osteo_Sarco_1.png","RPT")</f>
        <v>RPT</v>
      </c>
      <c r="F114" s="2" t="s">
        <v>49</v>
      </c>
      <c r="G114" s="6"/>
      <c r="I114"/>
      <c r="J114"/>
      <c r="K114"/>
    </row>
    <row r="115" spans="1:11" x14ac:dyDescent="0.3">
      <c r="A115" s="2" t="s">
        <v>2030</v>
      </c>
      <c r="B115" s="2" t="s">
        <v>167</v>
      </c>
      <c r="C115" s="2" t="s">
        <v>111</v>
      </c>
      <c r="D115" s="2" t="s">
        <v>2859</v>
      </c>
      <c r="E115" s="4" t="str">
        <f>HYPERLINK("./Results/DLO\1103\Osteo_Sarco_1.png","RPT")</f>
        <v>RPT</v>
      </c>
      <c r="F115" s="2" t="s">
        <v>63</v>
      </c>
      <c r="G115" s="6"/>
      <c r="I115"/>
      <c r="J115"/>
      <c r="K115"/>
    </row>
    <row r="116" spans="1:11" x14ac:dyDescent="0.3">
      <c r="A116" s="2" t="s">
        <v>2019</v>
      </c>
      <c r="B116" s="2" t="s">
        <v>157</v>
      </c>
      <c r="C116" s="2" t="s">
        <v>111</v>
      </c>
      <c r="D116" s="2" t="s">
        <v>2859</v>
      </c>
      <c r="E116" s="4" t="str">
        <f>HYPERLINK("./Results/DLO\1104\Osteo_Sarco_1.png","RPT")</f>
        <v>RPT</v>
      </c>
      <c r="F116" s="2" t="s">
        <v>59</v>
      </c>
      <c r="G116" s="6"/>
      <c r="I116"/>
      <c r="J116"/>
      <c r="K116"/>
    </row>
    <row r="117" spans="1:11" x14ac:dyDescent="0.3">
      <c r="A117" s="2" t="s">
        <v>2035</v>
      </c>
      <c r="B117" s="2" t="s">
        <v>151</v>
      </c>
      <c r="C117" s="2" t="s">
        <v>111</v>
      </c>
      <c r="D117" s="2" t="s">
        <v>2867</v>
      </c>
      <c r="E117" s="4" t="str">
        <f>HYPERLINK("./Results/DLO\1105\Osteo_Sarco_1.png","RPT")</f>
        <v>RPT</v>
      </c>
      <c r="F117" s="2" t="s">
        <v>55</v>
      </c>
      <c r="G117" s="6"/>
      <c r="I117"/>
      <c r="J117"/>
      <c r="K117"/>
    </row>
    <row r="118" spans="1:11" x14ac:dyDescent="0.3">
      <c r="A118" s="2" t="s">
        <v>2032</v>
      </c>
      <c r="B118" s="2" t="s">
        <v>134</v>
      </c>
      <c r="C118" s="2" t="s">
        <v>119</v>
      </c>
      <c r="D118" s="2" t="s">
        <v>2859</v>
      </c>
      <c r="E118" s="4" t="str">
        <f>HYPERLINK("./Results/DLO\1106\Osteo_Sarco_1.png","RPT")</f>
        <v>RPT</v>
      </c>
      <c r="F118" s="2" t="s">
        <v>591</v>
      </c>
      <c r="G118" s="6"/>
      <c r="H118" s="1">
        <v>21.36</v>
      </c>
    </row>
    <row r="119" spans="1:11" x14ac:dyDescent="0.3">
      <c r="A119" s="2" t="s">
        <v>2025</v>
      </c>
      <c r="B119" s="2" t="s">
        <v>144</v>
      </c>
      <c r="C119" s="2" t="s">
        <v>119</v>
      </c>
      <c r="D119" s="2" t="s">
        <v>2859</v>
      </c>
      <c r="E119" s="4" t="str">
        <f>HYPERLINK("./Results/DLO\1107\Osteo_Sarco_1.png","RPT")</f>
        <v>RPT</v>
      </c>
      <c r="F119" s="2" t="s">
        <v>99</v>
      </c>
      <c r="G119" s="6"/>
      <c r="I119"/>
      <c r="J119"/>
      <c r="K119"/>
    </row>
    <row r="120" spans="1:11" x14ac:dyDescent="0.3">
      <c r="A120" s="2" t="s">
        <v>2026</v>
      </c>
      <c r="B120" s="2" t="s">
        <v>139</v>
      </c>
      <c r="C120" s="2" t="s">
        <v>111</v>
      </c>
      <c r="D120" s="2" t="s">
        <v>2867</v>
      </c>
      <c r="E120" s="4" t="str">
        <f>HYPERLINK("./Results/DLO\1108\Osteo_Sarco_1.png","RPT")</f>
        <v>RPT</v>
      </c>
      <c r="F120" s="2" t="s">
        <v>91</v>
      </c>
      <c r="G120" s="6"/>
      <c r="I120"/>
      <c r="J120"/>
      <c r="K120"/>
    </row>
    <row r="121" spans="1:11" x14ac:dyDescent="0.3">
      <c r="A121" s="2" t="s">
        <v>2020</v>
      </c>
      <c r="B121" s="2" t="s">
        <v>166</v>
      </c>
      <c r="C121" s="2" t="s">
        <v>119</v>
      </c>
      <c r="D121" s="2" t="s">
        <v>2859</v>
      </c>
      <c r="E121" s="4" t="str">
        <f>HYPERLINK("./Results/DLO\1109\Osteo_Sarco_1.png","RPT")</f>
        <v>RPT</v>
      </c>
      <c r="F121" s="2" t="s">
        <v>77</v>
      </c>
      <c r="G121" s="6"/>
      <c r="I121"/>
      <c r="J121"/>
      <c r="K121"/>
    </row>
    <row r="122" spans="1:11" x14ac:dyDescent="0.3">
      <c r="A122" s="2" t="s">
        <v>2022</v>
      </c>
      <c r="B122" s="2" t="s">
        <v>118</v>
      </c>
      <c r="C122" s="2" t="s">
        <v>111</v>
      </c>
      <c r="D122" s="2" t="s">
        <v>2859</v>
      </c>
      <c r="E122" s="4" t="str">
        <f>HYPERLINK("./Results/DLO\111\Osteo_Sarco_1.png","RPT")</f>
        <v>RPT</v>
      </c>
      <c r="F122" s="2" t="s">
        <v>63</v>
      </c>
      <c r="G122" s="6"/>
      <c r="H122" s="1">
        <v>25.61</v>
      </c>
    </row>
    <row r="123" spans="1:11" x14ac:dyDescent="0.3">
      <c r="A123" s="2" t="s">
        <v>2033</v>
      </c>
      <c r="B123" s="2" t="s">
        <v>125</v>
      </c>
      <c r="C123" s="2" t="s">
        <v>111</v>
      </c>
      <c r="D123" s="2" t="s">
        <v>2859</v>
      </c>
      <c r="E123" s="4" t="str">
        <f>HYPERLINK("./Results/DLO\1110\Osteo_Sarco_1.png","RPT")</f>
        <v>RPT</v>
      </c>
      <c r="F123" s="2" t="s">
        <v>98</v>
      </c>
      <c r="G123" s="6"/>
      <c r="I123"/>
      <c r="J123"/>
      <c r="K123"/>
    </row>
    <row r="124" spans="1:11" x14ac:dyDescent="0.3">
      <c r="A124" s="2" t="s">
        <v>2028</v>
      </c>
      <c r="B124" s="2" t="s">
        <v>116</v>
      </c>
      <c r="C124" s="2" t="s">
        <v>119</v>
      </c>
      <c r="D124" s="2" t="s">
        <v>2859</v>
      </c>
      <c r="E124" s="4" t="str">
        <f>HYPERLINK("./Results/DLO\1111\Osteo_Sarco_1.png","RPT")</f>
        <v>RPT</v>
      </c>
      <c r="F124" s="2" t="s">
        <v>57</v>
      </c>
      <c r="G124" s="6"/>
      <c r="I124"/>
      <c r="J124"/>
      <c r="K124"/>
    </row>
    <row r="125" spans="1:11" x14ac:dyDescent="0.3">
      <c r="A125" s="2" t="s">
        <v>2034</v>
      </c>
      <c r="B125" s="2" t="s">
        <v>152</v>
      </c>
      <c r="C125" s="2" t="s">
        <v>119</v>
      </c>
      <c r="D125" s="2" t="s">
        <v>2859</v>
      </c>
      <c r="E125" s="4" t="str">
        <f>HYPERLINK("./Results/DLO\1112\Osteo_Sarco_1.png","RPT")</f>
        <v>RPT</v>
      </c>
      <c r="F125" s="2" t="s">
        <v>53</v>
      </c>
      <c r="G125" s="6"/>
      <c r="I125"/>
      <c r="J125"/>
      <c r="K125"/>
    </row>
    <row r="126" spans="1:11" x14ac:dyDescent="0.3">
      <c r="A126" s="2" t="s">
        <v>2015</v>
      </c>
      <c r="B126" s="2" t="s">
        <v>146</v>
      </c>
      <c r="C126" s="2" t="s">
        <v>119</v>
      </c>
      <c r="D126" s="2" t="s">
        <v>2016</v>
      </c>
      <c r="E126" s="4" t="str">
        <f>HYPERLINK("./Results/DLO\1113\Osteo_Sarco_1.png","RPT")</f>
        <v>RPT</v>
      </c>
      <c r="F126" s="2" t="s">
        <v>56</v>
      </c>
      <c r="G126" s="6"/>
      <c r="I126"/>
      <c r="J126"/>
      <c r="K126"/>
    </row>
    <row r="127" spans="1:11" x14ac:dyDescent="0.3">
      <c r="A127" s="2" t="s">
        <v>2031</v>
      </c>
      <c r="B127" s="2" t="s">
        <v>131</v>
      </c>
      <c r="C127" s="2" t="s">
        <v>119</v>
      </c>
      <c r="D127" s="2" t="s">
        <v>2867</v>
      </c>
      <c r="E127" s="4" t="str">
        <f>HYPERLINK("./Results/DLO\1114\Osteo_Sarco_1.png","RPT")</f>
        <v>RPT</v>
      </c>
      <c r="F127" s="2" t="s">
        <v>60</v>
      </c>
      <c r="G127" s="6"/>
      <c r="I127"/>
      <c r="J127"/>
      <c r="K127"/>
    </row>
    <row r="128" spans="1:11" x14ac:dyDescent="0.3">
      <c r="A128" s="2" t="s">
        <v>2021</v>
      </c>
      <c r="B128" s="2" t="s">
        <v>137</v>
      </c>
      <c r="C128" s="2" t="s">
        <v>111</v>
      </c>
      <c r="D128" s="2" t="s">
        <v>1960</v>
      </c>
      <c r="E128" s="4" t="str">
        <f>HYPERLINK("./Results/DLO\1115\Osteo_Sarco_1.png","RPT")</f>
        <v>RPT</v>
      </c>
      <c r="F128" s="2" t="s">
        <v>106</v>
      </c>
      <c r="G128" s="6"/>
      <c r="I128"/>
      <c r="J128"/>
      <c r="K128"/>
    </row>
    <row r="129" spans="1:11" x14ac:dyDescent="0.3">
      <c r="A129" s="2" t="s">
        <v>2038</v>
      </c>
      <c r="B129" s="2" t="s">
        <v>122</v>
      </c>
      <c r="C129" s="2" t="s">
        <v>111</v>
      </c>
      <c r="D129" s="2" t="s">
        <v>2859</v>
      </c>
      <c r="E129" s="4" t="str">
        <f>HYPERLINK("./Results/DLO\1116\Osteo_Sarco_1.png","RPT")</f>
        <v>RPT</v>
      </c>
      <c r="F129" s="2" t="s">
        <v>100</v>
      </c>
      <c r="G129" s="6"/>
      <c r="I129"/>
      <c r="J129"/>
      <c r="K129"/>
    </row>
    <row r="130" spans="1:11" x14ac:dyDescent="0.3">
      <c r="A130" s="2" t="s">
        <v>2036</v>
      </c>
      <c r="B130" s="2" t="s">
        <v>114</v>
      </c>
      <c r="C130" s="2" t="s">
        <v>119</v>
      </c>
      <c r="D130" s="2" t="s">
        <v>2859</v>
      </c>
      <c r="E130" s="4" t="str">
        <f>HYPERLINK("./Results/DLO\1117\Osteo_Sarco_1.png","RPT")</f>
        <v>RPT</v>
      </c>
      <c r="F130" s="2" t="s">
        <v>79</v>
      </c>
      <c r="G130" s="6"/>
      <c r="I130"/>
      <c r="J130"/>
      <c r="K130"/>
    </row>
    <row r="131" spans="1:11" x14ac:dyDescent="0.3">
      <c r="A131" s="2" t="s">
        <v>2039</v>
      </c>
      <c r="B131" s="2" t="s">
        <v>137</v>
      </c>
      <c r="C131" s="2" t="s">
        <v>119</v>
      </c>
      <c r="D131" s="2" t="s">
        <v>2867</v>
      </c>
      <c r="E131" s="4" t="str">
        <f>HYPERLINK("./Results/DLO\1118\Osteo_Sarco_1.png","RPT")</f>
        <v>RPT</v>
      </c>
      <c r="F131" s="2" t="s">
        <v>56</v>
      </c>
      <c r="G131" s="6"/>
      <c r="H131" s="1">
        <v>25.27</v>
      </c>
    </row>
    <row r="132" spans="1:11" x14ac:dyDescent="0.3">
      <c r="A132" s="2" t="s">
        <v>2040</v>
      </c>
      <c r="B132" s="2" t="s">
        <v>123</v>
      </c>
      <c r="C132" s="2" t="s">
        <v>111</v>
      </c>
      <c r="D132" s="2" t="s">
        <v>2867</v>
      </c>
      <c r="E132" s="4" t="str">
        <f>HYPERLINK("./Results/DLO\1119\Osteo_Sarco_1.png","RPT")</f>
        <v>RPT</v>
      </c>
      <c r="F132" s="2" t="s">
        <v>92</v>
      </c>
      <c r="G132" s="6"/>
      <c r="I132"/>
      <c r="J132"/>
      <c r="K132"/>
    </row>
    <row r="133" spans="1:11" x14ac:dyDescent="0.3">
      <c r="A133" s="2" t="s">
        <v>2042</v>
      </c>
      <c r="B133" s="2" t="s">
        <v>150</v>
      </c>
      <c r="C133" s="2" t="s">
        <v>111</v>
      </c>
      <c r="D133" s="2" t="s">
        <v>2859</v>
      </c>
      <c r="E133" s="4" t="str">
        <f>HYPERLINK("./Results/DLO\112\Osteo_Sarco_1.png","RPT")</f>
        <v>RPT</v>
      </c>
      <c r="F133" s="2" t="s">
        <v>32</v>
      </c>
      <c r="G133" s="6"/>
      <c r="H133" s="1">
        <v>25.64</v>
      </c>
    </row>
    <row r="134" spans="1:11" x14ac:dyDescent="0.3">
      <c r="A134" s="2" t="s">
        <v>2043</v>
      </c>
      <c r="B134" s="2" t="s">
        <v>116</v>
      </c>
      <c r="C134" s="2" t="s">
        <v>111</v>
      </c>
      <c r="D134" s="2" t="s">
        <v>2859</v>
      </c>
      <c r="E134" s="4" t="str">
        <f>HYPERLINK("./Results/DLO\1120\Osteo_Sarco_1.png","RPT")</f>
        <v>RPT</v>
      </c>
      <c r="F134" s="2" t="s">
        <v>107</v>
      </c>
      <c r="G134" s="6"/>
      <c r="I134"/>
      <c r="J134"/>
      <c r="K134"/>
    </row>
    <row r="135" spans="1:11" x14ac:dyDescent="0.3">
      <c r="A135" s="2" t="s">
        <v>2041</v>
      </c>
      <c r="B135" s="2" t="s">
        <v>116</v>
      </c>
      <c r="C135" s="2" t="s">
        <v>119</v>
      </c>
      <c r="D135" s="2" t="s">
        <v>2867</v>
      </c>
      <c r="E135" s="4" t="str">
        <f>HYPERLINK("./Results/DLO\1121\Osteo_Sarco_1.png","RPT")</f>
        <v>RPT</v>
      </c>
      <c r="F135" s="2" t="s">
        <v>98</v>
      </c>
      <c r="G135" s="6"/>
      <c r="H135" s="1">
        <v>22.94</v>
      </c>
    </row>
    <row r="136" spans="1:11" x14ac:dyDescent="0.3">
      <c r="A136" s="2" t="s">
        <v>2047</v>
      </c>
      <c r="B136" s="2" t="s">
        <v>149</v>
      </c>
      <c r="C136" s="2" t="s">
        <v>111</v>
      </c>
      <c r="D136" s="2" t="s">
        <v>2867</v>
      </c>
      <c r="E136" s="4" t="str">
        <f>HYPERLINK("./Results/DLO\1122\Osteo_Sarco_1.png","RPT")</f>
        <v>RPT</v>
      </c>
      <c r="F136" s="2" t="s">
        <v>91</v>
      </c>
      <c r="G136" s="6"/>
      <c r="I136"/>
      <c r="J136"/>
      <c r="K136"/>
    </row>
    <row r="137" spans="1:11" x14ac:dyDescent="0.3">
      <c r="A137" s="2" t="s">
        <v>2044</v>
      </c>
      <c r="B137" s="2" t="s">
        <v>140</v>
      </c>
      <c r="C137" s="2" t="s">
        <v>111</v>
      </c>
      <c r="D137" s="2" t="s">
        <v>2867</v>
      </c>
      <c r="E137" s="4" t="str">
        <f>HYPERLINK("./Results/DLO\1123\Osteo_Sarco_1.png","RPT")</f>
        <v>RPT</v>
      </c>
      <c r="F137" s="2" t="s">
        <v>91</v>
      </c>
      <c r="G137" s="6"/>
      <c r="I137"/>
      <c r="J137"/>
      <c r="K137"/>
    </row>
    <row r="138" spans="1:11" x14ac:dyDescent="0.3">
      <c r="A138" s="2" t="s">
        <v>2037</v>
      </c>
      <c r="B138" s="2" t="s">
        <v>116</v>
      </c>
      <c r="C138" s="2" t="s">
        <v>119</v>
      </c>
      <c r="D138" s="2" t="s">
        <v>2867</v>
      </c>
      <c r="E138" s="4" t="str">
        <f>HYPERLINK("./Results/DLO\1124\Osteo_Sarco_1.png","RPT")</f>
        <v>RPT</v>
      </c>
      <c r="F138" s="2" t="s">
        <v>36</v>
      </c>
      <c r="G138" s="6"/>
      <c r="H138" s="1">
        <v>27.63</v>
      </c>
    </row>
    <row r="139" spans="1:11" x14ac:dyDescent="0.3">
      <c r="A139" s="2" t="s">
        <v>2045</v>
      </c>
      <c r="B139" s="2" t="s">
        <v>160</v>
      </c>
      <c r="C139" s="2" t="s">
        <v>119</v>
      </c>
      <c r="D139" s="2" t="s">
        <v>2859</v>
      </c>
      <c r="E139" s="4" t="str">
        <f>HYPERLINK("./Results/DLO\1125\Osteo_Sarco_1.png","RPT")</f>
        <v>RPT</v>
      </c>
      <c r="F139" s="2" t="s">
        <v>46</v>
      </c>
      <c r="G139" s="6"/>
      <c r="I139"/>
      <c r="J139"/>
      <c r="K139"/>
    </row>
    <row r="140" spans="1:11" x14ac:dyDescent="0.3">
      <c r="A140" s="2" t="s">
        <v>2046</v>
      </c>
      <c r="B140" s="2" t="s">
        <v>144</v>
      </c>
      <c r="C140" s="2" t="s">
        <v>111</v>
      </c>
      <c r="D140" s="2" t="s">
        <v>2859</v>
      </c>
      <c r="E140" s="4" t="str">
        <f>HYPERLINK("./Results/DLO\1126\Osteo_Sarco_1.png","RPT")</f>
        <v>RPT</v>
      </c>
      <c r="F140" s="2" t="s">
        <v>68</v>
      </c>
      <c r="G140" s="6"/>
      <c r="I140"/>
      <c r="J140"/>
      <c r="K140"/>
    </row>
    <row r="141" spans="1:11" x14ac:dyDescent="0.3">
      <c r="A141" s="2" t="s">
        <v>2056</v>
      </c>
      <c r="B141" s="2" t="s">
        <v>149</v>
      </c>
      <c r="C141" s="2" t="s">
        <v>119</v>
      </c>
      <c r="D141" s="2" t="s">
        <v>2859</v>
      </c>
      <c r="E141" s="4" t="str">
        <f>HYPERLINK("./Results/DLO\1127\Osteo_Sarco_1.png","RPT")</f>
        <v>RPT</v>
      </c>
      <c r="F141" s="2" t="s">
        <v>48</v>
      </c>
      <c r="G141" s="6"/>
      <c r="I141"/>
      <c r="J141"/>
      <c r="K141"/>
    </row>
    <row r="142" spans="1:11" x14ac:dyDescent="0.3">
      <c r="A142" s="2" t="s">
        <v>2048</v>
      </c>
      <c r="B142" s="2" t="s">
        <v>138</v>
      </c>
      <c r="C142" s="2" t="s">
        <v>119</v>
      </c>
      <c r="D142" s="2" t="s">
        <v>2859</v>
      </c>
      <c r="E142" s="4" t="str">
        <f>HYPERLINK("./Results/DLO\1128\Osteo_Sarco_1.png","RPT")</f>
        <v>RPT</v>
      </c>
      <c r="F142" s="2" t="s">
        <v>36</v>
      </c>
      <c r="G142" s="6"/>
      <c r="I142"/>
      <c r="J142"/>
      <c r="K142"/>
    </row>
    <row r="143" spans="1:11" x14ac:dyDescent="0.3">
      <c r="A143" s="2" t="s">
        <v>2049</v>
      </c>
      <c r="B143" s="2" t="s">
        <v>123</v>
      </c>
      <c r="C143" s="2" t="s">
        <v>111</v>
      </c>
      <c r="D143" s="2" t="s">
        <v>2859</v>
      </c>
      <c r="E143" s="4" t="str">
        <f>HYPERLINK("./Results/DLO\1129\Osteo_Sarco_1.png","RPT")</f>
        <v>RPT</v>
      </c>
      <c r="F143" s="2" t="s">
        <v>93</v>
      </c>
      <c r="G143" s="6"/>
      <c r="I143"/>
      <c r="J143"/>
      <c r="K143"/>
    </row>
    <row r="144" spans="1:11" x14ac:dyDescent="0.3">
      <c r="A144" s="2" t="s">
        <v>2050</v>
      </c>
      <c r="B144" s="2" t="s">
        <v>143</v>
      </c>
      <c r="C144" s="2" t="s">
        <v>119</v>
      </c>
      <c r="D144" s="2" t="s">
        <v>2859</v>
      </c>
      <c r="E144" s="4" t="str">
        <f>HYPERLINK("./Results/DLO\113\Osteo_Sarco_1.png","RPT")</f>
        <v>RPT</v>
      </c>
      <c r="F144" s="2" t="s">
        <v>34</v>
      </c>
      <c r="G144" s="6"/>
      <c r="H144" s="1">
        <v>21.89</v>
      </c>
    </row>
    <row r="145" spans="1:11" x14ac:dyDescent="0.3">
      <c r="A145" s="2" t="s">
        <v>2051</v>
      </c>
      <c r="B145" s="2" t="s">
        <v>131</v>
      </c>
      <c r="C145" s="2" t="s">
        <v>111</v>
      </c>
      <c r="D145" s="2" t="s">
        <v>2867</v>
      </c>
      <c r="E145" s="4" t="str">
        <f>HYPERLINK("./Results/DLO\1130\Osteo_Sarco_1.png","RPT")</f>
        <v>RPT</v>
      </c>
      <c r="F145" s="2" t="s">
        <v>54</v>
      </c>
      <c r="G145" s="6"/>
      <c r="I145"/>
      <c r="J145"/>
      <c r="K145"/>
    </row>
    <row r="146" spans="1:11" x14ac:dyDescent="0.3">
      <c r="A146" s="2" t="s">
        <v>2055</v>
      </c>
      <c r="B146" s="2" t="s">
        <v>159</v>
      </c>
      <c r="C146" s="2" t="s">
        <v>111</v>
      </c>
      <c r="D146" s="2" t="s">
        <v>2859</v>
      </c>
      <c r="E146" s="4" t="str">
        <f>HYPERLINK("./Results/DLO\1131\Osteo_Sarco_1.png","RPT")</f>
        <v>RPT</v>
      </c>
      <c r="F146" s="2" t="s">
        <v>103</v>
      </c>
      <c r="G146" s="6"/>
      <c r="I146"/>
      <c r="J146"/>
      <c r="K146"/>
    </row>
    <row r="147" spans="1:11" x14ac:dyDescent="0.3">
      <c r="A147" s="2" t="s">
        <v>2052</v>
      </c>
      <c r="B147" s="2" t="s">
        <v>132</v>
      </c>
      <c r="C147" s="2" t="s">
        <v>119</v>
      </c>
      <c r="D147" s="2" t="s">
        <v>2859</v>
      </c>
      <c r="E147" s="4" t="str">
        <f>HYPERLINK("./Results/DLO\1132\Osteo_Sarco_1.png","RPT")</f>
        <v>RPT</v>
      </c>
      <c r="F147" s="2" t="s">
        <v>56</v>
      </c>
      <c r="G147" s="6"/>
      <c r="I147"/>
      <c r="J147"/>
      <c r="K147"/>
    </row>
    <row r="148" spans="1:11" x14ac:dyDescent="0.3">
      <c r="A148" s="2" t="s">
        <v>2053</v>
      </c>
      <c r="B148" s="2" t="s">
        <v>137</v>
      </c>
      <c r="C148" s="2" t="s">
        <v>119</v>
      </c>
      <c r="D148" s="2" t="s">
        <v>1957</v>
      </c>
      <c r="E148" s="4" t="str">
        <f>HYPERLINK("./Results/DLO\1133\Osteo_Sarco_1.png","RPT")</f>
        <v>RPT</v>
      </c>
      <c r="F148" s="2" t="s">
        <v>70</v>
      </c>
      <c r="G148" s="6"/>
      <c r="I148"/>
      <c r="J148"/>
      <c r="K148"/>
    </row>
    <row r="149" spans="1:11" x14ac:dyDescent="0.3">
      <c r="A149" s="2" t="s">
        <v>2054</v>
      </c>
      <c r="B149" s="2" t="s">
        <v>118</v>
      </c>
      <c r="C149" s="2" t="s">
        <v>111</v>
      </c>
      <c r="D149" s="2" t="s">
        <v>2859</v>
      </c>
      <c r="E149" s="4" t="str">
        <f>HYPERLINK("./Results/DLO\1134\Osteo_Sarco_1.png","RPT")</f>
        <v>RPT</v>
      </c>
      <c r="F149" s="2" t="s">
        <v>134</v>
      </c>
      <c r="G149" s="6"/>
      <c r="I149"/>
      <c r="J149"/>
      <c r="K149"/>
    </row>
    <row r="150" spans="1:11" x14ac:dyDescent="0.3">
      <c r="A150" s="2" t="s">
        <v>2068</v>
      </c>
      <c r="B150" s="2" t="s">
        <v>125</v>
      </c>
      <c r="C150" s="2" t="s">
        <v>111</v>
      </c>
      <c r="D150" s="2" t="s">
        <v>2859</v>
      </c>
      <c r="E150" s="4" t="str">
        <f>HYPERLINK("./Results/DLO\1135\Osteo_Sarco_1.png","RPT")</f>
        <v>RPT</v>
      </c>
      <c r="F150" s="2" t="s">
        <v>94</v>
      </c>
      <c r="G150" s="6"/>
      <c r="I150"/>
      <c r="J150"/>
      <c r="K150"/>
    </row>
    <row r="151" spans="1:11" x14ac:dyDescent="0.3">
      <c r="A151" s="2" t="s">
        <v>2074</v>
      </c>
      <c r="B151" s="2" t="s">
        <v>120</v>
      </c>
      <c r="C151" s="2" t="s">
        <v>119</v>
      </c>
      <c r="D151" s="2" t="s">
        <v>2859</v>
      </c>
      <c r="E151" s="4" t="str">
        <f>HYPERLINK("./Results/DLO\1136\Osteo_Sarco_1.png","RPT")</f>
        <v>RPT</v>
      </c>
      <c r="F151" s="2" t="s">
        <v>21</v>
      </c>
      <c r="G151" s="6"/>
      <c r="H151" s="1">
        <v>22.56</v>
      </c>
    </row>
    <row r="152" spans="1:11" x14ac:dyDescent="0.3">
      <c r="A152" s="2" t="s">
        <v>2078</v>
      </c>
      <c r="B152" s="2" t="s">
        <v>140</v>
      </c>
      <c r="C152" s="2" t="s">
        <v>119</v>
      </c>
      <c r="D152" s="2" t="s">
        <v>2859</v>
      </c>
      <c r="E152" s="4" t="str">
        <f>HYPERLINK("./Results/DLO\1137\Osteo_Sarco_1.png","RPT")</f>
        <v>RPT</v>
      </c>
      <c r="F152" s="2" t="s">
        <v>36</v>
      </c>
      <c r="G152" s="6"/>
      <c r="H152" s="1">
        <v>21.02</v>
      </c>
    </row>
    <row r="153" spans="1:11" x14ac:dyDescent="0.3">
      <c r="A153" s="2" t="s">
        <v>2075</v>
      </c>
      <c r="B153" s="2" t="s">
        <v>164</v>
      </c>
      <c r="C153" s="2" t="s">
        <v>111</v>
      </c>
      <c r="D153" s="2" t="s">
        <v>2859</v>
      </c>
      <c r="E153" s="4" t="str">
        <f>HYPERLINK("./Results/DLO\1138\Osteo_Sarco_1.png","RPT")</f>
        <v>RPT</v>
      </c>
      <c r="F153" s="2" t="s">
        <v>47</v>
      </c>
      <c r="G153" s="6"/>
      <c r="H153" s="1">
        <v>24.51</v>
      </c>
    </row>
    <row r="154" spans="1:11" x14ac:dyDescent="0.3">
      <c r="A154" s="2" t="s">
        <v>2066</v>
      </c>
      <c r="B154" s="2" t="s">
        <v>148</v>
      </c>
      <c r="C154" s="2" t="s">
        <v>111</v>
      </c>
      <c r="D154" s="2" t="s">
        <v>2859</v>
      </c>
      <c r="E154" s="4" t="str">
        <f>HYPERLINK("./Results/DLO\1139\Osteo_Sarco_1.png","RPT")</f>
        <v>RPT</v>
      </c>
      <c r="F154" s="2" t="s">
        <v>104</v>
      </c>
      <c r="G154" s="6"/>
      <c r="I154"/>
      <c r="J154"/>
      <c r="K154"/>
    </row>
    <row r="155" spans="1:11" x14ac:dyDescent="0.3">
      <c r="A155" s="2" t="s">
        <v>2076</v>
      </c>
      <c r="B155" s="2" t="s">
        <v>156</v>
      </c>
      <c r="C155" s="2" t="s">
        <v>111</v>
      </c>
      <c r="D155" s="2" t="s">
        <v>2859</v>
      </c>
      <c r="E155" s="4" t="str">
        <f>HYPERLINK("./Results/DLO\114\Osteo_Sarco_1.png","RPT")</f>
        <v>RPT</v>
      </c>
      <c r="F155" s="2" t="s">
        <v>105</v>
      </c>
      <c r="G155" s="6"/>
      <c r="H155" s="1">
        <v>26.03</v>
      </c>
    </row>
    <row r="156" spans="1:11" x14ac:dyDescent="0.3">
      <c r="A156" s="2" t="s">
        <v>2073</v>
      </c>
      <c r="B156" s="2" t="s">
        <v>120</v>
      </c>
      <c r="C156" s="2" t="s">
        <v>111</v>
      </c>
      <c r="D156" s="2" t="s">
        <v>2859</v>
      </c>
      <c r="E156" s="4" t="str">
        <f>HYPERLINK("./Results/DLO\1141\Osteo_Sarco_1.png","RPT")</f>
        <v>RPT</v>
      </c>
      <c r="F156" s="2" t="s">
        <v>101</v>
      </c>
      <c r="G156" s="6"/>
      <c r="I156"/>
      <c r="J156"/>
      <c r="K156"/>
    </row>
    <row r="157" spans="1:11" x14ac:dyDescent="0.3">
      <c r="A157" s="2" t="s">
        <v>2070</v>
      </c>
      <c r="B157" s="2" t="s">
        <v>126</v>
      </c>
      <c r="C157" s="2" t="s">
        <v>119</v>
      </c>
      <c r="D157" s="2" t="s">
        <v>2859</v>
      </c>
      <c r="E157" s="4" t="str">
        <f>HYPERLINK("./Results/DLO\1142\Osteo_Sarco_1.png","RPT")</f>
        <v>RPT</v>
      </c>
      <c r="F157" s="2" t="s">
        <v>74</v>
      </c>
      <c r="G157" s="6"/>
      <c r="I157"/>
      <c r="J157"/>
      <c r="K157"/>
    </row>
    <row r="158" spans="1:11" x14ac:dyDescent="0.3">
      <c r="A158" s="2" t="s">
        <v>2067</v>
      </c>
      <c r="B158" s="2" t="s">
        <v>118</v>
      </c>
      <c r="C158" s="2" t="s">
        <v>111</v>
      </c>
      <c r="D158" s="2" t="s">
        <v>2867</v>
      </c>
      <c r="E158" s="4" t="str">
        <f>HYPERLINK("./Results/DLO\1143\Osteo_Sarco_1.png","RPT")</f>
        <v>RPT</v>
      </c>
      <c r="F158" s="2" t="s">
        <v>84</v>
      </c>
      <c r="G158" s="6"/>
      <c r="H158" s="1">
        <v>29.62</v>
      </c>
    </row>
    <row r="159" spans="1:11" x14ac:dyDescent="0.3">
      <c r="A159" s="2" t="s">
        <v>2077</v>
      </c>
      <c r="B159" s="2" t="s">
        <v>162</v>
      </c>
      <c r="C159" s="2" t="s">
        <v>111</v>
      </c>
      <c r="D159" s="2" t="s">
        <v>2867</v>
      </c>
      <c r="E159" s="4" t="str">
        <f>HYPERLINK("./Results/DLO\1144\Osteo_Sarco_1.png","RPT")</f>
        <v>RPT</v>
      </c>
      <c r="F159" s="2" t="s">
        <v>83</v>
      </c>
      <c r="G159" s="6"/>
      <c r="I159"/>
      <c r="J159"/>
      <c r="K159"/>
    </row>
    <row r="160" spans="1:11" x14ac:dyDescent="0.3">
      <c r="A160" s="2" t="s">
        <v>2059</v>
      </c>
      <c r="B160" s="2" t="s">
        <v>159</v>
      </c>
      <c r="C160" s="2" t="s">
        <v>111</v>
      </c>
      <c r="D160" s="2" t="s">
        <v>2867</v>
      </c>
      <c r="E160" s="4" t="str">
        <f>HYPERLINK("./Results/DLO\1145\Osteo_Sarco_1.png","RPT")</f>
        <v>RPT</v>
      </c>
      <c r="F160" s="2" t="s">
        <v>85</v>
      </c>
      <c r="G160" s="6"/>
      <c r="H160" s="1">
        <v>26.73</v>
      </c>
    </row>
    <row r="161" spans="1:11" x14ac:dyDescent="0.3">
      <c r="A161" s="2" t="s">
        <v>2069</v>
      </c>
      <c r="B161" s="2" t="s">
        <v>130</v>
      </c>
      <c r="C161" s="2" t="s">
        <v>111</v>
      </c>
      <c r="D161" s="2" t="s">
        <v>2859</v>
      </c>
      <c r="E161" s="4" t="str">
        <f>HYPERLINK("./Results/DLO\1146\Osteo_Sarco_1.png","RPT")</f>
        <v>RPT</v>
      </c>
      <c r="F161" s="2" t="s">
        <v>71</v>
      </c>
      <c r="G161" s="6"/>
      <c r="I161"/>
      <c r="J161"/>
      <c r="K161"/>
    </row>
    <row r="162" spans="1:11" x14ac:dyDescent="0.3">
      <c r="A162" s="2" t="s">
        <v>2057</v>
      </c>
      <c r="B162" s="2" t="s">
        <v>133</v>
      </c>
      <c r="C162" s="2" t="s">
        <v>119</v>
      </c>
      <c r="D162" s="2" t="s">
        <v>2859</v>
      </c>
      <c r="E162" s="4" t="str">
        <f>HYPERLINK("./Results/DLO\1147\Osteo_Sarco_1.png","RPT")</f>
        <v>RPT</v>
      </c>
      <c r="F162" s="2" t="s">
        <v>48</v>
      </c>
      <c r="G162" s="6"/>
      <c r="H162" s="1">
        <v>27.85</v>
      </c>
    </row>
    <row r="163" spans="1:11" x14ac:dyDescent="0.3">
      <c r="A163" s="2" t="s">
        <v>2071</v>
      </c>
      <c r="B163" s="2" t="s">
        <v>149</v>
      </c>
      <c r="C163" s="2" t="s">
        <v>119</v>
      </c>
      <c r="D163" s="2" t="s">
        <v>2867</v>
      </c>
      <c r="E163" s="4" t="str">
        <f>HYPERLINK("./Results/DLO\1148\Osteo_Sarco_1.png","RPT")</f>
        <v>RPT</v>
      </c>
      <c r="F163" s="2" t="s">
        <v>96</v>
      </c>
      <c r="G163" s="6"/>
      <c r="I163"/>
      <c r="J163"/>
      <c r="K163"/>
    </row>
    <row r="164" spans="1:11" x14ac:dyDescent="0.3">
      <c r="A164" s="2" t="s">
        <v>2060</v>
      </c>
      <c r="B164" s="2" t="s">
        <v>116</v>
      </c>
      <c r="C164" s="2" t="s">
        <v>111</v>
      </c>
      <c r="D164" s="2" t="s">
        <v>2867</v>
      </c>
      <c r="E164" s="4" t="str">
        <f>HYPERLINK("./Results/DLO\115\Osteo_Sarco_1.png","RPT")</f>
        <v>RPT</v>
      </c>
      <c r="F164" s="2" t="s">
        <v>57</v>
      </c>
      <c r="G164" s="6"/>
      <c r="I164"/>
      <c r="J164"/>
      <c r="K164"/>
    </row>
    <row r="165" spans="1:11" x14ac:dyDescent="0.3">
      <c r="A165" s="2" t="s">
        <v>2058</v>
      </c>
      <c r="B165" s="2" t="s">
        <v>165</v>
      </c>
      <c r="C165" s="2" t="s">
        <v>119</v>
      </c>
      <c r="D165" s="2" t="s">
        <v>2859</v>
      </c>
      <c r="E165" s="4" t="str">
        <f>HYPERLINK("./Results/DLO\1150\Osteo_Sarco_1.png","RPT")</f>
        <v>RPT</v>
      </c>
      <c r="F165" s="2" t="s">
        <v>575</v>
      </c>
      <c r="G165" s="6"/>
      <c r="I165"/>
      <c r="J165"/>
      <c r="K165"/>
    </row>
    <row r="166" spans="1:11" x14ac:dyDescent="0.3">
      <c r="A166" s="2" t="s">
        <v>2072</v>
      </c>
      <c r="B166" s="2" t="s">
        <v>142</v>
      </c>
      <c r="C166" s="2" t="s">
        <v>111</v>
      </c>
      <c r="D166" s="2" t="s">
        <v>2859</v>
      </c>
      <c r="E166" s="4" t="str">
        <f>HYPERLINK("./Results/DLO\1151\Osteo_Sarco_1.png","RPT")</f>
        <v>RPT</v>
      </c>
      <c r="F166" s="2" t="s">
        <v>95</v>
      </c>
      <c r="G166" s="6"/>
      <c r="I166"/>
      <c r="J166"/>
      <c r="K166"/>
    </row>
    <row r="167" spans="1:11" x14ac:dyDescent="0.3">
      <c r="A167" s="2" t="s">
        <v>2065</v>
      </c>
      <c r="B167" s="2" t="s">
        <v>131</v>
      </c>
      <c r="C167" s="2" t="s">
        <v>111</v>
      </c>
      <c r="D167" s="2" t="s">
        <v>2859</v>
      </c>
      <c r="E167" s="4" t="str">
        <f>HYPERLINK("./Results/DLO\1152\Osteo_Sarco_1.png","RPT")</f>
        <v>RPT</v>
      </c>
      <c r="F167" s="2" t="s">
        <v>80</v>
      </c>
      <c r="G167" s="6"/>
      <c r="I167"/>
      <c r="J167"/>
      <c r="K167"/>
    </row>
    <row r="168" spans="1:11" x14ac:dyDescent="0.3">
      <c r="A168" s="2" t="s">
        <v>2061</v>
      </c>
      <c r="B168" s="2" t="s">
        <v>165</v>
      </c>
      <c r="C168" s="2" t="s">
        <v>111</v>
      </c>
      <c r="D168" s="2" t="s">
        <v>2859</v>
      </c>
      <c r="E168" s="4" t="str">
        <f>HYPERLINK("./Results/DLO\1153\Osteo_Sarco_1.png","RPT")</f>
        <v>RPT</v>
      </c>
      <c r="F168" s="2" t="s">
        <v>105</v>
      </c>
      <c r="G168" s="6"/>
      <c r="H168" s="1">
        <v>20.51</v>
      </c>
    </row>
    <row r="169" spans="1:11" x14ac:dyDescent="0.3">
      <c r="A169" s="2" t="s">
        <v>2062</v>
      </c>
      <c r="B169" s="2" t="s">
        <v>127</v>
      </c>
      <c r="C169" s="2" t="s">
        <v>111</v>
      </c>
      <c r="D169" s="2" t="s">
        <v>2867</v>
      </c>
      <c r="E169" s="4" t="str">
        <f>HYPERLINK("./Results/DLO\1154\Osteo_Sarco_1.png","RPT")</f>
        <v>RPT</v>
      </c>
      <c r="F169" s="2" t="s">
        <v>83</v>
      </c>
      <c r="G169" s="6"/>
      <c r="I169"/>
      <c r="J169"/>
      <c r="K169"/>
    </row>
    <row r="170" spans="1:11" x14ac:dyDescent="0.3">
      <c r="A170" s="2" t="s">
        <v>2063</v>
      </c>
      <c r="B170" s="2" t="s">
        <v>152</v>
      </c>
      <c r="C170" s="2" t="s">
        <v>111</v>
      </c>
      <c r="D170" s="2" t="s">
        <v>2859</v>
      </c>
      <c r="E170" s="4" t="str">
        <f>HYPERLINK("./Results/DLO\1155\Osteo_Sarco_1.png","RPT")</f>
        <v>RPT</v>
      </c>
      <c r="F170" s="2" t="s">
        <v>86</v>
      </c>
      <c r="G170" s="6"/>
      <c r="I170"/>
      <c r="J170"/>
      <c r="K170"/>
    </row>
    <row r="171" spans="1:11" x14ac:dyDescent="0.3">
      <c r="A171" s="2" t="s">
        <v>2064</v>
      </c>
      <c r="B171" s="2" t="s">
        <v>143</v>
      </c>
      <c r="C171" s="2" t="s">
        <v>119</v>
      </c>
      <c r="D171" s="2" t="s">
        <v>2859</v>
      </c>
      <c r="E171" s="4" t="str">
        <f>HYPERLINK("./Results/DLO\1156\Osteo_Sarco_1.png","RPT")</f>
        <v>RPT</v>
      </c>
      <c r="F171" s="2" t="s">
        <v>34</v>
      </c>
      <c r="G171" s="6"/>
      <c r="H171" s="1">
        <v>26.57</v>
      </c>
    </row>
    <row r="172" spans="1:11" x14ac:dyDescent="0.3">
      <c r="A172" s="2" t="s">
        <v>2096</v>
      </c>
      <c r="B172" s="2" t="s">
        <v>122</v>
      </c>
      <c r="C172" s="2" t="s">
        <v>119</v>
      </c>
      <c r="D172" s="2" t="s">
        <v>2867</v>
      </c>
      <c r="E172" s="4" t="str">
        <f>HYPERLINK("./Results/DLO\1157\Osteo_Sarco_1.png","RPT")</f>
        <v>RPT</v>
      </c>
      <c r="F172" s="2" t="s">
        <v>70</v>
      </c>
      <c r="G172" s="6"/>
      <c r="H172" s="1">
        <v>19.21</v>
      </c>
    </row>
    <row r="173" spans="1:11" x14ac:dyDescent="0.3">
      <c r="A173" s="2" t="s">
        <v>2088</v>
      </c>
      <c r="B173" s="2" t="s">
        <v>126</v>
      </c>
      <c r="C173" s="2" t="s">
        <v>111</v>
      </c>
      <c r="D173" s="2" t="s">
        <v>2859</v>
      </c>
      <c r="E173" s="4" t="str">
        <f>HYPERLINK("./Results/DLO\1158\Osteo_Sarco_1.png","RPT")</f>
        <v>RPT</v>
      </c>
      <c r="F173" s="2" t="s">
        <v>102</v>
      </c>
      <c r="G173" s="6"/>
      <c r="I173"/>
      <c r="J173"/>
      <c r="K173"/>
    </row>
    <row r="174" spans="1:11" x14ac:dyDescent="0.3">
      <c r="A174" s="2" t="s">
        <v>2087</v>
      </c>
      <c r="B174" s="2" t="s">
        <v>142</v>
      </c>
      <c r="C174" s="2" t="s">
        <v>111</v>
      </c>
      <c r="D174" s="2" t="s">
        <v>2859</v>
      </c>
      <c r="E174" s="4" t="str">
        <f>HYPERLINK("./Results/DLO\1159\Osteo_Sarco_1.png","RPT")</f>
        <v>RPT</v>
      </c>
      <c r="F174" s="2" t="s">
        <v>102</v>
      </c>
      <c r="G174" s="6"/>
      <c r="I174"/>
      <c r="J174"/>
      <c r="K174"/>
    </row>
    <row r="175" spans="1:11" x14ac:dyDescent="0.3">
      <c r="A175" s="2" t="s">
        <v>2090</v>
      </c>
      <c r="B175" s="2" t="s">
        <v>133</v>
      </c>
      <c r="C175" s="2" t="s">
        <v>119</v>
      </c>
      <c r="D175" s="2" t="s">
        <v>2859</v>
      </c>
      <c r="E175" s="4" t="str">
        <f>HYPERLINK("./Results/DLO\116\Osteo_Sarco_1.png","RPT")</f>
        <v>RPT</v>
      </c>
      <c r="F175" s="2" t="s">
        <v>77</v>
      </c>
      <c r="G175" s="6"/>
      <c r="I175"/>
      <c r="J175"/>
      <c r="K175"/>
    </row>
    <row r="176" spans="1:11" x14ac:dyDescent="0.3">
      <c r="A176" s="2" t="s">
        <v>2085</v>
      </c>
      <c r="B176" s="2" t="s">
        <v>151</v>
      </c>
      <c r="C176" s="2" t="s">
        <v>111</v>
      </c>
      <c r="D176" s="2" t="s">
        <v>2867</v>
      </c>
      <c r="E176" s="4" t="str">
        <f>HYPERLINK("./Results/DLO\1160\Osteo_Sarco_1.png","RPT")</f>
        <v>RPT</v>
      </c>
      <c r="F176" s="2" t="s">
        <v>55</v>
      </c>
      <c r="G176" s="6"/>
      <c r="I176"/>
      <c r="J176"/>
      <c r="K176"/>
    </row>
    <row r="177" spans="1:11" x14ac:dyDescent="0.3">
      <c r="A177" s="2" t="s">
        <v>2080</v>
      </c>
      <c r="B177" s="2" t="s">
        <v>151</v>
      </c>
      <c r="C177" s="2" t="s">
        <v>111</v>
      </c>
      <c r="D177" s="2" t="s">
        <v>2859</v>
      </c>
      <c r="E177" s="4" t="str">
        <f>HYPERLINK("./Results/DLO\1161\Osteo_Sarco_1.png","RPT")</f>
        <v>RPT</v>
      </c>
      <c r="F177" s="2" t="s">
        <v>62</v>
      </c>
      <c r="G177" s="6"/>
      <c r="I177"/>
      <c r="J177"/>
      <c r="K177"/>
    </row>
    <row r="178" spans="1:11" x14ac:dyDescent="0.3">
      <c r="A178" s="2" t="s">
        <v>2089</v>
      </c>
      <c r="B178" s="2" t="s">
        <v>116</v>
      </c>
      <c r="C178" s="2" t="s">
        <v>111</v>
      </c>
      <c r="D178" s="2" t="s">
        <v>2859</v>
      </c>
      <c r="E178" s="4" t="str">
        <f>HYPERLINK("./Results/DLO\1162\Osteo_Sarco_1.png","RPT")</f>
        <v>RPT</v>
      </c>
      <c r="F178" s="2" t="s">
        <v>76</v>
      </c>
      <c r="G178" s="6"/>
      <c r="I178"/>
      <c r="J178"/>
      <c r="K178"/>
    </row>
    <row r="179" spans="1:11" x14ac:dyDescent="0.3">
      <c r="A179" s="2" t="s">
        <v>2095</v>
      </c>
      <c r="B179" s="2" t="s">
        <v>149</v>
      </c>
      <c r="C179" s="2" t="s">
        <v>111</v>
      </c>
      <c r="D179" s="2" t="s">
        <v>2859</v>
      </c>
      <c r="E179" s="4" t="str">
        <f>HYPERLINK("./Results/DLO\1163\Osteo_Sarco_1.png","RPT")</f>
        <v>RPT</v>
      </c>
      <c r="F179" s="2" t="s">
        <v>110</v>
      </c>
      <c r="G179" s="6"/>
      <c r="I179"/>
      <c r="J179"/>
      <c r="K179"/>
    </row>
    <row r="180" spans="1:11" x14ac:dyDescent="0.3">
      <c r="A180" s="2" t="s">
        <v>2091</v>
      </c>
      <c r="B180" s="2" t="s">
        <v>142</v>
      </c>
      <c r="C180" s="2" t="s">
        <v>111</v>
      </c>
      <c r="D180" s="2" t="s">
        <v>2867</v>
      </c>
      <c r="E180" s="4" t="str">
        <f>HYPERLINK("./Results/DLO\1164\Osteo_Sarco_1.png","RPT")</f>
        <v>RPT</v>
      </c>
      <c r="F180" s="2" t="s">
        <v>101</v>
      </c>
      <c r="G180" s="6"/>
      <c r="H180" s="1">
        <v>26.23</v>
      </c>
    </row>
    <row r="181" spans="1:11" x14ac:dyDescent="0.3">
      <c r="A181" s="2" t="s">
        <v>2097</v>
      </c>
      <c r="B181" s="2" t="s">
        <v>112</v>
      </c>
      <c r="C181" s="2" t="s">
        <v>111</v>
      </c>
      <c r="D181" s="2" t="s">
        <v>2867</v>
      </c>
      <c r="E181" s="4" t="str">
        <f>HYPERLINK("./Results/DLO\1165\Osteo_Sarco_1.png","RPT")</f>
        <v>RPT</v>
      </c>
      <c r="F181" s="2" t="s">
        <v>41</v>
      </c>
      <c r="G181" s="6"/>
      <c r="I181"/>
      <c r="J181"/>
      <c r="K181"/>
    </row>
    <row r="182" spans="1:11" x14ac:dyDescent="0.3">
      <c r="A182" s="2" t="s">
        <v>2079</v>
      </c>
      <c r="B182" s="2" t="s">
        <v>123</v>
      </c>
      <c r="C182" s="2" t="s">
        <v>111</v>
      </c>
      <c r="D182" s="2" t="s">
        <v>2867</v>
      </c>
      <c r="E182" s="4" t="str">
        <f>HYPERLINK("./Results/DLO\1166\Osteo_Sarco_1.png","RPT")</f>
        <v>RPT</v>
      </c>
      <c r="F182" s="2" t="s">
        <v>32</v>
      </c>
      <c r="G182" s="6"/>
      <c r="H182" s="1">
        <v>22.3</v>
      </c>
    </row>
    <row r="183" spans="1:11" x14ac:dyDescent="0.3">
      <c r="A183" s="2" t="s">
        <v>2092</v>
      </c>
      <c r="B183" s="2" t="s">
        <v>128</v>
      </c>
      <c r="C183" s="2" t="s">
        <v>111</v>
      </c>
      <c r="D183" s="2" t="s">
        <v>2867</v>
      </c>
      <c r="E183" s="4" t="str">
        <f>HYPERLINK("./Results/DLO\1167\Osteo_Sarco_1.png","RPT")</f>
        <v>RPT</v>
      </c>
      <c r="F183" s="2" t="s">
        <v>452</v>
      </c>
      <c r="G183" s="6"/>
      <c r="I183"/>
      <c r="J183"/>
      <c r="K183"/>
    </row>
    <row r="184" spans="1:11" x14ac:dyDescent="0.3">
      <c r="A184" s="2" t="s">
        <v>2093</v>
      </c>
      <c r="B184" s="2" t="s">
        <v>132</v>
      </c>
      <c r="C184" s="2" t="s">
        <v>111</v>
      </c>
      <c r="D184" s="2" t="s">
        <v>2859</v>
      </c>
      <c r="E184" s="4" t="str">
        <f>HYPERLINK("./Results/DLO\1168\Osteo_Sarco_1.png","RPT")</f>
        <v>RPT</v>
      </c>
      <c r="F184" s="2" t="s">
        <v>459</v>
      </c>
      <c r="G184" s="6"/>
      <c r="H184" s="1">
        <v>23.26</v>
      </c>
    </row>
    <row r="185" spans="1:11" x14ac:dyDescent="0.3">
      <c r="A185" s="2" t="s">
        <v>2081</v>
      </c>
      <c r="B185" s="2" t="s">
        <v>129</v>
      </c>
      <c r="C185" s="2" t="s">
        <v>119</v>
      </c>
      <c r="D185" s="2" t="s">
        <v>2867</v>
      </c>
      <c r="E185" s="4" t="str">
        <f>HYPERLINK("./Results/DLO\1169\Osteo_Sarco_1.png","RPT")</f>
        <v>RPT</v>
      </c>
      <c r="F185" s="2" t="s">
        <v>591</v>
      </c>
      <c r="G185" s="6"/>
      <c r="I185"/>
      <c r="J185"/>
      <c r="K185"/>
    </row>
    <row r="186" spans="1:11" x14ac:dyDescent="0.3">
      <c r="A186" s="2" t="s">
        <v>2098</v>
      </c>
      <c r="B186" s="2" t="s">
        <v>120</v>
      </c>
      <c r="C186" s="2" t="s">
        <v>119</v>
      </c>
      <c r="D186" s="2" t="s">
        <v>2859</v>
      </c>
      <c r="E186" s="4" t="str">
        <f>HYPERLINK("./Results/DLO\117\Osteo_Sarco_1.png","RPT")</f>
        <v>RPT</v>
      </c>
      <c r="F186" s="2" t="s">
        <v>87</v>
      </c>
      <c r="G186" s="6"/>
      <c r="I186"/>
      <c r="J186"/>
      <c r="K186"/>
    </row>
    <row r="187" spans="1:11" x14ac:dyDescent="0.3">
      <c r="A187" s="2" t="s">
        <v>2094</v>
      </c>
      <c r="B187" s="2" t="s">
        <v>113</v>
      </c>
      <c r="C187" s="2" t="s">
        <v>111</v>
      </c>
      <c r="D187" s="2" t="s">
        <v>2859</v>
      </c>
      <c r="E187" s="4" t="str">
        <f>HYPERLINK("./Results/DLO\1170\Osteo_Sarco_1.png","RPT")</f>
        <v>RPT</v>
      </c>
      <c r="F187" s="2" t="s">
        <v>27</v>
      </c>
      <c r="G187" s="6"/>
      <c r="I187"/>
      <c r="J187"/>
      <c r="K187"/>
    </row>
    <row r="188" spans="1:11" x14ac:dyDescent="0.3">
      <c r="A188" s="2" t="s">
        <v>2082</v>
      </c>
      <c r="B188" s="2" t="s">
        <v>137</v>
      </c>
      <c r="C188" s="2" t="s">
        <v>119</v>
      </c>
      <c r="D188" s="2" t="s">
        <v>2867</v>
      </c>
      <c r="E188" s="4" t="str">
        <f>HYPERLINK("./Results/DLO\1171\Osteo_Sarco_1.png","RPT")</f>
        <v>RPT</v>
      </c>
      <c r="F188" s="2" t="s">
        <v>50</v>
      </c>
      <c r="G188" s="6"/>
      <c r="H188" s="1">
        <v>24.48</v>
      </c>
    </row>
    <row r="189" spans="1:11" x14ac:dyDescent="0.3">
      <c r="A189" s="2" t="s">
        <v>2083</v>
      </c>
      <c r="B189" s="2" t="s">
        <v>143</v>
      </c>
      <c r="C189" s="2" t="s">
        <v>111</v>
      </c>
      <c r="D189" s="2" t="s">
        <v>2859</v>
      </c>
      <c r="E189" s="4" t="str">
        <f>HYPERLINK("./Results/DLO\1172\Osteo_Sarco_1.png","RPT")</f>
        <v>RPT</v>
      </c>
      <c r="F189" s="2" t="s">
        <v>110</v>
      </c>
      <c r="G189" s="6"/>
      <c r="I189"/>
      <c r="J189"/>
      <c r="K189"/>
    </row>
    <row r="190" spans="1:11" x14ac:dyDescent="0.3">
      <c r="A190" s="2" t="s">
        <v>2084</v>
      </c>
      <c r="B190" s="2" t="s">
        <v>163</v>
      </c>
      <c r="C190" s="2" t="s">
        <v>119</v>
      </c>
      <c r="D190" s="2" t="s">
        <v>2859</v>
      </c>
      <c r="E190" s="4" t="str">
        <f>HYPERLINK("./Results/DLO\1173\Osteo_Sarco_1.png","RPT")</f>
        <v>RPT</v>
      </c>
      <c r="F190" s="2" t="s">
        <v>454</v>
      </c>
      <c r="G190" s="6"/>
      <c r="I190"/>
      <c r="J190"/>
      <c r="K190"/>
    </row>
    <row r="191" spans="1:11" x14ac:dyDescent="0.3">
      <c r="A191" s="2" t="s">
        <v>2086</v>
      </c>
      <c r="B191" s="2" t="s">
        <v>159</v>
      </c>
      <c r="C191" s="2" t="s">
        <v>119</v>
      </c>
      <c r="D191" s="2" t="s">
        <v>2867</v>
      </c>
      <c r="E191" s="4" t="str">
        <f>HYPERLINK("./Results/DLO\1174\Osteo_Sarco_1.png","RPT")</f>
        <v>RPT</v>
      </c>
      <c r="F191" s="2" t="s">
        <v>98</v>
      </c>
      <c r="G191" s="6"/>
      <c r="I191"/>
      <c r="J191"/>
      <c r="K191"/>
    </row>
    <row r="192" spans="1:11" x14ac:dyDescent="0.3">
      <c r="A192" s="2" t="s">
        <v>2099</v>
      </c>
      <c r="B192" s="2" t="s">
        <v>168</v>
      </c>
      <c r="C192" s="2" t="s">
        <v>119</v>
      </c>
      <c r="D192" s="2" t="s">
        <v>2867</v>
      </c>
      <c r="E192" s="4" t="str">
        <f>HYPERLINK("./Results/DLO\1175\Osteo_Sarco_1.png","RPT")</f>
        <v>RPT</v>
      </c>
      <c r="F192" s="2" t="s">
        <v>27</v>
      </c>
      <c r="G192" s="6"/>
      <c r="I192"/>
      <c r="J192"/>
      <c r="K192"/>
    </row>
    <row r="193" spans="1:11" x14ac:dyDescent="0.3">
      <c r="A193" s="2" t="s">
        <v>2119</v>
      </c>
      <c r="B193" s="2" t="s">
        <v>169</v>
      </c>
      <c r="C193" s="2" t="s">
        <v>111</v>
      </c>
      <c r="D193" s="2" t="s">
        <v>2859</v>
      </c>
      <c r="E193" s="4" t="str">
        <f>HYPERLINK("./Results/DLO\1176\Osteo_Sarco_1.png","RPT")</f>
        <v>RPT</v>
      </c>
      <c r="F193" s="2" t="s">
        <v>53</v>
      </c>
      <c r="G193" s="6"/>
      <c r="I193"/>
      <c r="J193"/>
      <c r="K193"/>
    </row>
    <row r="194" spans="1:11" x14ac:dyDescent="0.3">
      <c r="A194" s="2" t="s">
        <v>2117</v>
      </c>
      <c r="B194" s="2" t="s">
        <v>142</v>
      </c>
      <c r="C194" s="2" t="s">
        <v>119</v>
      </c>
      <c r="D194" s="2" t="s">
        <v>2859</v>
      </c>
      <c r="E194" s="4" t="str">
        <f>HYPERLINK("./Results/DLO\1177\Osteo_Sarco_1.png","RPT")</f>
        <v>RPT</v>
      </c>
      <c r="F194" s="2" t="s">
        <v>575</v>
      </c>
      <c r="G194" s="6"/>
      <c r="I194"/>
      <c r="J194"/>
      <c r="K194"/>
    </row>
    <row r="195" spans="1:11" x14ac:dyDescent="0.3">
      <c r="A195" s="2" t="s">
        <v>2116</v>
      </c>
      <c r="B195" s="2" t="s">
        <v>162</v>
      </c>
      <c r="C195" s="2" t="s">
        <v>119</v>
      </c>
      <c r="D195" s="2" t="s">
        <v>2859</v>
      </c>
      <c r="E195" s="4" t="str">
        <f>HYPERLINK("./Results/DLO\1178\Osteo_Sarco_1.png","RPT")</f>
        <v>RPT</v>
      </c>
      <c r="F195" s="2" t="s">
        <v>70</v>
      </c>
      <c r="G195" s="6"/>
      <c r="I195"/>
      <c r="J195"/>
      <c r="K195"/>
    </row>
    <row r="196" spans="1:11" x14ac:dyDescent="0.3">
      <c r="A196" s="2" t="s">
        <v>2107</v>
      </c>
      <c r="B196" s="2" t="s">
        <v>113</v>
      </c>
      <c r="C196" s="2" t="s">
        <v>111</v>
      </c>
      <c r="D196" s="2" t="s">
        <v>2859</v>
      </c>
      <c r="E196" s="4" t="str">
        <f>HYPERLINK("./Results/DLO\1179\Osteo_Sarco_1.png","RPT")</f>
        <v>RPT</v>
      </c>
      <c r="F196" s="2" t="s">
        <v>56</v>
      </c>
      <c r="G196" s="6"/>
      <c r="H196" s="1">
        <v>24.44</v>
      </c>
    </row>
    <row r="197" spans="1:11" x14ac:dyDescent="0.3">
      <c r="A197" s="2" t="s">
        <v>2100</v>
      </c>
      <c r="B197" s="2" t="s">
        <v>146</v>
      </c>
      <c r="C197" s="2" t="s">
        <v>119</v>
      </c>
      <c r="D197" s="2" t="s">
        <v>2859</v>
      </c>
      <c r="E197" s="4" t="str">
        <f>HYPERLINK("./Results/DLO\118\Osteo_Sarco_1.png","RPT")</f>
        <v>RPT</v>
      </c>
      <c r="F197" s="2" t="s">
        <v>88</v>
      </c>
      <c r="G197" s="6"/>
      <c r="I197"/>
      <c r="J197"/>
      <c r="K197"/>
    </row>
    <row r="198" spans="1:11" x14ac:dyDescent="0.3">
      <c r="A198" s="2" t="s">
        <v>2101</v>
      </c>
      <c r="B198" s="2" t="s">
        <v>167</v>
      </c>
      <c r="C198" s="2" t="s">
        <v>111</v>
      </c>
      <c r="D198" s="2" t="s">
        <v>2859</v>
      </c>
      <c r="E198" s="4" t="str">
        <f>HYPERLINK("./Results/DLO\1180\Osteo_Sarco_1.png","RPT")</f>
        <v>RPT</v>
      </c>
      <c r="F198" s="2" t="s">
        <v>107</v>
      </c>
      <c r="G198" s="6"/>
      <c r="I198"/>
      <c r="J198"/>
      <c r="K198"/>
    </row>
    <row r="199" spans="1:11" x14ac:dyDescent="0.3">
      <c r="A199" s="2" t="s">
        <v>2118</v>
      </c>
      <c r="B199" s="2" t="s">
        <v>143</v>
      </c>
      <c r="C199" s="2" t="s">
        <v>111</v>
      </c>
      <c r="D199" s="2" t="s">
        <v>2867</v>
      </c>
      <c r="E199" s="4" t="str">
        <f>HYPERLINK("./Results/DLO\1181\Osteo_Sarco_1.png","RPT")</f>
        <v>RPT</v>
      </c>
      <c r="F199" s="2" t="s">
        <v>53</v>
      </c>
      <c r="G199" s="6"/>
      <c r="H199" s="1">
        <v>20.97</v>
      </c>
    </row>
    <row r="200" spans="1:11" x14ac:dyDescent="0.3">
      <c r="A200" s="2" t="s">
        <v>2110</v>
      </c>
      <c r="B200" s="2" t="s">
        <v>149</v>
      </c>
      <c r="C200" s="2" t="s">
        <v>119</v>
      </c>
      <c r="D200" s="2" t="s">
        <v>2867</v>
      </c>
      <c r="E200" s="4" t="str">
        <f>HYPERLINK("./Results/DLO\1182\Osteo_Sarco_1.png","RPT")</f>
        <v>RPT</v>
      </c>
      <c r="F200" s="2" t="s">
        <v>90</v>
      </c>
      <c r="G200" s="6"/>
      <c r="I200"/>
      <c r="J200"/>
      <c r="K200"/>
    </row>
    <row r="201" spans="1:11" x14ac:dyDescent="0.3">
      <c r="A201" s="2" t="s">
        <v>2114</v>
      </c>
      <c r="B201" s="2" t="s">
        <v>163</v>
      </c>
      <c r="C201" s="2" t="s">
        <v>119</v>
      </c>
      <c r="D201" s="2" t="s">
        <v>2859</v>
      </c>
      <c r="E201" s="4" t="str">
        <f>HYPERLINK("./Results/DLO\1183\Osteo_Sarco_1.png","RPT")</f>
        <v>RPT</v>
      </c>
      <c r="F201" s="2" t="s">
        <v>41</v>
      </c>
      <c r="G201" s="6"/>
      <c r="I201"/>
      <c r="J201"/>
      <c r="K201"/>
    </row>
    <row r="202" spans="1:11" x14ac:dyDescent="0.3">
      <c r="A202" s="2" t="s">
        <v>2111</v>
      </c>
      <c r="B202" s="2" t="s">
        <v>125</v>
      </c>
      <c r="C202" s="2" t="s">
        <v>111</v>
      </c>
      <c r="D202" s="2" t="s">
        <v>2859</v>
      </c>
      <c r="E202" s="4" t="str">
        <f>HYPERLINK("./Results/DLO\1184\Osteo_Sarco_1.png","RPT")</f>
        <v>RPT</v>
      </c>
      <c r="F202" s="2" t="s">
        <v>450</v>
      </c>
      <c r="G202" s="6"/>
      <c r="I202"/>
      <c r="J202"/>
      <c r="K202"/>
    </row>
    <row r="203" spans="1:11" x14ac:dyDescent="0.3">
      <c r="A203" s="2" t="s">
        <v>2102</v>
      </c>
      <c r="B203" s="2" t="s">
        <v>118</v>
      </c>
      <c r="C203" s="2" t="s">
        <v>111</v>
      </c>
      <c r="D203" s="2" t="s">
        <v>2867</v>
      </c>
      <c r="E203" s="4" t="str">
        <f>HYPERLINK("./Results/DLO\1185\Osteo_Sarco_1.png","RPT")</f>
        <v>RPT</v>
      </c>
      <c r="F203" s="2" t="s">
        <v>94</v>
      </c>
      <c r="G203" s="6"/>
      <c r="I203"/>
      <c r="J203"/>
      <c r="K203"/>
    </row>
    <row r="204" spans="1:11" x14ac:dyDescent="0.3">
      <c r="A204" s="2" t="s">
        <v>2103</v>
      </c>
      <c r="B204" s="2" t="s">
        <v>123</v>
      </c>
      <c r="C204" s="2" t="s">
        <v>119</v>
      </c>
      <c r="D204" s="2" t="s">
        <v>2859</v>
      </c>
      <c r="E204" s="4" t="str">
        <f>HYPERLINK("./Results/DLO\1186\Osteo_Sarco_1.png","RPT")</f>
        <v>RPT</v>
      </c>
      <c r="F204" s="2" t="s">
        <v>21</v>
      </c>
      <c r="G204" s="6"/>
      <c r="I204"/>
      <c r="J204"/>
      <c r="K204"/>
    </row>
    <row r="205" spans="1:11" x14ac:dyDescent="0.3">
      <c r="A205" s="2" t="s">
        <v>2104</v>
      </c>
      <c r="B205" s="2" t="s">
        <v>136</v>
      </c>
      <c r="C205" s="2" t="s">
        <v>111</v>
      </c>
      <c r="D205" s="2" t="s">
        <v>2859</v>
      </c>
      <c r="E205" s="4" t="str">
        <f>HYPERLINK("./Results/DLO\1187\Osteo_Sarco_1.png","RPT")</f>
        <v>RPT</v>
      </c>
      <c r="F205" s="2" t="s">
        <v>45</v>
      </c>
      <c r="G205" s="6"/>
      <c r="H205" s="1">
        <v>21.64</v>
      </c>
    </row>
    <row r="206" spans="1:11" x14ac:dyDescent="0.3">
      <c r="A206" s="2" t="s">
        <v>2105</v>
      </c>
      <c r="B206" s="2" t="s">
        <v>156</v>
      </c>
      <c r="C206" s="2" t="s">
        <v>119</v>
      </c>
      <c r="D206" s="2" t="s">
        <v>2859</v>
      </c>
      <c r="E206" s="4" t="str">
        <f>HYPERLINK("./Results/DLO\1188\Osteo_Sarco_1.png","RPT")</f>
        <v>RPT</v>
      </c>
      <c r="F206" s="2" t="s">
        <v>112</v>
      </c>
      <c r="G206" s="6"/>
      <c r="H206" s="1">
        <v>22.51</v>
      </c>
    </row>
    <row r="207" spans="1:11" x14ac:dyDescent="0.3">
      <c r="A207" s="2" t="s">
        <v>2108</v>
      </c>
      <c r="B207" s="2" t="s">
        <v>163</v>
      </c>
      <c r="C207" s="2" t="s">
        <v>119</v>
      </c>
      <c r="D207" s="2" t="s">
        <v>2859</v>
      </c>
      <c r="E207" s="4" t="str">
        <f>HYPERLINK("./Results/DLO\1189\Osteo_Sarco_1.png","RPT")</f>
        <v>RPT</v>
      </c>
      <c r="F207" s="2" t="s">
        <v>27</v>
      </c>
      <c r="G207" s="6"/>
      <c r="I207"/>
      <c r="J207"/>
      <c r="K207"/>
    </row>
    <row r="208" spans="1:11" x14ac:dyDescent="0.3">
      <c r="A208" s="2" t="s">
        <v>2112</v>
      </c>
      <c r="B208" s="2" t="s">
        <v>140</v>
      </c>
      <c r="C208" s="2" t="s">
        <v>111</v>
      </c>
      <c r="D208" s="2" t="s">
        <v>2859</v>
      </c>
      <c r="E208" s="4" t="str">
        <f>HYPERLINK("./Results/DLO\119\Osteo_Sarco_1.png","RPT")</f>
        <v>RPT</v>
      </c>
      <c r="F208" s="2" t="s">
        <v>76</v>
      </c>
      <c r="G208" s="6"/>
      <c r="H208" s="1">
        <v>23.46</v>
      </c>
    </row>
    <row r="209" spans="1:11" x14ac:dyDescent="0.3">
      <c r="A209" s="2" t="s">
        <v>2106</v>
      </c>
      <c r="B209" s="2" t="s">
        <v>131</v>
      </c>
      <c r="C209" s="2" t="s">
        <v>119</v>
      </c>
      <c r="D209" s="2" t="s">
        <v>2859</v>
      </c>
      <c r="E209" s="4" t="str">
        <f>HYPERLINK("./Results/DLO\1190\Osteo_Sarco_1.png","RPT")</f>
        <v>RPT</v>
      </c>
      <c r="F209" s="2" t="s">
        <v>97</v>
      </c>
      <c r="G209" s="6"/>
      <c r="I209"/>
      <c r="J209"/>
      <c r="K209"/>
    </row>
    <row r="210" spans="1:11" x14ac:dyDescent="0.3">
      <c r="A210" s="2" t="s">
        <v>2113</v>
      </c>
      <c r="B210" s="2" t="s">
        <v>162</v>
      </c>
      <c r="C210" s="2" t="s">
        <v>111</v>
      </c>
      <c r="D210" s="2" t="s">
        <v>2859</v>
      </c>
      <c r="E210" s="4" t="str">
        <f>HYPERLINK("./Results/DLO\1191\Osteo_Sarco_1.png","RPT")</f>
        <v>RPT</v>
      </c>
      <c r="F210" s="2" t="s">
        <v>460</v>
      </c>
      <c r="G210" s="6"/>
      <c r="I210"/>
      <c r="J210"/>
      <c r="K210"/>
    </row>
    <row r="211" spans="1:11" x14ac:dyDescent="0.3">
      <c r="A211" s="2" t="s">
        <v>2109</v>
      </c>
      <c r="B211" s="2" t="s">
        <v>165</v>
      </c>
      <c r="C211" s="2" t="s">
        <v>111</v>
      </c>
      <c r="D211" s="2" t="s">
        <v>2867</v>
      </c>
      <c r="E211" s="4" t="str">
        <f>HYPERLINK("./Results/DLO\1192\Osteo_Sarco_1.png","RPT")</f>
        <v>RPT</v>
      </c>
      <c r="F211" s="2" t="s">
        <v>53</v>
      </c>
      <c r="G211" s="6"/>
      <c r="I211"/>
      <c r="J211"/>
      <c r="K211"/>
    </row>
    <row r="212" spans="1:11" x14ac:dyDescent="0.3">
      <c r="A212" s="2" t="s">
        <v>2115</v>
      </c>
      <c r="B212" s="2" t="s">
        <v>133</v>
      </c>
      <c r="C212" s="2" t="s">
        <v>111</v>
      </c>
      <c r="D212" s="2" t="s">
        <v>2867</v>
      </c>
      <c r="E212" s="4" t="str">
        <f>HYPERLINK("./Results/DLO\1193\Osteo_Sarco_1.png","RPT")</f>
        <v>RPT</v>
      </c>
      <c r="F212" s="2" t="s">
        <v>445</v>
      </c>
      <c r="G212" s="6"/>
      <c r="H212" s="1">
        <v>21.09</v>
      </c>
    </row>
    <row r="213" spans="1:11" x14ac:dyDescent="0.3">
      <c r="A213" s="2" t="s">
        <v>2141</v>
      </c>
      <c r="B213" s="2" t="s">
        <v>138</v>
      </c>
      <c r="C213" s="2" t="s">
        <v>119</v>
      </c>
      <c r="D213" s="2" t="s">
        <v>2859</v>
      </c>
      <c r="E213" s="4" t="str">
        <f>HYPERLINK("./Results/DLO\1194\Osteo_Sarco_1.png","RPT")</f>
        <v>RPT</v>
      </c>
      <c r="F213" s="2" t="s">
        <v>98</v>
      </c>
      <c r="G213" s="6"/>
      <c r="H213" s="1">
        <v>29.24</v>
      </c>
    </row>
    <row r="214" spans="1:11" x14ac:dyDescent="0.3">
      <c r="A214" s="2" t="s">
        <v>2130</v>
      </c>
      <c r="B214" s="2" t="s">
        <v>122</v>
      </c>
      <c r="C214" s="2" t="s">
        <v>119</v>
      </c>
      <c r="D214" s="2" t="s">
        <v>2859</v>
      </c>
      <c r="E214" s="4" t="str">
        <f>HYPERLINK("./Results/DLO\1195\Osteo_Sarco_1.png","RPT")</f>
        <v>RPT</v>
      </c>
      <c r="F214" s="2" t="s">
        <v>41</v>
      </c>
      <c r="G214" s="6"/>
      <c r="I214"/>
      <c r="J214"/>
      <c r="K214"/>
    </row>
    <row r="215" spans="1:11" x14ac:dyDescent="0.3">
      <c r="A215" s="2" t="s">
        <v>2140</v>
      </c>
      <c r="B215" s="2" t="s">
        <v>133</v>
      </c>
      <c r="C215" s="2" t="s">
        <v>111</v>
      </c>
      <c r="D215" s="2" t="s">
        <v>2859</v>
      </c>
      <c r="E215" s="4" t="str">
        <f>HYPERLINK("./Results/DLO\1196\Osteo_Sarco_1.png","RPT")</f>
        <v>RPT</v>
      </c>
      <c r="F215" s="2" t="s">
        <v>51</v>
      </c>
      <c r="G215" s="6"/>
      <c r="I215"/>
      <c r="J215"/>
      <c r="K215"/>
    </row>
    <row r="216" spans="1:11" x14ac:dyDescent="0.3">
      <c r="A216" s="2" t="s">
        <v>2138</v>
      </c>
      <c r="B216" s="2" t="s">
        <v>153</v>
      </c>
      <c r="C216" s="2" t="s">
        <v>119</v>
      </c>
      <c r="D216" s="2" t="s">
        <v>2867</v>
      </c>
      <c r="E216" s="4" t="str">
        <f>HYPERLINK("./Results/DLO\1197\Osteo_Sarco_1.png","RPT")</f>
        <v>RPT</v>
      </c>
      <c r="F216" s="2" t="s">
        <v>36</v>
      </c>
      <c r="G216" s="6"/>
      <c r="I216"/>
      <c r="J216"/>
      <c r="K216"/>
    </row>
    <row r="217" spans="1:11" x14ac:dyDescent="0.3">
      <c r="A217" s="2" t="s">
        <v>2133</v>
      </c>
      <c r="B217" s="2" t="s">
        <v>144</v>
      </c>
      <c r="C217" s="2" t="s">
        <v>111</v>
      </c>
      <c r="D217" s="2" t="s">
        <v>2859</v>
      </c>
      <c r="E217" s="4" t="str">
        <f>HYPERLINK("./Results/DLO\1198\Osteo_Sarco_1.png","RPT")</f>
        <v>RPT</v>
      </c>
      <c r="F217" s="2" t="s">
        <v>106</v>
      </c>
      <c r="G217" s="6"/>
      <c r="I217"/>
      <c r="J217"/>
      <c r="K217"/>
    </row>
    <row r="218" spans="1:11" x14ac:dyDescent="0.3">
      <c r="A218" s="2" t="s">
        <v>2135</v>
      </c>
      <c r="B218" s="2" t="s">
        <v>140</v>
      </c>
      <c r="C218" s="2" t="s">
        <v>111</v>
      </c>
      <c r="D218" s="2" t="s">
        <v>2859</v>
      </c>
      <c r="E218" s="4" t="str">
        <f>HYPERLINK("./Results/DLO\1199\Osteo_Sarco_1.png","RPT")</f>
        <v>RPT</v>
      </c>
      <c r="F218" s="2" t="s">
        <v>66</v>
      </c>
      <c r="G218" s="6"/>
      <c r="I218"/>
      <c r="J218"/>
      <c r="K218"/>
    </row>
    <row r="219" spans="1:11" x14ac:dyDescent="0.3">
      <c r="A219" s="2" t="s">
        <v>2139</v>
      </c>
      <c r="B219" s="2" t="s">
        <v>128</v>
      </c>
      <c r="C219" s="2" t="s">
        <v>119</v>
      </c>
      <c r="D219" s="2" t="s">
        <v>2859</v>
      </c>
      <c r="E219" s="4" t="str">
        <f>HYPERLINK("./Results/DLO\12\Osteo_Sarco_1.png","RPT")</f>
        <v>RPT</v>
      </c>
      <c r="F219" s="2" t="s">
        <v>38</v>
      </c>
      <c r="G219" s="6"/>
      <c r="I219"/>
      <c r="J219"/>
      <c r="K219"/>
    </row>
    <row r="220" spans="1:11" x14ac:dyDescent="0.3">
      <c r="A220" s="2" t="s">
        <v>2124</v>
      </c>
      <c r="B220" s="2" t="s">
        <v>118</v>
      </c>
      <c r="C220" s="2" t="s">
        <v>111</v>
      </c>
      <c r="D220" s="2" t="s">
        <v>2859</v>
      </c>
      <c r="E220" s="4" t="str">
        <f>HYPERLINK("./Results/DLO\120\Osteo_Sarco_1.png","RPT")</f>
        <v>RPT</v>
      </c>
      <c r="F220" s="2" t="s">
        <v>104</v>
      </c>
      <c r="G220" s="6"/>
      <c r="I220"/>
      <c r="J220"/>
      <c r="K220"/>
    </row>
    <row r="221" spans="1:11" x14ac:dyDescent="0.3">
      <c r="A221" s="2" t="s">
        <v>2122</v>
      </c>
      <c r="B221" s="2" t="s">
        <v>148</v>
      </c>
      <c r="C221" s="2" t="s">
        <v>119</v>
      </c>
      <c r="D221" s="2" t="s">
        <v>2131</v>
      </c>
      <c r="E221" s="4" t="str">
        <f>HYPERLINK("./Results/DLO\1200\Osteo_Sarco_1.png","RPT")</f>
        <v>RPT</v>
      </c>
      <c r="F221" s="2" t="s">
        <v>70</v>
      </c>
      <c r="G221" s="6"/>
      <c r="I221"/>
      <c r="J221"/>
      <c r="K221"/>
    </row>
    <row r="222" spans="1:11" x14ac:dyDescent="0.3">
      <c r="A222" s="2" t="s">
        <v>2120</v>
      </c>
      <c r="B222" s="2" t="s">
        <v>118</v>
      </c>
      <c r="C222" s="2" t="s">
        <v>119</v>
      </c>
      <c r="D222" s="2" t="s">
        <v>2859</v>
      </c>
      <c r="E222" s="4" t="str">
        <f>HYPERLINK("./Results/DLO\1201\Osteo_Sarco_1.png","RPT")</f>
        <v>RPT</v>
      </c>
      <c r="F222" s="2" t="s">
        <v>456</v>
      </c>
      <c r="G222" s="6"/>
      <c r="I222"/>
      <c r="J222"/>
      <c r="K222"/>
    </row>
    <row r="223" spans="1:11" x14ac:dyDescent="0.3">
      <c r="A223" s="2" t="s">
        <v>2125</v>
      </c>
      <c r="B223" s="2" t="s">
        <v>139</v>
      </c>
      <c r="C223" s="2" t="s">
        <v>119</v>
      </c>
      <c r="D223" s="2" t="s">
        <v>2859</v>
      </c>
      <c r="E223" s="4" t="str">
        <f>HYPERLINK("./Results/DLO\1202\Osteo_Sarco_1.png","RPT")</f>
        <v>RPT</v>
      </c>
      <c r="F223" s="2" t="s">
        <v>45</v>
      </c>
      <c r="G223" s="6"/>
      <c r="I223"/>
      <c r="J223"/>
      <c r="K223"/>
    </row>
    <row r="224" spans="1:11" x14ac:dyDescent="0.3">
      <c r="A224" s="2" t="s">
        <v>2126</v>
      </c>
      <c r="B224" s="2" t="s">
        <v>132</v>
      </c>
      <c r="C224" s="2" t="s">
        <v>119</v>
      </c>
      <c r="D224" s="2" t="s">
        <v>2859</v>
      </c>
      <c r="E224" s="4" t="str">
        <f>HYPERLINK("./Results/DLO\1203\Osteo_Sarco_1.png","RPT")</f>
        <v>RPT</v>
      </c>
      <c r="F224" s="2" t="s">
        <v>588</v>
      </c>
      <c r="G224" s="6"/>
      <c r="H224" s="1">
        <v>18.29</v>
      </c>
    </row>
    <row r="225" spans="1:11" x14ac:dyDescent="0.3">
      <c r="A225" s="2" t="s">
        <v>2136</v>
      </c>
      <c r="B225" s="2" t="s">
        <v>154</v>
      </c>
      <c r="C225" s="2" t="s">
        <v>111</v>
      </c>
      <c r="D225" s="2" t="s">
        <v>2859</v>
      </c>
      <c r="E225" s="4" t="str">
        <f>HYPERLINK("./Results/DLO\1204\Osteo_Sarco_1.png","RPT")</f>
        <v>RPT</v>
      </c>
      <c r="F225" s="2" t="s">
        <v>71</v>
      </c>
      <c r="G225" s="6"/>
      <c r="I225"/>
      <c r="J225"/>
      <c r="K225"/>
    </row>
    <row r="226" spans="1:11" x14ac:dyDescent="0.3">
      <c r="A226" s="2" t="s">
        <v>2129</v>
      </c>
      <c r="B226" s="2" t="s">
        <v>144</v>
      </c>
      <c r="C226" s="2" t="s">
        <v>111</v>
      </c>
      <c r="D226" s="2" t="s">
        <v>2859</v>
      </c>
      <c r="E226" s="4" t="str">
        <f>HYPERLINK("./Results/DLO\1205\Osteo_Sarco_1.png","RPT")</f>
        <v>RPT</v>
      </c>
      <c r="F226" s="2" t="s">
        <v>66</v>
      </c>
      <c r="G226" s="6"/>
      <c r="I226"/>
      <c r="J226"/>
      <c r="K226"/>
    </row>
    <row r="227" spans="1:11" x14ac:dyDescent="0.3">
      <c r="A227" s="2" t="s">
        <v>2121</v>
      </c>
      <c r="B227" s="2" t="s">
        <v>144</v>
      </c>
      <c r="C227" s="2" t="s">
        <v>119</v>
      </c>
      <c r="D227" s="2" t="s">
        <v>2859</v>
      </c>
      <c r="E227" s="4" t="str">
        <f>HYPERLINK("./Results/DLO\1206\Osteo_Sarco_1.png","RPT")</f>
        <v>RPT</v>
      </c>
      <c r="F227" s="2" t="s">
        <v>43</v>
      </c>
      <c r="G227" s="6"/>
      <c r="I227"/>
      <c r="J227"/>
      <c r="K227"/>
    </row>
    <row r="228" spans="1:11" x14ac:dyDescent="0.3">
      <c r="A228" s="2" t="s">
        <v>2127</v>
      </c>
      <c r="B228" s="2" t="s">
        <v>150</v>
      </c>
      <c r="C228" s="2" t="s">
        <v>119</v>
      </c>
      <c r="D228" s="2" t="s">
        <v>2859</v>
      </c>
      <c r="E228" s="4" t="str">
        <f>HYPERLINK("./Results/DLO\1207\Osteo_Sarco_1.png","RPT")</f>
        <v>RPT</v>
      </c>
      <c r="F228" s="2" t="s">
        <v>97</v>
      </c>
      <c r="G228" s="6"/>
      <c r="I228"/>
      <c r="J228"/>
      <c r="K228"/>
    </row>
    <row r="229" spans="1:11" x14ac:dyDescent="0.3">
      <c r="A229" s="2" t="s">
        <v>2123</v>
      </c>
      <c r="B229" s="2" t="s">
        <v>582</v>
      </c>
      <c r="C229" s="2" t="s">
        <v>111</v>
      </c>
      <c r="D229" s="2" t="s">
        <v>2859</v>
      </c>
      <c r="E229" s="4" t="str">
        <f>HYPERLINK("./Results/DLO\1208\Osteo_Sarco_1.png","RPT")</f>
        <v>RPT</v>
      </c>
      <c r="F229" s="2" t="s">
        <v>446</v>
      </c>
      <c r="G229" s="6"/>
      <c r="I229"/>
      <c r="J229"/>
      <c r="K229"/>
    </row>
    <row r="230" spans="1:11" x14ac:dyDescent="0.3">
      <c r="A230" s="2" t="s">
        <v>2128</v>
      </c>
      <c r="B230" s="2" t="s">
        <v>170</v>
      </c>
      <c r="C230" s="2" t="s">
        <v>119</v>
      </c>
      <c r="D230" s="2" t="s">
        <v>2859</v>
      </c>
      <c r="E230" s="4" t="str">
        <f>HYPERLINK("./Results/DLO\1209\Osteo_Sarco_1.png","RPT")</f>
        <v>RPT</v>
      </c>
      <c r="F230" s="2" t="s">
        <v>48</v>
      </c>
      <c r="G230" s="6"/>
      <c r="I230"/>
      <c r="J230"/>
      <c r="K230"/>
    </row>
    <row r="231" spans="1:11" x14ac:dyDescent="0.3">
      <c r="A231" s="2" t="s">
        <v>2132</v>
      </c>
      <c r="B231" s="2" t="s">
        <v>149</v>
      </c>
      <c r="C231" s="2" t="s">
        <v>111</v>
      </c>
      <c r="D231" s="2" t="s">
        <v>2859</v>
      </c>
      <c r="E231" s="4" t="str">
        <f>HYPERLINK("./Results/DLO\121\Osteo_Sarco_1.png","RPT")</f>
        <v>RPT</v>
      </c>
      <c r="F231" s="2" t="s">
        <v>83</v>
      </c>
      <c r="G231" s="6"/>
      <c r="I231"/>
      <c r="J231"/>
      <c r="K231"/>
    </row>
    <row r="232" spans="1:11" x14ac:dyDescent="0.3">
      <c r="A232" s="2" t="s">
        <v>2134</v>
      </c>
      <c r="B232" s="2" t="s">
        <v>123</v>
      </c>
      <c r="C232" s="2" t="s">
        <v>111</v>
      </c>
      <c r="D232" s="2" t="s">
        <v>2859</v>
      </c>
      <c r="E232" s="4" t="str">
        <f>HYPERLINK("./Results/DLO\1210\Osteo_Sarco_1.png","RPT")</f>
        <v>RPT</v>
      </c>
      <c r="F232" s="2" t="s">
        <v>106</v>
      </c>
      <c r="G232" s="6"/>
      <c r="I232"/>
      <c r="J232"/>
      <c r="K232"/>
    </row>
    <row r="233" spans="1:11" x14ac:dyDescent="0.3">
      <c r="A233" s="2" t="s">
        <v>2137</v>
      </c>
      <c r="B233" s="2" t="s">
        <v>118</v>
      </c>
      <c r="C233" s="2" t="s">
        <v>119</v>
      </c>
      <c r="D233" s="2" t="s">
        <v>2859</v>
      </c>
      <c r="E233" s="4" t="str">
        <f>HYPERLINK("./Results/DLO\1211\Osteo_Sarco_1.png","RPT")</f>
        <v>RPT</v>
      </c>
      <c r="F233" s="2" t="s">
        <v>28</v>
      </c>
      <c r="G233" s="6"/>
      <c r="I233"/>
      <c r="J233"/>
      <c r="K233"/>
    </row>
    <row r="234" spans="1:11" x14ac:dyDescent="0.3">
      <c r="A234" s="2" t="s">
        <v>2158</v>
      </c>
      <c r="B234" s="2" t="s">
        <v>143</v>
      </c>
      <c r="C234" s="2" t="s">
        <v>111</v>
      </c>
      <c r="D234" s="2" t="s">
        <v>2859</v>
      </c>
      <c r="E234" s="4" t="str">
        <f>HYPERLINK("./Results/DLO\1212\Osteo_Sarco_1.png","RPT")</f>
        <v>RPT</v>
      </c>
      <c r="F234" s="2" t="s">
        <v>467</v>
      </c>
      <c r="G234" s="6"/>
      <c r="I234"/>
      <c r="J234"/>
      <c r="K234"/>
    </row>
    <row r="235" spans="1:11" x14ac:dyDescent="0.3">
      <c r="A235" s="2" t="s">
        <v>2152</v>
      </c>
      <c r="B235" s="2" t="s">
        <v>583</v>
      </c>
      <c r="C235" s="2" t="s">
        <v>111</v>
      </c>
      <c r="D235" s="2" t="s">
        <v>2859</v>
      </c>
      <c r="E235" s="4" t="str">
        <f>HYPERLINK("./Results/DLO\1213\Osteo_Sarco_1.png","RPT")</f>
        <v>RPT</v>
      </c>
      <c r="F235" s="2" t="s">
        <v>455</v>
      </c>
      <c r="G235" s="6"/>
      <c r="I235"/>
      <c r="J235"/>
      <c r="K235"/>
    </row>
    <row r="236" spans="1:11" x14ac:dyDescent="0.3">
      <c r="A236" s="2" t="s">
        <v>2151</v>
      </c>
      <c r="B236" s="2" t="s">
        <v>123</v>
      </c>
      <c r="C236" s="2" t="s">
        <v>119</v>
      </c>
      <c r="D236" s="2" t="s">
        <v>2859</v>
      </c>
      <c r="E236" s="4" t="str">
        <f>HYPERLINK("./Results/DLO\1214\Osteo_Sarco_1.png","RPT")</f>
        <v>RPT</v>
      </c>
      <c r="F236" s="2" t="s">
        <v>121</v>
      </c>
      <c r="G236" s="6"/>
      <c r="I236"/>
      <c r="J236"/>
      <c r="K236"/>
    </row>
    <row r="237" spans="1:11" x14ac:dyDescent="0.3">
      <c r="A237" s="2" t="s">
        <v>2150</v>
      </c>
      <c r="B237" s="2" t="s">
        <v>133</v>
      </c>
      <c r="C237" s="2" t="s">
        <v>119</v>
      </c>
      <c r="D237" s="2" t="s">
        <v>2859</v>
      </c>
      <c r="E237" s="4" t="str">
        <f>HYPERLINK("./Results/DLO\1215\Osteo_Sarco_1.png","RPT")</f>
        <v>RPT</v>
      </c>
      <c r="F237" s="2" t="s">
        <v>97</v>
      </c>
      <c r="G237" s="6"/>
      <c r="I237"/>
      <c r="J237"/>
      <c r="K237"/>
    </row>
    <row r="238" spans="1:11" x14ac:dyDescent="0.3">
      <c r="A238" s="2" t="s">
        <v>2146</v>
      </c>
      <c r="B238" s="2" t="s">
        <v>156</v>
      </c>
      <c r="C238" s="2" t="s">
        <v>119</v>
      </c>
      <c r="D238" s="2" t="s">
        <v>2859</v>
      </c>
      <c r="E238" s="4" t="str">
        <f>HYPERLINK("./Results/DLO\1216\Osteo_Sarco_1.png","RPT")</f>
        <v>RPT</v>
      </c>
      <c r="F238" s="2" t="s">
        <v>29</v>
      </c>
      <c r="G238" s="6"/>
      <c r="H238" s="1">
        <v>21.96</v>
      </c>
    </row>
    <row r="239" spans="1:11" x14ac:dyDescent="0.3">
      <c r="A239" s="2" t="s">
        <v>2155</v>
      </c>
      <c r="B239" s="2" t="s">
        <v>118</v>
      </c>
      <c r="C239" s="2" t="s">
        <v>111</v>
      </c>
      <c r="D239" s="2" t="s">
        <v>2859</v>
      </c>
      <c r="E239" s="4" t="str">
        <f>HYPERLINK("./Results/DLO\1217\Osteo_Sarco_1.png","RPT")</f>
        <v>RPT</v>
      </c>
      <c r="F239" s="2" t="s">
        <v>108</v>
      </c>
      <c r="G239" s="6"/>
      <c r="H239" s="1">
        <v>20.76</v>
      </c>
    </row>
    <row r="240" spans="1:11" x14ac:dyDescent="0.3">
      <c r="A240" s="2" t="s">
        <v>2159</v>
      </c>
      <c r="B240" s="2" t="s">
        <v>126</v>
      </c>
      <c r="C240" s="2" t="s">
        <v>119</v>
      </c>
      <c r="D240" s="2" t="s">
        <v>1935</v>
      </c>
      <c r="E240" s="4" t="str">
        <f>HYPERLINK("./Results/DLO\1218\Osteo_Sarco_1.png","RPT")</f>
        <v>RPT</v>
      </c>
      <c r="F240" s="2" t="s">
        <v>31</v>
      </c>
      <c r="G240" s="6"/>
      <c r="I240"/>
      <c r="J240"/>
      <c r="K240"/>
    </row>
    <row r="241" spans="1:11" x14ac:dyDescent="0.3">
      <c r="A241" s="2" t="s">
        <v>2149</v>
      </c>
      <c r="B241" s="2" t="s">
        <v>140</v>
      </c>
      <c r="C241" s="2" t="s">
        <v>111</v>
      </c>
      <c r="D241" s="2" t="s">
        <v>2867</v>
      </c>
      <c r="E241" s="4" t="str">
        <f>HYPERLINK("./Results/DLO\1219\Osteo_Sarco_1.png","RPT")</f>
        <v>RPT</v>
      </c>
      <c r="F241" s="2" t="s">
        <v>453</v>
      </c>
      <c r="G241" s="6"/>
      <c r="H241" s="1">
        <v>24.07</v>
      </c>
    </row>
    <row r="242" spans="1:11" x14ac:dyDescent="0.3">
      <c r="A242" s="2" t="s">
        <v>2153</v>
      </c>
      <c r="B242" s="2" t="s">
        <v>165</v>
      </c>
      <c r="C242" s="2" t="s">
        <v>119</v>
      </c>
      <c r="D242" s="2" t="s">
        <v>2859</v>
      </c>
      <c r="E242" s="4" t="str">
        <f>HYPERLINK("./Results/DLO\122\Osteo_Sarco_1.png","RPT")</f>
        <v>RPT</v>
      </c>
      <c r="F242" s="2" t="s">
        <v>29</v>
      </c>
      <c r="G242" s="6"/>
      <c r="I242"/>
      <c r="J242"/>
      <c r="K242"/>
    </row>
    <row r="243" spans="1:11" x14ac:dyDescent="0.3">
      <c r="A243" s="2" t="s">
        <v>2161</v>
      </c>
      <c r="B243" s="2" t="s">
        <v>165</v>
      </c>
      <c r="C243" s="2" t="s">
        <v>111</v>
      </c>
      <c r="D243" s="2" t="s">
        <v>2867</v>
      </c>
      <c r="E243" s="4" t="str">
        <f>HYPERLINK("./Results/DLO\1220\Osteo_Sarco_1.png","RPT")</f>
        <v>RPT</v>
      </c>
      <c r="F243" s="2" t="s">
        <v>44</v>
      </c>
      <c r="G243" s="6"/>
      <c r="I243"/>
      <c r="J243"/>
      <c r="K243"/>
    </row>
    <row r="244" spans="1:11" x14ac:dyDescent="0.3">
      <c r="A244" s="2" t="s">
        <v>2160</v>
      </c>
      <c r="B244" s="2" t="s">
        <v>154</v>
      </c>
      <c r="C244" s="2" t="s">
        <v>111</v>
      </c>
      <c r="D244" s="2" t="s">
        <v>2867</v>
      </c>
      <c r="E244" s="4" t="str">
        <f>HYPERLINK("./Results/DLO\1221\Osteo_Sarco_1.png","RPT")</f>
        <v>RPT</v>
      </c>
      <c r="F244" s="2" t="s">
        <v>447</v>
      </c>
      <c r="G244" s="6"/>
      <c r="I244"/>
      <c r="J244"/>
      <c r="K244"/>
    </row>
    <row r="245" spans="1:11" x14ac:dyDescent="0.3">
      <c r="A245" s="2" t="s">
        <v>2143</v>
      </c>
      <c r="B245" s="2" t="s">
        <v>165</v>
      </c>
      <c r="C245" s="2" t="s">
        <v>111</v>
      </c>
      <c r="D245" s="2" t="s">
        <v>2859</v>
      </c>
      <c r="E245" s="4" t="str">
        <f>HYPERLINK("./Results/DLO\1222\Osteo_Sarco_1.png","RPT")</f>
        <v>RPT</v>
      </c>
      <c r="F245" s="2" t="s">
        <v>68</v>
      </c>
      <c r="G245" s="6"/>
      <c r="H245" s="1">
        <v>25.74</v>
      </c>
    </row>
    <row r="246" spans="1:11" x14ac:dyDescent="0.3">
      <c r="A246" s="2" t="s">
        <v>2147</v>
      </c>
      <c r="B246" s="2" t="s">
        <v>157</v>
      </c>
      <c r="C246" s="2" t="s">
        <v>111</v>
      </c>
      <c r="D246" s="2" t="s">
        <v>2859</v>
      </c>
      <c r="E246" s="4" t="str">
        <f>HYPERLINK("./Results/DLO\1223\Osteo_Sarco_1.png","RPT")</f>
        <v>RPT</v>
      </c>
      <c r="F246" s="2" t="s">
        <v>444</v>
      </c>
      <c r="G246" s="6"/>
      <c r="I246"/>
      <c r="J246"/>
      <c r="K246"/>
    </row>
    <row r="247" spans="1:11" x14ac:dyDescent="0.3">
      <c r="A247" s="2" t="s">
        <v>2145</v>
      </c>
      <c r="B247" s="2" t="s">
        <v>149</v>
      </c>
      <c r="C247" s="2" t="s">
        <v>111</v>
      </c>
      <c r="D247" s="2" t="s">
        <v>2859</v>
      </c>
      <c r="E247" s="4" t="str">
        <f>HYPERLINK("./Results/DLO\1224\Osteo_Sarco_1.png","RPT")</f>
        <v>RPT</v>
      </c>
      <c r="F247" s="2" t="s">
        <v>58</v>
      </c>
      <c r="G247" s="6"/>
      <c r="I247"/>
      <c r="J247"/>
      <c r="K247"/>
    </row>
    <row r="248" spans="1:11" x14ac:dyDescent="0.3">
      <c r="A248" s="2" t="s">
        <v>2162</v>
      </c>
      <c r="B248" s="2" t="s">
        <v>129</v>
      </c>
      <c r="C248" s="2" t="s">
        <v>111</v>
      </c>
      <c r="D248" s="2" t="s">
        <v>2859</v>
      </c>
      <c r="E248" s="4" t="str">
        <f>HYPERLINK("./Results/DLO\1225\Osteo_Sarco_1.png","RPT")</f>
        <v>RPT</v>
      </c>
      <c r="F248" s="2" t="s">
        <v>51</v>
      </c>
      <c r="G248" s="6"/>
      <c r="H248" s="1">
        <v>27.48</v>
      </c>
    </row>
    <row r="249" spans="1:11" x14ac:dyDescent="0.3">
      <c r="A249" s="2" t="s">
        <v>2142</v>
      </c>
      <c r="B249" s="2" t="s">
        <v>144</v>
      </c>
      <c r="C249" s="2" t="s">
        <v>111</v>
      </c>
      <c r="D249" s="2" t="s">
        <v>2867</v>
      </c>
      <c r="E249" s="4" t="str">
        <f>HYPERLINK("./Results/DLO\1226\Osteo_Sarco_1.png","RPT")</f>
        <v>RPT</v>
      </c>
      <c r="F249" s="2" t="s">
        <v>64</v>
      </c>
      <c r="G249" s="6"/>
      <c r="I249"/>
      <c r="J249"/>
      <c r="K249"/>
    </row>
    <row r="250" spans="1:11" x14ac:dyDescent="0.3">
      <c r="A250" s="2" t="s">
        <v>2154</v>
      </c>
      <c r="B250" s="2" t="s">
        <v>127</v>
      </c>
      <c r="C250" s="2" t="s">
        <v>111</v>
      </c>
      <c r="D250" s="2" t="s">
        <v>2867</v>
      </c>
      <c r="E250" s="4" t="str">
        <f>HYPERLINK("./Results/DLO\1227\Osteo_Sarco_1.png","RPT")</f>
        <v>RPT</v>
      </c>
      <c r="F250" s="2" t="s">
        <v>452</v>
      </c>
      <c r="G250" s="6"/>
      <c r="H250" s="1">
        <v>26.37</v>
      </c>
    </row>
    <row r="251" spans="1:11" x14ac:dyDescent="0.3">
      <c r="A251" s="2" t="s">
        <v>2144</v>
      </c>
      <c r="B251" s="2" t="s">
        <v>123</v>
      </c>
      <c r="C251" s="2" t="s">
        <v>111</v>
      </c>
      <c r="D251" s="2" t="s">
        <v>2859</v>
      </c>
      <c r="E251" s="4" t="str">
        <f>HYPERLINK("./Results/DLO\1228\Osteo_Sarco_1.png","RPT")</f>
        <v>RPT</v>
      </c>
      <c r="F251" s="2" t="s">
        <v>459</v>
      </c>
      <c r="G251" s="6"/>
      <c r="I251"/>
      <c r="J251"/>
      <c r="K251"/>
    </row>
    <row r="252" spans="1:11" x14ac:dyDescent="0.3">
      <c r="A252" s="2" t="s">
        <v>2148</v>
      </c>
      <c r="B252" s="2" t="s">
        <v>123</v>
      </c>
      <c r="C252" s="2" t="s">
        <v>111</v>
      </c>
      <c r="D252" s="2" t="s">
        <v>2859</v>
      </c>
      <c r="E252" s="4" t="str">
        <f>HYPERLINK("./Results/DLO\1229\Osteo_Sarco_1.png","RPT")</f>
        <v>RPT</v>
      </c>
      <c r="F252" s="2" t="s">
        <v>90</v>
      </c>
      <c r="G252" s="6"/>
      <c r="I252"/>
      <c r="J252"/>
      <c r="K252"/>
    </row>
    <row r="253" spans="1:11" x14ac:dyDescent="0.3">
      <c r="A253" s="2" t="s">
        <v>2156</v>
      </c>
      <c r="B253" s="2" t="s">
        <v>143</v>
      </c>
      <c r="C253" s="2" t="s">
        <v>119</v>
      </c>
      <c r="D253" s="2" t="s">
        <v>2859</v>
      </c>
      <c r="E253" s="4" t="str">
        <f>HYPERLINK("./Results/DLO\123\Osteo_Sarco_1.png","RPT")</f>
        <v>RPT</v>
      </c>
      <c r="F253" s="2" t="s">
        <v>57</v>
      </c>
      <c r="G253" s="6"/>
      <c r="H253" s="1">
        <v>22.66</v>
      </c>
    </row>
    <row r="254" spans="1:11" x14ac:dyDescent="0.3">
      <c r="A254" s="2" t="s">
        <v>2157</v>
      </c>
      <c r="B254" s="2" t="s">
        <v>136</v>
      </c>
      <c r="C254" s="2" t="s">
        <v>111</v>
      </c>
      <c r="D254" s="2" t="s">
        <v>2859</v>
      </c>
      <c r="E254" s="4" t="str">
        <f>HYPERLINK("./Results/DLO\1230\Osteo_Sarco_1.png","RPT")</f>
        <v>RPT</v>
      </c>
      <c r="F254" s="2" t="s">
        <v>78</v>
      </c>
      <c r="G254" s="6"/>
      <c r="I254"/>
      <c r="J254"/>
      <c r="K254"/>
    </row>
    <row r="255" spans="1:11" x14ac:dyDescent="0.3">
      <c r="A255" s="2" t="s">
        <v>2181</v>
      </c>
      <c r="B255" s="2" t="s">
        <v>143</v>
      </c>
      <c r="C255" s="2" t="s">
        <v>111</v>
      </c>
      <c r="D255" s="2" t="s">
        <v>2867</v>
      </c>
      <c r="E255" s="4" t="str">
        <f>HYPERLINK("./Results/DLO\1231\Osteo_Sarco_1.png","RPT")</f>
        <v>RPT</v>
      </c>
      <c r="F255" s="2" t="s">
        <v>44</v>
      </c>
      <c r="G255" s="6"/>
      <c r="I255"/>
      <c r="J255"/>
      <c r="K255"/>
    </row>
    <row r="256" spans="1:11" x14ac:dyDescent="0.3">
      <c r="A256" s="2" t="s">
        <v>2169</v>
      </c>
      <c r="B256" s="2" t="s">
        <v>120</v>
      </c>
      <c r="C256" s="2" t="s">
        <v>111</v>
      </c>
      <c r="D256" s="2" t="s">
        <v>2859</v>
      </c>
      <c r="E256" s="4" t="str">
        <f>HYPERLINK("./Results/DLO\1232\Osteo_Sarco_1.png","RPT")</f>
        <v>RPT</v>
      </c>
      <c r="F256" s="2" t="s">
        <v>457</v>
      </c>
      <c r="G256" s="6"/>
      <c r="H256" s="1">
        <v>26.89</v>
      </c>
    </row>
    <row r="257" spans="1:11" x14ac:dyDescent="0.3">
      <c r="A257" s="2" t="s">
        <v>2163</v>
      </c>
      <c r="B257" s="2" t="s">
        <v>165</v>
      </c>
      <c r="C257" s="2" t="s">
        <v>119</v>
      </c>
      <c r="D257" s="2" t="s">
        <v>2859</v>
      </c>
      <c r="E257" s="4" t="str">
        <f>HYPERLINK("./Results/DLO\1233\Osteo_Sarco_1.png","RPT")</f>
        <v>RPT</v>
      </c>
      <c r="F257" s="2" t="s">
        <v>115</v>
      </c>
      <c r="G257" s="6"/>
      <c r="I257"/>
      <c r="J257"/>
      <c r="K257"/>
    </row>
    <row r="258" spans="1:11" x14ac:dyDescent="0.3">
      <c r="A258" s="2">
        <v>4154791</v>
      </c>
      <c r="B258" s="2" t="s">
        <v>138</v>
      </c>
      <c r="C258" s="2" t="s">
        <v>119</v>
      </c>
      <c r="D258" s="2" t="s">
        <v>2859</v>
      </c>
      <c r="E258" s="4" t="str">
        <f>HYPERLINK("./Results/DLO\1234\Osteo_Sarco_1.png","RPT")</f>
        <v>RPT</v>
      </c>
      <c r="F258" s="2" t="s">
        <v>31</v>
      </c>
      <c r="G258" s="6"/>
      <c r="H258" s="1">
        <v>25.25</v>
      </c>
    </row>
    <row r="259" spans="1:11" x14ac:dyDescent="0.3">
      <c r="A259" s="2" t="s">
        <v>2165</v>
      </c>
      <c r="B259" s="2" t="s">
        <v>127</v>
      </c>
      <c r="C259" s="2" t="s">
        <v>111</v>
      </c>
      <c r="D259" s="2" t="s">
        <v>2859</v>
      </c>
      <c r="E259" s="4" t="str">
        <f>HYPERLINK("./Results/DLO\1235\Osteo_Sarco_1.png","RPT")</f>
        <v>RPT</v>
      </c>
      <c r="F259" s="2" t="s">
        <v>444</v>
      </c>
      <c r="G259" s="6"/>
      <c r="I259"/>
      <c r="J259"/>
      <c r="K259"/>
    </row>
    <row r="260" spans="1:11" x14ac:dyDescent="0.3">
      <c r="A260" s="2" t="s">
        <v>2183</v>
      </c>
      <c r="B260" s="2" t="s">
        <v>159</v>
      </c>
      <c r="C260" s="2" t="s">
        <v>111</v>
      </c>
      <c r="D260" s="2" t="s">
        <v>2867</v>
      </c>
      <c r="E260" s="4" t="str">
        <f>HYPERLINK("./Results/DLO\1236\Osteo_Sarco_1.png","RPT")</f>
        <v>RPT</v>
      </c>
      <c r="F260" s="2" t="s">
        <v>63</v>
      </c>
      <c r="G260" s="6"/>
      <c r="H260" s="1">
        <v>26.83</v>
      </c>
    </row>
    <row r="261" spans="1:11" x14ac:dyDescent="0.3">
      <c r="A261" s="2" t="s">
        <v>2176</v>
      </c>
      <c r="B261" s="2" t="s">
        <v>148</v>
      </c>
      <c r="C261" s="2" t="s">
        <v>111</v>
      </c>
      <c r="D261" s="2" t="s">
        <v>2867</v>
      </c>
      <c r="E261" s="4" t="str">
        <f>HYPERLINK("./Results/DLO\1237\Osteo_Sarco_1.png","RPT")</f>
        <v>RPT</v>
      </c>
      <c r="F261" s="2" t="s">
        <v>22</v>
      </c>
      <c r="G261" s="6"/>
      <c r="I261"/>
      <c r="J261"/>
      <c r="K261"/>
    </row>
    <row r="262" spans="1:11" x14ac:dyDescent="0.3">
      <c r="A262" s="2" t="s">
        <v>2177</v>
      </c>
      <c r="B262" s="2" t="s">
        <v>148</v>
      </c>
      <c r="C262" s="2" t="s">
        <v>111</v>
      </c>
      <c r="D262" s="2" t="s">
        <v>2859</v>
      </c>
      <c r="E262" s="4" t="str">
        <f>HYPERLINK("./Results/DLO\1238\Osteo_Sarco_1.png","RPT")</f>
        <v>RPT</v>
      </c>
      <c r="F262" s="2" t="s">
        <v>458</v>
      </c>
      <c r="G262" s="6"/>
      <c r="H262" s="1">
        <v>25.64</v>
      </c>
    </row>
    <row r="263" spans="1:11" x14ac:dyDescent="0.3">
      <c r="A263" s="2" t="s">
        <v>2166</v>
      </c>
      <c r="B263" s="2" t="s">
        <v>137</v>
      </c>
      <c r="C263" s="2" t="s">
        <v>111</v>
      </c>
      <c r="D263" s="2" t="s">
        <v>2867</v>
      </c>
      <c r="E263" s="4" t="str">
        <f>HYPERLINK("./Results/DLO\1239\Osteo_Sarco_1.png","RPT")</f>
        <v>RPT</v>
      </c>
      <c r="F263" s="2" t="s">
        <v>453</v>
      </c>
      <c r="G263" s="6"/>
      <c r="I263"/>
      <c r="J263"/>
      <c r="K263"/>
    </row>
    <row r="264" spans="1:11" x14ac:dyDescent="0.3">
      <c r="A264" s="2" t="s">
        <v>2167</v>
      </c>
      <c r="B264" s="2" t="s">
        <v>133</v>
      </c>
      <c r="C264" s="2" t="s">
        <v>111</v>
      </c>
      <c r="D264" s="2" t="s">
        <v>2859</v>
      </c>
      <c r="E264" s="4" t="str">
        <f>HYPERLINK("./Results/DLO\124\Osteo_Sarco_1.png","RPT")</f>
        <v>RPT</v>
      </c>
      <c r="F264" s="2" t="s">
        <v>451</v>
      </c>
      <c r="G264" s="6"/>
      <c r="I264"/>
      <c r="J264"/>
      <c r="K264"/>
    </row>
    <row r="265" spans="1:11" x14ac:dyDescent="0.3">
      <c r="A265" s="2" t="s">
        <v>2170</v>
      </c>
      <c r="B265" s="2" t="s">
        <v>134</v>
      </c>
      <c r="C265" s="2" t="s">
        <v>111</v>
      </c>
      <c r="D265" s="2" t="s">
        <v>2859</v>
      </c>
      <c r="E265" s="4" t="str">
        <f>HYPERLINK("./Results/DLO\1240\Osteo_Sarco_1.png","RPT")</f>
        <v>RPT</v>
      </c>
      <c r="F265" s="2" t="s">
        <v>44</v>
      </c>
      <c r="G265" s="6"/>
      <c r="H265" s="1">
        <v>20.420000000000002</v>
      </c>
    </row>
    <row r="266" spans="1:11" x14ac:dyDescent="0.3">
      <c r="A266" s="2" t="s">
        <v>2178</v>
      </c>
      <c r="B266" s="2" t="s">
        <v>123</v>
      </c>
      <c r="C266" s="2" t="s">
        <v>119</v>
      </c>
      <c r="D266" s="2" t="s">
        <v>2859</v>
      </c>
      <c r="E266" s="4" t="str">
        <f>HYPERLINK("./Results/DLO\1241\Osteo_Sarco_1.png","RPT")</f>
        <v>RPT</v>
      </c>
      <c r="F266" s="2" t="s">
        <v>31</v>
      </c>
      <c r="G266" s="6"/>
      <c r="I266"/>
      <c r="J266"/>
      <c r="K266"/>
    </row>
    <row r="267" spans="1:11" x14ac:dyDescent="0.3">
      <c r="A267" s="2" t="s">
        <v>2173</v>
      </c>
      <c r="B267" s="2" t="s">
        <v>159</v>
      </c>
      <c r="C267" s="2" t="s">
        <v>119</v>
      </c>
      <c r="D267" s="2" t="s">
        <v>2859</v>
      </c>
      <c r="E267" s="4" t="str">
        <f>HYPERLINK("./Results/DLO\1242\Osteo_Sarco_1.png","RPT")</f>
        <v>RPT</v>
      </c>
      <c r="F267" s="2" t="s">
        <v>591</v>
      </c>
      <c r="G267" s="6"/>
      <c r="I267"/>
      <c r="J267"/>
      <c r="K267"/>
    </row>
    <row r="268" spans="1:11" x14ac:dyDescent="0.3">
      <c r="A268" s="2" t="s">
        <v>2174</v>
      </c>
      <c r="B268" s="2" t="s">
        <v>136</v>
      </c>
      <c r="C268" s="2" t="s">
        <v>111</v>
      </c>
      <c r="D268" s="2" t="s">
        <v>2859</v>
      </c>
      <c r="E268" s="4" t="str">
        <f>HYPERLINK("./Results/DLO\1243\Osteo_Sarco_1.png","RPT")</f>
        <v>RPT</v>
      </c>
      <c r="F268" s="2" t="s">
        <v>34</v>
      </c>
      <c r="G268" s="6"/>
      <c r="I268"/>
      <c r="J268"/>
      <c r="K268"/>
    </row>
    <row r="269" spans="1:11" x14ac:dyDescent="0.3">
      <c r="A269" s="2" t="s">
        <v>2168</v>
      </c>
      <c r="B269" s="2" t="s">
        <v>137</v>
      </c>
      <c r="C269" s="2" t="s">
        <v>119</v>
      </c>
      <c r="D269" s="2" t="s">
        <v>2859</v>
      </c>
      <c r="E269" s="4" t="str">
        <f>HYPERLINK("./Results/DLO\1244\Osteo_Sarco_1.png","RPT")</f>
        <v>RPT</v>
      </c>
      <c r="F269" s="2" t="s">
        <v>116</v>
      </c>
      <c r="G269" s="6"/>
      <c r="I269"/>
      <c r="J269"/>
      <c r="K269"/>
    </row>
    <row r="270" spans="1:11" x14ac:dyDescent="0.3">
      <c r="A270" s="2" t="s">
        <v>2171</v>
      </c>
      <c r="B270" s="2" t="s">
        <v>140</v>
      </c>
      <c r="C270" s="2" t="s">
        <v>111</v>
      </c>
      <c r="D270" s="2" t="s">
        <v>2867</v>
      </c>
      <c r="E270" s="4" t="str">
        <f>HYPERLINK("./Results/DLO\1245\Osteo_Sarco_1.png","RPT")</f>
        <v>RPT</v>
      </c>
      <c r="F270" s="2" t="s">
        <v>448</v>
      </c>
      <c r="G270" s="6"/>
      <c r="I270"/>
      <c r="J270"/>
      <c r="K270"/>
    </row>
    <row r="271" spans="1:11" x14ac:dyDescent="0.3">
      <c r="A271" s="2" t="s">
        <v>2164</v>
      </c>
      <c r="B271" s="2" t="s">
        <v>149</v>
      </c>
      <c r="C271" s="2" t="s">
        <v>119</v>
      </c>
      <c r="D271" s="2" t="s">
        <v>2859</v>
      </c>
      <c r="E271" s="4" t="str">
        <f>HYPERLINK("./Results/DLO\1246\Osteo_Sarco_1.png","RPT")</f>
        <v>RPT</v>
      </c>
      <c r="F271" s="2" t="s">
        <v>454</v>
      </c>
      <c r="G271" s="6"/>
      <c r="I271"/>
      <c r="J271"/>
      <c r="K271"/>
    </row>
    <row r="272" spans="1:11" x14ac:dyDescent="0.3">
      <c r="A272" s="2" t="s">
        <v>2172</v>
      </c>
      <c r="B272" s="2" t="s">
        <v>138</v>
      </c>
      <c r="C272" s="2" t="s">
        <v>119</v>
      </c>
      <c r="D272" s="2" t="s">
        <v>2859</v>
      </c>
      <c r="E272" s="4" t="str">
        <f>HYPERLINK("./Results/DLO\1247\Osteo_Sarco_1.png","RPT")</f>
        <v>RPT</v>
      </c>
      <c r="F272" s="2" t="s">
        <v>46</v>
      </c>
      <c r="G272" s="6"/>
      <c r="I272"/>
      <c r="J272"/>
      <c r="K272"/>
    </row>
    <row r="273" spans="1:11" x14ac:dyDescent="0.3">
      <c r="A273" s="2" t="s">
        <v>2182</v>
      </c>
      <c r="B273" s="2" t="s">
        <v>114</v>
      </c>
      <c r="C273" s="2" t="s">
        <v>119</v>
      </c>
      <c r="D273" s="2" t="s">
        <v>2859</v>
      </c>
      <c r="E273" s="4" t="str">
        <f>HYPERLINK("./Results/DLO\1248\Osteo_Sarco_1.png","RPT")</f>
        <v>RPT</v>
      </c>
      <c r="F273" s="2" t="s">
        <v>98</v>
      </c>
      <c r="G273" s="6"/>
      <c r="H273" s="1">
        <v>24.3</v>
      </c>
    </row>
    <row r="274" spans="1:11" x14ac:dyDescent="0.3">
      <c r="A274" s="2" t="s">
        <v>2175</v>
      </c>
      <c r="B274" s="2" t="s">
        <v>116</v>
      </c>
      <c r="C274" s="2" t="s">
        <v>119</v>
      </c>
      <c r="D274" s="2" t="s">
        <v>2859</v>
      </c>
      <c r="E274" s="4" t="str">
        <f>HYPERLINK("./Results/DLO\1249\Osteo_Sarco_1.png","RPT")</f>
        <v>RPT</v>
      </c>
      <c r="F274" s="2" t="s">
        <v>449</v>
      </c>
      <c r="G274" s="6"/>
      <c r="I274"/>
      <c r="J274"/>
      <c r="K274"/>
    </row>
    <row r="275" spans="1:11" x14ac:dyDescent="0.3">
      <c r="A275" s="2" t="s">
        <v>2179</v>
      </c>
      <c r="B275" s="2" t="s">
        <v>140</v>
      </c>
      <c r="C275" s="2" t="s">
        <v>111</v>
      </c>
      <c r="D275" s="2" t="s">
        <v>2859</v>
      </c>
      <c r="E275" s="4" t="str">
        <f>HYPERLINK("./Results/DLO\125\Osteo_Sarco_1.png","RPT")</f>
        <v>RPT</v>
      </c>
      <c r="F275" s="2" t="s">
        <v>26</v>
      </c>
      <c r="G275" s="6"/>
      <c r="I275"/>
      <c r="J275"/>
      <c r="K275"/>
    </row>
    <row r="276" spans="1:11" x14ac:dyDescent="0.3">
      <c r="A276" s="2" t="s">
        <v>2180</v>
      </c>
      <c r="B276" s="2" t="s">
        <v>587</v>
      </c>
      <c r="C276" s="2" t="s">
        <v>119</v>
      </c>
      <c r="D276" s="2" t="s">
        <v>2859</v>
      </c>
      <c r="E276" s="4" t="str">
        <f>HYPERLINK("./Results/DLO\1250\Osteo_Sarco_1.png","RPT")</f>
        <v>RPT</v>
      </c>
      <c r="F276" s="2" t="s">
        <v>150</v>
      </c>
      <c r="G276" s="6"/>
      <c r="I276"/>
      <c r="J276"/>
      <c r="K276"/>
    </row>
    <row r="277" spans="1:11" x14ac:dyDescent="0.3">
      <c r="A277" s="2" t="s">
        <v>2187</v>
      </c>
      <c r="B277" s="2" t="s">
        <v>129</v>
      </c>
      <c r="C277" s="2" t="s">
        <v>111</v>
      </c>
      <c r="D277" s="2" t="s">
        <v>2867</v>
      </c>
      <c r="E277" s="4" t="str">
        <f>HYPERLINK("./Results/DLO\1251\Osteo_Sarco_1.png","RPT")</f>
        <v>RPT</v>
      </c>
      <c r="F277" s="2" t="s">
        <v>88</v>
      </c>
      <c r="G277" s="6"/>
      <c r="H277" s="1">
        <v>20.7</v>
      </c>
    </row>
    <row r="278" spans="1:11" x14ac:dyDescent="0.3">
      <c r="A278" s="2" t="s">
        <v>2186</v>
      </c>
      <c r="B278" s="2" t="s">
        <v>144</v>
      </c>
      <c r="C278" s="2" t="s">
        <v>111</v>
      </c>
      <c r="D278" s="2" t="s">
        <v>2859</v>
      </c>
      <c r="E278" s="4" t="str">
        <f>HYPERLINK("./Results/DLO\1252\Osteo_Sarco_1.png","RPT")</f>
        <v>RPT</v>
      </c>
      <c r="F278" s="2" t="s">
        <v>473</v>
      </c>
      <c r="G278" s="6"/>
      <c r="I278"/>
      <c r="J278"/>
      <c r="K278"/>
    </row>
    <row r="279" spans="1:11" x14ac:dyDescent="0.3">
      <c r="A279" s="2" t="s">
        <v>2194</v>
      </c>
      <c r="B279" s="2" t="s">
        <v>138</v>
      </c>
      <c r="C279" s="2" t="s">
        <v>119</v>
      </c>
      <c r="D279" s="2" t="s">
        <v>2867</v>
      </c>
      <c r="E279" s="4" t="str">
        <f>HYPERLINK("./Results/DLO\1253\Osteo_Sarco_1.png","RPT")</f>
        <v>RPT</v>
      </c>
      <c r="F279" s="2" t="s">
        <v>96</v>
      </c>
      <c r="G279" s="6"/>
      <c r="I279"/>
      <c r="J279"/>
      <c r="K279"/>
    </row>
    <row r="280" spans="1:11" x14ac:dyDescent="0.3">
      <c r="A280" s="2" t="s">
        <v>2201</v>
      </c>
      <c r="B280" s="2" t="s">
        <v>129</v>
      </c>
      <c r="C280" s="2" t="s">
        <v>119</v>
      </c>
      <c r="D280" s="2" t="s">
        <v>2859</v>
      </c>
      <c r="E280" s="4" t="str">
        <f>HYPERLINK("./Results/DLO\1254\Osteo_Sarco_1.png","RPT")</f>
        <v>RPT</v>
      </c>
      <c r="F280" s="2" t="s">
        <v>29</v>
      </c>
      <c r="G280" s="6"/>
      <c r="I280"/>
      <c r="J280"/>
      <c r="K280"/>
    </row>
    <row r="281" spans="1:11" x14ac:dyDescent="0.3">
      <c r="A281" s="2" t="s">
        <v>2188</v>
      </c>
      <c r="B281" s="2" t="s">
        <v>142</v>
      </c>
      <c r="C281" s="2" t="s">
        <v>119</v>
      </c>
      <c r="D281" s="2" t="s">
        <v>2859</v>
      </c>
      <c r="E281" s="4" t="str">
        <f>HYPERLINK("./Results/DLO\1255\Osteo_Sarco_1.png","RPT")</f>
        <v>RPT</v>
      </c>
      <c r="F281" s="2" t="s">
        <v>50</v>
      </c>
      <c r="G281" s="6"/>
      <c r="I281"/>
      <c r="J281"/>
      <c r="K281"/>
    </row>
    <row r="282" spans="1:11" x14ac:dyDescent="0.3">
      <c r="A282" s="2" t="s">
        <v>2185</v>
      </c>
      <c r="B282" s="2" t="s">
        <v>125</v>
      </c>
      <c r="C282" s="2" t="s">
        <v>111</v>
      </c>
      <c r="D282" s="2" t="s">
        <v>2859</v>
      </c>
      <c r="E282" s="4" t="str">
        <f>HYPERLINK("./Results/DLO\1256\Osteo_Sarco_1.png","RPT")</f>
        <v>RPT</v>
      </c>
      <c r="F282" s="2" t="s">
        <v>474</v>
      </c>
      <c r="G282" s="6"/>
      <c r="H282" s="1">
        <v>24.07</v>
      </c>
    </row>
    <row r="283" spans="1:11" x14ac:dyDescent="0.3">
      <c r="A283" s="2" t="s">
        <v>2192</v>
      </c>
      <c r="B283" s="2" t="s">
        <v>123</v>
      </c>
      <c r="C283" s="2" t="s">
        <v>119</v>
      </c>
      <c r="D283" s="2" t="s">
        <v>2859</v>
      </c>
      <c r="E283" s="4" t="str">
        <f>HYPERLINK("./Results/DLO\1257\Osteo_Sarco_1.png","RPT")</f>
        <v>RPT</v>
      </c>
      <c r="F283" s="2" t="s">
        <v>28</v>
      </c>
      <c r="G283" s="6"/>
      <c r="H283" s="1">
        <v>20.059999999999999</v>
      </c>
    </row>
    <row r="284" spans="1:11" x14ac:dyDescent="0.3">
      <c r="A284" s="2" t="s">
        <v>2189</v>
      </c>
      <c r="B284" s="2" t="s">
        <v>141</v>
      </c>
      <c r="C284" s="2" t="s">
        <v>119</v>
      </c>
      <c r="D284" s="2" t="s">
        <v>2859</v>
      </c>
      <c r="E284" s="4" t="str">
        <f>HYPERLINK("./Results/DLO\1258\Osteo_Sarco_1.png","RPT")</f>
        <v>RPT</v>
      </c>
      <c r="F284" s="2" t="s">
        <v>70</v>
      </c>
      <c r="G284" s="6"/>
      <c r="I284"/>
      <c r="J284"/>
      <c r="K284"/>
    </row>
    <row r="285" spans="1:11" x14ac:dyDescent="0.3">
      <c r="A285" s="2" t="s">
        <v>2207</v>
      </c>
      <c r="B285" s="2" t="s">
        <v>151</v>
      </c>
      <c r="C285" s="2" t="s">
        <v>119</v>
      </c>
      <c r="D285" s="2" t="s">
        <v>2867</v>
      </c>
      <c r="E285" s="4" t="str">
        <f>HYPERLINK("./Results/DLO\1259\Osteo_Sarco_1.png","RPT")</f>
        <v>RPT</v>
      </c>
      <c r="F285" s="2" t="s">
        <v>70</v>
      </c>
      <c r="G285" s="6"/>
      <c r="I285"/>
      <c r="J285"/>
      <c r="K285"/>
    </row>
    <row r="286" spans="1:11" x14ac:dyDescent="0.3">
      <c r="A286" s="2" t="s">
        <v>2184</v>
      </c>
      <c r="B286" s="2" t="s">
        <v>112</v>
      </c>
      <c r="C286" s="2" t="s">
        <v>119</v>
      </c>
      <c r="D286" s="2" t="s">
        <v>2859</v>
      </c>
      <c r="E286" s="4" t="str">
        <f>HYPERLINK("./Results/DLO\126\Osteo_Sarco_1.png","RPT")</f>
        <v>RPT</v>
      </c>
      <c r="F286" s="2" t="s">
        <v>467</v>
      </c>
      <c r="G286" s="6"/>
      <c r="I286"/>
      <c r="J286"/>
      <c r="K286"/>
    </row>
    <row r="287" spans="1:11" x14ac:dyDescent="0.3">
      <c r="A287" s="2" t="s">
        <v>2198</v>
      </c>
      <c r="B287" s="2" t="s">
        <v>143</v>
      </c>
      <c r="C287" s="2" t="s">
        <v>111</v>
      </c>
      <c r="D287" s="2" t="s">
        <v>2867</v>
      </c>
      <c r="E287" s="4" t="str">
        <f>HYPERLINK("./Results/DLO\1260\Osteo_Sarco_1.png","RPT")</f>
        <v>RPT</v>
      </c>
      <c r="F287" s="2" t="s">
        <v>453</v>
      </c>
      <c r="G287" s="6"/>
      <c r="I287"/>
      <c r="J287"/>
      <c r="K287"/>
    </row>
    <row r="288" spans="1:11" x14ac:dyDescent="0.3">
      <c r="A288" s="2" t="s">
        <v>2190</v>
      </c>
      <c r="B288" s="2" t="s">
        <v>148</v>
      </c>
      <c r="C288" s="2" t="s">
        <v>111</v>
      </c>
      <c r="D288" s="2" t="s">
        <v>2867</v>
      </c>
      <c r="E288" s="4" t="str">
        <f>HYPERLINK("./Results/DLO\1261\Osteo_Sarco_1.png","RPT")</f>
        <v>RPT</v>
      </c>
      <c r="F288" s="2" t="s">
        <v>459</v>
      </c>
      <c r="G288" s="6"/>
      <c r="I288"/>
      <c r="J288"/>
      <c r="K288"/>
    </row>
    <row r="289" spans="1:11" x14ac:dyDescent="0.3">
      <c r="A289" s="2" t="s">
        <v>2204</v>
      </c>
      <c r="B289" s="2" t="s">
        <v>139</v>
      </c>
      <c r="C289" s="2" t="s">
        <v>111</v>
      </c>
      <c r="D289" s="2" t="s">
        <v>2867</v>
      </c>
      <c r="E289" s="4" t="str">
        <f>HYPERLINK("./Results/DLO\1262\Osteo_Sarco_1.png","RPT")</f>
        <v>RPT</v>
      </c>
      <c r="F289" s="2" t="s">
        <v>67</v>
      </c>
      <c r="G289" s="6"/>
      <c r="H289" s="1">
        <v>25.03</v>
      </c>
    </row>
    <row r="290" spans="1:11" x14ac:dyDescent="0.3">
      <c r="A290" s="2" t="s">
        <v>2191</v>
      </c>
      <c r="B290" s="2" t="s">
        <v>127</v>
      </c>
      <c r="C290" s="2" t="s">
        <v>119</v>
      </c>
      <c r="D290" s="2" t="s">
        <v>2859</v>
      </c>
      <c r="E290" s="4" t="str">
        <f>HYPERLINK("./Results/DLO\1263\Osteo_Sarco_1.png","RPT")</f>
        <v>RPT</v>
      </c>
      <c r="F290" s="2" t="s">
        <v>50</v>
      </c>
      <c r="G290" s="6"/>
      <c r="H290" s="1">
        <v>24.13</v>
      </c>
    </row>
    <row r="291" spans="1:11" x14ac:dyDescent="0.3">
      <c r="A291" s="2" t="s">
        <v>2193</v>
      </c>
      <c r="B291" s="2" t="s">
        <v>170</v>
      </c>
      <c r="C291" s="2" t="s">
        <v>119</v>
      </c>
      <c r="D291" s="2" t="s">
        <v>2859</v>
      </c>
      <c r="E291" s="4" t="str">
        <f>HYPERLINK("./Results/DLO\1264\Osteo_Sarco_1.png","RPT")</f>
        <v>RPT</v>
      </c>
      <c r="F291" s="2" t="s">
        <v>53</v>
      </c>
      <c r="G291" s="6"/>
      <c r="I291"/>
      <c r="J291"/>
      <c r="K291"/>
    </row>
    <row r="292" spans="1:11" x14ac:dyDescent="0.3">
      <c r="A292" s="2" t="s">
        <v>2197</v>
      </c>
      <c r="B292" s="2" t="s">
        <v>146</v>
      </c>
      <c r="C292" s="2" t="s">
        <v>119</v>
      </c>
      <c r="D292" s="2" t="s">
        <v>2859</v>
      </c>
      <c r="E292" s="4" t="str">
        <f>HYPERLINK("./Results/DLO\1265\Osteo_Sarco_1.png","RPT")</f>
        <v>RPT</v>
      </c>
      <c r="F292" s="2" t="s">
        <v>76</v>
      </c>
      <c r="G292" s="6"/>
      <c r="I292"/>
      <c r="J292"/>
      <c r="K292"/>
    </row>
    <row r="293" spans="1:11" x14ac:dyDescent="0.3">
      <c r="A293" s="2" t="s">
        <v>2202</v>
      </c>
      <c r="B293" s="2" t="s">
        <v>142</v>
      </c>
      <c r="C293" s="2" t="s">
        <v>111</v>
      </c>
      <c r="D293" s="2" t="s">
        <v>2867</v>
      </c>
      <c r="E293" s="4" t="str">
        <f>HYPERLINK("./Results/DLO\1266\Osteo_Sarco_1.png","RPT")</f>
        <v>RPT</v>
      </c>
      <c r="F293" s="2" t="s">
        <v>466</v>
      </c>
      <c r="G293" s="6"/>
      <c r="I293"/>
      <c r="J293"/>
      <c r="K293"/>
    </row>
    <row r="294" spans="1:11" x14ac:dyDescent="0.3">
      <c r="A294" s="2" t="s">
        <v>2205</v>
      </c>
      <c r="B294" s="2" t="s">
        <v>120</v>
      </c>
      <c r="C294" s="2" t="s">
        <v>111</v>
      </c>
      <c r="D294" s="2" t="s">
        <v>2859</v>
      </c>
      <c r="E294" s="4" t="str">
        <f>HYPERLINK("./Results/DLO\1268\Osteo_Sarco_1.png","RPT")</f>
        <v>RPT</v>
      </c>
      <c r="F294" s="2" t="s">
        <v>474</v>
      </c>
      <c r="G294" s="6"/>
      <c r="I294"/>
      <c r="J294"/>
      <c r="K294"/>
    </row>
    <row r="295" spans="1:11" x14ac:dyDescent="0.3">
      <c r="A295" s="2" t="s">
        <v>2203</v>
      </c>
      <c r="B295" s="2" t="s">
        <v>170</v>
      </c>
      <c r="C295" s="2" t="s">
        <v>119</v>
      </c>
      <c r="D295" s="2" t="s">
        <v>2859</v>
      </c>
      <c r="E295" s="4" t="str">
        <f>HYPERLINK("./Results/DLO\1269\Osteo_Sarco_1.png","RPT")</f>
        <v>RPT</v>
      </c>
      <c r="F295" s="2" t="s">
        <v>76</v>
      </c>
      <c r="G295" s="6"/>
      <c r="I295"/>
      <c r="J295"/>
      <c r="K295"/>
    </row>
    <row r="296" spans="1:11" x14ac:dyDescent="0.3">
      <c r="A296" s="2" t="s">
        <v>2195</v>
      </c>
      <c r="B296" s="2" t="s">
        <v>159</v>
      </c>
      <c r="C296" s="2" t="s">
        <v>111</v>
      </c>
      <c r="D296" s="2" t="s">
        <v>2859</v>
      </c>
      <c r="E296" s="4" t="str">
        <f>HYPERLINK("./Results/DLO\127\Osteo_Sarco_1.png","RPT")</f>
        <v>RPT</v>
      </c>
      <c r="F296" s="2" t="s">
        <v>84</v>
      </c>
      <c r="G296" s="6"/>
      <c r="I296"/>
      <c r="J296"/>
      <c r="K296"/>
    </row>
    <row r="297" spans="1:11" x14ac:dyDescent="0.3">
      <c r="A297" s="2" t="s">
        <v>2196</v>
      </c>
      <c r="B297" s="2" t="s">
        <v>125</v>
      </c>
      <c r="C297" s="2" t="s">
        <v>111</v>
      </c>
      <c r="D297" s="2" t="s">
        <v>2859</v>
      </c>
      <c r="E297" s="4" t="str">
        <f>HYPERLINK("./Results/DLO\1270\Osteo_Sarco_1.png","RPT")</f>
        <v>RPT</v>
      </c>
      <c r="F297" s="2" t="s">
        <v>22</v>
      </c>
      <c r="G297" s="6"/>
      <c r="I297"/>
      <c r="J297"/>
      <c r="K297"/>
    </row>
    <row r="298" spans="1:11" x14ac:dyDescent="0.3">
      <c r="A298" s="2" t="s">
        <v>2199</v>
      </c>
      <c r="B298" s="2" t="s">
        <v>165</v>
      </c>
      <c r="C298" s="2" t="s">
        <v>111</v>
      </c>
      <c r="D298" s="2" t="s">
        <v>2859</v>
      </c>
      <c r="E298" s="4" t="str">
        <f>HYPERLINK("./Results/DLO\1271\Osteo_Sarco_1.png","RPT")</f>
        <v>RPT</v>
      </c>
      <c r="F298" s="2" t="s">
        <v>474</v>
      </c>
      <c r="G298" s="6"/>
      <c r="H298" s="1">
        <v>24.46</v>
      </c>
    </row>
    <row r="299" spans="1:11" x14ac:dyDescent="0.3">
      <c r="A299" s="2" t="s">
        <v>2200</v>
      </c>
      <c r="B299" s="2" t="s">
        <v>165</v>
      </c>
      <c r="C299" s="2" t="s">
        <v>111</v>
      </c>
      <c r="D299" s="2" t="s">
        <v>2859</v>
      </c>
      <c r="E299" s="4" t="str">
        <f>HYPERLINK("./Results/DLO\1272\Osteo_Sarco_1.png","RPT")</f>
        <v>RPT</v>
      </c>
      <c r="F299" s="2" t="s">
        <v>108</v>
      </c>
      <c r="G299" s="6"/>
      <c r="H299" s="1">
        <v>23.39</v>
      </c>
    </row>
    <row r="300" spans="1:11" x14ac:dyDescent="0.3">
      <c r="A300" s="2" t="s">
        <v>2206</v>
      </c>
      <c r="B300" s="2" t="s">
        <v>116</v>
      </c>
      <c r="C300" s="2" t="s">
        <v>119</v>
      </c>
      <c r="D300" s="2" t="s">
        <v>2867</v>
      </c>
      <c r="E300" s="4" t="str">
        <f>HYPERLINK("./Results/DLO\1273\Osteo_Sarco_1.png","RPT")</f>
        <v>RPT</v>
      </c>
      <c r="F300" s="2" t="s">
        <v>21</v>
      </c>
      <c r="G300" s="6"/>
      <c r="I300"/>
      <c r="J300"/>
      <c r="K300"/>
    </row>
    <row r="301" spans="1:11" x14ac:dyDescent="0.3">
      <c r="A301" s="2" t="s">
        <v>2223</v>
      </c>
      <c r="B301" s="2" t="s">
        <v>116</v>
      </c>
      <c r="C301" s="2" t="s">
        <v>111</v>
      </c>
      <c r="D301" s="2" t="s">
        <v>2859</v>
      </c>
      <c r="E301" s="4" t="str">
        <f>HYPERLINK("./Results/DLO\1274\Osteo_Sarco_1.png","RPT")</f>
        <v>RPT</v>
      </c>
      <c r="F301" s="2" t="s">
        <v>68</v>
      </c>
      <c r="G301" s="6"/>
      <c r="I301"/>
      <c r="J301"/>
      <c r="K301"/>
    </row>
    <row r="302" spans="1:11" x14ac:dyDescent="0.3">
      <c r="A302" s="2" t="s">
        <v>2215</v>
      </c>
      <c r="B302" s="2" t="s">
        <v>140</v>
      </c>
      <c r="C302" s="2" t="s">
        <v>119</v>
      </c>
      <c r="D302" s="2" t="s">
        <v>2859</v>
      </c>
      <c r="E302" s="4" t="str">
        <f>HYPERLINK("./Results/DLO\1275\Osteo_Sarco_1.png","RPT")</f>
        <v>RPT</v>
      </c>
      <c r="F302" s="2" t="s">
        <v>143</v>
      </c>
      <c r="G302" s="6"/>
      <c r="I302"/>
      <c r="J302"/>
      <c r="K302"/>
    </row>
    <row r="303" spans="1:11" x14ac:dyDescent="0.3">
      <c r="A303" s="2" t="s">
        <v>2217</v>
      </c>
      <c r="B303" s="2" t="s">
        <v>116</v>
      </c>
      <c r="C303" s="2" t="s">
        <v>119</v>
      </c>
      <c r="D303" s="2" t="s">
        <v>2867</v>
      </c>
      <c r="E303" s="4" t="str">
        <f>HYPERLINK("./Results/DLO\1276\Osteo_Sarco_1.png","RPT")</f>
        <v>RPT</v>
      </c>
      <c r="F303" s="2" t="s">
        <v>98</v>
      </c>
      <c r="G303" s="6"/>
      <c r="H303" s="1">
        <v>22.93</v>
      </c>
    </row>
    <row r="304" spans="1:11" x14ac:dyDescent="0.3">
      <c r="A304" s="2" t="s">
        <v>2219</v>
      </c>
      <c r="B304" s="2" t="s">
        <v>118</v>
      </c>
      <c r="C304" s="2" t="s">
        <v>119</v>
      </c>
      <c r="D304" s="2" t="s">
        <v>2859</v>
      </c>
      <c r="E304" s="4" t="str">
        <f>HYPERLINK("./Results/DLO\1278\Osteo_Sarco_1.png","RPT")</f>
        <v>RPT</v>
      </c>
      <c r="F304" s="2" t="s">
        <v>77</v>
      </c>
      <c r="G304" s="6"/>
      <c r="I304"/>
      <c r="J304"/>
      <c r="K304"/>
    </row>
    <row r="305" spans="1:11" x14ac:dyDescent="0.3">
      <c r="A305" s="2" t="s">
        <v>2208</v>
      </c>
      <c r="B305" s="2" t="s">
        <v>128</v>
      </c>
      <c r="C305" s="2" t="s">
        <v>111</v>
      </c>
      <c r="D305" s="2" t="s">
        <v>2859</v>
      </c>
      <c r="E305" s="4" t="str">
        <f>HYPERLINK("./Results/DLO\1279\Osteo_Sarco_1.png","RPT")</f>
        <v>RPT</v>
      </c>
      <c r="F305" s="2" t="s">
        <v>106</v>
      </c>
      <c r="G305" s="6"/>
      <c r="H305" s="1">
        <v>30.19</v>
      </c>
    </row>
    <row r="306" spans="1:11" x14ac:dyDescent="0.3">
      <c r="A306" s="2" t="s">
        <v>2214</v>
      </c>
      <c r="B306" s="2" t="s">
        <v>116</v>
      </c>
      <c r="C306" s="2" t="s">
        <v>119</v>
      </c>
      <c r="D306" s="2" t="s">
        <v>2867</v>
      </c>
      <c r="E306" s="4" t="str">
        <f>HYPERLINK("./Results/DLO\128\Osteo_Sarco_1.png","RPT")</f>
        <v>RPT</v>
      </c>
      <c r="F306" s="2" t="s">
        <v>97</v>
      </c>
      <c r="G306" s="6"/>
      <c r="I306"/>
      <c r="J306"/>
      <c r="K306"/>
    </row>
    <row r="307" spans="1:11" x14ac:dyDescent="0.3">
      <c r="A307" s="2" t="s">
        <v>2216</v>
      </c>
      <c r="B307" s="2" t="s">
        <v>164</v>
      </c>
      <c r="C307" s="2" t="s">
        <v>111</v>
      </c>
      <c r="D307" s="2" t="s">
        <v>2867</v>
      </c>
      <c r="E307" s="4" t="str">
        <f>HYPERLINK("./Results/DLO\1280\Osteo_Sarco_1.png","RPT")</f>
        <v>RPT</v>
      </c>
      <c r="F307" s="2" t="s">
        <v>108</v>
      </c>
      <c r="G307" s="6"/>
      <c r="I307"/>
      <c r="J307"/>
      <c r="K307"/>
    </row>
    <row r="308" spans="1:11" x14ac:dyDescent="0.3">
      <c r="A308" s="2" t="s">
        <v>2210</v>
      </c>
      <c r="B308" s="2" t="s">
        <v>120</v>
      </c>
      <c r="C308" s="2" t="s">
        <v>119</v>
      </c>
      <c r="D308" s="2" t="s">
        <v>2859</v>
      </c>
      <c r="E308" s="4" t="str">
        <f>HYPERLINK("./Results/DLO\1281\Osteo_Sarco_1.png","RPT")</f>
        <v>RPT</v>
      </c>
      <c r="F308" s="2" t="s">
        <v>29</v>
      </c>
      <c r="G308" s="6"/>
      <c r="H308" s="1">
        <v>371.67</v>
      </c>
    </row>
    <row r="309" spans="1:11" x14ac:dyDescent="0.3">
      <c r="A309" s="2" t="s">
        <v>2218</v>
      </c>
      <c r="B309" s="2" t="s">
        <v>151</v>
      </c>
      <c r="C309" s="2" t="s">
        <v>119</v>
      </c>
      <c r="D309" s="2" t="s">
        <v>2867</v>
      </c>
      <c r="E309" s="4" t="str">
        <f>HYPERLINK("./Results/DLO\1282\Osteo_Sarco_1.png","RPT")</f>
        <v>RPT</v>
      </c>
      <c r="F309" s="2" t="s">
        <v>56</v>
      </c>
      <c r="G309" s="6"/>
      <c r="I309"/>
      <c r="J309"/>
      <c r="K309"/>
    </row>
    <row r="310" spans="1:11" x14ac:dyDescent="0.3">
      <c r="A310" s="2" t="s">
        <v>2225</v>
      </c>
      <c r="B310" s="2" t="s">
        <v>123</v>
      </c>
      <c r="C310" s="2" t="s">
        <v>111</v>
      </c>
      <c r="D310" s="2" t="s">
        <v>2859</v>
      </c>
      <c r="E310" s="4" t="str">
        <f>HYPERLINK("./Results/DLO\1283\Osteo_Sarco_1.png","RPT")</f>
        <v>RPT</v>
      </c>
      <c r="F310" s="2" t="s">
        <v>475</v>
      </c>
      <c r="G310" s="6"/>
      <c r="I310"/>
      <c r="J310"/>
      <c r="K310"/>
    </row>
    <row r="311" spans="1:11" x14ac:dyDescent="0.3">
      <c r="A311" s="2" t="s">
        <v>2220</v>
      </c>
      <c r="B311" s="2" t="s">
        <v>127</v>
      </c>
      <c r="C311" s="2" t="s">
        <v>119</v>
      </c>
      <c r="D311" s="2" t="s">
        <v>2859</v>
      </c>
      <c r="E311" s="4" t="str">
        <f>HYPERLINK("./Results/DLO\1284\Osteo_Sarco_1.png","RPT")</f>
        <v>RPT</v>
      </c>
      <c r="F311" s="2" t="s">
        <v>41</v>
      </c>
      <c r="G311" s="6"/>
      <c r="I311"/>
      <c r="J311"/>
      <c r="K311"/>
    </row>
    <row r="312" spans="1:11" x14ac:dyDescent="0.3">
      <c r="A312" s="2" t="s">
        <v>2212</v>
      </c>
      <c r="B312" s="2" t="s">
        <v>129</v>
      </c>
      <c r="C312" s="2" t="s">
        <v>119</v>
      </c>
      <c r="D312" s="2" t="s">
        <v>2867</v>
      </c>
      <c r="E312" s="4" t="str">
        <f>HYPERLINK("./Results/DLO\1285\Osteo_Sarco_1.png","RPT")</f>
        <v>RPT</v>
      </c>
      <c r="F312" s="2" t="s">
        <v>88</v>
      </c>
      <c r="G312" s="6"/>
      <c r="H312" s="1">
        <v>22.68</v>
      </c>
    </row>
    <row r="313" spans="1:11" x14ac:dyDescent="0.3">
      <c r="A313" s="2" t="s">
        <v>2211</v>
      </c>
      <c r="B313" s="2" t="s">
        <v>142</v>
      </c>
      <c r="C313" s="2" t="s">
        <v>111</v>
      </c>
      <c r="D313" s="2" t="s">
        <v>2859</v>
      </c>
      <c r="E313" s="4" t="str">
        <f>HYPERLINK("./Results/DLO\1286\Osteo_Sarco_1.png","RPT")</f>
        <v>RPT</v>
      </c>
      <c r="F313" s="2" t="s">
        <v>463</v>
      </c>
      <c r="G313" s="6"/>
      <c r="H313" s="1">
        <v>29.24</v>
      </c>
    </row>
    <row r="314" spans="1:11" x14ac:dyDescent="0.3">
      <c r="A314" s="2" t="s">
        <v>2226</v>
      </c>
      <c r="B314" s="2" t="s">
        <v>112</v>
      </c>
      <c r="C314" s="2" t="s">
        <v>111</v>
      </c>
      <c r="D314" s="2" t="s">
        <v>2859</v>
      </c>
      <c r="E314" s="4" t="str">
        <f>HYPERLINK("./Results/DLO\1287\Osteo_Sarco_1.png","RPT")</f>
        <v>RPT</v>
      </c>
      <c r="F314" s="2" t="s">
        <v>90</v>
      </c>
      <c r="G314" s="6"/>
      <c r="H314" s="1">
        <v>23.89</v>
      </c>
    </row>
    <row r="315" spans="1:11" x14ac:dyDescent="0.3">
      <c r="A315" s="2" t="s">
        <v>2222</v>
      </c>
      <c r="B315" s="2" t="s">
        <v>118</v>
      </c>
      <c r="C315" s="2" t="s">
        <v>119</v>
      </c>
      <c r="D315" s="2" t="s">
        <v>2131</v>
      </c>
      <c r="E315" s="4" t="str">
        <f>HYPERLINK("./Results/DLO\1288\Osteo_Sarco_1.png","RPT")</f>
        <v>RPT</v>
      </c>
      <c r="F315" s="2" t="s">
        <v>74</v>
      </c>
      <c r="G315" s="6"/>
      <c r="H315" s="1">
        <v>21.62</v>
      </c>
    </row>
    <row r="316" spans="1:11" x14ac:dyDescent="0.3">
      <c r="A316" s="2" t="s">
        <v>2221</v>
      </c>
      <c r="B316" s="2" t="s">
        <v>145</v>
      </c>
      <c r="C316" s="2" t="s">
        <v>119</v>
      </c>
      <c r="D316" s="2" t="s">
        <v>1960</v>
      </c>
      <c r="E316" s="4" t="str">
        <f>HYPERLINK("./Results/DLO\1289\Osteo_Sarco_1.png","RPT")</f>
        <v>RPT</v>
      </c>
      <c r="F316" s="2" t="s">
        <v>56</v>
      </c>
      <c r="G316" s="6"/>
      <c r="I316"/>
      <c r="J316"/>
      <c r="K316"/>
    </row>
    <row r="317" spans="1:11" x14ac:dyDescent="0.3">
      <c r="A317" s="2" t="s">
        <v>2227</v>
      </c>
      <c r="B317" s="2" t="s">
        <v>136</v>
      </c>
      <c r="C317" s="2" t="s">
        <v>119</v>
      </c>
      <c r="D317" s="2" t="s">
        <v>2859</v>
      </c>
      <c r="E317" s="4" t="str">
        <f>HYPERLINK("./Results/DLO\129\Osteo_Sarco_1.png","RPT")</f>
        <v>RPT</v>
      </c>
      <c r="F317" s="2" t="s">
        <v>583</v>
      </c>
      <c r="G317" s="6"/>
      <c r="H317" s="1">
        <v>18.87</v>
      </c>
    </row>
    <row r="318" spans="1:11" x14ac:dyDescent="0.3">
      <c r="A318" s="2" t="s">
        <v>2213</v>
      </c>
      <c r="B318" s="2" t="s">
        <v>132</v>
      </c>
      <c r="C318" s="2" t="s">
        <v>119</v>
      </c>
      <c r="D318" s="2" t="s">
        <v>2859</v>
      </c>
      <c r="E318" s="4" t="str">
        <f>HYPERLINK("./Results/DLO\1290\Osteo_Sarco_1.png","RPT")</f>
        <v>RPT</v>
      </c>
      <c r="F318" s="2" t="s">
        <v>38</v>
      </c>
      <c r="G318" s="6"/>
      <c r="I318"/>
      <c r="J318"/>
      <c r="K318"/>
    </row>
    <row r="319" spans="1:11" x14ac:dyDescent="0.3">
      <c r="A319" s="2" t="s">
        <v>2228</v>
      </c>
      <c r="B319" s="2" t="s">
        <v>140</v>
      </c>
      <c r="C319" s="2" t="s">
        <v>119</v>
      </c>
      <c r="D319" s="2" t="s">
        <v>2867</v>
      </c>
      <c r="E319" s="4" t="str">
        <f>HYPERLINK("./Results/DLO\1291\Osteo_Sarco_1.png","RPT")</f>
        <v>RPT</v>
      </c>
      <c r="F319" s="2" t="s">
        <v>56</v>
      </c>
      <c r="G319" s="6"/>
      <c r="I319"/>
      <c r="J319"/>
      <c r="K319"/>
    </row>
    <row r="320" spans="1:11" x14ac:dyDescent="0.3">
      <c r="A320" s="2" t="s">
        <v>2209</v>
      </c>
      <c r="B320" s="2" t="s">
        <v>149</v>
      </c>
      <c r="C320" s="2" t="s">
        <v>119</v>
      </c>
      <c r="D320" s="2" t="s">
        <v>2859</v>
      </c>
      <c r="E320" s="4" t="str">
        <f>HYPERLINK("./Results/DLO\1292\Osteo_Sarco_1.png","RPT")</f>
        <v>RPT</v>
      </c>
      <c r="F320" s="2" t="s">
        <v>21</v>
      </c>
      <c r="G320" s="6"/>
      <c r="H320" s="1">
        <v>17.84</v>
      </c>
    </row>
    <row r="321" spans="1:11" x14ac:dyDescent="0.3">
      <c r="A321" s="2" t="s">
        <v>2224</v>
      </c>
      <c r="B321" s="2" t="s">
        <v>159</v>
      </c>
      <c r="C321" s="2" t="s">
        <v>111</v>
      </c>
      <c r="D321" s="2" t="s">
        <v>2867</v>
      </c>
      <c r="E321" s="4" t="str">
        <f>HYPERLINK("./Results/DLO\1293\Osteo_Sarco_1.png","RPT")</f>
        <v>RPT</v>
      </c>
      <c r="F321" s="2" t="s">
        <v>49</v>
      </c>
      <c r="G321" s="6"/>
      <c r="H321" s="1">
        <v>23.89</v>
      </c>
    </row>
    <row r="322" spans="1:11" x14ac:dyDescent="0.3">
      <c r="A322" s="2" t="s">
        <v>2229</v>
      </c>
      <c r="B322" s="2" t="s">
        <v>163</v>
      </c>
      <c r="C322" s="2" t="s">
        <v>119</v>
      </c>
      <c r="D322" s="2" t="s">
        <v>2859</v>
      </c>
      <c r="E322" s="4" t="str">
        <f>HYPERLINK("./Results/DLO\1294\Osteo_Sarco_1.png","RPT")</f>
        <v>RPT</v>
      </c>
      <c r="F322" s="2" t="s">
        <v>21</v>
      </c>
      <c r="G322" s="6"/>
      <c r="H322" s="1">
        <v>22.54</v>
      </c>
    </row>
    <row r="323" spans="1:11" x14ac:dyDescent="0.3">
      <c r="A323" s="2" t="s">
        <v>2247</v>
      </c>
      <c r="B323" s="2" t="s">
        <v>114</v>
      </c>
      <c r="C323" s="2" t="s">
        <v>111</v>
      </c>
      <c r="D323" s="2" t="s">
        <v>2867</v>
      </c>
      <c r="E323" s="4" t="str">
        <f>HYPERLINK("./Results/DLO\1295\Osteo_Sarco_1.png","RPT")</f>
        <v>RPT</v>
      </c>
      <c r="F323" s="2" t="s">
        <v>460</v>
      </c>
      <c r="G323" s="6"/>
      <c r="I323"/>
      <c r="J323"/>
      <c r="K323"/>
    </row>
    <row r="324" spans="1:11" x14ac:dyDescent="0.3">
      <c r="A324" s="2" t="s">
        <v>2235</v>
      </c>
      <c r="B324" s="2" t="s">
        <v>133</v>
      </c>
      <c r="C324" s="2" t="s">
        <v>111</v>
      </c>
      <c r="D324" s="2" t="s">
        <v>2859</v>
      </c>
      <c r="E324" s="4" t="str">
        <f>HYPERLINK("./Results/DLO\1297\Osteo_Sarco_1.png","RPT")</f>
        <v>RPT</v>
      </c>
      <c r="F324" s="2" t="s">
        <v>64</v>
      </c>
      <c r="G324" s="6"/>
      <c r="I324"/>
      <c r="J324"/>
      <c r="K324"/>
    </row>
    <row r="325" spans="1:11" x14ac:dyDescent="0.3">
      <c r="A325" s="2" t="s">
        <v>2237</v>
      </c>
      <c r="B325" s="2" t="s">
        <v>163</v>
      </c>
      <c r="C325" s="2" t="s">
        <v>119</v>
      </c>
      <c r="D325" s="2" t="s">
        <v>2131</v>
      </c>
      <c r="E325" s="4" t="str">
        <f>HYPERLINK("./Results/DLO\1298\Osteo_Sarco_1.png","RPT")</f>
        <v>RPT</v>
      </c>
      <c r="F325" s="2" t="s">
        <v>585</v>
      </c>
      <c r="G325" s="6"/>
      <c r="H325" s="1">
        <v>19.899999999999999</v>
      </c>
    </row>
    <row r="326" spans="1:11" x14ac:dyDescent="0.3">
      <c r="A326" s="2" t="s">
        <v>2239</v>
      </c>
      <c r="B326" s="2" t="s">
        <v>133</v>
      </c>
      <c r="C326" s="2" t="s">
        <v>119</v>
      </c>
      <c r="D326" s="2" t="s">
        <v>2867</v>
      </c>
      <c r="E326" s="4" t="str">
        <f>HYPERLINK("./Results/DLO\1299\Osteo_Sarco_1.png","RPT")</f>
        <v>RPT</v>
      </c>
      <c r="F326" s="2" t="s">
        <v>96</v>
      </c>
      <c r="G326" s="6"/>
      <c r="I326"/>
      <c r="J326"/>
      <c r="K326"/>
    </row>
    <row r="327" spans="1:11" x14ac:dyDescent="0.3">
      <c r="A327" s="2" t="s">
        <v>2248</v>
      </c>
      <c r="B327" s="2" t="s">
        <v>146</v>
      </c>
      <c r="C327" s="2" t="s">
        <v>119</v>
      </c>
      <c r="D327" s="2" t="s">
        <v>2867</v>
      </c>
      <c r="E327" s="4" t="str">
        <f>HYPERLINK("./Results/DLO\13\Osteo_Sarco_1.png","RPT")</f>
        <v>RPT</v>
      </c>
      <c r="F327" s="2" t="s">
        <v>456</v>
      </c>
      <c r="G327" s="6"/>
      <c r="I327"/>
      <c r="J327"/>
      <c r="K327"/>
    </row>
    <row r="328" spans="1:11" x14ac:dyDescent="0.3">
      <c r="A328" s="2" t="s">
        <v>2236</v>
      </c>
      <c r="B328" s="2" t="s">
        <v>149</v>
      </c>
      <c r="C328" s="2" t="s">
        <v>119</v>
      </c>
      <c r="D328" s="2" t="s">
        <v>2859</v>
      </c>
      <c r="E328" s="4" t="str">
        <f>HYPERLINK("./Results/DLO\130\Osteo_Sarco_1.png","RPT")</f>
        <v>RPT</v>
      </c>
      <c r="F328" s="2" t="s">
        <v>97</v>
      </c>
      <c r="G328" s="6"/>
      <c r="I328"/>
      <c r="J328"/>
      <c r="K328"/>
    </row>
    <row r="329" spans="1:11" x14ac:dyDescent="0.3">
      <c r="A329" s="2" t="s">
        <v>2230</v>
      </c>
      <c r="B329" s="2" t="s">
        <v>131</v>
      </c>
      <c r="C329" s="2" t="s">
        <v>119</v>
      </c>
      <c r="D329" s="2" t="s">
        <v>2859</v>
      </c>
      <c r="E329" s="4" t="str">
        <f>HYPERLINK("./Results/DLO\1300\Osteo_Sarco_1.png","RPT")</f>
        <v>RPT</v>
      </c>
      <c r="F329" s="2" t="s">
        <v>50</v>
      </c>
      <c r="G329" s="6"/>
      <c r="I329"/>
      <c r="J329"/>
      <c r="K329"/>
    </row>
    <row r="330" spans="1:11" x14ac:dyDescent="0.3">
      <c r="A330" s="2" t="s">
        <v>2243</v>
      </c>
      <c r="B330" s="2" t="s">
        <v>116</v>
      </c>
      <c r="C330" s="2" t="s">
        <v>111</v>
      </c>
      <c r="D330" s="2" t="s">
        <v>2859</v>
      </c>
      <c r="E330" s="4" t="str">
        <f>HYPERLINK("./Results/DLO\1301\Osteo_Sarco_1.png","RPT")</f>
        <v>RPT</v>
      </c>
      <c r="F330" s="2" t="s">
        <v>110</v>
      </c>
      <c r="G330" s="6"/>
      <c r="H330" s="1">
        <v>26.67</v>
      </c>
    </row>
    <row r="331" spans="1:11" x14ac:dyDescent="0.3">
      <c r="A331" s="2" t="s">
        <v>2233</v>
      </c>
      <c r="B331" s="2" t="s">
        <v>159</v>
      </c>
      <c r="C331" s="2" t="s">
        <v>111</v>
      </c>
      <c r="D331" s="2" t="s">
        <v>2867</v>
      </c>
      <c r="E331" s="4" t="str">
        <f>HYPERLINK("./Results/DLO\1302\Osteo_Sarco_1.png","RPT")</f>
        <v>RPT</v>
      </c>
      <c r="F331" s="2" t="s">
        <v>25</v>
      </c>
      <c r="G331" s="6"/>
      <c r="I331"/>
      <c r="J331"/>
      <c r="K331"/>
    </row>
    <row r="332" spans="1:11" x14ac:dyDescent="0.3">
      <c r="A332" s="2" t="s">
        <v>2245</v>
      </c>
      <c r="B332" s="2" t="s">
        <v>131</v>
      </c>
      <c r="C332" s="2" t="s">
        <v>111</v>
      </c>
      <c r="D332" s="2" t="s">
        <v>2859</v>
      </c>
      <c r="E332" s="4" t="str">
        <f>HYPERLINK("./Results/DLO\1303\Osteo_Sarco_1.png","RPT")</f>
        <v>RPT</v>
      </c>
      <c r="F332" s="2" t="s">
        <v>108</v>
      </c>
      <c r="G332" s="6"/>
      <c r="I332"/>
      <c r="J332"/>
      <c r="K332"/>
    </row>
    <row r="333" spans="1:11" x14ac:dyDescent="0.3">
      <c r="A333" s="2" t="s">
        <v>2238</v>
      </c>
      <c r="B333" s="2" t="s">
        <v>170</v>
      </c>
      <c r="C333" s="2" t="s">
        <v>111</v>
      </c>
      <c r="D333" s="2" t="s">
        <v>2859</v>
      </c>
      <c r="E333" s="4" t="str">
        <f>HYPERLINK("./Results/DLO\1304\Osteo_Sarco_1.png","RPT")</f>
        <v>RPT</v>
      </c>
      <c r="F333" s="2" t="s">
        <v>464</v>
      </c>
      <c r="G333" s="6"/>
      <c r="I333"/>
      <c r="J333"/>
      <c r="K333"/>
    </row>
    <row r="334" spans="1:11" x14ac:dyDescent="0.3">
      <c r="A334" s="2" t="s">
        <v>2240</v>
      </c>
      <c r="B334" s="2" t="s">
        <v>127</v>
      </c>
      <c r="C334" s="2" t="s">
        <v>111</v>
      </c>
      <c r="D334" s="2" t="s">
        <v>2859</v>
      </c>
      <c r="E334" s="4" t="str">
        <f>HYPERLINK("./Results/DLO\1305\Osteo_Sarco_1.png","RPT")</f>
        <v>RPT</v>
      </c>
      <c r="F334" s="2" t="s">
        <v>452</v>
      </c>
      <c r="G334" s="6"/>
      <c r="H334" s="1">
        <v>29.34</v>
      </c>
    </row>
    <row r="335" spans="1:11" x14ac:dyDescent="0.3">
      <c r="A335" s="2" t="s">
        <v>2246</v>
      </c>
      <c r="B335" s="2" t="s">
        <v>114</v>
      </c>
      <c r="C335" s="2" t="s">
        <v>119</v>
      </c>
      <c r="D335" s="2" t="s">
        <v>2859</v>
      </c>
      <c r="E335" s="4" t="str">
        <f>HYPERLINK("./Results/DLO\1306\Osteo_Sarco_1.png","RPT")</f>
        <v>RPT</v>
      </c>
      <c r="F335" s="2" t="s">
        <v>134</v>
      </c>
      <c r="G335" s="6"/>
      <c r="I335"/>
      <c r="J335"/>
      <c r="K335"/>
    </row>
    <row r="336" spans="1:11" x14ac:dyDescent="0.3">
      <c r="A336" s="2" t="s">
        <v>2234</v>
      </c>
      <c r="B336" s="2" t="s">
        <v>123</v>
      </c>
      <c r="C336" s="2" t="s">
        <v>119</v>
      </c>
      <c r="D336" s="2" t="s">
        <v>2859</v>
      </c>
      <c r="E336" s="4" t="str">
        <f>HYPERLINK("./Results/DLO\1307\Osteo_Sarco_1.png","RPT")</f>
        <v>RPT</v>
      </c>
      <c r="F336" s="2" t="s">
        <v>99</v>
      </c>
      <c r="G336" s="6"/>
      <c r="I336"/>
      <c r="J336"/>
      <c r="K336"/>
    </row>
    <row r="337" spans="1:11" x14ac:dyDescent="0.3">
      <c r="A337" s="2" t="s">
        <v>2231</v>
      </c>
      <c r="B337" s="2" t="s">
        <v>148</v>
      </c>
      <c r="C337" s="2" t="s">
        <v>119</v>
      </c>
      <c r="D337" s="2" t="s">
        <v>2859</v>
      </c>
      <c r="E337" s="4" t="str">
        <f>HYPERLINK("./Results/DLO\1308\Osteo_Sarco_1.png","RPT")</f>
        <v>RPT</v>
      </c>
      <c r="F337" s="2" t="s">
        <v>21</v>
      </c>
      <c r="G337" s="6"/>
      <c r="I337"/>
      <c r="J337"/>
      <c r="K337"/>
    </row>
    <row r="338" spans="1:11" x14ac:dyDescent="0.3">
      <c r="A338" s="2" t="s">
        <v>2241</v>
      </c>
      <c r="B338" s="2" t="s">
        <v>120</v>
      </c>
      <c r="C338" s="2" t="s">
        <v>111</v>
      </c>
      <c r="D338" s="2" t="s">
        <v>2867</v>
      </c>
      <c r="E338" s="4" t="str">
        <f>HYPERLINK("./Results/DLO\1309\Osteo_Sarco_1.png","RPT")</f>
        <v>RPT</v>
      </c>
      <c r="F338" s="2" t="s">
        <v>108</v>
      </c>
      <c r="G338" s="6"/>
      <c r="I338"/>
      <c r="J338"/>
      <c r="K338"/>
    </row>
    <row r="339" spans="1:11" x14ac:dyDescent="0.3">
      <c r="A339" s="2" t="s">
        <v>2232</v>
      </c>
      <c r="B339" s="2" t="s">
        <v>166</v>
      </c>
      <c r="C339" s="2" t="s">
        <v>119</v>
      </c>
      <c r="D339" s="2" t="s">
        <v>2859</v>
      </c>
      <c r="E339" s="4" t="str">
        <f>HYPERLINK("./Results/DLO\131\Osteo_Sarco_1.png","RPT")</f>
        <v>RPT</v>
      </c>
      <c r="F339" s="2" t="s">
        <v>97</v>
      </c>
      <c r="G339" s="6"/>
      <c r="I339"/>
      <c r="J339"/>
      <c r="K339"/>
    </row>
    <row r="340" spans="1:11" x14ac:dyDescent="0.3">
      <c r="A340" s="2" t="s">
        <v>2249</v>
      </c>
      <c r="B340" s="2" t="s">
        <v>143</v>
      </c>
      <c r="C340" s="2" t="s">
        <v>111</v>
      </c>
      <c r="D340" s="2" t="s">
        <v>2859</v>
      </c>
      <c r="E340" s="4" t="str">
        <f>HYPERLINK("./Results/DLO\1310\Osteo_Sarco_1.png","RPT")</f>
        <v>RPT</v>
      </c>
      <c r="F340" s="2" t="s">
        <v>46</v>
      </c>
      <c r="G340" s="6"/>
      <c r="I340"/>
      <c r="J340"/>
      <c r="K340"/>
    </row>
    <row r="341" spans="1:11" x14ac:dyDescent="0.3">
      <c r="A341" s="2" t="s">
        <v>2242</v>
      </c>
      <c r="B341" s="2" t="s">
        <v>118</v>
      </c>
      <c r="C341" s="2" t="s">
        <v>111</v>
      </c>
      <c r="D341" s="2" t="s">
        <v>2859</v>
      </c>
      <c r="E341" s="4" t="str">
        <f>HYPERLINK("./Results/DLO\1311\Osteo_Sarco_1.png","RPT")</f>
        <v>RPT</v>
      </c>
      <c r="F341" s="2" t="s">
        <v>110</v>
      </c>
      <c r="G341" s="6"/>
      <c r="I341"/>
      <c r="J341"/>
      <c r="K341"/>
    </row>
    <row r="342" spans="1:11" x14ac:dyDescent="0.3">
      <c r="A342" s="2" t="s">
        <v>2244</v>
      </c>
      <c r="B342" s="2" t="s">
        <v>129</v>
      </c>
      <c r="C342" s="2" t="s">
        <v>111</v>
      </c>
      <c r="D342" s="2" t="s">
        <v>2859</v>
      </c>
      <c r="E342" s="4" t="str">
        <f>HYPERLINK("./Results/DLO\1312\Osteo_Sarco_1.png","RPT")</f>
        <v>RPT</v>
      </c>
      <c r="F342" s="2" t="s">
        <v>20</v>
      </c>
      <c r="G342" s="6"/>
      <c r="H342" s="1">
        <v>24.91</v>
      </c>
    </row>
    <row r="343" spans="1:11" x14ac:dyDescent="0.3">
      <c r="A343" s="2" t="s">
        <v>2254</v>
      </c>
      <c r="B343" s="2" t="s">
        <v>148</v>
      </c>
      <c r="C343" s="2" t="s">
        <v>111</v>
      </c>
      <c r="D343" s="2" t="s">
        <v>2859</v>
      </c>
      <c r="E343" s="4" t="str">
        <f>HYPERLINK("./Results/DLO\1313\Osteo_Sarco_1.png","RPT")</f>
        <v>RPT</v>
      </c>
      <c r="F343" s="2" t="s">
        <v>107</v>
      </c>
      <c r="G343" s="6"/>
      <c r="H343" s="1">
        <v>25.15</v>
      </c>
    </row>
    <row r="344" spans="1:11" x14ac:dyDescent="0.3">
      <c r="A344" s="2" t="s">
        <v>2262</v>
      </c>
      <c r="B344" s="2" t="s">
        <v>113</v>
      </c>
      <c r="C344" s="2" t="s">
        <v>111</v>
      </c>
      <c r="D344" s="2" t="s">
        <v>2859</v>
      </c>
      <c r="E344" s="4" t="str">
        <f>HYPERLINK("./Results/DLO\1314\Osteo_Sarco_1.png","RPT")</f>
        <v>RPT</v>
      </c>
      <c r="F344" s="2" t="s">
        <v>575</v>
      </c>
      <c r="G344" s="6"/>
      <c r="I344"/>
      <c r="J344"/>
      <c r="K344"/>
    </row>
    <row r="345" spans="1:11" x14ac:dyDescent="0.3">
      <c r="A345" s="2" t="s">
        <v>2268</v>
      </c>
      <c r="B345" s="2" t="s">
        <v>149</v>
      </c>
      <c r="C345" s="2" t="s">
        <v>111</v>
      </c>
      <c r="D345" s="2" t="s">
        <v>2867</v>
      </c>
      <c r="E345" s="4" t="str">
        <f>HYPERLINK("./Results/DLO\1315\Osteo_Sarco_1.png","RPT")</f>
        <v>RPT</v>
      </c>
      <c r="F345" s="2" t="s">
        <v>64</v>
      </c>
      <c r="G345" s="6"/>
      <c r="I345"/>
      <c r="J345"/>
      <c r="K345"/>
    </row>
    <row r="346" spans="1:11" x14ac:dyDescent="0.3">
      <c r="A346" s="2" t="s">
        <v>2270</v>
      </c>
      <c r="B346" s="2" t="s">
        <v>148</v>
      </c>
      <c r="C346" s="2" t="s">
        <v>119</v>
      </c>
      <c r="D346" s="2" t="s">
        <v>2859</v>
      </c>
      <c r="E346" s="4" t="str">
        <f>HYPERLINK("./Results/DLO\1316\Osteo_Sarco_1.png","RPT")</f>
        <v>RPT</v>
      </c>
      <c r="F346" s="2" t="s">
        <v>96</v>
      </c>
      <c r="G346" s="6"/>
      <c r="I346"/>
      <c r="J346"/>
      <c r="K346"/>
    </row>
    <row r="347" spans="1:11" x14ac:dyDescent="0.3">
      <c r="A347" s="2" t="s">
        <v>2266</v>
      </c>
      <c r="B347" s="2" t="s">
        <v>150</v>
      </c>
      <c r="C347" s="2" t="s">
        <v>119</v>
      </c>
      <c r="D347" s="2" t="s">
        <v>2859</v>
      </c>
      <c r="E347" s="4" t="str">
        <f>HYPERLINK("./Results/DLO\1317\Osteo_Sarco_1.png","RPT")</f>
        <v>RPT</v>
      </c>
      <c r="F347" s="2" t="s">
        <v>122</v>
      </c>
      <c r="G347" s="6"/>
      <c r="H347" s="1">
        <v>17.63</v>
      </c>
    </row>
    <row r="348" spans="1:11" x14ac:dyDescent="0.3">
      <c r="A348" s="2" t="s">
        <v>2261</v>
      </c>
      <c r="B348" s="2" t="s">
        <v>129</v>
      </c>
      <c r="C348" s="2" t="s">
        <v>119</v>
      </c>
      <c r="D348" s="2" t="s">
        <v>2867</v>
      </c>
      <c r="E348" s="4" t="str">
        <f>HYPERLINK("./Results/DLO\1318\Osteo_Sarco_1.png","RPT")</f>
        <v>RPT</v>
      </c>
      <c r="F348" s="2" t="s">
        <v>99</v>
      </c>
      <c r="G348" s="6"/>
      <c r="H348" s="1">
        <v>25.68</v>
      </c>
    </row>
    <row r="349" spans="1:11" x14ac:dyDescent="0.3">
      <c r="A349" s="2" t="s">
        <v>2263</v>
      </c>
      <c r="B349" s="2" t="s">
        <v>118</v>
      </c>
      <c r="C349" s="2" t="s">
        <v>119</v>
      </c>
      <c r="D349" s="2" t="s">
        <v>2859</v>
      </c>
      <c r="E349" s="4" t="str">
        <f>HYPERLINK("./Results/DLO\1319\Osteo_Sarco_1.png","RPT")</f>
        <v>RPT</v>
      </c>
      <c r="F349" s="2" t="s">
        <v>56</v>
      </c>
      <c r="G349" s="6"/>
      <c r="I349"/>
      <c r="J349"/>
      <c r="K349"/>
    </row>
    <row r="350" spans="1:11" x14ac:dyDescent="0.3">
      <c r="A350" s="2" t="s">
        <v>2258</v>
      </c>
      <c r="B350" s="2" t="s">
        <v>125</v>
      </c>
      <c r="C350" s="2" t="s">
        <v>119</v>
      </c>
      <c r="D350" s="2" t="s">
        <v>2859</v>
      </c>
      <c r="E350" s="4" t="str">
        <f>HYPERLINK("./Results/DLO\132\Osteo_Sarco_1.png","RPT")</f>
        <v>RPT</v>
      </c>
      <c r="F350" s="2" t="s">
        <v>98</v>
      </c>
      <c r="G350" s="6"/>
      <c r="I350"/>
      <c r="J350"/>
      <c r="K350"/>
    </row>
    <row r="351" spans="1:11" x14ac:dyDescent="0.3">
      <c r="A351" s="2" t="s">
        <v>2251</v>
      </c>
      <c r="B351" s="2" t="s">
        <v>587</v>
      </c>
      <c r="C351" s="2" t="s">
        <v>119</v>
      </c>
      <c r="D351" s="2" t="s">
        <v>2859</v>
      </c>
      <c r="E351" s="4" t="str">
        <f>HYPERLINK("./Results/DLO\1320\Osteo_Sarco_1.png","RPT")</f>
        <v>RPT</v>
      </c>
      <c r="F351" s="2" t="s">
        <v>78</v>
      </c>
      <c r="G351" s="6"/>
      <c r="I351"/>
      <c r="J351"/>
      <c r="K351"/>
    </row>
    <row r="352" spans="1:11" x14ac:dyDescent="0.3">
      <c r="A352" s="2" t="s">
        <v>2257</v>
      </c>
      <c r="B352" s="2" t="s">
        <v>120</v>
      </c>
      <c r="C352" s="2" t="s">
        <v>119</v>
      </c>
      <c r="D352" s="2" t="s">
        <v>2859</v>
      </c>
      <c r="E352" s="4" t="str">
        <f>HYPERLINK("./Results/DLO\1321\Osteo_Sarco_1.png","RPT")</f>
        <v>RPT</v>
      </c>
      <c r="F352" s="2" t="s">
        <v>143</v>
      </c>
      <c r="G352" s="6"/>
      <c r="I352"/>
      <c r="J352"/>
      <c r="K352"/>
    </row>
    <row r="353" spans="1:11" x14ac:dyDescent="0.3">
      <c r="A353" s="2" t="s">
        <v>2269</v>
      </c>
      <c r="B353" s="2" t="s">
        <v>143</v>
      </c>
      <c r="C353" s="2" t="s">
        <v>111</v>
      </c>
      <c r="D353" s="2" t="s">
        <v>2859</v>
      </c>
      <c r="E353" s="4" t="str">
        <f>HYPERLINK("./Results/DLO\1322\Osteo_Sarco_1.png","RPT")</f>
        <v>RPT</v>
      </c>
      <c r="F353" s="2" t="s">
        <v>32</v>
      </c>
      <c r="G353" s="6"/>
      <c r="H353" s="1">
        <v>25.21</v>
      </c>
    </row>
    <row r="354" spans="1:11" x14ac:dyDescent="0.3">
      <c r="A354" s="2" t="s">
        <v>2252</v>
      </c>
      <c r="B354" s="2" t="s">
        <v>140</v>
      </c>
      <c r="C354" s="2" t="s">
        <v>111</v>
      </c>
      <c r="D354" s="2" t="s">
        <v>2859</v>
      </c>
      <c r="E354" s="4" t="str">
        <f>HYPERLINK("./Results/DLO\1323\Osteo_Sarco_1.png","RPT")</f>
        <v>RPT</v>
      </c>
      <c r="F354" s="2" t="s">
        <v>110</v>
      </c>
      <c r="G354" s="6"/>
      <c r="I354"/>
      <c r="J354"/>
      <c r="K354"/>
    </row>
    <row r="355" spans="1:11" x14ac:dyDescent="0.3">
      <c r="A355" s="2" t="s">
        <v>2264</v>
      </c>
      <c r="B355" s="2" t="s">
        <v>113</v>
      </c>
      <c r="C355" s="2" t="s">
        <v>111</v>
      </c>
      <c r="D355" s="2" t="s">
        <v>2867</v>
      </c>
      <c r="E355" s="4" t="str">
        <f>HYPERLINK("./Results/DLO\1324\Osteo_Sarco_1.png","RPT")</f>
        <v>RPT</v>
      </c>
      <c r="F355" s="2" t="s">
        <v>104</v>
      </c>
      <c r="G355" s="6"/>
      <c r="H355" s="1">
        <v>28.28</v>
      </c>
    </row>
    <row r="356" spans="1:11" x14ac:dyDescent="0.3">
      <c r="A356" s="2" t="s">
        <v>2272</v>
      </c>
      <c r="B356" s="2" t="s">
        <v>118</v>
      </c>
      <c r="C356" s="2" t="s">
        <v>111</v>
      </c>
      <c r="D356" s="2" t="s">
        <v>2867</v>
      </c>
      <c r="E356" s="4" t="str">
        <f>HYPERLINK("./Results/DLO\1325\Osteo_Sarco_1.png","RPT")</f>
        <v>RPT</v>
      </c>
      <c r="F356" s="2" t="s">
        <v>49</v>
      </c>
      <c r="G356" s="6"/>
      <c r="H356" s="1">
        <v>24.68</v>
      </c>
    </row>
    <row r="357" spans="1:11" x14ac:dyDescent="0.3">
      <c r="A357" s="2" t="s">
        <v>2253</v>
      </c>
      <c r="B357" s="2" t="s">
        <v>114</v>
      </c>
      <c r="C357" s="2" t="s">
        <v>119</v>
      </c>
      <c r="D357" s="2" t="s">
        <v>2867</v>
      </c>
      <c r="E357" s="4" t="str">
        <f>HYPERLINK("./Results/DLO\1326\Osteo_Sarco_1.png","RPT")</f>
        <v>RPT</v>
      </c>
      <c r="F357" s="2" t="s">
        <v>87</v>
      </c>
      <c r="G357" s="6"/>
      <c r="I357"/>
      <c r="J357"/>
      <c r="K357"/>
    </row>
    <row r="358" spans="1:11" x14ac:dyDescent="0.3">
      <c r="A358" s="2" t="s">
        <v>2260</v>
      </c>
      <c r="B358" s="2" t="s">
        <v>151</v>
      </c>
      <c r="C358" s="2" t="s">
        <v>111</v>
      </c>
      <c r="D358" s="2" t="s">
        <v>2859</v>
      </c>
      <c r="E358" s="4" t="str">
        <f>HYPERLINK("./Results/DLO\1327\Osteo_Sarco_1.png","RPT")</f>
        <v>RPT</v>
      </c>
      <c r="F358" s="2" t="s">
        <v>466</v>
      </c>
      <c r="G358" s="6"/>
      <c r="I358"/>
      <c r="J358"/>
      <c r="K358"/>
    </row>
    <row r="359" spans="1:11" x14ac:dyDescent="0.3">
      <c r="A359" s="2" t="s">
        <v>2255</v>
      </c>
      <c r="B359" s="2" t="s">
        <v>140</v>
      </c>
      <c r="C359" s="2" t="s">
        <v>111</v>
      </c>
      <c r="D359" s="2" t="s">
        <v>2859</v>
      </c>
      <c r="E359" s="4" t="str">
        <f>HYPERLINK("./Results/DLO\1328\Osteo_Sarco_1.png","RPT")</f>
        <v>RPT</v>
      </c>
      <c r="F359" s="2" t="s">
        <v>54</v>
      </c>
      <c r="G359" s="6"/>
      <c r="H359" s="1">
        <v>24.56</v>
      </c>
    </row>
    <row r="360" spans="1:11" x14ac:dyDescent="0.3">
      <c r="A360" s="2" t="s">
        <v>2265</v>
      </c>
      <c r="B360" s="2" t="s">
        <v>167</v>
      </c>
      <c r="C360" s="2" t="s">
        <v>119</v>
      </c>
      <c r="D360" s="2" t="s">
        <v>2867</v>
      </c>
      <c r="E360" s="4" t="str">
        <f>HYPERLINK("./Results/DLO\1329\Osteo_Sarco_1.png","RPT")</f>
        <v>RPT</v>
      </c>
      <c r="F360" s="2" t="s">
        <v>29</v>
      </c>
      <c r="G360" s="6"/>
      <c r="I360"/>
      <c r="J360"/>
      <c r="K360"/>
    </row>
    <row r="361" spans="1:11" x14ac:dyDescent="0.3">
      <c r="A361" s="2" t="s">
        <v>2267</v>
      </c>
      <c r="B361" s="2" t="s">
        <v>127</v>
      </c>
      <c r="C361" s="2" t="s">
        <v>111</v>
      </c>
      <c r="D361" s="2" t="s">
        <v>2859</v>
      </c>
      <c r="E361" s="4" t="str">
        <f>HYPERLINK("./Results/DLO\133\Osteo_Sarco_1.png","RPT")</f>
        <v>RPT</v>
      </c>
      <c r="F361" s="2" t="s">
        <v>107</v>
      </c>
      <c r="G361" s="6"/>
      <c r="I361"/>
      <c r="J361"/>
      <c r="K361"/>
    </row>
    <row r="362" spans="1:11" x14ac:dyDescent="0.3">
      <c r="A362" s="2" t="s">
        <v>2250</v>
      </c>
      <c r="B362" s="2" t="s">
        <v>120</v>
      </c>
      <c r="C362" s="2" t="s">
        <v>111</v>
      </c>
      <c r="D362" s="2" t="s">
        <v>2859</v>
      </c>
      <c r="E362" s="4" t="str">
        <f>HYPERLINK("./Results/DLO\1330\Osteo_Sarco_1.png","RPT")</f>
        <v>RPT</v>
      </c>
      <c r="F362" s="2" t="s">
        <v>473</v>
      </c>
      <c r="G362" s="6"/>
      <c r="I362"/>
      <c r="J362"/>
      <c r="K362"/>
    </row>
    <row r="363" spans="1:11" x14ac:dyDescent="0.3">
      <c r="A363" s="2" t="s">
        <v>2256</v>
      </c>
      <c r="B363" s="2" t="s">
        <v>149</v>
      </c>
      <c r="C363" s="2" t="s">
        <v>111</v>
      </c>
      <c r="D363" s="2" t="s">
        <v>2859</v>
      </c>
      <c r="E363" s="4" t="str">
        <f>HYPERLINK("./Results/DLO\1331\Osteo_Sarco_1.png","RPT")</f>
        <v>RPT</v>
      </c>
      <c r="F363" s="2" t="s">
        <v>51</v>
      </c>
      <c r="G363" s="6"/>
      <c r="H363" s="1">
        <v>21.2</v>
      </c>
    </row>
    <row r="364" spans="1:11" x14ac:dyDescent="0.3">
      <c r="A364" s="2" t="s">
        <v>2259</v>
      </c>
      <c r="B364" s="2" t="s">
        <v>145</v>
      </c>
      <c r="C364" s="2" t="s">
        <v>119</v>
      </c>
      <c r="D364" s="2" t="s">
        <v>2859</v>
      </c>
      <c r="E364" s="4" t="str">
        <f>HYPERLINK("./Results/DLO\1332\Osteo_Sarco_1.png","RPT")</f>
        <v>RPT</v>
      </c>
      <c r="F364" s="2" t="s">
        <v>88</v>
      </c>
      <c r="G364" s="6"/>
      <c r="I364"/>
      <c r="J364"/>
      <c r="K364"/>
    </row>
    <row r="365" spans="1:11" x14ac:dyDescent="0.3">
      <c r="A365" s="2" t="s">
        <v>2294</v>
      </c>
      <c r="B365" s="2" t="s">
        <v>127</v>
      </c>
      <c r="C365" s="2" t="s">
        <v>111</v>
      </c>
      <c r="D365" s="2" t="s">
        <v>2859</v>
      </c>
      <c r="E365" s="4" t="str">
        <f>HYPERLINK("./Results/DLO\1333\Osteo_Sarco_1.png","RPT")</f>
        <v>RPT</v>
      </c>
      <c r="F365" s="2" t="s">
        <v>108</v>
      </c>
      <c r="G365" s="6"/>
      <c r="H365" s="1">
        <v>21.23</v>
      </c>
    </row>
    <row r="366" spans="1:11" x14ac:dyDescent="0.3">
      <c r="A366" s="2" t="s">
        <v>2283</v>
      </c>
      <c r="B366" s="2" t="s">
        <v>123</v>
      </c>
      <c r="C366" s="2" t="s">
        <v>119</v>
      </c>
      <c r="D366" s="2" t="s">
        <v>2859</v>
      </c>
      <c r="E366" s="4" t="str">
        <f>HYPERLINK("./Results/DLO\1334\Osteo_Sarco_1.png","RPT")</f>
        <v>RPT</v>
      </c>
      <c r="F366" s="2" t="s">
        <v>456</v>
      </c>
      <c r="G366" s="6"/>
      <c r="H366" s="1">
        <v>23.77</v>
      </c>
    </row>
    <row r="367" spans="1:11" x14ac:dyDescent="0.3">
      <c r="A367" s="2" t="s">
        <v>2276</v>
      </c>
      <c r="B367" s="2" t="s">
        <v>143</v>
      </c>
      <c r="C367" s="2" t="s">
        <v>119</v>
      </c>
      <c r="D367" s="2" t="s">
        <v>1957</v>
      </c>
      <c r="E367" s="4" t="str">
        <f>HYPERLINK("./Results/DLO\1335\Osteo_Sarco_1.png","RPT")</f>
        <v>RPT</v>
      </c>
      <c r="F367" s="2" t="s">
        <v>45</v>
      </c>
      <c r="G367" s="6"/>
      <c r="I367"/>
      <c r="J367"/>
      <c r="K367"/>
    </row>
    <row r="368" spans="1:11" x14ac:dyDescent="0.3">
      <c r="A368" s="2" t="s">
        <v>2285</v>
      </c>
      <c r="B368" s="2" t="s">
        <v>116</v>
      </c>
      <c r="C368" s="2" t="s">
        <v>119</v>
      </c>
      <c r="D368" s="2" t="s">
        <v>2867</v>
      </c>
      <c r="E368" s="4" t="str">
        <f>HYPERLINK("./Results/DLO\1336\Osteo_Sarco_1.png","RPT")</f>
        <v>RPT</v>
      </c>
      <c r="F368" s="2" t="s">
        <v>25</v>
      </c>
      <c r="G368" s="6"/>
      <c r="I368"/>
      <c r="J368"/>
      <c r="K368"/>
    </row>
    <row r="369" spans="1:11" x14ac:dyDescent="0.3">
      <c r="A369" s="2" t="s">
        <v>2291</v>
      </c>
      <c r="B369" s="2" t="s">
        <v>149</v>
      </c>
      <c r="C369" s="2" t="s">
        <v>111</v>
      </c>
      <c r="D369" s="2" t="s">
        <v>2867</v>
      </c>
      <c r="E369" s="4" t="str">
        <f>HYPERLINK("./Results/DLO\1337\Osteo_Sarco_1.png","RPT")</f>
        <v>RPT</v>
      </c>
      <c r="F369" s="2" t="s">
        <v>95</v>
      </c>
      <c r="G369" s="6"/>
      <c r="H369" s="1">
        <v>24.37</v>
      </c>
    </row>
    <row r="370" spans="1:11" x14ac:dyDescent="0.3">
      <c r="A370" s="2" t="s">
        <v>2293</v>
      </c>
      <c r="B370" s="2" t="s">
        <v>143</v>
      </c>
      <c r="C370" s="2" t="s">
        <v>111</v>
      </c>
      <c r="D370" s="2" t="s">
        <v>2859</v>
      </c>
      <c r="E370" s="4" t="str">
        <f>HYPERLINK("./Results/DLO\1338\Osteo_Sarco_1.png","RPT")</f>
        <v>RPT</v>
      </c>
      <c r="F370" s="2" t="s">
        <v>95</v>
      </c>
      <c r="G370" s="6"/>
      <c r="H370" s="1">
        <v>25.46</v>
      </c>
    </row>
    <row r="371" spans="1:11" x14ac:dyDescent="0.3">
      <c r="A371" s="2" t="s">
        <v>2273</v>
      </c>
      <c r="B371" s="2" t="s">
        <v>587</v>
      </c>
      <c r="C371" s="2" t="s">
        <v>111</v>
      </c>
      <c r="D371" s="2" t="s">
        <v>2859</v>
      </c>
      <c r="E371" s="4" t="str">
        <f>HYPERLINK("./Results/DLO\1339\Osteo_Sarco_1.png","RPT")</f>
        <v>RPT</v>
      </c>
      <c r="F371" s="2" t="s">
        <v>74</v>
      </c>
      <c r="G371" s="6"/>
      <c r="I371"/>
      <c r="J371"/>
      <c r="K371"/>
    </row>
    <row r="372" spans="1:11" x14ac:dyDescent="0.3">
      <c r="A372" s="2" t="s">
        <v>2295</v>
      </c>
      <c r="B372" s="2" t="s">
        <v>139</v>
      </c>
      <c r="C372" s="2" t="s">
        <v>111</v>
      </c>
      <c r="D372" s="2" t="s">
        <v>2859</v>
      </c>
      <c r="E372" s="4" t="str">
        <f>HYPERLINK("./Results/DLO\134\Osteo_Sarco_1.png","RPT")</f>
        <v>RPT</v>
      </c>
      <c r="F372" s="2" t="s">
        <v>20</v>
      </c>
      <c r="G372" s="6"/>
      <c r="H372" s="1">
        <v>21.39</v>
      </c>
    </row>
    <row r="373" spans="1:11" x14ac:dyDescent="0.3">
      <c r="A373" s="2" t="s">
        <v>2279</v>
      </c>
      <c r="B373" s="2" t="s">
        <v>146</v>
      </c>
      <c r="C373" s="2" t="s">
        <v>111</v>
      </c>
      <c r="D373" s="2" t="s">
        <v>2867</v>
      </c>
      <c r="E373" s="4" t="str">
        <f>HYPERLINK("./Results/DLO\1340\Osteo_Sarco_1.png","RPT")</f>
        <v>RPT</v>
      </c>
      <c r="F373" s="2" t="s">
        <v>469</v>
      </c>
      <c r="G373" s="6"/>
      <c r="I373"/>
      <c r="J373"/>
      <c r="K373"/>
    </row>
    <row r="374" spans="1:11" x14ac:dyDescent="0.3">
      <c r="A374" s="2" t="s">
        <v>2278</v>
      </c>
      <c r="B374" s="2" t="s">
        <v>165</v>
      </c>
      <c r="C374" s="2" t="s">
        <v>111</v>
      </c>
      <c r="D374" s="2" t="s">
        <v>2867</v>
      </c>
      <c r="E374" s="4" t="str">
        <f>HYPERLINK("./Results/DLO\1341\Osteo_Sarco_1.png","RPT")</f>
        <v>RPT</v>
      </c>
      <c r="F374" s="2" t="s">
        <v>60</v>
      </c>
      <c r="G374" s="6"/>
      <c r="H374" s="1">
        <v>19.66</v>
      </c>
    </row>
    <row r="375" spans="1:11" x14ac:dyDescent="0.3">
      <c r="A375" s="2" t="s">
        <v>2296</v>
      </c>
      <c r="B375" s="2" t="s">
        <v>137</v>
      </c>
      <c r="C375" s="2" t="s">
        <v>111</v>
      </c>
      <c r="D375" s="2" t="s">
        <v>2867</v>
      </c>
      <c r="E375" s="4" t="str">
        <f>HYPERLINK("./Results/DLO\1342\Osteo_Sarco_1.png","RPT")</f>
        <v>RPT</v>
      </c>
      <c r="F375" s="2" t="s">
        <v>475</v>
      </c>
      <c r="G375" s="6"/>
      <c r="I375"/>
      <c r="J375"/>
      <c r="K375"/>
    </row>
    <row r="376" spans="1:11" x14ac:dyDescent="0.3">
      <c r="A376" s="2" t="s">
        <v>2275</v>
      </c>
      <c r="B376" s="2" t="s">
        <v>586</v>
      </c>
      <c r="C376" s="2" t="s">
        <v>111</v>
      </c>
      <c r="D376" s="2" t="s">
        <v>2859</v>
      </c>
      <c r="E376" s="4" t="str">
        <f>HYPERLINK("./Results/DLO\1343\Osteo_Sarco_1.png","RPT")</f>
        <v>RPT</v>
      </c>
      <c r="F376" s="2" t="s">
        <v>458</v>
      </c>
      <c r="G376" s="6"/>
      <c r="I376"/>
      <c r="J376"/>
      <c r="K376"/>
    </row>
    <row r="377" spans="1:11" x14ac:dyDescent="0.3">
      <c r="A377" s="2" t="s">
        <v>2289</v>
      </c>
      <c r="B377" s="2" t="s">
        <v>140</v>
      </c>
      <c r="C377" s="2" t="s">
        <v>111</v>
      </c>
      <c r="D377" s="2" t="s">
        <v>2859</v>
      </c>
      <c r="E377" s="4" t="str">
        <f>HYPERLINK("./Results/DLO\1344\Osteo_Sarco_1.png","RPT")</f>
        <v>RPT</v>
      </c>
      <c r="F377" s="2" t="s">
        <v>466</v>
      </c>
      <c r="G377" s="6"/>
      <c r="I377"/>
      <c r="J377"/>
      <c r="K377"/>
    </row>
    <row r="378" spans="1:11" x14ac:dyDescent="0.3">
      <c r="A378" s="2" t="s">
        <v>2274</v>
      </c>
      <c r="B378" s="2" t="s">
        <v>134</v>
      </c>
      <c r="C378" s="2" t="s">
        <v>111</v>
      </c>
      <c r="D378" s="2" t="s">
        <v>2859</v>
      </c>
      <c r="E378" s="4" t="str">
        <f>HYPERLINK("./Results/DLO\1345\Osteo_Sarco_1.png","RPT")</f>
        <v>RPT</v>
      </c>
      <c r="F378" s="2" t="s">
        <v>20</v>
      </c>
      <c r="G378" s="6"/>
      <c r="H378" s="1">
        <v>25.02</v>
      </c>
    </row>
    <row r="379" spans="1:11" x14ac:dyDescent="0.3">
      <c r="A379" s="2" t="s">
        <v>2286</v>
      </c>
      <c r="B379" s="2" t="s">
        <v>140</v>
      </c>
      <c r="C379" s="2" t="s">
        <v>119</v>
      </c>
      <c r="D379" s="2" t="s">
        <v>2867</v>
      </c>
      <c r="E379" s="4" t="str">
        <f>HYPERLINK("./Results/DLO\1346\Osteo_Sarco_1.png","RPT")</f>
        <v>RPT</v>
      </c>
      <c r="F379" s="2" t="s">
        <v>454</v>
      </c>
      <c r="G379" s="6"/>
      <c r="H379" s="1">
        <v>20.57</v>
      </c>
    </row>
    <row r="380" spans="1:11" x14ac:dyDescent="0.3">
      <c r="A380" s="2" t="s">
        <v>2284</v>
      </c>
      <c r="B380" s="2" t="s">
        <v>138</v>
      </c>
      <c r="C380" s="2" t="s">
        <v>119</v>
      </c>
      <c r="D380" s="2" t="s">
        <v>2867</v>
      </c>
      <c r="E380" s="4" t="str">
        <f>HYPERLINK("./Results/DLO\1347\Osteo_Sarco_1.png","RPT")</f>
        <v>RPT</v>
      </c>
      <c r="F380" s="2" t="s">
        <v>97</v>
      </c>
      <c r="G380" s="6"/>
      <c r="H380" s="1">
        <v>26.15</v>
      </c>
    </row>
    <row r="381" spans="1:11" x14ac:dyDescent="0.3">
      <c r="A381" s="2" t="s">
        <v>2277</v>
      </c>
      <c r="B381" s="2" t="s">
        <v>146</v>
      </c>
      <c r="C381" s="2" t="s">
        <v>111</v>
      </c>
      <c r="D381" s="2" t="s">
        <v>2859</v>
      </c>
      <c r="E381" s="4" t="str">
        <f>HYPERLINK("./Results/DLO\1348\Osteo_Sarco_1.png","RPT")</f>
        <v>RPT</v>
      </c>
      <c r="F381" s="2" t="s">
        <v>51</v>
      </c>
      <c r="G381" s="6"/>
      <c r="I381"/>
      <c r="J381"/>
      <c r="K381"/>
    </row>
    <row r="382" spans="1:11" x14ac:dyDescent="0.3">
      <c r="A382" s="2" t="s">
        <v>2282</v>
      </c>
      <c r="B382" s="2" t="s">
        <v>585</v>
      </c>
      <c r="C382" s="2" t="s">
        <v>111</v>
      </c>
      <c r="D382" s="2" t="s">
        <v>2859</v>
      </c>
      <c r="E382" s="4" t="str">
        <f>HYPERLINK("./Results/DLO\1349\Osteo_Sarco_1.png","RPT")</f>
        <v>RPT</v>
      </c>
      <c r="F382" s="2" t="s">
        <v>69</v>
      </c>
      <c r="G382" s="6"/>
      <c r="I382"/>
      <c r="J382"/>
      <c r="K382"/>
    </row>
    <row r="383" spans="1:11" x14ac:dyDescent="0.3">
      <c r="A383" s="2" t="s">
        <v>2292</v>
      </c>
      <c r="B383" s="2" t="s">
        <v>137</v>
      </c>
      <c r="C383" s="2" t="s">
        <v>111</v>
      </c>
      <c r="D383" s="2" t="s">
        <v>1960</v>
      </c>
      <c r="E383" s="4" t="str">
        <f>HYPERLINK("./Results/DLO\135\Osteo_Sarco_1.png","RPT")</f>
        <v>RPT</v>
      </c>
      <c r="F383" s="2" t="s">
        <v>52</v>
      </c>
      <c r="G383" s="6"/>
      <c r="I383"/>
      <c r="J383"/>
      <c r="K383"/>
    </row>
    <row r="384" spans="1:11" x14ac:dyDescent="0.3">
      <c r="A384" s="2" t="s">
        <v>2287</v>
      </c>
      <c r="B384" s="2" t="s">
        <v>164</v>
      </c>
      <c r="C384" s="2" t="s">
        <v>119</v>
      </c>
      <c r="D384" s="2" t="s">
        <v>2859</v>
      </c>
      <c r="E384" s="4" t="str">
        <f>HYPERLINK("./Results/DLO\1350\Osteo_Sarco_1.png","RPT")</f>
        <v>RPT</v>
      </c>
      <c r="F384" s="2" t="s">
        <v>90</v>
      </c>
      <c r="G384" s="6"/>
      <c r="I384"/>
      <c r="J384"/>
      <c r="K384"/>
    </row>
    <row r="385" spans="1:11" x14ac:dyDescent="0.3">
      <c r="A385" s="2" t="s">
        <v>2288</v>
      </c>
      <c r="B385" s="2" t="s">
        <v>114</v>
      </c>
      <c r="C385" s="2" t="s">
        <v>111</v>
      </c>
      <c r="D385" s="2" t="s">
        <v>2867</v>
      </c>
      <c r="E385" s="4" t="str">
        <f>HYPERLINK("./Results/DLO\1351\Osteo_Sarco_1.png","RPT")</f>
        <v>RPT</v>
      </c>
      <c r="F385" s="2" t="s">
        <v>26</v>
      </c>
      <c r="G385" s="6"/>
      <c r="I385"/>
      <c r="J385"/>
      <c r="K385"/>
    </row>
    <row r="386" spans="1:11" x14ac:dyDescent="0.3">
      <c r="A386" s="2" t="s">
        <v>2280</v>
      </c>
      <c r="B386" s="2" t="s">
        <v>149</v>
      </c>
      <c r="C386" s="2" t="s">
        <v>111</v>
      </c>
      <c r="D386" s="2" t="s">
        <v>2859</v>
      </c>
      <c r="E386" s="4" t="str">
        <f>HYPERLINK("./Results/DLO\1352\Osteo_Sarco_1.png","RPT")</f>
        <v>RPT</v>
      </c>
      <c r="F386" s="2" t="s">
        <v>94</v>
      </c>
      <c r="G386" s="6"/>
      <c r="I386"/>
      <c r="J386"/>
      <c r="K386"/>
    </row>
    <row r="387" spans="1:11" x14ac:dyDescent="0.3">
      <c r="A387" s="2" t="s">
        <v>2281</v>
      </c>
      <c r="B387" s="2" t="s">
        <v>123</v>
      </c>
      <c r="C387" s="2" t="s">
        <v>119</v>
      </c>
      <c r="D387" s="2" t="s">
        <v>2859</v>
      </c>
      <c r="E387" s="4" t="str">
        <f>HYPERLINK("./Results/DLO\1353\Osteo_Sarco_1.png","RPT")</f>
        <v>RPT</v>
      </c>
      <c r="F387" s="2" t="s">
        <v>474</v>
      </c>
      <c r="G387" s="6"/>
      <c r="I387"/>
      <c r="J387"/>
      <c r="K387"/>
    </row>
    <row r="388" spans="1:11" x14ac:dyDescent="0.3">
      <c r="A388" s="2" t="s">
        <v>2290</v>
      </c>
      <c r="B388" s="2" t="s">
        <v>129</v>
      </c>
      <c r="C388" s="2" t="s">
        <v>111</v>
      </c>
      <c r="D388" s="2" t="s">
        <v>2867</v>
      </c>
      <c r="E388" s="4" t="str">
        <f>HYPERLINK("./Results/DLO\1354\Osteo_Sarco_1.png","RPT")</f>
        <v>RPT</v>
      </c>
      <c r="F388" s="2" t="s">
        <v>575</v>
      </c>
      <c r="G388" s="6"/>
      <c r="I388"/>
      <c r="J388"/>
      <c r="K388"/>
    </row>
    <row r="389" spans="1:11" x14ac:dyDescent="0.3">
      <c r="A389" s="2" t="s">
        <v>2306</v>
      </c>
      <c r="B389" s="2" t="s">
        <v>164</v>
      </c>
      <c r="C389" s="2" t="s">
        <v>119</v>
      </c>
      <c r="D389" s="2" t="s">
        <v>2859</v>
      </c>
      <c r="E389" s="4" t="str">
        <f>HYPERLINK("./Results/DLO\1355\Osteo_Sarco_1.png","RPT")</f>
        <v>RPT</v>
      </c>
      <c r="F389" s="2" t="s">
        <v>77</v>
      </c>
      <c r="G389" s="6"/>
      <c r="I389"/>
      <c r="J389"/>
      <c r="K389"/>
    </row>
    <row r="390" spans="1:11" x14ac:dyDescent="0.3">
      <c r="A390" s="2" t="s">
        <v>2312</v>
      </c>
      <c r="B390" s="2" t="s">
        <v>143</v>
      </c>
      <c r="C390" s="2" t="s">
        <v>111</v>
      </c>
      <c r="D390" s="2" t="s">
        <v>2859</v>
      </c>
      <c r="E390" s="4" t="str">
        <f>HYPERLINK("./Results/DLO\1356\Osteo_Sarco_1.png","RPT")</f>
        <v>RPT</v>
      </c>
      <c r="F390" s="2" t="s">
        <v>51</v>
      </c>
      <c r="G390" s="6"/>
      <c r="H390" s="1">
        <v>23.51</v>
      </c>
    </row>
    <row r="391" spans="1:11" x14ac:dyDescent="0.3">
      <c r="A391" s="2" t="s">
        <v>2316</v>
      </c>
      <c r="B391" s="2" t="s">
        <v>133</v>
      </c>
      <c r="C391" s="2" t="s">
        <v>119</v>
      </c>
      <c r="D391" s="2" t="s">
        <v>2859</v>
      </c>
      <c r="E391" s="4" t="str">
        <f>HYPERLINK("./Results/DLO\1357\Osteo_Sarco_1.png","RPT")</f>
        <v>RPT</v>
      </c>
      <c r="F391" s="2" t="s">
        <v>44</v>
      </c>
      <c r="G391" s="6"/>
      <c r="I391"/>
      <c r="J391"/>
      <c r="K391"/>
    </row>
    <row r="392" spans="1:11" x14ac:dyDescent="0.3">
      <c r="A392" s="2" t="s">
        <v>2305</v>
      </c>
      <c r="B392" s="2" t="s">
        <v>165</v>
      </c>
      <c r="C392" s="2" t="s">
        <v>111</v>
      </c>
      <c r="D392" s="2" t="s">
        <v>2867</v>
      </c>
      <c r="E392" s="4" t="str">
        <f>HYPERLINK("./Results/DLO\1358\Osteo_Sarco_1.png","RPT")</f>
        <v>RPT</v>
      </c>
      <c r="F392" s="2" t="s">
        <v>25</v>
      </c>
      <c r="G392" s="6"/>
      <c r="I392"/>
      <c r="J392"/>
      <c r="K392"/>
    </row>
    <row r="393" spans="1:11" x14ac:dyDescent="0.3">
      <c r="A393" s="2" t="s">
        <v>2304</v>
      </c>
      <c r="B393" s="2" t="s">
        <v>590</v>
      </c>
      <c r="C393" s="2" t="s">
        <v>111</v>
      </c>
      <c r="D393" s="2" t="s">
        <v>2859</v>
      </c>
      <c r="E393" s="4" t="str">
        <f>HYPERLINK("./Results/DLO\1359\Osteo_Sarco_1.png","RPT")</f>
        <v>RPT</v>
      </c>
      <c r="F393" s="2" t="s">
        <v>71</v>
      </c>
      <c r="G393" s="6"/>
      <c r="H393" s="1">
        <v>24.38</v>
      </c>
    </row>
    <row r="394" spans="1:11" x14ac:dyDescent="0.3">
      <c r="A394" s="2" t="s">
        <v>2298</v>
      </c>
      <c r="B394" s="2" t="s">
        <v>156</v>
      </c>
      <c r="C394" s="2" t="s">
        <v>111</v>
      </c>
      <c r="D394" s="2" t="s">
        <v>2859</v>
      </c>
      <c r="E394" s="4" t="str">
        <f>HYPERLINK("./Results/DLO\136\Osteo_Sarco_1.png","RPT")</f>
        <v>RPT</v>
      </c>
      <c r="F394" s="2" t="s">
        <v>68</v>
      </c>
      <c r="G394" s="6"/>
      <c r="I394"/>
      <c r="J394"/>
      <c r="K394"/>
    </row>
    <row r="395" spans="1:11" x14ac:dyDescent="0.3">
      <c r="A395" s="2" t="s">
        <v>2307</v>
      </c>
      <c r="B395" s="2" t="s">
        <v>151</v>
      </c>
      <c r="C395" s="2" t="s">
        <v>111</v>
      </c>
      <c r="D395" s="2" t="s">
        <v>2859</v>
      </c>
      <c r="E395" s="4" t="str">
        <f>HYPERLINK("./Results/DLO\1360\Osteo_Sarco_1.png","RPT")</f>
        <v>RPT</v>
      </c>
      <c r="F395" s="2" t="s">
        <v>69</v>
      </c>
      <c r="G395" s="6"/>
      <c r="I395"/>
      <c r="J395"/>
      <c r="K395"/>
    </row>
    <row r="396" spans="1:11" x14ac:dyDescent="0.3">
      <c r="A396" s="2" t="s">
        <v>2311</v>
      </c>
      <c r="B396" s="2" t="s">
        <v>146</v>
      </c>
      <c r="C396" s="2" t="s">
        <v>111</v>
      </c>
      <c r="D396" s="2" t="s">
        <v>2859</v>
      </c>
      <c r="E396" s="4" t="str">
        <f>HYPERLINK("./Results/DLO\1361\Osteo_Sarco_1.png","RPT")</f>
        <v>RPT</v>
      </c>
      <c r="F396" s="2" t="s">
        <v>453</v>
      </c>
      <c r="G396" s="6"/>
      <c r="I396"/>
      <c r="J396"/>
      <c r="K396"/>
    </row>
    <row r="397" spans="1:11" x14ac:dyDescent="0.3">
      <c r="A397" s="2" t="s">
        <v>2308</v>
      </c>
      <c r="B397" s="2" t="s">
        <v>127</v>
      </c>
      <c r="C397" s="2" t="s">
        <v>111</v>
      </c>
      <c r="D397" s="2" t="s">
        <v>2867</v>
      </c>
      <c r="E397" s="4" t="str">
        <f>HYPERLINK("./Results/DLO\1362\Osteo_Sarco_1.png","RPT")</f>
        <v>RPT</v>
      </c>
      <c r="F397" s="2" t="s">
        <v>465</v>
      </c>
      <c r="G397" s="6"/>
      <c r="I397"/>
      <c r="J397"/>
      <c r="K397"/>
    </row>
    <row r="398" spans="1:11" x14ac:dyDescent="0.3">
      <c r="A398" s="2" t="s">
        <v>2319</v>
      </c>
      <c r="B398" s="2" t="s">
        <v>118</v>
      </c>
      <c r="C398" s="2" t="s">
        <v>111</v>
      </c>
      <c r="D398" s="2" t="s">
        <v>2867</v>
      </c>
      <c r="E398" s="4" t="str">
        <f>HYPERLINK("./Results/DLO\1363\Osteo_Sarco_1.png","RPT")</f>
        <v>RPT</v>
      </c>
      <c r="F398" s="2" t="s">
        <v>22</v>
      </c>
      <c r="G398" s="6"/>
      <c r="H398" s="1">
        <v>23.61</v>
      </c>
    </row>
    <row r="399" spans="1:11" x14ac:dyDescent="0.3">
      <c r="A399" s="2" t="s">
        <v>2317</v>
      </c>
      <c r="B399" s="2" t="s">
        <v>128</v>
      </c>
      <c r="C399" s="2" t="s">
        <v>119</v>
      </c>
      <c r="D399" s="2" t="s">
        <v>2859</v>
      </c>
      <c r="E399" s="4" t="str">
        <f>HYPERLINK("./Results/DLO\1364\Osteo_Sarco_1.png","RPT")</f>
        <v>RPT</v>
      </c>
      <c r="F399" s="2" t="s">
        <v>61</v>
      </c>
      <c r="G399" s="6"/>
      <c r="H399" s="1">
        <v>28.3</v>
      </c>
    </row>
    <row r="400" spans="1:11" x14ac:dyDescent="0.3">
      <c r="A400" s="2" t="s">
        <v>2299</v>
      </c>
      <c r="B400" s="2" t="s">
        <v>137</v>
      </c>
      <c r="C400" s="2" t="s">
        <v>119</v>
      </c>
      <c r="D400" s="2" t="s">
        <v>2131</v>
      </c>
      <c r="E400" s="4" t="str">
        <f>HYPERLINK("./Results/DLO\1365\Osteo_Sarco_1.png","RPT")</f>
        <v>RPT</v>
      </c>
      <c r="F400" s="2" t="s">
        <v>135</v>
      </c>
      <c r="G400" s="6"/>
      <c r="H400" s="1">
        <v>24.29</v>
      </c>
    </row>
    <row r="401" spans="1:11" x14ac:dyDescent="0.3">
      <c r="A401" s="2" t="s">
        <v>2309</v>
      </c>
      <c r="B401" s="2" t="s">
        <v>148</v>
      </c>
      <c r="C401" s="2" t="s">
        <v>119</v>
      </c>
      <c r="D401" s="2" t="s">
        <v>2859</v>
      </c>
      <c r="E401" s="4" t="str">
        <f>HYPERLINK("./Results/DLO\1366\Osteo_Sarco_1.png","RPT")</f>
        <v>RPT</v>
      </c>
      <c r="F401" s="2" t="s">
        <v>46</v>
      </c>
      <c r="G401" s="6"/>
      <c r="I401"/>
      <c r="J401"/>
      <c r="K401"/>
    </row>
    <row r="402" spans="1:11" x14ac:dyDescent="0.3">
      <c r="A402" s="2" t="s">
        <v>2320</v>
      </c>
      <c r="B402" s="2" t="s">
        <v>116</v>
      </c>
      <c r="C402" s="2" t="s">
        <v>111</v>
      </c>
      <c r="D402" s="2" t="s">
        <v>2867</v>
      </c>
      <c r="E402" s="4" t="str">
        <f>HYPERLINK("./Results/DLO\1367\Osteo_Sarco_1.png","RPT")</f>
        <v>RPT</v>
      </c>
      <c r="F402" s="2" t="s">
        <v>32</v>
      </c>
      <c r="G402" s="6"/>
      <c r="I402"/>
      <c r="J402"/>
      <c r="K402"/>
    </row>
    <row r="403" spans="1:11" x14ac:dyDescent="0.3">
      <c r="A403" s="2" t="s">
        <v>2315</v>
      </c>
      <c r="B403" s="2" t="s">
        <v>142</v>
      </c>
      <c r="C403" s="2" t="s">
        <v>119</v>
      </c>
      <c r="D403" s="2" t="s">
        <v>2859</v>
      </c>
      <c r="E403" s="4" t="str">
        <f>HYPERLINK("./Results/DLO\1368\Osteo_Sarco_1.png","RPT")</f>
        <v>RPT</v>
      </c>
      <c r="F403" s="2" t="s">
        <v>81</v>
      </c>
      <c r="G403" s="6"/>
      <c r="I403"/>
      <c r="J403"/>
      <c r="K403"/>
    </row>
    <row r="404" spans="1:11" x14ac:dyDescent="0.3">
      <c r="A404" s="2" t="s">
        <v>2314</v>
      </c>
      <c r="B404" s="2" t="s">
        <v>148</v>
      </c>
      <c r="C404" s="2" t="s">
        <v>119</v>
      </c>
      <c r="D404" s="2" t="s">
        <v>2859</v>
      </c>
      <c r="E404" s="4" t="str">
        <f>HYPERLINK("./Results/DLO\1369\Osteo_Sarco_1.png","RPT")</f>
        <v>RPT</v>
      </c>
      <c r="F404" s="2" t="s">
        <v>29</v>
      </c>
      <c r="G404" s="6"/>
      <c r="H404" s="1">
        <v>26.88</v>
      </c>
    </row>
    <row r="405" spans="1:11" x14ac:dyDescent="0.3">
      <c r="A405" s="2" t="s">
        <v>2310</v>
      </c>
      <c r="B405" s="2" t="s">
        <v>138</v>
      </c>
      <c r="C405" s="2" t="s">
        <v>119</v>
      </c>
      <c r="D405" s="2" t="s">
        <v>2859</v>
      </c>
      <c r="E405" s="4" t="str">
        <f>HYPERLINK("./Results/DLO\137\Osteo_Sarco_1.png","RPT")</f>
        <v>RPT</v>
      </c>
      <c r="F405" s="2" t="s">
        <v>98</v>
      </c>
      <c r="G405" s="6"/>
      <c r="I405"/>
      <c r="J405"/>
      <c r="K405"/>
    </row>
    <row r="406" spans="1:11" x14ac:dyDescent="0.3">
      <c r="A406" s="2" t="s">
        <v>2313</v>
      </c>
      <c r="B406" s="2" t="s">
        <v>166</v>
      </c>
      <c r="C406" s="2" t="s">
        <v>119</v>
      </c>
      <c r="D406" s="2" t="s">
        <v>2859</v>
      </c>
      <c r="E406" s="4" t="str">
        <f>HYPERLINK("./Results/DLO\1370\Osteo_Sarco_1.png","RPT")</f>
        <v>RPT</v>
      </c>
      <c r="F406" s="2" t="s">
        <v>97</v>
      </c>
      <c r="G406" s="6"/>
      <c r="I406"/>
      <c r="J406"/>
      <c r="K406"/>
    </row>
    <row r="407" spans="1:11" x14ac:dyDescent="0.3">
      <c r="A407" s="2" t="s">
        <v>2318</v>
      </c>
      <c r="B407" s="2" t="s">
        <v>138</v>
      </c>
      <c r="C407" s="2" t="s">
        <v>119</v>
      </c>
      <c r="D407" s="2" t="s">
        <v>2867</v>
      </c>
      <c r="E407" s="4" t="str">
        <f>HYPERLINK("./Results/DLO\1371\Osteo_Sarco_1.png","RPT")</f>
        <v>RPT</v>
      </c>
      <c r="F407" s="2" t="s">
        <v>36</v>
      </c>
      <c r="G407" s="6"/>
      <c r="H407" s="1">
        <v>19.829999999999998</v>
      </c>
    </row>
    <row r="408" spans="1:11" x14ac:dyDescent="0.3">
      <c r="A408" s="2" t="s">
        <v>2297</v>
      </c>
      <c r="B408" s="2" t="s">
        <v>129</v>
      </c>
      <c r="C408" s="2" t="s">
        <v>119</v>
      </c>
      <c r="D408" s="2" t="s">
        <v>2859</v>
      </c>
      <c r="E408" s="4" t="str">
        <f>HYPERLINK("./Results/DLO\1372\Osteo_Sarco_1.png","RPT")</f>
        <v>RPT</v>
      </c>
      <c r="F408" s="2" t="s">
        <v>77</v>
      </c>
      <c r="G408" s="6"/>
      <c r="I408"/>
      <c r="J408"/>
      <c r="K408"/>
    </row>
    <row r="409" spans="1:11" x14ac:dyDescent="0.3">
      <c r="A409" s="2" t="s">
        <v>2300</v>
      </c>
      <c r="B409" s="2" t="s">
        <v>127</v>
      </c>
      <c r="C409" s="2" t="s">
        <v>119</v>
      </c>
      <c r="D409" s="2" t="s">
        <v>2867</v>
      </c>
      <c r="E409" s="4" t="str">
        <f>HYPERLINK("./Results/DLO\1373\Osteo_Sarco_1.png","RPT")</f>
        <v>RPT</v>
      </c>
      <c r="F409" s="2" t="s">
        <v>70</v>
      </c>
      <c r="G409" s="6"/>
      <c r="I409"/>
      <c r="J409"/>
      <c r="K409"/>
    </row>
    <row r="410" spans="1:11" x14ac:dyDescent="0.3">
      <c r="A410" s="2" t="s">
        <v>2301</v>
      </c>
      <c r="B410" s="2" t="s">
        <v>120</v>
      </c>
      <c r="C410" s="2" t="s">
        <v>111</v>
      </c>
      <c r="D410" s="2" t="s">
        <v>2867</v>
      </c>
      <c r="E410" s="4" t="str">
        <f>HYPERLINK("./Results/DLO\1374\Osteo_Sarco_1.png","RPT")</f>
        <v>RPT</v>
      </c>
      <c r="F410" s="2" t="s">
        <v>80</v>
      </c>
      <c r="G410" s="6"/>
      <c r="H410" s="1">
        <v>23.71</v>
      </c>
    </row>
    <row r="411" spans="1:11" x14ac:dyDescent="0.3">
      <c r="A411" s="2" t="s">
        <v>2302</v>
      </c>
      <c r="B411" s="2" t="s">
        <v>149</v>
      </c>
      <c r="C411" s="2" t="s">
        <v>119</v>
      </c>
      <c r="D411" s="2" t="s">
        <v>2859</v>
      </c>
      <c r="E411" s="4" t="str">
        <f>HYPERLINK("./Results/DLO\1375\Osteo_Sarco_1.png","RPT")</f>
        <v>RPT</v>
      </c>
      <c r="F411" s="2" t="s">
        <v>36</v>
      </c>
      <c r="G411" s="6"/>
      <c r="I411"/>
      <c r="J411"/>
      <c r="K411"/>
    </row>
    <row r="412" spans="1:11" x14ac:dyDescent="0.3">
      <c r="A412" s="2" t="s">
        <v>2303</v>
      </c>
      <c r="B412" s="2" t="s">
        <v>116</v>
      </c>
      <c r="C412" s="2" t="s">
        <v>111</v>
      </c>
      <c r="D412" s="2" t="s">
        <v>2859</v>
      </c>
      <c r="E412" s="4" t="str">
        <f>HYPERLINK("./Results/DLO\1376\Osteo_Sarco_1.png","RPT")</f>
        <v>RPT</v>
      </c>
      <c r="F412" s="2" t="s">
        <v>44</v>
      </c>
      <c r="G412" s="6"/>
      <c r="I412"/>
      <c r="J412"/>
      <c r="K412"/>
    </row>
    <row r="413" spans="1:11" x14ac:dyDescent="0.3">
      <c r="A413" s="2" t="s">
        <v>2321</v>
      </c>
      <c r="B413" s="2" t="s">
        <v>165</v>
      </c>
      <c r="C413" s="2" t="s">
        <v>111</v>
      </c>
      <c r="D413" s="2" t="s">
        <v>2859</v>
      </c>
      <c r="E413" s="4" t="str">
        <f>HYPERLINK("./Results/DLO\1377\Osteo_Sarco_1.png","RPT")</f>
        <v>RPT</v>
      </c>
      <c r="F413" s="2" t="s">
        <v>58</v>
      </c>
      <c r="G413" s="6"/>
      <c r="H413" s="1">
        <v>28.43</v>
      </c>
    </row>
    <row r="414" spans="1:11" x14ac:dyDescent="0.3">
      <c r="A414" s="2" t="s">
        <v>2326</v>
      </c>
      <c r="B414" s="2" t="s">
        <v>125</v>
      </c>
      <c r="C414" s="2" t="s">
        <v>111</v>
      </c>
      <c r="D414" s="2" t="s">
        <v>2859</v>
      </c>
      <c r="E414" s="4" t="str">
        <f>HYPERLINK("./Results/DLO\1378\Osteo_Sarco_1.png","RPT")</f>
        <v>RPT</v>
      </c>
      <c r="F414" s="2" t="s">
        <v>90</v>
      </c>
      <c r="G414" s="6"/>
      <c r="I414"/>
      <c r="J414"/>
      <c r="K414"/>
    </row>
    <row r="415" spans="1:11" x14ac:dyDescent="0.3">
      <c r="A415" s="2" t="s">
        <v>2333</v>
      </c>
      <c r="B415" s="2" t="s">
        <v>127</v>
      </c>
      <c r="C415" s="2" t="s">
        <v>119</v>
      </c>
      <c r="D415" s="2" t="s">
        <v>2867</v>
      </c>
      <c r="E415" s="4" t="str">
        <f>HYPERLINK("./Results/DLO\1379\Osteo_Sarco_1.png","RPT")</f>
        <v>RPT</v>
      </c>
      <c r="F415" s="2" t="s">
        <v>38</v>
      </c>
      <c r="G415" s="6"/>
      <c r="I415"/>
      <c r="J415"/>
      <c r="K415"/>
    </row>
    <row r="416" spans="1:11" x14ac:dyDescent="0.3">
      <c r="A416" s="2" t="s">
        <v>2325</v>
      </c>
      <c r="B416" s="2" t="s">
        <v>129</v>
      </c>
      <c r="C416" s="2" t="s">
        <v>111</v>
      </c>
      <c r="D416" s="2" t="s">
        <v>2859</v>
      </c>
      <c r="E416" s="4" t="str">
        <f>HYPERLINK("./Results/DLO\138\Osteo_Sarco_1.png","RPT")</f>
        <v>RPT</v>
      </c>
      <c r="F416" s="2" t="s">
        <v>78</v>
      </c>
      <c r="G416" s="6"/>
      <c r="I416"/>
      <c r="J416"/>
      <c r="K416"/>
    </row>
    <row r="417" spans="1:11" x14ac:dyDescent="0.3">
      <c r="A417" s="2" t="s">
        <v>2332</v>
      </c>
      <c r="B417" s="2" t="s">
        <v>159</v>
      </c>
      <c r="C417" s="2" t="s">
        <v>119</v>
      </c>
      <c r="D417" s="2" t="s">
        <v>2859</v>
      </c>
      <c r="E417" s="4" t="str">
        <f>HYPERLINK("./Results/DLO\1380\Osteo_Sarco_1.png","RPT")</f>
        <v>RPT</v>
      </c>
      <c r="F417" s="2" t="s">
        <v>115</v>
      </c>
      <c r="G417" s="6"/>
      <c r="H417" s="1">
        <v>23.46</v>
      </c>
    </row>
    <row r="418" spans="1:11" x14ac:dyDescent="0.3">
      <c r="A418" s="2" t="s">
        <v>2327</v>
      </c>
      <c r="B418" s="2" t="s">
        <v>133</v>
      </c>
      <c r="C418" s="2" t="s">
        <v>111</v>
      </c>
      <c r="D418" s="2" t="s">
        <v>2867</v>
      </c>
      <c r="E418" s="4" t="str">
        <f>HYPERLINK("./Results/DLO\1381\Osteo_Sarco_1.png","RPT")</f>
        <v>RPT</v>
      </c>
      <c r="F418" s="2" t="s">
        <v>455</v>
      </c>
      <c r="G418" s="6"/>
      <c r="I418"/>
      <c r="J418"/>
      <c r="K418"/>
    </row>
    <row r="419" spans="1:11" x14ac:dyDescent="0.3">
      <c r="A419" s="2" t="s">
        <v>2339</v>
      </c>
      <c r="B419" s="2" t="s">
        <v>139</v>
      </c>
      <c r="C419" s="2" t="s">
        <v>119</v>
      </c>
      <c r="D419" s="2" t="s">
        <v>2859</v>
      </c>
      <c r="E419" s="4" t="str">
        <f>HYPERLINK("./Results/DLO\1382\Osteo_Sarco_1.png","RPT")</f>
        <v>RPT</v>
      </c>
      <c r="F419" s="2" t="s">
        <v>454</v>
      </c>
      <c r="G419" s="6"/>
      <c r="I419"/>
      <c r="J419"/>
      <c r="K419"/>
    </row>
    <row r="420" spans="1:11" x14ac:dyDescent="0.3">
      <c r="A420" s="2" t="s">
        <v>2331</v>
      </c>
      <c r="B420" s="2" t="s">
        <v>139</v>
      </c>
      <c r="C420" s="2" t="s">
        <v>119</v>
      </c>
      <c r="D420" s="2" t="s">
        <v>2859</v>
      </c>
      <c r="E420" s="4" t="str">
        <f>HYPERLINK("./Results/DLO\1383\Osteo_Sarco_1.png","RPT")</f>
        <v>RPT</v>
      </c>
      <c r="F420" s="2" t="s">
        <v>140</v>
      </c>
      <c r="G420" s="6"/>
      <c r="I420"/>
      <c r="J420"/>
      <c r="K420"/>
    </row>
    <row r="421" spans="1:11" x14ac:dyDescent="0.3">
      <c r="A421" s="2" t="s">
        <v>2342</v>
      </c>
      <c r="B421" s="2" t="s">
        <v>118</v>
      </c>
      <c r="C421" s="2" t="s">
        <v>119</v>
      </c>
      <c r="D421" s="2" t="s">
        <v>2859</v>
      </c>
      <c r="E421" s="4" t="str">
        <f>HYPERLINK("./Results/DLO\1384\Osteo_Sarco_1.png","RPT")</f>
        <v>RPT</v>
      </c>
      <c r="F421" s="2" t="s">
        <v>41</v>
      </c>
      <c r="G421" s="6"/>
      <c r="I421"/>
      <c r="J421"/>
      <c r="K421"/>
    </row>
    <row r="422" spans="1:11" x14ac:dyDescent="0.3">
      <c r="A422" s="2" t="s">
        <v>2328</v>
      </c>
      <c r="B422" s="2" t="s">
        <v>143</v>
      </c>
      <c r="C422" s="2" t="s">
        <v>119</v>
      </c>
      <c r="D422" s="2" t="s">
        <v>1957</v>
      </c>
      <c r="E422" s="4" t="str">
        <f>HYPERLINK("./Results/DLO\1385\Osteo_Sarco_1.png","RPT")</f>
        <v>RPT</v>
      </c>
      <c r="F422" s="2" t="s">
        <v>57</v>
      </c>
      <c r="G422" s="6"/>
      <c r="H422" s="1">
        <v>19.809999999999999</v>
      </c>
    </row>
    <row r="423" spans="1:11" x14ac:dyDescent="0.3">
      <c r="A423" s="2" t="s">
        <v>2329</v>
      </c>
      <c r="B423" s="2" t="s">
        <v>138</v>
      </c>
      <c r="C423" s="2" t="s">
        <v>111</v>
      </c>
      <c r="D423" s="2" t="s">
        <v>2859</v>
      </c>
      <c r="E423" s="4" t="str">
        <f>HYPERLINK("./Results/DLO\1386\Osteo_Sarco_1.png","RPT")</f>
        <v>RPT</v>
      </c>
      <c r="F423" s="2" t="s">
        <v>32</v>
      </c>
      <c r="G423" s="6"/>
      <c r="H423" s="1">
        <v>19.75</v>
      </c>
    </row>
    <row r="424" spans="1:11" x14ac:dyDescent="0.3">
      <c r="A424" s="2" t="s">
        <v>2322</v>
      </c>
      <c r="B424" s="2" t="s">
        <v>129</v>
      </c>
      <c r="C424" s="2" t="s">
        <v>111</v>
      </c>
      <c r="D424" s="2" t="s">
        <v>2867</v>
      </c>
      <c r="E424" s="4" t="str">
        <f>HYPERLINK("./Results/DLO\1387\Osteo_Sarco_1.png","RPT")</f>
        <v>RPT</v>
      </c>
      <c r="F424" s="2" t="s">
        <v>448</v>
      </c>
      <c r="G424" s="6"/>
      <c r="H424" s="1">
        <v>26.17</v>
      </c>
    </row>
    <row r="425" spans="1:11" x14ac:dyDescent="0.3">
      <c r="A425" s="2" t="s">
        <v>2323</v>
      </c>
      <c r="B425" s="2" t="s">
        <v>138</v>
      </c>
      <c r="C425" s="2" t="s">
        <v>119</v>
      </c>
      <c r="D425" s="2" t="s">
        <v>1960</v>
      </c>
      <c r="E425" s="4" t="str">
        <f>HYPERLINK("./Results/DLO\1388\Osteo_Sarco_1.png","RPT")</f>
        <v>RPT</v>
      </c>
      <c r="F425" s="2" t="s">
        <v>81</v>
      </c>
      <c r="G425" s="6"/>
      <c r="I425"/>
      <c r="J425"/>
      <c r="K425"/>
    </row>
    <row r="426" spans="1:11" x14ac:dyDescent="0.3">
      <c r="A426" s="2" t="s">
        <v>2334</v>
      </c>
      <c r="B426" s="2" t="s">
        <v>129</v>
      </c>
      <c r="C426" s="2" t="s">
        <v>119</v>
      </c>
      <c r="D426" s="2" t="s">
        <v>2859</v>
      </c>
      <c r="E426" s="4" t="str">
        <f>HYPERLINK("./Results/DLO\1389\Osteo_Sarco_1.png","RPT")</f>
        <v>RPT</v>
      </c>
      <c r="F426" s="2" t="s">
        <v>98</v>
      </c>
      <c r="G426" s="6"/>
      <c r="I426"/>
      <c r="J426"/>
      <c r="K426"/>
    </row>
    <row r="427" spans="1:11" x14ac:dyDescent="0.3">
      <c r="A427" s="2" t="s">
        <v>2340</v>
      </c>
      <c r="B427" s="2" t="s">
        <v>164</v>
      </c>
      <c r="C427" s="2" t="s">
        <v>119</v>
      </c>
      <c r="D427" s="2" t="s">
        <v>2859</v>
      </c>
      <c r="E427" s="4" t="str">
        <f>HYPERLINK("./Results/DLO\139\Osteo_Sarco_1.png","RPT")</f>
        <v>RPT</v>
      </c>
      <c r="F427" s="2" t="s">
        <v>588</v>
      </c>
      <c r="G427" s="6"/>
      <c r="H427" s="1">
        <v>24.98</v>
      </c>
    </row>
    <row r="428" spans="1:11" x14ac:dyDescent="0.3">
      <c r="A428" s="2" t="s">
        <v>2335</v>
      </c>
      <c r="B428" s="2" t="s">
        <v>125</v>
      </c>
      <c r="C428" s="2" t="s">
        <v>111</v>
      </c>
      <c r="D428" s="2" t="s">
        <v>2867</v>
      </c>
      <c r="E428" s="4" t="str">
        <f>HYPERLINK("./Results/DLO\1390\Osteo_Sarco_1.png","RPT")</f>
        <v>RPT</v>
      </c>
      <c r="F428" s="2" t="s">
        <v>68</v>
      </c>
      <c r="G428" s="6"/>
      <c r="H428" s="1">
        <v>21.67</v>
      </c>
    </row>
    <row r="429" spans="1:11" x14ac:dyDescent="0.3">
      <c r="A429" s="2" t="s">
        <v>2343</v>
      </c>
      <c r="B429" s="2" t="s">
        <v>588</v>
      </c>
      <c r="C429" s="2" t="s">
        <v>111</v>
      </c>
      <c r="D429" s="2" t="s">
        <v>2867</v>
      </c>
      <c r="E429" s="4" t="str">
        <f>HYPERLINK("./Results/DLO\1391\Osteo_Sarco_1.png","RPT")</f>
        <v>RPT</v>
      </c>
      <c r="F429" s="2" t="s">
        <v>60</v>
      </c>
      <c r="G429" s="6"/>
      <c r="I429"/>
      <c r="J429"/>
      <c r="K429"/>
    </row>
    <row r="430" spans="1:11" x14ac:dyDescent="0.3">
      <c r="A430" s="2" t="s">
        <v>2330</v>
      </c>
      <c r="B430" s="2" t="s">
        <v>135</v>
      </c>
      <c r="C430" s="2" t="s">
        <v>111</v>
      </c>
      <c r="D430" s="2" t="s">
        <v>2859</v>
      </c>
      <c r="E430" s="4" t="str">
        <f>HYPERLINK("./Results/DLO\1392\Osteo_Sarco_1.png","RPT")</f>
        <v>RPT</v>
      </c>
      <c r="F430" s="2" t="s">
        <v>25</v>
      </c>
      <c r="G430" s="6"/>
      <c r="H430" s="1">
        <v>21.9</v>
      </c>
    </row>
    <row r="431" spans="1:11" x14ac:dyDescent="0.3">
      <c r="A431" s="2" t="s">
        <v>2324</v>
      </c>
      <c r="B431" s="2" t="s">
        <v>118</v>
      </c>
      <c r="C431" s="2" t="s">
        <v>111</v>
      </c>
      <c r="D431" s="2" t="s">
        <v>2859</v>
      </c>
      <c r="E431" s="4" t="str">
        <f>HYPERLINK("./Results/DLO\1393\Osteo_Sarco_1.png","RPT")</f>
        <v>RPT</v>
      </c>
      <c r="F431" s="2" t="s">
        <v>63</v>
      </c>
      <c r="G431" s="6"/>
      <c r="I431"/>
      <c r="J431"/>
      <c r="K431"/>
    </row>
    <row r="432" spans="1:11" x14ac:dyDescent="0.3">
      <c r="A432" s="2" t="s">
        <v>2336</v>
      </c>
      <c r="B432" s="2" t="s">
        <v>163</v>
      </c>
      <c r="C432" s="2" t="s">
        <v>111</v>
      </c>
      <c r="D432" s="2" t="s">
        <v>2859</v>
      </c>
      <c r="E432" s="4" t="str">
        <f>HYPERLINK("./Results/DLO\1394\Osteo_Sarco_1.png","RPT")</f>
        <v>RPT</v>
      </c>
      <c r="F432" s="2" t="s">
        <v>473</v>
      </c>
      <c r="G432" s="6"/>
      <c r="I432"/>
      <c r="J432"/>
      <c r="K432"/>
    </row>
    <row r="433" spans="1:11" x14ac:dyDescent="0.3">
      <c r="A433" s="2" t="s">
        <v>2341</v>
      </c>
      <c r="B433" s="2" t="s">
        <v>165</v>
      </c>
      <c r="C433" s="2" t="s">
        <v>119</v>
      </c>
      <c r="D433" s="2" t="s">
        <v>2867</v>
      </c>
      <c r="E433" s="4" t="str">
        <f>HYPERLINK("./Results/DLO\1395\Osteo_Sarco_1.png","RPT")</f>
        <v>RPT</v>
      </c>
      <c r="F433" s="2" t="s">
        <v>57</v>
      </c>
      <c r="G433" s="6"/>
      <c r="H433" s="1">
        <v>26.62</v>
      </c>
    </row>
    <row r="434" spans="1:11" x14ac:dyDescent="0.3">
      <c r="A434" s="2" t="s">
        <v>2337</v>
      </c>
      <c r="B434" s="2" t="s">
        <v>148</v>
      </c>
      <c r="C434" s="2" t="s">
        <v>111</v>
      </c>
      <c r="D434" s="2" t="s">
        <v>2859</v>
      </c>
      <c r="E434" s="4" t="str">
        <f>HYPERLINK("./Results/DLO\1396\Osteo_Sarco_1.png","RPT")</f>
        <v>RPT</v>
      </c>
      <c r="F434" s="2" t="s">
        <v>83</v>
      </c>
      <c r="G434" s="6"/>
      <c r="I434"/>
      <c r="J434"/>
      <c r="K434"/>
    </row>
    <row r="435" spans="1:11" x14ac:dyDescent="0.3">
      <c r="A435" s="2" t="s">
        <v>2338</v>
      </c>
      <c r="B435" s="2" t="s">
        <v>127</v>
      </c>
      <c r="C435" s="2" t="s">
        <v>119</v>
      </c>
      <c r="D435" s="2" t="s">
        <v>2859</v>
      </c>
      <c r="E435" s="4" t="str">
        <f>HYPERLINK("./Results/DLO\1397\Osteo_Sarco_1.png","RPT")</f>
        <v>RPT</v>
      </c>
      <c r="F435" s="2" t="s">
        <v>87</v>
      </c>
      <c r="G435" s="6"/>
      <c r="I435"/>
      <c r="J435"/>
      <c r="K435"/>
    </row>
    <row r="436" spans="1:11" x14ac:dyDescent="0.3">
      <c r="A436" s="2" t="s">
        <v>2363</v>
      </c>
      <c r="B436" s="2" t="s">
        <v>123</v>
      </c>
      <c r="C436" s="2" t="s">
        <v>119</v>
      </c>
      <c r="D436" s="2" t="s">
        <v>2859</v>
      </c>
      <c r="E436" s="4" t="str">
        <f>HYPERLINK("./Results/DLO\1398\Osteo_Sarco_1.png","RPT")</f>
        <v>RPT</v>
      </c>
      <c r="F436" s="2" t="s">
        <v>45</v>
      </c>
      <c r="G436" s="6"/>
      <c r="I436"/>
      <c r="J436"/>
      <c r="K436"/>
    </row>
    <row r="437" spans="1:11" x14ac:dyDescent="0.3">
      <c r="A437" s="2" t="s">
        <v>2347</v>
      </c>
      <c r="B437" s="2" t="s">
        <v>116</v>
      </c>
      <c r="C437" s="2" t="s">
        <v>119</v>
      </c>
      <c r="D437" s="2" t="s">
        <v>2859</v>
      </c>
      <c r="E437" s="4" t="str">
        <f>HYPERLINK("./Results/DLO\1399\Osteo_Sarco_1.png","RPT")</f>
        <v>RPT</v>
      </c>
      <c r="F437" s="2" t="s">
        <v>81</v>
      </c>
      <c r="G437" s="6"/>
      <c r="I437"/>
      <c r="J437"/>
      <c r="K437"/>
    </row>
    <row r="438" spans="1:11" x14ac:dyDescent="0.3">
      <c r="A438" s="2" t="s">
        <v>2359</v>
      </c>
      <c r="B438" s="2" t="s">
        <v>112</v>
      </c>
      <c r="C438" s="2" t="s">
        <v>119</v>
      </c>
      <c r="D438" s="2" t="s">
        <v>2867</v>
      </c>
      <c r="E438" s="4" t="str">
        <f>HYPERLINK("./Results/DLO\14\Osteo_Sarco_1.png","RPT")</f>
        <v>RPT</v>
      </c>
      <c r="F438" s="2" t="s">
        <v>79</v>
      </c>
      <c r="G438" s="6"/>
      <c r="H438" s="1">
        <v>24.41</v>
      </c>
    </row>
    <row r="439" spans="1:11" x14ac:dyDescent="0.3">
      <c r="A439" s="2" t="s">
        <v>2353</v>
      </c>
      <c r="B439" s="2" t="s">
        <v>165</v>
      </c>
      <c r="C439" s="2" t="s">
        <v>119</v>
      </c>
      <c r="D439" s="2" t="s">
        <v>2859</v>
      </c>
      <c r="E439" s="4" t="str">
        <f>HYPERLINK("./Results/DLO\140\Osteo_Sarco_1.png","RPT")</f>
        <v>RPT</v>
      </c>
      <c r="F439" s="2" t="s">
        <v>50</v>
      </c>
      <c r="G439" s="6"/>
      <c r="I439"/>
      <c r="J439"/>
      <c r="K439"/>
    </row>
    <row r="440" spans="1:11" x14ac:dyDescent="0.3">
      <c r="A440" s="2" t="s">
        <v>2354</v>
      </c>
      <c r="B440" s="2" t="s">
        <v>140</v>
      </c>
      <c r="C440" s="2" t="s">
        <v>111</v>
      </c>
      <c r="D440" s="2" t="s">
        <v>2859</v>
      </c>
      <c r="E440" s="4" t="str">
        <f>HYPERLINK("./Results/DLO\1400\Osteo_Sarco_1.png","RPT")</f>
        <v>RPT</v>
      </c>
      <c r="F440" s="2" t="s">
        <v>63</v>
      </c>
      <c r="G440" s="6"/>
      <c r="I440"/>
      <c r="J440"/>
      <c r="K440"/>
    </row>
    <row r="441" spans="1:11" x14ac:dyDescent="0.3">
      <c r="A441" s="2" t="s">
        <v>2348</v>
      </c>
      <c r="B441" s="2" t="s">
        <v>137</v>
      </c>
      <c r="C441" s="2" t="s">
        <v>111</v>
      </c>
      <c r="D441" s="2" t="s">
        <v>2859</v>
      </c>
      <c r="E441" s="4" t="str">
        <f>HYPERLINK("./Results/DLO\1401\Osteo_Sarco_1.png","RPT")</f>
        <v>RPT</v>
      </c>
      <c r="F441" s="2" t="s">
        <v>57</v>
      </c>
      <c r="G441" s="6"/>
      <c r="H441" s="1">
        <v>24.11</v>
      </c>
    </row>
    <row r="442" spans="1:11" x14ac:dyDescent="0.3">
      <c r="A442" s="2" t="s">
        <v>2362</v>
      </c>
      <c r="B442" s="2" t="s">
        <v>142</v>
      </c>
      <c r="C442" s="2" t="s">
        <v>111</v>
      </c>
      <c r="D442" s="2" t="s">
        <v>2859</v>
      </c>
      <c r="E442" s="4" t="str">
        <f>HYPERLINK("./Results/DLO\1402\Osteo_Sarco_1.png","RPT")</f>
        <v>RPT</v>
      </c>
      <c r="F442" s="2" t="s">
        <v>463</v>
      </c>
      <c r="G442" s="6"/>
      <c r="I442"/>
      <c r="J442"/>
      <c r="K442"/>
    </row>
    <row r="443" spans="1:11" x14ac:dyDescent="0.3">
      <c r="A443" s="2" t="s">
        <v>2346</v>
      </c>
      <c r="B443" s="2" t="s">
        <v>126</v>
      </c>
      <c r="C443" s="2" t="s">
        <v>119</v>
      </c>
      <c r="D443" s="2" t="s">
        <v>2867</v>
      </c>
      <c r="E443" s="4" t="str">
        <f>HYPERLINK("./Results/DLO\1403\Osteo_Sarco_1.png","RPT")</f>
        <v>RPT</v>
      </c>
      <c r="F443" s="2" t="s">
        <v>45</v>
      </c>
      <c r="G443" s="6"/>
      <c r="I443"/>
      <c r="J443"/>
      <c r="K443"/>
    </row>
    <row r="444" spans="1:11" x14ac:dyDescent="0.3">
      <c r="A444" s="2" t="s">
        <v>2345</v>
      </c>
      <c r="B444" s="2" t="s">
        <v>139</v>
      </c>
      <c r="C444" s="2" t="s">
        <v>111</v>
      </c>
      <c r="D444" s="2" t="s">
        <v>2859</v>
      </c>
      <c r="E444" s="4" t="str">
        <f>HYPERLINK("./Results/DLO\1404\Osteo_Sarco_1.png","RPT")</f>
        <v>RPT</v>
      </c>
      <c r="F444" s="2" t="s">
        <v>83</v>
      </c>
      <c r="G444" s="6"/>
      <c r="I444"/>
      <c r="J444"/>
      <c r="K444"/>
    </row>
    <row r="445" spans="1:11" x14ac:dyDescent="0.3">
      <c r="A445" s="2" t="s">
        <v>2355</v>
      </c>
      <c r="B445" s="2" t="s">
        <v>587</v>
      </c>
      <c r="C445" s="2" t="s">
        <v>119</v>
      </c>
      <c r="D445" s="2" t="s">
        <v>2859</v>
      </c>
      <c r="E445" s="4" t="str">
        <f>HYPERLINK("./Results/DLO\1405\Osteo_Sarco_1.png","RPT")</f>
        <v>RPT</v>
      </c>
      <c r="F445" s="2" t="s">
        <v>74</v>
      </c>
      <c r="G445" s="6"/>
      <c r="I445"/>
      <c r="J445"/>
      <c r="K445"/>
    </row>
    <row r="446" spans="1:11" x14ac:dyDescent="0.3">
      <c r="A446" s="2" t="s">
        <v>2361</v>
      </c>
      <c r="B446" s="2" t="s">
        <v>118</v>
      </c>
      <c r="C446" s="2" t="s">
        <v>111</v>
      </c>
      <c r="D446" s="2" t="s">
        <v>2859</v>
      </c>
      <c r="E446" s="4" t="str">
        <f>HYPERLINK("./Results/DLO\1406\Osteo_Sarco_1.png","RPT")</f>
        <v>RPT</v>
      </c>
      <c r="F446" s="2" t="s">
        <v>49</v>
      </c>
      <c r="G446" s="6"/>
      <c r="H446" s="1">
        <v>27.1</v>
      </c>
    </row>
    <row r="447" spans="1:11" x14ac:dyDescent="0.3">
      <c r="A447" s="2" t="s">
        <v>2351</v>
      </c>
      <c r="B447" s="2" t="s">
        <v>151</v>
      </c>
      <c r="C447" s="2" t="s">
        <v>111</v>
      </c>
      <c r="D447" s="2" t="s">
        <v>1935</v>
      </c>
      <c r="E447" s="4" t="str">
        <f>HYPERLINK("./Results/DLO\1407\Osteo_Sarco_1.png","RPT")</f>
        <v>RPT</v>
      </c>
      <c r="F447" s="2" t="s">
        <v>43</v>
      </c>
      <c r="G447" s="6"/>
      <c r="I447"/>
      <c r="J447"/>
      <c r="K447"/>
    </row>
    <row r="448" spans="1:11" x14ac:dyDescent="0.3">
      <c r="A448" s="2" t="s">
        <v>2352</v>
      </c>
      <c r="B448" s="2" t="s">
        <v>142</v>
      </c>
      <c r="C448" s="2" t="s">
        <v>111</v>
      </c>
      <c r="D448" s="2" t="s">
        <v>2859</v>
      </c>
      <c r="E448" s="4" t="str">
        <f>HYPERLINK("./Results/DLO\1408\Osteo_Sarco_1.png","RPT")</f>
        <v>RPT</v>
      </c>
      <c r="F448" s="2" t="s">
        <v>464</v>
      </c>
      <c r="G448" s="6"/>
      <c r="H448" s="1">
        <v>26.83</v>
      </c>
    </row>
    <row r="449" spans="1:11" x14ac:dyDescent="0.3">
      <c r="A449" s="2" t="s">
        <v>2358</v>
      </c>
      <c r="B449" s="2" t="s">
        <v>142</v>
      </c>
      <c r="C449" s="2" t="s">
        <v>111</v>
      </c>
      <c r="D449" s="2" t="s">
        <v>2859</v>
      </c>
      <c r="E449" s="4" t="str">
        <f>HYPERLINK("./Results/DLO\1409\Osteo_Sarco_1.png","RPT")</f>
        <v>RPT</v>
      </c>
      <c r="F449" s="2" t="s">
        <v>110</v>
      </c>
      <c r="G449" s="6"/>
      <c r="I449"/>
      <c r="J449"/>
      <c r="K449"/>
    </row>
    <row r="450" spans="1:11" x14ac:dyDescent="0.3">
      <c r="A450" s="2" t="s">
        <v>2356</v>
      </c>
      <c r="B450" s="2" t="s">
        <v>168</v>
      </c>
      <c r="C450" s="2" t="s">
        <v>119</v>
      </c>
      <c r="D450" s="2" t="s">
        <v>1957</v>
      </c>
      <c r="E450" s="4" t="str">
        <f>HYPERLINK("./Results/DLO\141\Osteo_Sarco_1.png","RPT")</f>
        <v>RPT</v>
      </c>
      <c r="F450" s="2" t="s">
        <v>41</v>
      </c>
      <c r="G450" s="6"/>
      <c r="I450"/>
      <c r="J450"/>
      <c r="K450"/>
    </row>
    <row r="451" spans="1:11" x14ac:dyDescent="0.3">
      <c r="A451" s="2" t="s">
        <v>2360</v>
      </c>
      <c r="B451" s="2" t="s">
        <v>165</v>
      </c>
      <c r="C451" s="2" t="s">
        <v>111</v>
      </c>
      <c r="D451" s="2" t="s">
        <v>2859</v>
      </c>
      <c r="E451" s="4" t="str">
        <f>HYPERLINK("./Results/DLO\1410\Osteo_Sarco_1.png","RPT")</f>
        <v>RPT</v>
      </c>
      <c r="F451" s="2" t="s">
        <v>47</v>
      </c>
      <c r="G451" s="6"/>
      <c r="H451" s="1">
        <v>22.77</v>
      </c>
    </row>
    <row r="452" spans="1:11" x14ac:dyDescent="0.3">
      <c r="A452" s="2" t="s">
        <v>2349</v>
      </c>
      <c r="B452" s="2" t="s">
        <v>137</v>
      </c>
      <c r="C452" s="2" t="s">
        <v>111</v>
      </c>
      <c r="D452" s="2" t="s">
        <v>2867</v>
      </c>
      <c r="E452" s="4" t="str">
        <f>HYPERLINK("./Results/DLO\1411\Osteo_Sarco_1.png","RPT")</f>
        <v>RPT</v>
      </c>
      <c r="F452" s="2" t="s">
        <v>26</v>
      </c>
      <c r="G452" s="6"/>
      <c r="H452" s="1">
        <v>22.92</v>
      </c>
    </row>
    <row r="453" spans="1:11" x14ac:dyDescent="0.3">
      <c r="A453" s="2" t="s">
        <v>2364</v>
      </c>
      <c r="B453" s="2" t="s">
        <v>148</v>
      </c>
      <c r="C453" s="2" t="s">
        <v>119</v>
      </c>
      <c r="D453" s="2" t="s">
        <v>2859</v>
      </c>
      <c r="E453" s="4" t="str">
        <f>HYPERLINK("./Results/DLO\1412\Osteo_Sarco_1.png","RPT")</f>
        <v>RPT</v>
      </c>
      <c r="F453" s="2" t="s">
        <v>31</v>
      </c>
      <c r="G453" s="6"/>
      <c r="I453"/>
      <c r="J453"/>
      <c r="K453"/>
    </row>
    <row r="454" spans="1:11" x14ac:dyDescent="0.3">
      <c r="A454" s="2" t="s">
        <v>2357</v>
      </c>
      <c r="B454" s="2" t="s">
        <v>143</v>
      </c>
      <c r="C454" s="2" t="s">
        <v>111</v>
      </c>
      <c r="D454" s="2" t="s">
        <v>2859</v>
      </c>
      <c r="E454" s="4" t="str">
        <f>HYPERLINK("./Results/DLO\1413\Osteo_Sarco_1.png","RPT")</f>
        <v>RPT</v>
      </c>
      <c r="F454" s="2" t="s">
        <v>106</v>
      </c>
      <c r="G454" s="6"/>
      <c r="H454" s="1">
        <v>24.22</v>
      </c>
    </row>
    <row r="455" spans="1:11" x14ac:dyDescent="0.3">
      <c r="A455" s="2" t="s">
        <v>2350</v>
      </c>
      <c r="B455" s="2" t="s">
        <v>164</v>
      </c>
      <c r="C455" s="2" t="s">
        <v>111</v>
      </c>
      <c r="D455" s="2" t="s">
        <v>2867</v>
      </c>
      <c r="E455" s="4" t="str">
        <f>HYPERLINK("./Results/DLO\1414\Osteo_Sarco_1.png","RPT")</f>
        <v>RPT</v>
      </c>
      <c r="F455" s="2" t="s">
        <v>465</v>
      </c>
      <c r="G455" s="6"/>
      <c r="I455"/>
      <c r="J455"/>
      <c r="K455"/>
    </row>
    <row r="456" spans="1:11" x14ac:dyDescent="0.3">
      <c r="A456" s="2" t="s">
        <v>2365</v>
      </c>
      <c r="B456" s="2" t="s">
        <v>133</v>
      </c>
      <c r="C456" s="2" t="s">
        <v>119</v>
      </c>
      <c r="D456" s="2" t="s">
        <v>2859</v>
      </c>
      <c r="E456" s="4" t="str">
        <f>HYPERLINK("./Results/DLO\1415\Osteo_Sarco_1.png","RPT")</f>
        <v>RPT</v>
      </c>
      <c r="F456" s="2" t="s">
        <v>76</v>
      </c>
      <c r="G456" s="6"/>
      <c r="I456"/>
      <c r="J456"/>
      <c r="K456"/>
    </row>
    <row r="457" spans="1:11" x14ac:dyDescent="0.3">
      <c r="A457" s="2" t="s">
        <v>2366</v>
      </c>
      <c r="B457" s="2" t="s">
        <v>139</v>
      </c>
      <c r="C457" s="2" t="s">
        <v>119</v>
      </c>
      <c r="D457" s="2" t="s">
        <v>2859</v>
      </c>
      <c r="E457" s="4" t="str">
        <f>HYPERLINK("./Results/DLO\1416\Osteo_Sarco_1.png","RPT")</f>
        <v>RPT</v>
      </c>
      <c r="F457" s="2" t="s">
        <v>77</v>
      </c>
      <c r="G457" s="6"/>
      <c r="I457"/>
      <c r="J457"/>
      <c r="K457"/>
    </row>
    <row r="458" spans="1:11" x14ac:dyDescent="0.3">
      <c r="A458" s="2" t="s">
        <v>2344</v>
      </c>
      <c r="B458" s="2" t="s">
        <v>163</v>
      </c>
      <c r="C458" s="2" t="s">
        <v>119</v>
      </c>
      <c r="D458" s="2" t="s">
        <v>2859</v>
      </c>
      <c r="E458" s="4" t="str">
        <f>HYPERLINK("./Results/DLO\1417\Osteo_Sarco_1.png","RPT")</f>
        <v>RPT</v>
      </c>
      <c r="F458" s="2" t="s">
        <v>456</v>
      </c>
      <c r="G458" s="6"/>
      <c r="I458"/>
      <c r="J458"/>
      <c r="K458"/>
    </row>
    <row r="459" spans="1:11" x14ac:dyDescent="0.3">
      <c r="A459" s="2" t="s">
        <v>2381</v>
      </c>
      <c r="B459" s="2" t="s">
        <v>132</v>
      </c>
      <c r="C459" s="2" t="s">
        <v>119</v>
      </c>
      <c r="D459" s="2" t="s">
        <v>2859</v>
      </c>
      <c r="E459" s="4" t="str">
        <f>HYPERLINK("./Results/DLO\1418\Osteo_Sarco_1.png","RPT")</f>
        <v>RPT</v>
      </c>
      <c r="F459" s="2" t="s">
        <v>57</v>
      </c>
      <c r="G459" s="6"/>
      <c r="I459"/>
      <c r="J459"/>
      <c r="K459"/>
    </row>
    <row r="460" spans="1:11" x14ac:dyDescent="0.3">
      <c r="A460" s="2" t="s">
        <v>2372</v>
      </c>
      <c r="B460" s="2" t="s">
        <v>114</v>
      </c>
      <c r="C460" s="2" t="s">
        <v>119</v>
      </c>
      <c r="D460" s="2" t="s">
        <v>2867</v>
      </c>
      <c r="E460" s="4" t="str">
        <f>HYPERLINK("./Results/DLO\1419\Osteo_Sarco_1.png","RPT")</f>
        <v>RPT</v>
      </c>
      <c r="F460" s="2" t="s">
        <v>38</v>
      </c>
      <c r="G460" s="6"/>
      <c r="I460"/>
      <c r="J460"/>
      <c r="K460"/>
    </row>
    <row r="461" spans="1:11" x14ac:dyDescent="0.3">
      <c r="A461" s="2" t="s">
        <v>2384</v>
      </c>
      <c r="B461" s="2" t="s">
        <v>160</v>
      </c>
      <c r="C461" s="2" t="s">
        <v>119</v>
      </c>
      <c r="D461" s="2" t="s">
        <v>2859</v>
      </c>
      <c r="E461" s="4" t="str">
        <f>HYPERLINK("./Results/DLO\142\Osteo_Sarco_1.png","RPT")</f>
        <v>RPT</v>
      </c>
      <c r="F461" s="2" t="s">
        <v>133</v>
      </c>
      <c r="G461" s="6"/>
      <c r="H461" s="1">
        <v>17.43</v>
      </c>
    </row>
    <row r="462" spans="1:11" x14ac:dyDescent="0.3">
      <c r="A462" s="2" t="s">
        <v>2373</v>
      </c>
      <c r="B462" s="2" t="s">
        <v>129</v>
      </c>
      <c r="C462" s="2" t="s">
        <v>119</v>
      </c>
      <c r="D462" s="2" t="s">
        <v>2859</v>
      </c>
      <c r="E462" s="4" t="str">
        <f>HYPERLINK("./Results/DLO\1420\Osteo_Sarco_1.png","RPT")</f>
        <v>RPT</v>
      </c>
      <c r="F462" s="2" t="s">
        <v>31</v>
      </c>
      <c r="G462" s="6"/>
      <c r="I462"/>
      <c r="J462"/>
      <c r="K462"/>
    </row>
    <row r="463" spans="1:11" x14ac:dyDescent="0.3">
      <c r="A463" s="2" t="s">
        <v>2369</v>
      </c>
      <c r="B463" s="2" t="s">
        <v>136</v>
      </c>
      <c r="C463" s="2" t="s">
        <v>111</v>
      </c>
      <c r="D463" s="2" t="s">
        <v>2867</v>
      </c>
      <c r="E463" s="4" t="str">
        <f>HYPERLINK("./Results/DLO\1421\Osteo_Sarco_1.png","RPT")</f>
        <v>RPT</v>
      </c>
      <c r="F463" s="2" t="s">
        <v>47</v>
      </c>
      <c r="G463" s="6"/>
      <c r="I463"/>
      <c r="J463"/>
      <c r="K463"/>
    </row>
    <row r="464" spans="1:11" x14ac:dyDescent="0.3">
      <c r="A464" s="2" t="s">
        <v>2368</v>
      </c>
      <c r="B464" s="2" t="s">
        <v>112</v>
      </c>
      <c r="C464" s="2" t="s">
        <v>111</v>
      </c>
      <c r="D464" s="2" t="s">
        <v>2859</v>
      </c>
      <c r="E464" s="4" t="str">
        <f>HYPERLINK("./Results/DLO\1422\Osteo_Sarco_1.png","RPT")</f>
        <v>RPT</v>
      </c>
      <c r="F464" s="2" t="s">
        <v>445</v>
      </c>
      <c r="G464" s="6"/>
      <c r="I464"/>
      <c r="J464"/>
      <c r="K464"/>
    </row>
    <row r="465" spans="1:11" x14ac:dyDescent="0.3">
      <c r="A465" s="2" t="s">
        <v>2382</v>
      </c>
      <c r="B465" s="2" t="s">
        <v>131</v>
      </c>
      <c r="C465" s="2" t="s">
        <v>119</v>
      </c>
      <c r="D465" s="2" t="s">
        <v>2859</v>
      </c>
      <c r="E465" s="4" t="str">
        <f>HYPERLINK("./Results/DLO\1423\Osteo_Sarco_1.png","RPT")</f>
        <v>RPT</v>
      </c>
      <c r="F465" s="2" t="s">
        <v>581</v>
      </c>
      <c r="G465" s="6"/>
      <c r="I465"/>
      <c r="J465"/>
      <c r="K465"/>
    </row>
    <row r="466" spans="1:11" x14ac:dyDescent="0.3">
      <c r="A466" s="2" t="s">
        <v>2383</v>
      </c>
      <c r="B466" s="2" t="s">
        <v>170</v>
      </c>
      <c r="C466" s="2" t="s">
        <v>119</v>
      </c>
      <c r="D466" s="2" t="s">
        <v>2859</v>
      </c>
      <c r="E466" s="4" t="str">
        <f>HYPERLINK("./Results/DLO\1424\Osteo_Sarco_1.png","RPT")</f>
        <v>RPT</v>
      </c>
      <c r="F466" s="2" t="s">
        <v>467</v>
      </c>
      <c r="G466" s="6"/>
      <c r="I466"/>
      <c r="J466"/>
      <c r="K466"/>
    </row>
    <row r="467" spans="1:11" x14ac:dyDescent="0.3">
      <c r="A467" s="2" t="s">
        <v>2378</v>
      </c>
      <c r="B467" s="2" t="s">
        <v>164</v>
      </c>
      <c r="C467" s="2" t="s">
        <v>119</v>
      </c>
      <c r="D467" s="2" t="s">
        <v>2859</v>
      </c>
      <c r="E467" s="4" t="str">
        <f>HYPERLINK("./Results/DLO\1425\Osteo_Sarco_1.png","RPT")</f>
        <v>RPT</v>
      </c>
      <c r="F467" s="2" t="s">
        <v>81</v>
      </c>
      <c r="G467" s="6"/>
      <c r="I467"/>
      <c r="J467"/>
      <c r="K467"/>
    </row>
    <row r="468" spans="1:11" x14ac:dyDescent="0.3">
      <c r="A468" s="2" t="s">
        <v>2385</v>
      </c>
      <c r="B468" s="2" t="s">
        <v>142</v>
      </c>
      <c r="C468" s="2" t="s">
        <v>119</v>
      </c>
      <c r="D468" s="2" t="s">
        <v>2859</v>
      </c>
      <c r="E468" s="4" t="str">
        <f>HYPERLINK("./Results/DLO\1426\Osteo_Sarco_1.png","RPT")</f>
        <v>RPT</v>
      </c>
      <c r="F468" s="2" t="s">
        <v>79</v>
      </c>
      <c r="G468" s="6"/>
      <c r="I468"/>
      <c r="J468"/>
      <c r="K468"/>
    </row>
    <row r="469" spans="1:11" x14ac:dyDescent="0.3">
      <c r="A469" s="2" t="s">
        <v>2379</v>
      </c>
      <c r="B469" s="2" t="s">
        <v>129</v>
      </c>
      <c r="C469" s="2" t="s">
        <v>111</v>
      </c>
      <c r="D469" s="2" t="s">
        <v>2867</v>
      </c>
      <c r="E469" s="4" t="str">
        <f>HYPERLINK("./Results/DLO\1427\Osteo_Sarco_1.png","RPT")</f>
        <v>RPT</v>
      </c>
      <c r="F469" s="2" t="s">
        <v>32</v>
      </c>
      <c r="G469" s="6"/>
      <c r="I469"/>
      <c r="J469"/>
      <c r="K469"/>
    </row>
    <row r="470" spans="1:11" x14ac:dyDescent="0.3">
      <c r="A470" s="2" t="s">
        <v>2370</v>
      </c>
      <c r="B470" s="2" t="s">
        <v>159</v>
      </c>
      <c r="C470" s="2" t="s">
        <v>111</v>
      </c>
      <c r="D470" s="2" t="s">
        <v>2859</v>
      </c>
      <c r="E470" s="4" t="str">
        <f>HYPERLINK("./Results/DLO\1428\Osteo_Sarco_1.png","RPT")</f>
        <v>RPT</v>
      </c>
      <c r="F470" s="2" t="s">
        <v>88</v>
      </c>
      <c r="G470" s="6"/>
      <c r="I470"/>
      <c r="J470"/>
      <c r="K470"/>
    </row>
    <row r="471" spans="1:11" x14ac:dyDescent="0.3">
      <c r="A471" s="2" t="s">
        <v>2386</v>
      </c>
      <c r="B471" s="2" t="s">
        <v>162</v>
      </c>
      <c r="C471" s="2" t="s">
        <v>119</v>
      </c>
      <c r="D471" s="2" t="s">
        <v>2859</v>
      </c>
      <c r="E471" s="4" t="str">
        <f>HYPERLINK("./Results/DLO\1429\Osteo_Sarco_1.png","RPT")</f>
        <v>RPT</v>
      </c>
      <c r="F471" s="2" t="s">
        <v>69</v>
      </c>
      <c r="G471" s="6"/>
      <c r="H471" s="1">
        <v>25.73</v>
      </c>
    </row>
    <row r="472" spans="1:11" x14ac:dyDescent="0.3">
      <c r="A472" s="2" t="s">
        <v>2387</v>
      </c>
      <c r="B472" s="2" t="s">
        <v>127</v>
      </c>
      <c r="C472" s="2" t="s">
        <v>119</v>
      </c>
      <c r="D472" s="2" t="s">
        <v>2859</v>
      </c>
      <c r="E472" s="4" t="str">
        <f>HYPERLINK("./Results/DLO\143\Osteo_Sarco_1.png","RPT")</f>
        <v>RPT</v>
      </c>
      <c r="F472" s="2" t="s">
        <v>165</v>
      </c>
      <c r="G472" s="6"/>
      <c r="I472"/>
      <c r="J472"/>
      <c r="K472"/>
    </row>
    <row r="473" spans="1:11" x14ac:dyDescent="0.3">
      <c r="A473" s="2" t="s">
        <v>2374</v>
      </c>
      <c r="B473" s="2" t="s">
        <v>140</v>
      </c>
      <c r="C473" s="2" t="s">
        <v>119</v>
      </c>
      <c r="D473" s="2" t="s">
        <v>2867</v>
      </c>
      <c r="E473" s="4" t="str">
        <f>HYPERLINK("./Results/DLO\1430\Osteo_Sarco_1.png","RPT")</f>
        <v>RPT</v>
      </c>
      <c r="F473" s="2" t="s">
        <v>98</v>
      </c>
      <c r="G473" s="6"/>
      <c r="I473"/>
      <c r="J473"/>
      <c r="K473"/>
    </row>
    <row r="474" spans="1:11" x14ac:dyDescent="0.3">
      <c r="A474" s="2" t="s">
        <v>2380</v>
      </c>
      <c r="B474" s="2" t="s">
        <v>120</v>
      </c>
      <c r="C474" s="2" t="s">
        <v>111</v>
      </c>
      <c r="D474" s="2" t="s">
        <v>2867</v>
      </c>
      <c r="E474" s="4" t="str">
        <f>HYPERLINK("./Results/DLO\1431\Osteo_Sarco_1.png","RPT")</f>
        <v>RPT</v>
      </c>
      <c r="F474" s="2" t="s">
        <v>83</v>
      </c>
      <c r="G474" s="6"/>
      <c r="H474" s="1">
        <v>24.32</v>
      </c>
    </row>
    <row r="475" spans="1:11" x14ac:dyDescent="0.3">
      <c r="A475" s="2" t="s">
        <v>2367</v>
      </c>
      <c r="B475" s="2" t="s">
        <v>137</v>
      </c>
      <c r="C475" s="2" t="s">
        <v>111</v>
      </c>
      <c r="D475" s="2" t="s">
        <v>2867</v>
      </c>
      <c r="E475" s="4" t="str">
        <f>HYPERLINK("./Results/DLO\1432\Osteo_Sarco_1.png","RPT")</f>
        <v>RPT</v>
      </c>
      <c r="F475" s="2" t="s">
        <v>35</v>
      </c>
      <c r="G475" s="6"/>
      <c r="H475" s="1">
        <v>25.39</v>
      </c>
    </row>
    <row r="476" spans="1:11" x14ac:dyDescent="0.3">
      <c r="A476" s="2" t="s">
        <v>2388</v>
      </c>
      <c r="B476" s="2" t="s">
        <v>135</v>
      </c>
      <c r="C476" s="2" t="s">
        <v>111</v>
      </c>
      <c r="D476" s="2" t="s">
        <v>2859</v>
      </c>
      <c r="E476" s="4" t="str">
        <f>HYPERLINK("./Results/DLO\1433\Osteo_Sarco_1.png","RPT")</f>
        <v>RPT</v>
      </c>
      <c r="F476" s="2" t="s">
        <v>41</v>
      </c>
      <c r="G476" s="6"/>
      <c r="H476" s="1">
        <v>20.45</v>
      </c>
    </row>
    <row r="477" spans="1:11" x14ac:dyDescent="0.3">
      <c r="A477" s="2" t="s">
        <v>2375</v>
      </c>
      <c r="B477" s="2" t="s">
        <v>125</v>
      </c>
      <c r="C477" s="2" t="s">
        <v>119</v>
      </c>
      <c r="D477" s="2" t="s">
        <v>2859</v>
      </c>
      <c r="E477" s="4" t="str">
        <f>HYPERLINK("./Results/DLO\1434\Osteo_Sarco_1.png","RPT")</f>
        <v>RPT</v>
      </c>
      <c r="F477" s="2" t="s">
        <v>134</v>
      </c>
      <c r="G477" s="6"/>
      <c r="H477" s="1">
        <v>24.86</v>
      </c>
    </row>
    <row r="478" spans="1:11" x14ac:dyDescent="0.3">
      <c r="A478" s="2" t="s">
        <v>2371</v>
      </c>
      <c r="B478" s="2" t="s">
        <v>589</v>
      </c>
      <c r="C478" s="2" t="s">
        <v>111</v>
      </c>
      <c r="D478" s="2" t="s">
        <v>2859</v>
      </c>
      <c r="E478" s="4" t="str">
        <f>HYPERLINK("./Results/DLO\1435\Osteo_Sarco_1.png","RPT")</f>
        <v>RPT</v>
      </c>
      <c r="F478" s="2" t="s">
        <v>106</v>
      </c>
      <c r="G478" s="6"/>
      <c r="I478"/>
      <c r="J478"/>
      <c r="K478"/>
    </row>
    <row r="479" spans="1:11" x14ac:dyDescent="0.3">
      <c r="A479" s="2" t="s">
        <v>2376</v>
      </c>
      <c r="B479" s="2" t="s">
        <v>122</v>
      </c>
      <c r="C479" s="2" t="s">
        <v>111</v>
      </c>
      <c r="D479" s="2" t="s">
        <v>2867</v>
      </c>
      <c r="E479" s="4" t="str">
        <f>HYPERLINK("./Results/DLO\1436\Osteo_Sarco_1.png","RPT")</f>
        <v>RPT</v>
      </c>
      <c r="F479" s="2" t="s">
        <v>92</v>
      </c>
      <c r="G479" s="6"/>
      <c r="I479"/>
      <c r="J479"/>
      <c r="K479"/>
    </row>
    <row r="480" spans="1:11" x14ac:dyDescent="0.3">
      <c r="A480" s="2" t="s">
        <v>2377</v>
      </c>
      <c r="B480" s="2" t="s">
        <v>149</v>
      </c>
      <c r="C480" s="2" t="s">
        <v>119</v>
      </c>
      <c r="D480" s="2" t="s">
        <v>2859</v>
      </c>
      <c r="E480" s="4" t="str">
        <f>HYPERLINK("./Results/DLO\1437\Osteo_Sarco_1.png","RPT")</f>
        <v>RPT</v>
      </c>
      <c r="F480" s="2" t="s">
        <v>99</v>
      </c>
      <c r="G480" s="6"/>
      <c r="I480"/>
      <c r="J480"/>
      <c r="K480"/>
    </row>
    <row r="481" spans="1:11" x14ac:dyDescent="0.3">
      <c r="A481" s="2" t="s">
        <v>2404</v>
      </c>
      <c r="B481" s="2" t="s">
        <v>137</v>
      </c>
      <c r="C481" s="2" t="s">
        <v>111</v>
      </c>
      <c r="D481" s="2" t="s">
        <v>2859</v>
      </c>
      <c r="E481" s="4" t="str">
        <f>HYPERLINK("./Results/DLO\1438\Osteo_Sarco_1.png","RPT")</f>
        <v>RPT</v>
      </c>
      <c r="F481" s="2" t="s">
        <v>42</v>
      </c>
      <c r="G481" s="6"/>
      <c r="I481"/>
      <c r="J481"/>
      <c r="K481"/>
    </row>
    <row r="482" spans="1:11" x14ac:dyDescent="0.3">
      <c r="A482" s="2" t="s">
        <v>2393</v>
      </c>
      <c r="B482" s="2" t="s">
        <v>146</v>
      </c>
      <c r="C482" s="2" t="s">
        <v>119</v>
      </c>
      <c r="D482" s="2" t="s">
        <v>2859</v>
      </c>
      <c r="E482" s="4" t="str">
        <f>HYPERLINK("./Results/DLO\1439\Osteo_Sarco_1.png","RPT")</f>
        <v>RPT</v>
      </c>
      <c r="F482" s="2" t="s">
        <v>72</v>
      </c>
      <c r="G482" s="6"/>
      <c r="I482"/>
      <c r="J482"/>
      <c r="K482"/>
    </row>
    <row r="483" spans="1:11" x14ac:dyDescent="0.3">
      <c r="A483" s="2" t="s">
        <v>2407</v>
      </c>
      <c r="B483" s="2" t="s">
        <v>147</v>
      </c>
      <c r="C483" s="2" t="s">
        <v>119</v>
      </c>
      <c r="D483" s="2" t="s">
        <v>2859</v>
      </c>
      <c r="E483" s="4" t="str">
        <f>HYPERLINK("./Results/DLO\144\Osteo_Sarco_1.png","RPT")</f>
        <v>RPT</v>
      </c>
      <c r="F483" s="2" t="s">
        <v>68</v>
      </c>
      <c r="G483" s="6"/>
      <c r="I483"/>
      <c r="J483"/>
      <c r="K483"/>
    </row>
    <row r="484" spans="1:11" x14ac:dyDescent="0.3">
      <c r="A484" s="2" t="s">
        <v>2394</v>
      </c>
      <c r="B484" s="2" t="s">
        <v>152</v>
      </c>
      <c r="C484" s="2" t="s">
        <v>119</v>
      </c>
      <c r="D484" s="2" t="s">
        <v>2859</v>
      </c>
      <c r="E484" s="4" t="str">
        <f>HYPERLINK("./Results/DLO\1440\Osteo_Sarco_1.png","RPT")</f>
        <v>RPT</v>
      </c>
      <c r="F484" s="2" t="s">
        <v>150</v>
      </c>
      <c r="G484" s="6"/>
      <c r="I484"/>
      <c r="J484"/>
      <c r="K484"/>
    </row>
    <row r="485" spans="1:11" x14ac:dyDescent="0.3">
      <c r="A485" s="2" t="s">
        <v>2398</v>
      </c>
      <c r="B485" s="2" t="s">
        <v>133</v>
      </c>
      <c r="C485" s="2" t="s">
        <v>111</v>
      </c>
      <c r="D485" s="2" t="s">
        <v>2859</v>
      </c>
      <c r="E485" s="4" t="str">
        <f>HYPERLINK("./Results/DLO\1441\Osteo_Sarco_1.png","RPT")</f>
        <v>RPT</v>
      </c>
      <c r="F485" s="2" t="s">
        <v>20</v>
      </c>
      <c r="G485" s="6"/>
      <c r="H485" s="1">
        <v>24.17</v>
      </c>
    </row>
    <row r="486" spans="1:11" x14ac:dyDescent="0.3">
      <c r="A486" s="2" t="s">
        <v>2389</v>
      </c>
      <c r="B486" s="2" t="s">
        <v>136</v>
      </c>
      <c r="C486" s="2" t="s">
        <v>119</v>
      </c>
      <c r="D486" s="2" t="s">
        <v>2859</v>
      </c>
      <c r="E486" s="4" t="str">
        <f>HYPERLINK("./Results/DLO\1442\Osteo_Sarco_1.png","RPT")</f>
        <v>RPT</v>
      </c>
      <c r="F486" s="2" t="s">
        <v>42</v>
      </c>
      <c r="G486" s="6"/>
      <c r="H486" s="1">
        <v>30.15</v>
      </c>
    </row>
    <row r="487" spans="1:11" x14ac:dyDescent="0.3">
      <c r="A487" s="2" t="s">
        <v>2390</v>
      </c>
      <c r="B487" s="2" t="s">
        <v>127</v>
      </c>
      <c r="C487" s="2" t="s">
        <v>119</v>
      </c>
      <c r="D487" s="2" t="s">
        <v>2859</v>
      </c>
      <c r="E487" s="4" t="str">
        <f>HYPERLINK("./Results/DLO\1443\Osteo_Sarco_1.png","RPT")</f>
        <v>RPT</v>
      </c>
      <c r="F487" s="2" t="s">
        <v>45</v>
      </c>
      <c r="G487" s="6"/>
      <c r="I487"/>
      <c r="J487"/>
      <c r="K487"/>
    </row>
    <row r="488" spans="1:11" x14ac:dyDescent="0.3">
      <c r="A488" s="2" t="s">
        <v>2391</v>
      </c>
      <c r="B488" s="2" t="s">
        <v>583</v>
      </c>
      <c r="C488" s="2" t="s">
        <v>111</v>
      </c>
      <c r="D488" s="2" t="s">
        <v>2859</v>
      </c>
      <c r="E488" s="4" t="str">
        <f>HYPERLINK("./Results/DLO\1444\Osteo_Sarco_1.png","RPT")</f>
        <v>RPT</v>
      </c>
      <c r="F488" s="2" t="s">
        <v>474</v>
      </c>
      <c r="G488" s="6"/>
      <c r="H488" s="1">
        <v>25.83</v>
      </c>
    </row>
    <row r="489" spans="1:11" x14ac:dyDescent="0.3">
      <c r="A489" s="2" t="s">
        <v>2396</v>
      </c>
      <c r="B489" s="2" t="s">
        <v>138</v>
      </c>
      <c r="C489" s="2" t="s">
        <v>111</v>
      </c>
      <c r="D489" s="2" t="s">
        <v>2867</v>
      </c>
      <c r="E489" s="4" t="str">
        <f>HYPERLINK("./Results/DLO\1445\Osteo_Sarco_1.png","RPT")</f>
        <v>RPT</v>
      </c>
      <c r="F489" s="2" t="s">
        <v>22</v>
      </c>
      <c r="G489" s="6"/>
      <c r="I489"/>
      <c r="J489"/>
      <c r="K489"/>
    </row>
    <row r="490" spans="1:11" x14ac:dyDescent="0.3">
      <c r="A490" s="2" t="s">
        <v>2392</v>
      </c>
      <c r="B490" s="2" t="s">
        <v>136</v>
      </c>
      <c r="C490" s="2" t="s">
        <v>111</v>
      </c>
      <c r="D490" s="2" t="s">
        <v>2859</v>
      </c>
      <c r="E490" s="4" t="str">
        <f>HYPERLINK("./Results/DLO\1446\Osteo_Sarco_1.png","RPT")</f>
        <v>RPT</v>
      </c>
      <c r="F490" s="2" t="s">
        <v>35</v>
      </c>
      <c r="G490" s="6"/>
      <c r="I490"/>
      <c r="J490"/>
      <c r="K490"/>
    </row>
    <row r="491" spans="1:11" x14ac:dyDescent="0.3">
      <c r="A491" s="2" t="s">
        <v>2402</v>
      </c>
      <c r="B491" s="2" t="s">
        <v>123</v>
      </c>
      <c r="C491" s="2" t="s">
        <v>111</v>
      </c>
      <c r="D491" s="2" t="s">
        <v>2867</v>
      </c>
      <c r="E491" s="4" t="str">
        <f>HYPERLINK("./Results/DLO\1447\Osteo_Sarco_1.png","RPT")</f>
        <v>RPT</v>
      </c>
      <c r="F491" s="2" t="s">
        <v>93</v>
      </c>
      <c r="G491" s="6"/>
      <c r="I491"/>
      <c r="J491"/>
      <c r="K491"/>
    </row>
    <row r="492" spans="1:11" x14ac:dyDescent="0.3">
      <c r="A492" s="2" t="s">
        <v>2397</v>
      </c>
      <c r="B492" s="2" t="s">
        <v>143</v>
      </c>
      <c r="C492" s="2" t="s">
        <v>111</v>
      </c>
      <c r="D492" s="2" t="s">
        <v>2859</v>
      </c>
      <c r="E492" s="4" t="str">
        <f>HYPERLINK("./Results/DLO\1448\Osteo_Sarco_1.png","RPT")</f>
        <v>RPT</v>
      </c>
      <c r="F492" s="2" t="s">
        <v>25</v>
      </c>
      <c r="G492" s="6"/>
      <c r="H492" s="1">
        <v>21.92</v>
      </c>
    </row>
    <row r="493" spans="1:11" x14ac:dyDescent="0.3">
      <c r="A493" s="2" t="s">
        <v>2409</v>
      </c>
      <c r="B493" s="2" t="s">
        <v>167</v>
      </c>
      <c r="C493" s="2" t="s">
        <v>111</v>
      </c>
      <c r="D493" s="2" t="s">
        <v>2859</v>
      </c>
      <c r="E493" s="4" t="str">
        <f>HYPERLINK("./Results/DLO\1449\Osteo_Sarco_1.png","RPT")</f>
        <v>RPT</v>
      </c>
      <c r="F493" s="2" t="s">
        <v>44</v>
      </c>
      <c r="G493" s="6"/>
      <c r="I493"/>
      <c r="J493"/>
      <c r="K493"/>
    </row>
    <row r="494" spans="1:11" x14ac:dyDescent="0.3">
      <c r="A494" s="2" t="s">
        <v>2408</v>
      </c>
      <c r="B494" s="2" t="s">
        <v>126</v>
      </c>
      <c r="C494" s="2" t="s">
        <v>119</v>
      </c>
      <c r="D494" s="2" t="s">
        <v>2867</v>
      </c>
      <c r="E494" s="4" t="str">
        <f>HYPERLINK("./Results/DLO\145\Osteo_Sarco_1.png","RPT")</f>
        <v>RPT</v>
      </c>
      <c r="F494" s="2" t="s">
        <v>585</v>
      </c>
      <c r="G494" s="6"/>
      <c r="I494"/>
      <c r="J494"/>
      <c r="K494"/>
    </row>
    <row r="495" spans="1:11" x14ac:dyDescent="0.3">
      <c r="A495" s="2" t="s">
        <v>2400</v>
      </c>
      <c r="B495" s="2" t="s">
        <v>146</v>
      </c>
      <c r="C495" s="2" t="s">
        <v>119</v>
      </c>
      <c r="D495" s="2" t="s">
        <v>2859</v>
      </c>
      <c r="E495" s="4" t="str">
        <f>HYPERLINK("./Results/DLO\1450\Osteo_Sarco_1.png","RPT")</f>
        <v>RPT</v>
      </c>
      <c r="F495" s="2" t="s">
        <v>43</v>
      </c>
      <c r="G495" s="6"/>
      <c r="I495"/>
      <c r="J495"/>
      <c r="K495"/>
    </row>
    <row r="496" spans="1:11" x14ac:dyDescent="0.3">
      <c r="A496" s="2" t="s">
        <v>2395</v>
      </c>
      <c r="B496" s="2" t="s">
        <v>133</v>
      </c>
      <c r="C496" s="2" t="s">
        <v>111</v>
      </c>
      <c r="D496" s="2" t="s">
        <v>2859</v>
      </c>
      <c r="E496" s="4" t="str">
        <f>HYPERLINK("./Results/DLO\1451\Osteo_Sarco_1.png","RPT")</f>
        <v>RPT</v>
      </c>
      <c r="F496" s="2" t="s">
        <v>22</v>
      </c>
      <c r="G496" s="6"/>
      <c r="I496"/>
      <c r="J496"/>
      <c r="K496"/>
    </row>
    <row r="497" spans="1:11" x14ac:dyDescent="0.3">
      <c r="A497" s="2" t="s">
        <v>2399</v>
      </c>
      <c r="B497" s="2" t="s">
        <v>133</v>
      </c>
      <c r="C497" s="2" t="s">
        <v>119</v>
      </c>
      <c r="D497" s="2" t="s">
        <v>2859</v>
      </c>
      <c r="E497" s="4" t="str">
        <f>HYPERLINK("./Results/DLO\1452\Osteo_Sarco_1.png","RPT")</f>
        <v>RPT</v>
      </c>
      <c r="F497" s="2" t="s">
        <v>585</v>
      </c>
      <c r="G497" s="6"/>
      <c r="I497"/>
      <c r="J497"/>
      <c r="K497"/>
    </row>
    <row r="498" spans="1:11" x14ac:dyDescent="0.3">
      <c r="A498" s="2" t="s">
        <v>2401</v>
      </c>
      <c r="B498" s="2" t="s">
        <v>133</v>
      </c>
      <c r="C498" s="2" t="s">
        <v>111</v>
      </c>
      <c r="D498" s="2" t="s">
        <v>2859</v>
      </c>
      <c r="E498" s="4" t="str">
        <f>HYPERLINK("./Results/DLO\1453\Osteo_Sarco_1.png","RPT")</f>
        <v>RPT</v>
      </c>
      <c r="F498" s="2" t="s">
        <v>44</v>
      </c>
      <c r="G498" s="6"/>
      <c r="H498" s="1">
        <v>19.43</v>
      </c>
    </row>
    <row r="499" spans="1:11" x14ac:dyDescent="0.3">
      <c r="A499" s="2" t="s">
        <v>2403</v>
      </c>
      <c r="B499" s="2" t="s">
        <v>114</v>
      </c>
      <c r="C499" s="2" t="s">
        <v>119</v>
      </c>
      <c r="D499" s="2" t="s">
        <v>2859</v>
      </c>
      <c r="E499" s="4" t="str">
        <f>HYPERLINK("./Results/DLO\1454\Osteo_Sarco_1.png","RPT")</f>
        <v>RPT</v>
      </c>
      <c r="F499" s="2" t="s">
        <v>88</v>
      </c>
      <c r="G499" s="6"/>
      <c r="I499"/>
      <c r="J499"/>
      <c r="K499"/>
    </row>
    <row r="500" spans="1:11" x14ac:dyDescent="0.3">
      <c r="A500" s="2" t="s">
        <v>2405</v>
      </c>
      <c r="B500" s="2" t="s">
        <v>170</v>
      </c>
      <c r="C500" s="2" t="s">
        <v>119</v>
      </c>
      <c r="D500" s="2" t="s">
        <v>2859</v>
      </c>
      <c r="E500" s="4" t="str">
        <f>HYPERLINK("./Results/DLO\1455\Osteo_Sarco_1.png","RPT")</f>
        <v>RPT</v>
      </c>
      <c r="F500" s="2" t="s">
        <v>28</v>
      </c>
      <c r="G500" s="6"/>
      <c r="I500"/>
      <c r="J500"/>
      <c r="K500"/>
    </row>
    <row r="501" spans="1:11" x14ac:dyDescent="0.3">
      <c r="A501" s="2" t="s">
        <v>2406</v>
      </c>
      <c r="B501" s="2" t="s">
        <v>131</v>
      </c>
      <c r="C501" s="2" t="s">
        <v>111</v>
      </c>
      <c r="D501" s="2" t="s">
        <v>2859</v>
      </c>
      <c r="E501" s="4" t="str">
        <f>HYPERLINK("./Results/DLO\1456\Osteo_Sarco_1.png","RPT")</f>
        <v>RPT</v>
      </c>
      <c r="F501" s="2" t="s">
        <v>445</v>
      </c>
      <c r="G501" s="6"/>
      <c r="I501"/>
      <c r="J501"/>
      <c r="K501"/>
    </row>
    <row r="502" spans="1:11" x14ac:dyDescent="0.3">
      <c r="A502" s="2" t="s">
        <v>2419</v>
      </c>
      <c r="B502" s="2" t="s">
        <v>150</v>
      </c>
      <c r="C502" s="2" t="s">
        <v>111</v>
      </c>
      <c r="D502" s="2" t="s">
        <v>2859</v>
      </c>
      <c r="E502" s="4" t="str">
        <f>HYPERLINK("./Results/DLO\1457\Osteo_Sarco_1.png","RPT")</f>
        <v>RPT</v>
      </c>
      <c r="F502" s="2" t="s">
        <v>69</v>
      </c>
      <c r="G502" s="6"/>
      <c r="H502" s="1">
        <v>18.25</v>
      </c>
    </row>
    <row r="503" spans="1:11" x14ac:dyDescent="0.3">
      <c r="A503" s="2" t="s">
        <v>2432</v>
      </c>
      <c r="B503" s="2" t="s">
        <v>161</v>
      </c>
      <c r="C503" s="2" t="s">
        <v>111</v>
      </c>
      <c r="D503" s="2" t="s">
        <v>2859</v>
      </c>
      <c r="E503" s="4" t="str">
        <f>HYPERLINK("./Results/DLO\1458\Osteo_Sarco_1.png","RPT")</f>
        <v>RPT</v>
      </c>
      <c r="F503" s="2" t="s">
        <v>468</v>
      </c>
      <c r="G503" s="6"/>
      <c r="I503"/>
      <c r="J503"/>
      <c r="K503"/>
    </row>
    <row r="504" spans="1:11" x14ac:dyDescent="0.3">
      <c r="A504" s="2" t="s">
        <v>2426</v>
      </c>
      <c r="B504" s="2" t="s">
        <v>151</v>
      </c>
      <c r="C504" s="2" t="s">
        <v>119</v>
      </c>
      <c r="D504" s="2" t="s">
        <v>2867</v>
      </c>
      <c r="E504" s="4" t="str">
        <f>HYPERLINK("./Results/DLO\1459\Osteo_Sarco_1.png","RPT")</f>
        <v>RPT</v>
      </c>
      <c r="F504" s="2" t="s">
        <v>56</v>
      </c>
      <c r="G504" s="6"/>
      <c r="I504"/>
      <c r="J504"/>
      <c r="K504"/>
    </row>
    <row r="505" spans="1:11" x14ac:dyDescent="0.3">
      <c r="A505" s="2" t="s">
        <v>2421</v>
      </c>
      <c r="B505" s="2" t="s">
        <v>135</v>
      </c>
      <c r="C505" s="2" t="s">
        <v>119</v>
      </c>
      <c r="D505" s="2" t="s">
        <v>2867</v>
      </c>
      <c r="E505" s="4" t="str">
        <f>HYPERLINK("./Results/DLO\146\Osteo_Sarco_1.png","RPT")</f>
        <v>RPT</v>
      </c>
      <c r="F505" s="2" t="s">
        <v>70</v>
      </c>
      <c r="G505" s="6"/>
      <c r="I505"/>
      <c r="J505"/>
      <c r="K505"/>
    </row>
    <row r="506" spans="1:11" x14ac:dyDescent="0.3">
      <c r="A506" s="2" t="s">
        <v>2416</v>
      </c>
      <c r="B506" s="2" t="s">
        <v>148</v>
      </c>
      <c r="C506" s="2" t="s">
        <v>111</v>
      </c>
      <c r="D506" s="2" t="s">
        <v>2859</v>
      </c>
      <c r="E506" s="4" t="str">
        <f>HYPERLINK("./Results/DLO\1460\Osteo_Sarco_1.png","RPT")</f>
        <v>RPT</v>
      </c>
      <c r="F506" s="2" t="s">
        <v>575</v>
      </c>
      <c r="G506" s="6"/>
      <c r="H506" s="1">
        <v>22.24</v>
      </c>
    </row>
    <row r="507" spans="1:11" x14ac:dyDescent="0.3">
      <c r="A507" s="2" t="s">
        <v>2429</v>
      </c>
      <c r="B507" s="2" t="s">
        <v>137</v>
      </c>
      <c r="C507" s="2" t="s">
        <v>111</v>
      </c>
      <c r="D507" s="2" t="s">
        <v>2859</v>
      </c>
      <c r="E507" s="4" t="str">
        <f>HYPERLINK("./Results/DLO\1461\Osteo_Sarco_1.png","RPT")</f>
        <v>RPT</v>
      </c>
      <c r="F507" s="2" t="s">
        <v>56</v>
      </c>
      <c r="G507" s="6"/>
      <c r="H507" s="1">
        <v>21.39</v>
      </c>
    </row>
    <row r="508" spans="1:11" x14ac:dyDescent="0.3">
      <c r="A508" s="2" t="s">
        <v>2411</v>
      </c>
      <c r="B508" s="2" t="s">
        <v>139</v>
      </c>
      <c r="C508" s="2" t="s">
        <v>111</v>
      </c>
      <c r="D508" s="2" t="s">
        <v>2867</v>
      </c>
      <c r="E508" s="4" t="str">
        <f>HYPERLINK("./Results/DLO\1462\Osteo_Sarco_1.png","RPT")</f>
        <v>RPT</v>
      </c>
      <c r="F508" s="2" t="s">
        <v>26</v>
      </c>
      <c r="G508" s="6"/>
      <c r="I508"/>
      <c r="J508"/>
      <c r="K508"/>
    </row>
    <row r="509" spans="1:11" x14ac:dyDescent="0.3">
      <c r="A509" s="2" t="s">
        <v>2428</v>
      </c>
      <c r="B509" s="2" t="s">
        <v>165</v>
      </c>
      <c r="C509" s="2" t="s">
        <v>111</v>
      </c>
      <c r="D509" s="2" t="s">
        <v>2867</v>
      </c>
      <c r="E509" s="4" t="str">
        <f>HYPERLINK("./Results/DLO\1463\Osteo_Sarco_1.png","RPT")</f>
        <v>RPT</v>
      </c>
      <c r="F509" s="2" t="s">
        <v>62</v>
      </c>
      <c r="G509" s="6"/>
      <c r="H509" s="1">
        <v>24.61</v>
      </c>
    </row>
    <row r="510" spans="1:11" x14ac:dyDescent="0.3">
      <c r="A510" s="2" t="s">
        <v>2424</v>
      </c>
      <c r="B510" s="2" t="s">
        <v>136</v>
      </c>
      <c r="C510" s="2" t="s">
        <v>111</v>
      </c>
      <c r="D510" s="2" t="s">
        <v>2859</v>
      </c>
      <c r="E510" s="4" t="str">
        <f>HYPERLINK("./Results/DLO\1464\Osteo_Sarco_1.png","RPT")</f>
        <v>RPT</v>
      </c>
      <c r="F510" s="2" t="s">
        <v>97</v>
      </c>
      <c r="G510" s="6"/>
      <c r="H510" s="1">
        <v>21.64</v>
      </c>
    </row>
    <row r="511" spans="1:11" x14ac:dyDescent="0.3">
      <c r="A511" s="2" t="s">
        <v>2430</v>
      </c>
      <c r="B511" s="2" t="s">
        <v>165</v>
      </c>
      <c r="C511" s="2" t="s">
        <v>111</v>
      </c>
      <c r="D511" s="2" t="s">
        <v>2867</v>
      </c>
      <c r="E511" s="4" t="str">
        <f>HYPERLINK("./Results/DLO\1465\Osteo_Sarco_1.png","RPT")</f>
        <v>RPT</v>
      </c>
      <c r="F511" s="2" t="s">
        <v>108</v>
      </c>
      <c r="G511" s="6"/>
      <c r="I511"/>
      <c r="J511"/>
      <c r="K511"/>
    </row>
    <row r="512" spans="1:11" x14ac:dyDescent="0.3">
      <c r="A512" s="2" t="s">
        <v>2431</v>
      </c>
      <c r="B512" s="2" t="s">
        <v>150</v>
      </c>
      <c r="C512" s="2" t="s">
        <v>111</v>
      </c>
      <c r="D512" s="2" t="s">
        <v>2859</v>
      </c>
      <c r="E512" s="4" t="str">
        <f>HYPERLINK("./Results/DLO\1466\Osteo_Sarco_1.png","RPT")</f>
        <v>RPT</v>
      </c>
      <c r="F512" s="2" t="s">
        <v>98</v>
      </c>
      <c r="G512" s="6"/>
      <c r="I512"/>
      <c r="J512"/>
      <c r="K512"/>
    </row>
    <row r="513" spans="1:11" x14ac:dyDescent="0.3">
      <c r="A513" s="2" t="s">
        <v>2422</v>
      </c>
      <c r="B513" s="2" t="s">
        <v>140</v>
      </c>
      <c r="C513" s="2" t="s">
        <v>119</v>
      </c>
      <c r="D513" s="2" t="s">
        <v>2859</v>
      </c>
      <c r="E513" s="4" t="str">
        <f>HYPERLINK("./Results/DLO\1467\Osteo_Sarco_1.png","RPT")</f>
        <v>RPT</v>
      </c>
      <c r="F513" s="2" t="s">
        <v>99</v>
      </c>
      <c r="G513" s="6"/>
      <c r="I513"/>
      <c r="J513"/>
      <c r="K513"/>
    </row>
    <row r="514" spans="1:11" x14ac:dyDescent="0.3">
      <c r="A514" s="2" t="s">
        <v>2410</v>
      </c>
      <c r="B514" s="2" t="s">
        <v>163</v>
      </c>
      <c r="C514" s="2" t="s">
        <v>119</v>
      </c>
      <c r="D514" s="2" t="s">
        <v>2867</v>
      </c>
      <c r="E514" s="4" t="str">
        <f>HYPERLINK("./Results/DLO\1468\Osteo_Sarco_1.png","RPT")</f>
        <v>RPT</v>
      </c>
      <c r="F514" s="2" t="s">
        <v>454</v>
      </c>
      <c r="G514" s="6"/>
      <c r="I514"/>
      <c r="J514"/>
      <c r="K514"/>
    </row>
    <row r="515" spans="1:11" x14ac:dyDescent="0.3">
      <c r="A515" s="2" t="s">
        <v>2415</v>
      </c>
      <c r="B515" s="2" t="s">
        <v>116</v>
      </c>
      <c r="C515" s="2" t="s">
        <v>111</v>
      </c>
      <c r="D515" s="2" t="s">
        <v>2867</v>
      </c>
      <c r="E515" s="4" t="str">
        <f>HYPERLINK("./Results/DLO\1469\Osteo_Sarco_1.png","RPT")</f>
        <v>RPT</v>
      </c>
      <c r="F515" s="2" t="s">
        <v>107</v>
      </c>
      <c r="G515" s="6"/>
      <c r="I515"/>
      <c r="J515"/>
      <c r="K515"/>
    </row>
    <row r="516" spans="1:11" x14ac:dyDescent="0.3">
      <c r="A516" s="2" t="s">
        <v>2423</v>
      </c>
      <c r="B516" s="2" t="s">
        <v>146</v>
      </c>
      <c r="C516" s="2" t="s">
        <v>119</v>
      </c>
      <c r="D516" s="2" t="s">
        <v>2859</v>
      </c>
      <c r="E516" s="4" t="str">
        <f>HYPERLINK("./Results/DLO\147\Osteo_Sarco_1.png","RPT")</f>
        <v>RPT</v>
      </c>
      <c r="F516" s="2" t="s">
        <v>585</v>
      </c>
      <c r="G516" s="6"/>
      <c r="I516"/>
      <c r="J516"/>
      <c r="K516"/>
    </row>
    <row r="517" spans="1:11" x14ac:dyDescent="0.3">
      <c r="A517" s="2" t="s">
        <v>2427</v>
      </c>
      <c r="B517" s="2" t="s">
        <v>125</v>
      </c>
      <c r="C517" s="2" t="s">
        <v>119</v>
      </c>
      <c r="D517" s="2" t="s">
        <v>2859</v>
      </c>
      <c r="E517" s="4" t="str">
        <f>HYPERLINK("./Results/DLO\1470\Osteo_Sarco_1.png","RPT")</f>
        <v>RPT</v>
      </c>
      <c r="F517" s="2" t="s">
        <v>135</v>
      </c>
      <c r="G517" s="6"/>
      <c r="H517" s="1">
        <v>20.73</v>
      </c>
    </row>
    <row r="518" spans="1:11" x14ac:dyDescent="0.3">
      <c r="A518" s="2" t="s">
        <v>2412</v>
      </c>
      <c r="B518" s="2" t="s">
        <v>120</v>
      </c>
      <c r="C518" s="2" t="s">
        <v>111</v>
      </c>
      <c r="D518" s="2" t="s">
        <v>2867</v>
      </c>
      <c r="E518" s="4" t="str">
        <f>HYPERLINK("./Results/DLO\1471\Osteo_Sarco_1.png","RPT")</f>
        <v>RPT</v>
      </c>
      <c r="F518" s="2" t="s">
        <v>68</v>
      </c>
      <c r="G518" s="6"/>
      <c r="H518" s="1">
        <v>20.96</v>
      </c>
    </row>
    <row r="519" spans="1:11" x14ac:dyDescent="0.3">
      <c r="A519" s="2" t="s">
        <v>2420</v>
      </c>
      <c r="B519" s="2" t="s">
        <v>589</v>
      </c>
      <c r="C519" s="2" t="s">
        <v>119</v>
      </c>
      <c r="D519" s="2" t="s">
        <v>2867</v>
      </c>
      <c r="E519" s="4" t="str">
        <f>HYPERLINK("./Results/DLO\1472\Osteo_Sarco_1.png","RPT")</f>
        <v>RPT</v>
      </c>
      <c r="F519" s="2" t="s">
        <v>96</v>
      </c>
      <c r="G519" s="6"/>
      <c r="I519"/>
      <c r="J519"/>
      <c r="K519"/>
    </row>
    <row r="520" spans="1:11" x14ac:dyDescent="0.3">
      <c r="A520" s="2" t="s">
        <v>2425</v>
      </c>
      <c r="B520" s="2" t="s">
        <v>140</v>
      </c>
      <c r="C520" s="2" t="s">
        <v>111</v>
      </c>
      <c r="D520" s="2" t="s">
        <v>2867</v>
      </c>
      <c r="E520" s="4" t="str">
        <f>HYPERLINK("./Results/DLO\1473\Osteo_Sarco_1.png","RPT")</f>
        <v>RPT</v>
      </c>
      <c r="F520" s="2" t="s">
        <v>44</v>
      </c>
      <c r="G520" s="6"/>
      <c r="H520" s="1">
        <v>21.32</v>
      </c>
    </row>
    <row r="521" spans="1:11" x14ac:dyDescent="0.3">
      <c r="A521" s="2" t="s">
        <v>2418</v>
      </c>
      <c r="B521" s="2" t="s">
        <v>123</v>
      </c>
      <c r="C521" s="2" t="s">
        <v>111</v>
      </c>
      <c r="D521" s="2" t="s">
        <v>2859</v>
      </c>
      <c r="E521" s="4" t="str">
        <f>HYPERLINK("./Results/DLO\1474\Osteo_Sarco_1.png","RPT")</f>
        <v>RPT</v>
      </c>
      <c r="F521" s="2" t="s">
        <v>94</v>
      </c>
      <c r="G521" s="6"/>
      <c r="I521"/>
      <c r="J521"/>
      <c r="K521"/>
    </row>
    <row r="522" spans="1:11" x14ac:dyDescent="0.3">
      <c r="A522" s="2" t="s">
        <v>2413</v>
      </c>
      <c r="B522" s="2" t="s">
        <v>161</v>
      </c>
      <c r="C522" s="2" t="s">
        <v>111</v>
      </c>
      <c r="D522" s="2" t="s">
        <v>2859</v>
      </c>
      <c r="E522" s="4" t="str">
        <f>HYPERLINK("./Results/DLO\1475\Osteo_Sarco_1.png","RPT")</f>
        <v>RPT</v>
      </c>
      <c r="F522" s="2" t="s">
        <v>103</v>
      </c>
      <c r="G522" s="6"/>
      <c r="I522"/>
      <c r="J522"/>
      <c r="K522"/>
    </row>
    <row r="523" spans="1:11" x14ac:dyDescent="0.3">
      <c r="A523" s="2" t="s">
        <v>2414</v>
      </c>
      <c r="B523" s="2" t="s">
        <v>133</v>
      </c>
      <c r="C523" s="2" t="s">
        <v>111</v>
      </c>
      <c r="D523" s="2" t="s">
        <v>2867</v>
      </c>
      <c r="E523" s="4" t="str">
        <f>HYPERLINK("./Results/DLO\1476\Osteo_Sarco_1.png","RPT")</f>
        <v>RPT</v>
      </c>
      <c r="F523" s="2" t="s">
        <v>575</v>
      </c>
      <c r="G523" s="6"/>
      <c r="I523"/>
      <c r="J523"/>
      <c r="K523"/>
    </row>
    <row r="524" spans="1:11" x14ac:dyDescent="0.3">
      <c r="A524" s="2" t="s">
        <v>2417</v>
      </c>
      <c r="B524" s="2" t="s">
        <v>123</v>
      </c>
      <c r="C524" s="2" t="s">
        <v>111</v>
      </c>
      <c r="D524" s="2" t="s">
        <v>2867</v>
      </c>
      <c r="E524" s="4" t="str">
        <f>HYPERLINK("./Results/DLO\1477\Osteo_Sarco_1.png","RPT")</f>
        <v>RPT</v>
      </c>
      <c r="F524" s="2" t="s">
        <v>103</v>
      </c>
      <c r="G524" s="6"/>
      <c r="I524"/>
      <c r="J524"/>
      <c r="K524"/>
    </row>
    <row r="525" spans="1:11" x14ac:dyDescent="0.3">
      <c r="A525" s="2" t="s">
        <v>2451</v>
      </c>
      <c r="B525" s="2" t="s">
        <v>148</v>
      </c>
      <c r="C525" s="2" t="s">
        <v>119</v>
      </c>
      <c r="D525" s="2" t="s">
        <v>2867</v>
      </c>
      <c r="E525" s="4" t="str">
        <f>HYPERLINK("./Results/DLO\1478\Osteo_Sarco_1.png","RPT")</f>
        <v>RPT</v>
      </c>
      <c r="F525" s="2" t="s">
        <v>44</v>
      </c>
      <c r="G525" s="6"/>
      <c r="I525"/>
      <c r="J525"/>
      <c r="K525"/>
    </row>
    <row r="526" spans="1:11" x14ac:dyDescent="0.3">
      <c r="A526" s="2" t="s">
        <v>2437</v>
      </c>
      <c r="B526" s="2" t="s">
        <v>123</v>
      </c>
      <c r="C526" s="2" t="s">
        <v>119</v>
      </c>
      <c r="D526" s="2" t="s">
        <v>2859</v>
      </c>
      <c r="E526" s="4" t="str">
        <f>HYPERLINK("./Results/DLO\1479\Osteo_Sarco_1.png","RPT")</f>
        <v>RPT</v>
      </c>
      <c r="F526" s="2" t="s">
        <v>35</v>
      </c>
      <c r="G526" s="6"/>
      <c r="I526"/>
      <c r="J526"/>
      <c r="K526"/>
    </row>
    <row r="527" spans="1:11" x14ac:dyDescent="0.3">
      <c r="A527" s="2" t="s">
        <v>2435</v>
      </c>
      <c r="B527" s="2" t="s">
        <v>127</v>
      </c>
      <c r="C527" s="2" t="s">
        <v>119</v>
      </c>
      <c r="D527" s="2" t="s">
        <v>2859</v>
      </c>
      <c r="E527" s="4" t="str">
        <f>HYPERLINK("./Results/DLO\148\Osteo_Sarco_1.png","RPT")</f>
        <v>RPT</v>
      </c>
      <c r="F527" s="2" t="s">
        <v>60</v>
      </c>
      <c r="G527" s="6"/>
      <c r="H527" s="1">
        <v>20.8</v>
      </c>
    </row>
    <row r="528" spans="1:11" x14ac:dyDescent="0.3">
      <c r="A528" s="2" t="s">
        <v>2443</v>
      </c>
      <c r="B528" s="2" t="s">
        <v>167</v>
      </c>
      <c r="C528" s="2" t="s">
        <v>119</v>
      </c>
      <c r="D528" s="2" t="s">
        <v>2859</v>
      </c>
      <c r="E528" s="4" t="str">
        <f>HYPERLINK("./Results/DLO\1480\Osteo_Sarco_1.png","RPT")</f>
        <v>RPT</v>
      </c>
      <c r="F528" s="2" t="s">
        <v>588</v>
      </c>
      <c r="G528" s="6"/>
      <c r="I528"/>
      <c r="J528"/>
      <c r="K528"/>
    </row>
    <row r="529" spans="1:11" x14ac:dyDescent="0.3">
      <c r="A529" s="2" t="s">
        <v>2455</v>
      </c>
      <c r="B529" s="2" t="s">
        <v>118</v>
      </c>
      <c r="C529" s="2" t="s">
        <v>119</v>
      </c>
      <c r="D529" s="2" t="s">
        <v>2859</v>
      </c>
      <c r="E529" s="4" t="str">
        <f>HYPERLINK("./Results/DLO\1481\Osteo_Sarco_1.png","RPT")</f>
        <v>RPT</v>
      </c>
      <c r="F529" s="2" t="s">
        <v>88</v>
      </c>
      <c r="G529" s="6"/>
      <c r="I529"/>
      <c r="J529"/>
      <c r="K529"/>
    </row>
    <row r="530" spans="1:11" x14ac:dyDescent="0.3">
      <c r="A530" s="2" t="s">
        <v>2447</v>
      </c>
      <c r="B530" s="2" t="s">
        <v>123</v>
      </c>
      <c r="C530" s="2" t="s">
        <v>119</v>
      </c>
      <c r="D530" s="2" t="s">
        <v>2859</v>
      </c>
      <c r="E530" s="4" t="str">
        <f>HYPERLINK("./Results/DLO\1482\Osteo_Sarco_1.png","RPT")</f>
        <v>RPT</v>
      </c>
      <c r="F530" s="2" t="s">
        <v>34</v>
      </c>
      <c r="G530" s="6"/>
      <c r="I530"/>
      <c r="J530"/>
      <c r="K530"/>
    </row>
    <row r="531" spans="1:11" x14ac:dyDescent="0.3">
      <c r="A531" s="2" t="s">
        <v>2449</v>
      </c>
      <c r="B531" s="2" t="s">
        <v>113</v>
      </c>
      <c r="C531" s="2" t="s">
        <v>119</v>
      </c>
      <c r="D531" s="2" t="s">
        <v>2867</v>
      </c>
      <c r="E531" s="4" t="str">
        <f>HYPERLINK("./Results/DLO\1483\Osteo_Sarco_1.png","RPT")</f>
        <v>RPT</v>
      </c>
      <c r="F531" s="2" t="s">
        <v>77</v>
      </c>
      <c r="G531" s="6"/>
      <c r="H531" s="1">
        <v>22.82</v>
      </c>
    </row>
    <row r="532" spans="1:11" x14ac:dyDescent="0.3">
      <c r="A532" s="2" t="s">
        <v>2444</v>
      </c>
      <c r="B532" s="2" t="s">
        <v>143</v>
      </c>
      <c r="C532" s="2" t="s">
        <v>119</v>
      </c>
      <c r="D532" s="2" t="s">
        <v>2859</v>
      </c>
      <c r="E532" s="4" t="str">
        <f>HYPERLINK("./Results/DLO\1484\Osteo_Sarco_1.png","RPT")</f>
        <v>RPT</v>
      </c>
      <c r="F532" s="2" t="s">
        <v>54</v>
      </c>
      <c r="G532" s="6"/>
      <c r="I532"/>
      <c r="J532"/>
      <c r="K532"/>
    </row>
    <row r="533" spans="1:11" x14ac:dyDescent="0.3">
      <c r="A533" s="2" t="s">
        <v>2458</v>
      </c>
      <c r="B533" s="2" t="s">
        <v>165</v>
      </c>
      <c r="C533" s="2" t="s">
        <v>111</v>
      </c>
      <c r="D533" s="2" t="s">
        <v>2859</v>
      </c>
      <c r="E533" s="4" t="str">
        <f>HYPERLINK("./Results/DLO\1485\Osteo_Sarco_1.png","RPT")</f>
        <v>RPT</v>
      </c>
      <c r="F533" s="2" t="s">
        <v>78</v>
      </c>
      <c r="G533" s="6"/>
      <c r="H533" s="1">
        <v>24.39</v>
      </c>
    </row>
    <row r="534" spans="1:11" x14ac:dyDescent="0.3">
      <c r="A534" s="2" t="s">
        <v>2436</v>
      </c>
      <c r="B534" s="2" t="s">
        <v>131</v>
      </c>
      <c r="C534" s="2" t="s">
        <v>119</v>
      </c>
      <c r="D534" s="2" t="s">
        <v>2859</v>
      </c>
      <c r="E534" s="4" t="str">
        <f>HYPERLINK("./Results/DLO\1486\Osteo_Sarco_1.png","RPT")</f>
        <v>RPT</v>
      </c>
      <c r="F534" s="2" t="s">
        <v>50</v>
      </c>
      <c r="G534" s="6"/>
      <c r="I534"/>
      <c r="J534"/>
      <c r="K534"/>
    </row>
    <row r="535" spans="1:11" x14ac:dyDescent="0.3">
      <c r="A535" s="2" t="s">
        <v>2448</v>
      </c>
      <c r="B535" s="2" t="s">
        <v>138</v>
      </c>
      <c r="C535" s="2" t="s">
        <v>119</v>
      </c>
      <c r="D535" s="2" t="s">
        <v>2859</v>
      </c>
      <c r="E535" s="4" t="str">
        <f>HYPERLINK("./Results/DLO\1487\Osteo_Sarco_1.png","RPT")</f>
        <v>RPT</v>
      </c>
      <c r="F535" s="2" t="s">
        <v>575</v>
      </c>
      <c r="G535" s="6"/>
      <c r="I535"/>
      <c r="J535"/>
      <c r="K535"/>
    </row>
    <row r="536" spans="1:11" x14ac:dyDescent="0.3">
      <c r="A536" s="2" t="s">
        <v>2456</v>
      </c>
      <c r="B536" s="2" t="s">
        <v>133</v>
      </c>
      <c r="C536" s="2" t="s">
        <v>111</v>
      </c>
      <c r="D536" s="2" t="s">
        <v>2859</v>
      </c>
      <c r="E536" s="4" t="str">
        <f>HYPERLINK("./Results/DLO\1488\Osteo_Sarco_1.png","RPT")</f>
        <v>RPT</v>
      </c>
      <c r="F536" s="2" t="s">
        <v>76</v>
      </c>
      <c r="G536" s="6"/>
      <c r="H536" s="1">
        <v>25.76</v>
      </c>
    </row>
    <row r="537" spans="1:11" x14ac:dyDescent="0.3">
      <c r="A537" s="2" t="s">
        <v>2452</v>
      </c>
      <c r="B537" s="2" t="s">
        <v>127</v>
      </c>
      <c r="C537" s="2" t="s">
        <v>119</v>
      </c>
      <c r="D537" s="2" t="s">
        <v>2867</v>
      </c>
      <c r="E537" s="4" t="str">
        <f>HYPERLINK("./Results/DLO\1489\Osteo_Sarco_1.png","RPT")</f>
        <v>RPT</v>
      </c>
      <c r="F537" s="2" t="s">
        <v>96</v>
      </c>
      <c r="G537" s="6"/>
      <c r="H537" s="1">
        <v>22.48</v>
      </c>
    </row>
    <row r="538" spans="1:11" x14ac:dyDescent="0.3">
      <c r="A538" s="2" t="s">
        <v>2445</v>
      </c>
      <c r="B538" s="2" t="s">
        <v>135</v>
      </c>
      <c r="C538" s="2" t="s">
        <v>119</v>
      </c>
      <c r="D538" s="2" t="s">
        <v>2867</v>
      </c>
      <c r="E538" s="4" t="str">
        <f>HYPERLINK("./Results/DLO\149\Osteo_Sarco_1.png","RPT")</f>
        <v>RPT</v>
      </c>
      <c r="F538" s="2" t="s">
        <v>45</v>
      </c>
      <c r="G538" s="6"/>
      <c r="I538"/>
      <c r="J538"/>
      <c r="K538"/>
    </row>
    <row r="539" spans="1:11" x14ac:dyDescent="0.3">
      <c r="A539" s="2" t="s">
        <v>2438</v>
      </c>
      <c r="B539" s="2" t="s">
        <v>123</v>
      </c>
      <c r="C539" s="2" t="s">
        <v>111</v>
      </c>
      <c r="D539" s="2" t="s">
        <v>2867</v>
      </c>
      <c r="E539" s="4" t="str">
        <f>HYPERLINK("./Results/DLO\1490\Osteo_Sarco_1.png","RPT")</f>
        <v>RPT</v>
      </c>
      <c r="F539" s="2" t="s">
        <v>80</v>
      </c>
      <c r="G539" s="6"/>
      <c r="H539" s="1">
        <v>24.32</v>
      </c>
    </row>
    <row r="540" spans="1:11" x14ac:dyDescent="0.3">
      <c r="A540" s="2" t="s">
        <v>2446</v>
      </c>
      <c r="B540" s="2" t="s">
        <v>165</v>
      </c>
      <c r="C540" s="2" t="s">
        <v>111</v>
      </c>
      <c r="D540" s="2" t="s">
        <v>2859</v>
      </c>
      <c r="E540" s="4" t="str">
        <f>HYPERLINK("./Results/DLO\1491\Osteo_Sarco_1.png","RPT")</f>
        <v>RPT</v>
      </c>
      <c r="F540" s="2" t="s">
        <v>445</v>
      </c>
      <c r="G540" s="6"/>
      <c r="H540" s="1">
        <v>20.53</v>
      </c>
    </row>
    <row r="541" spans="1:11" x14ac:dyDescent="0.3">
      <c r="A541" s="2" t="s">
        <v>2457</v>
      </c>
      <c r="B541" s="2" t="s">
        <v>138</v>
      </c>
      <c r="C541" s="2" t="s">
        <v>119</v>
      </c>
      <c r="D541" s="2" t="s">
        <v>2859</v>
      </c>
      <c r="E541" s="4" t="str">
        <f>HYPERLINK("./Results/DLO\1492\Osteo_Sarco_1.png","RPT")</f>
        <v>RPT</v>
      </c>
      <c r="F541" s="2" t="s">
        <v>74</v>
      </c>
      <c r="G541" s="6"/>
      <c r="H541" s="1">
        <v>16.78</v>
      </c>
    </row>
    <row r="542" spans="1:11" x14ac:dyDescent="0.3">
      <c r="A542" s="2" t="s">
        <v>2439</v>
      </c>
      <c r="B542" s="2" t="s">
        <v>149</v>
      </c>
      <c r="C542" s="2" t="s">
        <v>119</v>
      </c>
      <c r="D542" s="2" t="s">
        <v>2859</v>
      </c>
      <c r="E542" s="4" t="str">
        <f>HYPERLINK("./Results/DLO\1493\Osteo_Sarco_1.png","RPT")</f>
        <v>RPT</v>
      </c>
      <c r="F542" s="2" t="s">
        <v>588</v>
      </c>
      <c r="G542" s="6"/>
      <c r="I542"/>
      <c r="J542"/>
      <c r="K542"/>
    </row>
    <row r="543" spans="1:11" x14ac:dyDescent="0.3">
      <c r="A543" s="2" t="s">
        <v>2434</v>
      </c>
      <c r="B543" s="2" t="s">
        <v>166</v>
      </c>
      <c r="C543" s="2" t="s">
        <v>119</v>
      </c>
      <c r="D543" s="2" t="s">
        <v>2867</v>
      </c>
      <c r="E543" s="4" t="str">
        <f>HYPERLINK("./Results/DLO\1494\Osteo_Sarco_1.png","RPT")</f>
        <v>RPT</v>
      </c>
      <c r="F543" s="2" t="s">
        <v>128</v>
      </c>
      <c r="G543" s="6"/>
      <c r="I543"/>
      <c r="J543"/>
      <c r="K543"/>
    </row>
    <row r="544" spans="1:11" x14ac:dyDescent="0.3">
      <c r="A544" s="2" t="s">
        <v>2450</v>
      </c>
      <c r="B544" s="2" t="s">
        <v>591</v>
      </c>
      <c r="C544" s="2" t="s">
        <v>119</v>
      </c>
      <c r="D544" s="2" t="s">
        <v>2859</v>
      </c>
      <c r="E544" s="4" t="str">
        <f>HYPERLINK("./Results/DLO\1495\Osteo_Sarco_1.png","RPT")</f>
        <v>RPT</v>
      </c>
      <c r="F544" s="2" t="s">
        <v>72</v>
      </c>
      <c r="G544" s="6"/>
      <c r="I544"/>
      <c r="J544"/>
      <c r="K544"/>
    </row>
    <row r="545" spans="1:11" x14ac:dyDescent="0.3">
      <c r="A545" s="2" t="s">
        <v>2440</v>
      </c>
      <c r="B545" s="2" t="s">
        <v>168</v>
      </c>
      <c r="C545" s="2" t="s">
        <v>119</v>
      </c>
      <c r="D545" s="2" t="s">
        <v>2867</v>
      </c>
      <c r="E545" s="4" t="str">
        <f>HYPERLINK("./Results/DLO\1496\Osteo_Sarco_1.png","RPT")</f>
        <v>RPT</v>
      </c>
      <c r="F545" s="2" t="s">
        <v>79</v>
      </c>
      <c r="G545" s="6"/>
      <c r="I545"/>
      <c r="J545"/>
      <c r="K545"/>
    </row>
    <row r="546" spans="1:11" x14ac:dyDescent="0.3">
      <c r="A546" s="2" t="s">
        <v>2453</v>
      </c>
      <c r="B546" s="2" t="s">
        <v>159</v>
      </c>
      <c r="C546" s="2" t="s">
        <v>119</v>
      </c>
      <c r="D546" s="2" t="s">
        <v>2859</v>
      </c>
      <c r="E546" s="4" t="str">
        <f>HYPERLINK("./Results/DLO\1497\Osteo_Sarco_1.png","RPT")</f>
        <v>RPT</v>
      </c>
      <c r="F546" s="2" t="s">
        <v>45</v>
      </c>
      <c r="G546" s="6"/>
      <c r="I546"/>
      <c r="J546"/>
      <c r="K546"/>
    </row>
    <row r="547" spans="1:11" x14ac:dyDescent="0.3">
      <c r="A547" s="2" t="s">
        <v>2454</v>
      </c>
      <c r="B547" s="2" t="s">
        <v>159</v>
      </c>
      <c r="C547" s="2" t="s">
        <v>119</v>
      </c>
      <c r="D547" s="2" t="s">
        <v>2859</v>
      </c>
      <c r="E547" s="4" t="str">
        <f>HYPERLINK("./Results/DLO\1498\Osteo_Sarco_1.png","RPT")</f>
        <v>RPT</v>
      </c>
      <c r="F547" s="2" t="s">
        <v>98</v>
      </c>
      <c r="G547" s="6"/>
      <c r="I547"/>
      <c r="J547"/>
      <c r="K547"/>
    </row>
    <row r="548" spans="1:11" x14ac:dyDescent="0.3">
      <c r="A548" s="2" t="s">
        <v>2433</v>
      </c>
      <c r="B548" s="2" t="s">
        <v>167</v>
      </c>
      <c r="C548" s="2" t="s">
        <v>111</v>
      </c>
      <c r="D548" s="2" t="s">
        <v>2867</v>
      </c>
      <c r="E548" s="4" t="str">
        <f>HYPERLINK("./Results/DLO\1499\Osteo_Sarco_1.png","RPT")</f>
        <v>RPT</v>
      </c>
      <c r="F548" s="2" t="s">
        <v>78</v>
      </c>
      <c r="G548" s="6"/>
      <c r="I548"/>
      <c r="J548"/>
      <c r="K548"/>
    </row>
    <row r="549" spans="1:11" x14ac:dyDescent="0.3">
      <c r="A549" s="2" t="s">
        <v>2441</v>
      </c>
      <c r="B549" s="2" t="s">
        <v>139</v>
      </c>
      <c r="C549" s="2" t="s">
        <v>111</v>
      </c>
      <c r="D549" s="2" t="s">
        <v>2867</v>
      </c>
      <c r="E549" s="4" t="str">
        <f>HYPERLINK("./Results/DLO\15\Osteo_Sarco_1.png","RPT")</f>
        <v>RPT</v>
      </c>
      <c r="F549" s="2" t="s">
        <v>465</v>
      </c>
      <c r="G549" s="6"/>
      <c r="I549"/>
      <c r="J549"/>
      <c r="K549"/>
    </row>
    <row r="550" spans="1:11" x14ac:dyDescent="0.3">
      <c r="A550" s="2" t="s">
        <v>2442</v>
      </c>
      <c r="B550" s="2" t="s">
        <v>123</v>
      </c>
      <c r="C550" s="2" t="s">
        <v>111</v>
      </c>
      <c r="D550" s="2" t="s">
        <v>2859</v>
      </c>
      <c r="E550" s="4" t="str">
        <f>HYPERLINK("./Results/DLO\150\Osteo_Sarco_1.png","RPT")</f>
        <v>RPT</v>
      </c>
      <c r="F550" s="2" t="s">
        <v>96</v>
      </c>
      <c r="G550" s="6"/>
      <c r="I550"/>
      <c r="J550"/>
      <c r="K550"/>
    </row>
    <row r="551" spans="1:11" x14ac:dyDescent="0.3">
      <c r="A551" s="2" t="s">
        <v>2465</v>
      </c>
      <c r="B551" s="2" t="s">
        <v>127</v>
      </c>
      <c r="C551" s="2" t="s">
        <v>119</v>
      </c>
      <c r="D551" s="2" t="s">
        <v>2859</v>
      </c>
      <c r="E551" s="4" t="str">
        <f>HYPERLINK("./Results/DLO\1500\Osteo_Sarco_1.png","RPT")</f>
        <v>RPT</v>
      </c>
      <c r="F551" s="2" t="s">
        <v>21</v>
      </c>
      <c r="G551" s="6"/>
      <c r="I551"/>
      <c r="J551"/>
      <c r="K551"/>
    </row>
    <row r="552" spans="1:11" x14ac:dyDescent="0.3">
      <c r="A552" s="2" t="s">
        <v>2464</v>
      </c>
      <c r="B552" s="2" t="s">
        <v>138</v>
      </c>
      <c r="C552" s="2" t="s">
        <v>119</v>
      </c>
      <c r="D552" s="2" t="s">
        <v>2859</v>
      </c>
      <c r="E552" s="4" t="str">
        <f>HYPERLINK("./Results/DLO\1501\Osteo_Sarco_1.png","RPT")</f>
        <v>RPT</v>
      </c>
      <c r="F552" s="2" t="s">
        <v>87</v>
      </c>
      <c r="G552" s="6"/>
      <c r="H552" s="1">
        <v>25.79</v>
      </c>
    </row>
    <row r="553" spans="1:11" x14ac:dyDescent="0.3">
      <c r="A553" s="2" t="s">
        <v>2461</v>
      </c>
      <c r="B553" s="2" t="s">
        <v>152</v>
      </c>
      <c r="C553" s="2" t="s">
        <v>119</v>
      </c>
      <c r="D553" s="2" t="s">
        <v>2859</v>
      </c>
      <c r="E553" s="4" t="str">
        <f>HYPERLINK("./Results/DLO\1502\Osteo_Sarco_1.png","RPT")</f>
        <v>RPT</v>
      </c>
      <c r="F553" s="2" t="s">
        <v>72</v>
      </c>
      <c r="G553" s="6"/>
      <c r="I553"/>
      <c r="J553"/>
      <c r="K553"/>
    </row>
    <row r="554" spans="1:11" x14ac:dyDescent="0.3">
      <c r="A554" s="2" t="s">
        <v>2477</v>
      </c>
      <c r="B554" s="2" t="s">
        <v>148</v>
      </c>
      <c r="C554" s="2" t="s">
        <v>111</v>
      </c>
      <c r="D554" s="2" t="s">
        <v>2859</v>
      </c>
      <c r="E554" s="4" t="str">
        <f>HYPERLINK("./Results/DLO\1503\Osteo_Sarco_1.png","RPT")</f>
        <v>RPT</v>
      </c>
      <c r="F554" s="2" t="s">
        <v>466</v>
      </c>
      <c r="G554" s="6"/>
      <c r="I554"/>
      <c r="J554"/>
      <c r="K554"/>
    </row>
    <row r="555" spans="1:11" x14ac:dyDescent="0.3">
      <c r="A555" s="2" t="s">
        <v>2469</v>
      </c>
      <c r="B555" s="2" t="s">
        <v>114</v>
      </c>
      <c r="C555" s="2" t="s">
        <v>119</v>
      </c>
      <c r="D555" s="2" t="s">
        <v>2859</v>
      </c>
      <c r="E555" s="4" t="str">
        <f>HYPERLINK("./Results/DLO\1504\Osteo_Sarco_1.png","RPT")</f>
        <v>RPT</v>
      </c>
      <c r="F555" s="2" t="s">
        <v>456</v>
      </c>
      <c r="G555" s="6"/>
      <c r="I555"/>
      <c r="J555"/>
      <c r="K555"/>
    </row>
    <row r="556" spans="1:11" x14ac:dyDescent="0.3">
      <c r="A556" s="2" t="s">
        <v>2476</v>
      </c>
      <c r="B556" s="2" t="s">
        <v>118</v>
      </c>
      <c r="C556" s="2" t="s">
        <v>111</v>
      </c>
      <c r="D556" s="2" t="s">
        <v>2867</v>
      </c>
      <c r="E556" s="4" t="str">
        <f>HYPERLINK("./Results/DLO\1505\Osteo_Sarco_1.png","RPT")</f>
        <v>RPT</v>
      </c>
      <c r="F556" s="2" t="s">
        <v>32</v>
      </c>
      <c r="G556" s="6"/>
      <c r="I556"/>
      <c r="J556"/>
      <c r="K556"/>
    </row>
    <row r="557" spans="1:11" x14ac:dyDescent="0.3">
      <c r="A557" s="2" t="s">
        <v>2462</v>
      </c>
      <c r="B557" s="2" t="s">
        <v>166</v>
      </c>
      <c r="C557" s="2" t="s">
        <v>119</v>
      </c>
      <c r="D557" s="2" t="s">
        <v>2859</v>
      </c>
      <c r="E557" s="4" t="str">
        <f>HYPERLINK("./Results/DLO\1506\Osteo_Sarco_1.png","RPT")</f>
        <v>RPT</v>
      </c>
      <c r="F557" s="2" t="s">
        <v>34</v>
      </c>
      <c r="G557" s="6"/>
      <c r="I557"/>
      <c r="J557"/>
      <c r="K557"/>
    </row>
    <row r="558" spans="1:11" x14ac:dyDescent="0.3">
      <c r="A558" s="2" t="s">
        <v>2466</v>
      </c>
      <c r="B558" s="2" t="s">
        <v>167</v>
      </c>
      <c r="C558" s="2" t="s">
        <v>111</v>
      </c>
      <c r="D558" s="2" t="s">
        <v>2867</v>
      </c>
      <c r="E558" s="4" t="str">
        <f>HYPERLINK("./Results/DLO\1507\Osteo_Sarco_1.png","RPT")</f>
        <v>RPT</v>
      </c>
      <c r="F558" s="2" t="s">
        <v>97</v>
      </c>
      <c r="G558" s="6"/>
      <c r="H558" s="1">
        <v>17.96</v>
      </c>
    </row>
    <row r="559" spans="1:11" x14ac:dyDescent="0.3">
      <c r="A559" s="2" t="s">
        <v>2472</v>
      </c>
      <c r="B559" s="2" t="s">
        <v>144</v>
      </c>
      <c r="C559" s="2" t="s">
        <v>119</v>
      </c>
      <c r="D559" s="2" t="s">
        <v>2859</v>
      </c>
      <c r="E559" s="4" t="str">
        <f>HYPERLINK("./Results/DLO\1508\Osteo_Sarco_1.png","RPT")</f>
        <v>RPT</v>
      </c>
      <c r="F559" s="2" t="s">
        <v>81</v>
      </c>
      <c r="G559" s="6"/>
      <c r="I559"/>
      <c r="J559"/>
      <c r="K559"/>
    </row>
    <row r="560" spans="1:11" x14ac:dyDescent="0.3">
      <c r="A560" s="2" t="s">
        <v>2468</v>
      </c>
      <c r="B560" s="2" t="s">
        <v>118</v>
      </c>
      <c r="C560" s="2" t="s">
        <v>111</v>
      </c>
      <c r="D560" s="2" t="s">
        <v>2859</v>
      </c>
      <c r="E560" s="4" t="str">
        <f>HYPERLINK("./Results/DLO\1509\Osteo_Sarco_1.png","RPT")</f>
        <v>RPT</v>
      </c>
      <c r="F560" s="2" t="s">
        <v>104</v>
      </c>
      <c r="G560" s="6"/>
      <c r="H560" s="1">
        <v>27.68</v>
      </c>
    </row>
    <row r="561" spans="1:11" x14ac:dyDescent="0.3">
      <c r="A561" s="2" t="s">
        <v>2470</v>
      </c>
      <c r="B561" s="2" t="s">
        <v>137</v>
      </c>
      <c r="C561" s="2" t="s">
        <v>119</v>
      </c>
      <c r="D561" s="2" t="s">
        <v>2859</v>
      </c>
      <c r="E561" s="4" t="str">
        <f>HYPERLINK("./Results/DLO\151\Osteo_Sarco_1.png","RPT")</f>
        <v>RPT</v>
      </c>
      <c r="F561" s="2" t="s">
        <v>123</v>
      </c>
      <c r="G561" s="6"/>
      <c r="H561" s="1">
        <v>17.510000000000002</v>
      </c>
    </row>
    <row r="562" spans="1:11" x14ac:dyDescent="0.3">
      <c r="A562" s="2" t="s">
        <v>2473</v>
      </c>
      <c r="B562" s="2" t="s">
        <v>118</v>
      </c>
      <c r="C562" s="2" t="s">
        <v>111</v>
      </c>
      <c r="D562" s="2" t="s">
        <v>2859</v>
      </c>
      <c r="E562" s="4" t="str">
        <f>HYPERLINK("./Results/DLO\1510\Osteo_Sarco_1.png","RPT")</f>
        <v>RPT</v>
      </c>
      <c r="F562" s="2" t="s">
        <v>22</v>
      </c>
      <c r="G562" s="6"/>
      <c r="H562" s="1">
        <v>27.16</v>
      </c>
    </row>
    <row r="563" spans="1:11" x14ac:dyDescent="0.3">
      <c r="A563" s="2" t="s">
        <v>2471</v>
      </c>
      <c r="B563" s="2" t="s">
        <v>116</v>
      </c>
      <c r="C563" s="2" t="s">
        <v>119</v>
      </c>
      <c r="D563" s="2" t="s">
        <v>2859</v>
      </c>
      <c r="E563" s="4" t="str">
        <f>HYPERLINK("./Results/DLO\1511\Osteo_Sarco_1.png","RPT")</f>
        <v>RPT</v>
      </c>
      <c r="F563" s="2" t="s">
        <v>62</v>
      </c>
      <c r="G563" s="6"/>
      <c r="I563"/>
      <c r="J563"/>
      <c r="K563"/>
    </row>
    <row r="564" spans="1:11" x14ac:dyDescent="0.3">
      <c r="A564" s="2" t="s">
        <v>2467</v>
      </c>
      <c r="B564" s="2" t="s">
        <v>136</v>
      </c>
      <c r="C564" s="2" t="s">
        <v>111</v>
      </c>
      <c r="D564" s="2" t="s">
        <v>2859</v>
      </c>
      <c r="E564" s="4" t="str">
        <f>HYPERLINK("./Results/DLO\1512\Osteo_Sarco_1.png","RPT")</f>
        <v>RPT</v>
      </c>
      <c r="F564" s="2" t="s">
        <v>474</v>
      </c>
      <c r="G564" s="6"/>
      <c r="H564" s="1">
        <v>23.62</v>
      </c>
    </row>
    <row r="565" spans="1:11" x14ac:dyDescent="0.3">
      <c r="A565" s="2" t="s">
        <v>2459</v>
      </c>
      <c r="B565" s="2" t="s">
        <v>127</v>
      </c>
      <c r="C565" s="2" t="s">
        <v>119</v>
      </c>
      <c r="D565" s="2" t="s">
        <v>2859</v>
      </c>
      <c r="E565" s="4" t="str">
        <f>HYPERLINK("./Results/DLO\1513\Osteo_Sarco_1.png","RPT")</f>
        <v>RPT</v>
      </c>
      <c r="F565" s="2" t="s">
        <v>44</v>
      </c>
      <c r="G565" s="6"/>
      <c r="I565"/>
      <c r="J565"/>
      <c r="K565"/>
    </row>
    <row r="566" spans="1:11" x14ac:dyDescent="0.3">
      <c r="A566" s="2" t="s">
        <v>2478</v>
      </c>
      <c r="B566" s="2" t="s">
        <v>144</v>
      </c>
      <c r="C566" s="2" t="s">
        <v>111</v>
      </c>
      <c r="D566" s="2" t="s">
        <v>2859</v>
      </c>
      <c r="E566" s="4" t="str">
        <f>HYPERLINK("./Results/DLO\1514\Osteo_Sarco_1.png","RPT")</f>
        <v>RPT</v>
      </c>
      <c r="F566" s="2" t="s">
        <v>84</v>
      </c>
      <c r="G566" s="6"/>
      <c r="I566"/>
      <c r="J566"/>
      <c r="K566"/>
    </row>
    <row r="567" spans="1:11" x14ac:dyDescent="0.3">
      <c r="A567" s="2" t="s">
        <v>2474</v>
      </c>
      <c r="B567" s="2" t="s">
        <v>114</v>
      </c>
      <c r="C567" s="2" t="s">
        <v>111</v>
      </c>
      <c r="D567" s="2" t="s">
        <v>2859</v>
      </c>
      <c r="E567" s="4" t="str">
        <f>HYPERLINK("./Results/DLO\1515\Osteo_Sarco_1.png","RPT")</f>
        <v>RPT</v>
      </c>
      <c r="F567" s="2" t="s">
        <v>52</v>
      </c>
      <c r="G567" s="6"/>
      <c r="I567"/>
      <c r="J567"/>
      <c r="K567"/>
    </row>
    <row r="568" spans="1:11" x14ac:dyDescent="0.3">
      <c r="A568" s="2" t="s">
        <v>2475</v>
      </c>
      <c r="B568" s="2" t="s">
        <v>150</v>
      </c>
      <c r="C568" s="2" t="s">
        <v>111</v>
      </c>
      <c r="D568" s="2" t="s">
        <v>2859</v>
      </c>
      <c r="E568" s="4" t="str">
        <f>HYPERLINK("./Results/DLO\1516\Osteo_Sarco_1.png","RPT")</f>
        <v>RPT</v>
      </c>
      <c r="F568" s="2" t="s">
        <v>474</v>
      </c>
      <c r="G568" s="6"/>
      <c r="H568" s="1">
        <v>24.64</v>
      </c>
    </row>
    <row r="569" spans="1:11" x14ac:dyDescent="0.3">
      <c r="A569" s="2" t="s">
        <v>2479</v>
      </c>
      <c r="B569" s="2" t="s">
        <v>157</v>
      </c>
      <c r="C569" s="2" t="s">
        <v>119</v>
      </c>
      <c r="D569" s="2" t="s">
        <v>2859</v>
      </c>
      <c r="E569" s="4" t="str">
        <f>HYPERLINK("./Results/DLO\1517\Osteo_Sarco_1.png","RPT")</f>
        <v>RPT</v>
      </c>
      <c r="F569" s="2" t="s">
        <v>65</v>
      </c>
      <c r="G569" s="6"/>
      <c r="I569"/>
      <c r="J569"/>
      <c r="K569"/>
    </row>
    <row r="570" spans="1:11" x14ac:dyDescent="0.3">
      <c r="A570" s="2" t="s">
        <v>2480</v>
      </c>
      <c r="B570" s="2" t="s">
        <v>125</v>
      </c>
      <c r="C570" s="2" t="s">
        <v>119</v>
      </c>
      <c r="D570" s="2" t="s">
        <v>2867</v>
      </c>
      <c r="E570" s="4" t="str">
        <f>HYPERLINK("./Results/DLO\1518\Osteo_Sarco_1.png","RPT")</f>
        <v>RPT</v>
      </c>
      <c r="F570" s="2" t="s">
        <v>96</v>
      </c>
      <c r="G570" s="6"/>
      <c r="H570" s="1">
        <v>26.85</v>
      </c>
    </row>
    <row r="571" spans="1:11" x14ac:dyDescent="0.3">
      <c r="A571" s="2" t="s">
        <v>2463</v>
      </c>
      <c r="B571" s="2" t="s">
        <v>123</v>
      </c>
      <c r="C571" s="2" t="s">
        <v>119</v>
      </c>
      <c r="D571" s="2" t="s">
        <v>2867</v>
      </c>
      <c r="E571" s="4" t="str">
        <f>HYPERLINK("./Results/DLO\1519\Osteo_Sarco_1.png","RPT")</f>
        <v>RPT</v>
      </c>
      <c r="F571" s="2" t="s">
        <v>38</v>
      </c>
      <c r="G571" s="6"/>
      <c r="I571"/>
      <c r="J571"/>
      <c r="K571"/>
    </row>
    <row r="572" spans="1:11" x14ac:dyDescent="0.3">
      <c r="A572" s="2" t="s">
        <v>2460</v>
      </c>
      <c r="B572" s="2" t="s">
        <v>116</v>
      </c>
      <c r="C572" s="2" t="s">
        <v>111</v>
      </c>
      <c r="D572" s="2" t="s">
        <v>2859</v>
      </c>
      <c r="E572" s="4" t="str">
        <f>HYPERLINK("./Results/DLO\152\Osteo_Sarco_1.png","RPT")</f>
        <v>RPT</v>
      </c>
      <c r="F572" s="2" t="s">
        <v>465</v>
      </c>
      <c r="G572" s="6"/>
      <c r="H572" s="1">
        <v>27.08</v>
      </c>
    </row>
    <row r="573" spans="1:11" x14ac:dyDescent="0.3">
      <c r="A573" s="2" t="s">
        <v>2496</v>
      </c>
      <c r="B573" s="2" t="s">
        <v>137</v>
      </c>
      <c r="C573" s="2" t="s">
        <v>111</v>
      </c>
      <c r="D573" s="2" t="s">
        <v>2867</v>
      </c>
      <c r="E573" s="4" t="str">
        <f>HYPERLINK("./Results/DLO\1520\Osteo_Sarco_1.png","RPT")</f>
        <v>RPT</v>
      </c>
      <c r="F573" s="2" t="s">
        <v>53</v>
      </c>
      <c r="G573" s="6"/>
      <c r="H573" s="1">
        <v>24.4</v>
      </c>
    </row>
    <row r="574" spans="1:11" x14ac:dyDescent="0.3">
      <c r="A574" s="2" t="s">
        <v>2498</v>
      </c>
      <c r="B574" s="2" t="s">
        <v>146</v>
      </c>
      <c r="C574" s="2" t="s">
        <v>119</v>
      </c>
      <c r="D574" s="2" t="s">
        <v>2867</v>
      </c>
      <c r="E574" s="4" t="str">
        <f>HYPERLINK("./Results/DLO\1521\Osteo_Sarco_1.png","RPT")</f>
        <v>RPT</v>
      </c>
      <c r="F574" s="2" t="s">
        <v>46</v>
      </c>
      <c r="G574" s="6"/>
      <c r="I574"/>
      <c r="J574"/>
      <c r="K574"/>
    </row>
    <row r="575" spans="1:11" x14ac:dyDescent="0.3">
      <c r="A575" s="2" t="s">
        <v>2495</v>
      </c>
      <c r="B575" s="2" t="s">
        <v>163</v>
      </c>
      <c r="C575" s="2" t="s">
        <v>111</v>
      </c>
      <c r="D575" s="2" t="s">
        <v>2859</v>
      </c>
      <c r="E575" s="4" t="str">
        <f>HYPERLINK("./Results/DLO\1522\Osteo_Sarco_1.png","RPT")</f>
        <v>RPT</v>
      </c>
      <c r="F575" s="2" t="s">
        <v>65</v>
      </c>
      <c r="G575" s="6"/>
      <c r="I575"/>
      <c r="J575"/>
      <c r="K575"/>
    </row>
    <row r="576" spans="1:11" x14ac:dyDescent="0.3">
      <c r="A576" s="2" t="s">
        <v>2493</v>
      </c>
      <c r="B576" s="2" t="s">
        <v>138</v>
      </c>
      <c r="C576" s="2" t="s">
        <v>119</v>
      </c>
      <c r="D576" s="2" t="s">
        <v>2859</v>
      </c>
      <c r="E576" s="4" t="str">
        <f>HYPERLINK("./Results/DLO\1523\Osteo_Sarco_1.png","RPT")</f>
        <v>RPT</v>
      </c>
      <c r="F576" s="2" t="s">
        <v>36</v>
      </c>
      <c r="G576" s="6"/>
      <c r="I576"/>
      <c r="J576"/>
      <c r="K576"/>
    </row>
    <row r="577" spans="1:11" x14ac:dyDescent="0.3">
      <c r="A577" s="2" t="s">
        <v>2494</v>
      </c>
      <c r="B577" s="2" t="s">
        <v>142</v>
      </c>
      <c r="C577" s="2" t="s">
        <v>111</v>
      </c>
      <c r="D577" s="2" t="s">
        <v>2867</v>
      </c>
      <c r="E577" s="4" t="str">
        <f>HYPERLINK("./Results/DLO\1524\Osteo_Sarco_1.png","RPT")</f>
        <v>RPT</v>
      </c>
      <c r="F577" s="2" t="s">
        <v>466</v>
      </c>
      <c r="G577" s="6"/>
      <c r="I577"/>
      <c r="J577"/>
      <c r="K577"/>
    </row>
    <row r="578" spans="1:11" x14ac:dyDescent="0.3">
      <c r="A578" s="2" t="s">
        <v>2501</v>
      </c>
      <c r="B578" s="2" t="s">
        <v>136</v>
      </c>
      <c r="C578" s="2" t="s">
        <v>111</v>
      </c>
      <c r="D578" s="2" t="s">
        <v>2867</v>
      </c>
      <c r="E578" s="4" t="str">
        <f>HYPERLINK("./Results/DLO\1525\Osteo_Sarco_1.png","RPT")</f>
        <v>RPT</v>
      </c>
      <c r="F578" s="2" t="s">
        <v>105</v>
      </c>
      <c r="G578" s="6"/>
      <c r="I578"/>
      <c r="J578"/>
      <c r="K578"/>
    </row>
    <row r="579" spans="1:11" x14ac:dyDescent="0.3">
      <c r="A579" s="2" t="s">
        <v>2500</v>
      </c>
      <c r="B579" s="2" t="s">
        <v>123</v>
      </c>
      <c r="C579" s="2" t="s">
        <v>111</v>
      </c>
      <c r="D579" s="2" t="s">
        <v>2867</v>
      </c>
      <c r="E579" s="4" t="str">
        <f>HYPERLINK("./Results/DLO\1526\Osteo_Sarco_1.png","RPT")</f>
        <v>RPT</v>
      </c>
      <c r="F579" s="2" t="s">
        <v>103</v>
      </c>
      <c r="G579" s="6"/>
      <c r="I579"/>
      <c r="J579"/>
      <c r="K579"/>
    </row>
    <row r="580" spans="1:11" x14ac:dyDescent="0.3">
      <c r="A580" s="2" t="s">
        <v>2503</v>
      </c>
      <c r="B580" s="2" t="s">
        <v>159</v>
      </c>
      <c r="C580" s="2" t="s">
        <v>119</v>
      </c>
      <c r="D580" s="2" t="s">
        <v>2859</v>
      </c>
      <c r="E580" s="4" t="str">
        <f>HYPERLINK("./Results/DLO\1527\Osteo_Sarco_1.png","RPT")</f>
        <v>RPT</v>
      </c>
      <c r="F580" s="2" t="s">
        <v>94</v>
      </c>
      <c r="G580" s="6"/>
      <c r="I580"/>
      <c r="J580"/>
      <c r="K580"/>
    </row>
    <row r="581" spans="1:11" x14ac:dyDescent="0.3">
      <c r="A581" s="2" t="s">
        <v>2486</v>
      </c>
      <c r="B581" s="2" t="s">
        <v>142</v>
      </c>
      <c r="C581" s="2" t="s">
        <v>111</v>
      </c>
      <c r="D581" s="2" t="s">
        <v>2859</v>
      </c>
      <c r="E581" s="4" t="str">
        <f>HYPERLINK("./Results/DLO\1528\Osteo_Sarco_1.png","RPT")</f>
        <v>RPT</v>
      </c>
      <c r="F581" s="2" t="s">
        <v>470</v>
      </c>
      <c r="G581" s="6"/>
      <c r="I581"/>
      <c r="J581"/>
      <c r="K581"/>
    </row>
    <row r="582" spans="1:11" x14ac:dyDescent="0.3">
      <c r="A582" s="2" t="s">
        <v>2482</v>
      </c>
      <c r="B582" s="2" t="s">
        <v>137</v>
      </c>
      <c r="C582" s="2" t="s">
        <v>119</v>
      </c>
      <c r="D582" s="2" t="s">
        <v>2859</v>
      </c>
      <c r="E582" s="4" t="str">
        <f>HYPERLINK("./Results/DLO\1529\Osteo_Sarco_1.png","RPT")</f>
        <v>RPT</v>
      </c>
      <c r="F582" s="2" t="s">
        <v>90</v>
      </c>
      <c r="G582" s="6"/>
      <c r="H582" s="1">
        <v>22.17</v>
      </c>
    </row>
    <row r="583" spans="1:11" x14ac:dyDescent="0.3">
      <c r="A583" s="2" t="s">
        <v>2491</v>
      </c>
      <c r="B583" s="2" t="s">
        <v>114</v>
      </c>
      <c r="C583" s="2" t="s">
        <v>119</v>
      </c>
      <c r="D583" s="2" t="s">
        <v>2859</v>
      </c>
      <c r="E583" s="4" t="str">
        <f>HYPERLINK("./Results/DLO\153\Osteo_Sarco_1.png","RPT")</f>
        <v>RPT</v>
      </c>
      <c r="F583" s="2" t="s">
        <v>74</v>
      </c>
      <c r="G583" s="6"/>
      <c r="I583"/>
      <c r="J583"/>
      <c r="K583"/>
    </row>
    <row r="584" spans="1:11" x14ac:dyDescent="0.3">
      <c r="A584" s="2" t="s">
        <v>2502</v>
      </c>
      <c r="B584" s="2" t="s">
        <v>122</v>
      </c>
      <c r="C584" s="2" t="s">
        <v>119</v>
      </c>
      <c r="D584" s="2" t="s">
        <v>2867</v>
      </c>
      <c r="E584" s="4" t="str">
        <f>HYPERLINK("./Results/DLO\1530\Osteo_Sarco_1.png","RPT")</f>
        <v>RPT</v>
      </c>
      <c r="F584" s="2" t="s">
        <v>467</v>
      </c>
      <c r="G584" s="6"/>
      <c r="I584"/>
      <c r="J584"/>
      <c r="K584"/>
    </row>
    <row r="585" spans="1:11" x14ac:dyDescent="0.3">
      <c r="A585" s="2" t="s">
        <v>2481</v>
      </c>
      <c r="B585" s="2" t="s">
        <v>148</v>
      </c>
      <c r="C585" s="2" t="s">
        <v>111</v>
      </c>
      <c r="D585" s="2" t="s">
        <v>2859</v>
      </c>
      <c r="E585" s="4" t="str">
        <f>HYPERLINK("./Results/DLO\1531\Osteo_Sarco_1.png","RPT")</f>
        <v>RPT</v>
      </c>
      <c r="F585" s="2" t="s">
        <v>465</v>
      </c>
      <c r="G585" s="6"/>
      <c r="I585"/>
      <c r="J585"/>
      <c r="K585"/>
    </row>
    <row r="586" spans="1:11" x14ac:dyDescent="0.3">
      <c r="A586" s="2" t="s">
        <v>2484</v>
      </c>
      <c r="B586" s="2" t="s">
        <v>148</v>
      </c>
      <c r="C586" s="2" t="s">
        <v>119</v>
      </c>
      <c r="D586" s="2" t="s">
        <v>2867</v>
      </c>
      <c r="E586" s="4" t="str">
        <f>HYPERLINK("./Results/DLO\1532\Osteo_Sarco_1.png","RPT")</f>
        <v>RPT</v>
      </c>
      <c r="F586" s="2" t="s">
        <v>467</v>
      </c>
      <c r="G586" s="6"/>
      <c r="H586" s="1">
        <v>26.8</v>
      </c>
    </row>
    <row r="587" spans="1:11" x14ac:dyDescent="0.3">
      <c r="A587" s="2" t="s">
        <v>2492</v>
      </c>
      <c r="B587" s="2" t="s">
        <v>137</v>
      </c>
      <c r="C587" s="2" t="s">
        <v>111</v>
      </c>
      <c r="D587" s="2" t="s">
        <v>2859</v>
      </c>
      <c r="E587" s="4" t="str">
        <f>HYPERLINK("./Results/DLO\1533\Osteo_Sarco_1.png","RPT")</f>
        <v>RPT</v>
      </c>
      <c r="F587" s="2" t="s">
        <v>49</v>
      </c>
      <c r="G587" s="6"/>
      <c r="I587"/>
      <c r="J587"/>
      <c r="K587"/>
    </row>
    <row r="588" spans="1:11" x14ac:dyDescent="0.3">
      <c r="A588" s="2" t="s">
        <v>2488</v>
      </c>
      <c r="B588" s="2" t="s">
        <v>139</v>
      </c>
      <c r="C588" s="2" t="s">
        <v>119</v>
      </c>
      <c r="D588" s="2" t="s">
        <v>2859</v>
      </c>
      <c r="E588" s="4" t="str">
        <f>HYPERLINK("./Results/DLO\1534\Osteo_Sarco_1.png","RPT")</f>
        <v>RPT</v>
      </c>
      <c r="F588" s="2" t="s">
        <v>69</v>
      </c>
      <c r="G588" s="6"/>
      <c r="H588" s="1">
        <v>24.11</v>
      </c>
    </row>
    <row r="589" spans="1:11" x14ac:dyDescent="0.3">
      <c r="A589" s="2" t="s">
        <v>2485</v>
      </c>
      <c r="B589" s="2" t="s">
        <v>166</v>
      </c>
      <c r="C589" s="2" t="s">
        <v>119</v>
      </c>
      <c r="D589" s="2" t="s">
        <v>2859</v>
      </c>
      <c r="E589" s="4" t="str">
        <f>HYPERLINK("./Results/DLO\1535\Osteo_Sarco_1.png","RPT")</f>
        <v>RPT</v>
      </c>
      <c r="F589" s="2" t="s">
        <v>68</v>
      </c>
      <c r="G589" s="6"/>
      <c r="I589"/>
      <c r="J589"/>
      <c r="K589"/>
    </row>
    <row r="590" spans="1:11" x14ac:dyDescent="0.3">
      <c r="A590" s="2" t="s">
        <v>2497</v>
      </c>
      <c r="B590" s="2" t="s">
        <v>159</v>
      </c>
      <c r="C590" s="2" t="s">
        <v>119</v>
      </c>
      <c r="D590" s="2" t="s">
        <v>2859</v>
      </c>
      <c r="E590" s="4" t="str">
        <f>HYPERLINK("./Results/DLO\1536\Osteo_Sarco_1.png","RPT")</f>
        <v>RPT</v>
      </c>
      <c r="F590" s="2" t="s">
        <v>57</v>
      </c>
      <c r="G590" s="6"/>
      <c r="I590"/>
      <c r="J590"/>
      <c r="K590"/>
    </row>
    <row r="591" spans="1:11" x14ac:dyDescent="0.3">
      <c r="A591" s="2" t="s">
        <v>2483</v>
      </c>
      <c r="B591" s="2" t="s">
        <v>139</v>
      </c>
      <c r="C591" s="2" t="s">
        <v>119</v>
      </c>
      <c r="D591" s="2" t="s">
        <v>2859</v>
      </c>
      <c r="E591" s="4" t="str">
        <f>HYPERLINK("./Results/DLO\1537\Osteo_Sarco_1.png","RPT")</f>
        <v>RPT</v>
      </c>
      <c r="F591" s="2" t="s">
        <v>32</v>
      </c>
      <c r="G591" s="6"/>
      <c r="I591"/>
      <c r="J591"/>
      <c r="K591"/>
    </row>
    <row r="592" spans="1:11" x14ac:dyDescent="0.3">
      <c r="A592" s="2" t="s">
        <v>2487</v>
      </c>
      <c r="B592" s="2" t="s">
        <v>137</v>
      </c>
      <c r="C592" s="2" t="s">
        <v>119</v>
      </c>
      <c r="D592" s="2" t="s">
        <v>2867</v>
      </c>
      <c r="E592" s="4" t="str">
        <f>HYPERLINK("./Results/DLO\1538\Osteo_Sarco_1.png","RPT")</f>
        <v>RPT</v>
      </c>
      <c r="F592" s="2" t="s">
        <v>575</v>
      </c>
      <c r="G592" s="6"/>
      <c r="H592" s="1">
        <v>29.46</v>
      </c>
    </row>
    <row r="593" spans="1:11" x14ac:dyDescent="0.3">
      <c r="A593" s="2" t="s">
        <v>2489</v>
      </c>
      <c r="B593" s="2" t="s">
        <v>151</v>
      </c>
      <c r="C593" s="2" t="s">
        <v>111</v>
      </c>
      <c r="D593" s="2" t="s">
        <v>2859</v>
      </c>
      <c r="E593" s="4" t="str">
        <f>HYPERLINK("./Results/DLO\1539\Osteo_Sarco_1.png","RPT")</f>
        <v>RPT</v>
      </c>
      <c r="F593" s="2" t="s">
        <v>458</v>
      </c>
      <c r="G593" s="6"/>
      <c r="I593"/>
      <c r="J593"/>
      <c r="K593"/>
    </row>
    <row r="594" spans="1:11" x14ac:dyDescent="0.3">
      <c r="A594" s="2" t="s">
        <v>2499</v>
      </c>
      <c r="B594" s="2" t="s">
        <v>114</v>
      </c>
      <c r="C594" s="2" t="s">
        <v>111</v>
      </c>
      <c r="D594" s="2" t="s">
        <v>2867</v>
      </c>
      <c r="E594" s="4" t="str">
        <f>HYPERLINK("./Results/DLO\154\Osteo_Sarco_1.png","RPT")</f>
        <v>RPT</v>
      </c>
      <c r="F594" s="2" t="s">
        <v>100</v>
      </c>
      <c r="G594" s="6"/>
      <c r="I594"/>
      <c r="J594"/>
      <c r="K594"/>
    </row>
    <row r="595" spans="1:11" x14ac:dyDescent="0.3">
      <c r="A595" s="2" t="s">
        <v>2490</v>
      </c>
      <c r="B595" s="2" t="s">
        <v>123</v>
      </c>
      <c r="C595" s="2" t="s">
        <v>119</v>
      </c>
      <c r="D595" s="2" t="s">
        <v>2859</v>
      </c>
      <c r="E595" s="4" t="str">
        <f>HYPERLINK("./Results/DLO\1540\Osteo_Sarco_1.png","RPT")</f>
        <v>RPT</v>
      </c>
      <c r="F595" s="2" t="s">
        <v>53</v>
      </c>
      <c r="G595" s="6"/>
      <c r="I595"/>
      <c r="J595"/>
      <c r="K595"/>
    </row>
    <row r="596" spans="1:11" x14ac:dyDescent="0.3">
      <c r="A596" s="2" t="s">
        <v>2512</v>
      </c>
      <c r="B596" s="2" t="s">
        <v>133</v>
      </c>
      <c r="C596" s="2" t="s">
        <v>119</v>
      </c>
      <c r="D596" s="2" t="s">
        <v>2859</v>
      </c>
      <c r="E596" s="4" t="str">
        <f>HYPERLINK("./Results/DLO\1541\Osteo_Sarco_1.png","RPT")</f>
        <v>RPT</v>
      </c>
      <c r="F596" s="2" t="s">
        <v>74</v>
      </c>
      <c r="G596" s="6"/>
      <c r="I596"/>
      <c r="J596"/>
      <c r="K596"/>
    </row>
    <row r="597" spans="1:11" x14ac:dyDescent="0.3">
      <c r="A597" s="2" t="s">
        <v>2518</v>
      </c>
      <c r="B597" s="2" t="s">
        <v>138</v>
      </c>
      <c r="C597" s="2" t="s">
        <v>119</v>
      </c>
      <c r="D597" s="2" t="s">
        <v>2859</v>
      </c>
      <c r="E597" s="4" t="str">
        <f>HYPERLINK("./Results/DLO\1542\Osteo_Sarco_1.png","RPT")</f>
        <v>RPT</v>
      </c>
      <c r="F597" s="2" t="s">
        <v>32</v>
      </c>
      <c r="G597" s="6"/>
      <c r="I597"/>
      <c r="J597"/>
      <c r="K597"/>
    </row>
    <row r="598" spans="1:11" x14ac:dyDescent="0.3">
      <c r="A598" s="2" t="s">
        <v>2507</v>
      </c>
      <c r="B598" s="2" t="s">
        <v>139</v>
      </c>
      <c r="C598" s="2" t="s">
        <v>119</v>
      </c>
      <c r="D598" s="2" t="s">
        <v>2867</v>
      </c>
      <c r="E598" s="4" t="str">
        <f>HYPERLINK("./Results/DLO\1543\Osteo_Sarco_1.png","RPT")</f>
        <v>RPT</v>
      </c>
      <c r="F598" s="2" t="s">
        <v>73</v>
      </c>
      <c r="G598" s="6"/>
      <c r="I598"/>
      <c r="J598"/>
      <c r="K598"/>
    </row>
    <row r="599" spans="1:11" x14ac:dyDescent="0.3">
      <c r="A599" s="2" t="s">
        <v>2511</v>
      </c>
      <c r="B599" s="2" t="s">
        <v>159</v>
      </c>
      <c r="C599" s="2" t="s">
        <v>111</v>
      </c>
      <c r="D599" s="2" t="s">
        <v>2867</v>
      </c>
      <c r="E599" s="4" t="str">
        <f>HYPERLINK("./Results/DLO\1544\Osteo_Sarco_1.png","RPT")</f>
        <v>RPT</v>
      </c>
      <c r="F599" s="2" t="s">
        <v>472</v>
      </c>
      <c r="G599" s="6"/>
      <c r="I599"/>
      <c r="J599"/>
      <c r="K599"/>
    </row>
    <row r="600" spans="1:11" x14ac:dyDescent="0.3">
      <c r="A600" s="2" t="s">
        <v>2524</v>
      </c>
      <c r="B600" s="2" t="s">
        <v>129</v>
      </c>
      <c r="C600" s="2" t="s">
        <v>111</v>
      </c>
      <c r="D600" s="2" t="s">
        <v>2859</v>
      </c>
      <c r="E600" s="4" t="str">
        <f>HYPERLINK("./Results/DLO\1545\Osteo_Sarco_1.png","RPT")</f>
        <v>RPT</v>
      </c>
      <c r="F600" s="2" t="s">
        <v>95</v>
      </c>
      <c r="G600" s="6"/>
      <c r="I600"/>
      <c r="J600"/>
      <c r="K600"/>
    </row>
    <row r="601" spans="1:11" x14ac:dyDescent="0.3">
      <c r="A601" s="2" t="s">
        <v>2519</v>
      </c>
      <c r="B601" s="2" t="s">
        <v>166</v>
      </c>
      <c r="C601" s="2" t="s">
        <v>119</v>
      </c>
      <c r="D601" s="2" t="s">
        <v>2867</v>
      </c>
      <c r="E601" s="4" t="str">
        <f>HYPERLINK("./Results/DLO\1546\Osteo_Sarco_1.png","RPT")</f>
        <v>RPT</v>
      </c>
      <c r="F601" s="2" t="s">
        <v>54</v>
      </c>
      <c r="G601" s="6"/>
      <c r="I601"/>
      <c r="J601"/>
      <c r="K601"/>
    </row>
    <row r="602" spans="1:11" x14ac:dyDescent="0.3">
      <c r="A602" s="2" t="s">
        <v>2513</v>
      </c>
      <c r="B602" s="2" t="s">
        <v>116</v>
      </c>
      <c r="C602" s="2" t="s">
        <v>111</v>
      </c>
      <c r="D602" s="2" t="s">
        <v>2859</v>
      </c>
      <c r="E602" s="4" t="str">
        <f>HYPERLINK("./Results/DLO\1547\Osteo_Sarco_1.png","RPT")</f>
        <v>RPT</v>
      </c>
      <c r="F602" s="2" t="s">
        <v>80</v>
      </c>
      <c r="G602" s="6"/>
      <c r="H602" s="1">
        <v>24.39</v>
      </c>
    </row>
    <row r="603" spans="1:11" x14ac:dyDescent="0.3">
      <c r="A603" s="2" t="s">
        <v>2517</v>
      </c>
      <c r="B603" s="2" t="s">
        <v>148</v>
      </c>
      <c r="C603" s="2" t="s">
        <v>111</v>
      </c>
      <c r="D603" s="2" t="s">
        <v>2867</v>
      </c>
      <c r="E603" s="4" t="str">
        <f>HYPERLINK("./Results/DLO\1548\Osteo_Sarco_1.png","RPT")</f>
        <v>RPT</v>
      </c>
      <c r="F603" s="2" t="s">
        <v>68</v>
      </c>
      <c r="G603" s="6"/>
      <c r="I603"/>
      <c r="J603"/>
      <c r="K603"/>
    </row>
    <row r="604" spans="1:11" x14ac:dyDescent="0.3">
      <c r="A604" s="2" t="s">
        <v>2514</v>
      </c>
      <c r="B604" s="2" t="s">
        <v>113</v>
      </c>
      <c r="C604" s="2" t="s">
        <v>111</v>
      </c>
      <c r="D604" s="2" t="s">
        <v>2867</v>
      </c>
      <c r="E604" s="4" t="str">
        <f>HYPERLINK("./Results/DLO\1549\Osteo_Sarco_1.png","RPT")</f>
        <v>RPT</v>
      </c>
      <c r="F604" s="2" t="s">
        <v>32</v>
      </c>
      <c r="G604" s="6"/>
      <c r="H604" s="1">
        <v>22.63</v>
      </c>
    </row>
    <row r="605" spans="1:11" x14ac:dyDescent="0.3">
      <c r="A605" s="2" t="s">
        <v>2526</v>
      </c>
      <c r="B605" s="2" t="s">
        <v>140</v>
      </c>
      <c r="C605" s="2" t="s">
        <v>111</v>
      </c>
      <c r="D605" s="2" t="s">
        <v>2859</v>
      </c>
      <c r="E605" s="4" t="str">
        <f>HYPERLINK("./Results/DLO\155\Osteo_Sarco_1.png","RPT")</f>
        <v>RPT</v>
      </c>
      <c r="F605" s="2" t="s">
        <v>475</v>
      </c>
      <c r="G605" s="6"/>
      <c r="I605"/>
      <c r="J605"/>
      <c r="K605"/>
    </row>
    <row r="606" spans="1:11" x14ac:dyDescent="0.3">
      <c r="A606" s="2" t="s">
        <v>2510</v>
      </c>
      <c r="B606" s="2" t="s">
        <v>137</v>
      </c>
      <c r="C606" s="2" t="s">
        <v>111</v>
      </c>
      <c r="D606" s="2" t="s">
        <v>2867</v>
      </c>
      <c r="E606" s="4" t="str">
        <f>HYPERLINK("./Results/DLO\1550\Osteo_Sarco_1.png","RPT")</f>
        <v>RPT</v>
      </c>
      <c r="F606" s="2" t="s">
        <v>94</v>
      </c>
      <c r="G606" s="6"/>
      <c r="H606" s="1">
        <v>29.94</v>
      </c>
    </row>
    <row r="607" spans="1:11" x14ac:dyDescent="0.3">
      <c r="A607" s="2" t="s">
        <v>2525</v>
      </c>
      <c r="B607" s="2" t="s">
        <v>138</v>
      </c>
      <c r="C607" s="2" t="s">
        <v>119</v>
      </c>
      <c r="D607" s="2" t="s">
        <v>2859</v>
      </c>
      <c r="E607" s="4" t="str">
        <f>HYPERLINK("./Results/DLO\1551\Osteo_Sarco_1.png","RPT")</f>
        <v>RPT</v>
      </c>
      <c r="F607" s="2" t="s">
        <v>150</v>
      </c>
      <c r="G607" s="6"/>
      <c r="I607"/>
      <c r="J607"/>
      <c r="K607"/>
    </row>
    <row r="608" spans="1:11" x14ac:dyDescent="0.3">
      <c r="A608" s="2" t="s">
        <v>2527</v>
      </c>
      <c r="B608" s="2" t="s">
        <v>129</v>
      </c>
      <c r="C608" s="2" t="s">
        <v>111</v>
      </c>
      <c r="D608" s="2" t="s">
        <v>2859</v>
      </c>
      <c r="E608" s="4" t="str">
        <f>HYPERLINK("./Results/DLO\1552\Osteo_Sarco_1.png","RPT")</f>
        <v>RPT</v>
      </c>
      <c r="F608" s="2" t="s">
        <v>455</v>
      </c>
      <c r="G608" s="6"/>
      <c r="I608"/>
      <c r="J608"/>
      <c r="K608"/>
    </row>
    <row r="609" spans="1:11" x14ac:dyDescent="0.3">
      <c r="A609" s="2" t="s">
        <v>2520</v>
      </c>
      <c r="B609" s="2" t="s">
        <v>133</v>
      </c>
      <c r="C609" s="2" t="s">
        <v>119</v>
      </c>
      <c r="D609" s="2" t="s">
        <v>2867</v>
      </c>
      <c r="E609" s="4" t="str">
        <f>HYPERLINK("./Results/DLO\1553\Osteo_Sarco_1.png","RPT")</f>
        <v>RPT</v>
      </c>
      <c r="F609" s="2" t="s">
        <v>43</v>
      </c>
      <c r="G609" s="6"/>
      <c r="I609"/>
      <c r="J609"/>
      <c r="K609"/>
    </row>
    <row r="610" spans="1:11" x14ac:dyDescent="0.3">
      <c r="A610" s="2" t="s">
        <v>2515</v>
      </c>
      <c r="B610" s="2" t="s">
        <v>152</v>
      </c>
      <c r="C610" s="2" t="s">
        <v>119</v>
      </c>
      <c r="D610" s="2" t="s">
        <v>2859</v>
      </c>
      <c r="E610" s="4" t="str">
        <f>HYPERLINK("./Results/DLO\1554\Osteo_Sarco_1.png","RPT")</f>
        <v>RPT</v>
      </c>
      <c r="F610" s="2" t="s">
        <v>81</v>
      </c>
      <c r="G610" s="6"/>
      <c r="I610"/>
      <c r="J610"/>
      <c r="K610"/>
    </row>
    <row r="611" spans="1:11" x14ac:dyDescent="0.3">
      <c r="A611" s="2" t="s">
        <v>2508</v>
      </c>
      <c r="B611" s="2" t="s">
        <v>164</v>
      </c>
      <c r="C611" s="2" t="s">
        <v>111</v>
      </c>
      <c r="D611" s="2" t="s">
        <v>2859</v>
      </c>
      <c r="E611" s="4" t="str">
        <f>HYPERLINK("./Results/DLO\1555\Osteo_Sarco_1.png","RPT")</f>
        <v>RPT</v>
      </c>
      <c r="F611" s="2" t="s">
        <v>108</v>
      </c>
      <c r="G611" s="6"/>
      <c r="I611"/>
      <c r="J611"/>
      <c r="K611"/>
    </row>
    <row r="612" spans="1:11" x14ac:dyDescent="0.3">
      <c r="A612" s="2" t="s">
        <v>2504</v>
      </c>
      <c r="B612" s="2" t="s">
        <v>138</v>
      </c>
      <c r="C612" s="2" t="s">
        <v>111</v>
      </c>
      <c r="D612" s="2" t="s">
        <v>2859</v>
      </c>
      <c r="E612" s="4" t="str">
        <f>HYPERLINK("./Results/DLO\1556\Osteo_Sarco_1.png","RPT")</f>
        <v>RPT</v>
      </c>
      <c r="F612" s="2" t="s">
        <v>106</v>
      </c>
      <c r="G612" s="6"/>
      <c r="I612"/>
      <c r="J612"/>
      <c r="K612"/>
    </row>
    <row r="613" spans="1:11" x14ac:dyDescent="0.3">
      <c r="A613" s="2" t="s">
        <v>2523</v>
      </c>
      <c r="B613" s="2" t="s">
        <v>118</v>
      </c>
      <c r="C613" s="2" t="s">
        <v>119</v>
      </c>
      <c r="D613" s="2" t="s">
        <v>2859</v>
      </c>
      <c r="E613" s="4" t="str">
        <f>HYPERLINK("./Results/DLO\1557\Osteo_Sarco_1.png","RPT")</f>
        <v>RPT</v>
      </c>
      <c r="F613" s="2" t="s">
        <v>48</v>
      </c>
      <c r="G613" s="6"/>
      <c r="I613"/>
      <c r="J613"/>
      <c r="K613"/>
    </row>
    <row r="614" spans="1:11" x14ac:dyDescent="0.3">
      <c r="A614" s="2" t="s">
        <v>2516</v>
      </c>
      <c r="B614" s="2" t="s">
        <v>162</v>
      </c>
      <c r="C614" s="2" t="s">
        <v>111</v>
      </c>
      <c r="D614" s="2" t="s">
        <v>2859</v>
      </c>
      <c r="E614" s="4" t="str">
        <f>HYPERLINK("./Results/DLO\1558\Osteo_Sarco_1.png","RPT")</f>
        <v>RPT</v>
      </c>
      <c r="F614" s="2" t="s">
        <v>84</v>
      </c>
      <c r="G614" s="6"/>
      <c r="I614"/>
      <c r="J614"/>
      <c r="K614"/>
    </row>
    <row r="615" spans="1:11" x14ac:dyDescent="0.3">
      <c r="A615" s="2" t="s">
        <v>2506</v>
      </c>
      <c r="B615" s="2" t="s">
        <v>133</v>
      </c>
      <c r="C615" s="2" t="s">
        <v>119</v>
      </c>
      <c r="D615" s="2" t="s">
        <v>2859</v>
      </c>
      <c r="E615" s="4" t="str">
        <f>HYPERLINK("./Results/DLO\1559\Osteo_Sarco_1.png","RPT")</f>
        <v>RPT</v>
      </c>
      <c r="F615" s="2" t="s">
        <v>456</v>
      </c>
      <c r="G615" s="6"/>
      <c r="I615"/>
      <c r="J615"/>
      <c r="K615"/>
    </row>
    <row r="616" spans="1:11" x14ac:dyDescent="0.3">
      <c r="A616" s="2" t="s">
        <v>2521</v>
      </c>
      <c r="B616" s="2" t="s">
        <v>129</v>
      </c>
      <c r="C616" s="2" t="s">
        <v>119</v>
      </c>
      <c r="D616" s="2" t="s">
        <v>2867</v>
      </c>
      <c r="E616" s="4" t="str">
        <f>HYPERLINK("./Results/DLO\156\Osteo_Sarco_1.png","RPT")</f>
        <v>RPT</v>
      </c>
      <c r="F616" s="2" t="s">
        <v>27</v>
      </c>
      <c r="G616" s="6"/>
      <c r="H616" s="1">
        <v>25.16</v>
      </c>
    </row>
    <row r="617" spans="1:11" x14ac:dyDescent="0.3">
      <c r="A617" s="2" t="s">
        <v>2509</v>
      </c>
      <c r="B617" s="2" t="s">
        <v>167</v>
      </c>
      <c r="C617" s="2" t="s">
        <v>111</v>
      </c>
      <c r="D617" s="2" t="s">
        <v>2867</v>
      </c>
      <c r="E617" s="4" t="str">
        <f>HYPERLINK("./Results/DLO\1560\Osteo_Sarco_1.png","RPT")</f>
        <v>RPT</v>
      </c>
      <c r="F617" s="2" t="s">
        <v>108</v>
      </c>
      <c r="G617" s="6"/>
      <c r="I617"/>
      <c r="J617"/>
      <c r="K617"/>
    </row>
    <row r="618" spans="1:11" x14ac:dyDescent="0.3">
      <c r="A618" s="2" t="s">
        <v>2505</v>
      </c>
      <c r="B618" s="2" t="s">
        <v>167</v>
      </c>
      <c r="C618" s="2" t="s">
        <v>111</v>
      </c>
      <c r="D618" s="2" t="s">
        <v>2867</v>
      </c>
      <c r="E618" s="4" t="str">
        <f>HYPERLINK("./Results/DLO\1561\Osteo_Sarco_1.png","RPT")</f>
        <v>RPT</v>
      </c>
      <c r="F618" s="2" t="s">
        <v>22</v>
      </c>
      <c r="G618" s="6"/>
      <c r="I618"/>
      <c r="J618"/>
      <c r="K618"/>
    </row>
    <row r="619" spans="1:11" x14ac:dyDescent="0.3">
      <c r="A619" s="2" t="s">
        <v>2522</v>
      </c>
      <c r="B619" s="2" t="s">
        <v>139</v>
      </c>
      <c r="C619" s="2" t="s">
        <v>111</v>
      </c>
      <c r="D619" s="2" t="s">
        <v>2859</v>
      </c>
      <c r="E619" s="4" t="str">
        <f>HYPERLINK("./Results/DLO\1562\Osteo_Sarco_1.png","RPT")</f>
        <v>RPT</v>
      </c>
      <c r="F619" s="2" t="s">
        <v>110</v>
      </c>
      <c r="G619" s="6"/>
      <c r="I619"/>
      <c r="J619"/>
      <c r="K619"/>
    </row>
    <row r="620" spans="1:11" x14ac:dyDescent="0.3">
      <c r="A620" s="2" t="s">
        <v>2530</v>
      </c>
      <c r="B620" s="2" t="s">
        <v>165</v>
      </c>
      <c r="C620" s="2" t="s">
        <v>111</v>
      </c>
      <c r="D620" s="2" t="s">
        <v>2859</v>
      </c>
      <c r="E620" s="4" t="str">
        <f>HYPERLINK("./Results/DLO\1563\Osteo_Sarco_1.png","RPT")</f>
        <v>RPT</v>
      </c>
      <c r="F620" s="2" t="s">
        <v>35</v>
      </c>
      <c r="G620" s="6"/>
      <c r="H620" s="1">
        <v>23.73</v>
      </c>
    </row>
    <row r="621" spans="1:11" x14ac:dyDescent="0.3">
      <c r="A621" s="2" t="s">
        <v>2539</v>
      </c>
      <c r="B621" s="2" t="s">
        <v>146</v>
      </c>
      <c r="C621" s="2" t="s">
        <v>119</v>
      </c>
      <c r="D621" s="2" t="s">
        <v>2859</v>
      </c>
      <c r="E621" s="4" t="str">
        <f>HYPERLINK("./Results/DLO\1564\Osteo_Sarco_1.png","RPT")</f>
        <v>RPT</v>
      </c>
      <c r="F621" s="2" t="s">
        <v>77</v>
      </c>
      <c r="G621" s="6"/>
      <c r="I621"/>
      <c r="J621"/>
      <c r="K621"/>
    </row>
    <row r="622" spans="1:11" x14ac:dyDescent="0.3">
      <c r="A622" s="2" t="s">
        <v>2531</v>
      </c>
      <c r="B622" s="2" t="s">
        <v>126</v>
      </c>
      <c r="C622" s="2" t="s">
        <v>119</v>
      </c>
      <c r="D622" s="2" t="s">
        <v>2859</v>
      </c>
      <c r="E622" s="4" t="str">
        <f>HYPERLINK("./Results/DLO\1565\Osteo_Sarco_1.png","RPT")</f>
        <v>RPT</v>
      </c>
      <c r="F622" s="2" t="s">
        <v>29</v>
      </c>
      <c r="G622" s="6"/>
      <c r="I622"/>
      <c r="J622"/>
      <c r="K622"/>
    </row>
    <row r="623" spans="1:11" x14ac:dyDescent="0.3">
      <c r="A623" s="2" t="s">
        <v>2549</v>
      </c>
      <c r="B623" s="2" t="s">
        <v>122</v>
      </c>
      <c r="C623" s="2" t="s">
        <v>119</v>
      </c>
      <c r="D623" s="2" t="s">
        <v>2859</v>
      </c>
      <c r="E623" s="4" t="str">
        <f>HYPERLINK("./Results/DLO\1566\Osteo_Sarco_1.png","RPT")</f>
        <v>RPT</v>
      </c>
      <c r="F623" s="2" t="s">
        <v>65</v>
      </c>
      <c r="G623" s="6"/>
      <c r="I623"/>
      <c r="J623"/>
      <c r="K623"/>
    </row>
    <row r="624" spans="1:11" x14ac:dyDescent="0.3">
      <c r="A624" s="2" t="s">
        <v>2535</v>
      </c>
      <c r="B624" s="2" t="s">
        <v>148</v>
      </c>
      <c r="C624" s="2" t="s">
        <v>111</v>
      </c>
      <c r="D624" s="2" t="s">
        <v>2859</v>
      </c>
      <c r="E624" s="4" t="str">
        <f>HYPERLINK("./Results/DLO\1567\Osteo_Sarco_1.png","RPT")</f>
        <v>RPT</v>
      </c>
      <c r="F624" s="2" t="s">
        <v>99</v>
      </c>
      <c r="G624" s="6"/>
      <c r="H624" s="1">
        <v>17.45</v>
      </c>
    </row>
    <row r="625" spans="1:11" x14ac:dyDescent="0.3">
      <c r="A625" s="2" t="s">
        <v>2536</v>
      </c>
      <c r="B625" s="2" t="s">
        <v>144</v>
      </c>
      <c r="C625" s="2" t="s">
        <v>111</v>
      </c>
      <c r="D625" s="2" t="s">
        <v>2859</v>
      </c>
      <c r="E625" s="4" t="str">
        <f>HYPERLINK("./Results/DLO\1568\Osteo_Sarco_1.png","RPT")</f>
        <v>RPT</v>
      </c>
      <c r="F625" s="2" t="s">
        <v>22</v>
      </c>
      <c r="G625" s="6"/>
      <c r="I625"/>
      <c r="J625"/>
      <c r="K625"/>
    </row>
    <row r="626" spans="1:11" x14ac:dyDescent="0.3">
      <c r="A626" s="2" t="s">
        <v>2537</v>
      </c>
      <c r="B626" s="2" t="s">
        <v>149</v>
      </c>
      <c r="C626" s="2" t="s">
        <v>111</v>
      </c>
      <c r="D626" s="2" t="s">
        <v>2867</v>
      </c>
      <c r="E626" s="4" t="str">
        <f>HYPERLINK("./Results/DLO\1569\Osteo_Sarco_1.png","RPT")</f>
        <v>RPT</v>
      </c>
      <c r="F626" s="2" t="s">
        <v>71</v>
      </c>
      <c r="G626" s="6"/>
      <c r="I626"/>
      <c r="J626"/>
      <c r="K626"/>
    </row>
    <row r="627" spans="1:11" x14ac:dyDescent="0.3">
      <c r="A627" s="2" t="s">
        <v>2533</v>
      </c>
      <c r="B627" s="2" t="s">
        <v>151</v>
      </c>
      <c r="C627" s="2" t="s">
        <v>119</v>
      </c>
      <c r="D627" s="2" t="s">
        <v>2859</v>
      </c>
      <c r="E627" s="4" t="str">
        <f>HYPERLINK("./Results/DLO\157\Osteo_Sarco_1.png","RPT")</f>
        <v>RPT</v>
      </c>
      <c r="F627" s="2" t="s">
        <v>51</v>
      </c>
      <c r="G627" s="6"/>
      <c r="I627"/>
      <c r="J627"/>
      <c r="K627"/>
    </row>
    <row r="628" spans="1:11" x14ac:dyDescent="0.3">
      <c r="A628" s="2" t="s">
        <v>2538</v>
      </c>
      <c r="B628" s="2" t="s">
        <v>165</v>
      </c>
      <c r="C628" s="2" t="s">
        <v>111</v>
      </c>
      <c r="D628" s="2" t="s">
        <v>2859</v>
      </c>
      <c r="E628" s="4" t="str">
        <f>HYPERLINK("./Results/DLO\1570\Osteo_Sarco_1.png","RPT")</f>
        <v>RPT</v>
      </c>
      <c r="F628" s="2" t="s">
        <v>474</v>
      </c>
      <c r="G628" s="6"/>
      <c r="I628"/>
      <c r="J628"/>
      <c r="K628"/>
    </row>
    <row r="629" spans="1:11" x14ac:dyDescent="0.3">
      <c r="A629" s="2" t="s">
        <v>2528</v>
      </c>
      <c r="B629" s="2" t="s">
        <v>139</v>
      </c>
      <c r="C629" s="2" t="s">
        <v>119</v>
      </c>
      <c r="D629" s="2" t="s">
        <v>2859</v>
      </c>
      <c r="E629" s="4" t="str">
        <f>HYPERLINK("./Results/DLO\1571\Osteo_Sarco_1.png","RPT")</f>
        <v>RPT</v>
      </c>
      <c r="F629" s="2" t="s">
        <v>87</v>
      </c>
      <c r="G629" s="6"/>
      <c r="I629"/>
      <c r="J629"/>
      <c r="K629"/>
    </row>
    <row r="630" spans="1:11" x14ac:dyDescent="0.3">
      <c r="A630" s="2" t="s">
        <v>2529</v>
      </c>
      <c r="B630" s="2" t="s">
        <v>131</v>
      </c>
      <c r="C630" s="2" t="s">
        <v>119</v>
      </c>
      <c r="D630" s="2" t="s">
        <v>2859</v>
      </c>
      <c r="E630" s="4" t="str">
        <f>HYPERLINK("./Results/DLO\1572\Osteo_Sarco_1.png","RPT")</f>
        <v>RPT</v>
      </c>
      <c r="F630" s="2" t="s">
        <v>27</v>
      </c>
      <c r="G630" s="6"/>
      <c r="H630" s="1">
        <v>26.63</v>
      </c>
    </row>
    <row r="631" spans="1:11" x14ac:dyDescent="0.3">
      <c r="A631" s="2" t="s">
        <v>2546</v>
      </c>
      <c r="B631" s="2" t="s">
        <v>136</v>
      </c>
      <c r="C631" s="2" t="s">
        <v>111</v>
      </c>
      <c r="D631" s="2" t="s">
        <v>2867</v>
      </c>
      <c r="E631" s="4" t="str">
        <f>HYPERLINK("./Results/DLO\1573\Osteo_Sarco_1.png","RPT")</f>
        <v>RPT</v>
      </c>
      <c r="F631" s="2" t="s">
        <v>62</v>
      </c>
      <c r="G631" s="6"/>
      <c r="I631"/>
      <c r="J631"/>
      <c r="K631"/>
    </row>
    <row r="632" spans="1:11" x14ac:dyDescent="0.3">
      <c r="A632" s="2" t="s">
        <v>2532</v>
      </c>
      <c r="B632" s="2" t="s">
        <v>137</v>
      </c>
      <c r="C632" s="2" t="s">
        <v>119</v>
      </c>
      <c r="D632" s="2" t="s">
        <v>2859</v>
      </c>
      <c r="E632" s="4" t="str">
        <f>HYPERLINK("./Results/DLO\1574\Osteo_Sarco_1.png","RPT")</f>
        <v>RPT</v>
      </c>
      <c r="F632" s="2" t="s">
        <v>467</v>
      </c>
      <c r="G632" s="6"/>
      <c r="I632"/>
      <c r="J632"/>
      <c r="K632"/>
    </row>
    <row r="633" spans="1:11" x14ac:dyDescent="0.3">
      <c r="A633" s="2" t="s">
        <v>2540</v>
      </c>
      <c r="B633" s="2" t="s">
        <v>127</v>
      </c>
      <c r="C633" s="2" t="s">
        <v>119</v>
      </c>
      <c r="D633" s="2" t="s">
        <v>2859</v>
      </c>
      <c r="E633" s="4" t="str">
        <f>HYPERLINK("./Results/DLO\1575\Osteo_Sarco_1.png","RPT")</f>
        <v>RPT</v>
      </c>
      <c r="F633" s="2" t="s">
        <v>46</v>
      </c>
      <c r="G633" s="6"/>
      <c r="I633"/>
      <c r="J633"/>
      <c r="K633"/>
    </row>
    <row r="634" spans="1:11" x14ac:dyDescent="0.3">
      <c r="A634" s="2" t="s">
        <v>2541</v>
      </c>
      <c r="B634" s="2" t="s">
        <v>116</v>
      </c>
      <c r="C634" s="2" t="s">
        <v>111</v>
      </c>
      <c r="D634" s="2" t="s">
        <v>2859</v>
      </c>
      <c r="E634" s="4" t="str">
        <f>HYPERLINK("./Results/DLO\1576\Osteo_Sarco_1.png","RPT")</f>
        <v>RPT</v>
      </c>
      <c r="F634" s="2" t="s">
        <v>29</v>
      </c>
      <c r="G634" s="6"/>
      <c r="H634" s="1">
        <v>21.09</v>
      </c>
    </row>
    <row r="635" spans="1:11" x14ac:dyDescent="0.3">
      <c r="A635" s="2" t="s">
        <v>2542</v>
      </c>
      <c r="B635" s="2" t="s">
        <v>139</v>
      </c>
      <c r="C635" s="2" t="s">
        <v>111</v>
      </c>
      <c r="D635" s="2" t="s">
        <v>2859</v>
      </c>
      <c r="E635" s="4" t="str">
        <f>HYPERLINK("./Results/DLO\1577\Osteo_Sarco_1.png","RPT")</f>
        <v>RPT</v>
      </c>
      <c r="F635" s="2" t="s">
        <v>58</v>
      </c>
      <c r="G635" s="6"/>
      <c r="I635"/>
      <c r="J635"/>
      <c r="K635"/>
    </row>
    <row r="636" spans="1:11" x14ac:dyDescent="0.3">
      <c r="A636" s="2" t="s">
        <v>2548</v>
      </c>
      <c r="B636" s="2" t="s">
        <v>135</v>
      </c>
      <c r="C636" s="2" t="s">
        <v>119</v>
      </c>
      <c r="D636" s="2" t="s">
        <v>2859</v>
      </c>
      <c r="E636" s="4" t="str">
        <f>HYPERLINK("./Results/DLO\1578\Osteo_Sarco_1.png","RPT")</f>
        <v>RPT</v>
      </c>
      <c r="F636" s="2" t="s">
        <v>36</v>
      </c>
      <c r="G636" s="6"/>
      <c r="H636" s="1">
        <v>26.02</v>
      </c>
    </row>
    <row r="637" spans="1:11" x14ac:dyDescent="0.3">
      <c r="A637" s="2" t="s">
        <v>2543</v>
      </c>
      <c r="B637" s="2" t="s">
        <v>146</v>
      </c>
      <c r="C637" s="2" t="s">
        <v>119</v>
      </c>
      <c r="D637" s="2" t="s">
        <v>2859</v>
      </c>
      <c r="E637" s="4" t="str">
        <f>HYPERLINK("./Results/DLO\1579\Osteo_Sarco_1.png","RPT")</f>
        <v>RPT</v>
      </c>
      <c r="F637" s="2" t="s">
        <v>98</v>
      </c>
      <c r="G637" s="6"/>
      <c r="H637" s="1">
        <v>23.84</v>
      </c>
    </row>
    <row r="638" spans="1:11" x14ac:dyDescent="0.3">
      <c r="A638" s="2" t="s">
        <v>2547</v>
      </c>
      <c r="B638" s="2" t="s">
        <v>145</v>
      </c>
      <c r="C638" s="2" t="s">
        <v>119</v>
      </c>
      <c r="D638" s="2" t="s">
        <v>2859</v>
      </c>
      <c r="E638" s="4" t="str">
        <f>HYPERLINK("./Results/DLO\158\Osteo_Sarco_1.png","RPT")</f>
        <v>RPT</v>
      </c>
      <c r="F638" s="2" t="s">
        <v>60</v>
      </c>
      <c r="G638" s="6"/>
      <c r="I638"/>
      <c r="J638"/>
      <c r="K638"/>
    </row>
    <row r="639" spans="1:11" x14ac:dyDescent="0.3">
      <c r="A639" s="2" t="s">
        <v>2534</v>
      </c>
      <c r="B639" s="2" t="s">
        <v>140</v>
      </c>
      <c r="C639" s="2" t="s">
        <v>119</v>
      </c>
      <c r="D639" s="2" t="s">
        <v>2867</v>
      </c>
      <c r="E639" s="4" t="str">
        <f>HYPERLINK("./Results/DLO\1580\Osteo_Sarco_1.png","RPT")</f>
        <v>RPT</v>
      </c>
      <c r="F639" s="2" t="s">
        <v>455</v>
      </c>
      <c r="G639" s="6"/>
      <c r="H639" s="1">
        <v>33.25</v>
      </c>
    </row>
    <row r="640" spans="1:11" x14ac:dyDescent="0.3">
      <c r="A640" s="2" t="s">
        <v>2544</v>
      </c>
      <c r="B640" s="2" t="s">
        <v>131</v>
      </c>
      <c r="C640" s="2" t="s">
        <v>111</v>
      </c>
      <c r="D640" s="2" t="s">
        <v>2859</v>
      </c>
      <c r="E640" s="4" t="str">
        <f>HYPERLINK("./Results/DLO\1581\Osteo_Sarco_1.png","RPT")</f>
        <v>RPT</v>
      </c>
      <c r="F640" s="2" t="s">
        <v>44</v>
      </c>
      <c r="G640" s="6"/>
      <c r="H640" s="1">
        <v>20.93</v>
      </c>
    </row>
    <row r="641" spans="1:11" x14ac:dyDescent="0.3">
      <c r="A641" s="2" t="s">
        <v>2545</v>
      </c>
      <c r="B641" s="2" t="s">
        <v>165</v>
      </c>
      <c r="C641" s="2" t="s">
        <v>119</v>
      </c>
      <c r="D641" s="2" t="s">
        <v>2867</v>
      </c>
      <c r="E641" s="4" t="str">
        <f>HYPERLINK("./Results/DLO\1582\Osteo_Sarco_1.png","RPT")</f>
        <v>RPT</v>
      </c>
      <c r="F641" s="2" t="s">
        <v>45</v>
      </c>
      <c r="G641" s="6"/>
      <c r="I641"/>
      <c r="J641"/>
      <c r="K641"/>
    </row>
    <row r="642" spans="1:11" x14ac:dyDescent="0.3">
      <c r="A642" s="2" t="s">
        <v>2561</v>
      </c>
      <c r="B642" s="2" t="s">
        <v>159</v>
      </c>
      <c r="C642" s="2" t="s">
        <v>111</v>
      </c>
      <c r="D642" s="2" t="s">
        <v>2859</v>
      </c>
      <c r="E642" s="4" t="str">
        <f>HYPERLINK("./Results/DLO\1583\Osteo_Sarco_1.png","RPT")</f>
        <v>RPT</v>
      </c>
      <c r="F642" s="2" t="s">
        <v>67</v>
      </c>
      <c r="G642" s="6"/>
      <c r="H642" s="1">
        <v>26.73</v>
      </c>
    </row>
    <row r="643" spans="1:11" x14ac:dyDescent="0.3">
      <c r="A643" s="2" t="s">
        <v>2551</v>
      </c>
      <c r="B643" s="2" t="s">
        <v>120</v>
      </c>
      <c r="C643" s="2" t="s">
        <v>119</v>
      </c>
      <c r="D643" s="2" t="s">
        <v>2859</v>
      </c>
      <c r="E643" s="4" t="str">
        <f>HYPERLINK("./Results/DLO\1584\Osteo_Sarco_1.png","RPT")</f>
        <v>RPT</v>
      </c>
      <c r="F643" s="2" t="s">
        <v>46</v>
      </c>
      <c r="G643" s="6"/>
      <c r="I643"/>
      <c r="J643"/>
      <c r="K643"/>
    </row>
    <row r="644" spans="1:11" x14ac:dyDescent="0.3">
      <c r="A644" s="2" t="s">
        <v>2562</v>
      </c>
      <c r="B644" s="2" t="s">
        <v>112</v>
      </c>
      <c r="C644" s="2" t="s">
        <v>111</v>
      </c>
      <c r="D644" s="2" t="s">
        <v>2859</v>
      </c>
      <c r="E644" s="4" t="str">
        <f>HYPERLINK("./Results/DLO\1585\Osteo_Sarco_1.png","RPT")</f>
        <v>RPT</v>
      </c>
      <c r="F644" s="2" t="s">
        <v>20</v>
      </c>
      <c r="G644" s="6"/>
      <c r="H644" s="1">
        <v>20.52</v>
      </c>
    </row>
    <row r="645" spans="1:11" x14ac:dyDescent="0.3">
      <c r="A645" s="2" t="s">
        <v>2560</v>
      </c>
      <c r="B645" s="2" t="s">
        <v>120</v>
      </c>
      <c r="C645" s="2" t="s">
        <v>111</v>
      </c>
      <c r="D645" s="2" t="s">
        <v>2867</v>
      </c>
      <c r="E645" s="4" t="str">
        <f>HYPERLINK("./Results/DLO\1586\Osteo_Sarco_1.png","RPT")</f>
        <v>RPT</v>
      </c>
      <c r="F645" s="2" t="s">
        <v>110</v>
      </c>
      <c r="G645" s="6"/>
      <c r="I645"/>
      <c r="J645"/>
      <c r="K645"/>
    </row>
    <row r="646" spans="1:11" x14ac:dyDescent="0.3">
      <c r="A646" s="2" t="s">
        <v>2568</v>
      </c>
      <c r="B646" s="2" t="s">
        <v>139</v>
      </c>
      <c r="C646" s="2" t="s">
        <v>111</v>
      </c>
      <c r="D646" s="2" t="s">
        <v>2859</v>
      </c>
      <c r="E646" s="4" t="str">
        <f>HYPERLINK("./Results/DLO\1587\Osteo_Sarco_1.png","RPT")</f>
        <v>RPT</v>
      </c>
      <c r="F646" s="2" t="s">
        <v>59</v>
      </c>
      <c r="G646" s="6"/>
      <c r="I646"/>
      <c r="J646"/>
      <c r="K646"/>
    </row>
    <row r="647" spans="1:11" x14ac:dyDescent="0.3">
      <c r="A647" s="2" t="s">
        <v>2553</v>
      </c>
      <c r="B647" s="2" t="s">
        <v>167</v>
      </c>
      <c r="C647" s="2" t="s">
        <v>111</v>
      </c>
      <c r="D647" s="2" t="s">
        <v>2859</v>
      </c>
      <c r="E647" s="4" t="str">
        <f>HYPERLINK("./Results/DLO\1588\Osteo_Sarco_1.png","RPT")</f>
        <v>RPT</v>
      </c>
      <c r="F647" s="2" t="s">
        <v>105</v>
      </c>
      <c r="G647" s="6"/>
      <c r="I647"/>
      <c r="J647"/>
      <c r="K647"/>
    </row>
    <row r="648" spans="1:11" x14ac:dyDescent="0.3">
      <c r="A648" s="2" t="s">
        <v>2556</v>
      </c>
      <c r="B648" s="2" t="s">
        <v>584</v>
      </c>
      <c r="C648" s="2" t="s">
        <v>119</v>
      </c>
      <c r="D648" s="2" t="s">
        <v>2859</v>
      </c>
      <c r="E648" s="4" t="str">
        <f>HYPERLINK("./Results/DLO\1589\Osteo_Sarco_1.png","RPT")</f>
        <v>RPT</v>
      </c>
      <c r="F648" s="2" t="s">
        <v>56</v>
      </c>
      <c r="G648" s="6"/>
      <c r="I648"/>
      <c r="J648"/>
      <c r="K648"/>
    </row>
    <row r="649" spans="1:11" x14ac:dyDescent="0.3">
      <c r="A649" s="2" t="s">
        <v>2566</v>
      </c>
      <c r="B649" s="2" t="s">
        <v>165</v>
      </c>
      <c r="C649" s="2" t="s">
        <v>111</v>
      </c>
      <c r="D649" s="2" t="s">
        <v>2859</v>
      </c>
      <c r="E649" s="4" t="str">
        <f>HYPERLINK("./Results/DLO\159\Osteo_Sarco_1.png","RPT")</f>
        <v>RPT</v>
      </c>
      <c r="F649" s="2" t="s">
        <v>453</v>
      </c>
      <c r="G649" s="6"/>
      <c r="I649"/>
      <c r="J649"/>
      <c r="K649"/>
    </row>
    <row r="650" spans="1:11" x14ac:dyDescent="0.3">
      <c r="A650" s="2" t="s">
        <v>2557</v>
      </c>
      <c r="B650" s="2" t="s">
        <v>587</v>
      </c>
      <c r="C650" s="2" t="s">
        <v>119</v>
      </c>
      <c r="D650" s="2" t="s">
        <v>2859</v>
      </c>
      <c r="E650" s="4" t="str">
        <f>HYPERLINK("./Results/DLO\1590\Osteo_Sarco_1.png","RPT")</f>
        <v>RPT</v>
      </c>
      <c r="F650" s="2" t="s">
        <v>70</v>
      </c>
      <c r="G650" s="6"/>
      <c r="I650"/>
      <c r="J650"/>
      <c r="K650"/>
    </row>
    <row r="651" spans="1:11" x14ac:dyDescent="0.3">
      <c r="A651" s="2" t="s">
        <v>2563</v>
      </c>
      <c r="B651" s="2" t="s">
        <v>164</v>
      </c>
      <c r="C651" s="2" t="s">
        <v>111</v>
      </c>
      <c r="D651" s="2" t="s">
        <v>2867</v>
      </c>
      <c r="E651" s="4" t="str">
        <f>HYPERLINK("./Results/DLO\1591\Osteo_Sarco_1.png","RPT")</f>
        <v>RPT</v>
      </c>
      <c r="F651" s="2" t="s">
        <v>54</v>
      </c>
      <c r="G651" s="6"/>
      <c r="I651"/>
      <c r="J651"/>
      <c r="K651"/>
    </row>
    <row r="652" spans="1:11" x14ac:dyDescent="0.3">
      <c r="A652" s="2" t="s">
        <v>2567</v>
      </c>
      <c r="B652" s="2" t="s">
        <v>140</v>
      </c>
      <c r="C652" s="2" t="s">
        <v>111</v>
      </c>
      <c r="D652" s="2" t="s">
        <v>2859</v>
      </c>
      <c r="E652" s="4" t="str">
        <f>HYPERLINK("./Results/DLO\1592\Osteo_Sarco_1.png","RPT")</f>
        <v>RPT</v>
      </c>
      <c r="F652" s="2" t="s">
        <v>26</v>
      </c>
      <c r="G652" s="6"/>
      <c r="I652"/>
      <c r="J652"/>
      <c r="K652"/>
    </row>
    <row r="653" spans="1:11" x14ac:dyDescent="0.3">
      <c r="A653" s="2" t="s">
        <v>2569</v>
      </c>
      <c r="B653" s="2" t="s">
        <v>116</v>
      </c>
      <c r="C653" s="2" t="s">
        <v>119</v>
      </c>
      <c r="D653" s="2" t="s">
        <v>2859</v>
      </c>
      <c r="E653" s="4" t="str">
        <f>HYPERLINK("./Results/DLO\1593\Osteo_Sarco_1.png","RPT")</f>
        <v>RPT</v>
      </c>
      <c r="F653" s="2" t="s">
        <v>97</v>
      </c>
      <c r="G653" s="6"/>
      <c r="H653" s="1">
        <v>25.27</v>
      </c>
    </row>
    <row r="654" spans="1:11" x14ac:dyDescent="0.3">
      <c r="A654" s="2" t="s">
        <v>2554</v>
      </c>
      <c r="B654" s="2" t="s">
        <v>133</v>
      </c>
      <c r="C654" s="2" t="s">
        <v>111</v>
      </c>
      <c r="D654" s="2" t="s">
        <v>2867</v>
      </c>
      <c r="E654" s="4" t="str">
        <f>HYPERLINK("./Results/DLO\1594\Osteo_Sarco_1.png","RPT")</f>
        <v>RPT</v>
      </c>
      <c r="F654" s="2" t="s">
        <v>25</v>
      </c>
      <c r="G654" s="6"/>
      <c r="I654"/>
      <c r="J654"/>
      <c r="K654"/>
    </row>
    <row r="655" spans="1:11" x14ac:dyDescent="0.3">
      <c r="A655" s="2" t="s">
        <v>2550</v>
      </c>
      <c r="B655" s="2" t="s">
        <v>116</v>
      </c>
      <c r="C655" s="2" t="s">
        <v>119</v>
      </c>
      <c r="D655" s="2" t="s">
        <v>2859</v>
      </c>
      <c r="E655" s="4" t="str">
        <f>HYPERLINK("./Results/DLO\1595\Osteo_Sarco_1.png","RPT")</f>
        <v>RPT</v>
      </c>
      <c r="F655" s="2" t="s">
        <v>34</v>
      </c>
      <c r="G655" s="6"/>
      <c r="H655" s="1">
        <v>28.19</v>
      </c>
    </row>
    <row r="656" spans="1:11" x14ac:dyDescent="0.3">
      <c r="A656" s="2" t="s">
        <v>2552</v>
      </c>
      <c r="B656" s="2" t="s">
        <v>154</v>
      </c>
      <c r="C656" s="2" t="s">
        <v>119</v>
      </c>
      <c r="D656" s="2" t="s">
        <v>2859</v>
      </c>
      <c r="E656" s="4" t="str">
        <f>HYPERLINK("./Results/DLO\1596\Osteo_Sarco_1.png","RPT")</f>
        <v>RPT</v>
      </c>
      <c r="F656" s="2" t="s">
        <v>70</v>
      </c>
      <c r="G656" s="6"/>
      <c r="I656"/>
      <c r="J656"/>
      <c r="K656"/>
    </row>
    <row r="657" spans="1:11" x14ac:dyDescent="0.3">
      <c r="A657" s="2" t="s">
        <v>2555</v>
      </c>
      <c r="B657" s="2" t="s">
        <v>133</v>
      </c>
      <c r="C657" s="2" t="s">
        <v>119</v>
      </c>
      <c r="D657" s="2" t="s">
        <v>2859</v>
      </c>
      <c r="E657" s="4" t="str">
        <f>HYPERLINK("./Results/DLO\1597\Osteo_Sarco_1.png","RPT")</f>
        <v>RPT</v>
      </c>
      <c r="F657" s="2" t="s">
        <v>46</v>
      </c>
      <c r="G657" s="6"/>
      <c r="I657"/>
      <c r="J657"/>
      <c r="K657"/>
    </row>
    <row r="658" spans="1:11" x14ac:dyDescent="0.3">
      <c r="A658" s="2" t="s">
        <v>2558</v>
      </c>
      <c r="B658" s="2" t="s">
        <v>144</v>
      </c>
      <c r="C658" s="2" t="s">
        <v>119</v>
      </c>
      <c r="D658" s="2" t="s">
        <v>2867</v>
      </c>
      <c r="E658" s="4" t="str">
        <f>HYPERLINK("./Results/DLO\1598\Osteo_Sarco_1.png","RPT")</f>
        <v>RPT</v>
      </c>
      <c r="F658" s="2" t="s">
        <v>42</v>
      </c>
      <c r="G658" s="6"/>
      <c r="I658"/>
      <c r="J658"/>
      <c r="K658"/>
    </row>
    <row r="659" spans="1:11" x14ac:dyDescent="0.3">
      <c r="A659" s="2" t="s">
        <v>2564</v>
      </c>
      <c r="B659" s="2" t="s">
        <v>133</v>
      </c>
      <c r="C659" s="2" t="s">
        <v>111</v>
      </c>
      <c r="D659" s="2" t="s">
        <v>2867</v>
      </c>
      <c r="E659" s="4" t="str">
        <f>HYPERLINK("./Results/DLO\1599\Osteo_Sarco_1.png","RPT")</f>
        <v>RPT</v>
      </c>
      <c r="F659" s="2" t="s">
        <v>65</v>
      </c>
      <c r="G659" s="6"/>
      <c r="I659"/>
      <c r="J659"/>
      <c r="K659"/>
    </row>
    <row r="660" spans="1:11" x14ac:dyDescent="0.3">
      <c r="A660" s="2" t="s">
        <v>2559</v>
      </c>
      <c r="B660" s="2" t="s">
        <v>112</v>
      </c>
      <c r="C660" s="2" t="s">
        <v>119</v>
      </c>
      <c r="D660" s="2" t="s">
        <v>2859</v>
      </c>
      <c r="E660" s="4" t="str">
        <f>HYPERLINK("./Results/DLO\16\Osteo_Sarco_1.png","RPT")</f>
        <v>RPT</v>
      </c>
      <c r="F660" s="2" t="s">
        <v>581</v>
      </c>
      <c r="G660" s="6"/>
      <c r="I660"/>
      <c r="J660"/>
      <c r="K660"/>
    </row>
    <row r="661" spans="1:11" x14ac:dyDescent="0.3">
      <c r="A661" s="2" t="s">
        <v>2565</v>
      </c>
      <c r="B661" s="2" t="s">
        <v>138</v>
      </c>
      <c r="C661" s="2" t="s">
        <v>119</v>
      </c>
      <c r="D661" s="2" t="s">
        <v>2867</v>
      </c>
      <c r="E661" s="4" t="str">
        <f>HYPERLINK("./Results/DLO\160\Osteo_Sarco_1.png","RPT")</f>
        <v>RPT</v>
      </c>
      <c r="F661" s="2" t="s">
        <v>72</v>
      </c>
      <c r="G661" s="6"/>
      <c r="H661" s="1">
        <v>22.68</v>
      </c>
    </row>
    <row r="662" spans="1:11" x14ac:dyDescent="0.3">
      <c r="A662" s="2" t="s">
        <v>2580</v>
      </c>
      <c r="B662" s="2" t="s">
        <v>138</v>
      </c>
      <c r="C662" s="2" t="s">
        <v>119</v>
      </c>
      <c r="D662" s="2" t="s">
        <v>2859</v>
      </c>
      <c r="E662" s="4" t="str">
        <f>HYPERLINK("./Results/DLO\1600\Osteo_Sarco_1.png","RPT")</f>
        <v>RPT</v>
      </c>
      <c r="F662" s="2" t="s">
        <v>456</v>
      </c>
      <c r="G662" s="6"/>
      <c r="I662"/>
      <c r="J662"/>
      <c r="K662"/>
    </row>
    <row r="663" spans="1:11" x14ac:dyDescent="0.3">
      <c r="A663" s="2" t="s">
        <v>2574</v>
      </c>
      <c r="B663" s="2" t="s">
        <v>132</v>
      </c>
      <c r="C663" s="2" t="s">
        <v>119</v>
      </c>
      <c r="D663" s="2" t="s">
        <v>2859</v>
      </c>
      <c r="E663" s="4" t="str">
        <f>HYPERLINK("./Results/DLO\1601\Osteo_Sarco_1.png","RPT")</f>
        <v>RPT</v>
      </c>
      <c r="F663" s="2" t="s">
        <v>583</v>
      </c>
      <c r="G663" s="6"/>
      <c r="I663"/>
      <c r="J663"/>
      <c r="K663"/>
    </row>
    <row r="664" spans="1:11" x14ac:dyDescent="0.3">
      <c r="A664" s="2" t="s">
        <v>2570</v>
      </c>
      <c r="B664" s="2" t="s">
        <v>592</v>
      </c>
      <c r="C664" s="2" t="s">
        <v>111</v>
      </c>
      <c r="D664" s="2" t="s">
        <v>2859</v>
      </c>
      <c r="E664" s="4" t="str">
        <f>HYPERLINK("./Results/DLO\1602\Osteo_Sarco_1.png","RPT")</f>
        <v>RPT</v>
      </c>
      <c r="F664" s="2" t="s">
        <v>63</v>
      </c>
      <c r="G664" s="6"/>
      <c r="I664"/>
      <c r="J664"/>
      <c r="K664"/>
    </row>
    <row r="665" spans="1:11" x14ac:dyDescent="0.3">
      <c r="A665" s="2" t="s">
        <v>2587</v>
      </c>
      <c r="B665" s="2" t="s">
        <v>138</v>
      </c>
      <c r="C665" s="2" t="s">
        <v>119</v>
      </c>
      <c r="D665" s="2" t="s">
        <v>2859</v>
      </c>
      <c r="E665" s="4" t="str">
        <f>HYPERLINK("./Results/DLO\1603\Osteo_Sarco_1.png","RPT")</f>
        <v>RPT</v>
      </c>
      <c r="F665" s="2" t="s">
        <v>81</v>
      </c>
      <c r="G665" s="6"/>
      <c r="I665"/>
      <c r="J665"/>
      <c r="K665"/>
    </row>
    <row r="666" spans="1:11" x14ac:dyDescent="0.3">
      <c r="A666" s="2" t="s">
        <v>2581</v>
      </c>
      <c r="B666" s="2" t="s">
        <v>142</v>
      </c>
      <c r="C666" s="2" t="s">
        <v>111</v>
      </c>
      <c r="D666" s="2" t="s">
        <v>2867</v>
      </c>
      <c r="E666" s="4" t="str">
        <f>HYPERLINK("./Results/DLO\1604\Osteo_Sarco_1.png","RPT")</f>
        <v>RPT</v>
      </c>
      <c r="F666" s="2" t="s">
        <v>445</v>
      </c>
      <c r="G666" s="6"/>
      <c r="I666"/>
      <c r="J666"/>
      <c r="K666"/>
    </row>
    <row r="667" spans="1:11" x14ac:dyDescent="0.3">
      <c r="A667" s="2" t="s">
        <v>2579</v>
      </c>
      <c r="B667" s="2" t="s">
        <v>162</v>
      </c>
      <c r="C667" s="2" t="s">
        <v>111</v>
      </c>
      <c r="D667" s="2" t="s">
        <v>2859</v>
      </c>
      <c r="E667" s="4" t="str">
        <f>HYPERLINK("./Results/DLO\1605\Osteo_Sarco_1.png","RPT")</f>
        <v>RPT</v>
      </c>
      <c r="F667" s="2" t="s">
        <v>58</v>
      </c>
      <c r="G667" s="6"/>
      <c r="I667"/>
      <c r="J667"/>
      <c r="K667"/>
    </row>
    <row r="668" spans="1:11" x14ac:dyDescent="0.3">
      <c r="A668" s="2" t="s">
        <v>2582</v>
      </c>
      <c r="B668" s="2" t="s">
        <v>123</v>
      </c>
      <c r="C668" s="2" t="s">
        <v>111</v>
      </c>
      <c r="D668" s="2" t="s">
        <v>2859</v>
      </c>
      <c r="E668" s="4" t="str">
        <f>HYPERLINK("./Results/DLO\1606\Osteo_Sarco_1.png","RPT")</f>
        <v>RPT</v>
      </c>
      <c r="F668" s="2" t="s">
        <v>89</v>
      </c>
      <c r="G668" s="6"/>
      <c r="I668"/>
      <c r="J668"/>
      <c r="K668"/>
    </row>
    <row r="669" spans="1:11" x14ac:dyDescent="0.3">
      <c r="A669" s="2" t="s">
        <v>2578</v>
      </c>
      <c r="B669" s="2" t="s">
        <v>136</v>
      </c>
      <c r="C669" s="2" t="s">
        <v>111</v>
      </c>
      <c r="D669" s="2" t="s">
        <v>2859</v>
      </c>
      <c r="E669" s="4" t="str">
        <f>HYPERLINK("./Results/DLO\1607\Osteo_Sarco_1.png","RPT")</f>
        <v>RPT</v>
      </c>
      <c r="F669" s="2" t="s">
        <v>457</v>
      </c>
      <c r="G669" s="6"/>
      <c r="I669"/>
      <c r="J669"/>
      <c r="K669"/>
    </row>
    <row r="670" spans="1:11" x14ac:dyDescent="0.3">
      <c r="A670" s="2" t="s">
        <v>2571</v>
      </c>
      <c r="B670" s="2" t="s">
        <v>151</v>
      </c>
      <c r="C670" s="2" t="s">
        <v>111</v>
      </c>
      <c r="D670" s="2" t="s">
        <v>2867</v>
      </c>
      <c r="E670" s="4" t="str">
        <f>HYPERLINK("./Results/DLO\1608\Osteo_Sarco_1.png","RPT")</f>
        <v>RPT</v>
      </c>
      <c r="F670" s="2" t="s">
        <v>108</v>
      </c>
      <c r="G670" s="6"/>
      <c r="I670"/>
      <c r="J670"/>
      <c r="K670"/>
    </row>
    <row r="671" spans="1:11" x14ac:dyDescent="0.3">
      <c r="A671" s="2" t="s">
        <v>2588</v>
      </c>
      <c r="B671" s="2" t="s">
        <v>143</v>
      </c>
      <c r="C671" s="2" t="s">
        <v>111</v>
      </c>
      <c r="D671" s="2" t="s">
        <v>2859</v>
      </c>
      <c r="E671" s="4" t="str">
        <f>HYPERLINK("./Results/DLO\1609\Osteo_Sarco_1.png","RPT")</f>
        <v>RPT</v>
      </c>
      <c r="F671" s="2" t="s">
        <v>32</v>
      </c>
      <c r="G671" s="6"/>
      <c r="H671" s="1">
        <v>20.43</v>
      </c>
    </row>
    <row r="672" spans="1:11" x14ac:dyDescent="0.3">
      <c r="A672" s="2" t="s">
        <v>2589</v>
      </c>
      <c r="B672" s="2" t="s">
        <v>139</v>
      </c>
      <c r="C672" s="2" t="s">
        <v>119</v>
      </c>
      <c r="D672" s="2" t="s">
        <v>2859</v>
      </c>
      <c r="E672" s="4" t="str">
        <f>HYPERLINK("./Results/DLO\161\Osteo_Sarco_1.png","RPT")</f>
        <v>RPT</v>
      </c>
      <c r="F672" s="2" t="s">
        <v>56</v>
      </c>
      <c r="G672" s="6"/>
      <c r="I672"/>
      <c r="J672"/>
      <c r="K672"/>
    </row>
    <row r="673" spans="1:11" x14ac:dyDescent="0.3">
      <c r="A673" s="2" t="s">
        <v>2583</v>
      </c>
      <c r="B673" s="2" t="s">
        <v>130</v>
      </c>
      <c r="C673" s="2" t="s">
        <v>111</v>
      </c>
      <c r="D673" s="2" t="s">
        <v>2859</v>
      </c>
      <c r="E673" s="4" t="str">
        <f>HYPERLINK("./Results/DLO\1610\Osteo_Sarco_1.png","RPT")</f>
        <v>RPT</v>
      </c>
      <c r="F673" s="2" t="s">
        <v>103</v>
      </c>
      <c r="G673" s="6"/>
      <c r="I673"/>
      <c r="J673"/>
      <c r="K673"/>
    </row>
    <row r="674" spans="1:11" x14ac:dyDescent="0.3">
      <c r="A674" s="2" t="s">
        <v>2590</v>
      </c>
      <c r="B674" s="2" t="s">
        <v>139</v>
      </c>
      <c r="C674" s="2" t="s">
        <v>119</v>
      </c>
      <c r="D674" s="2" t="s">
        <v>2867</v>
      </c>
      <c r="E674" s="4" t="str">
        <f>HYPERLINK("./Results/DLO\1611\Osteo_Sarco_1.png","RPT")</f>
        <v>RPT</v>
      </c>
      <c r="F674" s="2" t="s">
        <v>38</v>
      </c>
      <c r="G674" s="6"/>
      <c r="I674"/>
      <c r="J674"/>
      <c r="K674"/>
    </row>
    <row r="675" spans="1:11" x14ac:dyDescent="0.3">
      <c r="A675" s="2" t="s">
        <v>2573</v>
      </c>
      <c r="B675" s="2" t="s">
        <v>123</v>
      </c>
      <c r="C675" s="2" t="s">
        <v>119</v>
      </c>
      <c r="D675" s="2" t="s">
        <v>2867</v>
      </c>
      <c r="E675" s="4" t="str">
        <f>HYPERLINK("./Results/DLO\1612\Osteo_Sarco_1.png","RPT")</f>
        <v>RPT</v>
      </c>
      <c r="F675" s="2" t="s">
        <v>72</v>
      </c>
      <c r="G675" s="6"/>
      <c r="I675"/>
      <c r="J675"/>
      <c r="K675"/>
    </row>
    <row r="676" spans="1:11" x14ac:dyDescent="0.3">
      <c r="A676" s="2" t="s">
        <v>2586</v>
      </c>
      <c r="B676" s="2" t="s">
        <v>118</v>
      </c>
      <c r="C676" s="2" t="s">
        <v>111</v>
      </c>
      <c r="D676" s="2" t="s">
        <v>2859</v>
      </c>
      <c r="E676" s="4" t="str">
        <f>HYPERLINK("./Results/DLO\1613\Osteo_Sarco_1.png","RPT")</f>
        <v>RPT</v>
      </c>
      <c r="F676" s="2" t="s">
        <v>104</v>
      </c>
      <c r="G676" s="6"/>
      <c r="I676"/>
      <c r="J676"/>
      <c r="K676"/>
    </row>
    <row r="677" spans="1:11" x14ac:dyDescent="0.3">
      <c r="A677" s="2" t="s">
        <v>2584</v>
      </c>
      <c r="B677" s="2" t="s">
        <v>125</v>
      </c>
      <c r="C677" s="2" t="s">
        <v>111</v>
      </c>
      <c r="D677" s="2" t="s">
        <v>2859</v>
      </c>
      <c r="E677" s="4" t="str">
        <f>HYPERLINK("./Results/DLO\1614\Osteo_Sarco_1.png","RPT")</f>
        <v>RPT</v>
      </c>
      <c r="F677" s="2" t="s">
        <v>575</v>
      </c>
      <c r="G677" s="6"/>
      <c r="I677"/>
      <c r="J677"/>
      <c r="K677"/>
    </row>
    <row r="678" spans="1:11" x14ac:dyDescent="0.3">
      <c r="A678" s="2" t="s">
        <v>2591</v>
      </c>
      <c r="B678" s="2" t="s">
        <v>162</v>
      </c>
      <c r="C678" s="2" t="s">
        <v>119</v>
      </c>
      <c r="D678" s="2" t="s">
        <v>2859</v>
      </c>
      <c r="E678" s="4" t="str">
        <f>HYPERLINK("./Results/DLO\1615\Osteo_Sarco_1.png","RPT")</f>
        <v>RPT</v>
      </c>
      <c r="F678" s="2" t="s">
        <v>588</v>
      </c>
      <c r="G678" s="6"/>
      <c r="I678"/>
      <c r="J678"/>
      <c r="K678"/>
    </row>
    <row r="679" spans="1:11" x14ac:dyDescent="0.3">
      <c r="A679" s="2" t="s">
        <v>2575</v>
      </c>
      <c r="B679" s="2" t="s">
        <v>584</v>
      </c>
      <c r="C679" s="2" t="s">
        <v>111</v>
      </c>
      <c r="D679" s="2" t="s">
        <v>2867</v>
      </c>
      <c r="E679" s="4" t="str">
        <f>HYPERLINK("./Results/DLO\1616\Osteo_Sarco_1.png","RPT")</f>
        <v>RPT</v>
      </c>
      <c r="F679" s="2" t="s">
        <v>95</v>
      </c>
      <c r="G679" s="6"/>
      <c r="I679"/>
      <c r="J679"/>
      <c r="K679"/>
    </row>
    <row r="680" spans="1:11" x14ac:dyDescent="0.3">
      <c r="A680" s="2" t="s">
        <v>2592</v>
      </c>
      <c r="B680" s="2" t="s">
        <v>166</v>
      </c>
      <c r="C680" s="2" t="s">
        <v>111</v>
      </c>
      <c r="D680" s="2" t="s">
        <v>2867</v>
      </c>
      <c r="E680" s="4" t="str">
        <f>HYPERLINK("./Results/DLO\1617\Osteo_Sarco_1.png","RPT")</f>
        <v>RPT</v>
      </c>
      <c r="F680" s="2" t="s">
        <v>462</v>
      </c>
      <c r="G680" s="6"/>
      <c r="I680"/>
      <c r="J680"/>
      <c r="K680"/>
    </row>
    <row r="681" spans="1:11" x14ac:dyDescent="0.3">
      <c r="A681" s="2" t="s">
        <v>2572</v>
      </c>
      <c r="B681" s="2" t="s">
        <v>129</v>
      </c>
      <c r="C681" s="2" t="s">
        <v>119</v>
      </c>
      <c r="D681" s="2" t="s">
        <v>2859</v>
      </c>
      <c r="E681" s="4" t="str">
        <f>HYPERLINK("./Results/DLO\1618\Osteo_Sarco_1.png","RPT")</f>
        <v>RPT</v>
      </c>
      <c r="F681" s="2" t="s">
        <v>36</v>
      </c>
      <c r="G681" s="6"/>
      <c r="H681" s="1">
        <v>25.74</v>
      </c>
    </row>
    <row r="682" spans="1:11" x14ac:dyDescent="0.3">
      <c r="A682" s="2" t="s">
        <v>2585</v>
      </c>
      <c r="B682" s="2" t="s">
        <v>123</v>
      </c>
      <c r="C682" s="2" t="s">
        <v>111</v>
      </c>
      <c r="D682" s="2" t="s">
        <v>2859</v>
      </c>
      <c r="E682" s="4" t="str">
        <f>HYPERLINK("./Results/DLO\1619\Osteo_Sarco_1.png","RPT")</f>
        <v>RPT</v>
      </c>
      <c r="F682" s="2" t="s">
        <v>105</v>
      </c>
      <c r="G682" s="6"/>
      <c r="I682"/>
      <c r="J682"/>
      <c r="K682"/>
    </row>
    <row r="683" spans="1:11" x14ac:dyDescent="0.3">
      <c r="A683" s="2" t="s">
        <v>2576</v>
      </c>
      <c r="B683" s="2" t="s">
        <v>113</v>
      </c>
      <c r="C683" s="2" t="s">
        <v>111</v>
      </c>
      <c r="D683" s="2" t="s">
        <v>2859</v>
      </c>
      <c r="E683" s="4" t="str">
        <f>HYPERLINK("./Results/DLO\162\Osteo_Sarco_1.png","RPT")</f>
        <v>RPT</v>
      </c>
      <c r="F683" s="2" t="s">
        <v>466</v>
      </c>
      <c r="G683" s="6"/>
      <c r="H683" s="1">
        <v>25.31</v>
      </c>
    </row>
    <row r="684" spans="1:11" x14ac:dyDescent="0.3">
      <c r="A684" s="2" t="s">
        <v>2577</v>
      </c>
      <c r="B684" s="2" t="s">
        <v>126</v>
      </c>
      <c r="C684" s="2" t="s">
        <v>111</v>
      </c>
      <c r="D684" s="2" t="s">
        <v>2867</v>
      </c>
      <c r="E684" s="4" t="str">
        <f>HYPERLINK("./Results/DLO\1620\Osteo_Sarco_1.png","RPT")</f>
        <v>RPT</v>
      </c>
      <c r="F684" s="2" t="s">
        <v>25</v>
      </c>
      <c r="G684" s="6"/>
      <c r="I684"/>
      <c r="J684"/>
      <c r="K684"/>
    </row>
    <row r="685" spans="1:11" x14ac:dyDescent="0.3">
      <c r="A685" s="2" t="s">
        <v>2604</v>
      </c>
      <c r="B685" s="2" t="s">
        <v>133</v>
      </c>
      <c r="C685" s="2" t="s">
        <v>119</v>
      </c>
      <c r="D685" s="2" t="s">
        <v>2867</v>
      </c>
      <c r="E685" s="4" t="str">
        <f>HYPERLINK("./Results/DLO\1621\Osteo_Sarco_1.png","RPT")</f>
        <v>RPT</v>
      </c>
      <c r="F685" s="2" t="s">
        <v>136</v>
      </c>
      <c r="G685" s="6"/>
      <c r="I685"/>
      <c r="J685"/>
      <c r="K685"/>
    </row>
    <row r="686" spans="1:11" x14ac:dyDescent="0.3">
      <c r="A686" s="2" t="s">
        <v>2602</v>
      </c>
      <c r="B686" s="2" t="s">
        <v>162</v>
      </c>
      <c r="C686" s="2" t="s">
        <v>111</v>
      </c>
      <c r="D686" s="2" t="s">
        <v>2867</v>
      </c>
      <c r="E686" s="4" t="str">
        <f>HYPERLINK("./Results/DLO\1622\Osteo_Sarco_1.png","RPT")</f>
        <v>RPT</v>
      </c>
      <c r="F686" s="2" t="s">
        <v>101</v>
      </c>
      <c r="G686" s="6"/>
      <c r="I686"/>
      <c r="J686"/>
      <c r="K686"/>
    </row>
    <row r="687" spans="1:11" x14ac:dyDescent="0.3">
      <c r="A687" s="2" t="s">
        <v>2603</v>
      </c>
      <c r="B687" s="2" t="s">
        <v>157</v>
      </c>
      <c r="C687" s="2" t="s">
        <v>119</v>
      </c>
      <c r="D687" s="2" t="s">
        <v>2859</v>
      </c>
      <c r="E687" s="4" t="str">
        <f>HYPERLINK("./Results/DLO\1623\Osteo_Sarco_1.png","RPT")</f>
        <v>RPT</v>
      </c>
      <c r="F687" s="2" t="s">
        <v>50</v>
      </c>
      <c r="G687" s="6"/>
      <c r="I687"/>
      <c r="J687"/>
      <c r="K687"/>
    </row>
    <row r="688" spans="1:11" x14ac:dyDescent="0.3">
      <c r="A688" s="2" t="s">
        <v>2607</v>
      </c>
      <c r="B688" s="2" t="s">
        <v>163</v>
      </c>
      <c r="C688" s="2" t="s">
        <v>119</v>
      </c>
      <c r="D688" s="2" t="s">
        <v>2859</v>
      </c>
      <c r="E688" s="4" t="str">
        <f>HYPERLINK("./Results/DLO\1624\Osteo_Sarco_1.png","RPT")</f>
        <v>RPT</v>
      </c>
      <c r="F688" s="2" t="s">
        <v>31</v>
      </c>
      <c r="G688" s="6"/>
      <c r="I688"/>
      <c r="J688"/>
      <c r="K688"/>
    </row>
    <row r="689" spans="1:11" x14ac:dyDescent="0.3">
      <c r="A689" s="2" t="s">
        <v>2598</v>
      </c>
      <c r="B689" s="2" t="s">
        <v>131</v>
      </c>
      <c r="C689" s="2" t="s">
        <v>111</v>
      </c>
      <c r="D689" s="2" t="s">
        <v>2859</v>
      </c>
      <c r="E689" s="4" t="str">
        <f>HYPERLINK("./Results/DLO\1625\Osteo_Sarco_1.png","RPT")</f>
        <v>RPT</v>
      </c>
      <c r="F689" s="2" t="s">
        <v>471</v>
      </c>
      <c r="G689" s="6"/>
      <c r="I689"/>
      <c r="J689"/>
      <c r="K689"/>
    </row>
    <row r="690" spans="1:11" x14ac:dyDescent="0.3">
      <c r="A690" s="2" t="s">
        <v>2594</v>
      </c>
      <c r="B690" s="2" t="s">
        <v>126</v>
      </c>
      <c r="C690" s="2" t="s">
        <v>111</v>
      </c>
      <c r="D690" s="2" t="s">
        <v>2859</v>
      </c>
      <c r="E690" s="4" t="str">
        <f>HYPERLINK("./Results/DLO\1626\Osteo_Sarco_1.png","RPT")</f>
        <v>RPT</v>
      </c>
      <c r="F690" s="2" t="s">
        <v>453</v>
      </c>
      <c r="G690" s="6"/>
      <c r="I690"/>
      <c r="J690"/>
      <c r="K690"/>
    </row>
    <row r="691" spans="1:11" x14ac:dyDescent="0.3">
      <c r="A691" s="2" t="s">
        <v>2600</v>
      </c>
      <c r="B691" s="2" t="s">
        <v>144</v>
      </c>
      <c r="C691" s="2" t="s">
        <v>119</v>
      </c>
      <c r="D691" s="2" t="s">
        <v>2859</v>
      </c>
      <c r="E691" s="4" t="str">
        <f>HYPERLINK("./Results/DLO\1627\Osteo_Sarco_1.png","RPT")</f>
        <v>RPT</v>
      </c>
      <c r="F691" s="2" t="s">
        <v>21</v>
      </c>
      <c r="G691" s="6"/>
      <c r="H691" s="1">
        <v>22.94</v>
      </c>
    </row>
    <row r="692" spans="1:11" x14ac:dyDescent="0.3">
      <c r="A692" s="2" t="s">
        <v>2614</v>
      </c>
      <c r="B692" s="2" t="s">
        <v>140</v>
      </c>
      <c r="C692" s="2" t="s">
        <v>119</v>
      </c>
      <c r="D692" s="2" t="s">
        <v>2867</v>
      </c>
      <c r="E692" s="4" t="str">
        <f>HYPERLINK("./Results/DLO\1628\Osteo_Sarco_1.png","RPT")</f>
        <v>RPT</v>
      </c>
      <c r="F692" s="2" t="s">
        <v>81</v>
      </c>
      <c r="G692" s="6"/>
      <c r="H692" s="1">
        <v>29.91</v>
      </c>
    </row>
    <row r="693" spans="1:11" x14ac:dyDescent="0.3">
      <c r="A693" s="2" t="s">
        <v>2605</v>
      </c>
      <c r="B693" s="2" t="s">
        <v>114</v>
      </c>
      <c r="C693" s="2" t="s">
        <v>111</v>
      </c>
      <c r="D693" s="2" t="s">
        <v>2859</v>
      </c>
      <c r="E693" s="4" t="str">
        <f>HYPERLINK("./Results/DLO\1629\Osteo_Sarco_1.png","RPT")</f>
        <v>RPT</v>
      </c>
      <c r="F693" s="2" t="s">
        <v>58</v>
      </c>
      <c r="G693" s="6"/>
      <c r="H693" s="1">
        <v>27.17</v>
      </c>
    </row>
    <row r="694" spans="1:11" x14ac:dyDescent="0.3">
      <c r="A694" s="2" t="s">
        <v>2617</v>
      </c>
      <c r="B694" s="2" t="s">
        <v>128</v>
      </c>
      <c r="C694" s="2" t="s">
        <v>119</v>
      </c>
      <c r="D694" s="2" t="s">
        <v>2859</v>
      </c>
      <c r="E694" s="4" t="str">
        <f>HYPERLINK("./Results/DLO\163\Osteo_Sarco_1.png","RPT")</f>
        <v>RPT</v>
      </c>
      <c r="F694" s="2" t="s">
        <v>50</v>
      </c>
      <c r="G694" s="6"/>
      <c r="H694" s="1">
        <v>19.559999999999999</v>
      </c>
    </row>
    <row r="695" spans="1:11" x14ac:dyDescent="0.3">
      <c r="A695" s="2" t="s">
        <v>2616</v>
      </c>
      <c r="B695" s="2" t="s">
        <v>142</v>
      </c>
      <c r="C695" s="2" t="s">
        <v>111</v>
      </c>
      <c r="D695" s="2" t="s">
        <v>2867</v>
      </c>
      <c r="E695" s="4" t="str">
        <f>HYPERLINK("./Results/DLO\1630\Osteo_Sarco_1.png","RPT")</f>
        <v>RPT</v>
      </c>
      <c r="F695" s="2" t="s">
        <v>452</v>
      </c>
      <c r="G695" s="6"/>
      <c r="H695" s="1">
        <v>26.93</v>
      </c>
    </row>
    <row r="696" spans="1:11" x14ac:dyDescent="0.3">
      <c r="A696" s="2" t="s">
        <v>2618</v>
      </c>
      <c r="B696" s="2" t="s">
        <v>139</v>
      </c>
      <c r="C696" s="2" t="s">
        <v>111</v>
      </c>
      <c r="D696" s="2" t="s">
        <v>2867</v>
      </c>
      <c r="E696" s="4" t="str">
        <f>HYPERLINK("./Results/DLO\1631\Osteo_Sarco_1.png","RPT")</f>
        <v>RPT</v>
      </c>
      <c r="F696" s="2" t="s">
        <v>80</v>
      </c>
      <c r="G696" s="6"/>
      <c r="H696" s="1">
        <v>24.23</v>
      </c>
    </row>
    <row r="697" spans="1:11" x14ac:dyDescent="0.3">
      <c r="A697" s="2" t="s">
        <v>2610</v>
      </c>
      <c r="B697" s="2" t="s">
        <v>151</v>
      </c>
      <c r="C697" s="2" t="s">
        <v>119</v>
      </c>
      <c r="D697" s="2" t="s">
        <v>2867</v>
      </c>
      <c r="E697" s="4" t="str">
        <f>HYPERLINK("./Results/DLO\1632\Osteo_Sarco_1.png","RPT")</f>
        <v>RPT</v>
      </c>
      <c r="F697" s="2" t="s">
        <v>27</v>
      </c>
      <c r="G697" s="6"/>
      <c r="I697"/>
      <c r="J697"/>
      <c r="K697"/>
    </row>
    <row r="698" spans="1:11" x14ac:dyDescent="0.3">
      <c r="A698" s="2" t="s">
        <v>2613</v>
      </c>
      <c r="B698" s="2" t="s">
        <v>126</v>
      </c>
      <c r="C698" s="2" t="s">
        <v>111</v>
      </c>
      <c r="D698" s="2" t="s">
        <v>2867</v>
      </c>
      <c r="E698" s="4" t="str">
        <f>HYPERLINK("./Results/DLO\1633\Osteo_Sarco_1.png","RPT")</f>
        <v>RPT</v>
      </c>
      <c r="F698" s="2" t="s">
        <v>473</v>
      </c>
      <c r="G698" s="6"/>
      <c r="H698" s="1">
        <v>24.54</v>
      </c>
    </row>
    <row r="699" spans="1:11" x14ac:dyDescent="0.3">
      <c r="A699" s="2" t="s">
        <v>2606</v>
      </c>
      <c r="B699" s="2" t="s">
        <v>166</v>
      </c>
      <c r="C699" s="2" t="s">
        <v>119</v>
      </c>
      <c r="D699" s="2" t="s">
        <v>2859</v>
      </c>
      <c r="E699" s="4" t="str">
        <f>HYPERLINK("./Results/DLO\1634\Osteo_Sarco_1.png","RPT")</f>
        <v>RPT</v>
      </c>
      <c r="F699" s="2" t="s">
        <v>43</v>
      </c>
      <c r="G699" s="6"/>
      <c r="I699"/>
      <c r="J699"/>
      <c r="K699"/>
    </row>
    <row r="700" spans="1:11" x14ac:dyDescent="0.3">
      <c r="A700" s="2" t="s">
        <v>2595</v>
      </c>
      <c r="B700" s="2" t="s">
        <v>166</v>
      </c>
      <c r="C700" s="2" t="s">
        <v>119</v>
      </c>
      <c r="D700" s="2" t="s">
        <v>2867</v>
      </c>
      <c r="E700" s="4" t="str">
        <f>HYPERLINK("./Results/DLO\1635\Osteo_Sarco_1.png","RPT")</f>
        <v>RPT</v>
      </c>
      <c r="F700" s="2" t="s">
        <v>81</v>
      </c>
      <c r="G700" s="6"/>
      <c r="I700"/>
      <c r="J700"/>
      <c r="K700"/>
    </row>
    <row r="701" spans="1:11" x14ac:dyDescent="0.3">
      <c r="A701" s="2" t="s">
        <v>2612</v>
      </c>
      <c r="B701" s="2" t="s">
        <v>112</v>
      </c>
      <c r="C701" s="2" t="s">
        <v>111</v>
      </c>
      <c r="D701" s="2" t="s">
        <v>2867</v>
      </c>
      <c r="E701" s="4" t="str">
        <f>HYPERLINK("./Results/DLO\1636\Osteo_Sarco_1.png","RPT")</f>
        <v>RPT</v>
      </c>
      <c r="F701" s="2" t="s">
        <v>88</v>
      </c>
      <c r="G701" s="6"/>
      <c r="I701"/>
      <c r="J701"/>
      <c r="K701"/>
    </row>
    <row r="702" spans="1:11" x14ac:dyDescent="0.3">
      <c r="A702" s="2" t="s">
        <v>2601</v>
      </c>
      <c r="B702" s="2" t="s">
        <v>127</v>
      </c>
      <c r="C702" s="2" t="s">
        <v>111</v>
      </c>
      <c r="D702" s="2" t="s">
        <v>2867</v>
      </c>
      <c r="E702" s="4" t="str">
        <f>HYPERLINK("./Results/DLO\1637\Osteo_Sarco_1.png","RPT")</f>
        <v>RPT</v>
      </c>
      <c r="F702" s="2" t="s">
        <v>66</v>
      </c>
      <c r="G702" s="6"/>
      <c r="I702"/>
      <c r="J702"/>
      <c r="K702"/>
    </row>
    <row r="703" spans="1:11" x14ac:dyDescent="0.3">
      <c r="A703" s="2" t="s">
        <v>2615</v>
      </c>
      <c r="B703" s="2" t="s">
        <v>122</v>
      </c>
      <c r="C703" s="2" t="s">
        <v>119</v>
      </c>
      <c r="D703" s="2" t="s">
        <v>2859</v>
      </c>
      <c r="E703" s="4" t="str">
        <f>HYPERLINK("./Results/DLO\1638\Osteo_Sarco_1.png","RPT")</f>
        <v>RPT</v>
      </c>
      <c r="F703" s="2" t="s">
        <v>74</v>
      </c>
      <c r="G703" s="6"/>
      <c r="H703" s="1">
        <v>20.93</v>
      </c>
    </row>
    <row r="704" spans="1:11" x14ac:dyDescent="0.3">
      <c r="A704" s="2" t="s">
        <v>2608</v>
      </c>
      <c r="B704" s="2" t="s">
        <v>151</v>
      </c>
      <c r="C704" s="2" t="s">
        <v>119</v>
      </c>
      <c r="D704" s="2" t="s">
        <v>2859</v>
      </c>
      <c r="E704" s="4" t="str">
        <f>HYPERLINK("./Results/DLO\1639\Osteo_Sarco_1.png","RPT")</f>
        <v>RPT</v>
      </c>
      <c r="F704" s="2" t="s">
        <v>21</v>
      </c>
      <c r="G704" s="6"/>
      <c r="I704"/>
      <c r="J704"/>
      <c r="K704"/>
    </row>
    <row r="705" spans="1:11" x14ac:dyDescent="0.3">
      <c r="A705" s="2" t="s">
        <v>2609</v>
      </c>
      <c r="B705" s="2" t="s">
        <v>116</v>
      </c>
      <c r="C705" s="2" t="s">
        <v>111</v>
      </c>
      <c r="D705" s="2" t="s">
        <v>2867</v>
      </c>
      <c r="E705" s="4" t="str">
        <f>HYPERLINK("./Results/DLO\164\Osteo_Sarco_1.png","RPT")</f>
        <v>RPT</v>
      </c>
      <c r="F705" s="2" t="s">
        <v>49</v>
      </c>
      <c r="G705" s="6"/>
      <c r="I705"/>
      <c r="J705"/>
      <c r="K705"/>
    </row>
    <row r="706" spans="1:11" x14ac:dyDescent="0.3">
      <c r="A706" s="2" t="s">
        <v>2599</v>
      </c>
      <c r="B706" s="2" t="s">
        <v>114</v>
      </c>
      <c r="C706" s="2" t="s">
        <v>111</v>
      </c>
      <c r="D706" s="2" t="s">
        <v>2859</v>
      </c>
      <c r="E706" s="4" t="str">
        <f>HYPERLINK("./Results/DLO\1640\Osteo_Sarco_1.png","RPT")</f>
        <v>RPT</v>
      </c>
      <c r="F706" s="2" t="s">
        <v>458</v>
      </c>
      <c r="G706" s="6"/>
      <c r="H706" s="1">
        <v>25.93</v>
      </c>
    </row>
    <row r="707" spans="1:11" x14ac:dyDescent="0.3">
      <c r="A707" s="2" t="s">
        <v>2611</v>
      </c>
      <c r="B707" s="2" t="s">
        <v>140</v>
      </c>
      <c r="C707" s="2" t="s">
        <v>119</v>
      </c>
      <c r="D707" s="2" t="s">
        <v>2867</v>
      </c>
      <c r="E707" s="4" t="str">
        <f>HYPERLINK("./Results/DLO\1641\Osteo_Sarco_1.png","RPT")</f>
        <v>RPT</v>
      </c>
      <c r="F707" s="2" t="s">
        <v>48</v>
      </c>
      <c r="G707" s="6"/>
      <c r="I707"/>
      <c r="J707"/>
      <c r="K707"/>
    </row>
    <row r="708" spans="1:11" x14ac:dyDescent="0.3">
      <c r="A708" s="2" t="s">
        <v>2593</v>
      </c>
      <c r="B708" s="2" t="s">
        <v>149</v>
      </c>
      <c r="C708" s="2" t="s">
        <v>111</v>
      </c>
      <c r="D708" s="2" t="s">
        <v>2859</v>
      </c>
      <c r="E708" s="4" t="str">
        <f>HYPERLINK("./Results/DLO\1642\Osteo_Sarco_1.png","RPT")</f>
        <v>RPT</v>
      </c>
      <c r="F708" s="2" t="s">
        <v>25</v>
      </c>
      <c r="G708" s="6"/>
      <c r="I708"/>
      <c r="J708"/>
      <c r="K708"/>
    </row>
    <row r="709" spans="1:11" x14ac:dyDescent="0.3">
      <c r="A709" s="2" t="s">
        <v>2596</v>
      </c>
      <c r="B709" s="2" t="s">
        <v>589</v>
      </c>
      <c r="C709" s="2" t="s">
        <v>119</v>
      </c>
      <c r="D709" s="2" t="s">
        <v>2859</v>
      </c>
      <c r="E709" s="4" t="str">
        <f>HYPERLINK("./Results/DLO\1643\Osteo_Sarco_1.png","RPT")</f>
        <v>RPT</v>
      </c>
      <c r="F709" s="2" t="s">
        <v>50</v>
      </c>
      <c r="G709" s="6"/>
      <c r="I709"/>
      <c r="J709"/>
      <c r="K709"/>
    </row>
    <row r="710" spans="1:11" x14ac:dyDescent="0.3">
      <c r="A710" s="2" t="s">
        <v>2597</v>
      </c>
      <c r="B710" s="2" t="s">
        <v>159</v>
      </c>
      <c r="C710" s="2" t="s">
        <v>111</v>
      </c>
      <c r="D710" s="2" t="s">
        <v>2859</v>
      </c>
      <c r="E710" s="4" t="str">
        <f>HYPERLINK("./Results/DLO\1644\Osteo_Sarco_1.png","RPT")</f>
        <v>RPT</v>
      </c>
      <c r="F710" s="2" t="s">
        <v>42</v>
      </c>
      <c r="G710" s="6"/>
      <c r="I710"/>
      <c r="J710"/>
      <c r="K710"/>
    </row>
    <row r="711" spans="1:11" x14ac:dyDescent="0.3">
      <c r="A711" s="2" t="s">
        <v>2636</v>
      </c>
      <c r="B711" s="2" t="s">
        <v>165</v>
      </c>
      <c r="C711" s="2" t="s">
        <v>119</v>
      </c>
      <c r="D711" s="2" t="s">
        <v>2859</v>
      </c>
      <c r="E711" s="4" t="str">
        <f>HYPERLINK("./Results/DLO\1645\Osteo_Sarco_1.png","RPT")</f>
        <v>RPT</v>
      </c>
      <c r="F711" s="2" t="s">
        <v>585</v>
      </c>
      <c r="G711" s="6"/>
      <c r="I711"/>
      <c r="J711"/>
      <c r="K711"/>
    </row>
    <row r="712" spans="1:11" x14ac:dyDescent="0.3">
      <c r="A712" s="2" t="s">
        <v>2628</v>
      </c>
      <c r="B712" s="2" t="s">
        <v>123</v>
      </c>
      <c r="C712" s="2" t="s">
        <v>111</v>
      </c>
      <c r="D712" s="2" t="s">
        <v>2867</v>
      </c>
      <c r="E712" s="4" t="str">
        <f>HYPERLINK("./Results/DLO\1646\Osteo_Sarco_1.png","RPT")</f>
        <v>RPT</v>
      </c>
      <c r="F712" s="2" t="s">
        <v>452</v>
      </c>
      <c r="G712" s="6"/>
      <c r="I712"/>
      <c r="J712"/>
      <c r="K712"/>
    </row>
    <row r="713" spans="1:11" x14ac:dyDescent="0.3">
      <c r="A713" s="2" t="s">
        <v>2629</v>
      </c>
      <c r="B713" s="2" t="s">
        <v>140</v>
      </c>
      <c r="C713" s="2" t="s">
        <v>111</v>
      </c>
      <c r="D713" s="2" t="s">
        <v>2859</v>
      </c>
      <c r="E713" s="4" t="str">
        <f>HYPERLINK("./Results/DLO\1647\Osteo_Sarco_1.png","RPT")</f>
        <v>RPT</v>
      </c>
      <c r="F713" s="2" t="s">
        <v>32</v>
      </c>
      <c r="G713" s="6"/>
      <c r="I713"/>
      <c r="J713"/>
      <c r="K713"/>
    </row>
    <row r="714" spans="1:11" x14ac:dyDescent="0.3">
      <c r="A714" s="2" t="s">
        <v>2625</v>
      </c>
      <c r="B714" s="2" t="s">
        <v>142</v>
      </c>
      <c r="C714" s="2" t="s">
        <v>119</v>
      </c>
      <c r="D714" s="2" t="s">
        <v>2859</v>
      </c>
      <c r="E714" s="4" t="str">
        <f>HYPERLINK("./Results/DLO\1648\Osteo_Sarco_1.png","RPT")</f>
        <v>RPT</v>
      </c>
      <c r="F714" s="2" t="s">
        <v>61</v>
      </c>
      <c r="G714" s="6"/>
      <c r="I714"/>
      <c r="J714"/>
      <c r="K714"/>
    </row>
    <row r="715" spans="1:11" x14ac:dyDescent="0.3">
      <c r="A715" s="2" t="s">
        <v>2640</v>
      </c>
      <c r="B715" s="2" t="s">
        <v>163</v>
      </c>
      <c r="C715" s="2" t="s">
        <v>119</v>
      </c>
      <c r="D715" s="2" t="s">
        <v>2859</v>
      </c>
      <c r="E715" s="4" t="str">
        <f>HYPERLINK("./Results/DLO\1649\Osteo_Sarco_1.png","RPT")</f>
        <v>RPT</v>
      </c>
      <c r="F715" s="2" t="s">
        <v>60</v>
      </c>
      <c r="G715" s="6"/>
      <c r="I715"/>
      <c r="J715"/>
      <c r="K715"/>
    </row>
    <row r="716" spans="1:11" x14ac:dyDescent="0.3">
      <c r="A716" s="2" t="s">
        <v>2621</v>
      </c>
      <c r="B716" s="2" t="s">
        <v>148</v>
      </c>
      <c r="C716" s="2" t="s">
        <v>111</v>
      </c>
      <c r="D716" s="2" t="s">
        <v>2859</v>
      </c>
      <c r="E716" s="4" t="str">
        <f>HYPERLINK("./Results/DLO\165\Osteo_Sarco_1.png","RPT")</f>
        <v>RPT</v>
      </c>
      <c r="F716" s="2" t="s">
        <v>47</v>
      </c>
      <c r="G716" s="6"/>
      <c r="I716"/>
      <c r="J716"/>
      <c r="K716"/>
    </row>
    <row r="717" spans="1:11" x14ac:dyDescent="0.3">
      <c r="A717" s="2" t="s">
        <v>2637</v>
      </c>
      <c r="B717" s="2" t="s">
        <v>139</v>
      </c>
      <c r="C717" s="2" t="s">
        <v>111</v>
      </c>
      <c r="D717" s="2" t="s">
        <v>2859</v>
      </c>
      <c r="E717" s="4" t="str">
        <f>HYPERLINK("./Results/DLO\1650\Osteo_Sarco_1.png","RPT")</f>
        <v>RPT</v>
      </c>
      <c r="F717" s="2" t="s">
        <v>40</v>
      </c>
      <c r="G717" s="6"/>
      <c r="I717"/>
      <c r="J717"/>
      <c r="K717"/>
    </row>
    <row r="718" spans="1:11" x14ac:dyDescent="0.3">
      <c r="A718" s="2" t="s">
        <v>2626</v>
      </c>
      <c r="B718" s="2" t="s">
        <v>151</v>
      </c>
      <c r="C718" s="2" t="s">
        <v>111</v>
      </c>
      <c r="D718" s="2" t="s">
        <v>2859</v>
      </c>
      <c r="E718" s="4" t="str">
        <f>HYPERLINK("./Results/DLO\1651\Osteo_Sarco_1.png","RPT")</f>
        <v>RPT</v>
      </c>
      <c r="F718" s="2" t="s">
        <v>446</v>
      </c>
      <c r="G718" s="6"/>
      <c r="I718"/>
      <c r="J718"/>
      <c r="K718"/>
    </row>
    <row r="719" spans="1:11" x14ac:dyDescent="0.3">
      <c r="A719" s="2" t="s">
        <v>2627</v>
      </c>
      <c r="B719" s="2" t="s">
        <v>152</v>
      </c>
      <c r="C719" s="2" t="s">
        <v>119</v>
      </c>
      <c r="D719" s="2" t="s">
        <v>2867</v>
      </c>
      <c r="E719" s="4" t="str">
        <f>HYPERLINK("./Results/DLO\1652\Osteo_Sarco_1.png","RPT")</f>
        <v>RPT</v>
      </c>
      <c r="F719" s="2" t="s">
        <v>57</v>
      </c>
      <c r="G719" s="6"/>
      <c r="I719"/>
      <c r="J719"/>
      <c r="K719"/>
    </row>
    <row r="720" spans="1:11" x14ac:dyDescent="0.3">
      <c r="A720" s="2" t="s">
        <v>2634</v>
      </c>
      <c r="B720" s="2" t="s">
        <v>142</v>
      </c>
      <c r="C720" s="2" t="s">
        <v>119</v>
      </c>
      <c r="D720" s="2" t="s">
        <v>2867</v>
      </c>
      <c r="E720" s="4" t="str">
        <f>HYPERLINK("./Results/DLO\1653\Osteo_Sarco_1.png","RPT")</f>
        <v>RPT</v>
      </c>
      <c r="F720" s="2" t="s">
        <v>467</v>
      </c>
      <c r="G720" s="6"/>
      <c r="H720" s="1">
        <v>24.01</v>
      </c>
    </row>
    <row r="721" spans="1:11" x14ac:dyDescent="0.3">
      <c r="A721" s="2" t="s">
        <v>2624</v>
      </c>
      <c r="B721" s="2" t="s">
        <v>151</v>
      </c>
      <c r="C721" s="2" t="s">
        <v>119</v>
      </c>
      <c r="D721" s="2" t="s">
        <v>1957</v>
      </c>
      <c r="E721" s="4" t="str">
        <f>HYPERLINK("./Results/DLO\1654\Osteo_Sarco_1.png","RPT")</f>
        <v>RPT</v>
      </c>
      <c r="F721" s="2" t="s">
        <v>61</v>
      </c>
      <c r="G721" s="6"/>
      <c r="I721"/>
      <c r="J721"/>
      <c r="K721"/>
    </row>
    <row r="722" spans="1:11" x14ac:dyDescent="0.3">
      <c r="A722" s="2" t="s">
        <v>2638</v>
      </c>
      <c r="B722" s="2" t="s">
        <v>126</v>
      </c>
      <c r="C722" s="2" t="s">
        <v>111</v>
      </c>
      <c r="D722" s="2" t="s">
        <v>2867</v>
      </c>
      <c r="E722" s="4" t="str">
        <f>HYPERLINK("./Results/DLO\1655\Osteo_Sarco_1.png","RPT")</f>
        <v>RPT</v>
      </c>
      <c r="F722" s="2" t="s">
        <v>26</v>
      </c>
      <c r="G722" s="6"/>
      <c r="I722"/>
      <c r="J722"/>
      <c r="K722"/>
    </row>
    <row r="723" spans="1:11" x14ac:dyDescent="0.3">
      <c r="A723" s="2" t="s">
        <v>2631</v>
      </c>
      <c r="B723" s="2" t="s">
        <v>133</v>
      </c>
      <c r="C723" s="2" t="s">
        <v>119</v>
      </c>
      <c r="D723" s="2" t="s">
        <v>2859</v>
      </c>
      <c r="E723" s="4" t="str">
        <f>HYPERLINK("./Results/DLO\1656\Osteo_Sarco_1.png","RPT")</f>
        <v>RPT</v>
      </c>
      <c r="F723" s="2" t="s">
        <v>27</v>
      </c>
      <c r="G723" s="6"/>
      <c r="H723" s="1">
        <v>21.2</v>
      </c>
    </row>
    <row r="724" spans="1:11" x14ac:dyDescent="0.3">
      <c r="A724" s="2" t="s">
        <v>2630</v>
      </c>
      <c r="B724" s="2" t="s">
        <v>143</v>
      </c>
      <c r="C724" s="2" t="s">
        <v>111</v>
      </c>
      <c r="D724" s="2" t="s">
        <v>2859</v>
      </c>
      <c r="E724" s="4" t="str">
        <f>HYPERLINK("./Results/DLO\1657\Osteo_Sarco_1.png","RPT")</f>
        <v>RPT</v>
      </c>
      <c r="F724" s="2" t="s">
        <v>95</v>
      </c>
      <c r="G724" s="6"/>
      <c r="I724"/>
      <c r="J724"/>
      <c r="K724"/>
    </row>
    <row r="725" spans="1:11" x14ac:dyDescent="0.3">
      <c r="A725" s="2" t="s">
        <v>2639</v>
      </c>
      <c r="B725" s="2" t="s">
        <v>165</v>
      </c>
      <c r="C725" s="2" t="s">
        <v>111</v>
      </c>
      <c r="D725" s="2" t="s">
        <v>2859</v>
      </c>
      <c r="E725" s="4" t="str">
        <f>HYPERLINK("./Results/DLO\1658\Osteo_Sarco_1.png","RPT")</f>
        <v>RPT</v>
      </c>
      <c r="F725" s="2" t="s">
        <v>64</v>
      </c>
      <c r="G725" s="6"/>
      <c r="H725" s="1">
        <v>25.37</v>
      </c>
    </row>
    <row r="726" spans="1:11" x14ac:dyDescent="0.3">
      <c r="A726" s="2" t="s">
        <v>2619</v>
      </c>
      <c r="B726" s="2" t="s">
        <v>136</v>
      </c>
      <c r="C726" s="2" t="s">
        <v>111</v>
      </c>
      <c r="D726" s="2" t="s">
        <v>2859</v>
      </c>
      <c r="E726" s="4" t="str">
        <f>HYPERLINK("./Results/DLO\166\Osteo_Sarco_1.png","RPT")</f>
        <v>RPT</v>
      </c>
      <c r="F726" s="2" t="s">
        <v>575</v>
      </c>
      <c r="G726" s="6"/>
      <c r="I726"/>
      <c r="J726"/>
      <c r="K726"/>
    </row>
    <row r="727" spans="1:11" x14ac:dyDescent="0.3">
      <c r="A727" s="2" t="s">
        <v>2620</v>
      </c>
      <c r="B727" s="2" t="s">
        <v>140</v>
      </c>
      <c r="C727" s="2" t="s">
        <v>119</v>
      </c>
      <c r="D727" s="2" t="s">
        <v>2859</v>
      </c>
      <c r="E727" s="4" t="str">
        <f>HYPERLINK("./Results/DLO\1660\Osteo_Sarco_1.png","RPT")</f>
        <v>RPT</v>
      </c>
      <c r="F727" s="2" t="s">
        <v>41</v>
      </c>
      <c r="G727" s="6"/>
      <c r="I727"/>
      <c r="J727"/>
      <c r="K727"/>
    </row>
    <row r="728" spans="1:11" x14ac:dyDescent="0.3">
      <c r="A728" s="2" t="s">
        <v>2622</v>
      </c>
      <c r="B728" s="2" t="s">
        <v>140</v>
      </c>
      <c r="C728" s="2" t="s">
        <v>119</v>
      </c>
      <c r="D728" s="2" t="s">
        <v>2859</v>
      </c>
      <c r="E728" s="4" t="str">
        <f>HYPERLINK("./Results/DLO\1661\Osteo_Sarco_1.png","RPT")</f>
        <v>RPT</v>
      </c>
      <c r="F728" s="2" t="s">
        <v>450</v>
      </c>
      <c r="G728" s="6"/>
      <c r="I728"/>
      <c r="J728"/>
      <c r="K728"/>
    </row>
    <row r="729" spans="1:11" x14ac:dyDescent="0.3">
      <c r="A729" s="2" t="s">
        <v>2632</v>
      </c>
      <c r="B729" s="2" t="s">
        <v>133</v>
      </c>
      <c r="C729" s="2" t="s">
        <v>119</v>
      </c>
      <c r="D729" s="2" t="s">
        <v>2859</v>
      </c>
      <c r="E729" s="4" t="str">
        <f>HYPERLINK("./Results/DLO\1662\Osteo_Sarco_1.png","RPT")</f>
        <v>RPT</v>
      </c>
      <c r="F729" s="2" t="s">
        <v>115</v>
      </c>
      <c r="G729" s="6"/>
      <c r="I729"/>
      <c r="J729"/>
      <c r="K729"/>
    </row>
    <row r="730" spans="1:11" x14ac:dyDescent="0.3">
      <c r="A730" s="2" t="s">
        <v>2623</v>
      </c>
      <c r="B730" s="2" t="s">
        <v>123</v>
      </c>
      <c r="C730" s="2" t="s">
        <v>111</v>
      </c>
      <c r="D730" s="2" t="s">
        <v>2867</v>
      </c>
      <c r="E730" s="4" t="str">
        <f>HYPERLINK("./Results/DLO\1663\Osteo_Sarco_1.png","RPT")</f>
        <v>RPT</v>
      </c>
      <c r="F730" s="2" t="s">
        <v>458</v>
      </c>
      <c r="G730" s="6"/>
      <c r="I730"/>
      <c r="J730"/>
      <c r="K730"/>
    </row>
    <row r="731" spans="1:11" x14ac:dyDescent="0.3">
      <c r="A731" s="2" t="s">
        <v>2633</v>
      </c>
      <c r="B731" s="2" t="s">
        <v>170</v>
      </c>
      <c r="C731" s="2" t="s">
        <v>111</v>
      </c>
      <c r="D731" s="2" t="s">
        <v>2859</v>
      </c>
      <c r="E731" s="4" t="str">
        <f>HYPERLINK("./Results/DLO\1664\Osteo_Sarco_1.png","RPT")</f>
        <v>RPT</v>
      </c>
      <c r="F731" s="2" t="s">
        <v>468</v>
      </c>
      <c r="G731" s="6"/>
      <c r="I731"/>
      <c r="J731"/>
      <c r="K731"/>
    </row>
    <row r="732" spans="1:11" x14ac:dyDescent="0.3">
      <c r="A732" s="2" t="s">
        <v>2635</v>
      </c>
      <c r="B732" s="2" t="s">
        <v>167</v>
      </c>
      <c r="C732" s="2" t="s">
        <v>119</v>
      </c>
      <c r="D732" s="2" t="s">
        <v>2859</v>
      </c>
      <c r="E732" s="4" t="str">
        <f>HYPERLINK("./Results/DLO\1665\Osteo_Sarco_1.png","RPT")</f>
        <v>RPT</v>
      </c>
      <c r="F732" s="2" t="s">
        <v>46</v>
      </c>
      <c r="G732" s="6"/>
      <c r="H732" s="1">
        <v>24.3</v>
      </c>
    </row>
    <row r="733" spans="1:11" x14ac:dyDescent="0.3">
      <c r="A733" s="2" t="s">
        <v>2652</v>
      </c>
      <c r="B733" s="2" t="s">
        <v>140</v>
      </c>
      <c r="C733" s="2" t="s">
        <v>111</v>
      </c>
      <c r="D733" s="2" t="s">
        <v>2867</v>
      </c>
      <c r="E733" s="4" t="str">
        <f>HYPERLINK("./Results/DLO\1666\Osteo_Sarco_1.png","RPT")</f>
        <v>RPT</v>
      </c>
      <c r="F733" s="2" t="s">
        <v>107</v>
      </c>
      <c r="G733" s="6"/>
      <c r="I733"/>
      <c r="J733"/>
      <c r="K733"/>
    </row>
    <row r="734" spans="1:11" x14ac:dyDescent="0.3">
      <c r="A734" s="2" t="s">
        <v>2644</v>
      </c>
      <c r="B734" s="2" t="s">
        <v>116</v>
      </c>
      <c r="C734" s="2" t="s">
        <v>111</v>
      </c>
      <c r="D734" s="2" t="s">
        <v>2859</v>
      </c>
      <c r="E734" s="4" t="str">
        <f>HYPERLINK("./Results/DLO\1667\Osteo_Sarco_1.png","RPT")</f>
        <v>RPT</v>
      </c>
      <c r="F734" s="2" t="s">
        <v>93</v>
      </c>
      <c r="G734" s="6"/>
      <c r="I734"/>
      <c r="J734"/>
      <c r="K734"/>
    </row>
    <row r="735" spans="1:11" x14ac:dyDescent="0.3">
      <c r="A735" s="2" t="s">
        <v>2641</v>
      </c>
      <c r="B735" s="2" t="s">
        <v>139</v>
      </c>
      <c r="C735" s="2" t="s">
        <v>111</v>
      </c>
      <c r="D735" s="2" t="s">
        <v>2859</v>
      </c>
      <c r="E735" s="4" t="str">
        <f>HYPERLINK("./Results/DLO\1668\Osteo_Sarco_1.png","RPT")</f>
        <v>RPT</v>
      </c>
      <c r="F735" s="2" t="s">
        <v>47</v>
      </c>
      <c r="G735" s="6"/>
      <c r="I735"/>
      <c r="J735"/>
      <c r="K735"/>
    </row>
    <row r="736" spans="1:11" x14ac:dyDescent="0.3">
      <c r="A736" s="2" t="s">
        <v>2646</v>
      </c>
      <c r="B736" s="2" t="s">
        <v>136</v>
      </c>
      <c r="C736" s="2" t="s">
        <v>111</v>
      </c>
      <c r="D736" s="2" t="s">
        <v>2859</v>
      </c>
      <c r="E736" s="4" t="str">
        <f>HYPERLINK("./Results/DLO\1669\Osteo_Sarco_1.png","RPT")</f>
        <v>RPT</v>
      </c>
      <c r="F736" s="2" t="s">
        <v>44</v>
      </c>
      <c r="G736" s="6"/>
      <c r="I736"/>
      <c r="J736"/>
      <c r="K736"/>
    </row>
    <row r="737" spans="1:11" x14ac:dyDescent="0.3">
      <c r="A737" s="2" t="s">
        <v>2655</v>
      </c>
      <c r="B737" s="2" t="s">
        <v>123</v>
      </c>
      <c r="C737" s="2" t="s">
        <v>119</v>
      </c>
      <c r="D737" s="2" t="s">
        <v>2859</v>
      </c>
      <c r="E737" s="4" t="str">
        <f>HYPERLINK("./Results/DLO\167\Osteo_Sarco_1.png","RPT")</f>
        <v>RPT</v>
      </c>
      <c r="F737" s="2" t="s">
        <v>50</v>
      </c>
      <c r="G737" s="6"/>
      <c r="H737" s="1">
        <v>20.82</v>
      </c>
    </row>
    <row r="738" spans="1:11" x14ac:dyDescent="0.3">
      <c r="A738" s="2" t="s">
        <v>2647</v>
      </c>
      <c r="B738" s="2" t="s">
        <v>141</v>
      </c>
      <c r="C738" s="2" t="s">
        <v>111</v>
      </c>
      <c r="D738" s="2" t="s">
        <v>2859</v>
      </c>
      <c r="E738" s="4" t="str">
        <f>HYPERLINK("./Results/DLO\1670\Osteo_Sarco_1.png","RPT")</f>
        <v>RPT</v>
      </c>
      <c r="F738" s="2" t="s">
        <v>6</v>
      </c>
      <c r="G738" s="6"/>
      <c r="H738" s="1">
        <v>24</v>
      </c>
    </row>
    <row r="739" spans="1:11" x14ac:dyDescent="0.3">
      <c r="A739" s="2" t="s">
        <v>2658</v>
      </c>
      <c r="B739" s="2" t="s">
        <v>116</v>
      </c>
      <c r="C739" s="2" t="s">
        <v>119</v>
      </c>
      <c r="D739" s="2" t="s">
        <v>2867</v>
      </c>
      <c r="E739" s="4" t="str">
        <f>HYPERLINK("./Results/DLO\1671\Osteo_Sarco_1.png","RPT")</f>
        <v>RPT</v>
      </c>
      <c r="F739" s="2" t="s">
        <v>21</v>
      </c>
      <c r="G739" s="6"/>
      <c r="I739"/>
      <c r="J739"/>
      <c r="K739"/>
    </row>
    <row r="740" spans="1:11" x14ac:dyDescent="0.3">
      <c r="A740" s="2" t="s">
        <v>2664</v>
      </c>
      <c r="B740" s="2" t="s">
        <v>140</v>
      </c>
      <c r="C740" s="2" t="s">
        <v>119</v>
      </c>
      <c r="D740" s="2" t="s">
        <v>2867</v>
      </c>
      <c r="E740" s="4" t="str">
        <f>HYPERLINK("./Results/DLO\1672\Osteo_Sarco_1.png","RPT")</f>
        <v>RPT</v>
      </c>
      <c r="F740" s="2" t="s">
        <v>27</v>
      </c>
      <c r="G740" s="6"/>
      <c r="H740" s="1">
        <v>23.78</v>
      </c>
    </row>
    <row r="741" spans="1:11" x14ac:dyDescent="0.3">
      <c r="A741" s="2" t="s">
        <v>2657</v>
      </c>
      <c r="B741" s="2" t="s">
        <v>143</v>
      </c>
      <c r="C741" s="2" t="s">
        <v>111</v>
      </c>
      <c r="D741" s="2" t="s">
        <v>2859</v>
      </c>
      <c r="E741" s="4" t="str">
        <f>HYPERLINK("./Results/DLO\1673\Osteo_Sarco_1.png","RPT")</f>
        <v>RPT</v>
      </c>
      <c r="F741" s="2" t="s">
        <v>99</v>
      </c>
      <c r="G741" s="6"/>
      <c r="I741"/>
      <c r="J741"/>
      <c r="K741"/>
    </row>
    <row r="742" spans="1:11" x14ac:dyDescent="0.3">
      <c r="A742" s="2" t="s">
        <v>2663</v>
      </c>
      <c r="B742" s="2" t="s">
        <v>167</v>
      </c>
      <c r="C742" s="2" t="s">
        <v>119</v>
      </c>
      <c r="D742" s="2" t="s">
        <v>2859</v>
      </c>
      <c r="E742" s="4" t="str">
        <f>HYPERLINK("./Results/DLO\1674\Osteo_Sarco_1.png","RPT")</f>
        <v>RPT</v>
      </c>
      <c r="F742" s="2" t="s">
        <v>74</v>
      </c>
      <c r="G742" s="6"/>
      <c r="H742" s="1">
        <v>21.63</v>
      </c>
    </row>
    <row r="743" spans="1:11" x14ac:dyDescent="0.3">
      <c r="A743" s="2" t="s">
        <v>2661</v>
      </c>
      <c r="B743" s="2" t="s">
        <v>112</v>
      </c>
      <c r="C743" s="2" t="s">
        <v>119</v>
      </c>
      <c r="D743" s="2" t="s">
        <v>2867</v>
      </c>
      <c r="E743" s="4" t="str">
        <f>HYPERLINK("./Results/DLO\1675\Osteo_Sarco_1.png","RPT")</f>
        <v>RPT</v>
      </c>
      <c r="F743" s="2" t="s">
        <v>583</v>
      </c>
      <c r="G743" s="6"/>
      <c r="H743" s="1">
        <v>24.69</v>
      </c>
    </row>
    <row r="744" spans="1:11" x14ac:dyDescent="0.3">
      <c r="A744" s="2" t="s">
        <v>2649</v>
      </c>
      <c r="B744" s="2" t="s">
        <v>139</v>
      </c>
      <c r="C744" s="2" t="s">
        <v>111</v>
      </c>
      <c r="D744" s="2" t="s">
        <v>2859</v>
      </c>
      <c r="E744" s="4" t="str">
        <f>HYPERLINK("./Results/DLO\1676\Osteo_Sarco_1.png","RPT")</f>
        <v>RPT</v>
      </c>
      <c r="F744" s="2" t="s">
        <v>63</v>
      </c>
      <c r="G744" s="6"/>
      <c r="I744"/>
      <c r="J744"/>
      <c r="K744"/>
    </row>
    <row r="745" spans="1:11" x14ac:dyDescent="0.3">
      <c r="A745" s="2" t="s">
        <v>2662</v>
      </c>
      <c r="B745" s="2" t="s">
        <v>135</v>
      </c>
      <c r="C745" s="2" t="s">
        <v>119</v>
      </c>
      <c r="D745" s="2" t="s">
        <v>2859</v>
      </c>
      <c r="E745" s="4" t="str">
        <f>HYPERLINK("./Results/DLO\1677\Osteo_Sarco_1.png","RPT")</f>
        <v>RPT</v>
      </c>
      <c r="F745" s="2" t="s">
        <v>467</v>
      </c>
      <c r="G745" s="6"/>
      <c r="H745" s="1">
        <v>22.89</v>
      </c>
    </row>
    <row r="746" spans="1:11" x14ac:dyDescent="0.3">
      <c r="A746" s="2" t="s">
        <v>2650</v>
      </c>
      <c r="B746" s="2" t="s">
        <v>159</v>
      </c>
      <c r="C746" s="2" t="s">
        <v>119</v>
      </c>
      <c r="D746" s="2" t="s">
        <v>2859</v>
      </c>
      <c r="E746" s="4" t="str">
        <f>HYPERLINK("./Results/DLO\1678\Osteo_Sarco_1.png","RPT")</f>
        <v>RPT</v>
      </c>
      <c r="F746" s="2" t="s">
        <v>454</v>
      </c>
      <c r="G746" s="6"/>
      <c r="I746"/>
      <c r="J746"/>
      <c r="K746"/>
    </row>
    <row r="747" spans="1:11" x14ac:dyDescent="0.3">
      <c r="A747" s="2" t="s">
        <v>2648</v>
      </c>
      <c r="B747" s="2" t="s">
        <v>123</v>
      </c>
      <c r="C747" s="2" t="s">
        <v>111</v>
      </c>
      <c r="D747" s="2" t="s">
        <v>2859</v>
      </c>
      <c r="E747" s="4" t="str">
        <f>HYPERLINK("./Results/DLO\1679\Osteo_Sarco_1.png","RPT")</f>
        <v>RPT</v>
      </c>
      <c r="F747" s="2" t="s">
        <v>458</v>
      </c>
      <c r="G747" s="6"/>
      <c r="I747"/>
      <c r="J747"/>
      <c r="K747"/>
    </row>
    <row r="748" spans="1:11" x14ac:dyDescent="0.3">
      <c r="A748" s="2" t="s">
        <v>2651</v>
      </c>
      <c r="B748" s="2" t="s">
        <v>148</v>
      </c>
      <c r="C748" s="2" t="s">
        <v>111</v>
      </c>
      <c r="D748" s="2" t="s">
        <v>2859</v>
      </c>
      <c r="E748" s="4" t="str">
        <f>HYPERLINK("./Results/DLO\168\Osteo_Sarco_1.png","RPT")</f>
        <v>RPT</v>
      </c>
      <c r="F748" s="2" t="s">
        <v>452</v>
      </c>
      <c r="G748" s="6"/>
      <c r="H748" s="1">
        <v>25.25</v>
      </c>
    </row>
    <row r="749" spans="1:11" x14ac:dyDescent="0.3">
      <c r="A749" s="2" t="s">
        <v>2656</v>
      </c>
      <c r="B749" s="2" t="s">
        <v>163</v>
      </c>
      <c r="C749" s="2" t="s">
        <v>111</v>
      </c>
      <c r="D749" s="2" t="s">
        <v>2859</v>
      </c>
      <c r="E749" s="4" t="str">
        <f>HYPERLINK("./Results/DLO\1680\Osteo_Sarco_1.png","RPT")</f>
        <v>RPT</v>
      </c>
      <c r="F749" s="2" t="s">
        <v>0</v>
      </c>
      <c r="G749" s="6"/>
      <c r="I749"/>
      <c r="J749"/>
      <c r="K749"/>
    </row>
    <row r="750" spans="1:11" x14ac:dyDescent="0.3">
      <c r="A750" s="2" t="s">
        <v>2653</v>
      </c>
      <c r="B750" s="2" t="s">
        <v>149</v>
      </c>
      <c r="C750" s="2" t="s">
        <v>119</v>
      </c>
      <c r="D750" s="2" t="s">
        <v>2859</v>
      </c>
      <c r="E750" s="4" t="str">
        <f>HYPERLINK("./Results/DLO\1681\Osteo_Sarco_1.png","RPT")</f>
        <v>RPT</v>
      </c>
      <c r="F750" s="2" t="s">
        <v>72</v>
      </c>
      <c r="G750" s="6"/>
      <c r="I750"/>
      <c r="J750"/>
      <c r="K750"/>
    </row>
    <row r="751" spans="1:11" x14ac:dyDescent="0.3">
      <c r="A751" s="2" t="s">
        <v>2659</v>
      </c>
      <c r="B751" s="2" t="s">
        <v>136</v>
      </c>
      <c r="C751" s="2" t="s">
        <v>111</v>
      </c>
      <c r="D751" s="2" t="s">
        <v>2859</v>
      </c>
      <c r="E751" s="4" t="str">
        <f>HYPERLINK("./Results/DLO\1682\Osteo_Sarco_1.png","RPT")</f>
        <v>RPT</v>
      </c>
      <c r="F751" s="2" t="s">
        <v>54</v>
      </c>
      <c r="G751" s="6"/>
      <c r="H751" s="1">
        <v>24.92</v>
      </c>
    </row>
    <row r="752" spans="1:11" x14ac:dyDescent="0.3">
      <c r="A752" s="2" t="s">
        <v>2654</v>
      </c>
      <c r="B752" s="2" t="s">
        <v>164</v>
      </c>
      <c r="C752" s="2" t="s">
        <v>119</v>
      </c>
      <c r="D752" s="2" t="s">
        <v>1960</v>
      </c>
      <c r="E752" s="4" t="str">
        <f>HYPERLINK("./Results/DLO\1683\Osteo_Sarco_1.png","RPT")</f>
        <v>RPT</v>
      </c>
      <c r="F752" s="2" t="s">
        <v>27</v>
      </c>
      <c r="G752" s="6"/>
      <c r="H752" s="1">
        <v>28.94</v>
      </c>
    </row>
    <row r="753" spans="1:11" x14ac:dyDescent="0.3">
      <c r="A753" s="2" t="s">
        <v>2660</v>
      </c>
      <c r="B753" s="2" t="s">
        <v>163</v>
      </c>
      <c r="C753" s="2" t="s">
        <v>119</v>
      </c>
      <c r="D753" s="2" t="s">
        <v>2859</v>
      </c>
      <c r="E753" s="4" t="str">
        <f>HYPERLINK("./Results/DLO\1684\Osteo_Sarco_1.png","RPT")</f>
        <v>RPT</v>
      </c>
      <c r="F753" s="2" t="s">
        <v>38</v>
      </c>
      <c r="G753" s="6"/>
      <c r="I753"/>
      <c r="J753"/>
      <c r="K753"/>
    </row>
    <row r="754" spans="1:11" x14ac:dyDescent="0.3">
      <c r="A754" s="2" t="s">
        <v>2642</v>
      </c>
      <c r="B754" s="2" t="s">
        <v>137</v>
      </c>
      <c r="C754" s="2" t="s">
        <v>111</v>
      </c>
      <c r="D754" s="2" t="s">
        <v>2859</v>
      </c>
      <c r="E754" s="4" t="str">
        <f>HYPERLINK("./Results/DLO\1685\Osteo_Sarco_1.png","RPT")</f>
        <v>RPT</v>
      </c>
      <c r="F754" s="2" t="s">
        <v>462</v>
      </c>
      <c r="G754" s="6"/>
      <c r="H754" s="1">
        <v>26.85</v>
      </c>
    </row>
    <row r="755" spans="1:11" x14ac:dyDescent="0.3">
      <c r="A755" s="2" t="s">
        <v>2645</v>
      </c>
      <c r="B755" s="2" t="s">
        <v>159</v>
      </c>
      <c r="C755" s="2" t="s">
        <v>119</v>
      </c>
      <c r="D755" s="2" t="s">
        <v>2859</v>
      </c>
      <c r="E755" s="4" t="str">
        <f>HYPERLINK("./Results/DLO\1686\Osteo_Sarco_1.png","RPT")</f>
        <v>RPT</v>
      </c>
      <c r="F755" s="2" t="s">
        <v>456</v>
      </c>
      <c r="G755" s="6"/>
      <c r="I755"/>
      <c r="J755"/>
      <c r="K755"/>
    </row>
    <row r="756" spans="1:11" x14ac:dyDescent="0.3">
      <c r="A756" s="2" t="s">
        <v>2643</v>
      </c>
      <c r="B756" s="2" t="s">
        <v>157</v>
      </c>
      <c r="C756" s="2" t="s">
        <v>111</v>
      </c>
      <c r="D756" s="2" t="s">
        <v>2867</v>
      </c>
      <c r="E756" s="4" t="str">
        <f>HYPERLINK("./Results/DLO\1687\Osteo_Sarco_1.png","RPT")</f>
        <v>RPT</v>
      </c>
      <c r="F756" s="2" t="s">
        <v>448</v>
      </c>
      <c r="G756" s="6"/>
      <c r="I756"/>
      <c r="J756"/>
      <c r="K756"/>
    </row>
    <row r="757" spans="1:11" x14ac:dyDescent="0.3">
      <c r="A757" s="2" t="s">
        <v>2687</v>
      </c>
      <c r="B757" s="2" t="s">
        <v>165</v>
      </c>
      <c r="C757" s="2" t="s">
        <v>111</v>
      </c>
      <c r="D757" s="2" t="s">
        <v>2867</v>
      </c>
      <c r="E757" s="4" t="str">
        <f>HYPERLINK("./Results/DLO\1688\Osteo_Sarco_1.png","RPT")</f>
        <v>RPT</v>
      </c>
      <c r="F757" s="2" t="s">
        <v>25</v>
      </c>
      <c r="G757" s="6"/>
      <c r="I757"/>
      <c r="J757"/>
      <c r="K757"/>
    </row>
    <row r="758" spans="1:11" x14ac:dyDescent="0.3">
      <c r="A758" s="2" t="s">
        <v>2688</v>
      </c>
      <c r="B758" s="2" t="s">
        <v>141</v>
      </c>
      <c r="C758" s="2" t="s">
        <v>111</v>
      </c>
      <c r="D758" s="2" t="s">
        <v>2859</v>
      </c>
      <c r="E758" s="4" t="str">
        <f>HYPERLINK("./Results/DLO\1689\Osteo_Sarco_1.png","RPT")</f>
        <v>RPT</v>
      </c>
      <c r="F758" s="2" t="s">
        <v>69</v>
      </c>
      <c r="G758" s="6"/>
      <c r="I758"/>
      <c r="J758"/>
      <c r="K758"/>
    </row>
    <row r="759" spans="1:11" x14ac:dyDescent="0.3">
      <c r="A759" s="2" t="s">
        <v>2667</v>
      </c>
      <c r="B759" s="2" t="s">
        <v>587</v>
      </c>
      <c r="C759" s="2" t="s">
        <v>119</v>
      </c>
      <c r="D759" s="2" t="s">
        <v>2859</v>
      </c>
      <c r="E759" s="4" t="str">
        <f>HYPERLINK("./Results/DLO\169\Osteo_Sarco_1.png","RPT")</f>
        <v>RPT</v>
      </c>
      <c r="F759" s="2" t="s">
        <v>96</v>
      </c>
      <c r="G759" s="6"/>
      <c r="I759"/>
      <c r="J759"/>
      <c r="K759"/>
    </row>
    <row r="760" spans="1:11" x14ac:dyDescent="0.3">
      <c r="A760" s="2" t="s">
        <v>2689</v>
      </c>
      <c r="B760" s="2" t="s">
        <v>146</v>
      </c>
      <c r="C760" s="2" t="s">
        <v>119</v>
      </c>
      <c r="D760" s="2" t="s">
        <v>2867</v>
      </c>
      <c r="E760" s="4" t="str">
        <f>HYPERLINK("./Results/DLO\1690\Osteo_Sarco_1.png","RPT")</f>
        <v>RPT</v>
      </c>
      <c r="F760" s="2" t="s">
        <v>81</v>
      </c>
      <c r="G760" s="6"/>
      <c r="H760" s="1">
        <v>22.43</v>
      </c>
    </row>
    <row r="761" spans="1:11" x14ac:dyDescent="0.3">
      <c r="A761" s="2" t="s">
        <v>2682</v>
      </c>
      <c r="B761" s="2" t="s">
        <v>157</v>
      </c>
      <c r="C761" s="2" t="s">
        <v>111</v>
      </c>
      <c r="D761" s="2" t="s">
        <v>2859</v>
      </c>
      <c r="E761" s="4" t="str">
        <f>HYPERLINK("./Results/DLO\1691\Osteo_Sarco_1.png","RPT")</f>
        <v>RPT</v>
      </c>
      <c r="F761" s="2" t="s">
        <v>67</v>
      </c>
      <c r="G761" s="6"/>
      <c r="I761"/>
      <c r="J761"/>
      <c r="K761"/>
    </row>
    <row r="762" spans="1:11" x14ac:dyDescent="0.3">
      <c r="A762" s="2" t="s">
        <v>2675</v>
      </c>
      <c r="B762" s="2" t="s">
        <v>131</v>
      </c>
      <c r="C762" s="2" t="s">
        <v>111</v>
      </c>
      <c r="D762" s="2" t="s">
        <v>2859</v>
      </c>
      <c r="E762" s="4" t="str">
        <f>HYPERLINK("./Results/DLO\1692\Osteo_Sarco_1.png","RPT")</f>
        <v>RPT</v>
      </c>
      <c r="F762" s="2" t="s">
        <v>47</v>
      </c>
      <c r="G762" s="6"/>
      <c r="I762"/>
      <c r="J762"/>
      <c r="K762"/>
    </row>
    <row r="763" spans="1:11" x14ac:dyDescent="0.3">
      <c r="A763" s="2" t="s">
        <v>2671</v>
      </c>
      <c r="B763" s="2" t="s">
        <v>159</v>
      </c>
      <c r="C763" s="2" t="s">
        <v>111</v>
      </c>
      <c r="D763" s="2" t="s">
        <v>2859</v>
      </c>
      <c r="E763" s="4" t="str">
        <f>HYPERLINK("./Results/DLO\1693\Osteo_Sarco_1.png","RPT")</f>
        <v>RPT</v>
      </c>
      <c r="F763" s="2" t="s">
        <v>22</v>
      </c>
      <c r="G763" s="6"/>
      <c r="I763"/>
      <c r="J763"/>
      <c r="K763"/>
    </row>
    <row r="764" spans="1:11" x14ac:dyDescent="0.3">
      <c r="A764" s="2" t="s">
        <v>2685</v>
      </c>
      <c r="B764" s="2" t="s">
        <v>149</v>
      </c>
      <c r="C764" s="2" t="s">
        <v>111</v>
      </c>
      <c r="D764" s="2" t="s">
        <v>2867</v>
      </c>
      <c r="E764" s="4" t="str">
        <f>HYPERLINK("./Results/DLO\1694\Osteo_Sarco_1.png","RPT")</f>
        <v>RPT</v>
      </c>
      <c r="F764" s="2" t="s">
        <v>448</v>
      </c>
      <c r="G764" s="6"/>
      <c r="I764"/>
      <c r="J764"/>
      <c r="K764"/>
    </row>
    <row r="765" spans="1:11" x14ac:dyDescent="0.3">
      <c r="A765" s="2" t="s">
        <v>2666</v>
      </c>
      <c r="B765" s="2" t="s">
        <v>132</v>
      </c>
      <c r="C765" s="2" t="s">
        <v>119</v>
      </c>
      <c r="D765" s="2" t="s">
        <v>2859</v>
      </c>
      <c r="E765" s="4" t="str">
        <f>HYPERLINK("./Results/DLO\1695\Osteo_Sarco_1.png","RPT")</f>
        <v>RPT</v>
      </c>
      <c r="F765" s="2" t="s">
        <v>588</v>
      </c>
      <c r="G765" s="6"/>
      <c r="I765"/>
      <c r="J765"/>
      <c r="K765"/>
    </row>
    <row r="766" spans="1:11" x14ac:dyDescent="0.3">
      <c r="A766" s="2" t="s">
        <v>2678</v>
      </c>
      <c r="B766" s="2" t="s">
        <v>159</v>
      </c>
      <c r="C766" s="2" t="s">
        <v>111</v>
      </c>
      <c r="D766" s="2" t="s">
        <v>2859</v>
      </c>
      <c r="E766" s="4" t="str">
        <f>HYPERLINK("./Results/DLO\1696\Osteo_Sarco_1.png","RPT")</f>
        <v>RPT</v>
      </c>
      <c r="F766" s="2" t="s">
        <v>6</v>
      </c>
      <c r="G766" s="6"/>
      <c r="I766"/>
      <c r="J766"/>
      <c r="K766"/>
    </row>
    <row r="767" spans="1:11" x14ac:dyDescent="0.3">
      <c r="A767" s="2" t="s">
        <v>2683</v>
      </c>
      <c r="B767" s="2" t="s">
        <v>139</v>
      </c>
      <c r="C767" s="2" t="s">
        <v>119</v>
      </c>
      <c r="D767" s="2" t="s">
        <v>2867</v>
      </c>
      <c r="E767" s="4" t="str">
        <f>HYPERLINK("./Results/DLO\1697\Osteo_Sarco_1.png","RPT")</f>
        <v>RPT</v>
      </c>
      <c r="F767" s="2" t="s">
        <v>48</v>
      </c>
      <c r="G767" s="6"/>
      <c r="I767"/>
      <c r="J767"/>
      <c r="K767"/>
    </row>
    <row r="768" spans="1:11" x14ac:dyDescent="0.3">
      <c r="A768" s="2" t="s">
        <v>2676</v>
      </c>
      <c r="B768" s="2" t="s">
        <v>154</v>
      </c>
      <c r="C768" s="2" t="s">
        <v>119</v>
      </c>
      <c r="D768" s="2" t="s">
        <v>2859</v>
      </c>
      <c r="E768" s="4" t="str">
        <f>HYPERLINK("./Results/DLO\1698\Osteo_Sarco_1.png","RPT")</f>
        <v>RPT</v>
      </c>
      <c r="F768" s="2" t="s">
        <v>54</v>
      </c>
      <c r="G768" s="6"/>
      <c r="I768"/>
      <c r="J768"/>
      <c r="K768"/>
    </row>
    <row r="769" spans="1:11" x14ac:dyDescent="0.3">
      <c r="A769" s="2" t="s">
        <v>2668</v>
      </c>
      <c r="B769" s="2" t="s">
        <v>146</v>
      </c>
      <c r="C769" s="2" t="s">
        <v>111</v>
      </c>
      <c r="D769" s="2" t="s">
        <v>2867</v>
      </c>
      <c r="E769" s="4" t="str">
        <f>HYPERLINK("./Results/DLO\1699\Osteo_Sarco_1.png","RPT")</f>
        <v>RPT</v>
      </c>
      <c r="F769" s="2" t="s">
        <v>66</v>
      </c>
      <c r="G769" s="6"/>
      <c r="I769"/>
      <c r="J769"/>
      <c r="K769"/>
    </row>
    <row r="770" spans="1:11" x14ac:dyDescent="0.3">
      <c r="A770" s="2" t="s">
        <v>2684</v>
      </c>
      <c r="B770" s="2" t="s">
        <v>136</v>
      </c>
      <c r="C770" s="2" t="s">
        <v>119</v>
      </c>
      <c r="D770" s="2" t="s">
        <v>1960</v>
      </c>
      <c r="E770" s="4" t="str">
        <f>HYPERLINK("./Results/DLO\17\Osteo_Sarco_1.png","RPT")</f>
        <v>RPT</v>
      </c>
      <c r="F770" s="2" t="s">
        <v>70</v>
      </c>
      <c r="G770" s="6"/>
      <c r="H770" s="1">
        <v>25.38</v>
      </c>
    </row>
    <row r="771" spans="1:11" x14ac:dyDescent="0.3">
      <c r="A771" s="2" t="s">
        <v>2673</v>
      </c>
      <c r="B771" s="2" t="s">
        <v>118</v>
      </c>
      <c r="C771" s="2" t="s">
        <v>119</v>
      </c>
      <c r="D771" s="2" t="s">
        <v>2859</v>
      </c>
      <c r="E771" s="4" t="str">
        <f>HYPERLINK("./Results/DLO\170\Osteo_Sarco_1.png","RPT")</f>
        <v>RPT</v>
      </c>
      <c r="F771" s="2" t="s">
        <v>34</v>
      </c>
      <c r="G771" s="6"/>
      <c r="I771"/>
      <c r="J771"/>
      <c r="K771"/>
    </row>
    <row r="772" spans="1:11" x14ac:dyDescent="0.3">
      <c r="A772" s="2" t="s">
        <v>2665</v>
      </c>
      <c r="B772" s="2" t="s">
        <v>146</v>
      </c>
      <c r="C772" s="2" t="s">
        <v>111</v>
      </c>
      <c r="D772" s="2" t="s">
        <v>2867</v>
      </c>
      <c r="E772" s="4" t="str">
        <f>HYPERLINK("./Results/DLO\1700\Osteo_Sarco_1.png","RPT")</f>
        <v>RPT</v>
      </c>
      <c r="F772" s="2" t="s">
        <v>84</v>
      </c>
      <c r="G772" s="6"/>
      <c r="I772"/>
      <c r="J772"/>
      <c r="K772"/>
    </row>
    <row r="773" spans="1:11" x14ac:dyDescent="0.3">
      <c r="A773" s="2" t="s">
        <v>2672</v>
      </c>
      <c r="B773" s="2" t="s">
        <v>167</v>
      </c>
      <c r="C773" s="2" t="s">
        <v>119</v>
      </c>
      <c r="D773" s="2" t="s">
        <v>2867</v>
      </c>
      <c r="E773" s="4" t="str">
        <f>HYPERLINK("./Results/DLO\1701\Osteo_Sarco_1.png","RPT")</f>
        <v>RPT</v>
      </c>
      <c r="F773" s="2" t="s">
        <v>79</v>
      </c>
      <c r="G773" s="6"/>
      <c r="I773"/>
      <c r="J773"/>
      <c r="K773"/>
    </row>
    <row r="774" spans="1:11" x14ac:dyDescent="0.3">
      <c r="A774" s="2" t="s">
        <v>2686</v>
      </c>
      <c r="B774" s="2" t="s">
        <v>131</v>
      </c>
      <c r="C774" s="2" t="s">
        <v>111</v>
      </c>
      <c r="D774" s="2" t="s">
        <v>2859</v>
      </c>
      <c r="E774" s="4" t="str">
        <f>HYPERLINK("./Results/DLO\1702\Osteo_Sarco_1.png","RPT")</f>
        <v>RPT</v>
      </c>
      <c r="F774" s="2" t="s">
        <v>457</v>
      </c>
      <c r="G774" s="6"/>
      <c r="I774"/>
      <c r="J774"/>
      <c r="K774"/>
    </row>
    <row r="775" spans="1:11" x14ac:dyDescent="0.3">
      <c r="A775" s="2" t="s">
        <v>2669</v>
      </c>
      <c r="B775" s="2" t="s">
        <v>131</v>
      </c>
      <c r="C775" s="2" t="s">
        <v>119</v>
      </c>
      <c r="D775" s="2" t="s">
        <v>2859</v>
      </c>
      <c r="E775" s="4" t="str">
        <f>HYPERLINK("./Results/DLO\1703\Osteo_Sarco_1.png","RPT")</f>
        <v>RPT</v>
      </c>
      <c r="F775" s="2" t="s">
        <v>467</v>
      </c>
      <c r="G775" s="6"/>
      <c r="I775"/>
      <c r="J775"/>
      <c r="K775"/>
    </row>
    <row r="776" spans="1:11" x14ac:dyDescent="0.3">
      <c r="A776" s="2" t="s">
        <v>2680</v>
      </c>
      <c r="B776" s="2" t="s">
        <v>162</v>
      </c>
      <c r="C776" s="2" t="s">
        <v>119</v>
      </c>
      <c r="D776" s="2" t="s">
        <v>2859</v>
      </c>
      <c r="E776" s="4" t="str">
        <f>HYPERLINK("./Results/DLO\1704\Osteo_Sarco_1.png","RPT")</f>
        <v>RPT</v>
      </c>
      <c r="F776" s="2" t="s">
        <v>87</v>
      </c>
      <c r="G776" s="6"/>
      <c r="I776"/>
      <c r="J776"/>
      <c r="K776"/>
    </row>
    <row r="777" spans="1:11" x14ac:dyDescent="0.3">
      <c r="A777" s="2" t="s">
        <v>2677</v>
      </c>
      <c r="B777" s="2" t="s">
        <v>127</v>
      </c>
      <c r="C777" s="2" t="s">
        <v>111</v>
      </c>
      <c r="D777" s="2" t="s">
        <v>2867</v>
      </c>
      <c r="E777" s="4" t="str">
        <f>HYPERLINK("./Results/DLO\1705\Osteo_Sarco_1.png","RPT")</f>
        <v>RPT</v>
      </c>
      <c r="F777" s="2" t="s">
        <v>68</v>
      </c>
      <c r="G777" s="6"/>
      <c r="I777"/>
      <c r="J777"/>
      <c r="K777"/>
    </row>
    <row r="778" spans="1:11" x14ac:dyDescent="0.3">
      <c r="A778" s="2" t="s">
        <v>2674</v>
      </c>
      <c r="B778" s="2" t="s">
        <v>120</v>
      </c>
      <c r="C778" s="2" t="s">
        <v>119</v>
      </c>
      <c r="D778" s="2" t="s">
        <v>2867</v>
      </c>
      <c r="E778" s="4" t="str">
        <f>HYPERLINK("./Results/DLO\1706\Osteo_Sarco_1.png","RPT")</f>
        <v>RPT</v>
      </c>
      <c r="F778" s="2" t="s">
        <v>56</v>
      </c>
      <c r="G778" s="6"/>
      <c r="I778"/>
      <c r="J778"/>
      <c r="K778"/>
    </row>
    <row r="779" spans="1:11" x14ac:dyDescent="0.3">
      <c r="A779" s="2" t="s">
        <v>2679</v>
      </c>
      <c r="B779" s="2" t="s">
        <v>165</v>
      </c>
      <c r="C779" s="2" t="s">
        <v>111</v>
      </c>
      <c r="D779" s="2" t="s">
        <v>2867</v>
      </c>
      <c r="E779" s="4" t="str">
        <f>HYPERLINK("./Results/DLO\1707\Osteo_Sarco_1.png","RPT")</f>
        <v>RPT</v>
      </c>
      <c r="F779" s="2" t="s">
        <v>101</v>
      </c>
      <c r="G779" s="6"/>
      <c r="I779"/>
      <c r="J779"/>
      <c r="K779"/>
    </row>
    <row r="780" spans="1:11" x14ac:dyDescent="0.3">
      <c r="A780" s="2" t="s">
        <v>2681</v>
      </c>
      <c r="B780" s="2" t="s">
        <v>144</v>
      </c>
      <c r="C780" s="2" t="s">
        <v>119</v>
      </c>
      <c r="D780" s="2" t="s">
        <v>2859</v>
      </c>
      <c r="E780" s="4" t="str">
        <f>HYPERLINK("./Results/DLO\1708\Osteo_Sarco_1.png","RPT")</f>
        <v>RPT</v>
      </c>
      <c r="F780" s="2" t="s">
        <v>74</v>
      </c>
      <c r="G780" s="6"/>
      <c r="I780"/>
      <c r="J780"/>
      <c r="K780"/>
    </row>
    <row r="781" spans="1:11" x14ac:dyDescent="0.3">
      <c r="A781" s="2" t="s">
        <v>2670</v>
      </c>
      <c r="B781" s="2" t="s">
        <v>142</v>
      </c>
      <c r="C781" s="2" t="s">
        <v>119</v>
      </c>
      <c r="D781" s="2" t="s">
        <v>2867</v>
      </c>
      <c r="E781" s="4" t="str">
        <f>HYPERLINK("./Results/DLO\1709\Osteo_Sarco_1.png","RPT")</f>
        <v>RPT</v>
      </c>
      <c r="F781" s="2" t="s">
        <v>29</v>
      </c>
      <c r="G781" s="6"/>
      <c r="I781"/>
      <c r="J781"/>
      <c r="K781"/>
    </row>
    <row r="782" spans="1:11" x14ac:dyDescent="0.3">
      <c r="A782" s="2" t="s">
        <v>2709</v>
      </c>
      <c r="B782" s="2" t="s">
        <v>115</v>
      </c>
      <c r="C782" s="2" t="s">
        <v>111</v>
      </c>
      <c r="D782" s="2" t="s">
        <v>2859</v>
      </c>
      <c r="E782" s="4" t="str">
        <f>HYPERLINK("./Results/DLO\171\Osteo_Sarco_1.png","RPT")</f>
        <v>RPT</v>
      </c>
      <c r="F782" s="2" t="s">
        <v>72</v>
      </c>
      <c r="G782" s="6"/>
      <c r="H782" s="1">
        <v>16.89</v>
      </c>
    </row>
    <row r="783" spans="1:11" x14ac:dyDescent="0.3">
      <c r="A783" s="2" t="s">
        <v>2692</v>
      </c>
      <c r="B783" s="2" t="s">
        <v>166</v>
      </c>
      <c r="C783" s="2" t="s">
        <v>111</v>
      </c>
      <c r="D783" s="2" t="s">
        <v>2859</v>
      </c>
      <c r="E783" s="4" t="str">
        <f>HYPERLINK("./Results/DLO\1710\Osteo_Sarco_1.png","RPT")</f>
        <v>RPT</v>
      </c>
      <c r="F783" s="2" t="s">
        <v>457</v>
      </c>
      <c r="G783" s="6"/>
      <c r="H783" s="1">
        <v>26.88</v>
      </c>
    </row>
    <row r="784" spans="1:11" x14ac:dyDescent="0.3">
      <c r="A784" s="2" t="s">
        <v>2713</v>
      </c>
      <c r="B784" s="2" t="s">
        <v>144</v>
      </c>
      <c r="C784" s="2" t="s">
        <v>111</v>
      </c>
      <c r="D784" s="2" t="s">
        <v>2859</v>
      </c>
      <c r="E784" s="4" t="str">
        <f>HYPERLINK("./Results/DLO\1711\Osteo_Sarco_1.png","RPT")</f>
        <v>RPT</v>
      </c>
      <c r="F784" s="2" t="s">
        <v>106</v>
      </c>
      <c r="G784" s="6"/>
      <c r="I784"/>
      <c r="J784"/>
      <c r="K784"/>
    </row>
    <row r="785" spans="1:11" x14ac:dyDescent="0.3">
      <c r="A785" s="2" t="s">
        <v>2690</v>
      </c>
      <c r="B785" s="2" t="s">
        <v>144</v>
      </c>
      <c r="C785" s="2" t="s">
        <v>111</v>
      </c>
      <c r="D785" s="2" t="s">
        <v>2867</v>
      </c>
      <c r="E785" s="4" t="str">
        <f>HYPERLINK("./Results/DLO\1712\Osteo_Sarco_1.png","RPT")</f>
        <v>RPT</v>
      </c>
      <c r="F785" s="2" t="s">
        <v>95</v>
      </c>
      <c r="G785" s="6"/>
      <c r="I785"/>
      <c r="J785"/>
      <c r="K785"/>
    </row>
    <row r="786" spans="1:11" x14ac:dyDescent="0.3">
      <c r="A786" s="2" t="s">
        <v>2694</v>
      </c>
      <c r="B786" s="2" t="s">
        <v>162</v>
      </c>
      <c r="C786" s="2" t="s">
        <v>111</v>
      </c>
      <c r="D786" s="2" t="s">
        <v>2859</v>
      </c>
      <c r="E786" s="4" t="str">
        <f>HYPERLINK("./Results/DLO\1713\Osteo_Sarco_1.png","RPT")</f>
        <v>RPT</v>
      </c>
      <c r="F786" s="2" t="s">
        <v>93</v>
      </c>
      <c r="G786" s="6"/>
      <c r="I786"/>
      <c r="J786"/>
      <c r="K786"/>
    </row>
    <row r="787" spans="1:11" x14ac:dyDescent="0.3">
      <c r="A787" s="2" t="s">
        <v>2710</v>
      </c>
      <c r="B787" s="2" t="s">
        <v>137</v>
      </c>
      <c r="C787" s="2" t="s">
        <v>111</v>
      </c>
      <c r="D787" s="2" t="s">
        <v>2859</v>
      </c>
      <c r="E787" s="4" t="str">
        <f>HYPERLINK("./Results/DLO\1714\Osteo_Sarco_1.png","RPT")</f>
        <v>RPT</v>
      </c>
      <c r="F787" s="2" t="s">
        <v>97</v>
      </c>
      <c r="G787" s="6"/>
      <c r="I787"/>
      <c r="J787"/>
      <c r="K787"/>
    </row>
    <row r="788" spans="1:11" x14ac:dyDescent="0.3">
      <c r="A788" s="2" t="s">
        <v>2700</v>
      </c>
      <c r="B788" s="2" t="s">
        <v>126</v>
      </c>
      <c r="C788" s="2" t="s">
        <v>119</v>
      </c>
      <c r="D788" s="2" t="s">
        <v>2859</v>
      </c>
      <c r="E788" s="4" t="str">
        <f>HYPERLINK("./Results/DLO\1715\Osteo_Sarco_1.png","RPT")</f>
        <v>RPT</v>
      </c>
      <c r="F788" s="2" t="s">
        <v>99</v>
      </c>
      <c r="G788" s="6"/>
      <c r="H788" s="1">
        <v>21.72</v>
      </c>
    </row>
    <row r="789" spans="1:11" x14ac:dyDescent="0.3">
      <c r="A789" s="2" t="s">
        <v>2699</v>
      </c>
      <c r="B789" s="2" t="s">
        <v>159</v>
      </c>
      <c r="C789" s="2" t="s">
        <v>119</v>
      </c>
      <c r="D789" s="2" t="s">
        <v>2867</v>
      </c>
      <c r="E789" s="4" t="str">
        <f>HYPERLINK("./Results/DLO\1716\Osteo_Sarco_1.png","RPT")</f>
        <v>RPT</v>
      </c>
      <c r="F789" s="2" t="s">
        <v>73</v>
      </c>
      <c r="G789" s="6"/>
      <c r="I789"/>
      <c r="J789"/>
      <c r="K789"/>
    </row>
    <row r="790" spans="1:11" x14ac:dyDescent="0.3">
      <c r="A790" s="2" t="s">
        <v>2712</v>
      </c>
      <c r="B790" s="2" t="s">
        <v>122</v>
      </c>
      <c r="C790" s="2" t="s">
        <v>111</v>
      </c>
      <c r="D790" s="2" t="s">
        <v>2859</v>
      </c>
      <c r="E790" s="4" t="str">
        <f>HYPERLINK("./Results/DLO\1717\Osteo_Sarco_1.png","RPT")</f>
        <v>RPT</v>
      </c>
      <c r="F790" s="2" t="s">
        <v>67</v>
      </c>
      <c r="G790" s="6"/>
      <c r="I790"/>
      <c r="J790"/>
      <c r="K790"/>
    </row>
    <row r="791" spans="1:11" x14ac:dyDescent="0.3">
      <c r="A791" s="2" t="s">
        <v>2711</v>
      </c>
      <c r="B791" s="2" t="s">
        <v>123</v>
      </c>
      <c r="C791" s="2" t="s">
        <v>111</v>
      </c>
      <c r="D791" s="2" t="s">
        <v>2867</v>
      </c>
      <c r="E791" s="4" t="str">
        <f>HYPERLINK("./Results/DLO\1718\Osteo_Sarco_1.png","RPT")</f>
        <v>RPT</v>
      </c>
      <c r="F791" s="2" t="s">
        <v>473</v>
      </c>
      <c r="G791" s="6"/>
      <c r="H791" s="1">
        <v>27.87</v>
      </c>
    </row>
    <row r="792" spans="1:11" x14ac:dyDescent="0.3">
      <c r="A792" s="2" t="s">
        <v>2691</v>
      </c>
      <c r="B792" s="2" t="s">
        <v>151</v>
      </c>
      <c r="C792" s="2" t="s">
        <v>119</v>
      </c>
      <c r="D792" s="2" t="s">
        <v>2867</v>
      </c>
      <c r="E792" s="4" t="str">
        <f>HYPERLINK("./Results/DLO\1719\Osteo_Sarco_1.png","RPT")</f>
        <v>RPT</v>
      </c>
      <c r="F792" s="2" t="s">
        <v>81</v>
      </c>
      <c r="G792" s="6"/>
      <c r="I792"/>
      <c r="J792"/>
      <c r="K792"/>
    </row>
    <row r="793" spans="1:11" x14ac:dyDescent="0.3">
      <c r="A793" s="2" t="s">
        <v>2701</v>
      </c>
      <c r="B793" s="2" t="s">
        <v>587</v>
      </c>
      <c r="C793" s="2" t="s">
        <v>119</v>
      </c>
      <c r="D793" s="2" t="s">
        <v>2867</v>
      </c>
      <c r="E793" s="4" t="str">
        <f>HYPERLINK("./Results/DLO\172\Osteo_Sarco_1.png","RPT")</f>
        <v>RPT</v>
      </c>
      <c r="F793" s="2" t="s">
        <v>81</v>
      </c>
      <c r="G793" s="6"/>
      <c r="I793"/>
      <c r="J793"/>
      <c r="K793"/>
    </row>
    <row r="794" spans="1:11" x14ac:dyDescent="0.3">
      <c r="A794" s="2" t="s">
        <v>2693</v>
      </c>
      <c r="B794" s="2" t="s">
        <v>138</v>
      </c>
      <c r="C794" s="2" t="s">
        <v>119</v>
      </c>
      <c r="D794" s="2" t="s">
        <v>2859</v>
      </c>
      <c r="E794" s="4" t="str">
        <f>HYPERLINK("./Results/DLO\1720\Osteo_Sarco_1.png","RPT")</f>
        <v>RPT</v>
      </c>
      <c r="F794" s="2" t="s">
        <v>87</v>
      </c>
      <c r="G794" s="6"/>
      <c r="I794"/>
      <c r="J794"/>
      <c r="K794"/>
    </row>
    <row r="795" spans="1:11" x14ac:dyDescent="0.3">
      <c r="A795" s="2" t="s">
        <v>2695</v>
      </c>
      <c r="B795" s="2" t="s">
        <v>159</v>
      </c>
      <c r="C795" s="2" t="s">
        <v>111</v>
      </c>
      <c r="D795" s="2" t="s">
        <v>2859</v>
      </c>
      <c r="E795" s="4" t="str">
        <f>HYPERLINK("./Results/DLO\1721\Osteo_Sarco_1.png","RPT")</f>
        <v>RPT</v>
      </c>
      <c r="F795" s="2" t="s">
        <v>462</v>
      </c>
      <c r="G795" s="6"/>
      <c r="I795"/>
      <c r="J795"/>
      <c r="K795"/>
    </row>
    <row r="796" spans="1:11" x14ac:dyDescent="0.3">
      <c r="A796" s="2" t="s">
        <v>2696</v>
      </c>
      <c r="B796" s="2" t="s">
        <v>146</v>
      </c>
      <c r="C796" s="2" t="s">
        <v>119</v>
      </c>
      <c r="D796" s="2" t="s">
        <v>2859</v>
      </c>
      <c r="E796" s="4" t="str">
        <f>HYPERLINK("./Results/DLO\1722\Osteo_Sarco_1.png","RPT")</f>
        <v>RPT</v>
      </c>
      <c r="F796" s="2" t="s">
        <v>46</v>
      </c>
      <c r="G796" s="6"/>
      <c r="H796" s="1">
        <v>25.09</v>
      </c>
    </row>
    <row r="797" spans="1:11" x14ac:dyDescent="0.3">
      <c r="A797" s="2" t="s">
        <v>2697</v>
      </c>
      <c r="B797" s="2" t="s">
        <v>114</v>
      </c>
      <c r="C797" s="2" t="s">
        <v>111</v>
      </c>
      <c r="D797" s="2" t="s">
        <v>2867</v>
      </c>
      <c r="E797" s="4" t="str">
        <f>HYPERLINK("./Results/DLO\1723\Osteo_Sarco_1.png","RPT")</f>
        <v>RPT</v>
      </c>
      <c r="F797" s="2" t="s">
        <v>448</v>
      </c>
      <c r="G797" s="6"/>
      <c r="I797"/>
      <c r="J797"/>
      <c r="K797"/>
    </row>
    <row r="798" spans="1:11" x14ac:dyDescent="0.3">
      <c r="A798" s="2" t="s">
        <v>2702</v>
      </c>
      <c r="B798" s="2" t="s">
        <v>170</v>
      </c>
      <c r="C798" s="2" t="s">
        <v>111</v>
      </c>
      <c r="D798" s="2" t="s">
        <v>2867</v>
      </c>
      <c r="E798" s="4" t="str">
        <f>HYPERLINK("./Results/DLO\1724\Osteo_Sarco_1.png","RPT")</f>
        <v>RPT</v>
      </c>
      <c r="F798" s="2" t="s">
        <v>58</v>
      </c>
      <c r="G798" s="6"/>
      <c r="I798"/>
      <c r="J798"/>
      <c r="K798"/>
    </row>
    <row r="799" spans="1:11" x14ac:dyDescent="0.3">
      <c r="A799" s="2" t="s">
        <v>2703</v>
      </c>
      <c r="B799" s="2" t="s">
        <v>148</v>
      </c>
      <c r="C799" s="2" t="s">
        <v>111</v>
      </c>
      <c r="D799" s="2" t="s">
        <v>2859</v>
      </c>
      <c r="E799" s="4" t="str">
        <f>HYPERLINK("./Results/DLO\1725\Osteo_Sarco_1.png","RPT")</f>
        <v>RPT</v>
      </c>
      <c r="F799" s="2" t="s">
        <v>464</v>
      </c>
      <c r="G799" s="6"/>
      <c r="I799"/>
      <c r="J799"/>
      <c r="K799"/>
    </row>
    <row r="800" spans="1:11" x14ac:dyDescent="0.3">
      <c r="A800" s="2" t="s">
        <v>2698</v>
      </c>
      <c r="B800" s="2" t="s">
        <v>133</v>
      </c>
      <c r="C800" s="2" t="s">
        <v>119</v>
      </c>
      <c r="D800" s="2" t="s">
        <v>2859</v>
      </c>
      <c r="E800" s="4" t="str">
        <f>HYPERLINK("./Results/DLO\1726\Osteo_Sarco_1.png","RPT")</f>
        <v>RPT</v>
      </c>
      <c r="F800" s="2" t="s">
        <v>34</v>
      </c>
      <c r="G800" s="6"/>
      <c r="I800"/>
      <c r="J800"/>
      <c r="K800"/>
    </row>
    <row r="801" spans="1:11" x14ac:dyDescent="0.3">
      <c r="A801" s="2" t="s">
        <v>2704</v>
      </c>
      <c r="B801" s="2" t="s">
        <v>166</v>
      </c>
      <c r="C801" s="2" t="s">
        <v>119</v>
      </c>
      <c r="D801" s="2" t="s">
        <v>2859</v>
      </c>
      <c r="E801" s="4" t="str">
        <f>HYPERLINK("./Results/DLO\1727\Osteo_Sarco_1.png","RPT")</f>
        <v>RPT</v>
      </c>
      <c r="F801" s="2" t="s">
        <v>42</v>
      </c>
      <c r="G801" s="6"/>
      <c r="I801"/>
      <c r="J801"/>
      <c r="K801"/>
    </row>
    <row r="802" spans="1:11" x14ac:dyDescent="0.3">
      <c r="A802" s="2" t="s">
        <v>2705</v>
      </c>
      <c r="B802" s="2" t="s">
        <v>140</v>
      </c>
      <c r="C802" s="2" t="s">
        <v>119</v>
      </c>
      <c r="D802" s="2" t="s">
        <v>2859</v>
      </c>
      <c r="E802" s="4" t="str">
        <f>HYPERLINK("./Results/DLO\1728\Osteo_Sarco_1.png","RPT")</f>
        <v>RPT</v>
      </c>
      <c r="F802" s="2" t="s">
        <v>583</v>
      </c>
      <c r="G802" s="6"/>
      <c r="I802"/>
      <c r="J802"/>
      <c r="K802"/>
    </row>
    <row r="803" spans="1:11" x14ac:dyDescent="0.3">
      <c r="A803" s="2" t="s">
        <v>2706</v>
      </c>
      <c r="B803" s="2" t="s">
        <v>162</v>
      </c>
      <c r="C803" s="2" t="s">
        <v>119</v>
      </c>
      <c r="D803" s="2" t="s">
        <v>2859</v>
      </c>
      <c r="E803" s="4" t="str">
        <f>HYPERLINK("./Results/DLO\1729\Osteo_Sarco_1.png","RPT")</f>
        <v>RPT</v>
      </c>
      <c r="F803" s="2" t="s">
        <v>450</v>
      </c>
      <c r="G803" s="6"/>
      <c r="I803"/>
      <c r="J803"/>
      <c r="K803"/>
    </row>
    <row r="804" spans="1:11" x14ac:dyDescent="0.3">
      <c r="A804" s="2" t="s">
        <v>2707</v>
      </c>
      <c r="B804" s="2" t="s">
        <v>142</v>
      </c>
      <c r="C804" s="2" t="s">
        <v>119</v>
      </c>
      <c r="D804" s="2" t="s">
        <v>2859</v>
      </c>
      <c r="E804" s="4" t="str">
        <f>HYPERLINK("./Results/DLO\173\Osteo_Sarco_1.png","RPT")</f>
        <v>RPT</v>
      </c>
      <c r="F804" s="2" t="s">
        <v>454</v>
      </c>
      <c r="G804" s="6"/>
      <c r="H804" s="1">
        <v>21.84</v>
      </c>
    </row>
    <row r="805" spans="1:11" x14ac:dyDescent="0.3">
      <c r="A805" s="2" t="s">
        <v>2708</v>
      </c>
      <c r="B805" s="2" t="s">
        <v>151</v>
      </c>
      <c r="C805" s="2" t="s">
        <v>111</v>
      </c>
      <c r="D805" s="2" t="s">
        <v>2859</v>
      </c>
      <c r="E805" s="4" t="str">
        <f>HYPERLINK("./Results/DLO\1730\Osteo_Sarco_1.png","RPT")</f>
        <v>RPT</v>
      </c>
      <c r="F805" s="2" t="s">
        <v>459</v>
      </c>
      <c r="G805" s="6"/>
      <c r="H805" s="1">
        <v>24.03</v>
      </c>
    </row>
    <row r="806" spans="1:11" x14ac:dyDescent="0.3">
      <c r="A806" s="2" t="s">
        <v>2722</v>
      </c>
      <c r="B806" s="2" t="s">
        <v>142</v>
      </c>
      <c r="C806" s="2" t="s">
        <v>111</v>
      </c>
      <c r="D806" s="2" t="s">
        <v>2859</v>
      </c>
      <c r="E806" s="4" t="str">
        <f>HYPERLINK("./Results/DLO\1731\Osteo_Sarco_1.png","RPT")</f>
        <v>RPT</v>
      </c>
      <c r="F806" s="2" t="s">
        <v>475</v>
      </c>
      <c r="G806" s="6"/>
      <c r="I806"/>
      <c r="J806"/>
      <c r="K806"/>
    </row>
    <row r="807" spans="1:11" x14ac:dyDescent="0.3">
      <c r="A807" s="2" t="s">
        <v>2718</v>
      </c>
      <c r="B807" s="2" t="s">
        <v>116</v>
      </c>
      <c r="C807" s="2" t="s">
        <v>119</v>
      </c>
      <c r="D807" s="2" t="s">
        <v>2859</v>
      </c>
      <c r="E807" s="4" t="str">
        <f>HYPERLINK("./Results/DLO\1732\Osteo_Sarco_1.png","RPT")</f>
        <v>RPT</v>
      </c>
      <c r="F807" s="2" t="s">
        <v>73</v>
      </c>
      <c r="G807" s="6"/>
      <c r="H807" s="1">
        <v>25.01</v>
      </c>
    </row>
    <row r="808" spans="1:11" x14ac:dyDescent="0.3">
      <c r="A808" s="2" t="s">
        <v>2731</v>
      </c>
      <c r="B808" s="2" t="s">
        <v>114</v>
      </c>
      <c r="C808" s="2" t="s">
        <v>119</v>
      </c>
      <c r="D808" s="2" t="s">
        <v>2859</v>
      </c>
      <c r="E808" s="4" t="str">
        <f>HYPERLINK("./Results/DLO\1733\Osteo_Sarco_1.png","RPT")</f>
        <v>RPT</v>
      </c>
      <c r="F808" s="2" t="s">
        <v>98</v>
      </c>
      <c r="G808" s="6"/>
      <c r="H808" s="1">
        <v>24.36</v>
      </c>
    </row>
    <row r="809" spans="1:11" x14ac:dyDescent="0.3">
      <c r="A809" s="2" t="s">
        <v>2729</v>
      </c>
      <c r="B809" s="2" t="s">
        <v>148</v>
      </c>
      <c r="C809" s="2" t="s">
        <v>119</v>
      </c>
      <c r="D809" s="2" t="s">
        <v>2859</v>
      </c>
      <c r="E809" s="4" t="str">
        <f>HYPERLINK("./Results/DLO\1734\Osteo_Sarco_1.png","RPT")</f>
        <v>RPT</v>
      </c>
      <c r="F809" s="2" t="s">
        <v>43</v>
      </c>
      <c r="G809" s="6"/>
      <c r="I809"/>
      <c r="J809"/>
      <c r="K809"/>
    </row>
    <row r="810" spans="1:11" x14ac:dyDescent="0.3">
      <c r="A810" s="2" t="s">
        <v>2725</v>
      </c>
      <c r="B810" s="2" t="s">
        <v>164</v>
      </c>
      <c r="C810" s="2" t="s">
        <v>119</v>
      </c>
      <c r="D810" s="2" t="s">
        <v>2867</v>
      </c>
      <c r="E810" s="4" t="str">
        <f>HYPERLINK("./Results/DLO\1735\Osteo_Sarco_1.png","RPT")</f>
        <v>RPT</v>
      </c>
      <c r="F810" s="2" t="s">
        <v>36</v>
      </c>
      <c r="G810" s="6"/>
      <c r="I810"/>
      <c r="J810"/>
      <c r="K810"/>
    </row>
    <row r="811" spans="1:11" x14ac:dyDescent="0.3">
      <c r="A811" s="2" t="s">
        <v>2734</v>
      </c>
      <c r="B811" s="2" t="s">
        <v>138</v>
      </c>
      <c r="C811" s="2" t="s">
        <v>111</v>
      </c>
      <c r="D811" s="2" t="s">
        <v>2867</v>
      </c>
      <c r="E811" s="4" t="str">
        <f>HYPERLINK("./Results/DLO\1736\Osteo_Sarco_1.png","RPT")</f>
        <v>RPT</v>
      </c>
      <c r="F811" s="2" t="s">
        <v>64</v>
      </c>
      <c r="G811" s="6"/>
      <c r="I811"/>
      <c r="J811"/>
      <c r="K811"/>
    </row>
    <row r="812" spans="1:11" x14ac:dyDescent="0.3">
      <c r="A812" s="2" t="s">
        <v>2714</v>
      </c>
      <c r="B812" s="2" t="s">
        <v>137</v>
      </c>
      <c r="C812" s="2" t="s">
        <v>111</v>
      </c>
      <c r="D812" s="2" t="s">
        <v>2859</v>
      </c>
      <c r="E812" s="4" t="str">
        <f>HYPERLINK("./Results/DLO\1737\Osteo_Sarco_1.png","RPT")</f>
        <v>RPT</v>
      </c>
      <c r="F812" s="2" t="s">
        <v>106</v>
      </c>
      <c r="G812" s="6"/>
      <c r="H812" s="1">
        <v>27.8</v>
      </c>
    </row>
    <row r="813" spans="1:11" x14ac:dyDescent="0.3">
      <c r="A813" s="2" t="s">
        <v>2720</v>
      </c>
      <c r="B813" s="2" t="s">
        <v>127</v>
      </c>
      <c r="C813" s="2" t="s">
        <v>111</v>
      </c>
      <c r="D813" s="2" t="s">
        <v>2859</v>
      </c>
      <c r="E813" s="4" t="str">
        <f>HYPERLINK("./Results/DLO\1738\Osteo_Sarco_1.png","RPT")</f>
        <v>RPT</v>
      </c>
      <c r="F813" s="2" t="s">
        <v>64</v>
      </c>
      <c r="G813" s="6"/>
      <c r="I813"/>
      <c r="J813"/>
      <c r="K813"/>
    </row>
    <row r="814" spans="1:11" x14ac:dyDescent="0.3">
      <c r="A814" s="2" t="s">
        <v>2721</v>
      </c>
      <c r="B814" s="2" t="s">
        <v>113</v>
      </c>
      <c r="C814" s="2" t="s">
        <v>119</v>
      </c>
      <c r="D814" s="2" t="s">
        <v>2867</v>
      </c>
      <c r="E814" s="4" t="str">
        <f>HYPERLINK("./Results/DLO\1739\Osteo_Sarco_1.png","RPT")</f>
        <v>RPT</v>
      </c>
      <c r="F814" s="2" t="s">
        <v>72</v>
      </c>
      <c r="G814" s="6"/>
      <c r="H814" s="1">
        <v>22.7</v>
      </c>
    </row>
    <row r="815" spans="1:11" x14ac:dyDescent="0.3">
      <c r="A815" s="2" t="s">
        <v>2715</v>
      </c>
      <c r="B815" s="2" t="s">
        <v>151</v>
      </c>
      <c r="C815" s="2" t="s">
        <v>119</v>
      </c>
      <c r="D815" s="2" t="s">
        <v>2859</v>
      </c>
      <c r="E815" s="4" t="str">
        <f>HYPERLINK("./Results/DLO\174\Osteo_Sarco_1.png","RPT")</f>
        <v>RPT</v>
      </c>
      <c r="F815" s="2" t="s">
        <v>74</v>
      </c>
      <c r="G815" s="6"/>
      <c r="I815"/>
      <c r="J815"/>
      <c r="K815"/>
    </row>
    <row r="816" spans="1:11" x14ac:dyDescent="0.3">
      <c r="A816" s="2" t="s">
        <v>2723</v>
      </c>
      <c r="B816" s="2" t="s">
        <v>123</v>
      </c>
      <c r="C816" s="2" t="s">
        <v>111</v>
      </c>
      <c r="D816" s="2" t="s">
        <v>2859</v>
      </c>
      <c r="E816" s="4" t="str">
        <f>HYPERLINK("./Results/DLO\1740\Osteo_Sarco_1.png","RPT")</f>
        <v>RPT</v>
      </c>
      <c r="F816" s="2" t="s">
        <v>448</v>
      </c>
      <c r="G816" s="6"/>
      <c r="H816" s="1">
        <v>26.54</v>
      </c>
    </row>
    <row r="817" spans="1:11" x14ac:dyDescent="0.3">
      <c r="A817" s="2" t="s">
        <v>2728</v>
      </c>
      <c r="B817" s="2" t="s">
        <v>587</v>
      </c>
      <c r="C817" s="2" t="s">
        <v>119</v>
      </c>
      <c r="D817" s="2" t="s">
        <v>2859</v>
      </c>
      <c r="E817" s="4" t="str">
        <f>HYPERLINK("./Results/DLO\1741\Osteo_Sarco_1.png","RPT")</f>
        <v>RPT</v>
      </c>
      <c r="F817" s="2" t="s">
        <v>98</v>
      </c>
      <c r="G817" s="6"/>
      <c r="I817"/>
      <c r="J817"/>
      <c r="K817"/>
    </row>
    <row r="818" spans="1:11" x14ac:dyDescent="0.3">
      <c r="A818" s="2" t="s">
        <v>2724</v>
      </c>
      <c r="B818" s="2" t="s">
        <v>116</v>
      </c>
      <c r="C818" s="2" t="s">
        <v>111</v>
      </c>
      <c r="D818" s="2" t="s">
        <v>2859</v>
      </c>
      <c r="E818" s="4" t="str">
        <f>HYPERLINK("./Results/DLO\1742\Osteo_Sarco_1.png","RPT")</f>
        <v>RPT</v>
      </c>
      <c r="F818" s="2" t="s">
        <v>95</v>
      </c>
      <c r="G818" s="6"/>
      <c r="I818"/>
      <c r="J818"/>
      <c r="K818"/>
    </row>
    <row r="819" spans="1:11" x14ac:dyDescent="0.3">
      <c r="A819" s="2" t="s">
        <v>2735</v>
      </c>
      <c r="B819" s="2" t="s">
        <v>127</v>
      </c>
      <c r="C819" s="2" t="s">
        <v>111</v>
      </c>
      <c r="D819" s="2" t="s">
        <v>2867</v>
      </c>
      <c r="E819" s="4" t="str">
        <f>HYPERLINK("./Results/DLO\1743\Osteo_Sarco_1.png","RPT")</f>
        <v>RPT</v>
      </c>
      <c r="F819" s="2" t="s">
        <v>44</v>
      </c>
      <c r="G819" s="6"/>
      <c r="I819"/>
      <c r="J819"/>
      <c r="K819"/>
    </row>
    <row r="820" spans="1:11" x14ac:dyDescent="0.3">
      <c r="A820" s="2" t="s">
        <v>2726</v>
      </c>
      <c r="B820" s="2" t="s">
        <v>167</v>
      </c>
      <c r="C820" s="2" t="s">
        <v>119</v>
      </c>
      <c r="D820" s="2" t="s">
        <v>2859</v>
      </c>
      <c r="E820" s="4" t="str">
        <f>HYPERLINK("./Results/DLO\1744\Osteo_Sarco_1.png","RPT")</f>
        <v>RPT</v>
      </c>
      <c r="F820" s="2" t="s">
        <v>583</v>
      </c>
      <c r="G820" s="6"/>
      <c r="I820"/>
      <c r="J820"/>
      <c r="K820"/>
    </row>
    <row r="821" spans="1:11" x14ac:dyDescent="0.3">
      <c r="A821" s="2" t="s">
        <v>2730</v>
      </c>
      <c r="B821" s="2" t="s">
        <v>135</v>
      </c>
      <c r="C821" s="2" t="s">
        <v>111</v>
      </c>
      <c r="D821" s="2" t="s">
        <v>2867</v>
      </c>
      <c r="E821" s="4" t="str">
        <f>HYPERLINK("./Results/DLO\1745\Osteo_Sarco_1.png","RPT")</f>
        <v>RPT</v>
      </c>
      <c r="F821" s="2" t="s">
        <v>48</v>
      </c>
      <c r="G821" s="6"/>
      <c r="H821" s="1">
        <v>23.71</v>
      </c>
    </row>
    <row r="822" spans="1:11" x14ac:dyDescent="0.3">
      <c r="A822" s="2" t="s">
        <v>2727</v>
      </c>
      <c r="B822" s="2" t="s">
        <v>140</v>
      </c>
      <c r="C822" s="2" t="s">
        <v>119</v>
      </c>
      <c r="D822" s="2" t="s">
        <v>2859</v>
      </c>
      <c r="E822" s="4" t="str">
        <f>HYPERLINK("./Results/DLO\1746\Osteo_Sarco_1.png","RPT")</f>
        <v>RPT</v>
      </c>
      <c r="F822" s="2" t="s">
        <v>38</v>
      </c>
      <c r="G822" s="6"/>
      <c r="H822" s="1">
        <v>25.4</v>
      </c>
    </row>
    <row r="823" spans="1:11" x14ac:dyDescent="0.3">
      <c r="A823" s="2" t="s">
        <v>2732</v>
      </c>
      <c r="B823" s="2" t="s">
        <v>162</v>
      </c>
      <c r="C823" s="2" t="s">
        <v>119</v>
      </c>
      <c r="D823" s="2" t="s">
        <v>2859</v>
      </c>
      <c r="E823" s="4" t="str">
        <f>HYPERLINK("./Results/DLO\1747\Osteo_Sarco_1.png","RPT")</f>
        <v>RPT</v>
      </c>
      <c r="F823" s="2" t="s">
        <v>50</v>
      </c>
      <c r="G823" s="6"/>
      <c r="I823"/>
      <c r="J823"/>
      <c r="K823"/>
    </row>
    <row r="824" spans="1:11" x14ac:dyDescent="0.3">
      <c r="A824" s="2" t="s">
        <v>2733</v>
      </c>
      <c r="B824" s="2" t="s">
        <v>123</v>
      </c>
      <c r="C824" s="2" t="s">
        <v>111</v>
      </c>
      <c r="D824" s="2" t="s">
        <v>2867</v>
      </c>
      <c r="E824" s="4" t="str">
        <f>HYPERLINK("./Results/DLO\1748\Osteo_Sarco_1.png","RPT")</f>
        <v>RPT</v>
      </c>
      <c r="F824" s="2" t="s">
        <v>453</v>
      </c>
      <c r="G824" s="6"/>
      <c r="I824"/>
      <c r="J824"/>
      <c r="K824"/>
    </row>
    <row r="825" spans="1:11" x14ac:dyDescent="0.3">
      <c r="A825" s="2" t="s">
        <v>2719</v>
      </c>
      <c r="B825" s="2" t="s">
        <v>138</v>
      </c>
      <c r="C825" s="2" t="s">
        <v>111</v>
      </c>
      <c r="D825" s="2" t="s">
        <v>2859</v>
      </c>
      <c r="E825" s="4" t="str">
        <f>HYPERLINK("./Results/DLO\1749\Osteo_Sarco_1.png","RPT")</f>
        <v>RPT</v>
      </c>
      <c r="F825" s="2" t="s">
        <v>65</v>
      </c>
      <c r="G825" s="6"/>
      <c r="I825"/>
      <c r="J825"/>
      <c r="K825"/>
    </row>
    <row r="826" spans="1:11" x14ac:dyDescent="0.3">
      <c r="A826" s="2" t="s">
        <v>2716</v>
      </c>
      <c r="B826" s="2" t="s">
        <v>164</v>
      </c>
      <c r="C826" s="2" t="s">
        <v>111</v>
      </c>
      <c r="D826" s="2" t="s">
        <v>2859</v>
      </c>
      <c r="E826" s="4" t="str">
        <f>HYPERLINK("./Results/DLO\175\Osteo_Sarco_1.png","RPT")</f>
        <v>RPT</v>
      </c>
      <c r="F826" s="2" t="s">
        <v>52</v>
      </c>
      <c r="G826" s="6"/>
      <c r="I826"/>
      <c r="J826"/>
      <c r="K826"/>
    </row>
    <row r="827" spans="1:11" x14ac:dyDescent="0.3">
      <c r="A827" s="2" t="s">
        <v>2717</v>
      </c>
      <c r="B827" s="2" t="s">
        <v>118</v>
      </c>
      <c r="C827" s="2" t="s">
        <v>119</v>
      </c>
      <c r="D827" s="2" t="s">
        <v>2859</v>
      </c>
      <c r="E827" s="4" t="str">
        <f>HYPERLINK("./Results/DLO\1750\Osteo_Sarco_1.png","RPT")</f>
        <v>RPT</v>
      </c>
      <c r="F827" s="2" t="s">
        <v>29</v>
      </c>
      <c r="G827" s="6"/>
      <c r="I827"/>
      <c r="J827"/>
      <c r="K827"/>
    </row>
    <row r="828" spans="1:11" x14ac:dyDescent="0.3">
      <c r="A828" s="2" t="s">
        <v>2742</v>
      </c>
      <c r="B828" s="2" t="s">
        <v>134</v>
      </c>
      <c r="C828" s="2" t="s">
        <v>119</v>
      </c>
      <c r="D828" s="2" t="s">
        <v>2859</v>
      </c>
      <c r="E828" s="4" t="str">
        <f>HYPERLINK("./Results/DLO\1751\Osteo_Sarco_1.png","RPT")</f>
        <v>RPT</v>
      </c>
      <c r="F828" s="2" t="s">
        <v>48</v>
      </c>
      <c r="G828" s="6"/>
      <c r="I828"/>
      <c r="J828"/>
      <c r="K828"/>
    </row>
    <row r="829" spans="1:11" x14ac:dyDescent="0.3">
      <c r="A829" s="2" t="s">
        <v>2737</v>
      </c>
      <c r="B829" s="2" t="s">
        <v>112</v>
      </c>
      <c r="C829" s="2" t="s">
        <v>119</v>
      </c>
      <c r="D829" s="2" t="s">
        <v>2859</v>
      </c>
      <c r="E829" s="4" t="str">
        <f>HYPERLINK("./Results/DLO\1752\Osteo_Sarco_1.png","RPT")</f>
        <v>RPT</v>
      </c>
      <c r="F829" s="2" t="s">
        <v>454</v>
      </c>
      <c r="G829" s="6"/>
      <c r="H829" s="1">
        <v>24.39</v>
      </c>
    </row>
    <row r="830" spans="1:11" x14ac:dyDescent="0.3">
      <c r="A830" s="2" t="s">
        <v>2740</v>
      </c>
      <c r="B830" s="2" t="s">
        <v>165</v>
      </c>
      <c r="C830" s="2" t="s">
        <v>111</v>
      </c>
      <c r="D830" s="2" t="s">
        <v>2859</v>
      </c>
      <c r="E830" s="4" t="str">
        <f>HYPERLINK("./Results/DLO\1753\Osteo_Sarco_1.png","RPT")</f>
        <v>RPT</v>
      </c>
      <c r="F830" s="2" t="s">
        <v>59</v>
      </c>
      <c r="G830" s="6"/>
      <c r="H830" s="1">
        <v>27.3</v>
      </c>
    </row>
    <row r="831" spans="1:11" x14ac:dyDescent="0.3">
      <c r="A831" s="2" t="s">
        <v>2741</v>
      </c>
      <c r="B831" s="2" t="s">
        <v>165</v>
      </c>
      <c r="C831" s="2" t="s">
        <v>111</v>
      </c>
      <c r="D831" s="2" t="s">
        <v>2867</v>
      </c>
      <c r="E831" s="4" t="str">
        <f>HYPERLINK("./Results/DLO\1754\Osteo_Sarco_1.png","RPT")</f>
        <v>RPT</v>
      </c>
      <c r="F831" s="2" t="s">
        <v>458</v>
      </c>
      <c r="G831" s="6"/>
      <c r="I831"/>
      <c r="J831"/>
      <c r="K831"/>
    </row>
    <row r="832" spans="1:11" x14ac:dyDescent="0.3">
      <c r="A832" s="2" t="s">
        <v>2753</v>
      </c>
      <c r="B832" s="2" t="s">
        <v>149</v>
      </c>
      <c r="C832" s="2" t="s">
        <v>119</v>
      </c>
      <c r="D832" s="2" t="s">
        <v>2867</v>
      </c>
      <c r="E832" s="4" t="str">
        <f>HYPERLINK("./Results/DLO\1755\Osteo_Sarco_1.png","RPT")</f>
        <v>RPT</v>
      </c>
      <c r="F832" s="2" t="s">
        <v>41</v>
      </c>
      <c r="G832" s="6"/>
      <c r="I832"/>
      <c r="J832"/>
      <c r="K832"/>
    </row>
    <row r="833" spans="1:11" x14ac:dyDescent="0.3">
      <c r="A833" s="2" t="s">
        <v>2746</v>
      </c>
      <c r="B833" s="2" t="s">
        <v>153</v>
      </c>
      <c r="C833" s="2" t="s">
        <v>111</v>
      </c>
      <c r="D833" s="2" t="s">
        <v>2859</v>
      </c>
      <c r="E833" s="4" t="str">
        <f>HYPERLINK("./Results/DLO\1756\Osteo_Sarco_1.png","RPT")</f>
        <v>RPT</v>
      </c>
      <c r="F833" s="2" t="s">
        <v>92</v>
      </c>
      <c r="G833" s="6"/>
      <c r="I833"/>
      <c r="J833"/>
      <c r="K833"/>
    </row>
    <row r="834" spans="1:11" x14ac:dyDescent="0.3">
      <c r="A834" s="2" t="s">
        <v>2754</v>
      </c>
      <c r="B834" s="2" t="s">
        <v>113</v>
      </c>
      <c r="C834" s="2" t="s">
        <v>111</v>
      </c>
      <c r="D834" s="2" t="s">
        <v>2867</v>
      </c>
      <c r="E834" s="4" t="str">
        <f>HYPERLINK("./Results/DLO\1757\Osteo_Sarco_1.png","RPT")</f>
        <v>RPT</v>
      </c>
      <c r="F834" s="2" t="s">
        <v>108</v>
      </c>
      <c r="G834" s="6"/>
      <c r="H834" s="1">
        <v>32.04</v>
      </c>
    </row>
    <row r="835" spans="1:11" x14ac:dyDescent="0.3">
      <c r="A835" s="2" t="s">
        <v>2759</v>
      </c>
      <c r="B835" s="2" t="s">
        <v>125</v>
      </c>
      <c r="C835" s="2" t="s">
        <v>119</v>
      </c>
      <c r="D835" s="2" t="s">
        <v>2867</v>
      </c>
      <c r="E835" s="4" t="str">
        <f>HYPERLINK("./Results/DLO\1758\Osteo_Sarco_1.png","RPT")</f>
        <v>RPT</v>
      </c>
      <c r="F835" s="2" t="s">
        <v>34</v>
      </c>
      <c r="G835" s="6"/>
      <c r="H835" s="1">
        <v>28.81</v>
      </c>
    </row>
    <row r="836" spans="1:11" x14ac:dyDescent="0.3">
      <c r="A836" s="2" t="s">
        <v>2751</v>
      </c>
      <c r="B836" s="2" t="s">
        <v>116</v>
      </c>
      <c r="C836" s="2" t="s">
        <v>119</v>
      </c>
      <c r="D836" s="2" t="s">
        <v>2859</v>
      </c>
      <c r="E836" s="4" t="str">
        <f>HYPERLINK("./Results/DLO\1759\Osteo_Sarco_1.png","RPT")</f>
        <v>RPT</v>
      </c>
      <c r="F836" s="2" t="s">
        <v>81</v>
      </c>
      <c r="G836" s="6"/>
      <c r="I836"/>
      <c r="J836"/>
      <c r="K836"/>
    </row>
    <row r="837" spans="1:11" x14ac:dyDescent="0.3">
      <c r="A837" s="2" t="s">
        <v>2757</v>
      </c>
      <c r="B837" s="2" t="s">
        <v>138</v>
      </c>
      <c r="C837" s="2" t="s">
        <v>111</v>
      </c>
      <c r="D837" s="2" t="s">
        <v>1935</v>
      </c>
      <c r="E837" s="4" t="str">
        <f>HYPERLINK("./Results/DLO\176\Osteo_Sarco_1.png","RPT")</f>
        <v>RPT</v>
      </c>
      <c r="F837" s="2" t="s">
        <v>62</v>
      </c>
      <c r="G837" s="6"/>
      <c r="H837" s="1">
        <v>26.17</v>
      </c>
    </row>
    <row r="838" spans="1:11" x14ac:dyDescent="0.3">
      <c r="A838" s="2" t="s">
        <v>2756</v>
      </c>
      <c r="B838" s="2" t="s">
        <v>140</v>
      </c>
      <c r="C838" s="2" t="s">
        <v>111</v>
      </c>
      <c r="D838" s="2" t="s">
        <v>2867</v>
      </c>
      <c r="E838" s="4" t="str">
        <f>HYPERLINK("./Results/DLO\1760\Osteo_Sarco_1.png","RPT")</f>
        <v>RPT</v>
      </c>
      <c r="F838" s="2" t="s">
        <v>54</v>
      </c>
      <c r="G838" s="6"/>
      <c r="I838"/>
      <c r="J838"/>
      <c r="K838"/>
    </row>
    <row r="839" spans="1:11" x14ac:dyDescent="0.3">
      <c r="A839" s="2" t="s">
        <v>2743</v>
      </c>
      <c r="B839" s="2" t="s">
        <v>165</v>
      </c>
      <c r="C839" s="2" t="s">
        <v>111</v>
      </c>
      <c r="D839" s="2" t="s">
        <v>2859</v>
      </c>
      <c r="E839" s="4" t="str">
        <f>HYPERLINK("./Results/DLO\1761\Osteo_Sarco_1.png","RPT")</f>
        <v>RPT</v>
      </c>
      <c r="F839" s="2" t="s">
        <v>52</v>
      </c>
      <c r="G839" s="6"/>
      <c r="H839" s="1">
        <v>23.18</v>
      </c>
    </row>
    <row r="840" spans="1:11" x14ac:dyDescent="0.3">
      <c r="A840" s="2" t="s">
        <v>2736</v>
      </c>
      <c r="B840" s="2" t="s">
        <v>151</v>
      </c>
      <c r="C840" s="2" t="s">
        <v>119</v>
      </c>
      <c r="D840" s="2" t="s">
        <v>2859</v>
      </c>
      <c r="E840" s="4" t="str">
        <f>HYPERLINK("./Results/DLO\1762\Osteo_Sarco_1.png","RPT")</f>
        <v>RPT</v>
      </c>
      <c r="F840" s="2" t="s">
        <v>97</v>
      </c>
      <c r="G840" s="6"/>
      <c r="I840"/>
      <c r="J840"/>
      <c r="K840"/>
    </row>
    <row r="841" spans="1:11" x14ac:dyDescent="0.3">
      <c r="A841" s="2" t="s">
        <v>2738</v>
      </c>
      <c r="B841" s="2" t="s">
        <v>138</v>
      </c>
      <c r="C841" s="2" t="s">
        <v>111</v>
      </c>
      <c r="D841" s="2" t="s">
        <v>2859</v>
      </c>
      <c r="E841" s="4" t="str">
        <f>HYPERLINK("./Results/DLO\1763\Osteo_Sarco_1.png","RPT")</f>
        <v>RPT</v>
      </c>
      <c r="F841" s="2" t="s">
        <v>450</v>
      </c>
      <c r="G841" s="6"/>
      <c r="I841"/>
      <c r="J841"/>
      <c r="K841"/>
    </row>
    <row r="842" spans="1:11" x14ac:dyDescent="0.3">
      <c r="A842" s="2" t="s">
        <v>2752</v>
      </c>
      <c r="B842" s="2" t="s">
        <v>136</v>
      </c>
      <c r="C842" s="2" t="s">
        <v>111</v>
      </c>
      <c r="D842" s="2" t="s">
        <v>2859</v>
      </c>
      <c r="E842" s="4" t="str">
        <f>HYPERLINK("./Results/DLO\1764\Osteo_Sarco_1.png","RPT")</f>
        <v>RPT</v>
      </c>
      <c r="F842" s="2" t="s">
        <v>67</v>
      </c>
      <c r="G842" s="6"/>
      <c r="H842" s="1">
        <v>26.17</v>
      </c>
    </row>
    <row r="843" spans="1:11" x14ac:dyDescent="0.3">
      <c r="A843" s="2" t="s">
        <v>2755</v>
      </c>
      <c r="B843" s="2" t="s">
        <v>167</v>
      </c>
      <c r="C843" s="2" t="s">
        <v>111</v>
      </c>
      <c r="D843" s="2" t="s">
        <v>2859</v>
      </c>
      <c r="E843" s="4" t="str">
        <f>HYPERLINK("./Results/DLO\1765\Osteo_Sarco_1.png","RPT")</f>
        <v>RPT</v>
      </c>
      <c r="F843" s="2" t="s">
        <v>1</v>
      </c>
      <c r="G843" s="6"/>
      <c r="I843"/>
      <c r="J843"/>
      <c r="K843"/>
    </row>
    <row r="844" spans="1:11" x14ac:dyDescent="0.3">
      <c r="A844" s="2" t="s">
        <v>2744</v>
      </c>
      <c r="B844" s="2" t="s">
        <v>148</v>
      </c>
      <c r="C844" s="2" t="s">
        <v>119</v>
      </c>
      <c r="D844" s="2" t="s">
        <v>2859</v>
      </c>
      <c r="E844" s="4" t="str">
        <f>HYPERLINK("./Results/DLO\1766\Osteo_Sarco_1.png","RPT")</f>
        <v>RPT</v>
      </c>
      <c r="F844" s="2" t="s">
        <v>38</v>
      </c>
      <c r="G844" s="6"/>
      <c r="I844"/>
      <c r="J844"/>
      <c r="K844"/>
    </row>
    <row r="845" spans="1:11" x14ac:dyDescent="0.3">
      <c r="A845" s="2" t="s">
        <v>2739</v>
      </c>
      <c r="B845" s="2" t="s">
        <v>165</v>
      </c>
      <c r="C845" s="2" t="s">
        <v>119</v>
      </c>
      <c r="D845" s="2" t="s">
        <v>2859</v>
      </c>
      <c r="E845" s="4" t="str">
        <f>HYPERLINK("./Results/DLO\1767\Osteo_Sarco_1.png","RPT")</f>
        <v>RPT</v>
      </c>
      <c r="F845" s="2" t="s">
        <v>27</v>
      </c>
      <c r="G845" s="6"/>
      <c r="I845"/>
      <c r="J845"/>
      <c r="K845"/>
    </row>
    <row r="846" spans="1:11" x14ac:dyDescent="0.3">
      <c r="A846" s="2" t="s">
        <v>2758</v>
      </c>
      <c r="B846" s="2" t="s">
        <v>129</v>
      </c>
      <c r="C846" s="2" t="s">
        <v>111</v>
      </c>
      <c r="D846" s="2" t="s">
        <v>2867</v>
      </c>
      <c r="E846" s="4" t="str">
        <f>HYPERLINK("./Results/DLO\1768\Osteo_Sarco_1.png","RPT")</f>
        <v>RPT</v>
      </c>
      <c r="F846" s="2" t="s">
        <v>77</v>
      </c>
      <c r="G846" s="6"/>
      <c r="I846"/>
      <c r="J846"/>
      <c r="K846"/>
    </row>
    <row r="847" spans="1:11" x14ac:dyDescent="0.3">
      <c r="A847" s="2" t="s">
        <v>2745</v>
      </c>
      <c r="B847" s="2" t="s">
        <v>114</v>
      </c>
      <c r="C847" s="2" t="s">
        <v>119</v>
      </c>
      <c r="D847" s="2" t="s">
        <v>2867</v>
      </c>
      <c r="E847" s="4" t="str">
        <f>HYPERLINK("./Results/DLO\1769\Osteo_Sarco_1.png","RPT")</f>
        <v>RPT</v>
      </c>
      <c r="F847" s="2" t="s">
        <v>115</v>
      </c>
      <c r="G847" s="6"/>
      <c r="I847"/>
      <c r="J847"/>
      <c r="K847"/>
    </row>
    <row r="848" spans="1:11" x14ac:dyDescent="0.3">
      <c r="A848" s="2" t="s">
        <v>2747</v>
      </c>
      <c r="B848" s="2" t="s">
        <v>149</v>
      </c>
      <c r="C848" s="2" t="s">
        <v>111</v>
      </c>
      <c r="D848" s="2" t="s">
        <v>2859</v>
      </c>
      <c r="E848" s="4" t="str">
        <f>HYPERLINK("./Results/DLO\177\Osteo_Sarco_1.png","RPT")</f>
        <v>RPT</v>
      </c>
      <c r="F848" s="2" t="s">
        <v>44</v>
      </c>
      <c r="G848" s="6"/>
      <c r="H848" s="1">
        <v>19.47</v>
      </c>
    </row>
    <row r="849" spans="1:11" x14ac:dyDescent="0.3">
      <c r="A849" s="2" t="s">
        <v>2748</v>
      </c>
      <c r="B849" s="2" t="s">
        <v>136</v>
      </c>
      <c r="C849" s="2" t="s">
        <v>111</v>
      </c>
      <c r="D849" s="2" t="s">
        <v>2859</v>
      </c>
      <c r="E849" s="4" t="str">
        <f>HYPERLINK("./Results/DLO\1770\Osteo_Sarco_1.png","RPT")</f>
        <v>RPT</v>
      </c>
      <c r="F849" s="2" t="s">
        <v>458</v>
      </c>
      <c r="G849" s="6"/>
      <c r="H849" s="1">
        <v>24.28</v>
      </c>
    </row>
    <row r="850" spans="1:11" x14ac:dyDescent="0.3">
      <c r="A850" s="2" t="s">
        <v>2749</v>
      </c>
      <c r="B850" s="2" t="s">
        <v>120</v>
      </c>
      <c r="C850" s="2" t="s">
        <v>111</v>
      </c>
      <c r="D850" s="2" t="s">
        <v>2859</v>
      </c>
      <c r="E850" s="4" t="str">
        <f>HYPERLINK("./Results/DLO\1771\Osteo_Sarco_1.png","RPT")</f>
        <v>RPT</v>
      </c>
      <c r="F850" s="2" t="s">
        <v>575</v>
      </c>
      <c r="G850" s="6"/>
      <c r="H850" s="1">
        <v>23.44</v>
      </c>
    </row>
    <row r="851" spans="1:11" x14ac:dyDescent="0.3">
      <c r="A851" s="2" t="s">
        <v>2750</v>
      </c>
      <c r="B851" s="2" t="s">
        <v>142</v>
      </c>
      <c r="C851" s="2" t="s">
        <v>111</v>
      </c>
      <c r="D851" s="2" t="s">
        <v>2867</v>
      </c>
      <c r="E851" s="4" t="str">
        <f>HYPERLINK("./Results/DLO\1772\Osteo_Sarco_1.png","RPT")</f>
        <v>RPT</v>
      </c>
      <c r="F851" s="2" t="s">
        <v>457</v>
      </c>
      <c r="G851" s="6"/>
      <c r="I851"/>
      <c r="J851"/>
      <c r="K851"/>
    </row>
    <row r="852" spans="1:11" x14ac:dyDescent="0.3">
      <c r="A852" s="2" t="s">
        <v>2776</v>
      </c>
      <c r="B852" s="2" t="s">
        <v>125</v>
      </c>
      <c r="C852" s="2" t="s">
        <v>111</v>
      </c>
      <c r="D852" s="2" t="s">
        <v>2859</v>
      </c>
      <c r="E852" s="4" t="str">
        <f>HYPERLINK("./Results/DLO\1773\Osteo_Sarco_1.png","RPT")</f>
        <v>RPT</v>
      </c>
      <c r="F852" s="2" t="s">
        <v>466</v>
      </c>
      <c r="G852" s="6"/>
      <c r="H852" s="1">
        <v>23.73</v>
      </c>
    </row>
    <row r="853" spans="1:11" x14ac:dyDescent="0.3">
      <c r="A853" s="2" t="s">
        <v>2765</v>
      </c>
      <c r="B853" s="2" t="s">
        <v>136</v>
      </c>
      <c r="C853" s="2" t="s">
        <v>111</v>
      </c>
      <c r="D853" s="2" t="s">
        <v>2859</v>
      </c>
      <c r="E853" s="4" t="str">
        <f>HYPERLINK("./Results/DLO\1774\Osteo_Sarco_1.png","RPT")</f>
        <v>RPT</v>
      </c>
      <c r="F853" s="2" t="s">
        <v>2</v>
      </c>
      <c r="G853" s="6"/>
      <c r="I853"/>
      <c r="J853"/>
      <c r="K853"/>
    </row>
    <row r="854" spans="1:11" x14ac:dyDescent="0.3">
      <c r="A854" s="2" t="s">
        <v>2760</v>
      </c>
      <c r="B854" s="2" t="s">
        <v>587</v>
      </c>
      <c r="C854" s="2" t="s">
        <v>119</v>
      </c>
      <c r="D854" s="2" t="s">
        <v>2859</v>
      </c>
      <c r="E854" s="4" t="str">
        <f>HYPERLINK("./Results/DLO\1775\Osteo_Sarco_1.png","RPT")</f>
        <v>RPT</v>
      </c>
      <c r="F854" s="2" t="s">
        <v>25</v>
      </c>
      <c r="G854" s="6"/>
      <c r="I854"/>
      <c r="J854"/>
      <c r="K854"/>
    </row>
    <row r="855" spans="1:11" x14ac:dyDescent="0.3">
      <c r="A855" s="2" t="s">
        <v>2777</v>
      </c>
      <c r="B855" s="2" t="s">
        <v>161</v>
      </c>
      <c r="C855" s="2" t="s">
        <v>119</v>
      </c>
      <c r="D855" s="2" t="s">
        <v>2859</v>
      </c>
      <c r="E855" s="4" t="str">
        <f>HYPERLINK("./Results/DLO\1776\Osteo_Sarco_1.png","RPT")</f>
        <v>RPT</v>
      </c>
      <c r="F855" s="2" t="s">
        <v>36</v>
      </c>
      <c r="G855" s="6"/>
      <c r="I855"/>
      <c r="J855"/>
      <c r="K855"/>
    </row>
    <row r="856" spans="1:11" x14ac:dyDescent="0.3">
      <c r="A856" s="2" t="s">
        <v>2774</v>
      </c>
      <c r="B856" s="2" t="s">
        <v>129</v>
      </c>
      <c r="C856" s="2" t="s">
        <v>119</v>
      </c>
      <c r="D856" s="2" t="s">
        <v>2859</v>
      </c>
      <c r="E856" s="4" t="str">
        <f>HYPERLINK("./Results/DLO\1777\Osteo_Sarco_1.png","RPT")</f>
        <v>RPT</v>
      </c>
      <c r="F856" s="2" t="s">
        <v>42</v>
      </c>
      <c r="G856" s="6"/>
      <c r="I856"/>
      <c r="J856"/>
      <c r="K856"/>
    </row>
    <row r="857" spans="1:11" x14ac:dyDescent="0.3">
      <c r="A857" s="2" t="s">
        <v>2769</v>
      </c>
      <c r="B857" s="2" t="s">
        <v>146</v>
      </c>
      <c r="C857" s="2" t="s">
        <v>111</v>
      </c>
      <c r="D857" s="2" t="s">
        <v>2859</v>
      </c>
      <c r="E857" s="4" t="str">
        <f>HYPERLINK("./Results/DLO\1778\Osteo_Sarco_1.png","RPT")</f>
        <v>RPT</v>
      </c>
      <c r="F857" s="2" t="s">
        <v>59</v>
      </c>
      <c r="G857" s="6"/>
      <c r="H857" s="1">
        <v>25.3</v>
      </c>
    </row>
    <row r="858" spans="1:11" x14ac:dyDescent="0.3">
      <c r="A858" s="2" t="s">
        <v>2781</v>
      </c>
      <c r="B858" s="2" t="s">
        <v>142</v>
      </c>
      <c r="C858" s="2" t="s">
        <v>119</v>
      </c>
      <c r="D858" s="2" t="s">
        <v>2859</v>
      </c>
      <c r="E858" s="4" t="str">
        <f>HYPERLINK("./Results/DLO\1779\Osteo_Sarco_1.png","RPT")</f>
        <v>RPT</v>
      </c>
      <c r="F858" s="2" t="s">
        <v>164</v>
      </c>
      <c r="G858" s="6"/>
      <c r="H858" s="1">
        <v>19.100000000000001</v>
      </c>
    </row>
    <row r="859" spans="1:11" x14ac:dyDescent="0.3">
      <c r="A859" s="2" t="s">
        <v>2782</v>
      </c>
      <c r="B859" s="2" t="s">
        <v>137</v>
      </c>
      <c r="C859" s="2" t="s">
        <v>111</v>
      </c>
      <c r="D859" s="2" t="s">
        <v>2867</v>
      </c>
      <c r="E859" s="4" t="str">
        <f>HYPERLINK("./Results/DLO\178\Osteo_Sarco_1.png","RPT")</f>
        <v>RPT</v>
      </c>
      <c r="F859" s="2" t="s">
        <v>47</v>
      </c>
      <c r="G859" s="6"/>
      <c r="I859"/>
      <c r="J859"/>
      <c r="K859"/>
    </row>
    <row r="860" spans="1:11" x14ac:dyDescent="0.3">
      <c r="A860" s="2" t="s">
        <v>2764</v>
      </c>
      <c r="B860" s="2" t="s">
        <v>136</v>
      </c>
      <c r="C860" s="2" t="s">
        <v>111</v>
      </c>
      <c r="D860" s="2" t="s">
        <v>2859</v>
      </c>
      <c r="E860" s="4" t="str">
        <f>HYPERLINK("./Results/DLO\1780\Osteo_Sarco_1.png","RPT")</f>
        <v>RPT</v>
      </c>
      <c r="F860" s="2" t="s">
        <v>467</v>
      </c>
      <c r="G860" s="6"/>
      <c r="H860" s="1">
        <v>23.88</v>
      </c>
    </row>
    <row r="861" spans="1:11" x14ac:dyDescent="0.3">
      <c r="A861" s="2" t="s">
        <v>2772</v>
      </c>
      <c r="B861" s="2" t="s">
        <v>164</v>
      </c>
      <c r="C861" s="2" t="s">
        <v>119</v>
      </c>
      <c r="D861" s="2" t="s">
        <v>2859</v>
      </c>
      <c r="E861" s="4" t="str">
        <f>HYPERLINK("./Results/DLO\1781\Osteo_Sarco_1.png","RPT")</f>
        <v>RPT</v>
      </c>
      <c r="F861" s="2" t="s">
        <v>41</v>
      </c>
      <c r="G861" s="6"/>
      <c r="H861" s="1">
        <v>29.8</v>
      </c>
    </row>
    <row r="862" spans="1:11" x14ac:dyDescent="0.3">
      <c r="A862" s="2" t="s">
        <v>2770</v>
      </c>
      <c r="B862" s="2" t="s">
        <v>131</v>
      </c>
      <c r="C862" s="2" t="s">
        <v>111</v>
      </c>
      <c r="D862" s="2" t="s">
        <v>2859</v>
      </c>
      <c r="E862" s="4" t="str">
        <f>HYPERLINK("./Results/DLO\1782\Osteo_Sarco_1.png","RPT")</f>
        <v>RPT</v>
      </c>
      <c r="F862" s="2" t="s">
        <v>55</v>
      </c>
      <c r="G862" s="6"/>
      <c r="H862" s="1">
        <v>23.45</v>
      </c>
    </row>
    <row r="863" spans="1:11" x14ac:dyDescent="0.3">
      <c r="A863" s="2" t="s">
        <v>2778</v>
      </c>
      <c r="B863" s="2" t="s">
        <v>140</v>
      </c>
      <c r="C863" s="2" t="s">
        <v>119</v>
      </c>
      <c r="D863" s="2" t="s">
        <v>2859</v>
      </c>
      <c r="E863" s="4" t="str">
        <f>HYPERLINK("./Results/DLO\1783\Osteo_Sarco_1.png","RPT")</f>
        <v>RPT</v>
      </c>
      <c r="F863" s="2" t="s">
        <v>81</v>
      </c>
      <c r="G863" s="6"/>
      <c r="I863"/>
      <c r="J863"/>
      <c r="K863"/>
    </row>
    <row r="864" spans="1:11" x14ac:dyDescent="0.3">
      <c r="A864" s="2" t="s">
        <v>2783</v>
      </c>
      <c r="B864" s="2" t="s">
        <v>165</v>
      </c>
      <c r="C864" s="2" t="s">
        <v>111</v>
      </c>
      <c r="D864" s="2" t="s">
        <v>2867</v>
      </c>
      <c r="E864" s="4" t="str">
        <f>HYPERLINK("./Results/DLO\1784\Osteo_Sarco_1.png","RPT")</f>
        <v>RPT</v>
      </c>
      <c r="F864" s="2" t="s">
        <v>78</v>
      </c>
      <c r="G864" s="6"/>
      <c r="H864" s="1">
        <v>19.600000000000001</v>
      </c>
    </row>
    <row r="865" spans="1:11" x14ac:dyDescent="0.3">
      <c r="A865" s="2" t="s">
        <v>2761</v>
      </c>
      <c r="B865" s="2" t="s">
        <v>112</v>
      </c>
      <c r="C865" s="2" t="s">
        <v>119</v>
      </c>
      <c r="D865" s="2" t="s">
        <v>2859</v>
      </c>
      <c r="E865" s="4" t="str">
        <f>HYPERLINK("./Results/DLO\1785\Osteo_Sarco_1.png","RPT")</f>
        <v>RPT</v>
      </c>
      <c r="F865" s="2" t="s">
        <v>61</v>
      </c>
      <c r="G865" s="6"/>
      <c r="I865"/>
      <c r="J865"/>
      <c r="K865"/>
    </row>
    <row r="866" spans="1:11" x14ac:dyDescent="0.3">
      <c r="A866" s="2" t="s">
        <v>2766</v>
      </c>
      <c r="B866" s="2" t="s">
        <v>164</v>
      </c>
      <c r="C866" s="2" t="s">
        <v>111</v>
      </c>
      <c r="D866" s="2" t="s">
        <v>2867</v>
      </c>
      <c r="E866" s="4" t="str">
        <f>HYPERLINK("./Results/DLO\1786\Osteo_Sarco_1.png","RPT")</f>
        <v>RPT</v>
      </c>
      <c r="F866" s="2" t="s">
        <v>107</v>
      </c>
      <c r="G866" s="6"/>
      <c r="H866" s="1">
        <v>25.79</v>
      </c>
    </row>
    <row r="867" spans="1:11" x14ac:dyDescent="0.3">
      <c r="A867" s="2" t="s">
        <v>2773</v>
      </c>
      <c r="B867" s="2" t="s">
        <v>120</v>
      </c>
      <c r="C867" s="2" t="s">
        <v>111</v>
      </c>
      <c r="D867" s="2" t="s">
        <v>2859</v>
      </c>
      <c r="E867" s="4" t="str">
        <f>HYPERLINK("./Results/DLO\1787\Osteo_Sarco_1.png","RPT")</f>
        <v>RPT</v>
      </c>
      <c r="F867" s="2" t="s">
        <v>473</v>
      </c>
      <c r="G867" s="6"/>
      <c r="I867"/>
      <c r="J867"/>
      <c r="K867"/>
    </row>
    <row r="868" spans="1:11" x14ac:dyDescent="0.3">
      <c r="A868" s="2" t="s">
        <v>2763</v>
      </c>
      <c r="B868" s="2" t="s">
        <v>146</v>
      </c>
      <c r="C868" s="2" t="s">
        <v>111</v>
      </c>
      <c r="D868" s="2" t="s">
        <v>2859</v>
      </c>
      <c r="E868" s="4" t="str">
        <f>HYPERLINK("./Results/DLO\1788\Osteo_Sarco_1.png","RPT")</f>
        <v>RPT</v>
      </c>
      <c r="F868" s="2" t="s">
        <v>455</v>
      </c>
      <c r="G868" s="6"/>
      <c r="I868"/>
      <c r="J868"/>
      <c r="K868"/>
    </row>
    <row r="869" spans="1:11" x14ac:dyDescent="0.3">
      <c r="A869" s="2" t="s">
        <v>2775</v>
      </c>
      <c r="B869" s="2" t="s">
        <v>145</v>
      </c>
      <c r="C869" s="2" t="s">
        <v>111</v>
      </c>
      <c r="D869" s="2" t="s">
        <v>2859</v>
      </c>
      <c r="E869" s="4" t="str">
        <f>HYPERLINK("./Results/DLO\1789\Osteo_Sarco_1.png","RPT")</f>
        <v>RPT</v>
      </c>
      <c r="F869" s="2" t="s">
        <v>32</v>
      </c>
      <c r="G869" s="6"/>
      <c r="I869"/>
      <c r="J869"/>
      <c r="K869"/>
    </row>
    <row r="870" spans="1:11" x14ac:dyDescent="0.3">
      <c r="A870" s="2" t="s">
        <v>2767</v>
      </c>
      <c r="B870" s="2" t="s">
        <v>140</v>
      </c>
      <c r="C870" s="2" t="s">
        <v>119</v>
      </c>
      <c r="D870" s="2" t="s">
        <v>2859</v>
      </c>
      <c r="E870" s="4" t="str">
        <f>HYPERLINK("./Results/DLO\179\Osteo_Sarco_1.png","RPT")</f>
        <v>RPT</v>
      </c>
      <c r="F870" s="2" t="s">
        <v>77</v>
      </c>
      <c r="G870" s="6"/>
      <c r="I870"/>
      <c r="J870"/>
      <c r="K870"/>
    </row>
    <row r="871" spans="1:11" x14ac:dyDescent="0.3">
      <c r="A871" s="2" t="s">
        <v>2762</v>
      </c>
      <c r="B871" s="2" t="s">
        <v>127</v>
      </c>
      <c r="C871" s="2" t="s">
        <v>119</v>
      </c>
      <c r="D871" s="2" t="s">
        <v>2859</v>
      </c>
      <c r="E871" s="4" t="str">
        <f>HYPERLINK("./Results/DLO\1790\Osteo_Sarco_1.png","RPT")</f>
        <v>RPT</v>
      </c>
      <c r="F871" s="2" t="s">
        <v>46</v>
      </c>
      <c r="G871" s="6"/>
      <c r="I871"/>
      <c r="J871"/>
      <c r="K871"/>
    </row>
    <row r="872" spans="1:11" x14ac:dyDescent="0.3">
      <c r="A872" s="2" t="s">
        <v>2779</v>
      </c>
      <c r="B872" s="2" t="s">
        <v>166</v>
      </c>
      <c r="C872" s="2" t="s">
        <v>119</v>
      </c>
      <c r="D872" s="2" t="s">
        <v>2859</v>
      </c>
      <c r="E872" s="4" t="str">
        <f>HYPERLINK("./Results/DLO\1791\Osteo_Sarco_1.png","RPT")</f>
        <v>RPT</v>
      </c>
      <c r="F872" s="2" t="s">
        <v>467</v>
      </c>
      <c r="G872" s="6"/>
      <c r="H872" s="1">
        <v>17.809999999999999</v>
      </c>
    </row>
    <row r="873" spans="1:11" x14ac:dyDescent="0.3">
      <c r="A873" s="2" t="s">
        <v>2780</v>
      </c>
      <c r="B873" s="2" t="s">
        <v>586</v>
      </c>
      <c r="C873" s="2" t="s">
        <v>111</v>
      </c>
      <c r="D873" s="2" t="s">
        <v>2867</v>
      </c>
      <c r="E873" s="4" t="str">
        <f>HYPERLINK("./Results/DLO\1792\Osteo_Sarco_1.png","RPT")</f>
        <v>RPT</v>
      </c>
      <c r="F873" s="2" t="s">
        <v>84</v>
      </c>
      <c r="G873" s="6"/>
      <c r="I873"/>
      <c r="J873"/>
      <c r="K873"/>
    </row>
    <row r="874" spans="1:11" x14ac:dyDescent="0.3">
      <c r="A874" s="2" t="s">
        <v>2771</v>
      </c>
      <c r="B874" s="2" t="s">
        <v>127</v>
      </c>
      <c r="C874" s="2" t="s">
        <v>111</v>
      </c>
      <c r="D874" s="2" t="s">
        <v>2859</v>
      </c>
      <c r="E874" s="4" t="str">
        <f>HYPERLINK("./Results/DLO\1793\Osteo_Sarco_1.png","RPT")</f>
        <v>RPT</v>
      </c>
      <c r="F874" s="2" t="s">
        <v>104</v>
      </c>
      <c r="G874" s="6"/>
      <c r="I874"/>
      <c r="J874"/>
      <c r="K874"/>
    </row>
    <row r="875" spans="1:11" x14ac:dyDescent="0.3">
      <c r="A875" s="2" t="s">
        <v>2768</v>
      </c>
      <c r="B875" s="2" t="s">
        <v>125</v>
      </c>
      <c r="C875" s="2" t="s">
        <v>111</v>
      </c>
      <c r="D875" s="2" t="s">
        <v>2859</v>
      </c>
      <c r="E875" s="4" t="str">
        <f>HYPERLINK("./Results/DLO\1794\Osteo_Sarco_1.png","RPT")</f>
        <v>RPT</v>
      </c>
      <c r="F875" s="2" t="s">
        <v>58</v>
      </c>
      <c r="G875" s="6"/>
      <c r="H875" s="1">
        <v>27.66</v>
      </c>
    </row>
    <row r="876" spans="1:11" x14ac:dyDescent="0.3">
      <c r="A876" s="2" t="s">
        <v>2784</v>
      </c>
      <c r="B876" s="2" t="s">
        <v>122</v>
      </c>
      <c r="C876" s="2" t="s">
        <v>119</v>
      </c>
      <c r="D876" s="2" t="s">
        <v>2859</v>
      </c>
      <c r="E876" s="4" t="str">
        <f>HYPERLINK("./Results/DLO\1795\Osteo_Sarco_1.png","RPT")</f>
        <v>RPT</v>
      </c>
      <c r="F876" s="2" t="s">
        <v>70</v>
      </c>
      <c r="G876" s="6"/>
      <c r="I876"/>
      <c r="J876"/>
      <c r="K876"/>
    </row>
    <row r="877" spans="1:11" x14ac:dyDescent="0.3">
      <c r="A877" s="2" t="s">
        <v>2793</v>
      </c>
      <c r="B877" s="2" t="s">
        <v>149</v>
      </c>
      <c r="C877" s="2" t="s">
        <v>111</v>
      </c>
      <c r="D877" s="2" t="s">
        <v>2867</v>
      </c>
      <c r="E877" s="4" t="str">
        <f>HYPERLINK("./Results/DLO\1796\Osteo_Sarco_1.png","RPT")</f>
        <v>RPT</v>
      </c>
      <c r="F877" s="2" t="s">
        <v>475</v>
      </c>
      <c r="G877" s="6"/>
      <c r="I877"/>
      <c r="J877"/>
      <c r="K877"/>
    </row>
    <row r="878" spans="1:11" x14ac:dyDescent="0.3">
      <c r="A878" s="2" t="s">
        <v>2787</v>
      </c>
      <c r="B878" s="2" t="s">
        <v>116</v>
      </c>
      <c r="C878" s="2" t="s">
        <v>119</v>
      </c>
      <c r="D878" s="2" t="s">
        <v>2859</v>
      </c>
      <c r="E878" s="4" t="str">
        <f>HYPERLINK("./Results/DLO\1797\Osteo_Sarco_1.png","RPT")</f>
        <v>RPT</v>
      </c>
      <c r="F878" s="2" t="s">
        <v>77</v>
      </c>
      <c r="G878" s="6"/>
      <c r="I878"/>
      <c r="J878"/>
      <c r="K878"/>
    </row>
    <row r="879" spans="1:11" x14ac:dyDescent="0.3">
      <c r="A879" s="2" t="s">
        <v>2799</v>
      </c>
      <c r="B879" s="2" t="s">
        <v>114</v>
      </c>
      <c r="C879" s="2" t="s">
        <v>119</v>
      </c>
      <c r="D879" s="2" t="s">
        <v>2859</v>
      </c>
      <c r="E879" s="4" t="str">
        <f>HYPERLINK("./Results/DLO\1798\Osteo_Sarco_1.png","RPT")</f>
        <v>RPT</v>
      </c>
      <c r="F879" s="2" t="s">
        <v>70</v>
      </c>
      <c r="G879" s="6"/>
      <c r="I879"/>
      <c r="J879"/>
      <c r="K879"/>
    </row>
    <row r="880" spans="1:11" x14ac:dyDescent="0.3">
      <c r="A880" s="2" t="s">
        <v>2803</v>
      </c>
      <c r="B880" s="2" t="s">
        <v>131</v>
      </c>
      <c r="C880" s="2" t="s">
        <v>111</v>
      </c>
      <c r="D880" s="2" t="s">
        <v>2859</v>
      </c>
      <c r="E880" s="4" t="str">
        <f>HYPERLINK("./Results/DLO\1799\Osteo_Sarco_1.png","RPT")</f>
        <v>RPT</v>
      </c>
      <c r="F880" s="2" t="s">
        <v>80</v>
      </c>
      <c r="G880" s="6"/>
      <c r="I880"/>
      <c r="J880"/>
      <c r="K880"/>
    </row>
    <row r="881" spans="1:11" x14ac:dyDescent="0.3">
      <c r="A881" s="2" t="s">
        <v>2792</v>
      </c>
      <c r="B881" s="2" t="s">
        <v>135</v>
      </c>
      <c r="C881" s="2" t="s">
        <v>119</v>
      </c>
      <c r="D881" s="2" t="s">
        <v>2859</v>
      </c>
      <c r="E881" s="4" t="str">
        <f>HYPERLINK("./Results/DLO\18\Osteo_Sarco_1.png","RPT")</f>
        <v>RPT</v>
      </c>
      <c r="F881" s="2" t="s">
        <v>50</v>
      </c>
      <c r="G881" s="6"/>
      <c r="H881" s="1">
        <v>21.09</v>
      </c>
    </row>
    <row r="882" spans="1:11" x14ac:dyDescent="0.3">
      <c r="A882" s="2" t="s">
        <v>2804</v>
      </c>
      <c r="B882" s="2" t="s">
        <v>133</v>
      </c>
      <c r="C882" s="2" t="s">
        <v>111</v>
      </c>
      <c r="D882" s="2" t="s">
        <v>2867</v>
      </c>
      <c r="E882" s="4" t="str">
        <f>HYPERLINK("./Results/DLO\180\Osteo_Sarco_1.png","RPT")</f>
        <v>RPT</v>
      </c>
      <c r="F882" s="2" t="s">
        <v>92</v>
      </c>
      <c r="G882" s="6"/>
      <c r="I882"/>
      <c r="J882"/>
      <c r="K882"/>
    </row>
    <row r="883" spans="1:11" x14ac:dyDescent="0.3">
      <c r="A883" s="2" t="s">
        <v>2800</v>
      </c>
      <c r="B883" s="2" t="s">
        <v>157</v>
      </c>
      <c r="C883" s="2" t="s">
        <v>119</v>
      </c>
      <c r="D883" s="2" t="s">
        <v>2867</v>
      </c>
      <c r="E883" s="4" t="str">
        <f>HYPERLINK("./Results/DLO\1800\Osteo_Sarco_1.png","RPT")</f>
        <v>RPT</v>
      </c>
      <c r="F883" s="2" t="s">
        <v>81</v>
      </c>
      <c r="G883" s="6"/>
      <c r="I883"/>
      <c r="J883"/>
      <c r="K883"/>
    </row>
    <row r="884" spans="1:11" x14ac:dyDescent="0.3">
      <c r="A884" s="2" t="s">
        <v>2788</v>
      </c>
      <c r="B884" s="2" t="s">
        <v>123</v>
      </c>
      <c r="C884" s="2" t="s">
        <v>111</v>
      </c>
      <c r="D884" s="2" t="s">
        <v>2867</v>
      </c>
      <c r="E884" s="4" t="str">
        <f>HYPERLINK("./Results/DLO\1801\Osteo_Sarco_1.png","RPT")</f>
        <v>RPT</v>
      </c>
      <c r="F884" s="2" t="s">
        <v>25</v>
      </c>
      <c r="G884" s="6"/>
      <c r="I884"/>
      <c r="J884"/>
      <c r="K884"/>
    </row>
    <row r="885" spans="1:11" x14ac:dyDescent="0.3">
      <c r="A885" s="2" t="s">
        <v>2797</v>
      </c>
      <c r="B885" s="2" t="s">
        <v>131</v>
      </c>
      <c r="C885" s="2" t="s">
        <v>119</v>
      </c>
      <c r="D885" s="2" t="s">
        <v>2859</v>
      </c>
      <c r="E885" s="4" t="str">
        <f>HYPERLINK("./Results/DLO\1802\Osteo_Sarco_1.png","RPT")</f>
        <v>RPT</v>
      </c>
      <c r="F885" s="2" t="s">
        <v>88</v>
      </c>
      <c r="G885" s="6"/>
      <c r="I885"/>
      <c r="J885"/>
      <c r="K885"/>
    </row>
    <row r="886" spans="1:11" x14ac:dyDescent="0.3">
      <c r="A886" s="2" t="s">
        <v>2806</v>
      </c>
      <c r="B886" s="2" t="s">
        <v>125</v>
      </c>
      <c r="C886" s="2" t="s">
        <v>119</v>
      </c>
      <c r="D886" s="2" t="s">
        <v>2859</v>
      </c>
      <c r="E886" s="4" t="str">
        <f>HYPERLINK("./Results/DLO\1803\Osteo_Sarco_1.png","RPT")</f>
        <v>RPT</v>
      </c>
      <c r="F886" s="2" t="s">
        <v>128</v>
      </c>
      <c r="G886" s="6"/>
      <c r="I886"/>
      <c r="J886"/>
      <c r="K886"/>
    </row>
    <row r="887" spans="1:11" x14ac:dyDescent="0.3">
      <c r="A887" s="2" t="s">
        <v>2785</v>
      </c>
      <c r="B887" s="2" t="s">
        <v>140</v>
      </c>
      <c r="C887" s="2" t="s">
        <v>119</v>
      </c>
      <c r="D887" s="2" t="s">
        <v>2859</v>
      </c>
      <c r="E887" s="4" t="str">
        <f>HYPERLINK("./Results/DLO\1804\Osteo_Sarco_1.png","RPT")</f>
        <v>RPT</v>
      </c>
      <c r="F887" s="2" t="s">
        <v>73</v>
      </c>
      <c r="G887" s="6"/>
      <c r="I887"/>
      <c r="J887"/>
      <c r="K887"/>
    </row>
    <row r="888" spans="1:11" x14ac:dyDescent="0.3">
      <c r="A888" s="2" t="s">
        <v>2790</v>
      </c>
      <c r="B888" s="2" t="s">
        <v>149</v>
      </c>
      <c r="C888" s="2" t="s">
        <v>119</v>
      </c>
      <c r="D888" s="2" t="s">
        <v>2867</v>
      </c>
      <c r="E888" s="4" t="str">
        <f>HYPERLINK("./Results/DLO\1805\Osteo_Sarco_1.png","RPT")</f>
        <v>RPT</v>
      </c>
      <c r="F888" s="2" t="s">
        <v>60</v>
      </c>
      <c r="G888" s="6"/>
      <c r="H888" s="1">
        <v>23.26</v>
      </c>
    </row>
    <row r="889" spans="1:11" x14ac:dyDescent="0.3">
      <c r="A889" s="2" t="s">
        <v>2798</v>
      </c>
      <c r="B889" s="2" t="s">
        <v>133</v>
      </c>
      <c r="C889" s="2" t="s">
        <v>111</v>
      </c>
      <c r="D889" s="2" t="s">
        <v>2859</v>
      </c>
      <c r="E889" s="4" t="str">
        <f>HYPERLINK("./Results/DLO\1806\Osteo_Sarco_1.png","RPT")</f>
        <v>RPT</v>
      </c>
      <c r="F889" s="2" t="s">
        <v>80</v>
      </c>
      <c r="G889" s="6"/>
      <c r="I889"/>
      <c r="J889"/>
      <c r="K889"/>
    </row>
    <row r="890" spans="1:11" x14ac:dyDescent="0.3">
      <c r="A890" s="2" t="s">
        <v>2789</v>
      </c>
      <c r="B890" s="2" t="s">
        <v>161</v>
      </c>
      <c r="C890" s="2" t="s">
        <v>111</v>
      </c>
      <c r="D890" s="2" t="s">
        <v>2859</v>
      </c>
      <c r="E890" s="4" t="str">
        <f>HYPERLINK("./Results/DLO\1807\Osteo_Sarco_1.png","RPT")</f>
        <v>RPT</v>
      </c>
      <c r="F890" s="2" t="s">
        <v>62</v>
      </c>
      <c r="G890" s="6"/>
      <c r="H890" s="1">
        <v>19.670000000000002</v>
      </c>
    </row>
    <row r="891" spans="1:11" x14ac:dyDescent="0.3">
      <c r="A891" s="2" t="s">
        <v>2805</v>
      </c>
      <c r="B891" s="2" t="s">
        <v>164</v>
      </c>
      <c r="C891" s="2" t="s">
        <v>119</v>
      </c>
      <c r="D891" s="2" t="s">
        <v>2867</v>
      </c>
      <c r="E891" s="4" t="str">
        <f>HYPERLINK("./Results/DLO\1808\Osteo_Sarco_1.png","RPT")</f>
        <v>RPT</v>
      </c>
      <c r="F891" s="2" t="s">
        <v>28</v>
      </c>
      <c r="G891" s="6"/>
      <c r="H891" s="1">
        <v>22.04</v>
      </c>
    </row>
    <row r="892" spans="1:11" x14ac:dyDescent="0.3">
      <c r="A892" s="2" t="s">
        <v>2794</v>
      </c>
      <c r="B892" s="2" t="s">
        <v>129</v>
      </c>
      <c r="C892" s="2" t="s">
        <v>111</v>
      </c>
      <c r="D892" s="2" t="s">
        <v>2859</v>
      </c>
      <c r="E892" s="4" t="str">
        <f>HYPERLINK("./Results/DLO\1809\Osteo_Sarco_1.png","RPT")</f>
        <v>RPT</v>
      </c>
      <c r="F892" s="2" t="s">
        <v>457</v>
      </c>
      <c r="G892" s="6"/>
      <c r="I892"/>
      <c r="J892"/>
      <c r="K892"/>
    </row>
    <row r="893" spans="1:11" x14ac:dyDescent="0.3">
      <c r="A893" s="2" t="s">
        <v>2795</v>
      </c>
      <c r="B893" s="2" t="s">
        <v>136</v>
      </c>
      <c r="C893" s="2" t="s">
        <v>119</v>
      </c>
      <c r="D893" s="2" t="s">
        <v>2859</v>
      </c>
      <c r="E893" s="4" t="str">
        <f>HYPERLINK("./Results/DLO\181\Osteo_Sarco_1.png","RPT")</f>
        <v>RPT</v>
      </c>
      <c r="F893" s="2" t="s">
        <v>121</v>
      </c>
      <c r="G893" s="6"/>
      <c r="H893" s="1">
        <v>21.78</v>
      </c>
    </row>
    <row r="894" spans="1:11" x14ac:dyDescent="0.3">
      <c r="A894" s="2" t="s">
        <v>2791</v>
      </c>
      <c r="B894" s="2" t="s">
        <v>167</v>
      </c>
      <c r="C894" s="2" t="s">
        <v>111</v>
      </c>
      <c r="D894" s="2" t="s">
        <v>2867</v>
      </c>
      <c r="E894" s="4" t="str">
        <f>HYPERLINK("./Results/DLO\1810\Osteo_Sarco_1.png","RPT")</f>
        <v>RPT</v>
      </c>
      <c r="F894" s="2" t="s">
        <v>99</v>
      </c>
      <c r="G894" s="6"/>
      <c r="I894"/>
      <c r="J894"/>
      <c r="K894"/>
    </row>
    <row r="895" spans="1:11" x14ac:dyDescent="0.3">
      <c r="A895" s="2" t="s">
        <v>2807</v>
      </c>
      <c r="B895" s="2" t="s">
        <v>157</v>
      </c>
      <c r="C895" s="2" t="s">
        <v>111</v>
      </c>
      <c r="D895" s="2" t="s">
        <v>2859</v>
      </c>
      <c r="E895" s="4" t="str">
        <f>HYPERLINK("./Results/DLO\1811\Osteo_Sarco_1.png","RPT")</f>
        <v>RPT</v>
      </c>
      <c r="F895" s="2" t="s">
        <v>55</v>
      </c>
      <c r="G895" s="6"/>
      <c r="I895"/>
      <c r="J895"/>
      <c r="K895"/>
    </row>
    <row r="896" spans="1:11" x14ac:dyDescent="0.3">
      <c r="A896" s="2" t="s">
        <v>2796</v>
      </c>
      <c r="B896" s="2" t="s">
        <v>120</v>
      </c>
      <c r="C896" s="2" t="s">
        <v>111</v>
      </c>
      <c r="D896" s="2" t="s">
        <v>2859</v>
      </c>
      <c r="E896" s="4" t="str">
        <f>HYPERLINK("./Results/DLO\1812\Osteo_Sarco_1.png","RPT")</f>
        <v>RPT</v>
      </c>
      <c r="F896" s="2" t="s">
        <v>102</v>
      </c>
      <c r="G896" s="6"/>
      <c r="H896" s="1">
        <v>28.66</v>
      </c>
    </row>
    <row r="897" spans="1:11" x14ac:dyDescent="0.3">
      <c r="A897" s="2" t="s">
        <v>2786</v>
      </c>
      <c r="B897" s="2" t="s">
        <v>161</v>
      </c>
      <c r="C897" s="2" t="s">
        <v>111</v>
      </c>
      <c r="D897" s="2" t="s">
        <v>2859</v>
      </c>
      <c r="E897" s="4" t="str">
        <f>HYPERLINK("./Results/DLO\1813\Osteo_Sarco_1.png","RPT")</f>
        <v>RPT</v>
      </c>
      <c r="F897" s="2" t="s">
        <v>445</v>
      </c>
      <c r="G897" s="6"/>
      <c r="I897"/>
      <c r="J897"/>
      <c r="K897"/>
    </row>
    <row r="898" spans="1:11" x14ac:dyDescent="0.3">
      <c r="A898" s="2" t="s">
        <v>2801</v>
      </c>
      <c r="B898" s="2" t="s">
        <v>123</v>
      </c>
      <c r="C898" s="2" t="s">
        <v>111</v>
      </c>
      <c r="D898" s="2" t="s">
        <v>2859</v>
      </c>
      <c r="E898" s="4" t="str">
        <f>HYPERLINK("./Results/DLO\1814\Osteo_Sarco_1.png","RPT")</f>
        <v>RPT</v>
      </c>
      <c r="F898" s="2" t="s">
        <v>98</v>
      </c>
      <c r="G898" s="6"/>
      <c r="I898"/>
      <c r="J898"/>
      <c r="K898"/>
    </row>
    <row r="899" spans="1:11" x14ac:dyDescent="0.3">
      <c r="A899" s="2" t="s">
        <v>2802</v>
      </c>
      <c r="B899" s="2" t="s">
        <v>142</v>
      </c>
      <c r="C899" s="2" t="s">
        <v>119</v>
      </c>
      <c r="D899" s="2" t="s">
        <v>2859</v>
      </c>
      <c r="E899" s="4" t="str">
        <f>HYPERLINK("./Results/DLO\1815\Osteo_Sarco_1.png","RPT")</f>
        <v>RPT</v>
      </c>
      <c r="F899" s="2" t="s">
        <v>45</v>
      </c>
      <c r="G899" s="6"/>
      <c r="I899"/>
      <c r="J899"/>
      <c r="K899"/>
    </row>
    <row r="900" spans="1:11" x14ac:dyDescent="0.3">
      <c r="A900" s="2" t="s">
        <v>2821</v>
      </c>
      <c r="B900" s="2" t="s">
        <v>113</v>
      </c>
      <c r="C900" s="2" t="s">
        <v>119</v>
      </c>
      <c r="D900" s="2" t="s">
        <v>2867</v>
      </c>
      <c r="E900" s="4" t="str">
        <f>HYPERLINK("./Results/DLO\1816\Osteo_Sarco_1.png","RPT")</f>
        <v>RPT</v>
      </c>
      <c r="F900" s="2" t="s">
        <v>87</v>
      </c>
      <c r="G900" s="6"/>
      <c r="I900"/>
      <c r="J900"/>
      <c r="K900"/>
    </row>
    <row r="901" spans="1:11" x14ac:dyDescent="0.3">
      <c r="A901" s="2" t="s">
        <v>2827</v>
      </c>
      <c r="B901" s="2" t="s">
        <v>131</v>
      </c>
      <c r="C901" s="2" t="s">
        <v>119</v>
      </c>
      <c r="D901" s="2" t="s">
        <v>2859</v>
      </c>
      <c r="E901" s="4" t="str">
        <f>HYPERLINK("./Results/DLO\1817\Osteo_Sarco_1.png","RPT")</f>
        <v>RPT</v>
      </c>
      <c r="F901" s="2" t="s">
        <v>56</v>
      </c>
      <c r="G901" s="6"/>
      <c r="I901"/>
      <c r="J901"/>
      <c r="K901"/>
    </row>
    <row r="902" spans="1:11" x14ac:dyDescent="0.3">
      <c r="A902" s="2" t="s">
        <v>2818</v>
      </c>
      <c r="B902" s="2" t="s">
        <v>136</v>
      </c>
      <c r="C902" s="2" t="s">
        <v>111</v>
      </c>
      <c r="D902" s="2" t="s">
        <v>1960</v>
      </c>
      <c r="E902" s="4" t="str">
        <f>HYPERLINK("./Results/DLO\1818\Osteo_Sarco_1.png","RPT")</f>
        <v>RPT</v>
      </c>
      <c r="F902" s="2" t="s">
        <v>102</v>
      </c>
      <c r="G902" s="6"/>
      <c r="H902" s="1">
        <v>29.55</v>
      </c>
    </row>
    <row r="903" spans="1:11" x14ac:dyDescent="0.3">
      <c r="A903" s="2" t="s">
        <v>2828</v>
      </c>
      <c r="B903" s="2" t="s">
        <v>126</v>
      </c>
      <c r="C903" s="2" t="s">
        <v>119</v>
      </c>
      <c r="D903" s="2" t="s">
        <v>2867</v>
      </c>
      <c r="E903" s="4" t="str">
        <f>HYPERLINK("./Results/DLO\1819\Osteo_Sarco_1.png","RPT")</f>
        <v>RPT</v>
      </c>
      <c r="F903" s="2" t="s">
        <v>48</v>
      </c>
      <c r="G903" s="6"/>
      <c r="I903"/>
      <c r="J903"/>
      <c r="K903"/>
    </row>
    <row r="904" spans="1:11" x14ac:dyDescent="0.3">
      <c r="A904" s="2" t="s">
        <v>2814</v>
      </c>
      <c r="B904" s="2" t="s">
        <v>144</v>
      </c>
      <c r="C904" s="2" t="s">
        <v>119</v>
      </c>
      <c r="D904" s="2" t="s">
        <v>2867</v>
      </c>
      <c r="E904" s="4" t="str">
        <f>HYPERLINK("./Results/DLO\1820\Osteo_Sarco_1.png","RPT")</f>
        <v>RPT</v>
      </c>
      <c r="F904" s="2" t="s">
        <v>88</v>
      </c>
      <c r="G904" s="6"/>
      <c r="I904"/>
      <c r="J904"/>
      <c r="K904"/>
    </row>
    <row r="905" spans="1:11" x14ac:dyDescent="0.3">
      <c r="A905" s="2" t="s">
        <v>2810</v>
      </c>
      <c r="B905" s="2" t="s">
        <v>140</v>
      </c>
      <c r="C905" s="2" t="s">
        <v>119</v>
      </c>
      <c r="D905" s="2" t="s">
        <v>2859</v>
      </c>
      <c r="E905" s="4" t="str">
        <f>HYPERLINK("./Results/DLO\1821\Osteo_Sarco_1.png","RPT")</f>
        <v>RPT</v>
      </c>
      <c r="F905" s="2" t="s">
        <v>50</v>
      </c>
      <c r="G905" s="6"/>
      <c r="I905"/>
      <c r="J905"/>
      <c r="K905"/>
    </row>
    <row r="906" spans="1:11" x14ac:dyDescent="0.3">
      <c r="A906" s="2" t="s">
        <v>2811</v>
      </c>
      <c r="B906" s="2" t="s">
        <v>589</v>
      </c>
      <c r="C906" s="2" t="s">
        <v>119</v>
      </c>
      <c r="D906" s="2" t="s">
        <v>2859</v>
      </c>
      <c r="E906" s="4" t="str">
        <f>HYPERLINK("./Results/DLO\1822\Osteo_Sarco_1.png","RPT")</f>
        <v>RPT</v>
      </c>
      <c r="F906" s="2" t="s">
        <v>29</v>
      </c>
      <c r="G906" s="6"/>
      <c r="I906"/>
      <c r="J906"/>
      <c r="K906"/>
    </row>
    <row r="907" spans="1:11" x14ac:dyDescent="0.3">
      <c r="A907" s="2" t="s">
        <v>2819</v>
      </c>
      <c r="B907" s="2" t="s">
        <v>159</v>
      </c>
      <c r="C907" s="2" t="s">
        <v>111</v>
      </c>
      <c r="D907" s="2" t="s">
        <v>2859</v>
      </c>
      <c r="E907" s="4" t="str">
        <f>HYPERLINK("./Results/DLO\1823\Osteo_Sarco_1.png","RPT")</f>
        <v>RPT</v>
      </c>
      <c r="F907" s="2" t="s">
        <v>22</v>
      </c>
      <c r="G907" s="6"/>
      <c r="I907"/>
      <c r="J907"/>
      <c r="K907"/>
    </row>
    <row r="908" spans="1:11" x14ac:dyDescent="0.3">
      <c r="A908" s="2" t="s">
        <v>2815</v>
      </c>
      <c r="B908" s="2" t="s">
        <v>123</v>
      </c>
      <c r="C908" s="2" t="s">
        <v>119</v>
      </c>
      <c r="D908" s="2" t="s">
        <v>2859</v>
      </c>
      <c r="E908" s="4" t="str">
        <f>HYPERLINK("./Results/DLO\1824\Osteo_Sarco_1.png","RPT")</f>
        <v>RPT</v>
      </c>
      <c r="F908" s="2" t="s">
        <v>60</v>
      </c>
      <c r="G908" s="6"/>
      <c r="H908" s="1">
        <v>20.399999999999999</v>
      </c>
    </row>
    <row r="909" spans="1:11" x14ac:dyDescent="0.3">
      <c r="A909" s="2" t="s">
        <v>2820</v>
      </c>
      <c r="B909" s="2" t="s">
        <v>127</v>
      </c>
      <c r="C909" s="2" t="s">
        <v>111</v>
      </c>
      <c r="D909" s="2" t="s">
        <v>2859</v>
      </c>
      <c r="E909" s="4" t="str">
        <f>HYPERLINK("./Results/DLO\1825\Osteo_Sarco_1.png","RPT")</f>
        <v>RPT</v>
      </c>
      <c r="F909" s="2" t="s">
        <v>63</v>
      </c>
      <c r="G909" s="6"/>
      <c r="I909"/>
      <c r="J909"/>
      <c r="K909"/>
    </row>
    <row r="910" spans="1:11" x14ac:dyDescent="0.3">
      <c r="A910" s="2" t="s">
        <v>2822</v>
      </c>
      <c r="B910" s="2" t="s">
        <v>142</v>
      </c>
      <c r="C910" s="2" t="s">
        <v>111</v>
      </c>
      <c r="D910" s="2" t="s">
        <v>2867</v>
      </c>
      <c r="E910" s="4" t="str">
        <f>HYPERLINK("./Results/DLO\1826\Osteo_Sarco_1.png","RPT")</f>
        <v>RPT</v>
      </c>
      <c r="F910" s="2" t="s">
        <v>466</v>
      </c>
      <c r="G910" s="6"/>
      <c r="I910"/>
      <c r="J910"/>
      <c r="K910"/>
    </row>
    <row r="911" spans="1:11" x14ac:dyDescent="0.3">
      <c r="A911" s="2" t="s">
        <v>2826</v>
      </c>
      <c r="B911" s="2" t="s">
        <v>164</v>
      </c>
      <c r="C911" s="2" t="s">
        <v>119</v>
      </c>
      <c r="D911" s="2" t="s">
        <v>2859</v>
      </c>
      <c r="E911" s="4" t="str">
        <f>HYPERLINK("./Results/DLO\1827\Osteo_Sarco_1.png","RPT")</f>
        <v>RPT</v>
      </c>
      <c r="F911" s="2" t="s">
        <v>79</v>
      </c>
      <c r="G911" s="6"/>
      <c r="I911"/>
      <c r="J911"/>
      <c r="K911"/>
    </row>
    <row r="912" spans="1:11" x14ac:dyDescent="0.3">
      <c r="A912" s="2" t="s">
        <v>2812</v>
      </c>
      <c r="B912" s="2" t="s">
        <v>129</v>
      </c>
      <c r="C912" s="2" t="s">
        <v>111</v>
      </c>
      <c r="D912" s="2" t="s">
        <v>2859</v>
      </c>
      <c r="E912" s="4" t="str">
        <f>HYPERLINK("./Results/DLO\1828\Osteo_Sarco_1.png","RPT")</f>
        <v>RPT</v>
      </c>
      <c r="F912" s="2" t="s">
        <v>457</v>
      </c>
      <c r="G912" s="6"/>
      <c r="I912"/>
      <c r="J912"/>
      <c r="K912"/>
    </row>
    <row r="913" spans="1:11" x14ac:dyDescent="0.3">
      <c r="A913" s="2" t="s">
        <v>2809</v>
      </c>
      <c r="B913" s="2" t="s">
        <v>587</v>
      </c>
      <c r="C913" s="2" t="s">
        <v>111</v>
      </c>
      <c r="D913" s="2" t="s">
        <v>2859</v>
      </c>
      <c r="E913" s="4" t="str">
        <f>HYPERLINK("./Results/DLO\1829\Osteo_Sarco_1.png","RPT")</f>
        <v>RPT</v>
      </c>
      <c r="F913" s="2" t="s">
        <v>83</v>
      </c>
      <c r="G913" s="6"/>
      <c r="I913"/>
      <c r="J913"/>
      <c r="K913"/>
    </row>
    <row r="914" spans="1:11" x14ac:dyDescent="0.3">
      <c r="A914" s="2" t="s">
        <v>2829</v>
      </c>
      <c r="B914" s="2" t="s">
        <v>112</v>
      </c>
      <c r="C914" s="2" t="s">
        <v>111</v>
      </c>
      <c r="D914" s="2" t="s">
        <v>2867</v>
      </c>
      <c r="E914" s="4" t="str">
        <f>HYPERLINK("./Results/DLO\183\Osteo_Sarco_1.png","RPT")</f>
        <v>RPT</v>
      </c>
      <c r="F914" s="2" t="s">
        <v>90</v>
      </c>
      <c r="G914" s="6"/>
      <c r="H914" s="1">
        <v>19.89</v>
      </c>
    </row>
    <row r="915" spans="1:11" x14ac:dyDescent="0.3">
      <c r="A915" s="2" t="s">
        <v>2808</v>
      </c>
      <c r="B915" s="2" t="s">
        <v>146</v>
      </c>
      <c r="C915" s="2" t="s">
        <v>119</v>
      </c>
      <c r="D915" s="2" t="s">
        <v>2867</v>
      </c>
      <c r="E915" s="4" t="str">
        <f>HYPERLINK("./Results/DLO\1830\Osteo_Sarco_1.png","RPT")</f>
        <v>RPT</v>
      </c>
      <c r="F915" s="2" t="s">
        <v>27</v>
      </c>
      <c r="G915" s="6"/>
      <c r="I915"/>
      <c r="J915"/>
      <c r="K915"/>
    </row>
    <row r="916" spans="1:11" x14ac:dyDescent="0.3">
      <c r="A916" s="2" t="s">
        <v>2823</v>
      </c>
      <c r="B916" s="2" t="s">
        <v>170</v>
      </c>
      <c r="C916" s="2" t="s">
        <v>111</v>
      </c>
      <c r="D916" s="2" t="s">
        <v>2859</v>
      </c>
      <c r="E916" s="4" t="str">
        <f>HYPERLINK("./Results/DLO\1831\Osteo_Sarco_1.png","RPT")</f>
        <v>RPT</v>
      </c>
      <c r="F916" s="2" t="s">
        <v>62</v>
      </c>
      <c r="G916" s="6"/>
      <c r="H916" s="1">
        <v>23.12</v>
      </c>
    </row>
    <row r="917" spans="1:11" x14ac:dyDescent="0.3">
      <c r="A917" s="2" t="s">
        <v>2813</v>
      </c>
      <c r="B917" s="2" t="s">
        <v>151</v>
      </c>
      <c r="C917" s="2" t="s">
        <v>119</v>
      </c>
      <c r="D917" s="2" t="s">
        <v>2859</v>
      </c>
      <c r="E917" s="4" t="str">
        <f>HYPERLINK("./Results/DLO\1832\Osteo_Sarco_1.png","RPT")</f>
        <v>RPT</v>
      </c>
      <c r="F917" s="2" t="s">
        <v>70</v>
      </c>
      <c r="G917" s="6"/>
      <c r="H917" s="1">
        <v>25.65</v>
      </c>
    </row>
    <row r="918" spans="1:11" x14ac:dyDescent="0.3">
      <c r="A918" s="2" t="s">
        <v>2824</v>
      </c>
      <c r="B918" s="2" t="s">
        <v>139</v>
      </c>
      <c r="C918" s="2" t="s">
        <v>111</v>
      </c>
      <c r="D918" s="2" t="s">
        <v>2859</v>
      </c>
      <c r="E918" s="4" t="str">
        <f>HYPERLINK("./Results/DLO\1833\Osteo_Sarco_1.png","RPT")</f>
        <v>RPT</v>
      </c>
      <c r="F918" s="2" t="s">
        <v>3</v>
      </c>
      <c r="G918" s="6"/>
      <c r="I918"/>
      <c r="J918"/>
      <c r="K918"/>
    </row>
    <row r="919" spans="1:11" x14ac:dyDescent="0.3">
      <c r="A919" s="2" t="s">
        <v>2816</v>
      </c>
      <c r="B919" s="2" t="s">
        <v>159</v>
      </c>
      <c r="C919" s="2" t="s">
        <v>111</v>
      </c>
      <c r="D919" s="2" t="s">
        <v>2859</v>
      </c>
      <c r="E919" s="4" t="str">
        <f>HYPERLINK("./Results/DLO\1834\Osteo_Sarco_1.png","RPT")</f>
        <v>RPT</v>
      </c>
      <c r="F919" s="2" t="s">
        <v>467</v>
      </c>
      <c r="G919" s="6"/>
      <c r="I919"/>
      <c r="J919"/>
      <c r="K919"/>
    </row>
    <row r="920" spans="1:11" x14ac:dyDescent="0.3">
      <c r="A920" s="2" t="s">
        <v>2817</v>
      </c>
      <c r="B920" s="2" t="s">
        <v>114</v>
      </c>
      <c r="C920" s="2" t="s">
        <v>111</v>
      </c>
      <c r="D920" s="2" t="s">
        <v>2867</v>
      </c>
      <c r="E920" s="4" t="str">
        <f>HYPERLINK("./Results/DLO\1835\Osteo_Sarco_1.png","RPT")</f>
        <v>RPT</v>
      </c>
      <c r="F920" s="2" t="s">
        <v>65</v>
      </c>
      <c r="G920" s="6"/>
      <c r="I920"/>
      <c r="J920"/>
      <c r="K920"/>
    </row>
    <row r="921" spans="1:11" x14ac:dyDescent="0.3">
      <c r="A921" s="2" t="s">
        <v>2825</v>
      </c>
      <c r="B921" s="2" t="s">
        <v>122</v>
      </c>
      <c r="C921" s="2" t="s">
        <v>119</v>
      </c>
      <c r="D921" s="2" t="s">
        <v>2867</v>
      </c>
      <c r="E921" s="4" t="str">
        <f>HYPERLINK("./Results/DLO\1836\Osteo_Sarco_1.png","RPT")</f>
        <v>RPT</v>
      </c>
      <c r="F921" s="2" t="s">
        <v>74</v>
      </c>
      <c r="G921" s="6"/>
      <c r="I921"/>
      <c r="J921"/>
      <c r="K921"/>
    </row>
    <row r="922" spans="1:11" x14ac:dyDescent="0.3">
      <c r="A922" s="2" t="s">
        <v>2846</v>
      </c>
      <c r="B922" s="2" t="s">
        <v>118</v>
      </c>
      <c r="C922" s="2" t="s">
        <v>119</v>
      </c>
      <c r="D922" s="2" t="s">
        <v>2859</v>
      </c>
      <c r="E922" s="4" t="str">
        <f>HYPERLINK("./Results/DLO\1837\Osteo_Sarco_1.png","RPT")</f>
        <v>RPT</v>
      </c>
      <c r="F922" s="2" t="s">
        <v>81</v>
      </c>
      <c r="G922" s="6"/>
      <c r="I922"/>
      <c r="J922"/>
      <c r="K922"/>
    </row>
    <row r="923" spans="1:11" x14ac:dyDescent="0.3">
      <c r="A923" s="2" t="s">
        <v>2843</v>
      </c>
      <c r="B923" s="2" t="s">
        <v>132</v>
      </c>
      <c r="C923" s="2" t="s">
        <v>111</v>
      </c>
      <c r="D923" s="2" t="s">
        <v>2867</v>
      </c>
      <c r="E923" s="4" t="str">
        <f>HYPERLINK("./Results/DLO\1838\Osteo_Sarco_1.png","RPT")</f>
        <v>RPT</v>
      </c>
      <c r="F923" s="2" t="s">
        <v>54</v>
      </c>
      <c r="G923" s="6"/>
      <c r="I923"/>
      <c r="J923"/>
      <c r="K923"/>
    </row>
    <row r="924" spans="1:11" x14ac:dyDescent="0.3">
      <c r="A924" s="2" t="s">
        <v>2839</v>
      </c>
      <c r="B924" s="2" t="s">
        <v>150</v>
      </c>
      <c r="C924" s="2" t="s">
        <v>119</v>
      </c>
      <c r="D924" s="2" t="s">
        <v>2867</v>
      </c>
      <c r="E924" s="4" t="str">
        <f>HYPERLINK("./Results/DLO\1839\Osteo_Sarco_1.png","RPT")</f>
        <v>RPT</v>
      </c>
      <c r="F924" s="2" t="s">
        <v>60</v>
      </c>
      <c r="G924" s="6"/>
      <c r="H924" s="1">
        <v>23.28</v>
      </c>
    </row>
    <row r="925" spans="1:11" x14ac:dyDescent="0.3">
      <c r="A925" s="2" t="s">
        <v>2838</v>
      </c>
      <c r="B925" s="2" t="s">
        <v>159</v>
      </c>
      <c r="C925" s="2" t="s">
        <v>111</v>
      </c>
      <c r="D925" s="2" t="s">
        <v>2859</v>
      </c>
      <c r="E925" s="4" t="str">
        <f>HYPERLINK("./Results/DLO\184\Osteo_Sarco_1.png","RPT")</f>
        <v>RPT</v>
      </c>
      <c r="F925" s="2" t="s">
        <v>464</v>
      </c>
      <c r="G925" s="6"/>
      <c r="H925" s="1">
        <v>24.5</v>
      </c>
    </row>
    <row r="926" spans="1:11" x14ac:dyDescent="0.3">
      <c r="A926" s="2" t="s">
        <v>2845</v>
      </c>
      <c r="B926" s="2" t="s">
        <v>154</v>
      </c>
      <c r="C926" s="2" t="s">
        <v>119</v>
      </c>
      <c r="D926" s="2" t="s">
        <v>2859</v>
      </c>
      <c r="E926" s="4" t="str">
        <f>HYPERLINK("./Results/DLO\1840\Osteo_Sarco_1.png","RPT")</f>
        <v>RPT</v>
      </c>
      <c r="F926" s="2" t="s">
        <v>21</v>
      </c>
      <c r="G926" s="6"/>
      <c r="I926"/>
      <c r="J926"/>
      <c r="K926"/>
    </row>
    <row r="927" spans="1:11" x14ac:dyDescent="0.3">
      <c r="A927" s="2" t="s">
        <v>2849</v>
      </c>
      <c r="B927" s="2" t="s">
        <v>123</v>
      </c>
      <c r="C927" s="2" t="s">
        <v>111</v>
      </c>
      <c r="D927" s="2" t="s">
        <v>2867</v>
      </c>
      <c r="E927" s="4" t="str">
        <f>HYPERLINK("./Results/DLO\1841\Osteo_Sarco_1.png","RPT")</f>
        <v>RPT</v>
      </c>
      <c r="F927" s="2" t="s">
        <v>104</v>
      </c>
      <c r="G927" s="6"/>
      <c r="H927" s="1">
        <v>25.14</v>
      </c>
    </row>
    <row r="928" spans="1:11" x14ac:dyDescent="0.3">
      <c r="A928" s="2" t="s">
        <v>2850</v>
      </c>
      <c r="B928" s="2" t="s">
        <v>118</v>
      </c>
      <c r="C928" s="2" t="s">
        <v>119</v>
      </c>
      <c r="D928" s="2" t="s">
        <v>2859</v>
      </c>
      <c r="E928" s="4" t="str">
        <f>HYPERLINK("./Results/DLO\1842\Osteo_Sarco_1.png","RPT")</f>
        <v>RPT</v>
      </c>
      <c r="F928" s="2" t="s">
        <v>87</v>
      </c>
      <c r="G928" s="6"/>
      <c r="I928"/>
      <c r="J928"/>
      <c r="K928"/>
    </row>
    <row r="929" spans="1:11" x14ac:dyDescent="0.3">
      <c r="A929" s="2" t="s">
        <v>2851</v>
      </c>
      <c r="B929" s="2" t="s">
        <v>149</v>
      </c>
      <c r="C929" s="2" t="s">
        <v>111</v>
      </c>
      <c r="D929" s="2" t="s">
        <v>1935</v>
      </c>
      <c r="E929" s="4" t="str">
        <f>HYPERLINK("./Results/DLO\1843\Osteo_Sarco_1.png","RPT")</f>
        <v>RPT</v>
      </c>
      <c r="F929" s="2" t="s">
        <v>32</v>
      </c>
      <c r="G929" s="6"/>
      <c r="I929"/>
      <c r="J929"/>
      <c r="K929"/>
    </row>
    <row r="930" spans="1:11" x14ac:dyDescent="0.3">
      <c r="A930" s="2" t="s">
        <v>2830</v>
      </c>
      <c r="B930" s="2" t="s">
        <v>142</v>
      </c>
      <c r="C930" s="2" t="s">
        <v>119</v>
      </c>
      <c r="D930" s="2" t="s">
        <v>2859</v>
      </c>
      <c r="E930" s="4" t="str">
        <f>HYPERLINK("./Results/DLO\1844\Osteo_Sarco_1.png","RPT")</f>
        <v>RPT</v>
      </c>
      <c r="F930" s="2" t="s">
        <v>46</v>
      </c>
      <c r="G930" s="6"/>
      <c r="I930"/>
      <c r="J930"/>
      <c r="K930"/>
    </row>
    <row r="931" spans="1:11" x14ac:dyDescent="0.3">
      <c r="A931" s="2" t="s">
        <v>2832</v>
      </c>
      <c r="B931" s="2" t="s">
        <v>159</v>
      </c>
      <c r="C931" s="2" t="s">
        <v>111</v>
      </c>
      <c r="D931" s="2" t="s">
        <v>2867</v>
      </c>
      <c r="E931" s="4" t="str">
        <f>HYPERLINK("./Results/DLO\1845\Osteo_Sarco_1.png","RPT")</f>
        <v>RPT</v>
      </c>
      <c r="F931" s="2" t="s">
        <v>52</v>
      </c>
      <c r="G931" s="6"/>
      <c r="I931"/>
      <c r="J931"/>
      <c r="K931"/>
    </row>
    <row r="932" spans="1:11" x14ac:dyDescent="0.3">
      <c r="A932" s="2" t="s">
        <v>2841</v>
      </c>
      <c r="B932" s="2" t="s">
        <v>139</v>
      </c>
      <c r="C932" s="2" t="s">
        <v>119</v>
      </c>
      <c r="D932" s="2" t="s">
        <v>2859</v>
      </c>
      <c r="E932" s="4" t="str">
        <f>HYPERLINK("./Results/DLO\1846\Osteo_Sarco_1.png","RPT")</f>
        <v>RPT</v>
      </c>
      <c r="F932" s="2" t="s">
        <v>99</v>
      </c>
      <c r="G932" s="6"/>
      <c r="I932"/>
      <c r="J932"/>
      <c r="K932"/>
    </row>
    <row r="933" spans="1:11" x14ac:dyDescent="0.3">
      <c r="A933" s="2" t="s">
        <v>2834</v>
      </c>
      <c r="B933" s="2" t="s">
        <v>167</v>
      </c>
      <c r="C933" s="2" t="s">
        <v>119</v>
      </c>
      <c r="D933" s="2" t="s">
        <v>2859</v>
      </c>
      <c r="E933" s="4" t="str">
        <f>HYPERLINK("./Results/DLO\1847\Osteo_Sarco_1.png","RPT")</f>
        <v>RPT</v>
      </c>
      <c r="F933" s="2" t="s">
        <v>41</v>
      </c>
      <c r="G933" s="6"/>
      <c r="H933" s="1">
        <v>25.24</v>
      </c>
    </row>
    <row r="934" spans="1:11" x14ac:dyDescent="0.3">
      <c r="A934" s="2" t="s">
        <v>2842</v>
      </c>
      <c r="B934" s="2" t="s">
        <v>143</v>
      </c>
      <c r="C934" s="2" t="s">
        <v>111</v>
      </c>
      <c r="D934" s="2" t="s">
        <v>2859</v>
      </c>
      <c r="E934" s="4" t="str">
        <f>HYPERLINK("./Results/DLO\1848\Osteo_Sarco_1.png","RPT")</f>
        <v>RPT</v>
      </c>
      <c r="F934" s="2" t="s">
        <v>459</v>
      </c>
      <c r="G934" s="6"/>
      <c r="I934"/>
      <c r="J934"/>
      <c r="K934"/>
    </row>
    <row r="935" spans="1:11" x14ac:dyDescent="0.3">
      <c r="A935" s="2" t="s">
        <v>2837</v>
      </c>
      <c r="B935" s="2" t="s">
        <v>138</v>
      </c>
      <c r="C935" s="2" t="s">
        <v>119</v>
      </c>
      <c r="D935" s="2" t="s">
        <v>2867</v>
      </c>
      <c r="E935" s="4" t="str">
        <f>HYPERLINK("./Results/DLO\1849\Osteo_Sarco_1.png","RPT")</f>
        <v>RPT</v>
      </c>
      <c r="F935" s="2" t="s">
        <v>61</v>
      </c>
      <c r="G935" s="6"/>
      <c r="H935" s="1">
        <v>25.13</v>
      </c>
    </row>
    <row r="936" spans="1:11" x14ac:dyDescent="0.3">
      <c r="A936" s="2" t="s">
        <v>2847</v>
      </c>
      <c r="B936" s="2" t="s">
        <v>134</v>
      </c>
      <c r="C936" s="2" t="s">
        <v>111</v>
      </c>
      <c r="D936" s="2" t="s">
        <v>2859</v>
      </c>
      <c r="E936" s="4" t="str">
        <f>HYPERLINK("./Results/DLO\185\Osteo_Sarco_1.png","RPT")</f>
        <v>RPT</v>
      </c>
      <c r="F936" s="2" t="s">
        <v>445</v>
      </c>
      <c r="G936" s="6"/>
      <c r="H936" s="1">
        <v>23.88</v>
      </c>
    </row>
    <row r="937" spans="1:11" x14ac:dyDescent="0.3">
      <c r="A937" s="2" t="s">
        <v>2852</v>
      </c>
      <c r="B937" s="2" t="s">
        <v>170</v>
      </c>
      <c r="C937" s="2" t="s">
        <v>119</v>
      </c>
      <c r="D937" s="2" t="s">
        <v>2859</v>
      </c>
      <c r="E937" s="4" t="str">
        <f>HYPERLINK("./Results/DLO\1850\Osteo_Sarco_1.png","RPT")</f>
        <v>RPT</v>
      </c>
      <c r="F937" s="2" t="s">
        <v>42</v>
      </c>
      <c r="G937" s="6"/>
      <c r="H937" s="1">
        <v>25.12</v>
      </c>
    </row>
    <row r="938" spans="1:11" x14ac:dyDescent="0.3">
      <c r="A938" s="2" t="s">
        <v>2831</v>
      </c>
      <c r="B938" s="2" t="s">
        <v>167</v>
      </c>
      <c r="C938" s="2" t="s">
        <v>119</v>
      </c>
      <c r="D938" s="2" t="s">
        <v>2859</v>
      </c>
      <c r="E938" s="4" t="str">
        <f>HYPERLINK("./Results/DLO\1851\Osteo_Sarco_1.png","RPT")</f>
        <v>RPT</v>
      </c>
      <c r="F938" s="2" t="s">
        <v>38</v>
      </c>
      <c r="G938" s="6"/>
      <c r="H938" s="1">
        <v>22.27</v>
      </c>
    </row>
    <row r="939" spans="1:11" x14ac:dyDescent="0.3">
      <c r="A939" s="2" t="s">
        <v>2844</v>
      </c>
      <c r="B939" s="2" t="s">
        <v>149</v>
      </c>
      <c r="C939" s="2" t="s">
        <v>111</v>
      </c>
      <c r="D939" s="2" t="s">
        <v>2859</v>
      </c>
      <c r="E939" s="4" t="str">
        <f>HYPERLINK("./Results/DLO\1852\Osteo_Sarco_1.png","RPT")</f>
        <v>RPT</v>
      </c>
      <c r="F939" s="2" t="s">
        <v>58</v>
      </c>
      <c r="G939" s="6"/>
      <c r="I939"/>
      <c r="J939"/>
      <c r="K939"/>
    </row>
    <row r="940" spans="1:11" x14ac:dyDescent="0.3">
      <c r="A940" s="2" t="s">
        <v>2835</v>
      </c>
      <c r="B940" s="2" t="s">
        <v>118</v>
      </c>
      <c r="C940" s="2" t="s">
        <v>111</v>
      </c>
      <c r="D940" s="2" t="s">
        <v>2859</v>
      </c>
      <c r="E940" s="4" t="str">
        <f>HYPERLINK("./Results/DLO\1853\Osteo_Sarco_1.png","RPT")</f>
        <v>RPT</v>
      </c>
      <c r="F940" s="2" t="s">
        <v>455</v>
      </c>
      <c r="G940" s="6"/>
      <c r="I940"/>
      <c r="J940"/>
      <c r="K940"/>
    </row>
    <row r="941" spans="1:11" x14ac:dyDescent="0.3">
      <c r="A941" s="2" t="s">
        <v>2833</v>
      </c>
      <c r="B941" s="2" t="s">
        <v>126</v>
      </c>
      <c r="C941" s="2" t="s">
        <v>111</v>
      </c>
      <c r="D941" s="2" t="s">
        <v>2867</v>
      </c>
      <c r="E941" s="4" t="str">
        <f>HYPERLINK("./Results/DLO\1854\Osteo_Sarco_1.png","RPT")</f>
        <v>RPT</v>
      </c>
      <c r="F941" s="2" t="s">
        <v>106</v>
      </c>
      <c r="G941" s="6"/>
      <c r="H941" s="1">
        <v>28.74</v>
      </c>
    </row>
    <row r="942" spans="1:11" x14ac:dyDescent="0.3">
      <c r="A942" s="2" t="s">
        <v>2836</v>
      </c>
      <c r="B942" s="2" t="s">
        <v>118</v>
      </c>
      <c r="C942" s="2" t="s">
        <v>111</v>
      </c>
      <c r="D942" s="2" t="s">
        <v>2867</v>
      </c>
      <c r="E942" s="4" t="str">
        <f>HYPERLINK("./Results/DLO\1855\Osteo_Sarco_1.png","RPT")</f>
        <v>RPT</v>
      </c>
      <c r="F942" s="2" t="s">
        <v>458</v>
      </c>
      <c r="G942" s="6"/>
      <c r="H942" s="1">
        <v>24.23</v>
      </c>
    </row>
    <row r="943" spans="1:11" x14ac:dyDescent="0.3">
      <c r="A943" s="2" t="s">
        <v>2848</v>
      </c>
      <c r="B943" s="2" t="s">
        <v>170</v>
      </c>
      <c r="C943" s="2" t="s">
        <v>111</v>
      </c>
      <c r="D943" s="2" t="s">
        <v>2867</v>
      </c>
      <c r="E943" s="4" t="str">
        <f>HYPERLINK("./Results/DLO\1856\Osteo_Sarco_1.png","RPT")</f>
        <v>RPT</v>
      </c>
      <c r="F943" s="2" t="s">
        <v>445</v>
      </c>
      <c r="G943" s="6"/>
      <c r="I943"/>
      <c r="J943"/>
      <c r="K943"/>
    </row>
    <row r="944" spans="1:11" x14ac:dyDescent="0.3">
      <c r="A944" s="2" t="s">
        <v>2840</v>
      </c>
      <c r="B944" s="2" t="s">
        <v>127</v>
      </c>
      <c r="C944" s="2" t="s">
        <v>119</v>
      </c>
      <c r="D944" s="2" t="s">
        <v>2859</v>
      </c>
      <c r="E944" s="4" t="str">
        <f>HYPERLINK("./Results/DLO\1857\Osteo_Sarco_1.png","RPT")</f>
        <v>RPT</v>
      </c>
      <c r="F944" s="2" t="s">
        <v>72</v>
      </c>
      <c r="G944" s="6"/>
      <c r="I944"/>
      <c r="J944"/>
      <c r="K944"/>
    </row>
    <row r="945" spans="1:11" x14ac:dyDescent="0.3">
      <c r="A945" s="2" t="s">
        <v>522</v>
      </c>
      <c r="B945" s="2" t="s">
        <v>161</v>
      </c>
      <c r="C945" s="2" t="s">
        <v>111</v>
      </c>
      <c r="D945" s="2" t="s">
        <v>2859</v>
      </c>
      <c r="E945" s="4" t="str">
        <f>HYPERLINK("./Results/DLO\1858\Osteo_Sarco_1.png","RPT")</f>
        <v>RPT</v>
      </c>
      <c r="F945" s="2" t="s">
        <v>104</v>
      </c>
      <c r="G945" s="6"/>
      <c r="I945"/>
      <c r="J945"/>
      <c r="K945"/>
    </row>
    <row r="946" spans="1:11" x14ac:dyDescent="0.3">
      <c r="A946" s="2" t="s">
        <v>515</v>
      </c>
      <c r="B946" s="2" t="s">
        <v>136</v>
      </c>
      <c r="C946" s="2" t="s">
        <v>111</v>
      </c>
      <c r="D946" s="2" t="s">
        <v>2859</v>
      </c>
      <c r="E946" s="4" t="str">
        <f>HYPERLINK("./Results/DLO\1859\Osteo_Sarco_1.png","RPT")</f>
        <v>RPT</v>
      </c>
      <c r="F946" s="2" t="s">
        <v>90</v>
      </c>
      <c r="G946" s="6"/>
      <c r="I946"/>
      <c r="J946"/>
      <c r="K946"/>
    </row>
    <row r="947" spans="1:11" x14ac:dyDescent="0.3">
      <c r="A947" s="2" t="s">
        <v>516</v>
      </c>
      <c r="B947" s="2" t="s">
        <v>139</v>
      </c>
      <c r="C947" s="2" t="s">
        <v>119</v>
      </c>
      <c r="D947" s="2" t="s">
        <v>2859</v>
      </c>
      <c r="E947" s="4" t="str">
        <f>HYPERLINK("./Results/DLO\186\Osteo_Sarco_1.png","RPT")</f>
        <v>RPT</v>
      </c>
      <c r="F947" s="2" t="s">
        <v>50</v>
      </c>
      <c r="G947" s="6"/>
      <c r="I947"/>
      <c r="J947"/>
      <c r="K947"/>
    </row>
    <row r="948" spans="1:11" x14ac:dyDescent="0.3">
      <c r="A948" s="2" t="s">
        <v>510</v>
      </c>
      <c r="B948" s="2" t="s">
        <v>137</v>
      </c>
      <c r="C948" s="2" t="s">
        <v>111</v>
      </c>
      <c r="D948" s="2" t="s">
        <v>2867</v>
      </c>
      <c r="E948" s="4" t="str">
        <f>HYPERLINK("./Results/DLO\1861\Osteo_Sarco_1.png","RPT")</f>
        <v>RPT</v>
      </c>
      <c r="F948" s="2" t="s">
        <v>94</v>
      </c>
      <c r="G948" s="6"/>
      <c r="H948" s="1">
        <v>24.33</v>
      </c>
    </row>
    <row r="949" spans="1:11" x14ac:dyDescent="0.3">
      <c r="A949" s="2" t="s">
        <v>512</v>
      </c>
      <c r="B949" s="2" t="s">
        <v>142</v>
      </c>
      <c r="C949" s="2" t="s">
        <v>119</v>
      </c>
      <c r="D949" s="2" t="s">
        <v>2859</v>
      </c>
      <c r="E949" s="4" t="str">
        <f>HYPERLINK("./Results/DLO\1863\Osteo_Sarco_1.png","RPT")</f>
        <v>RPT</v>
      </c>
      <c r="F949" s="2" t="s">
        <v>79</v>
      </c>
      <c r="G949" s="6"/>
      <c r="I949"/>
      <c r="J949"/>
      <c r="K949"/>
    </row>
    <row r="950" spans="1:11" x14ac:dyDescent="0.3">
      <c r="A950" s="2" t="s">
        <v>523</v>
      </c>
      <c r="B950" s="2" t="s">
        <v>587</v>
      </c>
      <c r="C950" s="2" t="s">
        <v>111</v>
      </c>
      <c r="D950" s="2" t="s">
        <v>2859</v>
      </c>
      <c r="E950" s="4" t="str">
        <f>HYPERLINK("./Results/DLO\1864\Osteo_Sarco_1.png","RPT")</f>
        <v>RPT</v>
      </c>
      <c r="F950" s="2" t="s">
        <v>469</v>
      </c>
      <c r="G950" s="6"/>
      <c r="I950"/>
      <c r="J950"/>
      <c r="K950"/>
    </row>
    <row r="951" spans="1:11" x14ac:dyDescent="0.3">
      <c r="A951" s="2" t="s">
        <v>507</v>
      </c>
      <c r="B951" s="2" t="s">
        <v>148</v>
      </c>
      <c r="C951" s="2" t="s">
        <v>111</v>
      </c>
      <c r="D951" s="2" t="s">
        <v>2859</v>
      </c>
      <c r="E951" s="4" t="str">
        <f>HYPERLINK("./Results/DLO\1865\Osteo_Sarco_1.png","RPT")</f>
        <v>RPT</v>
      </c>
      <c r="F951" s="2" t="s">
        <v>105</v>
      </c>
      <c r="G951" s="6"/>
      <c r="I951"/>
      <c r="J951"/>
      <c r="K951"/>
    </row>
    <row r="952" spans="1:11" x14ac:dyDescent="0.3">
      <c r="A952" s="2" t="s">
        <v>524</v>
      </c>
      <c r="B952" s="2" t="s">
        <v>126</v>
      </c>
      <c r="C952" s="2" t="s">
        <v>119</v>
      </c>
      <c r="D952" s="2" t="s">
        <v>2859</v>
      </c>
      <c r="E952" s="4" t="str">
        <f>HYPERLINK("./Results/DLO\1866\Osteo_Sarco_1.png","RPT")</f>
        <v>RPT</v>
      </c>
      <c r="F952" s="2" t="s">
        <v>43</v>
      </c>
      <c r="G952" s="6"/>
      <c r="I952"/>
      <c r="J952"/>
      <c r="K952"/>
    </row>
    <row r="953" spans="1:11" x14ac:dyDescent="0.3">
      <c r="A953" s="2" t="s">
        <v>514</v>
      </c>
      <c r="B953" s="2" t="s">
        <v>143</v>
      </c>
      <c r="C953" s="2" t="s">
        <v>111</v>
      </c>
      <c r="D953" s="2" t="s">
        <v>2859</v>
      </c>
      <c r="E953" s="4" t="str">
        <f>HYPERLINK("./Results/DLO\1867\Osteo_Sarco_1.png","RPT")</f>
        <v>RPT</v>
      </c>
      <c r="F953" s="2" t="s">
        <v>105</v>
      </c>
      <c r="G953" s="6"/>
      <c r="I953"/>
      <c r="J953"/>
      <c r="K953"/>
    </row>
    <row r="954" spans="1:11" x14ac:dyDescent="0.3">
      <c r="A954" s="2" t="s">
        <v>517</v>
      </c>
      <c r="B954" s="2" t="s">
        <v>126</v>
      </c>
      <c r="C954" s="2" t="s">
        <v>119</v>
      </c>
      <c r="D954" s="2" t="s">
        <v>2859</v>
      </c>
      <c r="E954" s="4" t="str">
        <f>HYPERLINK("./Results/DLO\1868\Osteo_Sarco_1.png","RPT")</f>
        <v>RPT</v>
      </c>
      <c r="F954" s="2" t="s">
        <v>459</v>
      </c>
      <c r="G954" s="6"/>
      <c r="I954"/>
      <c r="J954"/>
      <c r="K954"/>
    </row>
    <row r="955" spans="1:11" x14ac:dyDescent="0.3">
      <c r="A955" s="2" t="s">
        <v>525</v>
      </c>
      <c r="B955" s="2" t="s">
        <v>153</v>
      </c>
      <c r="C955" s="2" t="s">
        <v>119</v>
      </c>
      <c r="D955" s="2" t="s">
        <v>2859</v>
      </c>
      <c r="E955" s="4" t="str">
        <f>HYPERLINK("./Results/DLO\1869\Osteo_Sarco_1.png","RPT")</f>
        <v>RPT</v>
      </c>
      <c r="F955" s="2" t="s">
        <v>60</v>
      </c>
      <c r="G955" s="6"/>
      <c r="I955"/>
      <c r="J955"/>
      <c r="K955"/>
    </row>
    <row r="956" spans="1:11" x14ac:dyDescent="0.3">
      <c r="A956" s="2" t="s">
        <v>508</v>
      </c>
      <c r="B956" s="2" t="s">
        <v>148</v>
      </c>
      <c r="C956" s="2" t="s">
        <v>119</v>
      </c>
      <c r="D956" s="2" t="s">
        <v>2859</v>
      </c>
      <c r="E956" s="4" t="str">
        <f>HYPERLINK("./Results/DLO\187\Osteo_Sarco_1.png","RPT")</f>
        <v>RPT</v>
      </c>
      <c r="F956" s="2" t="s">
        <v>34</v>
      </c>
      <c r="G956" s="6"/>
      <c r="I956"/>
      <c r="J956"/>
      <c r="K956"/>
    </row>
    <row r="957" spans="1:11" x14ac:dyDescent="0.3">
      <c r="A957" s="2" t="s">
        <v>521</v>
      </c>
      <c r="B957" s="2" t="s">
        <v>149</v>
      </c>
      <c r="C957" s="2" t="s">
        <v>111</v>
      </c>
      <c r="D957" s="2" t="s">
        <v>2867</v>
      </c>
      <c r="E957" s="4" t="str">
        <f>HYPERLINK("./Results/DLO\1870\Osteo_Sarco_1.png","RPT")</f>
        <v>RPT</v>
      </c>
      <c r="F957" s="2" t="s">
        <v>64</v>
      </c>
      <c r="G957" s="6"/>
      <c r="I957"/>
      <c r="J957"/>
      <c r="K957"/>
    </row>
    <row r="958" spans="1:11" x14ac:dyDescent="0.3">
      <c r="A958" s="2" t="s">
        <v>511</v>
      </c>
      <c r="B958" s="2" t="s">
        <v>164</v>
      </c>
      <c r="C958" s="2" t="s">
        <v>119</v>
      </c>
      <c r="D958" s="2" t="s">
        <v>2867</v>
      </c>
      <c r="E958" s="4" t="str">
        <f>HYPERLINK("./Results/DLO\1871\Osteo_Sarco_1.png","RPT")</f>
        <v>RPT</v>
      </c>
      <c r="F958" s="2" t="s">
        <v>474</v>
      </c>
      <c r="G958" s="6"/>
      <c r="I958"/>
      <c r="J958"/>
      <c r="K958"/>
    </row>
    <row r="959" spans="1:11" x14ac:dyDescent="0.3">
      <c r="A959" s="2" t="s">
        <v>509</v>
      </c>
      <c r="B959" s="2" t="s">
        <v>151</v>
      </c>
      <c r="C959" s="2" t="s">
        <v>119</v>
      </c>
      <c r="D959" s="2" t="s">
        <v>2859</v>
      </c>
      <c r="E959" s="4" t="str">
        <f>HYPERLINK("./Results/DLO\1872\Osteo_Sarco_1.png","RPT")</f>
        <v>RPT</v>
      </c>
      <c r="F959" s="2" t="s">
        <v>128</v>
      </c>
      <c r="G959" s="6"/>
      <c r="I959"/>
      <c r="J959"/>
      <c r="K959"/>
    </row>
    <row r="960" spans="1:11" x14ac:dyDescent="0.3">
      <c r="A960" s="2" t="s">
        <v>519</v>
      </c>
      <c r="B960" s="2" t="s">
        <v>163</v>
      </c>
      <c r="C960" s="2" t="s">
        <v>119</v>
      </c>
      <c r="D960" s="2" t="s">
        <v>1935</v>
      </c>
      <c r="E960" s="4" t="str">
        <f>HYPERLINK("./Results/DLO\1873\Osteo_Sarco_1.png","RPT")</f>
        <v>RPT</v>
      </c>
      <c r="F960" s="2" t="s">
        <v>60</v>
      </c>
      <c r="G960" s="6"/>
      <c r="I960"/>
      <c r="J960"/>
      <c r="K960"/>
    </row>
    <row r="961" spans="1:11" x14ac:dyDescent="0.3">
      <c r="A961" s="2" t="s">
        <v>520</v>
      </c>
      <c r="B961" s="2" t="s">
        <v>587</v>
      </c>
      <c r="C961" s="2" t="s">
        <v>111</v>
      </c>
      <c r="D961" s="2" t="s">
        <v>2867</v>
      </c>
      <c r="E961" s="4" t="str">
        <f>HYPERLINK("./Results/DLO\1874\Osteo_Sarco_1.png","RPT")</f>
        <v>RPT</v>
      </c>
      <c r="F961" s="2" t="s">
        <v>458</v>
      </c>
      <c r="G961" s="6"/>
      <c r="I961"/>
      <c r="J961"/>
      <c r="K961"/>
    </row>
    <row r="962" spans="1:11" x14ac:dyDescent="0.3">
      <c r="A962" s="2" t="s">
        <v>513</v>
      </c>
      <c r="B962" s="2" t="s">
        <v>133</v>
      </c>
      <c r="C962" s="2" t="s">
        <v>111</v>
      </c>
      <c r="D962" s="2" t="s">
        <v>2859</v>
      </c>
      <c r="E962" s="4" t="str">
        <f>HYPERLINK("./Results/DLO\1875\Osteo_Sarco_1.png","RPT")</f>
        <v>RPT</v>
      </c>
      <c r="F962" s="2" t="s">
        <v>27</v>
      </c>
      <c r="G962" s="6"/>
      <c r="I962"/>
      <c r="J962"/>
      <c r="K962"/>
    </row>
    <row r="963" spans="1:11" x14ac:dyDescent="0.3">
      <c r="A963" s="2" t="s">
        <v>532</v>
      </c>
      <c r="B963" s="2" t="s">
        <v>163</v>
      </c>
      <c r="C963" s="2" t="s">
        <v>119</v>
      </c>
      <c r="D963" s="2" t="s">
        <v>2859</v>
      </c>
      <c r="E963" s="4" t="str">
        <f>HYPERLINK("./Results/DLO\1876\Osteo_Sarco_1.png","RPT")</f>
        <v>RPT</v>
      </c>
      <c r="F963" s="2" t="s">
        <v>121</v>
      </c>
      <c r="G963" s="6"/>
      <c r="I963"/>
      <c r="J963"/>
      <c r="K963"/>
    </row>
    <row r="964" spans="1:11" x14ac:dyDescent="0.3">
      <c r="A964" s="2" t="s">
        <v>528</v>
      </c>
      <c r="B964" s="2" t="s">
        <v>148</v>
      </c>
      <c r="C964" s="2" t="s">
        <v>119</v>
      </c>
      <c r="D964" s="2" t="s">
        <v>2859</v>
      </c>
      <c r="E964" s="4" t="str">
        <f>HYPERLINK("./Results/DLO\1877\Osteo_Sarco_1.png","RPT")</f>
        <v>RPT</v>
      </c>
      <c r="F964" s="2" t="s">
        <v>121</v>
      </c>
      <c r="G964" s="6"/>
      <c r="I964"/>
      <c r="J964"/>
      <c r="K964"/>
    </row>
    <row r="965" spans="1:11" x14ac:dyDescent="0.3">
      <c r="A965" s="2" t="s">
        <v>537</v>
      </c>
      <c r="B965" s="2" t="s">
        <v>166</v>
      </c>
      <c r="C965" s="2" t="s">
        <v>119</v>
      </c>
      <c r="D965" s="2" t="s">
        <v>2859</v>
      </c>
      <c r="E965" s="4" t="str">
        <f>HYPERLINK("./Results/DLO\1878\Osteo_Sarco_1.png","RPT")</f>
        <v>RPT</v>
      </c>
      <c r="F965" s="2" t="s">
        <v>121</v>
      </c>
      <c r="G965" s="6"/>
      <c r="I965"/>
      <c r="J965"/>
      <c r="K965"/>
    </row>
    <row r="966" spans="1:11" x14ac:dyDescent="0.3">
      <c r="A966" s="2" t="s">
        <v>543</v>
      </c>
      <c r="B966" s="2" t="s">
        <v>120</v>
      </c>
      <c r="C966" s="2" t="s">
        <v>111</v>
      </c>
      <c r="D966" s="2" t="s">
        <v>2859</v>
      </c>
      <c r="E966" s="4" t="str">
        <f>HYPERLINK("./Results/DLO\1879\Osteo_Sarco_1.png","RPT")</f>
        <v>RPT</v>
      </c>
      <c r="F966" s="2" t="s">
        <v>121</v>
      </c>
      <c r="G966" s="6"/>
      <c r="I966"/>
      <c r="J966"/>
      <c r="K966"/>
    </row>
    <row r="967" spans="1:11" x14ac:dyDescent="0.3">
      <c r="A967" s="2" t="s">
        <v>530</v>
      </c>
      <c r="B967" s="2" t="s">
        <v>157</v>
      </c>
      <c r="C967" s="2" t="s">
        <v>111</v>
      </c>
      <c r="D967" s="2" t="s">
        <v>2859</v>
      </c>
      <c r="E967" s="4" t="str">
        <f>HYPERLINK("./Results/DLO\188\Osteo_Sarco_1.png","RPT")</f>
        <v>RPT</v>
      </c>
      <c r="F967" s="2" t="s">
        <v>121</v>
      </c>
      <c r="G967" s="6"/>
      <c r="I967"/>
      <c r="J967"/>
      <c r="K967"/>
    </row>
    <row r="968" spans="1:11" x14ac:dyDescent="0.3">
      <c r="A968" s="2" t="s">
        <v>531</v>
      </c>
      <c r="B968" s="2" t="s">
        <v>129</v>
      </c>
      <c r="C968" s="2" t="s">
        <v>111</v>
      </c>
      <c r="D968" s="2" t="s">
        <v>2859</v>
      </c>
      <c r="E968" s="4" t="str">
        <f>HYPERLINK("./Results/DLO\1880\Osteo_Sarco_1.png","RPT")</f>
        <v>RPT</v>
      </c>
      <c r="F968" s="2" t="s">
        <v>121</v>
      </c>
      <c r="G968" s="6"/>
      <c r="I968"/>
      <c r="J968"/>
      <c r="K968"/>
    </row>
    <row r="969" spans="1:11" x14ac:dyDescent="0.3">
      <c r="A969" s="2" t="s">
        <v>536</v>
      </c>
      <c r="B969" s="2" t="s">
        <v>138</v>
      </c>
      <c r="C969" s="2" t="s">
        <v>119</v>
      </c>
      <c r="D969" s="2" t="s">
        <v>2859</v>
      </c>
      <c r="E969" s="4" t="str">
        <f>HYPERLINK("./Results/DLO\1881\Osteo_Sarco_1.png","RPT")</f>
        <v>RPT</v>
      </c>
      <c r="F969" s="2" t="s">
        <v>121</v>
      </c>
      <c r="G969" s="6"/>
      <c r="I969"/>
      <c r="J969"/>
      <c r="K969"/>
    </row>
    <row r="970" spans="1:11" x14ac:dyDescent="0.3">
      <c r="A970" s="2" t="s">
        <v>533</v>
      </c>
      <c r="B970" s="2" t="s">
        <v>118</v>
      </c>
      <c r="C970" s="2" t="s">
        <v>111</v>
      </c>
      <c r="D970" s="2" t="s">
        <v>2859</v>
      </c>
      <c r="E970" s="4" t="str">
        <f>HYPERLINK("./Results/DLO\1882\Osteo_Sarco_1.png","RPT")</f>
        <v>RPT</v>
      </c>
      <c r="F970" s="2" t="s">
        <v>121</v>
      </c>
      <c r="G970" s="6"/>
      <c r="H970" s="1">
        <v>18.09</v>
      </c>
    </row>
    <row r="971" spans="1:11" x14ac:dyDescent="0.3">
      <c r="A971" s="2" t="s">
        <v>534</v>
      </c>
      <c r="B971" s="2" t="s">
        <v>139</v>
      </c>
      <c r="C971" s="2" t="s">
        <v>119</v>
      </c>
      <c r="D971" s="2" t="s">
        <v>2859</v>
      </c>
      <c r="E971" s="4" t="str">
        <f>HYPERLINK("./Results/DLO\1883\Osteo_Sarco_1.png","RPT")</f>
        <v>RPT</v>
      </c>
      <c r="F971" s="2" t="s">
        <v>121</v>
      </c>
      <c r="G971" s="6"/>
      <c r="I971"/>
      <c r="J971"/>
      <c r="K971"/>
    </row>
    <row r="972" spans="1:11" x14ac:dyDescent="0.3">
      <c r="A972" s="2" t="s">
        <v>527</v>
      </c>
      <c r="B972" s="2" t="s">
        <v>146</v>
      </c>
      <c r="C972" s="2" t="s">
        <v>119</v>
      </c>
      <c r="D972" s="2" t="s">
        <v>2859</v>
      </c>
      <c r="E972" s="4" t="str">
        <f>HYPERLINK("./Results/DLO\1884\Osteo_Sarco_1.png","RPT")</f>
        <v>RPT</v>
      </c>
      <c r="F972" s="2" t="s">
        <v>121</v>
      </c>
      <c r="G972" s="6"/>
      <c r="I972"/>
      <c r="J972"/>
      <c r="K972"/>
    </row>
    <row r="973" spans="1:11" x14ac:dyDescent="0.3">
      <c r="A973" s="2" t="s">
        <v>538</v>
      </c>
      <c r="B973" s="2" t="s">
        <v>156</v>
      </c>
      <c r="C973" s="2" t="s">
        <v>119</v>
      </c>
      <c r="D973" s="2" t="s">
        <v>2859</v>
      </c>
      <c r="E973" s="4" t="str">
        <f>HYPERLINK("./Results/DLO\1885\Osteo_Sarco_1.png","RPT")</f>
        <v>RPT</v>
      </c>
      <c r="F973" s="2" t="s">
        <v>121</v>
      </c>
      <c r="G973" s="6"/>
      <c r="H973" s="1">
        <v>24.06</v>
      </c>
    </row>
    <row r="974" spans="1:11" x14ac:dyDescent="0.3">
      <c r="A974" s="2" t="s">
        <v>542</v>
      </c>
      <c r="B974" s="2" t="s">
        <v>138</v>
      </c>
      <c r="C974" s="2" t="s">
        <v>119</v>
      </c>
      <c r="D974" s="2" t="s">
        <v>2859</v>
      </c>
      <c r="E974" s="4" t="str">
        <f>HYPERLINK("./Results/DLO\1886\Osteo_Sarco_1.png","RPT")</f>
        <v>RPT</v>
      </c>
      <c r="F974" s="2" t="s">
        <v>121</v>
      </c>
      <c r="G974" s="6"/>
      <c r="I974"/>
      <c r="J974"/>
      <c r="K974"/>
    </row>
    <row r="975" spans="1:11" x14ac:dyDescent="0.3">
      <c r="A975" s="2" t="s">
        <v>541</v>
      </c>
      <c r="B975" s="2" t="s">
        <v>140</v>
      </c>
      <c r="C975" s="2" t="s">
        <v>119</v>
      </c>
      <c r="D975" s="2" t="s">
        <v>2867</v>
      </c>
      <c r="E975" s="4" t="str">
        <f>HYPERLINK("./Results/DLO\1887\Osteo_Sarco_1.png","RPT")</f>
        <v>RPT</v>
      </c>
      <c r="F975" s="2" t="s">
        <v>121</v>
      </c>
      <c r="G975" s="6"/>
      <c r="I975"/>
      <c r="J975"/>
      <c r="K975"/>
    </row>
    <row r="976" spans="1:11" x14ac:dyDescent="0.3">
      <c r="A976" s="2" t="s">
        <v>539</v>
      </c>
      <c r="B976" s="2" t="s">
        <v>585</v>
      </c>
      <c r="C976" s="2" t="s">
        <v>119</v>
      </c>
      <c r="D976" s="2" t="s">
        <v>2867</v>
      </c>
      <c r="E976" s="4" t="str">
        <f>HYPERLINK("./Results/DLO\1888\Osteo_Sarco_1.png","RPT")</f>
        <v>RPT</v>
      </c>
      <c r="F976" s="2" t="s">
        <v>121</v>
      </c>
      <c r="G976" s="6"/>
      <c r="H976" s="1">
        <v>22.39</v>
      </c>
    </row>
    <row r="977" spans="1:11" x14ac:dyDescent="0.3">
      <c r="A977" s="2" t="s">
        <v>535</v>
      </c>
      <c r="B977" s="2" t="s">
        <v>120</v>
      </c>
      <c r="C977" s="2" t="s">
        <v>111</v>
      </c>
      <c r="D977" s="2" t="s">
        <v>2859</v>
      </c>
      <c r="E977" s="4" t="str">
        <f>HYPERLINK("./Results/DLO\1889\Osteo_Sarco_1.png","RPT")</f>
        <v>RPT</v>
      </c>
      <c r="F977" s="2" t="s">
        <v>121</v>
      </c>
      <c r="G977" s="6"/>
      <c r="I977"/>
      <c r="J977"/>
      <c r="K977"/>
    </row>
    <row r="978" spans="1:11" x14ac:dyDescent="0.3">
      <c r="A978" s="2" t="s">
        <v>544</v>
      </c>
      <c r="B978" s="2" t="s">
        <v>166</v>
      </c>
      <c r="C978" s="2" t="s">
        <v>111</v>
      </c>
      <c r="D978" s="2" t="s">
        <v>2859</v>
      </c>
      <c r="E978" s="4" t="str">
        <f>HYPERLINK("./Results/DLO\189\Osteo_Sarco_1.png","RPT")</f>
        <v>RPT</v>
      </c>
      <c r="F978" s="2" t="s">
        <v>121</v>
      </c>
      <c r="G978" s="6"/>
      <c r="I978"/>
      <c r="J978"/>
      <c r="K978"/>
    </row>
    <row r="979" spans="1:11" x14ac:dyDescent="0.3">
      <c r="A979" s="2" t="s">
        <v>545</v>
      </c>
      <c r="B979" s="2" t="s">
        <v>129</v>
      </c>
      <c r="C979" s="2" t="s">
        <v>111</v>
      </c>
      <c r="D979" s="2" t="s">
        <v>2867</v>
      </c>
      <c r="E979" s="4" t="str">
        <f>HYPERLINK("./Results/DLO\1890\Osteo_Sarco_1.png","RPT")</f>
        <v>RPT</v>
      </c>
      <c r="F979" s="2" t="s">
        <v>121</v>
      </c>
      <c r="G979" s="6"/>
      <c r="H979" s="1">
        <v>24.38</v>
      </c>
    </row>
    <row r="980" spans="1:11" x14ac:dyDescent="0.3">
      <c r="A980" s="2" t="s">
        <v>529</v>
      </c>
      <c r="B980" s="2" t="s">
        <v>144</v>
      </c>
      <c r="C980" s="2" t="s">
        <v>111</v>
      </c>
      <c r="D980" s="2" t="s">
        <v>2859</v>
      </c>
      <c r="E980" s="4" t="str">
        <f>HYPERLINK("./Results/DLO\1891\Osteo_Sarco_1.png","RPT")</f>
        <v>RPT</v>
      </c>
      <c r="F980" s="2" t="s">
        <v>121</v>
      </c>
      <c r="G980" s="6"/>
      <c r="H980" s="1">
        <v>24.16</v>
      </c>
    </row>
    <row r="981" spans="1:11" x14ac:dyDescent="0.3">
      <c r="A981" s="2" t="s">
        <v>540</v>
      </c>
      <c r="B981" s="2" t="s">
        <v>170</v>
      </c>
      <c r="C981" s="2" t="s">
        <v>119</v>
      </c>
      <c r="D981" s="2" t="s">
        <v>2867</v>
      </c>
      <c r="E981" s="4" t="str">
        <f>HYPERLINK("./Results/DLO\1892\Osteo_Sarco_1.png","RPT")</f>
        <v>RPT</v>
      </c>
      <c r="F981" s="2" t="s">
        <v>121</v>
      </c>
      <c r="G981" s="6"/>
      <c r="I981"/>
      <c r="J981"/>
      <c r="K981"/>
    </row>
    <row r="982" spans="1:11" x14ac:dyDescent="0.3">
      <c r="A982" s="2" t="s">
        <v>526</v>
      </c>
      <c r="B982" s="2" t="s">
        <v>127</v>
      </c>
      <c r="C982" s="2" t="s">
        <v>119</v>
      </c>
      <c r="D982" s="2" t="s">
        <v>2859</v>
      </c>
      <c r="E982" s="4" t="str">
        <f>HYPERLINK("./Results/DLO\1893\Osteo_Sarco_1.png","RPT")</f>
        <v>RPT</v>
      </c>
      <c r="F982" s="2" t="s">
        <v>121</v>
      </c>
      <c r="G982" s="6"/>
      <c r="H982" s="1">
        <v>18.43</v>
      </c>
    </row>
    <row r="983" spans="1:11" x14ac:dyDescent="0.3">
      <c r="A983" s="2" t="s">
        <v>555</v>
      </c>
      <c r="B983" s="2" t="s">
        <v>127</v>
      </c>
      <c r="C983" s="2" t="s">
        <v>111</v>
      </c>
      <c r="D983" s="2" t="s">
        <v>2859</v>
      </c>
      <c r="E983" s="4" t="str">
        <f>HYPERLINK("./Results/DLO\1894\Osteo_Sarco_1.png","RPT")</f>
        <v>RPT</v>
      </c>
      <c r="F983" s="2" t="s">
        <v>121</v>
      </c>
      <c r="G983" s="6"/>
      <c r="I983"/>
      <c r="J983"/>
      <c r="K983"/>
    </row>
    <row r="984" spans="1:11" x14ac:dyDescent="0.3">
      <c r="A984" s="2" t="s">
        <v>559</v>
      </c>
      <c r="B984" s="2" t="s">
        <v>122</v>
      </c>
      <c r="C984" s="2" t="s">
        <v>119</v>
      </c>
      <c r="D984" s="2" t="s">
        <v>2859</v>
      </c>
      <c r="E984" s="4" t="str">
        <f>HYPERLINK("./Results/DLO\1895\Osteo_Sarco_1.png","RPT")</f>
        <v>RPT</v>
      </c>
      <c r="F984" s="2" t="s">
        <v>121</v>
      </c>
      <c r="G984" s="6"/>
      <c r="I984"/>
      <c r="J984"/>
      <c r="K984"/>
    </row>
    <row r="985" spans="1:11" x14ac:dyDescent="0.3">
      <c r="A985" s="2" t="s">
        <v>562</v>
      </c>
      <c r="B985" s="2" t="s">
        <v>116</v>
      </c>
      <c r="C985" s="2" t="s">
        <v>111</v>
      </c>
      <c r="D985" s="2" t="s">
        <v>2867</v>
      </c>
      <c r="E985" s="4" t="str">
        <f>HYPERLINK("./Results/DLO\1896\Osteo_Sarco_1.png","RPT")</f>
        <v>RPT</v>
      </c>
      <c r="F985" s="2" t="s">
        <v>121</v>
      </c>
      <c r="G985" s="6"/>
      <c r="I985"/>
      <c r="J985"/>
      <c r="K985"/>
    </row>
    <row r="986" spans="1:11" x14ac:dyDescent="0.3">
      <c r="A986" s="2" t="s">
        <v>552</v>
      </c>
      <c r="B986" s="2" t="s">
        <v>118</v>
      </c>
      <c r="C986" s="2" t="s">
        <v>111</v>
      </c>
      <c r="D986" s="2" t="s">
        <v>2867</v>
      </c>
      <c r="E986" s="4" t="str">
        <f>HYPERLINK("./Results/DLO\1897\Osteo_Sarco_1.png","RPT")</f>
        <v>RPT</v>
      </c>
      <c r="F986" s="2" t="s">
        <v>121</v>
      </c>
      <c r="G986" s="6"/>
      <c r="I986"/>
      <c r="J986"/>
      <c r="K986"/>
    </row>
    <row r="987" spans="1:11" x14ac:dyDescent="0.3">
      <c r="A987" s="2" t="s">
        <v>551</v>
      </c>
      <c r="B987" s="2" t="s">
        <v>123</v>
      </c>
      <c r="C987" s="2" t="s">
        <v>111</v>
      </c>
      <c r="D987" s="2" t="s">
        <v>2859</v>
      </c>
      <c r="E987" s="4" t="str">
        <f>HYPERLINK("./Results/DLO\1898\Osteo_Sarco_1.png","RPT")</f>
        <v>RPT</v>
      </c>
      <c r="F987" s="2" t="s">
        <v>121</v>
      </c>
      <c r="G987" s="6"/>
      <c r="I987"/>
      <c r="J987"/>
      <c r="K987"/>
    </row>
    <row r="988" spans="1:11" x14ac:dyDescent="0.3">
      <c r="A988" s="2" t="s">
        <v>548</v>
      </c>
      <c r="B988" s="2" t="s">
        <v>138</v>
      </c>
      <c r="C988" s="2" t="s">
        <v>111</v>
      </c>
      <c r="D988" s="2" t="s">
        <v>2859</v>
      </c>
      <c r="E988" s="4" t="str">
        <f>HYPERLINK("./Results/DLO\1899\Osteo_Sarco_1.png","RPT")</f>
        <v>RPT</v>
      </c>
      <c r="F988" s="2" t="s">
        <v>121</v>
      </c>
      <c r="G988" s="6"/>
      <c r="I988"/>
      <c r="J988"/>
      <c r="K988"/>
    </row>
    <row r="989" spans="1:11" x14ac:dyDescent="0.3">
      <c r="A989" s="2" t="s">
        <v>558</v>
      </c>
      <c r="B989" s="2" t="s">
        <v>136</v>
      </c>
      <c r="C989" s="2" t="s">
        <v>111</v>
      </c>
      <c r="D989" s="2" t="s">
        <v>2867</v>
      </c>
      <c r="E989" s="4" t="str">
        <f>HYPERLINK("./Results/DLO\19\Osteo_Sarco_1.png","RPT")</f>
        <v>RPT</v>
      </c>
      <c r="F989" s="2" t="s">
        <v>121</v>
      </c>
      <c r="G989" s="6"/>
      <c r="H989" s="1">
        <v>22.97</v>
      </c>
    </row>
    <row r="990" spans="1:11" x14ac:dyDescent="0.3">
      <c r="A990" s="2" t="s">
        <v>556</v>
      </c>
      <c r="B990" s="2" t="s">
        <v>133</v>
      </c>
      <c r="C990" s="2" t="s">
        <v>111</v>
      </c>
      <c r="D990" s="2" t="s">
        <v>2859</v>
      </c>
      <c r="E990" s="4" t="str">
        <f>HYPERLINK("./Results/DLO\190\Osteo_Sarco_1.png","RPT")</f>
        <v>RPT</v>
      </c>
      <c r="F990" s="2" t="s">
        <v>121</v>
      </c>
      <c r="G990" s="6"/>
      <c r="H990" s="1">
        <v>26.21</v>
      </c>
    </row>
    <row r="991" spans="1:11" x14ac:dyDescent="0.3">
      <c r="A991" s="2" t="s">
        <v>557</v>
      </c>
      <c r="B991" s="2" t="s">
        <v>152</v>
      </c>
      <c r="C991" s="2" t="s">
        <v>111</v>
      </c>
      <c r="D991" s="2" t="s">
        <v>2859</v>
      </c>
      <c r="E991" s="4" t="str">
        <f>HYPERLINK("./Results/DLO\1900\Osteo_Sarco_1.png","RPT")</f>
        <v>RPT</v>
      </c>
      <c r="F991" s="2" t="s">
        <v>121</v>
      </c>
      <c r="G991" s="6"/>
      <c r="I991"/>
      <c r="J991"/>
      <c r="K991"/>
    </row>
    <row r="992" spans="1:11" x14ac:dyDescent="0.3">
      <c r="A992" s="2" t="s">
        <v>561</v>
      </c>
      <c r="B992" s="2" t="s">
        <v>131</v>
      </c>
      <c r="C992" s="2" t="s">
        <v>119</v>
      </c>
      <c r="D992" s="2" t="s">
        <v>2859</v>
      </c>
      <c r="E992" s="4" t="str">
        <f>HYPERLINK("./Results/DLO\1901\Osteo_Sarco_1.png","RPT")</f>
        <v>RPT</v>
      </c>
      <c r="F992" s="2" t="s">
        <v>121</v>
      </c>
      <c r="G992" s="6"/>
      <c r="I992"/>
      <c r="J992"/>
      <c r="K992"/>
    </row>
    <row r="993" spans="1:11" x14ac:dyDescent="0.3">
      <c r="A993" s="2" t="s">
        <v>563</v>
      </c>
      <c r="B993" s="2" t="s">
        <v>122</v>
      </c>
      <c r="C993" s="2" t="s">
        <v>119</v>
      </c>
      <c r="D993" s="2" t="s">
        <v>2867</v>
      </c>
      <c r="E993" s="4" t="str">
        <f>HYPERLINK("./Results/DLO\1902\Osteo_Sarco_1.png","RPT")</f>
        <v>RPT</v>
      </c>
      <c r="F993" s="2" t="s">
        <v>121</v>
      </c>
      <c r="G993" s="6"/>
      <c r="I993"/>
      <c r="J993"/>
      <c r="K993"/>
    </row>
    <row r="994" spans="1:11" x14ac:dyDescent="0.3">
      <c r="A994" s="2" t="s">
        <v>550</v>
      </c>
      <c r="B994" s="2" t="s">
        <v>163</v>
      </c>
      <c r="C994" s="2" t="s">
        <v>119</v>
      </c>
      <c r="D994" s="2" t="s">
        <v>2867</v>
      </c>
      <c r="E994" s="4" t="str">
        <f>HYPERLINK("./Results/DLO\1903\Osteo_Sarco_1.png","RPT")</f>
        <v>RPT</v>
      </c>
      <c r="F994" s="2" t="s">
        <v>121</v>
      </c>
      <c r="G994" s="6"/>
      <c r="I994"/>
      <c r="J994"/>
      <c r="K994"/>
    </row>
    <row r="995" spans="1:11" x14ac:dyDescent="0.3">
      <c r="A995" s="2" t="s">
        <v>549</v>
      </c>
      <c r="B995" s="2" t="s">
        <v>140</v>
      </c>
      <c r="C995" s="2" t="s">
        <v>111</v>
      </c>
      <c r="D995" s="2" t="s">
        <v>2867</v>
      </c>
      <c r="E995" s="4" t="str">
        <f>HYPERLINK("./Results/DLO\1904\Osteo_Sarco_1.png","RPT")</f>
        <v>RPT</v>
      </c>
      <c r="F995" s="2" t="s">
        <v>121</v>
      </c>
      <c r="G995" s="6"/>
      <c r="I995"/>
      <c r="J995"/>
      <c r="K995"/>
    </row>
    <row r="996" spans="1:11" x14ac:dyDescent="0.3">
      <c r="A996" s="2" t="s">
        <v>564</v>
      </c>
      <c r="B996" s="2" t="s">
        <v>165</v>
      </c>
      <c r="C996" s="2" t="s">
        <v>119</v>
      </c>
      <c r="D996" s="2" t="s">
        <v>2867</v>
      </c>
      <c r="E996" s="4" t="str">
        <f>HYPERLINK("./Results/DLO\1905\Osteo_Sarco_1.png","RPT")</f>
        <v>RPT</v>
      </c>
      <c r="F996" s="2" t="s">
        <v>121</v>
      </c>
      <c r="G996" s="6"/>
      <c r="H996" s="1">
        <v>20.96</v>
      </c>
    </row>
    <row r="997" spans="1:11" x14ac:dyDescent="0.3">
      <c r="A997" s="2" t="s">
        <v>560</v>
      </c>
      <c r="B997" s="2" t="s">
        <v>139</v>
      </c>
      <c r="C997" s="2" t="s">
        <v>119</v>
      </c>
      <c r="D997" s="2" t="s">
        <v>2859</v>
      </c>
      <c r="E997" s="4" t="str">
        <f>HYPERLINK("./Results/DLO\1906\Osteo_Sarco_1.png","RPT")</f>
        <v>RPT</v>
      </c>
      <c r="F997" s="2" t="s">
        <v>121</v>
      </c>
      <c r="G997" s="6"/>
      <c r="I997"/>
      <c r="J997"/>
      <c r="K997"/>
    </row>
    <row r="998" spans="1:11" x14ac:dyDescent="0.3">
      <c r="A998" s="2" t="s">
        <v>546</v>
      </c>
      <c r="B998" s="2" t="s">
        <v>142</v>
      </c>
      <c r="C998" s="2" t="s">
        <v>111</v>
      </c>
      <c r="D998" s="2" t="s">
        <v>2859</v>
      </c>
      <c r="E998" s="4" t="str">
        <f>HYPERLINK("./Results/DLO\1907\Osteo_Sarco_1.png","RPT")</f>
        <v>RPT</v>
      </c>
      <c r="F998" s="2" t="s">
        <v>121</v>
      </c>
      <c r="G998" s="6"/>
      <c r="H998" s="1">
        <v>27.72</v>
      </c>
    </row>
    <row r="999" spans="1:11" x14ac:dyDescent="0.3">
      <c r="A999" s="2" t="s">
        <v>547</v>
      </c>
      <c r="B999" s="2" t="s">
        <v>133</v>
      </c>
      <c r="C999" s="2" t="s">
        <v>119</v>
      </c>
      <c r="D999" s="2" t="s">
        <v>2859</v>
      </c>
      <c r="E999" s="4" t="str">
        <f>HYPERLINK("./Results/DLO\1908\Osteo_Sarco_1.png","RPT")</f>
        <v>RPT</v>
      </c>
      <c r="F999" s="2" t="s">
        <v>121</v>
      </c>
      <c r="G999" s="6"/>
      <c r="H999" s="1">
        <v>24.41</v>
      </c>
    </row>
    <row r="1000" spans="1:11" x14ac:dyDescent="0.3">
      <c r="A1000" s="2" t="s">
        <v>553</v>
      </c>
      <c r="B1000" s="2" t="s">
        <v>113</v>
      </c>
      <c r="C1000" s="2" t="s">
        <v>111</v>
      </c>
      <c r="D1000" s="2" t="s">
        <v>2859</v>
      </c>
      <c r="E1000" s="4" t="str">
        <f>HYPERLINK("./Results/DLO\1909\Osteo_Sarco_1.png","RPT")</f>
        <v>RPT</v>
      </c>
      <c r="F1000" s="2" t="s">
        <v>121</v>
      </c>
      <c r="G1000" s="6"/>
      <c r="H1000" s="1">
        <v>26.66</v>
      </c>
    </row>
    <row r="1001" spans="1:11" x14ac:dyDescent="0.3">
      <c r="A1001" s="2" t="s">
        <v>554</v>
      </c>
      <c r="B1001" s="2" t="s">
        <v>146</v>
      </c>
      <c r="C1001" s="2" t="s">
        <v>111</v>
      </c>
      <c r="D1001" s="2" t="s">
        <v>2859</v>
      </c>
      <c r="E1001" s="4" t="str">
        <f>HYPERLINK("./Results/DLO\191\Osteo_Sarco_1.png","RPT")</f>
        <v>RPT</v>
      </c>
      <c r="F1001" s="2" t="s">
        <v>121</v>
      </c>
      <c r="G1001" s="6"/>
      <c r="I1001"/>
      <c r="J1001"/>
      <c r="K1001"/>
    </row>
    <row r="1002" spans="1:11" x14ac:dyDescent="0.3">
      <c r="A1002" s="2" t="s">
        <v>569</v>
      </c>
      <c r="B1002" s="2" t="s">
        <v>144</v>
      </c>
      <c r="C1002" s="2" t="s">
        <v>119</v>
      </c>
      <c r="D1002" s="2" t="s">
        <v>2859</v>
      </c>
      <c r="E1002" s="4" t="str">
        <f>HYPERLINK("./Results/DLO\1910\Osteo_Sarco_1.png","RPT")</f>
        <v>RPT</v>
      </c>
      <c r="F1002" s="2" t="s">
        <v>121</v>
      </c>
      <c r="G1002" s="6"/>
      <c r="I1002"/>
      <c r="J1002"/>
      <c r="K1002"/>
    </row>
    <row r="1003" spans="1:11" x14ac:dyDescent="0.3">
      <c r="A1003" s="2" t="s">
        <v>567</v>
      </c>
      <c r="B1003" s="2" t="s">
        <v>118</v>
      </c>
      <c r="C1003" s="2" t="s">
        <v>119</v>
      </c>
      <c r="D1003" s="2" t="s">
        <v>2859</v>
      </c>
      <c r="E1003" s="4" t="str">
        <f>HYPERLINK("./Results/DLO\1911\Osteo_Sarco_1.png","RPT")</f>
        <v>RPT</v>
      </c>
      <c r="F1003" s="2" t="s">
        <v>121</v>
      </c>
      <c r="G1003" s="6"/>
      <c r="I1003"/>
      <c r="J1003"/>
      <c r="K1003"/>
    </row>
    <row r="1004" spans="1:11" x14ac:dyDescent="0.3">
      <c r="A1004" s="2" t="s">
        <v>570</v>
      </c>
      <c r="B1004" s="2" t="s">
        <v>161</v>
      </c>
      <c r="C1004" s="2" t="s">
        <v>119</v>
      </c>
      <c r="D1004" s="2" t="s">
        <v>2859</v>
      </c>
      <c r="E1004" s="4" t="str">
        <f>HYPERLINK("./Results/DLO\1912\Osteo_Sarco_1.png","RPT")</f>
        <v>RPT</v>
      </c>
      <c r="F1004" s="2" t="s">
        <v>121</v>
      </c>
      <c r="G1004" s="6"/>
      <c r="I1004"/>
      <c r="J1004"/>
      <c r="K1004"/>
    </row>
    <row r="1005" spans="1:11" x14ac:dyDescent="0.3">
      <c r="A1005" s="2" t="s">
        <v>568</v>
      </c>
      <c r="B1005" s="2" t="s">
        <v>133</v>
      </c>
      <c r="C1005" s="2" t="s">
        <v>119</v>
      </c>
      <c r="D1005" s="2" t="s">
        <v>2867</v>
      </c>
      <c r="E1005" s="4" t="str">
        <f>HYPERLINK("./Results/DLO\1913\Osteo_Sarco_1.png","RPT")</f>
        <v>RPT</v>
      </c>
      <c r="F1005" s="2" t="s">
        <v>121</v>
      </c>
      <c r="G1005" s="6"/>
      <c r="I1005"/>
      <c r="J1005"/>
      <c r="K1005"/>
    </row>
    <row r="1006" spans="1:11" x14ac:dyDescent="0.3">
      <c r="A1006" s="2" t="s">
        <v>565</v>
      </c>
      <c r="B1006" s="2" t="s">
        <v>167</v>
      </c>
      <c r="C1006" s="2" t="s">
        <v>111</v>
      </c>
      <c r="D1006" s="2" t="s">
        <v>2859</v>
      </c>
      <c r="E1006" s="4" t="str">
        <f>HYPERLINK("./Results/DLO\1914\Osteo_Sarco_1.png","RPT")</f>
        <v>RPT</v>
      </c>
      <c r="F1006" s="2" t="s">
        <v>121</v>
      </c>
      <c r="G1006" s="6"/>
      <c r="H1006" s="1">
        <v>23.62</v>
      </c>
    </row>
    <row r="1007" spans="1:11" x14ac:dyDescent="0.3">
      <c r="A1007" s="2" t="s">
        <v>566</v>
      </c>
      <c r="B1007" s="2" t="s">
        <v>125</v>
      </c>
      <c r="C1007" s="2" t="s">
        <v>119</v>
      </c>
      <c r="D1007" s="2" t="s">
        <v>2867</v>
      </c>
      <c r="E1007" s="4" t="str">
        <f>HYPERLINK("./Results/DLO\1915\Osteo_Sarco_1.png","RPT")</f>
        <v>RPT</v>
      </c>
      <c r="F1007" s="2" t="s">
        <v>121</v>
      </c>
      <c r="G1007" s="6"/>
      <c r="I1007"/>
      <c r="J1007"/>
      <c r="K1007"/>
    </row>
    <row r="1008" spans="1:11" x14ac:dyDescent="0.3">
      <c r="A1008" s="2" t="s">
        <v>501</v>
      </c>
      <c r="B1008" s="2" t="s">
        <v>157</v>
      </c>
      <c r="C1008" s="2" t="s">
        <v>119</v>
      </c>
      <c r="D1008" s="2" t="s">
        <v>2859</v>
      </c>
      <c r="E1008" s="4" t="str">
        <f>HYPERLINK("./Results/DLO\1916\Osteo_Sarco_1.png","RPT")</f>
        <v>RPT</v>
      </c>
      <c r="F1008" s="2" t="s">
        <v>121</v>
      </c>
      <c r="G1008" s="6"/>
      <c r="I1008"/>
      <c r="J1008"/>
      <c r="K1008"/>
    </row>
    <row r="1009" spans="1:11" x14ac:dyDescent="0.3">
      <c r="A1009" s="2" t="s">
        <v>502</v>
      </c>
      <c r="B1009" s="2" t="s">
        <v>138</v>
      </c>
      <c r="C1009" s="2" t="s">
        <v>119</v>
      </c>
      <c r="D1009" s="2" t="s">
        <v>2859</v>
      </c>
      <c r="E1009" s="4" t="str">
        <f>HYPERLINK("./Results/DLO\1917\Osteo_Sarco_1.png","RPT")</f>
        <v>RPT</v>
      </c>
      <c r="F1009" s="2" t="s">
        <v>121</v>
      </c>
      <c r="G1009" s="6"/>
      <c r="H1009" s="1">
        <v>27.89</v>
      </c>
    </row>
    <row r="1010" spans="1:11" x14ac:dyDescent="0.3">
      <c r="A1010" s="2" t="s">
        <v>505</v>
      </c>
      <c r="B1010" s="2" t="s">
        <v>154</v>
      </c>
      <c r="C1010" s="2" t="s">
        <v>119</v>
      </c>
      <c r="D1010" s="2" t="s">
        <v>2859</v>
      </c>
      <c r="E1010" s="4" t="str">
        <f>HYPERLINK("./Results/DLO\1918\Osteo_Sarco_1.png","RPT")</f>
        <v>RPT</v>
      </c>
      <c r="F1010" s="2" t="s">
        <v>121</v>
      </c>
      <c r="G1010" s="6"/>
      <c r="I1010"/>
      <c r="J1010"/>
      <c r="K1010"/>
    </row>
    <row r="1011" spans="1:11" x14ac:dyDescent="0.3">
      <c r="A1011" s="2" t="s">
        <v>503</v>
      </c>
      <c r="B1011" s="2" t="s">
        <v>127</v>
      </c>
      <c r="C1011" s="2" t="s">
        <v>119</v>
      </c>
      <c r="D1011" s="2" t="s">
        <v>2859</v>
      </c>
      <c r="E1011" s="4" t="str">
        <f>HYPERLINK("./Results/DLO\1919\Osteo_Sarco_1.png","RPT")</f>
        <v>RPT</v>
      </c>
      <c r="F1011" s="2" t="s">
        <v>121</v>
      </c>
      <c r="G1011" s="6"/>
      <c r="I1011"/>
      <c r="J1011"/>
      <c r="K1011"/>
    </row>
    <row r="1012" spans="1:11" x14ac:dyDescent="0.3">
      <c r="A1012" s="2" t="s">
        <v>498</v>
      </c>
      <c r="B1012" s="2" t="s">
        <v>135</v>
      </c>
      <c r="C1012" s="2" t="s">
        <v>119</v>
      </c>
      <c r="D1012" s="2" t="s">
        <v>2859</v>
      </c>
      <c r="E1012" s="4" t="str">
        <f>HYPERLINK("./Results/DLO\192\Osteo_Sarco_1.png","RPT")</f>
        <v>RPT</v>
      </c>
      <c r="F1012" s="2" t="s">
        <v>121</v>
      </c>
      <c r="G1012" s="6"/>
      <c r="H1012" s="1">
        <v>22.48</v>
      </c>
    </row>
    <row r="1013" spans="1:11" x14ac:dyDescent="0.3">
      <c r="A1013" s="2" t="s">
        <v>497</v>
      </c>
      <c r="B1013" s="2" t="s">
        <v>131</v>
      </c>
      <c r="C1013" s="2" t="s">
        <v>119</v>
      </c>
      <c r="D1013" s="2" t="s">
        <v>2859</v>
      </c>
      <c r="E1013" s="4" t="str">
        <f>HYPERLINK("./Results/DLO\1920\Osteo_Sarco_1.png","RPT")</f>
        <v>RPT</v>
      </c>
      <c r="F1013" s="2" t="s">
        <v>121</v>
      </c>
      <c r="G1013" s="6"/>
      <c r="H1013" s="1">
        <v>24.2</v>
      </c>
    </row>
    <row r="1014" spans="1:11" x14ac:dyDescent="0.3">
      <c r="A1014" s="2" t="s">
        <v>499</v>
      </c>
      <c r="B1014" s="2" t="s">
        <v>140</v>
      </c>
      <c r="C1014" s="2" t="s">
        <v>111</v>
      </c>
      <c r="D1014" s="2" t="s">
        <v>2867</v>
      </c>
      <c r="E1014" s="4" t="str">
        <f>HYPERLINK("./Results/DLO\1921\Osteo_Sarco_1.png","RPT")</f>
        <v>RPT</v>
      </c>
      <c r="F1014" s="2" t="s">
        <v>121</v>
      </c>
      <c r="G1014" s="6"/>
      <c r="I1014"/>
      <c r="J1014"/>
      <c r="K1014"/>
    </row>
    <row r="1015" spans="1:11" x14ac:dyDescent="0.3">
      <c r="A1015" s="2" t="s">
        <v>500</v>
      </c>
      <c r="B1015" s="2" t="s">
        <v>113</v>
      </c>
      <c r="C1015" s="2" t="s">
        <v>111</v>
      </c>
      <c r="D1015" s="2" t="s">
        <v>2859</v>
      </c>
      <c r="E1015" s="4" t="str">
        <f>HYPERLINK("./Results/DLO\1922\Osteo_Sarco_1.png","RPT")</f>
        <v>RPT</v>
      </c>
      <c r="F1015" s="2" t="s">
        <v>121</v>
      </c>
      <c r="G1015" s="6"/>
      <c r="H1015" s="1">
        <v>24.57</v>
      </c>
    </row>
    <row r="1016" spans="1:11" x14ac:dyDescent="0.3">
      <c r="A1016" s="2" t="s">
        <v>477</v>
      </c>
      <c r="B1016" s="2" t="s">
        <v>123</v>
      </c>
      <c r="C1016" s="2" t="s">
        <v>111</v>
      </c>
      <c r="D1016" s="2" t="s">
        <v>2859</v>
      </c>
      <c r="E1016" s="4" t="str">
        <f>HYPERLINK("./Results/DLO\1923\Osteo_Sarco_1.png","RPT")</f>
        <v>RPT</v>
      </c>
      <c r="F1016" s="2" t="s">
        <v>121</v>
      </c>
      <c r="G1016" s="6"/>
      <c r="H1016" s="1">
        <v>23.59</v>
      </c>
    </row>
    <row r="1017" spans="1:11" x14ac:dyDescent="0.3">
      <c r="A1017" s="2" t="s">
        <v>478</v>
      </c>
      <c r="B1017" s="2" t="s">
        <v>140</v>
      </c>
      <c r="C1017" s="2" t="s">
        <v>111</v>
      </c>
      <c r="D1017" s="2" t="s">
        <v>2859</v>
      </c>
      <c r="E1017" s="4" t="str">
        <f>HYPERLINK("./Results/DLO\1924\Osteo_Sarco_1.png","RPT")</f>
        <v>RPT</v>
      </c>
      <c r="F1017" s="2" t="s">
        <v>121</v>
      </c>
      <c r="G1017" s="6"/>
      <c r="I1017"/>
      <c r="J1017"/>
      <c r="K1017"/>
    </row>
    <row r="1018" spans="1:11" x14ac:dyDescent="0.3">
      <c r="A1018" s="2" t="s">
        <v>476</v>
      </c>
      <c r="B1018" s="2" t="s">
        <v>139</v>
      </c>
      <c r="C1018" s="2" t="s">
        <v>119</v>
      </c>
      <c r="D1018" s="2" t="s">
        <v>2859</v>
      </c>
      <c r="E1018" s="4" t="str">
        <f>HYPERLINK("./Results/DLO\1925\Osteo_Sarco_1.png","RPT")</f>
        <v>RPT</v>
      </c>
      <c r="F1018" s="2" t="s">
        <v>121</v>
      </c>
      <c r="G1018" s="6"/>
      <c r="I1018"/>
      <c r="J1018"/>
      <c r="K1018"/>
    </row>
    <row r="1019" spans="1:11" x14ac:dyDescent="0.3">
      <c r="A1019" s="2" t="s">
        <v>491</v>
      </c>
      <c r="B1019" s="2" t="s">
        <v>159</v>
      </c>
      <c r="C1019" s="2" t="s">
        <v>119</v>
      </c>
      <c r="D1019" s="2" t="s">
        <v>2859</v>
      </c>
      <c r="E1019" s="4" t="str">
        <f>HYPERLINK("./Results/DLO\1926\Osteo_Sarco_1.png","RPT")</f>
        <v>RPT</v>
      </c>
      <c r="F1019" s="2" t="s">
        <v>121</v>
      </c>
      <c r="G1019" s="6"/>
      <c r="I1019"/>
      <c r="J1019"/>
      <c r="K1019"/>
    </row>
    <row r="1020" spans="1:11" x14ac:dyDescent="0.3">
      <c r="A1020" s="2" t="s">
        <v>480</v>
      </c>
      <c r="B1020" s="2" t="s">
        <v>123</v>
      </c>
      <c r="C1020" s="2" t="s">
        <v>119</v>
      </c>
      <c r="D1020" s="2" t="s">
        <v>2859</v>
      </c>
      <c r="E1020" s="4" t="str">
        <f>HYPERLINK("./Results/DLO\1927\Osteo_Sarco_1.png","RPT")</f>
        <v>RPT</v>
      </c>
      <c r="F1020" s="2" t="s">
        <v>121</v>
      </c>
      <c r="G1020" s="6"/>
      <c r="H1020" s="1">
        <v>25.39</v>
      </c>
    </row>
    <row r="1021" spans="1:11" x14ac:dyDescent="0.3">
      <c r="A1021" s="2" t="s">
        <v>485</v>
      </c>
      <c r="B1021" s="2" t="s">
        <v>125</v>
      </c>
      <c r="C1021" s="2" t="s">
        <v>111</v>
      </c>
      <c r="D1021" s="2" t="s">
        <v>2859</v>
      </c>
      <c r="E1021" s="4" t="str">
        <f>HYPERLINK("./Results/DLO\1928\Osteo_Sarco_1.png","RPT")</f>
        <v>RPT</v>
      </c>
      <c r="F1021" s="2" t="s">
        <v>121</v>
      </c>
      <c r="G1021" s="6"/>
      <c r="I1021"/>
      <c r="J1021"/>
      <c r="K1021"/>
    </row>
    <row r="1022" spans="1:11" x14ac:dyDescent="0.3">
      <c r="A1022" s="2" t="s">
        <v>493</v>
      </c>
      <c r="B1022" s="2" t="s">
        <v>113</v>
      </c>
      <c r="C1022" s="2" t="s">
        <v>111</v>
      </c>
      <c r="D1022" s="2" t="s">
        <v>2859</v>
      </c>
      <c r="E1022" s="4" t="str">
        <f>HYPERLINK("./Results/DLO\1929\Osteo_Sarco_1.png","RPT")</f>
        <v>RPT</v>
      </c>
      <c r="F1022" s="2" t="s">
        <v>121</v>
      </c>
      <c r="G1022" s="6"/>
      <c r="I1022"/>
      <c r="J1022"/>
      <c r="K1022"/>
    </row>
    <row r="1023" spans="1:11" x14ac:dyDescent="0.3">
      <c r="A1023" s="2" t="s">
        <v>481</v>
      </c>
      <c r="B1023" s="2" t="s">
        <v>133</v>
      </c>
      <c r="C1023" s="2" t="s">
        <v>111</v>
      </c>
      <c r="D1023" s="2" t="s">
        <v>2859</v>
      </c>
      <c r="E1023" s="4" t="str">
        <f>HYPERLINK("./Results/DLO\193\Osteo_Sarco_1.png","RPT")</f>
        <v>RPT</v>
      </c>
      <c r="F1023" s="2" t="s">
        <v>121</v>
      </c>
      <c r="G1023" s="6"/>
      <c r="I1023"/>
      <c r="J1023"/>
      <c r="K1023"/>
    </row>
    <row r="1024" spans="1:11" x14ac:dyDescent="0.3">
      <c r="A1024" s="2" t="s">
        <v>482</v>
      </c>
      <c r="B1024" s="2" t="s">
        <v>149</v>
      </c>
      <c r="C1024" s="2" t="s">
        <v>119</v>
      </c>
      <c r="D1024" s="2" t="s">
        <v>2859</v>
      </c>
      <c r="E1024" s="4" t="str">
        <f>HYPERLINK("./Results/DLO\1930\Osteo_Sarco_1.png","RPT")</f>
        <v>RPT</v>
      </c>
      <c r="F1024" s="2" t="s">
        <v>121</v>
      </c>
      <c r="G1024" s="6"/>
      <c r="I1024"/>
      <c r="J1024"/>
      <c r="K1024"/>
    </row>
    <row r="1025" spans="1:11" x14ac:dyDescent="0.3">
      <c r="A1025" s="2" t="s">
        <v>483</v>
      </c>
      <c r="B1025" s="2" t="s">
        <v>123</v>
      </c>
      <c r="C1025" s="2" t="s">
        <v>111</v>
      </c>
      <c r="D1025" s="2" t="s">
        <v>2859</v>
      </c>
      <c r="E1025" s="4" t="str">
        <f>HYPERLINK("./Results/DLO\1931\Osteo_Sarco_1.png","RPT")</f>
        <v>RPT</v>
      </c>
      <c r="F1025" s="2" t="s">
        <v>121</v>
      </c>
      <c r="G1025" s="6"/>
      <c r="I1025"/>
      <c r="J1025"/>
      <c r="K1025"/>
    </row>
    <row r="1026" spans="1:11" x14ac:dyDescent="0.3">
      <c r="A1026" s="2" t="s">
        <v>484</v>
      </c>
      <c r="B1026" s="2" t="s">
        <v>142</v>
      </c>
      <c r="C1026" s="2" t="s">
        <v>119</v>
      </c>
      <c r="D1026" s="2" t="s">
        <v>2867</v>
      </c>
      <c r="E1026" s="4" t="str">
        <f>HYPERLINK("./Results/DLO\1932\Osteo_Sarco_1.png","RPT")</f>
        <v>RPT</v>
      </c>
      <c r="F1026" s="2" t="s">
        <v>121</v>
      </c>
      <c r="G1026" s="6"/>
      <c r="I1026"/>
      <c r="J1026"/>
      <c r="K1026"/>
    </row>
    <row r="1027" spans="1:11" x14ac:dyDescent="0.3">
      <c r="A1027" s="2" t="s">
        <v>486</v>
      </c>
      <c r="B1027" s="2" t="s">
        <v>159</v>
      </c>
      <c r="C1027" s="2" t="s">
        <v>111</v>
      </c>
      <c r="D1027" s="2" t="s">
        <v>2859</v>
      </c>
      <c r="E1027" s="4" t="str">
        <f>HYPERLINK("./Results/DLO\1933\Osteo_Sarco_1.png","RPT")</f>
        <v>RPT</v>
      </c>
      <c r="F1027" s="2" t="s">
        <v>121</v>
      </c>
      <c r="G1027" s="6"/>
      <c r="H1027" s="1">
        <v>23.83</v>
      </c>
    </row>
    <row r="1028" spans="1:11" x14ac:dyDescent="0.3">
      <c r="A1028" s="2" t="s">
        <v>487</v>
      </c>
      <c r="B1028" s="2" t="s">
        <v>137</v>
      </c>
      <c r="C1028" s="2" t="s">
        <v>119</v>
      </c>
      <c r="D1028" s="2" t="s">
        <v>2867</v>
      </c>
      <c r="E1028" s="4" t="str">
        <f>HYPERLINK("./Results/DLO\1934\Osteo_Sarco_1.png","RPT")</f>
        <v>RPT</v>
      </c>
      <c r="F1028" s="2" t="s">
        <v>121</v>
      </c>
      <c r="G1028" s="6"/>
      <c r="H1028" s="1">
        <v>22.66</v>
      </c>
    </row>
    <row r="1029" spans="1:11" x14ac:dyDescent="0.3">
      <c r="A1029" s="2" t="s">
        <v>489</v>
      </c>
      <c r="B1029" s="2" t="s">
        <v>113</v>
      </c>
      <c r="C1029" s="2" t="s">
        <v>119</v>
      </c>
      <c r="D1029" s="2" t="s">
        <v>2859</v>
      </c>
      <c r="E1029" s="4" t="str">
        <f>HYPERLINK("./Results/DLO\1935\Osteo_Sarco_1.png","RPT")</f>
        <v>RPT</v>
      </c>
      <c r="F1029" s="2" t="s">
        <v>121</v>
      </c>
      <c r="G1029" s="6"/>
      <c r="H1029" s="1">
        <v>18.03</v>
      </c>
    </row>
    <row r="1030" spans="1:11" x14ac:dyDescent="0.3">
      <c r="A1030" s="2" t="s">
        <v>492</v>
      </c>
      <c r="B1030" s="2" t="s">
        <v>120</v>
      </c>
      <c r="C1030" s="2" t="s">
        <v>111</v>
      </c>
      <c r="D1030" s="2" t="s">
        <v>2859</v>
      </c>
      <c r="E1030" s="4" t="str">
        <f>HYPERLINK("./Results/DLO\1936\Osteo_Sarco_1.png","RPT")</f>
        <v>RPT</v>
      </c>
      <c r="F1030" s="2" t="s">
        <v>121</v>
      </c>
      <c r="G1030" s="6"/>
      <c r="H1030" s="1">
        <v>27.28</v>
      </c>
    </row>
    <row r="1031" spans="1:11" x14ac:dyDescent="0.3">
      <c r="A1031" s="2" t="s">
        <v>488</v>
      </c>
      <c r="B1031" s="2" t="s">
        <v>123</v>
      </c>
      <c r="C1031" s="2" t="s">
        <v>111</v>
      </c>
      <c r="D1031" s="2" t="s">
        <v>2859</v>
      </c>
      <c r="E1031" s="4" t="str">
        <f>HYPERLINK("./Results/DLO\1937\Osteo_Sarco_1.png","RPT")</f>
        <v>RPT</v>
      </c>
      <c r="F1031" s="2" t="s">
        <v>121</v>
      </c>
      <c r="G1031" s="6"/>
      <c r="I1031"/>
      <c r="J1031"/>
      <c r="K1031"/>
    </row>
    <row r="1032" spans="1:11" x14ac:dyDescent="0.3">
      <c r="A1032" s="2" t="s">
        <v>496</v>
      </c>
      <c r="B1032" s="2" t="s">
        <v>164</v>
      </c>
      <c r="C1032" s="2" t="s">
        <v>119</v>
      </c>
      <c r="D1032" s="2" t="s">
        <v>2867</v>
      </c>
      <c r="E1032" s="4" t="str">
        <f>HYPERLINK("./Results/DLO\1938\Osteo_Sarco_1.png","RPT")</f>
        <v>RPT</v>
      </c>
      <c r="F1032" s="2" t="s">
        <v>121</v>
      </c>
      <c r="G1032" s="6"/>
      <c r="I1032"/>
      <c r="J1032"/>
      <c r="K1032"/>
    </row>
    <row r="1033" spans="1:11" x14ac:dyDescent="0.3">
      <c r="A1033" s="2" t="s">
        <v>490</v>
      </c>
      <c r="B1033" s="2" t="s">
        <v>118</v>
      </c>
      <c r="C1033" s="2" t="s">
        <v>111</v>
      </c>
      <c r="D1033" s="2" t="s">
        <v>2859</v>
      </c>
      <c r="E1033" s="4" t="str">
        <f>HYPERLINK("./Results/DLO\1939\Osteo_Sarco_1.png","RPT")</f>
        <v>RPT</v>
      </c>
      <c r="F1033" s="2" t="s">
        <v>121</v>
      </c>
      <c r="G1033" s="6"/>
      <c r="I1033"/>
      <c r="J1033"/>
      <c r="K1033"/>
    </row>
    <row r="1034" spans="1:11" x14ac:dyDescent="0.3">
      <c r="A1034" s="2" t="s">
        <v>494</v>
      </c>
      <c r="B1034" s="2" t="s">
        <v>131</v>
      </c>
      <c r="C1034" s="2" t="s">
        <v>111</v>
      </c>
      <c r="D1034" s="2" t="s">
        <v>2867</v>
      </c>
      <c r="E1034" s="4" t="str">
        <f>HYPERLINK("./Results/DLO\194\Osteo_Sarco_1.png","RPT")</f>
        <v>RPT</v>
      </c>
      <c r="F1034" s="2" t="s">
        <v>121</v>
      </c>
      <c r="G1034" s="6"/>
      <c r="I1034"/>
      <c r="J1034"/>
      <c r="K1034"/>
    </row>
    <row r="1035" spans="1:11" x14ac:dyDescent="0.3">
      <c r="A1035" s="2" t="s">
        <v>495</v>
      </c>
      <c r="B1035" s="2" t="s">
        <v>148</v>
      </c>
      <c r="C1035" s="2" t="s">
        <v>111</v>
      </c>
      <c r="D1035" s="2" t="s">
        <v>2859</v>
      </c>
      <c r="E1035" s="4" t="str">
        <f>HYPERLINK("./Results/DLO\1940\Osteo_Sarco_1.png","RPT")</f>
        <v>RPT</v>
      </c>
      <c r="F1035" s="2" t="s">
        <v>121</v>
      </c>
      <c r="G1035" s="6"/>
      <c r="H1035" s="1">
        <v>28.02</v>
      </c>
    </row>
    <row r="1036" spans="1:11" x14ac:dyDescent="0.3">
      <c r="A1036" s="2" t="s">
        <v>479</v>
      </c>
      <c r="B1036" s="2" t="s">
        <v>137</v>
      </c>
      <c r="C1036" s="2" t="s">
        <v>111</v>
      </c>
      <c r="D1036" s="2" t="s">
        <v>2859</v>
      </c>
      <c r="E1036" s="4" t="str">
        <f>HYPERLINK("./Results/DLO\1941\Osteo_Sarco_1.png","RPT")</f>
        <v>RPT</v>
      </c>
      <c r="F1036" s="2" t="s">
        <v>121</v>
      </c>
      <c r="G1036" s="6"/>
      <c r="I1036"/>
      <c r="J1036"/>
      <c r="K1036"/>
    </row>
    <row r="1037" spans="1:11" x14ac:dyDescent="0.3">
      <c r="A1037" s="2" t="s">
        <v>423</v>
      </c>
      <c r="B1037" s="2" t="s">
        <v>131</v>
      </c>
      <c r="C1037" s="2" t="s">
        <v>119</v>
      </c>
      <c r="D1037" s="2" t="s">
        <v>2859</v>
      </c>
      <c r="E1037" s="4" t="str">
        <f>HYPERLINK("./Results/DLO\1942\Osteo_Sarco_1.png","RPT")</f>
        <v>RPT</v>
      </c>
      <c r="F1037" s="2" t="s">
        <v>121</v>
      </c>
      <c r="G1037" s="6"/>
      <c r="I1037"/>
      <c r="J1037"/>
      <c r="K1037"/>
    </row>
    <row r="1038" spans="1:11" x14ac:dyDescent="0.3">
      <c r="A1038" s="2" t="s">
        <v>432</v>
      </c>
      <c r="B1038" s="2" t="s">
        <v>118</v>
      </c>
      <c r="C1038" s="2" t="s">
        <v>111</v>
      </c>
      <c r="D1038" s="2" t="s">
        <v>2859</v>
      </c>
      <c r="E1038" s="4" t="str">
        <f>HYPERLINK("./Results/DLO\1943\Osteo_Sarco_1.png","RPT")</f>
        <v>RPT</v>
      </c>
      <c r="F1038" s="2" t="s">
        <v>121</v>
      </c>
      <c r="G1038" s="6"/>
      <c r="H1038" s="1">
        <v>24.09</v>
      </c>
    </row>
    <row r="1039" spans="1:11" x14ac:dyDescent="0.3">
      <c r="A1039" s="2" t="s">
        <v>430</v>
      </c>
      <c r="B1039" s="2" t="s">
        <v>118</v>
      </c>
      <c r="C1039" s="2" t="s">
        <v>119</v>
      </c>
      <c r="D1039" s="2" t="s">
        <v>2859</v>
      </c>
      <c r="E1039" s="4" t="str">
        <f>HYPERLINK("./Results/DLO\1944\Osteo_Sarco_1.png","RPT")</f>
        <v>RPT</v>
      </c>
      <c r="F1039" s="2" t="s">
        <v>121</v>
      </c>
      <c r="G1039" s="6"/>
      <c r="I1039"/>
      <c r="J1039"/>
      <c r="K1039"/>
    </row>
    <row r="1040" spans="1:11" x14ac:dyDescent="0.3">
      <c r="A1040" s="2" t="s">
        <v>431</v>
      </c>
      <c r="B1040" s="2" t="s">
        <v>170</v>
      </c>
      <c r="C1040" s="2" t="s">
        <v>119</v>
      </c>
      <c r="D1040" s="2" t="s">
        <v>2859</v>
      </c>
      <c r="E1040" s="4" t="str">
        <f>HYPERLINK("./Results/DLO\1945\Osteo_Sarco_1.png","RPT")</f>
        <v>RPT</v>
      </c>
      <c r="F1040" s="2" t="s">
        <v>121</v>
      </c>
      <c r="G1040" s="6"/>
      <c r="I1040"/>
      <c r="J1040"/>
      <c r="K1040"/>
    </row>
    <row r="1041" spans="1:11" x14ac:dyDescent="0.3">
      <c r="A1041" s="2" t="s">
        <v>425</v>
      </c>
      <c r="B1041" s="2" t="s">
        <v>161</v>
      </c>
      <c r="C1041" s="2" t="s">
        <v>111</v>
      </c>
      <c r="D1041" s="2" t="s">
        <v>2859</v>
      </c>
      <c r="E1041" s="4" t="str">
        <f>HYPERLINK("./Results/DLO\1946\Osteo_Sarco_1.png","RPT")</f>
        <v>RPT</v>
      </c>
      <c r="F1041" s="2" t="s">
        <v>121</v>
      </c>
      <c r="G1041" s="6"/>
      <c r="I1041"/>
      <c r="J1041"/>
      <c r="K1041"/>
    </row>
    <row r="1042" spans="1:11" x14ac:dyDescent="0.3">
      <c r="A1042" s="2" t="s">
        <v>424</v>
      </c>
      <c r="B1042" s="2" t="s">
        <v>142</v>
      </c>
      <c r="C1042" s="2" t="s">
        <v>119</v>
      </c>
      <c r="D1042" s="2" t="s">
        <v>1957</v>
      </c>
      <c r="E1042" s="4" t="str">
        <f>HYPERLINK("./Results/DLO\1947\Osteo_Sarco_1.png","RPT")</f>
        <v>RPT</v>
      </c>
      <c r="F1042" s="2" t="s">
        <v>121</v>
      </c>
      <c r="G1042" s="6"/>
      <c r="I1042"/>
      <c r="J1042"/>
      <c r="K1042"/>
    </row>
    <row r="1043" spans="1:11" x14ac:dyDescent="0.3">
      <c r="A1043" s="2" t="s">
        <v>427</v>
      </c>
      <c r="B1043" s="2" t="s">
        <v>133</v>
      </c>
      <c r="C1043" s="2" t="s">
        <v>119</v>
      </c>
      <c r="D1043" s="2" t="s">
        <v>2859</v>
      </c>
      <c r="E1043" s="4" t="str">
        <f>HYPERLINK("./Results/DLO\1948\Osteo_Sarco_1.png","RPT")</f>
        <v>RPT</v>
      </c>
      <c r="F1043" s="2" t="s">
        <v>121</v>
      </c>
      <c r="G1043" s="6"/>
      <c r="I1043"/>
      <c r="J1043"/>
      <c r="K1043"/>
    </row>
    <row r="1044" spans="1:11" x14ac:dyDescent="0.3">
      <c r="A1044" s="2" t="s">
        <v>428</v>
      </c>
      <c r="B1044" s="2" t="s">
        <v>165</v>
      </c>
      <c r="C1044" s="2" t="s">
        <v>111</v>
      </c>
      <c r="D1044" s="2" t="s">
        <v>2859</v>
      </c>
      <c r="E1044" s="4" t="str">
        <f>HYPERLINK("./Results/DLO\1949\Osteo_Sarco_1.png","RPT")</f>
        <v>RPT</v>
      </c>
      <c r="F1044" s="2" t="s">
        <v>121</v>
      </c>
      <c r="G1044" s="6"/>
      <c r="H1044" s="1">
        <v>21.64</v>
      </c>
    </row>
    <row r="1045" spans="1:11" x14ac:dyDescent="0.3">
      <c r="A1045" s="2" t="s">
        <v>433</v>
      </c>
      <c r="B1045" s="2" t="s">
        <v>165</v>
      </c>
      <c r="C1045" s="2" t="s">
        <v>119</v>
      </c>
      <c r="D1045" s="2" t="s">
        <v>2859</v>
      </c>
      <c r="E1045" s="4" t="str">
        <f>HYPERLINK("./Results/DLO\195\Osteo_Sarco_1.png","RPT")</f>
        <v>RPT</v>
      </c>
      <c r="F1045" s="2" t="s">
        <v>121</v>
      </c>
      <c r="G1045" s="6"/>
      <c r="H1045" s="1">
        <v>21.33</v>
      </c>
    </row>
    <row r="1046" spans="1:11" x14ac:dyDescent="0.3">
      <c r="A1046" s="2" t="s">
        <v>429</v>
      </c>
      <c r="B1046" s="2" t="s">
        <v>151</v>
      </c>
      <c r="C1046" s="2" t="s">
        <v>119</v>
      </c>
      <c r="D1046" s="2" t="s">
        <v>2859</v>
      </c>
      <c r="E1046" s="4" t="str">
        <f>HYPERLINK("./Results/DLO\1950\Osteo_Sarco_1.png","RPT")</f>
        <v>RPT</v>
      </c>
      <c r="F1046" s="2" t="s">
        <v>121</v>
      </c>
      <c r="G1046" s="6"/>
      <c r="I1046"/>
      <c r="J1046"/>
      <c r="K1046"/>
    </row>
    <row r="1047" spans="1:11" x14ac:dyDescent="0.3">
      <c r="A1047" s="2" t="s">
        <v>438</v>
      </c>
      <c r="B1047" s="2" t="s">
        <v>148</v>
      </c>
      <c r="C1047" s="2" t="s">
        <v>111</v>
      </c>
      <c r="D1047" s="2" t="s">
        <v>2859</v>
      </c>
      <c r="E1047" s="4" t="str">
        <f>HYPERLINK("./Results/DLO\1951\Osteo_Sarco_1.png","RPT")</f>
        <v>RPT</v>
      </c>
      <c r="F1047" s="2" t="s">
        <v>121</v>
      </c>
      <c r="G1047" s="6"/>
      <c r="I1047"/>
      <c r="J1047"/>
      <c r="K1047"/>
    </row>
    <row r="1048" spans="1:11" x14ac:dyDescent="0.3">
      <c r="A1048" s="2" t="s">
        <v>434</v>
      </c>
      <c r="B1048" s="2" t="s">
        <v>137</v>
      </c>
      <c r="C1048" s="2" t="s">
        <v>119</v>
      </c>
      <c r="D1048" s="2" t="s">
        <v>2859</v>
      </c>
      <c r="E1048" s="4" t="str">
        <f>HYPERLINK("./Results/DLO\1952\Osteo_Sarco_1.png","RPT")</f>
        <v>RPT</v>
      </c>
      <c r="F1048" s="2" t="s">
        <v>121</v>
      </c>
      <c r="G1048" s="6"/>
      <c r="H1048" s="1">
        <v>24.49</v>
      </c>
    </row>
    <row r="1049" spans="1:11" x14ac:dyDescent="0.3">
      <c r="A1049" s="2" t="s">
        <v>436</v>
      </c>
      <c r="B1049" s="2" t="s">
        <v>170</v>
      </c>
      <c r="C1049" s="2" t="s">
        <v>119</v>
      </c>
      <c r="D1049" s="2" t="s">
        <v>2859</v>
      </c>
      <c r="E1049" s="4" t="str">
        <f>HYPERLINK("./Results/DLO\1953\Osteo_Sarco_1.png","RPT")</f>
        <v>RPT</v>
      </c>
      <c r="F1049" s="2" t="s">
        <v>121</v>
      </c>
      <c r="G1049" s="6"/>
      <c r="I1049"/>
      <c r="J1049"/>
      <c r="K1049"/>
    </row>
    <row r="1050" spans="1:11" x14ac:dyDescent="0.3">
      <c r="A1050" s="2" t="s">
        <v>442</v>
      </c>
      <c r="B1050" s="2" t="s">
        <v>139</v>
      </c>
      <c r="C1050" s="2" t="s">
        <v>111</v>
      </c>
      <c r="D1050" s="2" t="s">
        <v>2859</v>
      </c>
      <c r="E1050" s="4" t="str">
        <f>HYPERLINK("./Results/DLO\1954\Osteo_Sarco_1.png","RPT")</f>
        <v>RPT</v>
      </c>
      <c r="F1050" s="2" t="s">
        <v>121</v>
      </c>
      <c r="G1050" s="6"/>
      <c r="I1050"/>
      <c r="J1050"/>
      <c r="K1050"/>
    </row>
    <row r="1051" spans="1:11" x14ac:dyDescent="0.3">
      <c r="A1051" s="2" t="s">
        <v>443</v>
      </c>
      <c r="B1051" s="2" t="s">
        <v>149</v>
      </c>
      <c r="C1051" s="2" t="s">
        <v>111</v>
      </c>
      <c r="D1051" s="2" t="s">
        <v>2859</v>
      </c>
      <c r="E1051" s="4" t="str">
        <f>HYPERLINK("./Results/DLO\1955\Osteo_Sarco_1.png","RPT")</f>
        <v>RPT</v>
      </c>
      <c r="F1051" s="2" t="s">
        <v>121</v>
      </c>
      <c r="G1051" s="6"/>
      <c r="H1051" s="1">
        <v>31</v>
      </c>
    </row>
    <row r="1052" spans="1:11" x14ac:dyDescent="0.3">
      <c r="A1052" s="2" t="s">
        <v>437</v>
      </c>
      <c r="B1052" s="2" t="s">
        <v>150</v>
      </c>
      <c r="C1052" s="2" t="s">
        <v>119</v>
      </c>
      <c r="D1052" s="2" t="s">
        <v>2859</v>
      </c>
      <c r="E1052" s="4" t="str">
        <f>HYPERLINK("./Results/DLO\1956\Osteo_Sarco_1.png","RPT")</f>
        <v>RPT</v>
      </c>
      <c r="F1052" s="2" t="s">
        <v>121</v>
      </c>
      <c r="G1052" s="6"/>
      <c r="H1052" s="1">
        <v>28.47</v>
      </c>
    </row>
    <row r="1053" spans="1:11" x14ac:dyDescent="0.3">
      <c r="A1053" s="2" t="s">
        <v>435</v>
      </c>
      <c r="B1053" s="2" t="s">
        <v>158</v>
      </c>
      <c r="C1053" s="2" t="s">
        <v>111</v>
      </c>
      <c r="D1053" s="2" t="s">
        <v>2859</v>
      </c>
      <c r="E1053" s="4" t="str">
        <f>HYPERLINK("./Results/DLO\1957\Osteo_Sarco_1.png","RPT")</f>
        <v>RPT</v>
      </c>
      <c r="F1053" s="2" t="s">
        <v>121</v>
      </c>
      <c r="G1053" s="6"/>
      <c r="I1053"/>
      <c r="J1053"/>
      <c r="K1053"/>
    </row>
    <row r="1054" spans="1:11" x14ac:dyDescent="0.3">
      <c r="A1054" s="2" t="s">
        <v>439</v>
      </c>
      <c r="B1054" s="2" t="s">
        <v>118</v>
      </c>
      <c r="C1054" s="2" t="s">
        <v>111</v>
      </c>
      <c r="D1054" s="2" t="s">
        <v>2867</v>
      </c>
      <c r="E1054" s="4" t="str">
        <f>HYPERLINK("./Results/DLO\1958\Osteo_Sarco_1.png","RPT")</f>
        <v>RPT</v>
      </c>
      <c r="F1054" s="2" t="s">
        <v>121</v>
      </c>
      <c r="G1054" s="6"/>
      <c r="I1054"/>
      <c r="J1054"/>
      <c r="K1054"/>
    </row>
    <row r="1055" spans="1:11" x14ac:dyDescent="0.3">
      <c r="A1055" s="2" t="s">
        <v>440</v>
      </c>
      <c r="B1055" s="2" t="s">
        <v>164</v>
      </c>
      <c r="C1055" s="2" t="s">
        <v>111</v>
      </c>
      <c r="D1055" s="2" t="s">
        <v>2859</v>
      </c>
      <c r="E1055" s="4" t="str">
        <f>HYPERLINK("./Results/DLO\1959\Osteo_Sarco_1.png","RPT")</f>
        <v>RPT</v>
      </c>
      <c r="F1055" s="2" t="s">
        <v>121</v>
      </c>
      <c r="G1055" s="6"/>
      <c r="I1055"/>
      <c r="J1055"/>
      <c r="K1055"/>
    </row>
    <row r="1056" spans="1:11" x14ac:dyDescent="0.3">
      <c r="A1056" s="2" t="s">
        <v>441</v>
      </c>
      <c r="B1056" s="2" t="s">
        <v>148</v>
      </c>
      <c r="C1056" s="2" t="s">
        <v>119</v>
      </c>
      <c r="D1056" s="2" t="s">
        <v>2859</v>
      </c>
      <c r="E1056" s="4" t="str">
        <f>HYPERLINK("./Results/DLO\196\Osteo_Sarco_1.png","RPT")</f>
        <v>RPT</v>
      </c>
      <c r="F1056" s="2" t="s">
        <v>121</v>
      </c>
      <c r="G1056" s="6"/>
      <c r="I1056"/>
      <c r="J1056"/>
      <c r="K1056"/>
    </row>
    <row r="1057" spans="1:11" x14ac:dyDescent="0.3">
      <c r="A1057" s="2" t="s">
        <v>13</v>
      </c>
      <c r="B1057" s="2" t="s">
        <v>141</v>
      </c>
      <c r="C1057" s="2" t="s">
        <v>111</v>
      </c>
      <c r="D1057" s="2" t="s">
        <v>2867</v>
      </c>
      <c r="E1057" s="4" t="str">
        <f>HYPERLINK("./Results/DLO\1960\Osteo_Sarco_1.png","RPT")</f>
        <v>RPT</v>
      </c>
      <c r="F1057" s="2" t="s">
        <v>121</v>
      </c>
      <c r="G1057" s="6"/>
      <c r="I1057"/>
      <c r="J1057"/>
      <c r="K1057"/>
    </row>
    <row r="1058" spans="1:11" x14ac:dyDescent="0.3">
      <c r="A1058" s="2" t="s">
        <v>17</v>
      </c>
      <c r="B1058" s="2" t="s">
        <v>140</v>
      </c>
      <c r="C1058" s="2" t="s">
        <v>111</v>
      </c>
      <c r="D1058" s="2" t="s">
        <v>2859</v>
      </c>
      <c r="E1058" s="4" t="str">
        <f>HYPERLINK("./Results/DLO\1961\Osteo_Sarco_1.png","RPT")</f>
        <v>RPT</v>
      </c>
      <c r="F1058" s="2" t="s">
        <v>121</v>
      </c>
      <c r="G1058" s="6"/>
      <c r="I1058"/>
      <c r="J1058"/>
      <c r="K1058"/>
    </row>
    <row r="1059" spans="1:11" x14ac:dyDescent="0.3">
      <c r="A1059" s="2" t="s">
        <v>16</v>
      </c>
      <c r="B1059" s="2" t="s">
        <v>163</v>
      </c>
      <c r="C1059" s="2" t="s">
        <v>111</v>
      </c>
      <c r="D1059" s="2" t="s">
        <v>2859</v>
      </c>
      <c r="E1059" s="4" t="str">
        <f>HYPERLINK("./Results/DLO\1962\Osteo_Sarco_1.png","RPT")</f>
        <v>RPT</v>
      </c>
      <c r="F1059" s="2" t="s">
        <v>121</v>
      </c>
      <c r="G1059" s="6"/>
      <c r="I1059"/>
      <c r="J1059"/>
      <c r="K1059"/>
    </row>
    <row r="1060" spans="1:11" x14ac:dyDescent="0.3">
      <c r="A1060" s="2" t="s">
        <v>9</v>
      </c>
      <c r="B1060" s="2" t="s">
        <v>151</v>
      </c>
      <c r="C1060" s="2" t="s">
        <v>119</v>
      </c>
      <c r="D1060" s="2" t="s">
        <v>2859</v>
      </c>
      <c r="E1060" s="4" t="str">
        <f>HYPERLINK("./Results/DLO\1963\Osteo_Sarco_1.png","RPT")</f>
        <v>RPT</v>
      </c>
      <c r="F1060" s="2" t="s">
        <v>121</v>
      </c>
      <c r="G1060" s="6"/>
      <c r="H1060" s="1">
        <v>19.600000000000001</v>
      </c>
    </row>
    <row r="1061" spans="1:11" x14ac:dyDescent="0.3">
      <c r="A1061" s="2" t="s">
        <v>10</v>
      </c>
      <c r="B1061" s="2" t="s">
        <v>123</v>
      </c>
      <c r="C1061" s="2" t="s">
        <v>111</v>
      </c>
      <c r="D1061" s="2" t="s">
        <v>2859</v>
      </c>
      <c r="E1061" s="4" t="str">
        <f>HYPERLINK("./Results/DLO\1964\Osteo_Sarco_1.png","RPT")</f>
        <v>RPT</v>
      </c>
      <c r="F1061" s="2" t="s">
        <v>121</v>
      </c>
      <c r="G1061" s="6"/>
      <c r="I1061"/>
      <c r="J1061"/>
      <c r="K1061"/>
    </row>
    <row r="1062" spans="1:11" x14ac:dyDescent="0.3">
      <c r="A1062" s="2" t="s">
        <v>14</v>
      </c>
      <c r="B1062" s="2" t="s">
        <v>159</v>
      </c>
      <c r="C1062" s="2" t="s">
        <v>119</v>
      </c>
      <c r="D1062" s="2" t="s">
        <v>2867</v>
      </c>
      <c r="E1062" s="4" t="str">
        <f>HYPERLINK("./Results/DLO\1965\Osteo_Sarco_1.png","RPT")</f>
        <v>RPT</v>
      </c>
      <c r="F1062" s="2" t="s">
        <v>121</v>
      </c>
      <c r="G1062" s="6"/>
      <c r="I1062"/>
      <c r="J1062"/>
      <c r="K1062"/>
    </row>
    <row r="1063" spans="1:11" x14ac:dyDescent="0.3">
      <c r="A1063" s="2" t="s">
        <v>15</v>
      </c>
      <c r="B1063" s="2" t="s">
        <v>120</v>
      </c>
      <c r="C1063" s="2" t="s">
        <v>111</v>
      </c>
      <c r="D1063" s="2" t="s">
        <v>2867</v>
      </c>
      <c r="E1063" s="4" t="str">
        <f>HYPERLINK("./Results/DLO\1966\Osteo_Sarco_1.png","RPT")</f>
        <v>RPT</v>
      </c>
      <c r="F1063" s="2" t="s">
        <v>121</v>
      </c>
      <c r="G1063" s="6"/>
      <c r="I1063"/>
      <c r="J1063"/>
      <c r="K1063"/>
    </row>
    <row r="1064" spans="1:11" x14ac:dyDescent="0.3">
      <c r="A1064" s="2" t="s">
        <v>12</v>
      </c>
      <c r="B1064" s="2" t="s">
        <v>116</v>
      </c>
      <c r="C1064" s="2" t="s">
        <v>119</v>
      </c>
      <c r="D1064" s="2" t="s">
        <v>2859</v>
      </c>
      <c r="E1064" s="4" t="str">
        <f>HYPERLINK("./Results/DLO\1967\Osteo_Sarco_1.png","RPT")</f>
        <v>RPT</v>
      </c>
      <c r="F1064" s="2" t="s">
        <v>121</v>
      </c>
      <c r="G1064" s="6"/>
      <c r="H1064" s="1">
        <v>20.83</v>
      </c>
    </row>
    <row r="1065" spans="1:11" x14ac:dyDescent="0.3">
      <c r="A1065" s="2" t="s">
        <v>7</v>
      </c>
      <c r="B1065" s="2" t="s">
        <v>131</v>
      </c>
      <c r="C1065" s="2" t="s">
        <v>119</v>
      </c>
      <c r="D1065" s="2" t="s">
        <v>2859</v>
      </c>
      <c r="E1065" s="4" t="str">
        <f>HYPERLINK("./Results/DLO\1968\Osteo_Sarco_1.png","RPT")</f>
        <v>RPT</v>
      </c>
      <c r="F1065" s="2" t="s">
        <v>121</v>
      </c>
      <c r="G1065" s="6"/>
      <c r="I1065"/>
      <c r="J1065"/>
      <c r="K1065"/>
    </row>
    <row r="1066" spans="1:11" x14ac:dyDescent="0.3">
      <c r="A1066" s="2" t="s">
        <v>8</v>
      </c>
      <c r="B1066" s="2" t="s">
        <v>147</v>
      </c>
      <c r="C1066" s="2" t="s">
        <v>119</v>
      </c>
      <c r="D1066" s="2" t="s">
        <v>2859</v>
      </c>
      <c r="E1066" s="4" t="str">
        <f>HYPERLINK("./Results/DLO\1969\Osteo_Sarco_1.png","RPT")</f>
        <v>RPT</v>
      </c>
      <c r="F1066" s="2" t="s">
        <v>121</v>
      </c>
      <c r="G1066" s="6"/>
      <c r="I1066"/>
      <c r="J1066"/>
      <c r="K1066"/>
    </row>
    <row r="1067" spans="1:11" x14ac:dyDescent="0.3">
      <c r="A1067" s="2" t="s">
        <v>18</v>
      </c>
      <c r="B1067" s="2" t="s">
        <v>146</v>
      </c>
      <c r="C1067" s="2" t="s">
        <v>111</v>
      </c>
      <c r="D1067" s="2" t="s">
        <v>2859</v>
      </c>
      <c r="E1067" s="4" t="str">
        <f>HYPERLINK("./Results/DLO\197\Osteo_Sarco_1.png","RPT")</f>
        <v>RPT</v>
      </c>
      <c r="F1067" s="2" t="s">
        <v>121</v>
      </c>
      <c r="G1067" s="6"/>
      <c r="I1067"/>
      <c r="J1067"/>
      <c r="K1067"/>
    </row>
    <row r="1068" spans="1:11" x14ac:dyDescent="0.3">
      <c r="A1068" s="2" t="s">
        <v>504</v>
      </c>
      <c r="B1068" s="2" t="s">
        <v>163</v>
      </c>
      <c r="C1068" s="2" t="s">
        <v>111</v>
      </c>
      <c r="D1068" s="2" t="s">
        <v>2867</v>
      </c>
      <c r="E1068" s="4" t="str">
        <f>HYPERLINK("./Results/DLO\1970\Osteo_Sarco_1.png","RPT")</f>
        <v>RPT</v>
      </c>
      <c r="F1068" s="2" t="s">
        <v>121</v>
      </c>
      <c r="G1068" s="6"/>
      <c r="I1068"/>
      <c r="J1068"/>
      <c r="K1068"/>
    </row>
    <row r="1069" spans="1:11" x14ac:dyDescent="0.3">
      <c r="A1069" s="2" t="s">
        <v>426</v>
      </c>
      <c r="B1069" s="2" t="s">
        <v>138</v>
      </c>
      <c r="C1069" s="2" t="s">
        <v>111</v>
      </c>
      <c r="D1069" s="2" t="s">
        <v>2859</v>
      </c>
      <c r="E1069" s="4" t="str">
        <f>HYPERLINK("./Results/DLO\1971\Osteo_Sarco_1.png","RPT")</f>
        <v>RPT</v>
      </c>
      <c r="F1069" s="2" t="s">
        <v>121</v>
      </c>
      <c r="G1069" s="6"/>
      <c r="I1069"/>
      <c r="J1069"/>
      <c r="K1069"/>
    </row>
    <row r="1070" spans="1:11" x14ac:dyDescent="0.3">
      <c r="A1070" s="2" t="s">
        <v>518</v>
      </c>
      <c r="B1070" s="2" t="s">
        <v>159</v>
      </c>
      <c r="C1070" s="2" t="s">
        <v>111</v>
      </c>
      <c r="D1070" s="2" t="s">
        <v>2867</v>
      </c>
      <c r="E1070" s="4" t="str">
        <f>HYPERLINK("./Results/DLO\1972\Osteo_Sarco_1.png","RPT")</f>
        <v>RPT</v>
      </c>
      <c r="F1070" s="2" t="s">
        <v>121</v>
      </c>
      <c r="G1070" s="6"/>
      <c r="H1070" s="1">
        <v>31.52</v>
      </c>
    </row>
    <row r="1071" spans="1:11" x14ac:dyDescent="0.3">
      <c r="A1071" s="2" t="s">
        <v>671</v>
      </c>
      <c r="B1071" s="2" t="s">
        <v>139</v>
      </c>
      <c r="C1071" s="2" t="s">
        <v>111</v>
      </c>
      <c r="D1071" s="2" t="s">
        <v>2859</v>
      </c>
      <c r="E1071" s="4" t="str">
        <f>HYPERLINK("./Results/DLO\1973\Osteo_Sarco_1.png","RPT")</f>
        <v>RPT</v>
      </c>
      <c r="F1071" s="2" t="s">
        <v>121</v>
      </c>
      <c r="G1071" s="6"/>
      <c r="I1071"/>
      <c r="J1071"/>
      <c r="K1071"/>
    </row>
    <row r="1072" spans="1:11" x14ac:dyDescent="0.3">
      <c r="A1072" s="2" t="s">
        <v>676</v>
      </c>
      <c r="B1072" s="2" t="s">
        <v>116</v>
      </c>
      <c r="C1072" s="2" t="s">
        <v>111</v>
      </c>
      <c r="D1072" s="2" t="s">
        <v>2867</v>
      </c>
      <c r="E1072" s="4" t="str">
        <f>HYPERLINK("./Results/DLO\1974\Osteo_Sarco_1.png","RPT")</f>
        <v>RPT</v>
      </c>
      <c r="F1072" s="2" t="s">
        <v>121</v>
      </c>
      <c r="G1072" s="6"/>
      <c r="I1072"/>
      <c r="J1072"/>
      <c r="K1072"/>
    </row>
    <row r="1073" spans="1:11" x14ac:dyDescent="0.3">
      <c r="A1073" s="2" t="s">
        <v>678</v>
      </c>
      <c r="B1073" s="2" t="s">
        <v>167</v>
      </c>
      <c r="C1073" s="2" t="s">
        <v>111</v>
      </c>
      <c r="D1073" s="2" t="s">
        <v>2859</v>
      </c>
      <c r="E1073" s="4" t="str">
        <f>HYPERLINK("./Results/DLO\1975\Osteo_Sarco_1.png","RPT")</f>
        <v>RPT</v>
      </c>
      <c r="F1073" s="2" t="s">
        <v>121</v>
      </c>
      <c r="G1073" s="6"/>
      <c r="H1073" s="1">
        <v>27.61</v>
      </c>
    </row>
    <row r="1074" spans="1:11" x14ac:dyDescent="0.3">
      <c r="A1074" s="2" t="s">
        <v>672</v>
      </c>
      <c r="B1074" s="2" t="s">
        <v>129</v>
      </c>
      <c r="C1074" s="2" t="s">
        <v>119</v>
      </c>
      <c r="D1074" s="2" t="s">
        <v>1935</v>
      </c>
      <c r="E1074" s="4" t="str">
        <f>HYPERLINK("./Results/DLO\1976\Osteo_Sarco_1.png","RPT")</f>
        <v>RPT</v>
      </c>
      <c r="F1074" s="2" t="s">
        <v>121</v>
      </c>
      <c r="G1074" s="6"/>
      <c r="H1074" s="1">
        <v>20.309999999999999</v>
      </c>
    </row>
    <row r="1075" spans="1:11" x14ac:dyDescent="0.3">
      <c r="A1075" s="2" t="s">
        <v>673</v>
      </c>
      <c r="B1075" s="2" t="s">
        <v>587</v>
      </c>
      <c r="C1075" s="2" t="s">
        <v>111</v>
      </c>
      <c r="D1075" s="2" t="s">
        <v>2859</v>
      </c>
      <c r="E1075" s="4" t="str">
        <f>HYPERLINK("./Results/DLO\1977\Osteo_Sarco_1.png","RPT")</f>
        <v>RPT</v>
      </c>
      <c r="F1075" s="2" t="s">
        <v>121</v>
      </c>
      <c r="G1075" s="6"/>
      <c r="I1075"/>
      <c r="J1075"/>
      <c r="K1075"/>
    </row>
    <row r="1076" spans="1:11" x14ac:dyDescent="0.3">
      <c r="A1076" s="2" t="s">
        <v>679</v>
      </c>
      <c r="B1076" s="2" t="s">
        <v>113</v>
      </c>
      <c r="C1076" s="2" t="s">
        <v>119</v>
      </c>
      <c r="D1076" s="2" t="s">
        <v>2859</v>
      </c>
      <c r="E1076" s="4" t="str">
        <f>HYPERLINK("./Results/DLO\1978\Osteo_Sarco_1.png","RPT")</f>
        <v>RPT</v>
      </c>
      <c r="F1076" s="2" t="s">
        <v>121</v>
      </c>
      <c r="G1076" s="6"/>
      <c r="H1076" s="1">
        <v>25.09</v>
      </c>
    </row>
    <row r="1077" spans="1:11" x14ac:dyDescent="0.3">
      <c r="A1077" s="2" t="s">
        <v>677</v>
      </c>
      <c r="B1077" s="2" t="s">
        <v>166</v>
      </c>
      <c r="C1077" s="2" t="s">
        <v>119</v>
      </c>
      <c r="D1077" s="2" t="s">
        <v>2859</v>
      </c>
      <c r="E1077" s="4" t="str">
        <f>HYPERLINK("./Results/DLO\1979\Osteo_Sarco_1.png","RPT")</f>
        <v>RPT</v>
      </c>
      <c r="F1077" s="2" t="s">
        <v>121</v>
      </c>
      <c r="G1077" s="6"/>
      <c r="I1077"/>
      <c r="J1077"/>
      <c r="K1077"/>
    </row>
    <row r="1078" spans="1:11" x14ac:dyDescent="0.3">
      <c r="A1078" s="2" t="s">
        <v>668</v>
      </c>
      <c r="B1078" s="2" t="s">
        <v>142</v>
      </c>
      <c r="C1078" s="2" t="s">
        <v>119</v>
      </c>
      <c r="D1078" s="2" t="s">
        <v>2867</v>
      </c>
      <c r="E1078" s="4" t="str">
        <f>HYPERLINK("./Results/DLO\198\Osteo_Sarco_1.png","RPT")</f>
        <v>RPT</v>
      </c>
      <c r="F1078" s="2" t="s">
        <v>121</v>
      </c>
      <c r="G1078" s="6"/>
      <c r="H1078" s="1">
        <v>19.22</v>
      </c>
    </row>
    <row r="1079" spans="1:11" x14ac:dyDescent="0.3">
      <c r="A1079" s="2" t="s">
        <v>688</v>
      </c>
      <c r="B1079" s="2" t="s">
        <v>116</v>
      </c>
      <c r="C1079" s="2" t="s">
        <v>119</v>
      </c>
      <c r="D1079" s="2" t="s">
        <v>2859</v>
      </c>
      <c r="E1079" s="4" t="str">
        <f>HYPERLINK("./Results/DLO\1980\Osteo_Sarco_1.png","RPT")</f>
        <v>RPT</v>
      </c>
      <c r="F1079" s="2" t="s">
        <v>121</v>
      </c>
      <c r="G1079" s="6"/>
      <c r="I1079"/>
      <c r="J1079"/>
      <c r="K1079"/>
    </row>
    <row r="1080" spans="1:11" x14ac:dyDescent="0.3">
      <c r="A1080" s="2" t="s">
        <v>674</v>
      </c>
      <c r="B1080" s="2" t="s">
        <v>132</v>
      </c>
      <c r="C1080" s="2" t="s">
        <v>119</v>
      </c>
      <c r="D1080" s="2" t="s">
        <v>2859</v>
      </c>
      <c r="E1080" s="4" t="str">
        <f>HYPERLINK("./Results/DLO\1981\Osteo_Sarco_1.png","RPT")</f>
        <v>RPT</v>
      </c>
      <c r="F1080" s="2" t="s">
        <v>121</v>
      </c>
      <c r="G1080" s="6"/>
      <c r="I1080"/>
      <c r="J1080"/>
      <c r="K1080"/>
    </row>
    <row r="1081" spans="1:11" x14ac:dyDescent="0.3">
      <c r="A1081" s="2" t="s">
        <v>685</v>
      </c>
      <c r="B1081" s="2" t="s">
        <v>129</v>
      </c>
      <c r="C1081" s="2" t="s">
        <v>111</v>
      </c>
      <c r="D1081" s="2" t="s">
        <v>2859</v>
      </c>
      <c r="E1081" s="4" t="str">
        <f>HYPERLINK("./Results/DLO\1982\Osteo_Sarco_1.png","RPT")</f>
        <v>RPT</v>
      </c>
      <c r="F1081" s="2" t="s">
        <v>121</v>
      </c>
      <c r="G1081" s="6"/>
      <c r="I1081"/>
      <c r="J1081"/>
      <c r="K1081"/>
    </row>
    <row r="1082" spans="1:11" x14ac:dyDescent="0.3">
      <c r="A1082" s="2" t="s">
        <v>669</v>
      </c>
      <c r="B1082" s="2" t="s">
        <v>133</v>
      </c>
      <c r="C1082" s="2" t="s">
        <v>119</v>
      </c>
      <c r="D1082" s="2" t="s">
        <v>2859</v>
      </c>
      <c r="E1082" s="4" t="str">
        <f>HYPERLINK("./Results/DLO\1983\Osteo_Sarco_1.png","RPT")</f>
        <v>RPT</v>
      </c>
      <c r="F1082" s="2" t="s">
        <v>121</v>
      </c>
      <c r="G1082" s="6"/>
      <c r="H1082" s="1">
        <v>26.4</v>
      </c>
    </row>
    <row r="1083" spans="1:11" x14ac:dyDescent="0.3">
      <c r="A1083" s="2" t="s">
        <v>675</v>
      </c>
      <c r="B1083" s="2" t="s">
        <v>120</v>
      </c>
      <c r="C1083" s="2" t="s">
        <v>111</v>
      </c>
      <c r="D1083" s="2" t="s">
        <v>2859</v>
      </c>
      <c r="E1083" s="4" t="str">
        <f>HYPERLINK("./Results/DLO\1984\Osteo_Sarco_1.png","RPT")</f>
        <v>RPT</v>
      </c>
      <c r="F1083" s="2" t="s">
        <v>121</v>
      </c>
      <c r="G1083" s="6"/>
      <c r="I1083"/>
      <c r="J1083"/>
      <c r="K1083"/>
    </row>
    <row r="1084" spans="1:11" x14ac:dyDescent="0.3">
      <c r="A1084" s="2" t="s">
        <v>670</v>
      </c>
      <c r="B1084" s="2" t="s">
        <v>147</v>
      </c>
      <c r="C1084" s="2" t="s">
        <v>111</v>
      </c>
      <c r="D1084" s="2" t="s">
        <v>2859</v>
      </c>
      <c r="E1084" s="4" t="str">
        <f>HYPERLINK("./Results/DLO\1985\Osteo_Sarco_1.png","RPT")</f>
        <v>RPT</v>
      </c>
      <c r="F1084" s="2" t="s">
        <v>121</v>
      </c>
      <c r="G1084" s="6"/>
      <c r="H1084" s="1">
        <v>26.23</v>
      </c>
    </row>
    <row r="1085" spans="1:11" x14ac:dyDescent="0.3">
      <c r="A1085" s="2" t="s">
        <v>681</v>
      </c>
      <c r="B1085" s="2" t="s">
        <v>122</v>
      </c>
      <c r="C1085" s="2" t="s">
        <v>119</v>
      </c>
      <c r="D1085" s="2" t="s">
        <v>2859</v>
      </c>
      <c r="E1085" s="4" t="str">
        <f>HYPERLINK("./Results/DLO\1986\Osteo_Sarco_1.png","RPT")</f>
        <v>RPT</v>
      </c>
      <c r="F1085" s="2" t="s">
        <v>121</v>
      </c>
      <c r="G1085" s="6"/>
      <c r="H1085" s="1">
        <v>19.53</v>
      </c>
    </row>
    <row r="1086" spans="1:11" x14ac:dyDescent="0.3">
      <c r="A1086" s="2" t="s">
        <v>682</v>
      </c>
      <c r="B1086" s="2" t="s">
        <v>123</v>
      </c>
      <c r="C1086" s="2" t="s">
        <v>119</v>
      </c>
      <c r="D1086" s="2" t="s">
        <v>2859</v>
      </c>
      <c r="E1086" s="4" t="str">
        <f>HYPERLINK("./Results/DLO\1987\Osteo_Sarco_1.png","RPT")</f>
        <v>RPT</v>
      </c>
      <c r="F1086" s="2" t="s">
        <v>121</v>
      </c>
      <c r="G1086" s="6"/>
      <c r="I1086"/>
      <c r="J1086"/>
      <c r="K1086"/>
    </row>
    <row r="1087" spans="1:11" x14ac:dyDescent="0.3">
      <c r="A1087" s="2" t="s">
        <v>686</v>
      </c>
      <c r="B1087" s="2" t="s">
        <v>131</v>
      </c>
      <c r="C1087" s="2" t="s">
        <v>119</v>
      </c>
      <c r="D1087" s="2" t="s">
        <v>2867</v>
      </c>
      <c r="E1087" s="4" t="str">
        <f>HYPERLINK("./Results/DLO\1988\Osteo_Sarco_1.png","RPT")</f>
        <v>RPT</v>
      </c>
      <c r="F1087" s="2" t="s">
        <v>121</v>
      </c>
      <c r="G1087" s="6"/>
      <c r="I1087"/>
      <c r="J1087"/>
      <c r="K1087"/>
    </row>
    <row r="1088" spans="1:11" x14ac:dyDescent="0.3">
      <c r="A1088" s="2" t="s">
        <v>687</v>
      </c>
      <c r="B1088" s="2" t="s">
        <v>133</v>
      </c>
      <c r="C1088" s="2" t="s">
        <v>119</v>
      </c>
      <c r="D1088" s="2" t="s">
        <v>2859</v>
      </c>
      <c r="E1088" s="4" t="str">
        <f>HYPERLINK("./Results/DLO\1989\Osteo_Sarco_1.png","RPT")</f>
        <v>RPT</v>
      </c>
      <c r="F1088" s="2" t="s">
        <v>121</v>
      </c>
      <c r="G1088" s="6"/>
      <c r="I1088"/>
      <c r="J1088"/>
      <c r="K1088"/>
    </row>
    <row r="1089" spans="1:11" x14ac:dyDescent="0.3">
      <c r="A1089" s="2" t="s">
        <v>683</v>
      </c>
      <c r="B1089" s="2" t="s">
        <v>137</v>
      </c>
      <c r="C1089" s="2" t="s">
        <v>111</v>
      </c>
      <c r="D1089" s="2" t="s">
        <v>2859</v>
      </c>
      <c r="E1089" s="4" t="str">
        <f>HYPERLINK("./Results/DLO\199\Osteo_Sarco_1.png","RPT")</f>
        <v>RPT</v>
      </c>
      <c r="F1089" s="2" t="s">
        <v>121</v>
      </c>
      <c r="G1089" s="6"/>
      <c r="I1089"/>
      <c r="J1089"/>
      <c r="K1089"/>
    </row>
    <row r="1090" spans="1:11" x14ac:dyDescent="0.3">
      <c r="A1090" s="2" t="s">
        <v>684</v>
      </c>
      <c r="B1090" s="2" t="s">
        <v>131</v>
      </c>
      <c r="C1090" s="2" t="s">
        <v>111</v>
      </c>
      <c r="D1090" s="2" t="s">
        <v>2859</v>
      </c>
      <c r="E1090" s="4" t="str">
        <f>HYPERLINK("./Results/DLO\1990\Osteo_Sarco_1.png","RPT")</f>
        <v>RPT</v>
      </c>
      <c r="F1090" s="2" t="s">
        <v>121</v>
      </c>
      <c r="G1090" s="6"/>
      <c r="H1090" s="1">
        <v>23.31</v>
      </c>
    </row>
    <row r="1091" spans="1:11" x14ac:dyDescent="0.3">
      <c r="A1091" s="2" t="s">
        <v>680</v>
      </c>
      <c r="B1091" s="2" t="s">
        <v>133</v>
      </c>
      <c r="C1091" s="2" t="s">
        <v>119</v>
      </c>
      <c r="D1091" s="2" t="s">
        <v>2867</v>
      </c>
      <c r="E1091" s="4" t="str">
        <f>HYPERLINK("./Results/DLO\1991\Osteo_Sarco_1.png","RPT")</f>
        <v>RPT</v>
      </c>
      <c r="F1091" s="2" t="s">
        <v>121</v>
      </c>
      <c r="G1091" s="6"/>
      <c r="I1091"/>
      <c r="J1091"/>
      <c r="K1091"/>
    </row>
    <row r="1092" spans="1:11" x14ac:dyDescent="0.3">
      <c r="A1092" s="2" t="s">
        <v>690</v>
      </c>
      <c r="B1092" s="2" t="s">
        <v>165</v>
      </c>
      <c r="C1092" s="2" t="s">
        <v>111</v>
      </c>
      <c r="D1092" s="2" t="s">
        <v>2859</v>
      </c>
      <c r="E1092" s="4" t="str">
        <f>HYPERLINK("./Results/DLO\1992\Osteo_Sarco_1.png","RPT")</f>
        <v>RPT</v>
      </c>
      <c r="F1092" s="2" t="s">
        <v>121</v>
      </c>
      <c r="G1092" s="6"/>
      <c r="I1092"/>
      <c r="J1092"/>
      <c r="K1092"/>
    </row>
    <row r="1093" spans="1:11" x14ac:dyDescent="0.3">
      <c r="A1093" s="2" t="s">
        <v>691</v>
      </c>
      <c r="B1093" s="2" t="s">
        <v>584</v>
      </c>
      <c r="C1093" s="2" t="s">
        <v>111</v>
      </c>
      <c r="D1093" s="2" t="s">
        <v>2859</v>
      </c>
      <c r="E1093" s="4" t="str">
        <f>HYPERLINK("./Results/DLO\1993\Osteo_Sarco_1.png","RPT")</f>
        <v>RPT</v>
      </c>
      <c r="F1093" s="2" t="s">
        <v>121</v>
      </c>
      <c r="G1093" s="6"/>
      <c r="I1093"/>
      <c r="J1093"/>
      <c r="K1093"/>
    </row>
    <row r="1094" spans="1:11" x14ac:dyDescent="0.3">
      <c r="A1094" s="2" t="s">
        <v>698</v>
      </c>
      <c r="B1094" s="2" t="s">
        <v>148</v>
      </c>
      <c r="C1094" s="2" t="s">
        <v>111</v>
      </c>
      <c r="D1094" s="2" t="s">
        <v>2859</v>
      </c>
      <c r="E1094" s="4" t="str">
        <f>HYPERLINK("./Results/DLO\1994\Osteo_Sarco_1.png","RPT")</f>
        <v>RPT</v>
      </c>
      <c r="F1094" s="2" t="s">
        <v>121</v>
      </c>
      <c r="G1094" s="6"/>
      <c r="H1094" s="1">
        <v>24.6</v>
      </c>
    </row>
    <row r="1095" spans="1:11" x14ac:dyDescent="0.3">
      <c r="A1095" s="2" t="s">
        <v>704</v>
      </c>
      <c r="B1095" s="2" t="s">
        <v>146</v>
      </c>
      <c r="C1095" s="2" t="s">
        <v>111</v>
      </c>
      <c r="D1095" s="2" t="s">
        <v>2859</v>
      </c>
      <c r="E1095" s="4" t="str">
        <f>HYPERLINK("./Results/DLO\1995\Osteo_Sarco_1.png","RPT")</f>
        <v>RPT</v>
      </c>
      <c r="F1095" s="2" t="s">
        <v>121</v>
      </c>
      <c r="G1095" s="6"/>
      <c r="I1095"/>
      <c r="J1095"/>
      <c r="K1095"/>
    </row>
    <row r="1096" spans="1:11" x14ac:dyDescent="0.3">
      <c r="A1096" s="2" t="s">
        <v>705</v>
      </c>
      <c r="B1096" s="2" t="s">
        <v>166</v>
      </c>
      <c r="C1096" s="2" t="s">
        <v>119</v>
      </c>
      <c r="D1096" s="2" t="s">
        <v>2859</v>
      </c>
      <c r="E1096" s="4" t="str">
        <f>HYPERLINK("./Results/DLO\1996\Osteo_Sarco_1.png","RPT")</f>
        <v>RPT</v>
      </c>
      <c r="F1096" s="2" t="s">
        <v>121</v>
      </c>
      <c r="G1096" s="6"/>
      <c r="I1096"/>
      <c r="J1096"/>
      <c r="K1096"/>
    </row>
    <row r="1097" spans="1:11" x14ac:dyDescent="0.3">
      <c r="A1097" s="2" t="s">
        <v>711</v>
      </c>
      <c r="B1097" s="2" t="s">
        <v>148</v>
      </c>
      <c r="C1097" s="2" t="s">
        <v>119</v>
      </c>
      <c r="D1097" s="2" t="s">
        <v>2867</v>
      </c>
      <c r="E1097" s="4" t="str">
        <f>HYPERLINK("./Results/DLO\1997\Osteo_Sarco_1.png","RPT")</f>
        <v>RPT</v>
      </c>
      <c r="F1097" s="2" t="s">
        <v>121</v>
      </c>
      <c r="G1097" s="6"/>
      <c r="I1097"/>
      <c r="J1097"/>
      <c r="K1097"/>
    </row>
    <row r="1098" spans="1:11" x14ac:dyDescent="0.3">
      <c r="A1098" s="2" t="s">
        <v>695</v>
      </c>
      <c r="B1098" s="2" t="s">
        <v>122</v>
      </c>
      <c r="C1098" s="2" t="s">
        <v>119</v>
      </c>
      <c r="D1098" s="2" t="s">
        <v>2859</v>
      </c>
      <c r="E1098" s="4" t="str">
        <f>HYPERLINK("./Results/DLO\1998\Osteo_Sarco_1.png","RPT")</f>
        <v>RPT</v>
      </c>
      <c r="F1098" s="2" t="s">
        <v>121</v>
      </c>
      <c r="G1098" s="6"/>
      <c r="I1098"/>
      <c r="J1098"/>
      <c r="K1098"/>
    </row>
    <row r="1099" spans="1:11" x14ac:dyDescent="0.3">
      <c r="A1099" s="2" t="s">
        <v>708</v>
      </c>
      <c r="B1099" s="2" t="s">
        <v>120</v>
      </c>
      <c r="C1099" s="2" t="s">
        <v>119</v>
      </c>
      <c r="D1099" s="2" t="s">
        <v>2859</v>
      </c>
      <c r="E1099" s="4" t="str">
        <f>HYPERLINK("./Results/DLO\1999\Osteo_Sarco_1.png","RPT")</f>
        <v>RPT</v>
      </c>
      <c r="F1099" s="2" t="s">
        <v>121</v>
      </c>
      <c r="G1099" s="6"/>
      <c r="I1099"/>
      <c r="J1099"/>
      <c r="K1099"/>
    </row>
    <row r="1100" spans="1:11" x14ac:dyDescent="0.3">
      <c r="A1100" s="2" t="s">
        <v>710</v>
      </c>
      <c r="B1100" s="2" t="s">
        <v>137</v>
      </c>
      <c r="C1100" s="2" t="s">
        <v>119</v>
      </c>
      <c r="D1100" s="2" t="s">
        <v>2859</v>
      </c>
      <c r="E1100" s="4" t="str">
        <f>HYPERLINK("./Results/DLO\2\Osteo_Sarco_1.png","RPT")</f>
        <v>RPT</v>
      </c>
      <c r="F1100" s="2" t="s">
        <v>121</v>
      </c>
      <c r="G1100" s="6"/>
      <c r="H1100" s="1">
        <v>25.24</v>
      </c>
    </row>
    <row r="1101" spans="1:11" x14ac:dyDescent="0.3">
      <c r="A1101" s="2" t="s">
        <v>696</v>
      </c>
      <c r="B1101" s="2" t="s">
        <v>134</v>
      </c>
      <c r="C1101" s="2" t="s">
        <v>119</v>
      </c>
      <c r="D1101" s="2" t="s">
        <v>2859</v>
      </c>
      <c r="E1101" s="4" t="str">
        <f>HYPERLINK("./Results/DLO\20\Osteo_Sarco_1.png","RPT")</f>
        <v>RPT</v>
      </c>
      <c r="F1101" s="2" t="s">
        <v>121</v>
      </c>
      <c r="G1101" s="6"/>
      <c r="H1101" s="1">
        <v>25.72</v>
      </c>
    </row>
    <row r="1102" spans="1:11" x14ac:dyDescent="0.3">
      <c r="A1102" s="2" t="s">
        <v>701</v>
      </c>
      <c r="B1102" s="2" t="s">
        <v>157</v>
      </c>
      <c r="C1102" s="2" t="s">
        <v>111</v>
      </c>
      <c r="D1102" s="2" t="s">
        <v>2867</v>
      </c>
      <c r="E1102" s="4" t="str">
        <f>HYPERLINK("./Results/DLO\200\Osteo_Sarco_1.png","RPT")</f>
        <v>RPT</v>
      </c>
      <c r="F1102" s="2" t="s">
        <v>121</v>
      </c>
      <c r="G1102" s="6"/>
      <c r="H1102" s="1">
        <v>24.91</v>
      </c>
    </row>
    <row r="1103" spans="1:11" x14ac:dyDescent="0.3">
      <c r="A1103" s="2" t="s">
        <v>694</v>
      </c>
      <c r="B1103" s="2" t="s">
        <v>162</v>
      </c>
      <c r="C1103" s="2" t="s">
        <v>119</v>
      </c>
      <c r="D1103" s="2" t="s">
        <v>2859</v>
      </c>
      <c r="E1103" s="4" t="str">
        <f>HYPERLINK("./Results/DLO\2000\Osteo_Sarco_1.png","RPT")</f>
        <v>RPT</v>
      </c>
      <c r="F1103" s="2" t="s">
        <v>121</v>
      </c>
      <c r="G1103" s="6"/>
      <c r="I1103"/>
      <c r="J1103"/>
      <c r="K1103"/>
    </row>
    <row r="1104" spans="1:11" x14ac:dyDescent="0.3">
      <c r="A1104" s="2" t="s">
        <v>709</v>
      </c>
      <c r="B1104" s="2" t="s">
        <v>123</v>
      </c>
      <c r="C1104" s="2" t="s">
        <v>119</v>
      </c>
      <c r="D1104" s="2" t="s">
        <v>2859</v>
      </c>
      <c r="E1104" s="4" t="str">
        <f>HYPERLINK("./Results/DLO\2001\Osteo_Sarco_1.png","RPT")</f>
        <v>RPT</v>
      </c>
      <c r="F1104" s="2" t="s">
        <v>121</v>
      </c>
      <c r="G1104" s="6"/>
      <c r="I1104"/>
      <c r="J1104"/>
      <c r="K1104"/>
    </row>
    <row r="1105" spans="1:11" x14ac:dyDescent="0.3">
      <c r="A1105" s="2" t="s">
        <v>697</v>
      </c>
      <c r="B1105" s="2" t="s">
        <v>122</v>
      </c>
      <c r="C1105" s="2" t="s">
        <v>119</v>
      </c>
      <c r="D1105" s="2" t="s">
        <v>2867</v>
      </c>
      <c r="E1105" s="4" t="str">
        <f>HYPERLINK("./Results/DLO\2002\Osteo_Sarco_1.png","RPT")</f>
        <v>RPT</v>
      </c>
      <c r="F1105" s="2" t="s">
        <v>121</v>
      </c>
      <c r="G1105" s="6"/>
      <c r="I1105"/>
      <c r="J1105"/>
      <c r="K1105"/>
    </row>
    <row r="1106" spans="1:11" x14ac:dyDescent="0.3">
      <c r="A1106" s="2" t="s">
        <v>699</v>
      </c>
      <c r="B1106" s="2" t="s">
        <v>149</v>
      </c>
      <c r="C1106" s="2" t="s">
        <v>111</v>
      </c>
      <c r="D1106" s="2" t="s">
        <v>2859</v>
      </c>
      <c r="E1106" s="4" t="str">
        <f>HYPERLINK("./Results/DLO\2003\Osteo_Sarco_1.png","RPT")</f>
        <v>RPT</v>
      </c>
      <c r="F1106" s="2" t="s">
        <v>121</v>
      </c>
      <c r="G1106" s="6"/>
      <c r="H1106" s="1">
        <v>19.43</v>
      </c>
    </row>
    <row r="1107" spans="1:11" x14ac:dyDescent="0.3">
      <c r="A1107" s="2" t="s">
        <v>707</v>
      </c>
      <c r="B1107" s="2" t="s">
        <v>129</v>
      </c>
      <c r="C1107" s="2" t="s">
        <v>111</v>
      </c>
      <c r="D1107" s="2" t="s">
        <v>2859</v>
      </c>
      <c r="E1107" s="4" t="str">
        <f>HYPERLINK("./Results/DLO\2004\Osteo_Sarco_1.png","RPT")</f>
        <v>RPT</v>
      </c>
      <c r="F1107" s="2" t="s">
        <v>121</v>
      </c>
      <c r="G1107" s="6"/>
      <c r="I1107"/>
      <c r="J1107"/>
      <c r="K1107"/>
    </row>
    <row r="1108" spans="1:11" x14ac:dyDescent="0.3">
      <c r="A1108" s="2" t="s">
        <v>713</v>
      </c>
      <c r="B1108" s="2" t="s">
        <v>126</v>
      </c>
      <c r="C1108" s="2" t="s">
        <v>111</v>
      </c>
      <c r="D1108" s="2" t="s">
        <v>2859</v>
      </c>
      <c r="E1108" s="4" t="str">
        <f>HYPERLINK("./Results/DLO\2005\Osteo_Sarco_1.png","RPT")</f>
        <v>RPT</v>
      </c>
      <c r="F1108" s="2" t="s">
        <v>121</v>
      </c>
      <c r="G1108" s="6"/>
      <c r="I1108"/>
      <c r="J1108"/>
      <c r="K1108"/>
    </row>
    <row r="1109" spans="1:11" x14ac:dyDescent="0.3">
      <c r="A1109" s="2" t="s">
        <v>712</v>
      </c>
      <c r="B1109" s="2" t="s">
        <v>151</v>
      </c>
      <c r="C1109" s="2" t="s">
        <v>111</v>
      </c>
      <c r="D1109" s="2" t="s">
        <v>2867</v>
      </c>
      <c r="E1109" s="4" t="str">
        <f>HYPERLINK("./Results/DLO\2006\Osteo_Sarco_1.png","RPT")</f>
        <v>RPT</v>
      </c>
      <c r="F1109" s="2" t="s">
        <v>121</v>
      </c>
      <c r="G1109" s="6"/>
      <c r="I1109"/>
      <c r="J1109"/>
      <c r="K1109"/>
    </row>
    <row r="1110" spans="1:11" x14ac:dyDescent="0.3">
      <c r="A1110" s="2" t="s">
        <v>706</v>
      </c>
      <c r="B1110" s="2" t="s">
        <v>151</v>
      </c>
      <c r="C1110" s="2" t="s">
        <v>119</v>
      </c>
      <c r="D1110" s="2" t="s">
        <v>2859</v>
      </c>
      <c r="E1110" s="4" t="str">
        <f>HYPERLINK("./Results/DLO\2007\Osteo_Sarco_1.png","RPT")</f>
        <v>RPT</v>
      </c>
      <c r="F1110" s="2" t="s">
        <v>121</v>
      </c>
      <c r="G1110" s="6"/>
      <c r="I1110"/>
      <c r="J1110"/>
      <c r="K1110"/>
    </row>
    <row r="1111" spans="1:11" x14ac:dyDescent="0.3">
      <c r="A1111" s="2" t="s">
        <v>702</v>
      </c>
      <c r="B1111" s="2" t="s">
        <v>149</v>
      </c>
      <c r="C1111" s="2" t="s">
        <v>111</v>
      </c>
      <c r="D1111" s="2" t="s">
        <v>2859</v>
      </c>
      <c r="E1111" s="4" t="str">
        <f>HYPERLINK("./Results/DLO\2008\Osteo_Sarco_1.png","RPT")</f>
        <v>RPT</v>
      </c>
      <c r="F1111" s="2" t="s">
        <v>121</v>
      </c>
      <c r="G1111" s="6"/>
      <c r="I1111"/>
      <c r="J1111"/>
      <c r="K1111"/>
    </row>
    <row r="1112" spans="1:11" x14ac:dyDescent="0.3">
      <c r="A1112" s="2" t="s">
        <v>692</v>
      </c>
      <c r="B1112" s="2" t="s">
        <v>145</v>
      </c>
      <c r="C1112" s="2" t="s">
        <v>119</v>
      </c>
      <c r="D1112" s="2" t="s">
        <v>2859</v>
      </c>
      <c r="E1112" s="4" t="str">
        <f>HYPERLINK("./Results/DLO\2009\Osteo_Sarco_1.png","RPT")</f>
        <v>RPT</v>
      </c>
      <c r="F1112" s="2" t="s">
        <v>121</v>
      </c>
      <c r="G1112" s="6"/>
      <c r="I1112"/>
      <c r="J1112"/>
      <c r="K1112"/>
    </row>
    <row r="1113" spans="1:11" x14ac:dyDescent="0.3">
      <c r="A1113" s="2" t="s">
        <v>693</v>
      </c>
      <c r="B1113" s="2" t="s">
        <v>123</v>
      </c>
      <c r="C1113" s="2" t="s">
        <v>119</v>
      </c>
      <c r="D1113" s="2" t="s">
        <v>2859</v>
      </c>
      <c r="E1113" s="4" t="str">
        <f>HYPERLINK("./Results/DLO\201\Osteo_Sarco_1.png","RPT")</f>
        <v>RPT</v>
      </c>
      <c r="F1113" s="2" t="s">
        <v>121</v>
      </c>
      <c r="G1113" s="6"/>
      <c r="I1113"/>
      <c r="J1113"/>
      <c r="K1113"/>
    </row>
    <row r="1114" spans="1:11" x14ac:dyDescent="0.3">
      <c r="A1114" s="2" t="s">
        <v>703</v>
      </c>
      <c r="B1114" s="2" t="s">
        <v>136</v>
      </c>
      <c r="C1114" s="2" t="s">
        <v>119</v>
      </c>
      <c r="D1114" s="2" t="s">
        <v>2859</v>
      </c>
      <c r="E1114" s="4" t="str">
        <f>HYPERLINK("./Results/DLO\2010\Osteo_Sarco_1.png","RPT")</f>
        <v>RPT</v>
      </c>
      <c r="F1114" s="2" t="s">
        <v>121</v>
      </c>
      <c r="G1114" s="6"/>
      <c r="H1114" s="1">
        <v>18.989999999999998</v>
      </c>
    </row>
    <row r="1115" spans="1:11" x14ac:dyDescent="0.3">
      <c r="A1115" s="2" t="s">
        <v>700</v>
      </c>
      <c r="B1115" s="2" t="s">
        <v>123</v>
      </c>
      <c r="C1115" s="2" t="s">
        <v>119</v>
      </c>
      <c r="D1115" s="2" t="s">
        <v>2859</v>
      </c>
      <c r="E1115" s="4" t="str">
        <f>HYPERLINK("./Results/DLO\2011\Osteo_Sarco_1.png","RPT")</f>
        <v>RPT</v>
      </c>
      <c r="F1115" s="2" t="s">
        <v>121</v>
      </c>
      <c r="G1115" s="6"/>
      <c r="H1115" s="1">
        <v>20.49</v>
      </c>
    </row>
    <row r="1116" spans="1:11" x14ac:dyDescent="0.3">
      <c r="A1116" s="2" t="s">
        <v>730</v>
      </c>
      <c r="B1116" s="2" t="s">
        <v>133</v>
      </c>
      <c r="C1116" s="2" t="s">
        <v>111</v>
      </c>
      <c r="D1116" s="2" t="s">
        <v>2859</v>
      </c>
      <c r="E1116" s="4" t="str">
        <f>HYPERLINK("./Results/DLO\2012\Osteo_Sarco_1.png","RPT")</f>
        <v>RPT</v>
      </c>
      <c r="F1116" s="2" t="s">
        <v>121</v>
      </c>
      <c r="G1116" s="6"/>
      <c r="I1116"/>
      <c r="J1116"/>
      <c r="K1116"/>
    </row>
    <row r="1117" spans="1:11" x14ac:dyDescent="0.3">
      <c r="A1117" s="2" t="s">
        <v>718</v>
      </c>
      <c r="B1117" s="2" t="s">
        <v>144</v>
      </c>
      <c r="C1117" s="2" t="s">
        <v>119</v>
      </c>
      <c r="D1117" s="2" t="s">
        <v>2867</v>
      </c>
      <c r="E1117" s="4" t="str">
        <f>HYPERLINK("./Results/DLO\2013\Osteo_Sarco_1.png","RPT")</f>
        <v>RPT</v>
      </c>
      <c r="F1117" s="2" t="s">
        <v>121</v>
      </c>
      <c r="G1117" s="6"/>
      <c r="H1117" s="1">
        <v>22.27</v>
      </c>
    </row>
    <row r="1118" spans="1:11" x14ac:dyDescent="0.3">
      <c r="A1118" s="2" t="s">
        <v>726</v>
      </c>
      <c r="B1118" s="2" t="s">
        <v>137</v>
      </c>
      <c r="C1118" s="2" t="s">
        <v>111</v>
      </c>
      <c r="D1118" s="2" t="s">
        <v>2859</v>
      </c>
      <c r="E1118" s="4" t="str">
        <f>HYPERLINK("./Results/DLO\2014\Osteo_Sarco_1.png","RPT")</f>
        <v>RPT</v>
      </c>
      <c r="F1118" s="2" t="s">
        <v>121</v>
      </c>
      <c r="G1118" s="6"/>
      <c r="H1118" s="1">
        <v>25.1</v>
      </c>
    </row>
    <row r="1119" spans="1:11" x14ac:dyDescent="0.3">
      <c r="A1119" s="2" t="s">
        <v>721</v>
      </c>
      <c r="B1119" s="2" t="s">
        <v>164</v>
      </c>
      <c r="C1119" s="2" t="s">
        <v>119</v>
      </c>
      <c r="D1119" s="2" t="s">
        <v>2859</v>
      </c>
      <c r="E1119" s="4" t="str">
        <f>HYPERLINK("./Results/DLO\2015\Osteo_Sarco_1.png","RPT")</f>
        <v>RPT</v>
      </c>
      <c r="F1119" s="2" t="s">
        <v>121</v>
      </c>
      <c r="G1119" s="6"/>
      <c r="I1119"/>
      <c r="J1119"/>
      <c r="K1119"/>
    </row>
    <row r="1120" spans="1:11" x14ac:dyDescent="0.3">
      <c r="A1120" s="2" t="s">
        <v>719</v>
      </c>
      <c r="B1120" s="2" t="s">
        <v>157</v>
      </c>
      <c r="C1120" s="2" t="s">
        <v>119</v>
      </c>
      <c r="D1120" s="2" t="s">
        <v>2859</v>
      </c>
      <c r="E1120" s="4" t="str">
        <f>HYPERLINK("./Results/DLO\2016\Osteo_Sarco_1.png","RPT")</f>
        <v>RPT</v>
      </c>
      <c r="F1120" s="2" t="s">
        <v>121</v>
      </c>
      <c r="G1120" s="6"/>
      <c r="I1120"/>
      <c r="J1120"/>
      <c r="K1120"/>
    </row>
    <row r="1121" spans="1:11" x14ac:dyDescent="0.3">
      <c r="A1121" s="2" t="s">
        <v>737</v>
      </c>
      <c r="B1121" s="2" t="s">
        <v>127</v>
      </c>
      <c r="C1121" s="2" t="s">
        <v>119</v>
      </c>
      <c r="D1121" s="2" t="s">
        <v>2859</v>
      </c>
      <c r="E1121" s="4" t="str">
        <f>HYPERLINK("./Results/DLO\2017\Osteo_Sarco_1.png","RPT")</f>
        <v>RPT</v>
      </c>
      <c r="F1121" s="2" t="s">
        <v>121</v>
      </c>
      <c r="G1121" s="6"/>
      <c r="I1121"/>
      <c r="J1121"/>
      <c r="K1121"/>
    </row>
    <row r="1122" spans="1:11" x14ac:dyDescent="0.3">
      <c r="A1122" s="2" t="s">
        <v>727</v>
      </c>
      <c r="B1122" s="2" t="s">
        <v>149</v>
      </c>
      <c r="C1122" s="2" t="s">
        <v>111</v>
      </c>
      <c r="D1122" s="2" t="s">
        <v>2859</v>
      </c>
      <c r="E1122" s="4" t="str">
        <f>HYPERLINK("./Results/DLO\2018\Osteo_Sarco_1.png","RPT")</f>
        <v>RPT</v>
      </c>
      <c r="F1122" s="2" t="s">
        <v>121</v>
      </c>
      <c r="G1122" s="6"/>
      <c r="H1122" s="1">
        <v>21.19</v>
      </c>
    </row>
    <row r="1123" spans="1:11" x14ac:dyDescent="0.3">
      <c r="A1123" s="2" t="s">
        <v>733</v>
      </c>
      <c r="B1123" s="2" t="s">
        <v>129</v>
      </c>
      <c r="C1123" s="2" t="s">
        <v>119</v>
      </c>
      <c r="D1123" s="2" t="s">
        <v>2867</v>
      </c>
      <c r="E1123" s="4" t="str">
        <f>HYPERLINK("./Results/DLO\2019\Osteo_Sarco_1.png","RPT")</f>
        <v>RPT</v>
      </c>
      <c r="F1123" s="2" t="s">
        <v>121</v>
      </c>
      <c r="G1123" s="6"/>
      <c r="I1123"/>
      <c r="J1123"/>
      <c r="K1123"/>
    </row>
    <row r="1124" spans="1:11" x14ac:dyDescent="0.3">
      <c r="A1124" s="2" t="s">
        <v>732</v>
      </c>
      <c r="B1124" s="2" t="s">
        <v>118</v>
      </c>
      <c r="C1124" s="2" t="s">
        <v>119</v>
      </c>
      <c r="D1124" s="2" t="s">
        <v>2867</v>
      </c>
      <c r="E1124" s="4" t="str">
        <f>HYPERLINK("./Results/DLO\202\Osteo_Sarco_1.png","RPT")</f>
        <v>RPT</v>
      </c>
      <c r="F1124" s="2" t="s">
        <v>121</v>
      </c>
      <c r="G1124" s="6"/>
      <c r="I1124"/>
      <c r="J1124"/>
      <c r="K1124"/>
    </row>
    <row r="1125" spans="1:11" x14ac:dyDescent="0.3">
      <c r="A1125" s="2" t="s">
        <v>722</v>
      </c>
      <c r="B1125" s="2" t="s">
        <v>142</v>
      </c>
      <c r="C1125" s="2" t="s">
        <v>111</v>
      </c>
      <c r="D1125" s="2" t="s">
        <v>2867</v>
      </c>
      <c r="E1125" s="4" t="str">
        <f>HYPERLINK("./Results/DLO\2020\Osteo_Sarco_1.png","RPT")</f>
        <v>RPT</v>
      </c>
      <c r="F1125" s="2" t="s">
        <v>121</v>
      </c>
      <c r="G1125" s="6"/>
      <c r="I1125"/>
      <c r="J1125"/>
      <c r="K1125"/>
    </row>
    <row r="1126" spans="1:11" x14ac:dyDescent="0.3">
      <c r="A1126" s="2" t="s">
        <v>715</v>
      </c>
      <c r="B1126" s="2" t="s">
        <v>138</v>
      </c>
      <c r="C1126" s="2" t="s">
        <v>111</v>
      </c>
      <c r="D1126" s="2" t="s">
        <v>2867</v>
      </c>
      <c r="E1126" s="4" t="str">
        <f>HYPERLINK("./Results/DLO\2021\Osteo_Sarco_1.png","RPT")</f>
        <v>RPT</v>
      </c>
      <c r="F1126" s="2" t="s">
        <v>121</v>
      </c>
      <c r="G1126" s="6"/>
      <c r="H1126" s="1">
        <v>22.05</v>
      </c>
    </row>
    <row r="1127" spans="1:11" x14ac:dyDescent="0.3">
      <c r="A1127" s="2" t="s">
        <v>723</v>
      </c>
      <c r="B1127" s="2" t="s">
        <v>132</v>
      </c>
      <c r="C1127" s="2" t="s">
        <v>119</v>
      </c>
      <c r="D1127" s="2" t="s">
        <v>2859</v>
      </c>
      <c r="E1127" s="4" t="str">
        <f>HYPERLINK("./Results/DLO\2023\Osteo_Sarco_1.png","RPT")</f>
        <v>RPT</v>
      </c>
      <c r="F1127" s="2" t="s">
        <v>121</v>
      </c>
      <c r="G1127" s="6"/>
      <c r="I1127"/>
      <c r="J1127"/>
      <c r="K1127"/>
    </row>
    <row r="1128" spans="1:11" x14ac:dyDescent="0.3">
      <c r="A1128" s="2" t="s">
        <v>714</v>
      </c>
      <c r="B1128" s="2" t="s">
        <v>140</v>
      </c>
      <c r="C1128" s="2" t="s">
        <v>119</v>
      </c>
      <c r="D1128" s="2" t="s">
        <v>2859</v>
      </c>
      <c r="E1128" s="4" t="str">
        <f>HYPERLINK("./Results/DLO\2024\Osteo_Sarco_1.png","RPT")</f>
        <v>RPT</v>
      </c>
      <c r="F1128" s="2" t="s">
        <v>121</v>
      </c>
      <c r="G1128" s="6"/>
      <c r="I1128"/>
      <c r="J1128"/>
      <c r="K1128"/>
    </row>
    <row r="1129" spans="1:11" x14ac:dyDescent="0.3">
      <c r="A1129" s="2" t="s">
        <v>731</v>
      </c>
      <c r="B1129" s="2" t="s">
        <v>140</v>
      </c>
      <c r="C1129" s="2" t="s">
        <v>119</v>
      </c>
      <c r="D1129" s="2" t="s">
        <v>2859</v>
      </c>
      <c r="E1129" s="4" t="str">
        <f>HYPERLINK("./Results/DLO\2025\Osteo_Sarco_1.png","RPT")</f>
        <v>RPT</v>
      </c>
      <c r="F1129" s="2" t="s">
        <v>121</v>
      </c>
      <c r="G1129" s="6"/>
      <c r="I1129"/>
      <c r="J1129"/>
      <c r="K1129"/>
    </row>
    <row r="1130" spans="1:11" x14ac:dyDescent="0.3">
      <c r="A1130" s="2" t="s">
        <v>728</v>
      </c>
      <c r="B1130" s="2" t="s">
        <v>157</v>
      </c>
      <c r="C1130" s="2" t="s">
        <v>111</v>
      </c>
      <c r="D1130" s="2" t="s">
        <v>2859</v>
      </c>
      <c r="E1130" s="4" t="str">
        <f>HYPERLINK("./Results/DLO\2026\Osteo_Sarco_1.png","RPT")</f>
        <v>RPT</v>
      </c>
      <c r="F1130" s="2" t="s">
        <v>121</v>
      </c>
      <c r="G1130" s="6"/>
      <c r="I1130"/>
      <c r="J1130"/>
      <c r="K1130"/>
    </row>
    <row r="1131" spans="1:11" x14ac:dyDescent="0.3">
      <c r="A1131" s="2" t="s">
        <v>735</v>
      </c>
      <c r="B1131" s="2" t="s">
        <v>137</v>
      </c>
      <c r="C1131" s="2" t="s">
        <v>111</v>
      </c>
      <c r="D1131" s="2" t="s">
        <v>2867</v>
      </c>
      <c r="E1131" s="4" t="str">
        <f>HYPERLINK("./Results/DLO\2027\Osteo_Sarco_1.png","RPT")</f>
        <v>RPT</v>
      </c>
      <c r="F1131" s="2" t="s">
        <v>121</v>
      </c>
      <c r="G1131" s="6"/>
      <c r="I1131"/>
      <c r="J1131"/>
      <c r="K1131"/>
    </row>
    <row r="1132" spans="1:11" x14ac:dyDescent="0.3">
      <c r="A1132" s="2" t="s">
        <v>738</v>
      </c>
      <c r="B1132" s="2" t="s">
        <v>166</v>
      </c>
      <c r="C1132" s="2" t="s">
        <v>119</v>
      </c>
      <c r="D1132" s="2" t="s">
        <v>2867</v>
      </c>
      <c r="E1132" s="4" t="str">
        <f>HYPERLINK("./Results/DLO\2028\Osteo_Sarco_1.png","RPT")</f>
        <v>RPT</v>
      </c>
      <c r="F1132" s="2" t="s">
        <v>121</v>
      </c>
      <c r="G1132" s="6"/>
      <c r="I1132"/>
      <c r="J1132"/>
      <c r="K1132"/>
    </row>
    <row r="1133" spans="1:11" x14ac:dyDescent="0.3">
      <c r="A1133" s="2" t="s">
        <v>724</v>
      </c>
      <c r="B1133" s="2" t="s">
        <v>146</v>
      </c>
      <c r="C1133" s="2" t="s">
        <v>111</v>
      </c>
      <c r="D1133" s="2" t="s">
        <v>2859</v>
      </c>
      <c r="E1133" s="4" t="str">
        <f>HYPERLINK("./Results/DLO\2029\Osteo_Sarco_1.png","RPT")</f>
        <v>RPT</v>
      </c>
      <c r="F1133" s="2" t="s">
        <v>121</v>
      </c>
      <c r="G1133" s="6"/>
      <c r="H1133" s="1">
        <v>29.3</v>
      </c>
    </row>
    <row r="1134" spans="1:11" x14ac:dyDescent="0.3">
      <c r="A1134" s="2" t="s">
        <v>720</v>
      </c>
      <c r="B1134" s="2" t="s">
        <v>136</v>
      </c>
      <c r="C1134" s="2" t="s">
        <v>119</v>
      </c>
      <c r="D1134" s="2" t="s">
        <v>2867</v>
      </c>
      <c r="E1134" s="4" t="str">
        <f>HYPERLINK("./Results/DLO\203\Osteo_Sarco_1.png","RPT")</f>
        <v>RPT</v>
      </c>
      <c r="F1134" s="2" t="s">
        <v>121</v>
      </c>
      <c r="G1134" s="6"/>
      <c r="I1134"/>
      <c r="J1134"/>
      <c r="K1134"/>
    </row>
    <row r="1135" spans="1:11" x14ac:dyDescent="0.3">
      <c r="A1135" s="2" t="s">
        <v>725</v>
      </c>
      <c r="B1135" s="2" t="s">
        <v>165</v>
      </c>
      <c r="C1135" s="2" t="s">
        <v>111</v>
      </c>
      <c r="D1135" s="2" t="s">
        <v>2859</v>
      </c>
      <c r="E1135" s="4" t="str">
        <f>HYPERLINK("./Results/DLO\2030\Osteo_Sarco_1.png","RPT")</f>
        <v>RPT</v>
      </c>
      <c r="F1135" s="2" t="s">
        <v>121</v>
      </c>
      <c r="G1135" s="6"/>
      <c r="H1135" s="1">
        <v>19.36</v>
      </c>
    </row>
    <row r="1136" spans="1:11" x14ac:dyDescent="0.3">
      <c r="A1136" s="2" t="s">
        <v>716</v>
      </c>
      <c r="B1136" s="2" t="s">
        <v>123</v>
      </c>
      <c r="C1136" s="2" t="s">
        <v>111</v>
      </c>
      <c r="D1136" s="2" t="s">
        <v>2859</v>
      </c>
      <c r="E1136" s="4" t="str">
        <f>HYPERLINK("./Results/DLO\2031\Osteo_Sarco_1.png","RPT")</f>
        <v>RPT</v>
      </c>
      <c r="F1136" s="2" t="s">
        <v>121</v>
      </c>
      <c r="G1136" s="6"/>
      <c r="I1136"/>
      <c r="J1136"/>
      <c r="K1136"/>
    </row>
    <row r="1137" spans="1:11" x14ac:dyDescent="0.3">
      <c r="A1137" s="2" t="s">
        <v>736</v>
      </c>
      <c r="B1137" s="2" t="s">
        <v>127</v>
      </c>
      <c r="C1137" s="2" t="s">
        <v>111</v>
      </c>
      <c r="D1137" s="2" t="s">
        <v>2867</v>
      </c>
      <c r="E1137" s="4" t="str">
        <f>HYPERLINK("./Results/DLO\2032\Osteo_Sarco_1.png","RPT")</f>
        <v>RPT</v>
      </c>
      <c r="F1137" s="2" t="s">
        <v>121</v>
      </c>
      <c r="G1137" s="6"/>
      <c r="I1137"/>
      <c r="J1137"/>
      <c r="K1137"/>
    </row>
    <row r="1138" spans="1:11" x14ac:dyDescent="0.3">
      <c r="A1138" s="2" t="s">
        <v>734</v>
      </c>
      <c r="B1138" s="2" t="s">
        <v>153</v>
      </c>
      <c r="C1138" s="2" t="s">
        <v>119</v>
      </c>
      <c r="D1138" s="2" t="s">
        <v>2859</v>
      </c>
      <c r="E1138" s="4" t="str">
        <f>HYPERLINK("./Results/DLO\2033\Osteo_Sarco_1.png","RPT")</f>
        <v>RPT</v>
      </c>
      <c r="F1138" s="2" t="s">
        <v>121</v>
      </c>
      <c r="G1138" s="6"/>
      <c r="H1138" s="1">
        <v>18</v>
      </c>
    </row>
    <row r="1139" spans="1:11" x14ac:dyDescent="0.3">
      <c r="A1139" s="2" t="s">
        <v>717</v>
      </c>
      <c r="B1139" s="2" t="s">
        <v>123</v>
      </c>
      <c r="C1139" s="2" t="s">
        <v>119</v>
      </c>
      <c r="D1139" s="2" t="s">
        <v>2867</v>
      </c>
      <c r="E1139" s="4" t="str">
        <f>HYPERLINK("./Results/DLO\2034\Osteo_Sarco_1.png","RPT")</f>
        <v>RPT</v>
      </c>
      <c r="F1139" s="2" t="s">
        <v>121</v>
      </c>
      <c r="G1139" s="6"/>
      <c r="I1139"/>
      <c r="J1139"/>
      <c r="K1139"/>
    </row>
    <row r="1140" spans="1:11" x14ac:dyDescent="0.3">
      <c r="A1140" s="2" t="s">
        <v>729</v>
      </c>
      <c r="B1140" s="2" t="s">
        <v>114</v>
      </c>
      <c r="C1140" s="2" t="s">
        <v>119</v>
      </c>
      <c r="D1140" s="2" t="s">
        <v>2859</v>
      </c>
      <c r="E1140" s="4" t="str">
        <f>HYPERLINK("./Results/DLO\2035\Osteo_Sarco_1.png","RPT")</f>
        <v>RPT</v>
      </c>
      <c r="F1140" s="2" t="s">
        <v>121</v>
      </c>
      <c r="G1140" s="6"/>
      <c r="I1140"/>
      <c r="J1140"/>
      <c r="K1140"/>
    </row>
    <row r="1141" spans="1:11" x14ac:dyDescent="0.3">
      <c r="A1141" s="2" t="s">
        <v>760</v>
      </c>
      <c r="B1141" s="2" t="s">
        <v>120</v>
      </c>
      <c r="C1141" s="2" t="s">
        <v>111</v>
      </c>
      <c r="D1141" s="2" t="s">
        <v>2859</v>
      </c>
      <c r="E1141" s="4" t="str">
        <f>HYPERLINK("./Results/DLO\2036\Osteo_Sarco_1.png","RPT")</f>
        <v>RPT</v>
      </c>
      <c r="F1141" s="2" t="s">
        <v>121</v>
      </c>
      <c r="G1141" s="6"/>
      <c r="I1141"/>
      <c r="J1141"/>
      <c r="K1141"/>
    </row>
    <row r="1142" spans="1:11" x14ac:dyDescent="0.3">
      <c r="A1142" s="2" t="s">
        <v>755</v>
      </c>
      <c r="B1142" s="2" t="s">
        <v>152</v>
      </c>
      <c r="C1142" s="2" t="s">
        <v>119</v>
      </c>
      <c r="D1142" s="2" t="s">
        <v>2859</v>
      </c>
      <c r="E1142" s="4" t="str">
        <f>HYPERLINK("./Results/DLO\2037\Osteo_Sarco_1.png","RPT")</f>
        <v>RPT</v>
      </c>
      <c r="F1142" s="2" t="s">
        <v>121</v>
      </c>
      <c r="G1142" s="6"/>
      <c r="I1142"/>
      <c r="J1142"/>
      <c r="K1142"/>
    </row>
    <row r="1143" spans="1:11" x14ac:dyDescent="0.3">
      <c r="A1143" s="2" t="s">
        <v>761</v>
      </c>
      <c r="B1143" s="2" t="s">
        <v>129</v>
      </c>
      <c r="C1143" s="2" t="s">
        <v>119</v>
      </c>
      <c r="D1143" s="2" t="s">
        <v>2859</v>
      </c>
      <c r="E1143" s="4" t="str">
        <f>HYPERLINK("./Results/DLO\2038\Osteo_Sarco_1.png","RPT")</f>
        <v>RPT</v>
      </c>
      <c r="F1143" s="2" t="s">
        <v>121</v>
      </c>
      <c r="G1143" s="6"/>
      <c r="I1143"/>
      <c r="J1143"/>
      <c r="K1143"/>
    </row>
    <row r="1144" spans="1:11" x14ac:dyDescent="0.3">
      <c r="A1144" s="2" t="s">
        <v>756</v>
      </c>
      <c r="B1144" s="2" t="s">
        <v>166</v>
      </c>
      <c r="C1144" s="2" t="s">
        <v>111</v>
      </c>
      <c r="D1144" s="2" t="s">
        <v>2859</v>
      </c>
      <c r="E1144" s="4" t="str">
        <f>HYPERLINK("./Results/DLO\2039\Osteo_Sarco_1.png","RPT")</f>
        <v>RPT</v>
      </c>
      <c r="F1144" s="2" t="s">
        <v>121</v>
      </c>
      <c r="G1144" s="6"/>
      <c r="H1144" s="1">
        <v>27.68</v>
      </c>
    </row>
    <row r="1145" spans="1:11" x14ac:dyDescent="0.3">
      <c r="A1145" s="2" t="s">
        <v>749</v>
      </c>
      <c r="B1145" s="2" t="s">
        <v>116</v>
      </c>
      <c r="C1145" s="2" t="s">
        <v>119</v>
      </c>
      <c r="D1145" s="2" t="s">
        <v>2859</v>
      </c>
      <c r="E1145" s="4" t="str">
        <f>HYPERLINK("./Results/DLO\204\Osteo_Sarco_1.png","RPT")</f>
        <v>RPT</v>
      </c>
      <c r="F1145" s="2" t="s">
        <v>121</v>
      </c>
      <c r="G1145" s="6"/>
      <c r="H1145" s="1">
        <v>25.61</v>
      </c>
    </row>
    <row r="1146" spans="1:11" x14ac:dyDescent="0.3">
      <c r="A1146" s="2" t="s">
        <v>748</v>
      </c>
      <c r="B1146" s="2" t="s">
        <v>162</v>
      </c>
      <c r="C1146" s="2" t="s">
        <v>111</v>
      </c>
      <c r="D1146" s="2" t="s">
        <v>2859</v>
      </c>
      <c r="E1146" s="4" t="str">
        <f>HYPERLINK("./Results/DLO\2040\Osteo_Sarco_1.png","RPT")</f>
        <v>RPT</v>
      </c>
      <c r="F1146" s="2" t="s">
        <v>121</v>
      </c>
      <c r="G1146" s="6"/>
      <c r="H1146" s="1">
        <v>19.079999999999998</v>
      </c>
    </row>
    <row r="1147" spans="1:11" x14ac:dyDescent="0.3">
      <c r="A1147" s="2" t="s">
        <v>739</v>
      </c>
      <c r="B1147" s="2" t="s">
        <v>141</v>
      </c>
      <c r="C1147" s="2" t="s">
        <v>111</v>
      </c>
      <c r="D1147" s="2" t="s">
        <v>2867</v>
      </c>
      <c r="E1147" s="4" t="str">
        <f>HYPERLINK("./Results/DLO\2041\Osteo_Sarco_1.png","RPT")</f>
        <v>RPT</v>
      </c>
      <c r="F1147" s="2" t="s">
        <v>121</v>
      </c>
      <c r="G1147" s="6"/>
      <c r="I1147"/>
      <c r="J1147"/>
      <c r="K1147"/>
    </row>
    <row r="1148" spans="1:11" x14ac:dyDescent="0.3">
      <c r="A1148" s="2" t="s">
        <v>746</v>
      </c>
      <c r="B1148" s="2" t="s">
        <v>127</v>
      </c>
      <c r="C1148" s="2" t="s">
        <v>119</v>
      </c>
      <c r="D1148" s="2" t="s">
        <v>2859</v>
      </c>
      <c r="E1148" s="4" t="str">
        <f>HYPERLINK("./Results/DLO\2042\Osteo_Sarco_1.png","RPT")</f>
        <v>RPT</v>
      </c>
      <c r="F1148" s="2" t="s">
        <v>121</v>
      </c>
      <c r="G1148" s="6"/>
      <c r="I1148"/>
      <c r="J1148"/>
      <c r="K1148"/>
    </row>
    <row r="1149" spans="1:11" x14ac:dyDescent="0.3">
      <c r="A1149" s="2" t="s">
        <v>762</v>
      </c>
      <c r="B1149" s="2" t="s">
        <v>141</v>
      </c>
      <c r="C1149" s="2" t="s">
        <v>119</v>
      </c>
      <c r="D1149" s="2" t="s">
        <v>2867</v>
      </c>
      <c r="E1149" s="4" t="str">
        <f>HYPERLINK("./Results/DLO\2043\Osteo_Sarco_1.png","RPT")</f>
        <v>RPT</v>
      </c>
      <c r="F1149" s="2" t="s">
        <v>121</v>
      </c>
      <c r="G1149" s="6"/>
      <c r="I1149"/>
      <c r="J1149"/>
      <c r="K1149"/>
    </row>
    <row r="1150" spans="1:11" x14ac:dyDescent="0.3">
      <c r="A1150" s="2" t="s">
        <v>742</v>
      </c>
      <c r="B1150" s="2" t="s">
        <v>129</v>
      </c>
      <c r="C1150" s="2" t="s">
        <v>119</v>
      </c>
      <c r="D1150" s="2" t="s">
        <v>2859</v>
      </c>
      <c r="E1150" s="4" t="str">
        <f>HYPERLINK("./Results/DLO\2044\Osteo_Sarco_1.png","RPT")</f>
        <v>RPT</v>
      </c>
      <c r="F1150" s="2" t="s">
        <v>121</v>
      </c>
      <c r="G1150" s="6"/>
      <c r="I1150"/>
      <c r="J1150"/>
      <c r="K1150"/>
    </row>
    <row r="1151" spans="1:11" x14ac:dyDescent="0.3">
      <c r="A1151" s="2" t="s">
        <v>763</v>
      </c>
      <c r="B1151" s="2" t="s">
        <v>139</v>
      </c>
      <c r="C1151" s="2" t="s">
        <v>111</v>
      </c>
      <c r="D1151" s="2" t="s">
        <v>1935</v>
      </c>
      <c r="E1151" s="4" t="str">
        <f>HYPERLINK("./Results/DLO\2045\Osteo_Sarco_1.png","RPT")</f>
        <v>RPT</v>
      </c>
      <c r="F1151" s="2" t="s">
        <v>121</v>
      </c>
      <c r="G1151" s="6"/>
      <c r="I1151"/>
      <c r="J1151"/>
      <c r="K1151"/>
    </row>
    <row r="1152" spans="1:11" x14ac:dyDescent="0.3">
      <c r="A1152" s="2" t="s">
        <v>764</v>
      </c>
      <c r="B1152" s="2" t="s">
        <v>115</v>
      </c>
      <c r="C1152" s="2" t="s">
        <v>111</v>
      </c>
      <c r="D1152" s="2" t="s">
        <v>2859</v>
      </c>
      <c r="E1152" s="4" t="str">
        <f>HYPERLINK("./Results/DLO\2046\Osteo_Sarco_1.png","RPT")</f>
        <v>RPT</v>
      </c>
      <c r="F1152" s="2" t="s">
        <v>121</v>
      </c>
      <c r="G1152" s="6"/>
      <c r="I1152"/>
      <c r="J1152"/>
      <c r="K1152"/>
    </row>
    <row r="1153" spans="1:11" x14ac:dyDescent="0.3">
      <c r="A1153" s="2" t="s">
        <v>754</v>
      </c>
      <c r="B1153" s="2" t="s">
        <v>133</v>
      </c>
      <c r="C1153" s="2" t="s">
        <v>111</v>
      </c>
      <c r="D1153" s="2" t="s">
        <v>2859</v>
      </c>
      <c r="E1153" s="4" t="str">
        <f>HYPERLINK("./Results/DLO\2047\Osteo_Sarco_1.png","RPT")</f>
        <v>RPT</v>
      </c>
      <c r="F1153" s="2" t="s">
        <v>121</v>
      </c>
      <c r="G1153" s="6"/>
      <c r="I1153"/>
      <c r="J1153"/>
      <c r="K1153"/>
    </row>
    <row r="1154" spans="1:11" x14ac:dyDescent="0.3">
      <c r="A1154" s="2" t="s">
        <v>752</v>
      </c>
      <c r="B1154" s="2" t="s">
        <v>118</v>
      </c>
      <c r="C1154" s="2" t="s">
        <v>111</v>
      </c>
      <c r="D1154" s="2" t="s">
        <v>2867</v>
      </c>
      <c r="E1154" s="4" t="str">
        <f>HYPERLINK("./Results/DLO\2048\Osteo_Sarco_1.png","RPT")</f>
        <v>RPT</v>
      </c>
      <c r="F1154" s="2" t="s">
        <v>121</v>
      </c>
      <c r="G1154" s="6"/>
      <c r="I1154"/>
      <c r="J1154"/>
      <c r="K1154"/>
    </row>
    <row r="1155" spans="1:11" x14ac:dyDescent="0.3">
      <c r="A1155" s="2" t="s">
        <v>750</v>
      </c>
      <c r="B1155" s="2" t="s">
        <v>170</v>
      </c>
      <c r="C1155" s="2" t="s">
        <v>119</v>
      </c>
      <c r="D1155" s="2" t="s">
        <v>2859</v>
      </c>
      <c r="E1155" s="4" t="str">
        <f>HYPERLINK("./Results/DLO\2049\Osteo_Sarco_1.png","RPT")</f>
        <v>RPT</v>
      </c>
      <c r="F1155" s="2" t="s">
        <v>121</v>
      </c>
      <c r="G1155" s="6"/>
      <c r="I1155"/>
      <c r="J1155"/>
      <c r="K1155"/>
    </row>
    <row r="1156" spans="1:11" x14ac:dyDescent="0.3">
      <c r="A1156" s="2" t="s">
        <v>765</v>
      </c>
      <c r="B1156" s="2" t="s">
        <v>148</v>
      </c>
      <c r="C1156" s="2" t="s">
        <v>119</v>
      </c>
      <c r="D1156" s="2" t="s">
        <v>2859</v>
      </c>
      <c r="E1156" s="4" t="str">
        <f>HYPERLINK("./Results/DLO\205\Osteo_Sarco_1.png","RPT")</f>
        <v>RPT</v>
      </c>
      <c r="F1156" s="2" t="s">
        <v>121</v>
      </c>
      <c r="G1156" s="6"/>
      <c r="H1156" s="1">
        <v>20.87</v>
      </c>
    </row>
    <row r="1157" spans="1:11" x14ac:dyDescent="0.3">
      <c r="A1157" s="2" t="s">
        <v>757</v>
      </c>
      <c r="B1157" s="2" t="s">
        <v>118</v>
      </c>
      <c r="C1157" s="2" t="s">
        <v>111</v>
      </c>
      <c r="D1157" s="2" t="s">
        <v>2859</v>
      </c>
      <c r="E1157" s="4" t="str">
        <f>HYPERLINK("./Results/DLO\2050\Osteo_Sarco_1.png","RPT")</f>
        <v>RPT</v>
      </c>
      <c r="F1157" s="2" t="s">
        <v>121</v>
      </c>
      <c r="G1157" s="6"/>
      <c r="I1157"/>
      <c r="J1157"/>
      <c r="K1157"/>
    </row>
    <row r="1158" spans="1:11" x14ac:dyDescent="0.3">
      <c r="A1158" s="2" t="s">
        <v>741</v>
      </c>
      <c r="B1158" s="2" t="s">
        <v>148</v>
      </c>
      <c r="C1158" s="2" t="s">
        <v>119</v>
      </c>
      <c r="D1158" s="2" t="s">
        <v>2867</v>
      </c>
      <c r="E1158" s="4" t="str">
        <f>HYPERLINK("./Results/DLO\2051\Osteo_Sarco_1.png","RPT")</f>
        <v>RPT</v>
      </c>
      <c r="F1158" s="2" t="s">
        <v>121</v>
      </c>
      <c r="G1158" s="6"/>
      <c r="I1158"/>
      <c r="J1158"/>
      <c r="K1158"/>
    </row>
    <row r="1159" spans="1:11" x14ac:dyDescent="0.3">
      <c r="A1159" s="2" t="s">
        <v>743</v>
      </c>
      <c r="B1159" s="2" t="s">
        <v>142</v>
      </c>
      <c r="C1159" s="2" t="s">
        <v>119</v>
      </c>
      <c r="D1159" s="2" t="s">
        <v>2859</v>
      </c>
      <c r="E1159" s="4" t="str">
        <f>HYPERLINK("./Results/DLO\2052\Osteo_Sarco_1.png","RPT")</f>
        <v>RPT</v>
      </c>
      <c r="F1159" s="2" t="s">
        <v>121</v>
      </c>
      <c r="G1159" s="6"/>
      <c r="I1159"/>
      <c r="J1159"/>
      <c r="K1159"/>
    </row>
    <row r="1160" spans="1:11" x14ac:dyDescent="0.3">
      <c r="A1160" s="2" t="s">
        <v>747</v>
      </c>
      <c r="B1160" s="2" t="s">
        <v>144</v>
      </c>
      <c r="C1160" s="2" t="s">
        <v>111</v>
      </c>
      <c r="D1160" s="2" t="s">
        <v>2859</v>
      </c>
      <c r="E1160" s="4" t="str">
        <f>HYPERLINK("./Results/DLO\2053\Osteo_Sarco_1.png","RPT")</f>
        <v>RPT</v>
      </c>
      <c r="F1160" s="2" t="s">
        <v>121</v>
      </c>
      <c r="G1160" s="6"/>
      <c r="I1160"/>
      <c r="J1160"/>
      <c r="K1160"/>
    </row>
    <row r="1161" spans="1:11" x14ac:dyDescent="0.3">
      <c r="A1161" s="2" t="s">
        <v>753</v>
      </c>
      <c r="B1161" s="2" t="s">
        <v>141</v>
      </c>
      <c r="C1161" s="2" t="s">
        <v>111</v>
      </c>
      <c r="D1161" s="2" t="s">
        <v>2859</v>
      </c>
      <c r="E1161" s="4" t="str">
        <f>HYPERLINK("./Results/DLO\2054\Osteo_Sarco_1.png","RPT")</f>
        <v>RPT</v>
      </c>
      <c r="F1161" s="2" t="s">
        <v>121</v>
      </c>
      <c r="G1161" s="6"/>
      <c r="I1161"/>
      <c r="J1161"/>
      <c r="K1161"/>
    </row>
    <row r="1162" spans="1:11" x14ac:dyDescent="0.3">
      <c r="A1162" s="2" t="s">
        <v>740</v>
      </c>
      <c r="B1162" s="2" t="s">
        <v>143</v>
      </c>
      <c r="C1162" s="2" t="s">
        <v>111</v>
      </c>
      <c r="D1162" s="2" t="s">
        <v>2859</v>
      </c>
      <c r="E1162" s="4" t="str">
        <f>HYPERLINK("./Results/DLO\2055\Osteo_Sarco_1.png","RPT")</f>
        <v>RPT</v>
      </c>
      <c r="F1162" s="2" t="s">
        <v>121</v>
      </c>
      <c r="G1162" s="6"/>
      <c r="I1162"/>
      <c r="J1162"/>
      <c r="K1162"/>
    </row>
    <row r="1163" spans="1:11" x14ac:dyDescent="0.3">
      <c r="A1163" s="2" t="s">
        <v>758</v>
      </c>
      <c r="B1163" s="2" t="s">
        <v>132</v>
      </c>
      <c r="C1163" s="2" t="s">
        <v>111</v>
      </c>
      <c r="D1163" s="2" t="s">
        <v>2859</v>
      </c>
      <c r="E1163" s="4" t="str">
        <f>HYPERLINK("./Results/DLO\2056\Osteo_Sarco_1.png","RPT")</f>
        <v>RPT</v>
      </c>
      <c r="F1163" s="2" t="s">
        <v>121</v>
      </c>
      <c r="G1163" s="6"/>
      <c r="I1163"/>
      <c r="J1163"/>
      <c r="K1163"/>
    </row>
    <row r="1164" spans="1:11" x14ac:dyDescent="0.3">
      <c r="A1164" s="2" t="s">
        <v>759</v>
      </c>
      <c r="B1164" s="2" t="s">
        <v>132</v>
      </c>
      <c r="C1164" s="2" t="s">
        <v>119</v>
      </c>
      <c r="D1164" s="2" t="s">
        <v>2867</v>
      </c>
      <c r="E1164" s="4" t="str">
        <f>HYPERLINK("./Results/DLO\2057\Osteo_Sarco_1.png","RPT")</f>
        <v>RPT</v>
      </c>
      <c r="F1164" s="2" t="s">
        <v>121</v>
      </c>
      <c r="G1164" s="6"/>
      <c r="H1164" s="1">
        <v>24.38</v>
      </c>
    </row>
    <row r="1165" spans="1:11" x14ac:dyDescent="0.3">
      <c r="A1165" s="2" t="s">
        <v>751</v>
      </c>
      <c r="B1165" s="2" t="s">
        <v>166</v>
      </c>
      <c r="C1165" s="2" t="s">
        <v>119</v>
      </c>
      <c r="D1165" s="2" t="s">
        <v>2859</v>
      </c>
      <c r="E1165" s="4" t="str">
        <f>HYPERLINK("./Results/DLO\2058\Osteo_Sarco_1.png","RPT")</f>
        <v>RPT</v>
      </c>
      <c r="F1165" s="2" t="s">
        <v>121</v>
      </c>
      <c r="G1165" s="6"/>
      <c r="I1165"/>
      <c r="J1165"/>
      <c r="K1165"/>
    </row>
    <row r="1166" spans="1:11" x14ac:dyDescent="0.3">
      <c r="A1166" s="2" t="s">
        <v>744</v>
      </c>
      <c r="B1166" s="2" t="s">
        <v>148</v>
      </c>
      <c r="C1166" s="2" t="s">
        <v>111</v>
      </c>
      <c r="D1166" s="2" t="s">
        <v>2867</v>
      </c>
      <c r="E1166" s="4" t="str">
        <f>HYPERLINK("./Results/DLO\2059\Osteo_Sarco_1.png","RPT")</f>
        <v>RPT</v>
      </c>
      <c r="F1166" s="2" t="s">
        <v>121</v>
      </c>
      <c r="G1166" s="6"/>
      <c r="H1166" s="1">
        <v>19.45</v>
      </c>
    </row>
    <row r="1167" spans="1:11" x14ac:dyDescent="0.3">
      <c r="A1167" s="2" t="s">
        <v>745</v>
      </c>
      <c r="B1167" s="2" t="s">
        <v>136</v>
      </c>
      <c r="C1167" s="2" t="s">
        <v>111</v>
      </c>
      <c r="D1167" s="2" t="s">
        <v>2859</v>
      </c>
      <c r="E1167" s="4" t="str">
        <f>HYPERLINK("./Results/DLO\206\Osteo_Sarco_1.png","RPT")</f>
        <v>RPT</v>
      </c>
      <c r="F1167" s="2" t="s">
        <v>121</v>
      </c>
      <c r="G1167" s="6"/>
      <c r="H1167" s="1">
        <v>20.03</v>
      </c>
    </row>
    <row r="1168" spans="1:11" x14ac:dyDescent="0.3">
      <c r="A1168" s="2" t="s">
        <v>786</v>
      </c>
      <c r="B1168" s="2" t="s">
        <v>165</v>
      </c>
      <c r="C1168" s="2" t="s">
        <v>111</v>
      </c>
      <c r="D1168" s="2" t="s">
        <v>2859</v>
      </c>
      <c r="E1168" s="4" t="str">
        <f>HYPERLINK("./Results/DLO\2060\Osteo_Sarco_1.png","RPT")</f>
        <v>RPT</v>
      </c>
      <c r="F1168" s="2" t="s">
        <v>121</v>
      </c>
      <c r="G1168" s="6"/>
      <c r="I1168"/>
      <c r="J1168"/>
      <c r="K1168"/>
    </row>
    <row r="1169" spans="1:11" x14ac:dyDescent="0.3">
      <c r="A1169" s="2" t="s">
        <v>782</v>
      </c>
      <c r="B1169" s="2" t="s">
        <v>149</v>
      </c>
      <c r="C1169" s="2" t="s">
        <v>119</v>
      </c>
      <c r="D1169" s="2" t="s">
        <v>2859</v>
      </c>
      <c r="E1169" s="4" t="str">
        <f>HYPERLINK("./Results/DLO\2061\Osteo_Sarco_1.png","RPT")</f>
        <v>RPT</v>
      </c>
      <c r="F1169" s="2" t="s">
        <v>121</v>
      </c>
      <c r="G1169" s="6"/>
      <c r="I1169"/>
      <c r="J1169"/>
      <c r="K1169"/>
    </row>
    <row r="1170" spans="1:11" x14ac:dyDescent="0.3">
      <c r="A1170" s="2" t="s">
        <v>787</v>
      </c>
      <c r="B1170" s="2" t="s">
        <v>148</v>
      </c>
      <c r="C1170" s="2" t="s">
        <v>111</v>
      </c>
      <c r="D1170" s="2" t="s">
        <v>2859</v>
      </c>
      <c r="E1170" s="4" t="str">
        <f>HYPERLINK("./Results/DLO\2062\Osteo_Sarco_1.png","RPT")</f>
        <v>RPT</v>
      </c>
      <c r="F1170" s="2" t="s">
        <v>121</v>
      </c>
      <c r="G1170" s="6"/>
      <c r="I1170"/>
      <c r="J1170"/>
      <c r="K1170"/>
    </row>
    <row r="1171" spans="1:11" x14ac:dyDescent="0.3">
      <c r="A1171" s="2" t="s">
        <v>784</v>
      </c>
      <c r="B1171" s="2" t="s">
        <v>114</v>
      </c>
      <c r="C1171" s="2" t="s">
        <v>119</v>
      </c>
      <c r="D1171" s="2" t="s">
        <v>2867</v>
      </c>
      <c r="E1171" s="4" t="str">
        <f>HYPERLINK("./Results/DLO\2063\Osteo_Sarco_1.png","RPT")</f>
        <v>RPT</v>
      </c>
      <c r="F1171" s="2" t="s">
        <v>121</v>
      </c>
      <c r="G1171" s="6"/>
      <c r="I1171"/>
      <c r="J1171"/>
      <c r="K1171"/>
    </row>
    <row r="1172" spans="1:11" x14ac:dyDescent="0.3">
      <c r="A1172" s="2" t="s">
        <v>768</v>
      </c>
      <c r="B1172" s="2" t="s">
        <v>126</v>
      </c>
      <c r="C1172" s="2" t="s">
        <v>119</v>
      </c>
      <c r="D1172" s="2" t="s">
        <v>2859</v>
      </c>
      <c r="E1172" s="4" t="str">
        <f>HYPERLINK("./Results/DLO\2064\Osteo_Sarco_1.png","RPT")</f>
        <v>RPT</v>
      </c>
      <c r="F1172" s="2" t="s">
        <v>121</v>
      </c>
      <c r="G1172" s="6"/>
      <c r="I1172"/>
      <c r="J1172"/>
      <c r="K1172"/>
    </row>
    <row r="1173" spans="1:11" x14ac:dyDescent="0.3">
      <c r="A1173" s="2" t="s">
        <v>779</v>
      </c>
      <c r="B1173" s="2" t="s">
        <v>139</v>
      </c>
      <c r="C1173" s="2" t="s">
        <v>111</v>
      </c>
      <c r="D1173" s="2" t="s">
        <v>2859</v>
      </c>
      <c r="E1173" s="4" t="str">
        <f>HYPERLINK("./Results/DLO\2065\Osteo_Sarco_1.png","RPT")</f>
        <v>RPT</v>
      </c>
      <c r="F1173" s="2" t="s">
        <v>121</v>
      </c>
      <c r="G1173" s="6"/>
      <c r="I1173"/>
      <c r="J1173"/>
      <c r="K1173"/>
    </row>
    <row r="1174" spans="1:11" x14ac:dyDescent="0.3">
      <c r="A1174" s="2" t="s">
        <v>776</v>
      </c>
      <c r="B1174" s="2" t="s">
        <v>160</v>
      </c>
      <c r="C1174" s="2" t="s">
        <v>111</v>
      </c>
      <c r="D1174" s="2" t="s">
        <v>2859</v>
      </c>
      <c r="E1174" s="4" t="str">
        <f>HYPERLINK("./Results/DLO\2066\Osteo_Sarco_1.png","RPT")</f>
        <v>RPT</v>
      </c>
      <c r="F1174" s="2" t="s">
        <v>121</v>
      </c>
      <c r="G1174" s="6"/>
      <c r="I1174"/>
      <c r="J1174"/>
      <c r="K1174"/>
    </row>
    <row r="1175" spans="1:11" x14ac:dyDescent="0.3">
      <c r="A1175" s="2" t="s">
        <v>781</v>
      </c>
      <c r="B1175" s="2" t="s">
        <v>137</v>
      </c>
      <c r="C1175" s="2" t="s">
        <v>111</v>
      </c>
      <c r="D1175" s="2" t="s">
        <v>2859</v>
      </c>
      <c r="E1175" s="4" t="str">
        <f>HYPERLINK("./Results/DLO\2067\Osteo_Sarco_1.png","RPT")</f>
        <v>RPT</v>
      </c>
      <c r="F1175" s="2" t="s">
        <v>121</v>
      </c>
      <c r="G1175" s="6"/>
      <c r="I1175"/>
      <c r="J1175"/>
      <c r="K1175"/>
    </row>
    <row r="1176" spans="1:11" x14ac:dyDescent="0.3">
      <c r="A1176" s="2" t="s">
        <v>775</v>
      </c>
      <c r="B1176" s="2" t="s">
        <v>148</v>
      </c>
      <c r="C1176" s="2" t="s">
        <v>119</v>
      </c>
      <c r="D1176" s="2" t="s">
        <v>2859</v>
      </c>
      <c r="E1176" s="4" t="str">
        <f>HYPERLINK("./Results/DLO\2068\Osteo_Sarco_1.png","RPT")</f>
        <v>RPT</v>
      </c>
      <c r="F1176" s="2" t="s">
        <v>121</v>
      </c>
      <c r="G1176" s="6"/>
      <c r="H1176" s="1">
        <v>19.04</v>
      </c>
    </row>
    <row r="1177" spans="1:11" x14ac:dyDescent="0.3">
      <c r="A1177" s="2" t="s">
        <v>777</v>
      </c>
      <c r="B1177" s="2" t="s">
        <v>113</v>
      </c>
      <c r="C1177" s="2" t="s">
        <v>111</v>
      </c>
      <c r="D1177" s="2" t="s">
        <v>1935</v>
      </c>
      <c r="E1177" s="4" t="str">
        <f>HYPERLINK("./Results/DLO\2069\Osteo_Sarco_1.png","RPT")</f>
        <v>RPT</v>
      </c>
      <c r="F1177" s="2" t="s">
        <v>121</v>
      </c>
      <c r="G1177" s="6"/>
      <c r="I1177"/>
      <c r="J1177"/>
      <c r="K1177"/>
    </row>
    <row r="1178" spans="1:11" x14ac:dyDescent="0.3">
      <c r="A1178" s="2" t="s">
        <v>772</v>
      </c>
      <c r="B1178" s="2" t="s">
        <v>166</v>
      </c>
      <c r="C1178" s="2" t="s">
        <v>119</v>
      </c>
      <c r="D1178" s="2" t="s">
        <v>2867</v>
      </c>
      <c r="E1178" s="4" t="str">
        <f>HYPERLINK("./Results/DLO\207\Osteo_Sarco_1.png","RPT")</f>
        <v>RPT</v>
      </c>
      <c r="F1178" s="2" t="s">
        <v>121</v>
      </c>
      <c r="G1178" s="6"/>
      <c r="H1178" s="1">
        <v>17.46</v>
      </c>
    </row>
    <row r="1179" spans="1:11" x14ac:dyDescent="0.3">
      <c r="A1179" s="2" t="s">
        <v>785</v>
      </c>
      <c r="B1179" s="2" t="s">
        <v>589</v>
      </c>
      <c r="C1179" s="2" t="s">
        <v>119</v>
      </c>
      <c r="D1179" s="2" t="s">
        <v>2859</v>
      </c>
      <c r="E1179" s="4" t="str">
        <f>HYPERLINK("./Results/DLO\2070\Osteo_Sarco_1.png","RPT")</f>
        <v>RPT</v>
      </c>
      <c r="F1179" s="2" t="s">
        <v>121</v>
      </c>
      <c r="G1179" s="6"/>
      <c r="I1179"/>
      <c r="J1179"/>
      <c r="K1179"/>
    </row>
    <row r="1180" spans="1:11" x14ac:dyDescent="0.3">
      <c r="A1180" s="2" t="s">
        <v>783</v>
      </c>
      <c r="B1180" s="2" t="s">
        <v>122</v>
      </c>
      <c r="C1180" s="2" t="s">
        <v>119</v>
      </c>
      <c r="D1180" s="2" t="s">
        <v>2859</v>
      </c>
      <c r="E1180" s="4" t="str">
        <f>HYPERLINK("./Results/DLO\2071\Osteo_Sarco_1.png","RPT")</f>
        <v>RPT</v>
      </c>
      <c r="F1180" s="2" t="s">
        <v>121</v>
      </c>
      <c r="G1180" s="6"/>
      <c r="I1180"/>
      <c r="J1180"/>
      <c r="K1180"/>
    </row>
    <row r="1181" spans="1:11" x14ac:dyDescent="0.3">
      <c r="A1181" s="2" t="s">
        <v>770</v>
      </c>
      <c r="B1181" s="2" t="s">
        <v>576</v>
      </c>
      <c r="C1181" s="2" t="s">
        <v>111</v>
      </c>
      <c r="D1181" s="2" t="s">
        <v>2859</v>
      </c>
      <c r="E1181" s="4" t="str">
        <f>HYPERLINK("./Results/DLO\2072\Osteo_Sarco_1.png","RPT")</f>
        <v>RPT</v>
      </c>
      <c r="F1181" s="2" t="s">
        <v>121</v>
      </c>
      <c r="G1181" s="6"/>
      <c r="I1181"/>
      <c r="J1181"/>
      <c r="K1181"/>
    </row>
    <row r="1182" spans="1:11" x14ac:dyDescent="0.3">
      <c r="A1182" s="2" t="s">
        <v>778</v>
      </c>
      <c r="B1182" s="2" t="s">
        <v>164</v>
      </c>
      <c r="C1182" s="2" t="s">
        <v>111</v>
      </c>
      <c r="D1182" s="2" t="s">
        <v>2859</v>
      </c>
      <c r="E1182" s="4" t="str">
        <f>HYPERLINK("./Results/DLO\2073\Osteo_Sarco_1.png","RPT")</f>
        <v>RPT</v>
      </c>
      <c r="F1182" s="2" t="s">
        <v>121</v>
      </c>
      <c r="G1182" s="6"/>
      <c r="I1182"/>
      <c r="J1182"/>
      <c r="K1182"/>
    </row>
    <row r="1183" spans="1:11" x14ac:dyDescent="0.3">
      <c r="A1183" s="2" t="s">
        <v>766</v>
      </c>
      <c r="B1183" s="2" t="s">
        <v>123</v>
      </c>
      <c r="C1183" s="2" t="s">
        <v>111</v>
      </c>
      <c r="D1183" s="2" t="s">
        <v>2859</v>
      </c>
      <c r="E1183" s="4" t="str">
        <f>HYPERLINK("./Results/DLO\2074\Osteo_Sarco_1.png","RPT")</f>
        <v>RPT</v>
      </c>
      <c r="F1183" s="2" t="s">
        <v>121</v>
      </c>
      <c r="G1183" s="6"/>
      <c r="H1183" s="1">
        <v>29.29</v>
      </c>
    </row>
    <row r="1184" spans="1:11" x14ac:dyDescent="0.3">
      <c r="A1184" s="2" t="s">
        <v>780</v>
      </c>
      <c r="B1184" s="2" t="s">
        <v>165</v>
      </c>
      <c r="C1184" s="2" t="s">
        <v>111</v>
      </c>
      <c r="D1184" s="2" t="s">
        <v>2867</v>
      </c>
      <c r="E1184" s="4" t="str">
        <f>HYPERLINK("./Results/DLO\2075\Osteo_Sarco_1.png","RPT")</f>
        <v>RPT</v>
      </c>
      <c r="F1184" s="2" t="s">
        <v>121</v>
      </c>
      <c r="G1184" s="6"/>
      <c r="H1184" s="1">
        <v>22.73</v>
      </c>
    </row>
    <row r="1185" spans="1:11" x14ac:dyDescent="0.3">
      <c r="A1185" s="2" t="s">
        <v>769</v>
      </c>
      <c r="B1185" s="2" t="s">
        <v>143</v>
      </c>
      <c r="C1185" s="2" t="s">
        <v>111</v>
      </c>
      <c r="D1185" s="2" t="s">
        <v>2867</v>
      </c>
      <c r="E1185" s="4" t="str">
        <f>HYPERLINK("./Results/DLO\2076\Osteo_Sarco_1.png","RPT")</f>
        <v>RPT</v>
      </c>
      <c r="F1185" s="2" t="s">
        <v>121</v>
      </c>
      <c r="G1185" s="6"/>
      <c r="I1185"/>
      <c r="J1185"/>
      <c r="K1185"/>
    </row>
    <row r="1186" spans="1:11" x14ac:dyDescent="0.3">
      <c r="A1186" s="2" t="s">
        <v>767</v>
      </c>
      <c r="B1186" s="2" t="s">
        <v>138</v>
      </c>
      <c r="C1186" s="2" t="s">
        <v>119</v>
      </c>
      <c r="D1186" s="2" t="s">
        <v>2859</v>
      </c>
      <c r="E1186" s="4" t="str">
        <f>HYPERLINK("./Results/DLO\2077\Osteo_Sarco_1.png","RPT")</f>
        <v>RPT</v>
      </c>
      <c r="F1186" s="2" t="s">
        <v>121</v>
      </c>
      <c r="G1186" s="6"/>
      <c r="I1186"/>
      <c r="J1186"/>
      <c r="K1186"/>
    </row>
    <row r="1187" spans="1:11" x14ac:dyDescent="0.3">
      <c r="A1187" s="2" t="s">
        <v>771</v>
      </c>
      <c r="B1187" s="2" t="s">
        <v>118</v>
      </c>
      <c r="C1187" s="2" t="s">
        <v>111</v>
      </c>
      <c r="D1187" s="2" t="s">
        <v>2859</v>
      </c>
      <c r="E1187" s="4" t="str">
        <f>HYPERLINK("./Results/DLO\2078\Osteo_Sarco_1.png","RPT")</f>
        <v>RPT</v>
      </c>
      <c r="F1187" s="2" t="s">
        <v>121</v>
      </c>
      <c r="G1187" s="6"/>
      <c r="I1187"/>
      <c r="J1187"/>
      <c r="K1187"/>
    </row>
    <row r="1188" spans="1:11" x14ac:dyDescent="0.3">
      <c r="A1188" s="2" t="s">
        <v>773</v>
      </c>
      <c r="B1188" s="2" t="s">
        <v>161</v>
      </c>
      <c r="C1188" s="2" t="s">
        <v>111</v>
      </c>
      <c r="D1188" s="2" t="s">
        <v>2859</v>
      </c>
      <c r="E1188" s="4" t="str">
        <f>HYPERLINK("./Results/DLO\2079\Osteo_Sarco_1.png","RPT")</f>
        <v>RPT</v>
      </c>
      <c r="F1188" s="2" t="s">
        <v>121</v>
      </c>
      <c r="G1188" s="6"/>
      <c r="I1188"/>
      <c r="J1188"/>
      <c r="K1188"/>
    </row>
    <row r="1189" spans="1:11" x14ac:dyDescent="0.3">
      <c r="A1189" s="2" t="s">
        <v>774</v>
      </c>
      <c r="B1189" s="2" t="s">
        <v>126</v>
      </c>
      <c r="C1189" s="2" t="s">
        <v>119</v>
      </c>
      <c r="D1189" s="2" t="s">
        <v>2859</v>
      </c>
      <c r="E1189" s="4" t="str">
        <f>HYPERLINK("./Results/DLO\208\Osteo_Sarco_1.png","RPT")</f>
        <v>RPT</v>
      </c>
      <c r="F1189" s="2" t="s">
        <v>121</v>
      </c>
      <c r="G1189" s="6"/>
      <c r="I1189"/>
      <c r="J1189"/>
      <c r="K1189"/>
    </row>
    <row r="1190" spans="1:11" x14ac:dyDescent="0.3">
      <c r="A1190" s="2" t="s">
        <v>804</v>
      </c>
      <c r="B1190" s="2" t="s">
        <v>160</v>
      </c>
      <c r="C1190" s="2" t="s">
        <v>119</v>
      </c>
      <c r="D1190" s="2" t="s">
        <v>1960</v>
      </c>
      <c r="E1190" s="4" t="str">
        <f>HYPERLINK("./Results/DLO\2080\Osteo_Sarco_1.png","RPT")</f>
        <v>RPT</v>
      </c>
      <c r="F1190" s="2" t="s">
        <v>121</v>
      </c>
      <c r="G1190" s="6"/>
      <c r="I1190"/>
      <c r="J1190"/>
      <c r="K1190"/>
    </row>
    <row r="1191" spans="1:11" x14ac:dyDescent="0.3">
      <c r="A1191" s="2" t="s">
        <v>806</v>
      </c>
      <c r="B1191" s="2" t="s">
        <v>165</v>
      </c>
      <c r="C1191" s="2" t="s">
        <v>111</v>
      </c>
      <c r="D1191" s="2" t="s">
        <v>2867</v>
      </c>
      <c r="E1191" s="4" t="str">
        <f>HYPERLINK("./Results/DLO\2081\Osteo_Sarco_1.png","RPT")</f>
        <v>RPT</v>
      </c>
      <c r="F1191" s="2" t="s">
        <v>121</v>
      </c>
      <c r="G1191" s="6"/>
      <c r="I1191"/>
      <c r="J1191"/>
      <c r="K1191"/>
    </row>
    <row r="1192" spans="1:11" x14ac:dyDescent="0.3">
      <c r="A1192" s="2" t="s">
        <v>810</v>
      </c>
      <c r="B1192" s="2" t="s">
        <v>127</v>
      </c>
      <c r="C1192" s="2" t="s">
        <v>111</v>
      </c>
      <c r="D1192" s="2" t="s">
        <v>2859</v>
      </c>
      <c r="E1192" s="4" t="str">
        <f>HYPERLINK("./Results/DLO\2082\Osteo_Sarco_1.png","RPT")</f>
        <v>RPT</v>
      </c>
      <c r="F1192" s="2" t="s">
        <v>121</v>
      </c>
      <c r="G1192" s="6"/>
      <c r="H1192" s="1">
        <v>25.67</v>
      </c>
    </row>
    <row r="1193" spans="1:11" x14ac:dyDescent="0.3">
      <c r="A1193" s="2" t="s">
        <v>789</v>
      </c>
      <c r="B1193" s="2" t="s">
        <v>114</v>
      </c>
      <c r="C1193" s="2" t="s">
        <v>119</v>
      </c>
      <c r="D1193" s="2" t="s">
        <v>2859</v>
      </c>
      <c r="E1193" s="4" t="str">
        <f>HYPERLINK("./Results/DLO\2083\Osteo_Sarco_1.png","RPT")</f>
        <v>RPT</v>
      </c>
      <c r="F1193" s="2" t="s">
        <v>121</v>
      </c>
      <c r="G1193" s="6"/>
      <c r="I1193"/>
      <c r="J1193"/>
      <c r="K1193"/>
    </row>
    <row r="1194" spans="1:11" x14ac:dyDescent="0.3">
      <c r="A1194" s="2" t="s">
        <v>811</v>
      </c>
      <c r="B1194" s="2" t="s">
        <v>587</v>
      </c>
      <c r="C1194" s="2" t="s">
        <v>119</v>
      </c>
      <c r="D1194" s="2" t="s">
        <v>2859</v>
      </c>
      <c r="E1194" s="4" t="str">
        <f>HYPERLINK("./Results/DLO\2084\Osteo_Sarco_1.png","RPT")</f>
        <v>RPT</v>
      </c>
      <c r="F1194" s="2" t="s">
        <v>121</v>
      </c>
      <c r="G1194" s="6"/>
      <c r="I1194"/>
      <c r="J1194"/>
      <c r="K1194"/>
    </row>
    <row r="1195" spans="1:11" x14ac:dyDescent="0.3">
      <c r="A1195" s="2" t="s">
        <v>790</v>
      </c>
      <c r="B1195" s="2" t="s">
        <v>134</v>
      </c>
      <c r="C1195" s="2" t="s">
        <v>111</v>
      </c>
      <c r="D1195" s="2" t="s">
        <v>2859</v>
      </c>
      <c r="E1195" s="4" t="str">
        <f>HYPERLINK("./Results/DLO\2085\Osteo_Sarco_1.png","RPT")</f>
        <v>RPT</v>
      </c>
      <c r="F1195" s="2" t="s">
        <v>121</v>
      </c>
      <c r="G1195" s="6"/>
      <c r="H1195" s="1">
        <v>28.28</v>
      </c>
    </row>
    <row r="1196" spans="1:11" x14ac:dyDescent="0.3">
      <c r="A1196" s="2" t="s">
        <v>795</v>
      </c>
      <c r="B1196" s="2" t="s">
        <v>126</v>
      </c>
      <c r="C1196" s="2" t="s">
        <v>111</v>
      </c>
      <c r="D1196" s="2" t="s">
        <v>2859</v>
      </c>
      <c r="E1196" s="4" t="str">
        <f>HYPERLINK("./Results/DLO\2086\Osteo_Sarco_1.png","RPT")</f>
        <v>RPT</v>
      </c>
      <c r="F1196" s="2" t="s">
        <v>121</v>
      </c>
      <c r="G1196" s="6"/>
      <c r="I1196"/>
      <c r="J1196"/>
      <c r="K1196"/>
    </row>
    <row r="1197" spans="1:11" x14ac:dyDescent="0.3">
      <c r="A1197" s="2" t="s">
        <v>791</v>
      </c>
      <c r="B1197" s="2" t="s">
        <v>151</v>
      </c>
      <c r="C1197" s="2" t="s">
        <v>119</v>
      </c>
      <c r="D1197" s="2" t="s">
        <v>2859</v>
      </c>
      <c r="E1197" s="4" t="str">
        <f>HYPERLINK("./Results/DLO\2087\Osteo_Sarco_1.png","RPT")</f>
        <v>RPT</v>
      </c>
      <c r="F1197" s="2" t="s">
        <v>121</v>
      </c>
      <c r="G1197" s="6"/>
      <c r="I1197"/>
      <c r="J1197"/>
      <c r="K1197"/>
    </row>
    <row r="1198" spans="1:11" x14ac:dyDescent="0.3">
      <c r="A1198" s="2" t="s">
        <v>794</v>
      </c>
      <c r="B1198" s="2" t="s">
        <v>163</v>
      </c>
      <c r="C1198" s="2" t="s">
        <v>111</v>
      </c>
      <c r="D1198" s="2" t="s">
        <v>2859</v>
      </c>
      <c r="E1198" s="4" t="str">
        <f>HYPERLINK("./Results/DLO\2088\Osteo_Sarco_1.png","RPT")</f>
        <v>RPT</v>
      </c>
      <c r="F1198" s="2" t="s">
        <v>121</v>
      </c>
      <c r="G1198" s="6"/>
      <c r="I1198"/>
      <c r="J1198"/>
      <c r="K1198"/>
    </row>
    <row r="1199" spans="1:11" x14ac:dyDescent="0.3">
      <c r="A1199" s="2" t="s">
        <v>796</v>
      </c>
      <c r="B1199" s="2" t="s">
        <v>125</v>
      </c>
      <c r="C1199" s="2" t="s">
        <v>111</v>
      </c>
      <c r="D1199" s="2" t="s">
        <v>2859</v>
      </c>
      <c r="E1199" s="4" t="str">
        <f>HYPERLINK("./Results/DLO\2089\Osteo_Sarco_1.png","RPT")</f>
        <v>RPT</v>
      </c>
      <c r="F1199" s="2" t="s">
        <v>121</v>
      </c>
      <c r="G1199" s="6"/>
      <c r="I1199"/>
      <c r="J1199"/>
      <c r="K1199"/>
    </row>
    <row r="1200" spans="1:11" x14ac:dyDescent="0.3">
      <c r="A1200" s="2" t="s">
        <v>805</v>
      </c>
      <c r="B1200" s="2" t="s">
        <v>131</v>
      </c>
      <c r="C1200" s="2" t="s">
        <v>119</v>
      </c>
      <c r="D1200" s="2" t="s">
        <v>2859</v>
      </c>
      <c r="E1200" s="4" t="str">
        <f>HYPERLINK("./Results/DLO\209\Osteo_Sarco_1.png","RPT")</f>
        <v>RPT</v>
      </c>
      <c r="F1200" s="2" t="s">
        <v>121</v>
      </c>
      <c r="G1200" s="6"/>
      <c r="I1200"/>
      <c r="J1200"/>
      <c r="K1200"/>
    </row>
    <row r="1201" spans="1:11" x14ac:dyDescent="0.3">
      <c r="A1201" s="2" t="s">
        <v>807</v>
      </c>
      <c r="B1201" s="2" t="s">
        <v>123</v>
      </c>
      <c r="C1201" s="2" t="s">
        <v>111</v>
      </c>
      <c r="D1201" s="2" t="s">
        <v>2859</v>
      </c>
      <c r="E1201" s="4" t="str">
        <f>HYPERLINK("./Results/DLO\2090\Osteo_Sarco_1.png","RPT")</f>
        <v>RPT</v>
      </c>
      <c r="F1201" s="2" t="s">
        <v>121</v>
      </c>
      <c r="G1201" s="6"/>
      <c r="H1201" s="1">
        <v>25.18</v>
      </c>
    </row>
    <row r="1202" spans="1:11" x14ac:dyDescent="0.3">
      <c r="A1202" s="2" t="s">
        <v>799</v>
      </c>
      <c r="B1202" s="2" t="s">
        <v>120</v>
      </c>
      <c r="C1202" s="2" t="s">
        <v>119</v>
      </c>
      <c r="D1202" s="2" t="s">
        <v>2859</v>
      </c>
      <c r="E1202" s="4" t="str">
        <f>HYPERLINK("./Results/DLO\2091\Osteo_Sarco_1.png","RPT")</f>
        <v>RPT</v>
      </c>
      <c r="F1202" s="2" t="s">
        <v>121</v>
      </c>
      <c r="G1202" s="6"/>
      <c r="I1202"/>
      <c r="J1202"/>
      <c r="K1202"/>
    </row>
    <row r="1203" spans="1:11" x14ac:dyDescent="0.3">
      <c r="A1203" s="2" t="s">
        <v>788</v>
      </c>
      <c r="B1203" s="2" t="s">
        <v>152</v>
      </c>
      <c r="C1203" s="2" t="s">
        <v>119</v>
      </c>
      <c r="D1203" s="2" t="s">
        <v>2859</v>
      </c>
      <c r="E1203" s="4" t="str">
        <f>HYPERLINK("./Results/DLO\2092\Osteo_Sarco_1.png","RPT")</f>
        <v>RPT</v>
      </c>
      <c r="F1203" s="2" t="s">
        <v>121</v>
      </c>
      <c r="G1203" s="6"/>
      <c r="I1203"/>
      <c r="J1203"/>
      <c r="K1203"/>
    </row>
    <row r="1204" spans="1:11" x14ac:dyDescent="0.3">
      <c r="A1204" s="2" t="s">
        <v>800</v>
      </c>
      <c r="B1204" s="2" t="s">
        <v>163</v>
      </c>
      <c r="C1204" s="2" t="s">
        <v>119</v>
      </c>
      <c r="D1204" s="2" t="s">
        <v>2859</v>
      </c>
      <c r="E1204" s="4" t="str">
        <f>HYPERLINK("./Results/DLO\2094\Osteo_Sarco_1.png","RPT")</f>
        <v>RPT</v>
      </c>
      <c r="F1204" s="2" t="s">
        <v>121</v>
      </c>
      <c r="G1204" s="6"/>
      <c r="I1204"/>
      <c r="J1204"/>
      <c r="K1204"/>
    </row>
    <row r="1205" spans="1:11" x14ac:dyDescent="0.3">
      <c r="A1205" s="2" t="s">
        <v>808</v>
      </c>
      <c r="B1205" s="2" t="s">
        <v>133</v>
      </c>
      <c r="C1205" s="2" t="s">
        <v>111</v>
      </c>
      <c r="D1205" s="2" t="s">
        <v>2859</v>
      </c>
      <c r="E1205" s="4" t="str">
        <f>HYPERLINK("./Results/DLO\2095\Osteo_Sarco_1.png","RPT")</f>
        <v>RPT</v>
      </c>
      <c r="F1205" s="2" t="s">
        <v>121</v>
      </c>
      <c r="G1205" s="6"/>
      <c r="I1205"/>
      <c r="J1205"/>
      <c r="K1205"/>
    </row>
    <row r="1206" spans="1:11" x14ac:dyDescent="0.3">
      <c r="A1206" s="2" t="s">
        <v>792</v>
      </c>
      <c r="B1206" s="2" t="s">
        <v>127</v>
      </c>
      <c r="C1206" s="2" t="s">
        <v>119</v>
      </c>
      <c r="D1206" s="2" t="s">
        <v>2867</v>
      </c>
      <c r="E1206" s="4" t="str">
        <f>HYPERLINK("./Results/DLO\2096\Osteo_Sarco_1.png","RPT")</f>
        <v>RPT</v>
      </c>
      <c r="F1206" s="2" t="s">
        <v>121</v>
      </c>
      <c r="G1206" s="6"/>
      <c r="H1206" s="1">
        <v>21.31</v>
      </c>
    </row>
    <row r="1207" spans="1:11" x14ac:dyDescent="0.3">
      <c r="A1207" s="2" t="s">
        <v>797</v>
      </c>
      <c r="B1207" s="2" t="s">
        <v>167</v>
      </c>
      <c r="C1207" s="2" t="s">
        <v>119</v>
      </c>
      <c r="D1207" s="2" t="s">
        <v>2867</v>
      </c>
      <c r="E1207" s="4" t="str">
        <f>HYPERLINK("./Results/DLO\2097\Osteo_Sarco_1.png","RPT")</f>
        <v>RPT</v>
      </c>
      <c r="F1207" s="2" t="s">
        <v>121</v>
      </c>
      <c r="G1207" s="6"/>
      <c r="I1207"/>
      <c r="J1207"/>
      <c r="K1207"/>
    </row>
    <row r="1208" spans="1:11" x14ac:dyDescent="0.3">
      <c r="A1208" s="2" t="s">
        <v>801</v>
      </c>
      <c r="B1208" s="2" t="s">
        <v>148</v>
      </c>
      <c r="C1208" s="2" t="s">
        <v>119</v>
      </c>
      <c r="D1208" s="2" t="s">
        <v>2859</v>
      </c>
      <c r="E1208" s="4" t="str">
        <f>HYPERLINK("./Results/DLO\2098\Osteo_Sarco_1.png","RPT")</f>
        <v>RPT</v>
      </c>
      <c r="F1208" s="2" t="s">
        <v>121</v>
      </c>
      <c r="G1208" s="6"/>
      <c r="H1208" s="1">
        <v>20.309999999999999</v>
      </c>
    </row>
    <row r="1209" spans="1:11" x14ac:dyDescent="0.3">
      <c r="A1209" s="2" t="s">
        <v>802</v>
      </c>
      <c r="B1209" s="2" t="s">
        <v>126</v>
      </c>
      <c r="C1209" s="2" t="s">
        <v>119</v>
      </c>
      <c r="D1209" s="2" t="s">
        <v>2859</v>
      </c>
      <c r="E1209" s="4" t="str">
        <f>HYPERLINK("./Results/DLO\2099\Osteo_Sarco_1.png","RPT")</f>
        <v>RPT</v>
      </c>
      <c r="F1209" s="2" t="s">
        <v>121</v>
      </c>
      <c r="G1209" s="6"/>
      <c r="I1209"/>
      <c r="J1209"/>
      <c r="K1209"/>
    </row>
    <row r="1210" spans="1:11" x14ac:dyDescent="0.3">
      <c r="A1210" s="2" t="s">
        <v>793</v>
      </c>
      <c r="B1210" s="2" t="s">
        <v>118</v>
      </c>
      <c r="C1210" s="2" t="s">
        <v>119</v>
      </c>
      <c r="D1210" s="2" t="s">
        <v>2859</v>
      </c>
      <c r="E1210" s="4" t="str">
        <f>HYPERLINK("./Results/DLO\21\Osteo_Sarco_1.png","RPT")</f>
        <v>RPT</v>
      </c>
      <c r="F1210" s="2" t="s">
        <v>121</v>
      </c>
      <c r="G1210" s="6"/>
      <c r="I1210"/>
      <c r="J1210"/>
      <c r="K1210"/>
    </row>
    <row r="1211" spans="1:11" x14ac:dyDescent="0.3">
      <c r="A1211" s="2" t="s">
        <v>803</v>
      </c>
      <c r="B1211" s="2" t="s">
        <v>591</v>
      </c>
      <c r="C1211" s="2" t="s">
        <v>111</v>
      </c>
      <c r="D1211" s="2" t="s">
        <v>2859</v>
      </c>
      <c r="E1211" s="4" t="str">
        <f>HYPERLINK("./Results/DLO\210\Osteo_Sarco_1.png","RPT")</f>
        <v>RPT</v>
      </c>
      <c r="F1211" s="2" t="s">
        <v>121</v>
      </c>
      <c r="G1211" s="6"/>
      <c r="H1211" s="1">
        <v>25.78</v>
      </c>
    </row>
    <row r="1212" spans="1:11" x14ac:dyDescent="0.3">
      <c r="A1212" s="2" t="s">
        <v>798</v>
      </c>
      <c r="B1212" s="2" t="s">
        <v>142</v>
      </c>
      <c r="C1212" s="2" t="s">
        <v>119</v>
      </c>
      <c r="D1212" s="2" t="s">
        <v>2859</v>
      </c>
      <c r="E1212" s="4" t="str">
        <f>HYPERLINK("./Results/DLO\2100\Osteo_Sarco_1.png","RPT")</f>
        <v>RPT</v>
      </c>
      <c r="F1212" s="2" t="s">
        <v>121</v>
      </c>
      <c r="G1212" s="6"/>
      <c r="I1212"/>
      <c r="J1212"/>
      <c r="K1212"/>
    </row>
    <row r="1213" spans="1:11" x14ac:dyDescent="0.3">
      <c r="A1213" s="2" t="s">
        <v>809</v>
      </c>
      <c r="B1213" s="2" t="s">
        <v>571</v>
      </c>
      <c r="C1213" s="2" t="s">
        <v>111</v>
      </c>
      <c r="D1213" s="2" t="s">
        <v>1935</v>
      </c>
      <c r="E1213" s="4" t="str">
        <f>HYPERLINK("./Results/DLO\2101\Osteo_Sarco_1.png","RPT")</f>
        <v>RPT</v>
      </c>
      <c r="F1213" s="2" t="s">
        <v>121</v>
      </c>
      <c r="G1213" s="6"/>
      <c r="H1213" s="1">
        <v>15.55</v>
      </c>
    </row>
    <row r="1214" spans="1:11" x14ac:dyDescent="0.3">
      <c r="A1214" s="2" t="s">
        <v>820</v>
      </c>
      <c r="B1214" s="2" t="s">
        <v>167</v>
      </c>
      <c r="C1214" s="2" t="s">
        <v>119</v>
      </c>
      <c r="D1214" s="2" t="s">
        <v>2867</v>
      </c>
      <c r="E1214" s="4" t="str">
        <f>HYPERLINK("./Results/DLO\2102\Osteo_Sarco_1.png","RPT")</f>
        <v>RPT</v>
      </c>
      <c r="F1214" s="2" t="s">
        <v>121</v>
      </c>
      <c r="G1214" s="6"/>
      <c r="H1214" s="1">
        <v>26.97</v>
      </c>
    </row>
    <row r="1215" spans="1:11" x14ac:dyDescent="0.3">
      <c r="A1215" s="2" t="s">
        <v>825</v>
      </c>
      <c r="B1215" s="2" t="s">
        <v>142</v>
      </c>
      <c r="C1215" s="2" t="s">
        <v>119</v>
      </c>
      <c r="D1215" s="2" t="s">
        <v>2859</v>
      </c>
      <c r="E1215" s="4" t="str">
        <f>HYPERLINK("./Results/DLO\2103\Osteo_Sarco_1.png","RPT")</f>
        <v>RPT</v>
      </c>
      <c r="F1215" s="2" t="s">
        <v>121</v>
      </c>
      <c r="G1215" s="6"/>
      <c r="I1215"/>
      <c r="J1215"/>
      <c r="K1215"/>
    </row>
    <row r="1216" spans="1:11" x14ac:dyDescent="0.3">
      <c r="A1216" s="2" t="s">
        <v>836</v>
      </c>
      <c r="B1216" s="2" t="s">
        <v>577</v>
      </c>
      <c r="C1216" s="2" t="s">
        <v>119</v>
      </c>
      <c r="D1216" s="2" t="s">
        <v>2867</v>
      </c>
      <c r="E1216" s="4" t="str">
        <f>HYPERLINK("./Results/DLO\2104\Osteo_Sarco_1.png","RPT")</f>
        <v>RPT</v>
      </c>
      <c r="F1216" s="2" t="s">
        <v>121</v>
      </c>
      <c r="G1216" s="6"/>
      <c r="H1216" s="1">
        <v>16.71</v>
      </c>
    </row>
    <row r="1217" spans="1:11" x14ac:dyDescent="0.3">
      <c r="A1217" s="2" t="s">
        <v>835</v>
      </c>
      <c r="B1217" s="2" t="s">
        <v>140</v>
      </c>
      <c r="C1217" s="2" t="s">
        <v>111</v>
      </c>
      <c r="D1217" s="2" t="s">
        <v>2859</v>
      </c>
      <c r="E1217" s="4" t="str">
        <f>HYPERLINK("./Results/DLO\2105\Osteo_Sarco_1.png","RPT")</f>
        <v>RPT</v>
      </c>
      <c r="F1217" s="2" t="s">
        <v>121</v>
      </c>
      <c r="G1217" s="6"/>
      <c r="I1217"/>
      <c r="J1217"/>
      <c r="K1217"/>
    </row>
    <row r="1218" spans="1:11" x14ac:dyDescent="0.3">
      <c r="A1218" s="2" t="s">
        <v>822</v>
      </c>
      <c r="B1218" s="2" t="s">
        <v>587</v>
      </c>
      <c r="C1218" s="2" t="s">
        <v>119</v>
      </c>
      <c r="D1218" s="2" t="s">
        <v>2859</v>
      </c>
      <c r="E1218" s="4" t="str">
        <f>HYPERLINK("./Results/DLO\2106\Osteo_Sarco_1.png","RPT")</f>
        <v>RPT</v>
      </c>
      <c r="F1218" s="2" t="s">
        <v>121</v>
      </c>
      <c r="G1218" s="6"/>
      <c r="I1218"/>
      <c r="J1218"/>
      <c r="K1218"/>
    </row>
    <row r="1219" spans="1:11" x14ac:dyDescent="0.3">
      <c r="A1219" s="2" t="s">
        <v>818</v>
      </c>
      <c r="B1219" s="2" t="s">
        <v>165</v>
      </c>
      <c r="C1219" s="2" t="s">
        <v>119</v>
      </c>
      <c r="D1219" s="2" t="s">
        <v>2859</v>
      </c>
      <c r="E1219" s="4" t="str">
        <f>HYPERLINK("./Results/DLO\2107\Osteo_Sarco_1.png","RPT")</f>
        <v>RPT</v>
      </c>
      <c r="F1219" s="2" t="s">
        <v>121</v>
      </c>
      <c r="G1219" s="6"/>
      <c r="H1219" s="1">
        <v>26.28</v>
      </c>
    </row>
    <row r="1220" spans="1:11" x14ac:dyDescent="0.3">
      <c r="A1220" s="2" t="s">
        <v>821</v>
      </c>
      <c r="B1220" s="2" t="s">
        <v>572</v>
      </c>
      <c r="C1220" s="2" t="s">
        <v>111</v>
      </c>
      <c r="D1220" s="2" t="s">
        <v>2859</v>
      </c>
      <c r="E1220" s="4" t="str">
        <f>HYPERLINK("./Results/DLO\2108\Osteo_Sarco_1.png","RPT")</f>
        <v>RPT</v>
      </c>
      <c r="F1220" s="2" t="s">
        <v>121</v>
      </c>
      <c r="G1220" s="6"/>
      <c r="I1220"/>
      <c r="J1220"/>
      <c r="K1220"/>
    </row>
    <row r="1221" spans="1:11" x14ac:dyDescent="0.3">
      <c r="A1221" s="2" t="s">
        <v>829</v>
      </c>
      <c r="B1221" s="2" t="s">
        <v>163</v>
      </c>
      <c r="C1221" s="2" t="s">
        <v>119</v>
      </c>
      <c r="D1221" s="2" t="s">
        <v>2867</v>
      </c>
      <c r="E1221" s="4" t="str">
        <f>HYPERLINK("./Results/DLO\2109\Osteo_Sarco_1.png","RPT")</f>
        <v>RPT</v>
      </c>
      <c r="F1221" s="2" t="s">
        <v>121</v>
      </c>
      <c r="G1221" s="6"/>
      <c r="I1221"/>
      <c r="J1221"/>
      <c r="K1221"/>
    </row>
    <row r="1222" spans="1:11" x14ac:dyDescent="0.3">
      <c r="A1222" s="2" t="s">
        <v>812</v>
      </c>
      <c r="B1222" s="2" t="s">
        <v>142</v>
      </c>
      <c r="C1222" s="2" t="s">
        <v>119</v>
      </c>
      <c r="D1222" s="2" t="s">
        <v>2867</v>
      </c>
      <c r="E1222" s="4" t="str">
        <f>HYPERLINK("./Results/DLO\211\Osteo_Sarco_1.png","RPT")</f>
        <v>RPT</v>
      </c>
      <c r="F1222" s="2" t="s">
        <v>121</v>
      </c>
      <c r="G1222" s="6"/>
      <c r="I1222"/>
      <c r="J1222"/>
      <c r="K1222"/>
    </row>
    <row r="1223" spans="1:11" x14ac:dyDescent="0.3">
      <c r="A1223" s="2" t="s">
        <v>833</v>
      </c>
      <c r="B1223" s="2" t="s">
        <v>136</v>
      </c>
      <c r="C1223" s="2" t="s">
        <v>119</v>
      </c>
      <c r="D1223" s="2" t="s">
        <v>2859</v>
      </c>
      <c r="E1223" s="4" t="str">
        <f>HYPERLINK("./Results/DLO\2110\Osteo_Sarco_1.png","RPT")</f>
        <v>RPT</v>
      </c>
      <c r="F1223" s="2" t="s">
        <v>121</v>
      </c>
      <c r="G1223" s="6"/>
      <c r="I1223"/>
      <c r="J1223"/>
      <c r="K1223"/>
    </row>
    <row r="1224" spans="1:11" x14ac:dyDescent="0.3">
      <c r="A1224" s="2" t="s">
        <v>831</v>
      </c>
      <c r="B1224" s="2" t="s">
        <v>116</v>
      </c>
      <c r="C1224" s="2" t="s">
        <v>119</v>
      </c>
      <c r="D1224" s="2" t="s">
        <v>2859</v>
      </c>
      <c r="E1224" s="4" t="str">
        <f>HYPERLINK("./Results/DLO\2111\Osteo_Sarco_1.png","RPT")</f>
        <v>RPT</v>
      </c>
      <c r="F1224" s="2" t="s">
        <v>121</v>
      </c>
      <c r="G1224" s="6"/>
      <c r="H1224" s="1">
        <v>22.72</v>
      </c>
    </row>
    <row r="1225" spans="1:11" x14ac:dyDescent="0.3">
      <c r="A1225" s="2" t="s">
        <v>834</v>
      </c>
      <c r="B1225" s="2" t="s">
        <v>123</v>
      </c>
      <c r="C1225" s="2" t="s">
        <v>119</v>
      </c>
      <c r="D1225" s="2" t="s">
        <v>2859</v>
      </c>
      <c r="E1225" s="4" t="str">
        <f>HYPERLINK("./Results/DLO\2112\Osteo_Sarco_1.png","RPT")</f>
        <v>RPT</v>
      </c>
      <c r="F1225" s="2" t="s">
        <v>121</v>
      </c>
      <c r="G1225" s="6"/>
      <c r="H1225" s="1">
        <v>24.14</v>
      </c>
    </row>
    <row r="1226" spans="1:11" x14ac:dyDescent="0.3">
      <c r="A1226" s="2" t="s">
        <v>819</v>
      </c>
      <c r="B1226" s="2" t="s">
        <v>126</v>
      </c>
      <c r="C1226" s="2" t="s">
        <v>119</v>
      </c>
      <c r="D1226" s="2" t="s">
        <v>2859</v>
      </c>
      <c r="E1226" s="4" t="str">
        <f>HYPERLINK("./Results/DLO\2113\Osteo_Sarco_1.png","RPT")</f>
        <v>RPT</v>
      </c>
      <c r="F1226" s="2" t="s">
        <v>121</v>
      </c>
      <c r="G1226" s="6"/>
      <c r="I1226"/>
      <c r="J1226"/>
      <c r="K1226"/>
    </row>
    <row r="1227" spans="1:11" x14ac:dyDescent="0.3">
      <c r="A1227" s="2" t="s">
        <v>830</v>
      </c>
      <c r="B1227" s="2" t="s">
        <v>165</v>
      </c>
      <c r="C1227" s="2" t="s">
        <v>111</v>
      </c>
      <c r="D1227" s="2" t="s">
        <v>2867</v>
      </c>
      <c r="E1227" s="4" t="str">
        <f>HYPERLINK("./Results/DLO\2114\Osteo_Sarco_1.png","RPT")</f>
        <v>RPT</v>
      </c>
      <c r="F1227" s="2" t="s">
        <v>121</v>
      </c>
      <c r="G1227" s="6"/>
      <c r="I1227"/>
      <c r="J1227"/>
      <c r="K1227"/>
    </row>
    <row r="1228" spans="1:11" x14ac:dyDescent="0.3">
      <c r="A1228" s="2" t="s">
        <v>824</v>
      </c>
      <c r="B1228" s="2" t="s">
        <v>148</v>
      </c>
      <c r="C1228" s="2" t="s">
        <v>111</v>
      </c>
      <c r="D1228" s="2" t="s">
        <v>2867</v>
      </c>
      <c r="E1228" s="4" t="str">
        <f>HYPERLINK("./Results/DLO\2115\Osteo_Sarco_1.png","RPT")</f>
        <v>RPT</v>
      </c>
      <c r="F1228" s="2" t="s">
        <v>121</v>
      </c>
      <c r="G1228" s="6"/>
      <c r="I1228"/>
      <c r="J1228"/>
      <c r="K1228"/>
    </row>
    <row r="1229" spans="1:11" x14ac:dyDescent="0.3">
      <c r="A1229" s="2" t="s">
        <v>823</v>
      </c>
      <c r="B1229" s="2" t="s">
        <v>146</v>
      </c>
      <c r="C1229" s="2" t="s">
        <v>119</v>
      </c>
      <c r="D1229" s="2" t="s">
        <v>2859</v>
      </c>
      <c r="E1229" s="4" t="str">
        <f>HYPERLINK("./Results/DLO\2116\Osteo_Sarco_1.png","RPT")</f>
        <v>RPT</v>
      </c>
      <c r="F1229" s="2" t="s">
        <v>121</v>
      </c>
      <c r="G1229" s="6"/>
      <c r="I1229"/>
      <c r="J1229"/>
      <c r="K1229"/>
    </row>
    <row r="1230" spans="1:11" x14ac:dyDescent="0.3">
      <c r="A1230" s="2" t="s">
        <v>816</v>
      </c>
      <c r="B1230" s="2" t="s">
        <v>118</v>
      </c>
      <c r="C1230" s="2" t="s">
        <v>111</v>
      </c>
      <c r="D1230" s="2" t="s">
        <v>2859</v>
      </c>
      <c r="E1230" s="4" t="str">
        <f>HYPERLINK("./Results/DLO\2117\Osteo_Sarco_1.png","RPT")</f>
        <v>RPT</v>
      </c>
      <c r="F1230" s="2" t="s">
        <v>121</v>
      </c>
      <c r="G1230" s="6"/>
      <c r="I1230"/>
      <c r="J1230"/>
      <c r="K1230"/>
    </row>
    <row r="1231" spans="1:11" x14ac:dyDescent="0.3">
      <c r="A1231" s="2" t="s">
        <v>813</v>
      </c>
      <c r="B1231" s="2" t="s">
        <v>142</v>
      </c>
      <c r="C1231" s="2" t="s">
        <v>119</v>
      </c>
      <c r="D1231" s="2" t="s">
        <v>2867</v>
      </c>
      <c r="E1231" s="4" t="str">
        <f>HYPERLINK("./Results/DLO\2118\Osteo_Sarco_1.png","RPT")</f>
        <v>RPT</v>
      </c>
      <c r="F1231" s="2" t="s">
        <v>121</v>
      </c>
      <c r="G1231" s="6"/>
      <c r="H1231" s="1">
        <v>20.55</v>
      </c>
    </row>
    <row r="1232" spans="1:11" x14ac:dyDescent="0.3">
      <c r="A1232" s="2" t="s">
        <v>826</v>
      </c>
      <c r="B1232" s="2" t="s">
        <v>165</v>
      </c>
      <c r="C1232" s="2" t="s">
        <v>119</v>
      </c>
      <c r="D1232" s="2" t="s">
        <v>2859</v>
      </c>
      <c r="E1232" s="4" t="str">
        <f>HYPERLINK("./Results/DLO\2119\Osteo_Sarco_1.png","RPT")</f>
        <v>RPT</v>
      </c>
      <c r="F1232" s="2" t="s">
        <v>121</v>
      </c>
      <c r="G1232" s="6"/>
      <c r="I1232"/>
      <c r="J1232"/>
      <c r="K1232"/>
    </row>
    <row r="1233" spans="1:11" x14ac:dyDescent="0.3">
      <c r="A1233" s="2" t="s">
        <v>832</v>
      </c>
      <c r="B1233" s="2" t="s">
        <v>112</v>
      </c>
      <c r="C1233" s="2" t="s">
        <v>111</v>
      </c>
      <c r="D1233" s="2" t="s">
        <v>2859</v>
      </c>
      <c r="E1233" s="4" t="str">
        <f>HYPERLINK("./Results/DLO\212\Osteo_Sarco_1.png","RPT")</f>
        <v>RPT</v>
      </c>
      <c r="F1233" s="2" t="s">
        <v>121</v>
      </c>
      <c r="G1233" s="6"/>
      <c r="H1233" s="1">
        <v>21.61</v>
      </c>
    </row>
    <row r="1234" spans="1:11" x14ac:dyDescent="0.3">
      <c r="A1234" s="2" t="s">
        <v>827</v>
      </c>
      <c r="B1234" s="2" t="s">
        <v>131</v>
      </c>
      <c r="C1234" s="2" t="s">
        <v>119</v>
      </c>
      <c r="D1234" s="2" t="s">
        <v>2859</v>
      </c>
      <c r="E1234" s="4" t="str">
        <f>HYPERLINK("./Results/DLO\2120\Osteo_Sarco_1.png","RPT")</f>
        <v>RPT</v>
      </c>
      <c r="F1234" s="2" t="s">
        <v>121</v>
      </c>
      <c r="G1234" s="6"/>
      <c r="I1234"/>
      <c r="J1234"/>
      <c r="K1234"/>
    </row>
    <row r="1235" spans="1:11" x14ac:dyDescent="0.3">
      <c r="A1235" s="2" t="s">
        <v>837</v>
      </c>
      <c r="B1235" s="2" t="s">
        <v>116</v>
      </c>
      <c r="C1235" s="2" t="s">
        <v>111</v>
      </c>
      <c r="D1235" s="2" t="s">
        <v>2859</v>
      </c>
      <c r="E1235" s="4" t="str">
        <f>HYPERLINK("./Results/DLO\2121\Osteo_Sarco_1.png","RPT")</f>
        <v>RPT</v>
      </c>
      <c r="F1235" s="2" t="s">
        <v>121</v>
      </c>
      <c r="G1235" s="6"/>
      <c r="I1235"/>
      <c r="J1235"/>
      <c r="K1235"/>
    </row>
    <row r="1236" spans="1:11" x14ac:dyDescent="0.3">
      <c r="A1236" s="2" t="s">
        <v>814</v>
      </c>
      <c r="B1236" s="2" t="s">
        <v>122</v>
      </c>
      <c r="C1236" s="2" t="s">
        <v>111</v>
      </c>
      <c r="D1236" s="2" t="s">
        <v>2867</v>
      </c>
      <c r="E1236" s="4" t="str">
        <f>HYPERLINK("./Results/DLO\2122\Osteo_Sarco_1.png","RPT")</f>
        <v>RPT</v>
      </c>
      <c r="F1236" s="2" t="s">
        <v>121</v>
      </c>
      <c r="G1236" s="6"/>
      <c r="I1236"/>
      <c r="J1236"/>
      <c r="K1236"/>
    </row>
    <row r="1237" spans="1:11" x14ac:dyDescent="0.3">
      <c r="A1237" s="2" t="s">
        <v>815</v>
      </c>
      <c r="B1237" s="2" t="s">
        <v>116</v>
      </c>
      <c r="C1237" s="2" t="s">
        <v>111</v>
      </c>
      <c r="D1237" s="2" t="s">
        <v>2859</v>
      </c>
      <c r="E1237" s="4" t="str">
        <f>HYPERLINK("./Results/DLO\2123\Osteo_Sarco_1.png","RPT")</f>
        <v>RPT</v>
      </c>
      <c r="F1237" s="2" t="s">
        <v>121</v>
      </c>
      <c r="G1237" s="6"/>
      <c r="I1237"/>
      <c r="J1237"/>
      <c r="K1237"/>
    </row>
    <row r="1238" spans="1:11" x14ac:dyDescent="0.3">
      <c r="A1238" s="2" t="s">
        <v>817</v>
      </c>
      <c r="B1238" s="2" t="s">
        <v>148</v>
      </c>
      <c r="C1238" s="2" t="s">
        <v>119</v>
      </c>
      <c r="D1238" s="2" t="s">
        <v>2859</v>
      </c>
      <c r="E1238" s="4" t="str">
        <f>HYPERLINK("./Results/DLO\2124\Osteo_Sarco_1.png","RPT")</f>
        <v>RPT</v>
      </c>
      <c r="F1238" s="2" t="s">
        <v>121</v>
      </c>
      <c r="G1238" s="6"/>
      <c r="I1238"/>
      <c r="J1238"/>
      <c r="K1238"/>
    </row>
    <row r="1239" spans="1:11" x14ac:dyDescent="0.3">
      <c r="A1239" s="2" t="s">
        <v>828</v>
      </c>
      <c r="B1239" s="2" t="s">
        <v>573</v>
      </c>
      <c r="C1239" s="2" t="s">
        <v>111</v>
      </c>
      <c r="D1239" s="2" t="s">
        <v>2859</v>
      </c>
      <c r="E1239" s="4" t="str">
        <f>HYPERLINK("./Results/DLO\2125\Osteo_Sarco_1.png","RPT")</f>
        <v>RPT</v>
      </c>
      <c r="F1239" s="2" t="s">
        <v>121</v>
      </c>
      <c r="G1239" s="6"/>
      <c r="I1239"/>
      <c r="J1239"/>
      <c r="K1239"/>
    </row>
    <row r="1240" spans="1:11" x14ac:dyDescent="0.3">
      <c r="A1240" s="2" t="s">
        <v>844</v>
      </c>
      <c r="B1240" s="2" t="s">
        <v>116</v>
      </c>
      <c r="C1240" s="2" t="s">
        <v>111</v>
      </c>
      <c r="D1240" s="2" t="s">
        <v>2859</v>
      </c>
      <c r="E1240" s="4" t="str">
        <f>HYPERLINK("./Results/DLO\2126\Osteo_Sarco_1.png","RPT")</f>
        <v>RPT</v>
      </c>
      <c r="F1240" s="2" t="s">
        <v>121</v>
      </c>
      <c r="G1240" s="6"/>
      <c r="I1240"/>
      <c r="J1240"/>
      <c r="K1240"/>
    </row>
    <row r="1241" spans="1:11" x14ac:dyDescent="0.3">
      <c r="A1241" s="2" t="s">
        <v>848</v>
      </c>
      <c r="B1241" s="2" t="s">
        <v>152</v>
      </c>
      <c r="C1241" s="2" t="s">
        <v>119</v>
      </c>
      <c r="D1241" s="2" t="s">
        <v>2859</v>
      </c>
      <c r="E1241" s="4" t="str">
        <f>HYPERLINK("./Results/DLO\2127\Osteo_Sarco_1.png","RPT")</f>
        <v>RPT</v>
      </c>
      <c r="F1241" s="2" t="s">
        <v>121</v>
      </c>
      <c r="G1241" s="6"/>
      <c r="H1241" s="1">
        <v>14.92</v>
      </c>
    </row>
    <row r="1242" spans="1:11" x14ac:dyDescent="0.3">
      <c r="A1242" s="2" t="s">
        <v>846</v>
      </c>
      <c r="B1242" s="2" t="s">
        <v>140</v>
      </c>
      <c r="C1242" s="2" t="s">
        <v>119</v>
      </c>
      <c r="D1242" s="2" t="s">
        <v>2867</v>
      </c>
      <c r="E1242" s="4" t="str">
        <f>HYPERLINK("./Results/DLO\2128\Osteo_Sarco_1.png","RPT")</f>
        <v>RPT</v>
      </c>
      <c r="F1242" s="2" t="s">
        <v>121</v>
      </c>
      <c r="G1242" s="6"/>
      <c r="I1242"/>
      <c r="J1242"/>
      <c r="K1242"/>
    </row>
    <row r="1243" spans="1:11" x14ac:dyDescent="0.3">
      <c r="A1243" s="2" t="s">
        <v>843</v>
      </c>
      <c r="B1243" s="2" t="s">
        <v>149</v>
      </c>
      <c r="C1243" s="2" t="s">
        <v>119</v>
      </c>
      <c r="D1243" s="2" t="s">
        <v>2867</v>
      </c>
      <c r="E1243" s="4" t="str">
        <f>HYPERLINK("./Results/DLO\2129\Osteo_Sarco_1.png","RPT")</f>
        <v>RPT</v>
      </c>
      <c r="F1243" s="2" t="s">
        <v>121</v>
      </c>
      <c r="G1243" s="6"/>
      <c r="I1243"/>
      <c r="J1243"/>
      <c r="K1243"/>
    </row>
    <row r="1244" spans="1:11" x14ac:dyDescent="0.3">
      <c r="A1244" s="2" t="s">
        <v>839</v>
      </c>
      <c r="B1244" s="2" t="s">
        <v>149</v>
      </c>
      <c r="C1244" s="2" t="s">
        <v>119</v>
      </c>
      <c r="D1244" s="2" t="s">
        <v>2867</v>
      </c>
      <c r="E1244" s="4" t="str">
        <f>HYPERLINK("./Results/DLO\213\Osteo_Sarco_1.png","RPT")</f>
        <v>RPT</v>
      </c>
      <c r="F1244" s="2" t="s">
        <v>121</v>
      </c>
      <c r="G1244" s="6"/>
      <c r="I1244"/>
      <c r="J1244"/>
      <c r="K1244"/>
    </row>
    <row r="1245" spans="1:11" x14ac:dyDescent="0.3">
      <c r="A1245" s="2" t="s">
        <v>842</v>
      </c>
      <c r="B1245" s="2" t="s">
        <v>131</v>
      </c>
      <c r="C1245" s="2" t="s">
        <v>119</v>
      </c>
      <c r="D1245" s="2" t="s">
        <v>2867</v>
      </c>
      <c r="E1245" s="4" t="str">
        <f>HYPERLINK("./Results/DLO\2130\Osteo_Sarco_1.png","RPT")</f>
        <v>RPT</v>
      </c>
      <c r="F1245" s="2" t="s">
        <v>121</v>
      </c>
      <c r="G1245" s="6"/>
      <c r="I1245"/>
      <c r="J1245"/>
      <c r="K1245"/>
    </row>
    <row r="1246" spans="1:11" x14ac:dyDescent="0.3">
      <c r="A1246" s="2" t="s">
        <v>840</v>
      </c>
      <c r="B1246" s="2" t="s">
        <v>139</v>
      </c>
      <c r="C1246" s="2" t="s">
        <v>119</v>
      </c>
      <c r="D1246" s="2" t="s">
        <v>2859</v>
      </c>
      <c r="E1246" s="4" t="str">
        <f>HYPERLINK("./Results/DLO\2131\Osteo_Sarco_1.png","RPT")</f>
        <v>RPT</v>
      </c>
      <c r="F1246" s="2" t="s">
        <v>121</v>
      </c>
      <c r="G1246" s="6"/>
      <c r="H1246" s="1">
        <v>19.53</v>
      </c>
    </row>
    <row r="1247" spans="1:11" x14ac:dyDescent="0.3">
      <c r="A1247" s="2" t="s">
        <v>847</v>
      </c>
      <c r="B1247" s="2" t="s">
        <v>149</v>
      </c>
      <c r="C1247" s="2" t="s">
        <v>119</v>
      </c>
      <c r="D1247" s="2" t="s">
        <v>2859</v>
      </c>
      <c r="E1247" s="4" t="str">
        <f>HYPERLINK("./Results/DLO\2132\Osteo_Sarco_1.png","RPT")</f>
        <v>RPT</v>
      </c>
      <c r="F1247" s="2" t="s">
        <v>121</v>
      </c>
      <c r="G1247" s="6"/>
      <c r="I1247"/>
      <c r="J1247"/>
      <c r="K1247"/>
    </row>
    <row r="1248" spans="1:11" x14ac:dyDescent="0.3">
      <c r="A1248" s="2" t="s">
        <v>838</v>
      </c>
      <c r="B1248" s="2" t="s">
        <v>138</v>
      </c>
      <c r="C1248" s="2" t="s">
        <v>119</v>
      </c>
      <c r="D1248" s="2" t="s">
        <v>2859</v>
      </c>
      <c r="E1248" s="4" t="str">
        <f>HYPERLINK("./Results/DLO\2133\Osteo_Sarco_1.png","RPT")</f>
        <v>RPT</v>
      </c>
      <c r="F1248" s="2" t="s">
        <v>121</v>
      </c>
      <c r="G1248" s="6"/>
      <c r="I1248"/>
      <c r="J1248"/>
      <c r="K1248"/>
    </row>
    <row r="1249" spans="1:11" x14ac:dyDescent="0.3">
      <c r="A1249" s="2" t="s">
        <v>845</v>
      </c>
      <c r="B1249" s="2" t="s">
        <v>116</v>
      </c>
      <c r="C1249" s="2" t="s">
        <v>119</v>
      </c>
      <c r="D1249" s="2" t="s">
        <v>2859</v>
      </c>
      <c r="E1249" s="4" t="str">
        <f>HYPERLINK("./Results/DLO\2134\Osteo_Sarco_1.png","RPT")</f>
        <v>RPT</v>
      </c>
      <c r="F1249" s="2" t="s">
        <v>121</v>
      </c>
      <c r="G1249" s="6"/>
      <c r="I1249"/>
      <c r="J1249"/>
      <c r="K1249"/>
    </row>
    <row r="1250" spans="1:11" x14ac:dyDescent="0.3">
      <c r="A1250" s="2" t="s">
        <v>841</v>
      </c>
      <c r="B1250" s="2" t="s">
        <v>138</v>
      </c>
      <c r="C1250" s="2" t="s">
        <v>119</v>
      </c>
      <c r="D1250" s="2" t="s">
        <v>2859</v>
      </c>
      <c r="E1250" s="4" t="str">
        <f>HYPERLINK("./Results/DLO\2135\Osteo_Sarco_1.png","RPT")</f>
        <v>RPT</v>
      </c>
      <c r="F1250" s="2" t="s">
        <v>121</v>
      </c>
      <c r="G1250" s="6"/>
      <c r="I1250"/>
      <c r="J1250"/>
      <c r="K1250"/>
    </row>
    <row r="1251" spans="1:11" x14ac:dyDescent="0.3">
      <c r="A1251" s="2" t="s">
        <v>616</v>
      </c>
      <c r="B1251" s="2" t="s">
        <v>116</v>
      </c>
      <c r="C1251" s="2" t="s">
        <v>111</v>
      </c>
      <c r="D1251" s="2" t="s">
        <v>2867</v>
      </c>
      <c r="E1251" s="4" t="str">
        <f>HYPERLINK("./Results/DLO\2136\Osteo_Sarco_1.png","RPT")</f>
        <v>RPT</v>
      </c>
      <c r="F1251" s="2" t="s">
        <v>121</v>
      </c>
      <c r="G1251" s="6"/>
      <c r="I1251"/>
      <c r="J1251"/>
      <c r="K1251"/>
    </row>
    <row r="1252" spans="1:11" x14ac:dyDescent="0.3">
      <c r="A1252" s="2" t="s">
        <v>607</v>
      </c>
      <c r="B1252" s="2" t="s">
        <v>162</v>
      </c>
      <c r="C1252" s="2" t="s">
        <v>111</v>
      </c>
      <c r="D1252" s="2" t="s">
        <v>2859</v>
      </c>
      <c r="E1252" s="4" t="str">
        <f>HYPERLINK("./Results/DLO\2137\Osteo_Sarco_1.png","RPT")</f>
        <v>RPT</v>
      </c>
      <c r="F1252" s="2" t="s">
        <v>121</v>
      </c>
      <c r="G1252" s="6"/>
      <c r="I1252"/>
      <c r="J1252"/>
      <c r="K1252"/>
    </row>
    <row r="1253" spans="1:11" x14ac:dyDescent="0.3">
      <c r="A1253" s="2" t="s">
        <v>602</v>
      </c>
      <c r="B1253" s="2" t="s">
        <v>167</v>
      </c>
      <c r="C1253" s="2" t="s">
        <v>111</v>
      </c>
      <c r="D1253" s="2" t="s">
        <v>2859</v>
      </c>
      <c r="E1253" s="4" t="str">
        <f>HYPERLINK("./Results/DLO\2138\Osteo_Sarco_1.png","RPT")</f>
        <v>RPT</v>
      </c>
      <c r="F1253" s="2" t="s">
        <v>121</v>
      </c>
      <c r="G1253" s="6"/>
      <c r="H1253" s="1">
        <v>24.92</v>
      </c>
    </row>
    <row r="1254" spans="1:11" x14ac:dyDescent="0.3">
      <c r="A1254" s="2" t="s">
        <v>606</v>
      </c>
      <c r="B1254" s="2" t="s">
        <v>146</v>
      </c>
      <c r="C1254" s="2" t="s">
        <v>111</v>
      </c>
      <c r="D1254" s="2" t="s">
        <v>2859</v>
      </c>
      <c r="E1254" s="4" t="str">
        <f>HYPERLINK("./Results/DLO\2139\Osteo_Sarco_1.png","RPT")</f>
        <v>RPT</v>
      </c>
      <c r="F1254" s="2" t="s">
        <v>121</v>
      </c>
      <c r="G1254" s="6"/>
      <c r="I1254"/>
      <c r="J1254"/>
      <c r="K1254"/>
    </row>
    <row r="1255" spans="1:11" x14ac:dyDescent="0.3">
      <c r="A1255" s="2" t="s">
        <v>601</v>
      </c>
      <c r="B1255" s="2" t="s">
        <v>134</v>
      </c>
      <c r="C1255" s="2" t="s">
        <v>119</v>
      </c>
      <c r="D1255" s="2" t="s">
        <v>2859</v>
      </c>
      <c r="E1255" s="4" t="str">
        <f>HYPERLINK("./Results/DLO\214\Osteo_Sarco_1.png","RPT")</f>
        <v>RPT</v>
      </c>
      <c r="F1255" s="2" t="s">
        <v>121</v>
      </c>
      <c r="G1255" s="6"/>
      <c r="I1255"/>
      <c r="J1255"/>
      <c r="K1255"/>
    </row>
    <row r="1256" spans="1:11" x14ac:dyDescent="0.3">
      <c r="A1256" s="2" t="s">
        <v>620</v>
      </c>
      <c r="B1256" s="2" t="s">
        <v>166</v>
      </c>
      <c r="C1256" s="2" t="s">
        <v>111</v>
      </c>
      <c r="D1256" s="2" t="s">
        <v>2859</v>
      </c>
      <c r="E1256" s="4" t="str">
        <f>HYPERLINK("./Results/DLO\2140\Osteo_Sarco_1.png","RPT")</f>
        <v>RPT</v>
      </c>
      <c r="F1256" s="2" t="s">
        <v>121</v>
      </c>
      <c r="G1256" s="6"/>
      <c r="I1256"/>
      <c r="J1256"/>
      <c r="K1256"/>
    </row>
    <row r="1257" spans="1:11" x14ac:dyDescent="0.3">
      <c r="A1257" s="2" t="s">
        <v>608</v>
      </c>
      <c r="B1257" s="2" t="s">
        <v>136</v>
      </c>
      <c r="C1257" s="2" t="s">
        <v>119</v>
      </c>
      <c r="D1257" s="2" t="s">
        <v>2859</v>
      </c>
      <c r="E1257" s="4" t="str">
        <f>HYPERLINK("./Results/DLO\2141\Osteo_Sarco_1.png","RPT")</f>
        <v>RPT</v>
      </c>
      <c r="F1257" s="2" t="s">
        <v>121</v>
      </c>
      <c r="G1257" s="6"/>
      <c r="I1257"/>
      <c r="J1257"/>
      <c r="K1257"/>
    </row>
    <row r="1258" spans="1:11" x14ac:dyDescent="0.3">
      <c r="A1258" s="2" t="s">
        <v>609</v>
      </c>
      <c r="B1258" s="2" t="s">
        <v>151</v>
      </c>
      <c r="C1258" s="2" t="s">
        <v>119</v>
      </c>
      <c r="D1258" s="2" t="s">
        <v>2859</v>
      </c>
      <c r="E1258" s="4" t="str">
        <f>HYPERLINK("./Results/DLO\2142\Osteo_Sarco_1.png","RPT")</f>
        <v>RPT</v>
      </c>
      <c r="F1258" s="2" t="s">
        <v>121</v>
      </c>
      <c r="G1258" s="6"/>
      <c r="I1258"/>
      <c r="J1258"/>
      <c r="K1258"/>
    </row>
    <row r="1259" spans="1:11" x14ac:dyDescent="0.3">
      <c r="A1259" s="2" t="s">
        <v>618</v>
      </c>
      <c r="B1259" s="2" t="s">
        <v>149</v>
      </c>
      <c r="C1259" s="2" t="s">
        <v>111</v>
      </c>
      <c r="D1259" s="2" t="s">
        <v>2859</v>
      </c>
      <c r="E1259" s="4" t="str">
        <f>HYPERLINK("./Results/DLO\2143\Osteo_Sarco_1.png","RPT")</f>
        <v>RPT</v>
      </c>
      <c r="F1259" s="2" t="s">
        <v>121</v>
      </c>
      <c r="G1259" s="6"/>
      <c r="I1259"/>
      <c r="J1259"/>
      <c r="K1259"/>
    </row>
    <row r="1260" spans="1:11" x14ac:dyDescent="0.3">
      <c r="A1260" s="2" t="s">
        <v>617</v>
      </c>
      <c r="B1260" s="2" t="s">
        <v>126</v>
      </c>
      <c r="C1260" s="2" t="s">
        <v>111</v>
      </c>
      <c r="D1260" s="2" t="s">
        <v>2859</v>
      </c>
      <c r="E1260" s="4" t="str">
        <f>HYPERLINK("./Results/DLO\2144\Osteo_Sarco_1.png","RPT")</f>
        <v>RPT</v>
      </c>
      <c r="F1260" s="2" t="s">
        <v>121</v>
      </c>
      <c r="G1260" s="6"/>
      <c r="I1260"/>
      <c r="J1260"/>
      <c r="K1260"/>
    </row>
    <row r="1261" spans="1:11" x14ac:dyDescent="0.3">
      <c r="A1261" s="2" t="s">
        <v>610</v>
      </c>
      <c r="B1261" s="2" t="s">
        <v>129</v>
      </c>
      <c r="C1261" s="2" t="s">
        <v>119</v>
      </c>
      <c r="D1261" s="2" t="s">
        <v>2859</v>
      </c>
      <c r="E1261" s="4" t="str">
        <f>HYPERLINK("./Results/DLO\2145\Osteo_Sarco_1.png","RPT")</f>
        <v>RPT</v>
      </c>
      <c r="F1261" s="2" t="s">
        <v>121</v>
      </c>
      <c r="G1261" s="6"/>
      <c r="H1261" s="1">
        <v>27.71</v>
      </c>
    </row>
    <row r="1262" spans="1:11" x14ac:dyDescent="0.3">
      <c r="A1262" s="2" t="s">
        <v>619</v>
      </c>
      <c r="B1262" s="2" t="s">
        <v>118</v>
      </c>
      <c r="C1262" s="2" t="s">
        <v>111</v>
      </c>
      <c r="D1262" s="2" t="s">
        <v>2867</v>
      </c>
      <c r="E1262" s="4" t="str">
        <f>HYPERLINK("./Results/DLO\2146\Osteo_Sarco_1.png","RPT")</f>
        <v>RPT</v>
      </c>
      <c r="F1262" s="2" t="s">
        <v>121</v>
      </c>
      <c r="G1262" s="6"/>
      <c r="I1262"/>
      <c r="J1262"/>
      <c r="K1262"/>
    </row>
    <row r="1263" spans="1:11" x14ac:dyDescent="0.3">
      <c r="A1263" s="2" t="s">
        <v>597</v>
      </c>
      <c r="B1263" s="2" t="s">
        <v>131</v>
      </c>
      <c r="C1263" s="2" t="s">
        <v>111</v>
      </c>
      <c r="D1263" s="2" t="s">
        <v>2859</v>
      </c>
      <c r="E1263" s="4" t="str">
        <f>HYPERLINK("./Results/DLO\2147\Osteo_Sarco_1.png","RPT")</f>
        <v>RPT</v>
      </c>
      <c r="F1263" s="2" t="s">
        <v>121</v>
      </c>
      <c r="G1263" s="6"/>
      <c r="I1263"/>
      <c r="J1263"/>
      <c r="K1263"/>
    </row>
    <row r="1264" spans="1:11" x14ac:dyDescent="0.3">
      <c r="A1264" s="2" t="s">
        <v>612</v>
      </c>
      <c r="B1264" s="2" t="s">
        <v>152</v>
      </c>
      <c r="C1264" s="2" t="s">
        <v>119</v>
      </c>
      <c r="D1264" s="2" t="s">
        <v>2859</v>
      </c>
      <c r="E1264" s="4" t="str">
        <f>HYPERLINK("./Results/DLO\2148\Osteo_Sarco_1.png","RPT")</f>
        <v>RPT</v>
      </c>
      <c r="F1264" s="2" t="s">
        <v>121</v>
      </c>
      <c r="G1264" s="6"/>
      <c r="I1264"/>
      <c r="J1264"/>
      <c r="K1264"/>
    </row>
    <row r="1265" spans="1:11" x14ac:dyDescent="0.3">
      <c r="A1265" s="2" t="s">
        <v>611</v>
      </c>
      <c r="B1265" s="2" t="s">
        <v>141</v>
      </c>
      <c r="C1265" s="2" t="s">
        <v>119</v>
      </c>
      <c r="D1265" s="2" t="s">
        <v>2859</v>
      </c>
      <c r="E1265" s="4" t="str">
        <f>HYPERLINK("./Results/DLO\2149\Osteo_Sarco_1.png","RPT")</f>
        <v>RPT</v>
      </c>
      <c r="F1265" s="2" t="s">
        <v>121</v>
      </c>
      <c r="G1265" s="6"/>
      <c r="I1265"/>
      <c r="J1265"/>
      <c r="K1265"/>
    </row>
    <row r="1266" spans="1:11" x14ac:dyDescent="0.3">
      <c r="A1266" s="2" t="s">
        <v>603</v>
      </c>
      <c r="B1266" s="2" t="s">
        <v>112</v>
      </c>
      <c r="C1266" s="2" t="s">
        <v>111</v>
      </c>
      <c r="D1266" s="2" t="s">
        <v>2859</v>
      </c>
      <c r="E1266" s="4" t="str">
        <f>HYPERLINK("./Results/DLO\215\Osteo_Sarco_1.png","RPT")</f>
        <v>RPT</v>
      </c>
      <c r="F1266" s="2" t="s">
        <v>121</v>
      </c>
      <c r="G1266" s="6"/>
      <c r="I1266"/>
      <c r="J1266"/>
      <c r="K1266"/>
    </row>
    <row r="1267" spans="1:11" x14ac:dyDescent="0.3">
      <c r="A1267" s="2" t="s">
        <v>614</v>
      </c>
      <c r="B1267" s="2" t="s">
        <v>162</v>
      </c>
      <c r="C1267" s="2" t="s">
        <v>111</v>
      </c>
      <c r="D1267" s="2" t="s">
        <v>2859</v>
      </c>
      <c r="E1267" s="4" t="str">
        <f>HYPERLINK("./Results/DLO\2150\Osteo_Sarco_1.png","RPT")</f>
        <v>RPT</v>
      </c>
      <c r="F1267" s="2" t="s">
        <v>121</v>
      </c>
      <c r="G1267" s="6"/>
      <c r="I1267"/>
      <c r="J1267"/>
      <c r="K1267"/>
    </row>
    <row r="1268" spans="1:11" x14ac:dyDescent="0.3">
      <c r="A1268" s="2" t="s">
        <v>598</v>
      </c>
      <c r="B1268" s="2" t="s">
        <v>149</v>
      </c>
      <c r="C1268" s="2" t="s">
        <v>111</v>
      </c>
      <c r="D1268" s="2" t="s">
        <v>2859</v>
      </c>
      <c r="E1268" s="4" t="str">
        <f>HYPERLINK("./Results/DLO\2151\Osteo_Sarco_1.png","RPT")</f>
        <v>RPT</v>
      </c>
      <c r="F1268" s="2" t="s">
        <v>121</v>
      </c>
      <c r="G1268" s="6"/>
      <c r="I1268"/>
      <c r="J1268"/>
      <c r="K1268"/>
    </row>
    <row r="1269" spans="1:11" x14ac:dyDescent="0.3">
      <c r="A1269" s="2" t="s">
        <v>613</v>
      </c>
      <c r="B1269" s="2" t="s">
        <v>123</v>
      </c>
      <c r="C1269" s="2" t="s">
        <v>111</v>
      </c>
      <c r="D1269" s="2" t="s">
        <v>2859</v>
      </c>
      <c r="E1269" s="4" t="str">
        <f>HYPERLINK("./Results/DLO\2152\Osteo_Sarco_1.png","RPT")</f>
        <v>RPT</v>
      </c>
      <c r="F1269" s="2" t="s">
        <v>121</v>
      </c>
      <c r="G1269" s="6"/>
      <c r="I1269"/>
      <c r="J1269"/>
      <c r="K1269"/>
    </row>
    <row r="1270" spans="1:11" x14ac:dyDescent="0.3">
      <c r="A1270" s="2" t="s">
        <v>599</v>
      </c>
      <c r="B1270" s="2" t="s">
        <v>170</v>
      </c>
      <c r="C1270" s="2" t="s">
        <v>119</v>
      </c>
      <c r="D1270" s="2" t="s">
        <v>2867</v>
      </c>
      <c r="E1270" s="4" t="str">
        <f>HYPERLINK("./Results/DLO\2153\Osteo_Sarco_1.png","RPT")</f>
        <v>RPT</v>
      </c>
      <c r="F1270" s="2" t="s">
        <v>121</v>
      </c>
      <c r="G1270" s="6"/>
      <c r="I1270"/>
      <c r="J1270"/>
      <c r="K1270"/>
    </row>
    <row r="1271" spans="1:11" x14ac:dyDescent="0.3">
      <c r="A1271" s="2" t="s">
        <v>615</v>
      </c>
      <c r="B1271" s="2" t="s">
        <v>573</v>
      </c>
      <c r="C1271" s="2" t="s">
        <v>111</v>
      </c>
      <c r="D1271" s="2" t="s">
        <v>2867</v>
      </c>
      <c r="E1271" s="4" t="str">
        <f>HYPERLINK("./Results/DLO\2154\Osteo_Sarco_1.png","RPT")</f>
        <v>RPT</v>
      </c>
      <c r="F1271" s="2" t="s">
        <v>121</v>
      </c>
      <c r="G1271" s="6"/>
      <c r="I1271"/>
      <c r="J1271"/>
      <c r="K1271"/>
    </row>
    <row r="1272" spans="1:11" x14ac:dyDescent="0.3">
      <c r="A1272" s="2" t="s">
        <v>600</v>
      </c>
      <c r="B1272" s="2" t="s">
        <v>123</v>
      </c>
      <c r="C1272" s="2" t="s">
        <v>111</v>
      </c>
      <c r="D1272" s="2" t="s">
        <v>2859</v>
      </c>
      <c r="E1272" s="4" t="str">
        <f>HYPERLINK("./Results/DLO\2155\Osteo_Sarco_1.png","RPT")</f>
        <v>RPT</v>
      </c>
      <c r="F1272" s="2" t="s">
        <v>121</v>
      </c>
      <c r="G1272" s="6"/>
      <c r="I1272"/>
      <c r="J1272"/>
      <c r="K1272"/>
    </row>
    <row r="1273" spans="1:11" x14ac:dyDescent="0.3">
      <c r="A1273" s="2" t="s">
        <v>604</v>
      </c>
      <c r="B1273" s="2" t="s">
        <v>167</v>
      </c>
      <c r="C1273" s="2" t="s">
        <v>111</v>
      </c>
      <c r="D1273" s="2" t="s">
        <v>2859</v>
      </c>
      <c r="E1273" s="4" t="str">
        <f>HYPERLINK("./Results/DLO\2156\Osteo_Sarco_1.png","RPT")</f>
        <v>RPT</v>
      </c>
      <c r="F1273" s="2" t="s">
        <v>121</v>
      </c>
      <c r="G1273" s="6"/>
      <c r="I1273"/>
      <c r="J1273"/>
      <c r="K1273"/>
    </row>
    <row r="1274" spans="1:11" x14ac:dyDescent="0.3">
      <c r="A1274" s="2" t="s">
        <v>605</v>
      </c>
      <c r="B1274" s="2" t="s">
        <v>114</v>
      </c>
      <c r="C1274" s="2" t="s">
        <v>111</v>
      </c>
      <c r="D1274" s="2" t="s">
        <v>2859</v>
      </c>
      <c r="E1274" s="4" t="str">
        <f>HYPERLINK("./Results/DLO\2157\Osteo_Sarco_1.png","RPT")</f>
        <v>RPT</v>
      </c>
      <c r="F1274" s="2" t="s">
        <v>121</v>
      </c>
      <c r="G1274" s="6"/>
      <c r="I1274"/>
      <c r="J1274"/>
      <c r="K1274"/>
    </row>
    <row r="1275" spans="1:11" x14ac:dyDescent="0.3">
      <c r="A1275" s="2" t="s">
        <v>640</v>
      </c>
      <c r="B1275" s="2" t="s">
        <v>123</v>
      </c>
      <c r="C1275" s="2" t="s">
        <v>119</v>
      </c>
      <c r="D1275" s="2" t="s">
        <v>2859</v>
      </c>
      <c r="E1275" s="4" t="str">
        <f>HYPERLINK("./Results/DLO\2158\Osteo_Sarco_1.png","RPT")</f>
        <v>RPT</v>
      </c>
      <c r="F1275" s="2" t="s">
        <v>121</v>
      </c>
      <c r="G1275" s="6"/>
      <c r="I1275"/>
      <c r="J1275"/>
      <c r="K1275"/>
    </row>
    <row r="1276" spans="1:11" x14ac:dyDescent="0.3">
      <c r="A1276" s="2" t="s">
        <v>630</v>
      </c>
      <c r="B1276" s="2" t="s">
        <v>127</v>
      </c>
      <c r="C1276" s="2" t="s">
        <v>119</v>
      </c>
      <c r="D1276" s="2" t="s">
        <v>1960</v>
      </c>
      <c r="E1276" s="4" t="str">
        <f>HYPERLINK("./Results/DLO\2159\Osteo_Sarco_1.png","RPT")</f>
        <v>RPT</v>
      </c>
      <c r="F1276" s="2" t="s">
        <v>121</v>
      </c>
      <c r="G1276" s="6"/>
      <c r="I1276"/>
      <c r="J1276"/>
      <c r="K1276"/>
    </row>
    <row r="1277" spans="1:11" x14ac:dyDescent="0.3">
      <c r="A1277" s="2" t="s">
        <v>628</v>
      </c>
      <c r="B1277" s="2" t="s">
        <v>125</v>
      </c>
      <c r="C1277" s="2" t="s">
        <v>119</v>
      </c>
      <c r="D1277" s="2" t="s">
        <v>2859</v>
      </c>
      <c r="E1277" s="4" t="str">
        <f>HYPERLINK("./Results/DLO\216\Osteo_Sarco_1.png","RPT")</f>
        <v>RPT</v>
      </c>
      <c r="F1277" s="2" t="s">
        <v>121</v>
      </c>
      <c r="G1277" s="6"/>
      <c r="I1277"/>
      <c r="J1277"/>
      <c r="K1277"/>
    </row>
    <row r="1278" spans="1:11" x14ac:dyDescent="0.3">
      <c r="A1278" s="2" t="s">
        <v>643</v>
      </c>
      <c r="B1278" s="2" t="s">
        <v>131</v>
      </c>
      <c r="C1278" s="2" t="s">
        <v>111</v>
      </c>
      <c r="D1278" s="2" t="s">
        <v>2859</v>
      </c>
      <c r="E1278" s="4" t="str">
        <f>HYPERLINK("./Results/DLO\2160\Osteo_Sarco_1.png","RPT")</f>
        <v>RPT</v>
      </c>
      <c r="F1278" s="2" t="s">
        <v>121</v>
      </c>
      <c r="G1278" s="6"/>
      <c r="I1278"/>
      <c r="J1278"/>
      <c r="K1278"/>
    </row>
    <row r="1279" spans="1:11" x14ac:dyDescent="0.3">
      <c r="A1279" s="2" t="s">
        <v>624</v>
      </c>
      <c r="B1279" s="2" t="s">
        <v>159</v>
      </c>
      <c r="C1279" s="2" t="s">
        <v>111</v>
      </c>
      <c r="D1279" s="2" t="s">
        <v>2859</v>
      </c>
      <c r="E1279" s="4" t="str">
        <f>HYPERLINK("./Results/DLO\2161\Osteo_Sarco_1.png","RPT")</f>
        <v>RPT</v>
      </c>
      <c r="F1279" s="2" t="s">
        <v>121</v>
      </c>
      <c r="G1279" s="6"/>
      <c r="I1279"/>
      <c r="J1279"/>
      <c r="K1279"/>
    </row>
    <row r="1280" spans="1:11" x14ac:dyDescent="0.3">
      <c r="A1280" s="2" t="s">
        <v>632</v>
      </c>
      <c r="B1280" s="2" t="s">
        <v>157</v>
      </c>
      <c r="C1280" s="2" t="s">
        <v>111</v>
      </c>
      <c r="D1280" s="2" t="s">
        <v>2867</v>
      </c>
      <c r="E1280" s="4" t="str">
        <f>HYPERLINK("./Results/DLO\2162\Osteo_Sarco_1.png","RPT")</f>
        <v>RPT</v>
      </c>
      <c r="F1280" s="2" t="s">
        <v>121</v>
      </c>
      <c r="G1280" s="6"/>
      <c r="I1280"/>
      <c r="J1280"/>
      <c r="K1280"/>
    </row>
    <row r="1281" spans="1:11" x14ac:dyDescent="0.3">
      <c r="A1281" s="2" t="s">
        <v>623</v>
      </c>
      <c r="B1281" s="2" t="s">
        <v>133</v>
      </c>
      <c r="C1281" s="2" t="s">
        <v>111</v>
      </c>
      <c r="D1281" s="2" t="s">
        <v>2859</v>
      </c>
      <c r="E1281" s="4" t="str">
        <f>HYPERLINK("./Results/DLO\2163\Osteo_Sarco_1.png","RPT")</f>
        <v>RPT</v>
      </c>
      <c r="F1281" s="2" t="s">
        <v>121</v>
      </c>
      <c r="G1281" s="6"/>
      <c r="I1281"/>
      <c r="J1281"/>
      <c r="K1281"/>
    </row>
    <row r="1282" spans="1:11" x14ac:dyDescent="0.3">
      <c r="A1282" s="2" t="s">
        <v>639</v>
      </c>
      <c r="B1282" s="2" t="s">
        <v>134</v>
      </c>
      <c r="C1282" s="2" t="s">
        <v>119</v>
      </c>
      <c r="D1282" s="2" t="s">
        <v>2859</v>
      </c>
      <c r="E1282" s="4" t="str">
        <f>HYPERLINK("./Results/DLO\2164\Osteo_Sarco_1.png","RPT")</f>
        <v>RPT</v>
      </c>
      <c r="F1282" s="2" t="s">
        <v>121</v>
      </c>
      <c r="G1282" s="6"/>
      <c r="I1282"/>
      <c r="J1282"/>
      <c r="K1282"/>
    </row>
    <row r="1283" spans="1:11" x14ac:dyDescent="0.3">
      <c r="A1283" s="2" t="s">
        <v>631</v>
      </c>
      <c r="B1283" s="2" t="s">
        <v>118</v>
      </c>
      <c r="C1283" s="2" t="s">
        <v>119</v>
      </c>
      <c r="D1283" s="2" t="s">
        <v>2859</v>
      </c>
      <c r="E1283" s="4" t="str">
        <f>HYPERLINK("./Results/DLO\2165\Osteo_Sarco_1.png","RPT")</f>
        <v>RPT</v>
      </c>
      <c r="F1283" s="2" t="s">
        <v>121</v>
      </c>
      <c r="G1283" s="6"/>
      <c r="I1283"/>
      <c r="J1283"/>
      <c r="K1283"/>
    </row>
    <row r="1284" spans="1:11" x14ac:dyDescent="0.3">
      <c r="A1284" s="2" t="s">
        <v>627</v>
      </c>
      <c r="B1284" s="2" t="s">
        <v>170</v>
      </c>
      <c r="C1284" s="2" t="s">
        <v>119</v>
      </c>
      <c r="D1284" s="2" t="s">
        <v>2859</v>
      </c>
      <c r="E1284" s="4" t="str">
        <f>HYPERLINK("./Results/DLO\2166\Osteo_Sarco_1.png","RPT")</f>
        <v>RPT</v>
      </c>
      <c r="F1284" s="2" t="s">
        <v>121</v>
      </c>
      <c r="G1284" s="6"/>
      <c r="I1284"/>
      <c r="J1284"/>
      <c r="K1284"/>
    </row>
    <row r="1285" spans="1:11" x14ac:dyDescent="0.3">
      <c r="A1285" s="2" t="s">
        <v>633</v>
      </c>
      <c r="B1285" s="2" t="s">
        <v>146</v>
      </c>
      <c r="C1285" s="2" t="s">
        <v>111</v>
      </c>
      <c r="D1285" s="2" t="s">
        <v>2859</v>
      </c>
      <c r="E1285" s="4" t="str">
        <f>HYPERLINK("./Results/DLO\2167\Osteo_Sarco_1.png","RPT")</f>
        <v>RPT</v>
      </c>
      <c r="F1285" s="2" t="s">
        <v>121</v>
      </c>
      <c r="G1285" s="6"/>
      <c r="I1285"/>
      <c r="J1285"/>
      <c r="K1285"/>
    </row>
    <row r="1286" spans="1:11" x14ac:dyDescent="0.3">
      <c r="A1286" s="2" t="s">
        <v>625</v>
      </c>
      <c r="B1286" s="2" t="s">
        <v>153</v>
      </c>
      <c r="C1286" s="2" t="s">
        <v>119</v>
      </c>
      <c r="D1286" s="2" t="s">
        <v>2859</v>
      </c>
      <c r="E1286" s="4" t="str">
        <f>HYPERLINK("./Results/DLO\2168\Osteo_Sarco_1.png","RPT")</f>
        <v>RPT</v>
      </c>
      <c r="F1286" s="2" t="s">
        <v>121</v>
      </c>
      <c r="G1286" s="6"/>
      <c r="I1286"/>
      <c r="J1286"/>
      <c r="K1286"/>
    </row>
    <row r="1287" spans="1:11" x14ac:dyDescent="0.3">
      <c r="A1287" s="2" t="s">
        <v>642</v>
      </c>
      <c r="B1287" s="2" t="s">
        <v>127</v>
      </c>
      <c r="C1287" s="2" t="s">
        <v>111</v>
      </c>
      <c r="D1287" s="2" t="s">
        <v>2859</v>
      </c>
      <c r="E1287" s="4" t="str">
        <f>HYPERLINK("./Results/DLO\2169\Osteo_Sarco_1.png","RPT")</f>
        <v>RPT</v>
      </c>
      <c r="F1287" s="2" t="s">
        <v>121</v>
      </c>
      <c r="G1287" s="6"/>
      <c r="H1287" s="1">
        <v>27.51</v>
      </c>
    </row>
    <row r="1288" spans="1:11" x14ac:dyDescent="0.3">
      <c r="A1288" s="2" t="s">
        <v>634</v>
      </c>
      <c r="B1288" s="2" t="s">
        <v>118</v>
      </c>
      <c r="C1288" s="2" t="s">
        <v>119</v>
      </c>
      <c r="D1288" s="2" t="s">
        <v>2859</v>
      </c>
      <c r="E1288" s="4" t="str">
        <f>HYPERLINK("./Results/DLO\217\Osteo_Sarco_1.png","RPT")</f>
        <v>RPT</v>
      </c>
      <c r="F1288" s="2" t="s">
        <v>121</v>
      </c>
      <c r="G1288" s="6"/>
      <c r="H1288" s="1">
        <v>21.87</v>
      </c>
    </row>
    <row r="1289" spans="1:11" x14ac:dyDescent="0.3">
      <c r="A1289" s="2" t="s">
        <v>635</v>
      </c>
      <c r="B1289" s="2" t="s">
        <v>167</v>
      </c>
      <c r="C1289" s="2" t="s">
        <v>119</v>
      </c>
      <c r="D1289" s="2" t="s">
        <v>2859</v>
      </c>
      <c r="E1289" s="4" t="str">
        <f>HYPERLINK("./Results/DLO\2170\Osteo_Sarco_1.png","RPT")</f>
        <v>RPT</v>
      </c>
      <c r="F1289" s="2" t="s">
        <v>121</v>
      </c>
      <c r="G1289" s="6"/>
      <c r="H1289" s="1">
        <v>26.71</v>
      </c>
    </row>
    <row r="1290" spans="1:11" x14ac:dyDescent="0.3">
      <c r="A1290" s="2" t="s">
        <v>641</v>
      </c>
      <c r="B1290" s="2" t="s">
        <v>123</v>
      </c>
      <c r="C1290" s="2" t="s">
        <v>111</v>
      </c>
      <c r="D1290" s="2" t="s">
        <v>2859</v>
      </c>
      <c r="E1290" s="4" t="str">
        <f>HYPERLINK("./Results/DLO\2171\Osteo_Sarco_1.png","RPT")</f>
        <v>RPT</v>
      </c>
      <c r="F1290" s="2" t="s">
        <v>121</v>
      </c>
      <c r="G1290" s="6"/>
      <c r="I1290"/>
      <c r="J1290"/>
      <c r="K1290"/>
    </row>
    <row r="1291" spans="1:11" x14ac:dyDescent="0.3">
      <c r="A1291" s="2" t="s">
        <v>637</v>
      </c>
      <c r="B1291" s="2" t="s">
        <v>138</v>
      </c>
      <c r="C1291" s="2" t="s">
        <v>119</v>
      </c>
      <c r="D1291" s="2" t="s">
        <v>2859</v>
      </c>
      <c r="E1291" s="4" t="str">
        <f>HYPERLINK("./Results/DLO\2172\Osteo_Sarco_1.png","RPT")</f>
        <v>RPT</v>
      </c>
      <c r="F1291" s="2" t="s">
        <v>121</v>
      </c>
      <c r="G1291" s="6"/>
      <c r="I1291"/>
      <c r="J1291"/>
      <c r="K1291"/>
    </row>
    <row r="1292" spans="1:11" x14ac:dyDescent="0.3">
      <c r="A1292" s="2" t="s">
        <v>626</v>
      </c>
      <c r="B1292" s="2" t="s">
        <v>157</v>
      </c>
      <c r="C1292" s="2" t="s">
        <v>119</v>
      </c>
      <c r="D1292" s="2" t="s">
        <v>2859</v>
      </c>
      <c r="E1292" s="4" t="str">
        <f>HYPERLINK("./Results/DLO\2173\Osteo_Sarco_1.png","RPT")</f>
        <v>RPT</v>
      </c>
      <c r="F1292" s="2" t="s">
        <v>121</v>
      </c>
      <c r="G1292" s="6"/>
      <c r="H1292" s="1">
        <v>25.17</v>
      </c>
    </row>
    <row r="1293" spans="1:11" x14ac:dyDescent="0.3">
      <c r="A1293" s="2" t="s">
        <v>636</v>
      </c>
      <c r="B1293" s="2" t="s">
        <v>131</v>
      </c>
      <c r="C1293" s="2" t="s">
        <v>111</v>
      </c>
      <c r="D1293" s="2" t="s">
        <v>2859</v>
      </c>
      <c r="E1293" s="4" t="str">
        <f>HYPERLINK("./Results/DLO\2174\Osteo_Sarco_1.png","RPT")</f>
        <v>RPT</v>
      </c>
      <c r="F1293" s="2" t="s">
        <v>121</v>
      </c>
      <c r="G1293" s="6"/>
      <c r="I1293"/>
      <c r="J1293"/>
      <c r="K1293"/>
    </row>
    <row r="1294" spans="1:11" x14ac:dyDescent="0.3">
      <c r="A1294" s="2" t="s">
        <v>638</v>
      </c>
      <c r="B1294" s="2" t="s">
        <v>137</v>
      </c>
      <c r="C1294" s="2" t="s">
        <v>111</v>
      </c>
      <c r="D1294" s="2" t="s">
        <v>2859</v>
      </c>
      <c r="E1294" s="4" t="str">
        <f>HYPERLINK("./Results/DLO\2175\Osteo_Sarco_1.png","RPT")</f>
        <v>RPT</v>
      </c>
      <c r="F1294" s="2" t="s">
        <v>121</v>
      </c>
      <c r="G1294" s="6"/>
      <c r="I1294"/>
      <c r="J1294"/>
      <c r="K1294"/>
    </row>
    <row r="1295" spans="1:11" x14ac:dyDescent="0.3">
      <c r="A1295" s="2" t="s">
        <v>621</v>
      </c>
      <c r="B1295" s="2" t="s">
        <v>161</v>
      </c>
      <c r="C1295" s="2" t="s">
        <v>119</v>
      </c>
      <c r="D1295" s="2" t="s">
        <v>2859</v>
      </c>
      <c r="E1295" s="4" t="str">
        <f>HYPERLINK("./Results/DLO\2176\Osteo_Sarco_1.png","RPT")</f>
        <v>RPT</v>
      </c>
      <c r="F1295" s="2" t="s">
        <v>121</v>
      </c>
      <c r="G1295" s="6"/>
      <c r="I1295"/>
      <c r="J1295"/>
      <c r="K1295"/>
    </row>
    <row r="1296" spans="1:11" x14ac:dyDescent="0.3">
      <c r="A1296" s="2" t="s">
        <v>629</v>
      </c>
      <c r="B1296" s="2" t="s">
        <v>159</v>
      </c>
      <c r="C1296" s="2" t="s">
        <v>111</v>
      </c>
      <c r="D1296" s="2" t="s">
        <v>1935</v>
      </c>
      <c r="E1296" s="4" t="str">
        <f>HYPERLINK("./Results/DLO\2177\Osteo_Sarco_1.png","RPT")</f>
        <v>RPT</v>
      </c>
      <c r="F1296" s="2" t="s">
        <v>121</v>
      </c>
      <c r="G1296" s="6"/>
      <c r="I1296"/>
      <c r="J1296"/>
      <c r="K1296"/>
    </row>
    <row r="1297" spans="1:11" x14ac:dyDescent="0.3">
      <c r="A1297" s="2" t="s">
        <v>622</v>
      </c>
      <c r="B1297" s="2" t="s">
        <v>120</v>
      </c>
      <c r="C1297" s="2" t="s">
        <v>111</v>
      </c>
      <c r="D1297" s="2" t="s">
        <v>2859</v>
      </c>
      <c r="E1297" s="4" t="str">
        <f>HYPERLINK("./Results/DLO\2178\Osteo_Sarco_1.png","RPT")</f>
        <v>RPT</v>
      </c>
      <c r="F1297" s="2" t="s">
        <v>121</v>
      </c>
      <c r="G1297" s="6"/>
      <c r="I1297"/>
      <c r="J1297"/>
      <c r="K1297"/>
    </row>
    <row r="1298" spans="1:11" x14ac:dyDescent="0.3">
      <c r="A1298" s="2" t="s">
        <v>644</v>
      </c>
      <c r="B1298" s="2" t="s">
        <v>162</v>
      </c>
      <c r="C1298" s="2" t="s">
        <v>111</v>
      </c>
      <c r="D1298" s="2" t="s">
        <v>2859</v>
      </c>
      <c r="E1298" s="4" t="str">
        <f>HYPERLINK("./Results/DLO\2179\Osteo_Sarco_1.png","RPT")</f>
        <v>RPT</v>
      </c>
      <c r="F1298" s="2" t="s">
        <v>121</v>
      </c>
      <c r="G1298" s="6"/>
      <c r="I1298"/>
      <c r="J1298"/>
      <c r="K1298"/>
    </row>
    <row r="1299" spans="1:11" x14ac:dyDescent="0.3">
      <c r="A1299" s="2" t="s">
        <v>659</v>
      </c>
      <c r="B1299" s="2" t="s">
        <v>165</v>
      </c>
      <c r="C1299" s="2" t="s">
        <v>119</v>
      </c>
      <c r="D1299" s="2" t="s">
        <v>2859</v>
      </c>
      <c r="E1299" s="4" t="str">
        <f>HYPERLINK("./Results/DLO\218\Osteo_Sarco_1.png","RPT")</f>
        <v>RPT</v>
      </c>
      <c r="F1299" s="2" t="s">
        <v>121</v>
      </c>
      <c r="G1299" s="6"/>
      <c r="I1299"/>
      <c r="J1299"/>
      <c r="K1299"/>
    </row>
    <row r="1300" spans="1:11" x14ac:dyDescent="0.3">
      <c r="A1300" s="2" t="s">
        <v>663</v>
      </c>
      <c r="B1300" s="2" t="s">
        <v>118</v>
      </c>
      <c r="C1300" s="2" t="s">
        <v>119</v>
      </c>
      <c r="D1300" s="2" t="s">
        <v>2867</v>
      </c>
      <c r="E1300" s="4" t="str">
        <f>HYPERLINK("./Results/DLO\2180\Osteo_Sarco_1.png","RPT")</f>
        <v>RPT</v>
      </c>
      <c r="F1300" s="2" t="s">
        <v>121</v>
      </c>
      <c r="G1300" s="6"/>
      <c r="I1300"/>
      <c r="J1300"/>
      <c r="K1300"/>
    </row>
    <row r="1301" spans="1:11" x14ac:dyDescent="0.3">
      <c r="A1301" s="2" t="s">
        <v>664</v>
      </c>
      <c r="B1301" s="2" t="s">
        <v>163</v>
      </c>
      <c r="C1301" s="2" t="s">
        <v>119</v>
      </c>
      <c r="D1301" s="2" t="s">
        <v>2859</v>
      </c>
      <c r="E1301" s="4" t="str">
        <f>HYPERLINK("./Results/DLO\2181\Osteo_Sarco_1.png","RPT")</f>
        <v>RPT</v>
      </c>
      <c r="F1301" s="2" t="s">
        <v>121</v>
      </c>
      <c r="G1301" s="6"/>
      <c r="I1301"/>
      <c r="J1301"/>
      <c r="K1301"/>
    </row>
    <row r="1302" spans="1:11" x14ac:dyDescent="0.3">
      <c r="A1302" s="2" t="s">
        <v>646</v>
      </c>
      <c r="B1302" s="2" t="s">
        <v>132</v>
      </c>
      <c r="C1302" s="2" t="s">
        <v>111</v>
      </c>
      <c r="D1302" s="2" t="s">
        <v>2859</v>
      </c>
      <c r="E1302" s="4" t="str">
        <f>HYPERLINK("./Results/DLO\2182\Osteo_Sarco_1.png","RPT")</f>
        <v>RPT</v>
      </c>
      <c r="F1302" s="2" t="s">
        <v>121</v>
      </c>
      <c r="G1302" s="6"/>
      <c r="I1302"/>
      <c r="J1302"/>
      <c r="K1302"/>
    </row>
    <row r="1303" spans="1:11" x14ac:dyDescent="0.3">
      <c r="A1303" s="2" t="s">
        <v>653</v>
      </c>
      <c r="B1303" s="2" t="s">
        <v>138</v>
      </c>
      <c r="C1303" s="2" t="s">
        <v>119</v>
      </c>
      <c r="D1303" s="2" t="s">
        <v>2859</v>
      </c>
      <c r="E1303" s="4" t="str">
        <f>HYPERLINK("./Results/DLO\2183\Osteo_Sarco_1.png","RPT")</f>
        <v>RPT</v>
      </c>
      <c r="F1303" s="2" t="s">
        <v>121</v>
      </c>
      <c r="G1303" s="6"/>
      <c r="H1303" s="1">
        <v>21.27</v>
      </c>
    </row>
    <row r="1304" spans="1:11" x14ac:dyDescent="0.3">
      <c r="A1304" s="2" t="s">
        <v>648</v>
      </c>
      <c r="B1304" s="2" t="s">
        <v>127</v>
      </c>
      <c r="C1304" s="2" t="s">
        <v>119</v>
      </c>
      <c r="D1304" s="2" t="s">
        <v>2859</v>
      </c>
      <c r="E1304" s="4" t="str">
        <f>HYPERLINK("./Results/DLO\2184\Osteo_Sarco_1.png","RPT")</f>
        <v>RPT</v>
      </c>
      <c r="F1304" s="2" t="s">
        <v>121</v>
      </c>
      <c r="G1304" s="6"/>
      <c r="I1304"/>
      <c r="J1304"/>
      <c r="K1304"/>
    </row>
    <row r="1305" spans="1:11" x14ac:dyDescent="0.3">
      <c r="A1305" s="2" t="s">
        <v>649</v>
      </c>
      <c r="B1305" s="2" t="s">
        <v>127</v>
      </c>
      <c r="C1305" s="2" t="s">
        <v>111</v>
      </c>
      <c r="D1305" s="2" t="s">
        <v>2859</v>
      </c>
      <c r="E1305" s="4" t="str">
        <f>HYPERLINK("./Results/DLO\2185\Osteo_Sarco_1.png","RPT")</f>
        <v>RPT</v>
      </c>
      <c r="F1305" s="2" t="s">
        <v>121</v>
      </c>
      <c r="G1305" s="6"/>
      <c r="I1305"/>
      <c r="J1305"/>
      <c r="K1305"/>
    </row>
    <row r="1306" spans="1:11" x14ac:dyDescent="0.3">
      <c r="A1306" s="2" t="s">
        <v>657</v>
      </c>
      <c r="B1306" s="2" t="s">
        <v>112</v>
      </c>
      <c r="C1306" s="2" t="s">
        <v>119</v>
      </c>
      <c r="D1306" s="2" t="s">
        <v>2859</v>
      </c>
      <c r="E1306" s="4" t="str">
        <f>HYPERLINK("./Results/DLO\2186\Osteo_Sarco_1.png","RPT")</f>
        <v>RPT</v>
      </c>
      <c r="F1306" s="2" t="s">
        <v>121</v>
      </c>
      <c r="G1306" s="6"/>
      <c r="H1306" s="1">
        <v>24.03</v>
      </c>
    </row>
    <row r="1307" spans="1:11" x14ac:dyDescent="0.3">
      <c r="A1307" s="2" t="s">
        <v>662</v>
      </c>
      <c r="B1307" s="2" t="s">
        <v>137</v>
      </c>
      <c r="C1307" s="2" t="s">
        <v>119</v>
      </c>
      <c r="D1307" s="2" t="s">
        <v>2859</v>
      </c>
      <c r="E1307" s="4" t="str">
        <f>HYPERLINK("./Results/DLO\2187\Osteo_Sarco_1.png","RPT")</f>
        <v>RPT</v>
      </c>
      <c r="F1307" s="2" t="s">
        <v>121</v>
      </c>
      <c r="G1307" s="6"/>
      <c r="I1307"/>
      <c r="J1307"/>
      <c r="K1307"/>
    </row>
    <row r="1308" spans="1:11" x14ac:dyDescent="0.3">
      <c r="A1308" s="2" t="s">
        <v>654</v>
      </c>
      <c r="B1308" s="2" t="s">
        <v>144</v>
      </c>
      <c r="C1308" s="2" t="s">
        <v>119</v>
      </c>
      <c r="D1308" s="2" t="s">
        <v>2867</v>
      </c>
      <c r="E1308" s="4" t="str">
        <f>HYPERLINK("./Results/DLO\2188\Osteo_Sarco_1.png","RPT")</f>
        <v>RPT</v>
      </c>
      <c r="F1308" s="2" t="s">
        <v>121</v>
      </c>
      <c r="G1308" s="6"/>
      <c r="I1308"/>
      <c r="J1308"/>
      <c r="K1308"/>
    </row>
    <row r="1309" spans="1:11" x14ac:dyDescent="0.3">
      <c r="A1309" s="2" t="s">
        <v>667</v>
      </c>
      <c r="B1309" s="2" t="s">
        <v>133</v>
      </c>
      <c r="C1309" s="2" t="s">
        <v>119</v>
      </c>
      <c r="D1309" s="2" t="s">
        <v>2859</v>
      </c>
      <c r="E1309" s="4" t="str">
        <f>HYPERLINK("./Results/DLO\2189\Osteo_Sarco_1.png","RPT")</f>
        <v>RPT</v>
      </c>
      <c r="F1309" s="2" t="s">
        <v>121</v>
      </c>
      <c r="G1309" s="6"/>
      <c r="I1309"/>
      <c r="J1309"/>
      <c r="K1309"/>
    </row>
    <row r="1310" spans="1:11" x14ac:dyDescent="0.3">
      <c r="A1310" s="2" t="s">
        <v>655</v>
      </c>
      <c r="B1310" s="2" t="s">
        <v>149</v>
      </c>
      <c r="C1310" s="2" t="s">
        <v>111</v>
      </c>
      <c r="D1310" s="2" t="s">
        <v>2859</v>
      </c>
      <c r="E1310" s="4" t="str">
        <f>HYPERLINK("./Results/DLO\219\Osteo_Sarco_1.png","RPT")</f>
        <v>RPT</v>
      </c>
      <c r="F1310" s="2" t="s">
        <v>121</v>
      </c>
      <c r="G1310" s="6"/>
      <c r="H1310" s="1">
        <v>26.3</v>
      </c>
    </row>
    <row r="1311" spans="1:11" x14ac:dyDescent="0.3">
      <c r="A1311" s="2" t="s">
        <v>656</v>
      </c>
      <c r="B1311" s="2" t="s">
        <v>116</v>
      </c>
      <c r="C1311" s="2" t="s">
        <v>119</v>
      </c>
      <c r="D1311" s="2" t="s">
        <v>2867</v>
      </c>
      <c r="E1311" s="4" t="str">
        <f>HYPERLINK("./Results/DLO\2190\Osteo_Sarco_1.png","RPT")</f>
        <v>RPT</v>
      </c>
      <c r="F1311" s="2" t="s">
        <v>121</v>
      </c>
      <c r="G1311" s="6"/>
      <c r="H1311" s="1">
        <v>26.31</v>
      </c>
    </row>
    <row r="1312" spans="1:11" x14ac:dyDescent="0.3">
      <c r="A1312" s="2" t="s">
        <v>645</v>
      </c>
      <c r="B1312" s="2" t="s">
        <v>120</v>
      </c>
      <c r="C1312" s="2" t="s">
        <v>111</v>
      </c>
      <c r="D1312" s="2" t="s">
        <v>2859</v>
      </c>
      <c r="E1312" s="4" t="str">
        <f>HYPERLINK("./Results/DLO\2191\Osteo_Sarco_1.png","RPT")</f>
        <v>RPT</v>
      </c>
      <c r="F1312" s="2" t="s">
        <v>121</v>
      </c>
      <c r="G1312" s="6"/>
      <c r="I1312"/>
      <c r="J1312"/>
      <c r="K1312"/>
    </row>
    <row r="1313" spans="1:11" x14ac:dyDescent="0.3">
      <c r="A1313" s="2" t="s">
        <v>660</v>
      </c>
      <c r="B1313" s="2" t="s">
        <v>116</v>
      </c>
      <c r="C1313" s="2" t="s">
        <v>119</v>
      </c>
      <c r="D1313" s="2" t="s">
        <v>2859</v>
      </c>
      <c r="E1313" s="4" t="str">
        <f>HYPERLINK("./Results/DLO\2192\Osteo_Sarco_1.png","RPT")</f>
        <v>RPT</v>
      </c>
      <c r="F1313" s="2" t="s">
        <v>121</v>
      </c>
      <c r="G1313" s="6"/>
      <c r="I1313"/>
      <c r="J1313"/>
      <c r="K1313"/>
    </row>
    <row r="1314" spans="1:11" x14ac:dyDescent="0.3">
      <c r="A1314" s="2" t="s">
        <v>665</v>
      </c>
      <c r="B1314" s="2" t="s">
        <v>164</v>
      </c>
      <c r="C1314" s="2" t="s">
        <v>119</v>
      </c>
      <c r="D1314" s="2" t="s">
        <v>2859</v>
      </c>
      <c r="E1314" s="4" t="str">
        <f>HYPERLINK("./Results/DLO\2193\Osteo_Sarco_1.png","RPT")</f>
        <v>RPT</v>
      </c>
      <c r="F1314" s="2" t="s">
        <v>121</v>
      </c>
      <c r="G1314" s="6"/>
      <c r="I1314"/>
      <c r="J1314"/>
      <c r="K1314"/>
    </row>
    <row r="1315" spans="1:11" x14ac:dyDescent="0.3">
      <c r="A1315" s="2" t="s">
        <v>647</v>
      </c>
      <c r="B1315" s="2" t="s">
        <v>138</v>
      </c>
      <c r="C1315" s="2" t="s">
        <v>119</v>
      </c>
      <c r="D1315" s="2" t="s">
        <v>2867</v>
      </c>
      <c r="E1315" s="4" t="str">
        <f>HYPERLINK("./Results/DLO\2194\Osteo_Sarco_1.png","RPT")</f>
        <v>RPT</v>
      </c>
      <c r="F1315" s="2" t="s">
        <v>121</v>
      </c>
      <c r="G1315" s="6"/>
      <c r="I1315"/>
      <c r="J1315"/>
      <c r="K1315"/>
    </row>
    <row r="1316" spans="1:11" x14ac:dyDescent="0.3">
      <c r="A1316" s="2" t="s">
        <v>650</v>
      </c>
      <c r="B1316" s="2" t="s">
        <v>589</v>
      </c>
      <c r="C1316" s="2" t="s">
        <v>111</v>
      </c>
      <c r="D1316" s="2" t="s">
        <v>2859</v>
      </c>
      <c r="E1316" s="4" t="str">
        <f>HYPERLINK("./Results/DLO\2195\Osteo_Sarco_1.png","RPT")</f>
        <v>RPT</v>
      </c>
      <c r="F1316" s="2" t="s">
        <v>121</v>
      </c>
      <c r="G1316" s="6"/>
      <c r="I1316"/>
      <c r="J1316"/>
      <c r="K1316"/>
    </row>
    <row r="1317" spans="1:11" x14ac:dyDescent="0.3">
      <c r="A1317" s="2" t="s">
        <v>651</v>
      </c>
      <c r="B1317" s="2" t="s">
        <v>138</v>
      </c>
      <c r="C1317" s="2" t="s">
        <v>111</v>
      </c>
      <c r="D1317" s="2" t="s">
        <v>2859</v>
      </c>
      <c r="E1317" s="4" t="str">
        <f>HYPERLINK("./Results/DLO\2196\Osteo_Sarco_1.png","RPT")</f>
        <v>RPT</v>
      </c>
      <c r="F1317" s="2" t="s">
        <v>121</v>
      </c>
      <c r="G1317" s="6"/>
      <c r="H1317" s="1">
        <v>19.5</v>
      </c>
    </row>
    <row r="1318" spans="1:11" x14ac:dyDescent="0.3">
      <c r="A1318" s="2" t="s">
        <v>658</v>
      </c>
      <c r="B1318" s="2" t="s">
        <v>144</v>
      </c>
      <c r="C1318" s="2" t="s">
        <v>111</v>
      </c>
      <c r="D1318" s="2" t="s">
        <v>2867</v>
      </c>
      <c r="E1318" s="4" t="str">
        <f>HYPERLINK("./Results/DLO\2197\Osteo_Sarco_1.png","RPT")</f>
        <v>RPT</v>
      </c>
      <c r="F1318" s="2" t="s">
        <v>121</v>
      </c>
      <c r="G1318" s="6"/>
      <c r="I1318"/>
      <c r="J1318"/>
      <c r="K1318"/>
    </row>
    <row r="1319" spans="1:11" x14ac:dyDescent="0.3">
      <c r="A1319" s="2" t="s">
        <v>652</v>
      </c>
      <c r="B1319" s="2" t="s">
        <v>587</v>
      </c>
      <c r="C1319" s="2" t="s">
        <v>111</v>
      </c>
      <c r="D1319" s="2" t="s">
        <v>2859</v>
      </c>
      <c r="E1319" s="4" t="str">
        <f>HYPERLINK("./Results/DLO\2198\Osteo_Sarco_1.png","RPT")</f>
        <v>RPT</v>
      </c>
      <c r="F1319" s="2" t="s">
        <v>121</v>
      </c>
      <c r="G1319" s="6"/>
      <c r="I1319"/>
      <c r="J1319"/>
      <c r="K1319"/>
    </row>
    <row r="1320" spans="1:11" x14ac:dyDescent="0.3">
      <c r="A1320" s="2" t="s">
        <v>661</v>
      </c>
      <c r="B1320" s="2" t="s">
        <v>157</v>
      </c>
      <c r="C1320" s="2" t="s">
        <v>111</v>
      </c>
      <c r="D1320" s="2" t="s">
        <v>2859</v>
      </c>
      <c r="E1320" s="4" t="str">
        <f>HYPERLINK("./Results/DLO\2199\Osteo_Sarco_1.png","RPT")</f>
        <v>RPT</v>
      </c>
      <c r="F1320" s="2" t="s">
        <v>121</v>
      </c>
      <c r="G1320" s="6"/>
      <c r="I1320"/>
      <c r="J1320"/>
      <c r="K1320"/>
    </row>
    <row r="1321" spans="1:11" x14ac:dyDescent="0.3">
      <c r="A1321" s="2" t="s">
        <v>666</v>
      </c>
      <c r="B1321" s="2" t="s">
        <v>164</v>
      </c>
      <c r="C1321" s="2" t="s">
        <v>111</v>
      </c>
      <c r="D1321" s="2" t="s">
        <v>2859</v>
      </c>
      <c r="E1321" s="4" t="str">
        <f>HYPERLINK("./Results/DLO\22\Osteo_Sarco_1.png","RPT")</f>
        <v>RPT</v>
      </c>
      <c r="F1321" s="2" t="s">
        <v>121</v>
      </c>
      <c r="G1321" s="6"/>
      <c r="I1321"/>
      <c r="J1321"/>
      <c r="K1321"/>
    </row>
    <row r="1322" spans="1:11" x14ac:dyDescent="0.3">
      <c r="A1322" s="2" t="s">
        <v>11</v>
      </c>
      <c r="B1322" s="2" t="s">
        <v>168</v>
      </c>
      <c r="C1322" s="2" t="s">
        <v>119</v>
      </c>
      <c r="D1322" s="2" t="s">
        <v>2859</v>
      </c>
      <c r="E1322" s="4" t="str">
        <f>HYPERLINK("./Results/DLO\220\Osteo_Sarco_1.png","RPT")</f>
        <v>RPT</v>
      </c>
      <c r="F1322" s="2" t="s">
        <v>121</v>
      </c>
      <c r="G1322" s="6"/>
      <c r="I1322"/>
      <c r="J1322"/>
      <c r="K1322"/>
    </row>
    <row r="1323" spans="1:11" x14ac:dyDescent="0.3">
      <c r="A1323" s="2" t="s">
        <v>336</v>
      </c>
      <c r="B1323" s="2" t="s">
        <v>130</v>
      </c>
      <c r="C1323" s="2" t="s">
        <v>119</v>
      </c>
      <c r="D1323" s="2" t="s">
        <v>2859</v>
      </c>
      <c r="E1323" s="4" t="str">
        <f>HYPERLINK("./Results/DLO\2201\Osteo_Sarco_1.png","RPT")</f>
        <v>RPT</v>
      </c>
      <c r="F1323" s="2" t="s">
        <v>121</v>
      </c>
      <c r="G1323" s="6"/>
      <c r="I1323"/>
      <c r="J1323"/>
      <c r="K1323"/>
    </row>
    <row r="1324" spans="1:11" x14ac:dyDescent="0.3">
      <c r="A1324" s="2" t="s">
        <v>324</v>
      </c>
      <c r="B1324" s="2" t="s">
        <v>168</v>
      </c>
      <c r="C1324" s="2" t="s">
        <v>119</v>
      </c>
      <c r="D1324" s="2" t="s">
        <v>2859</v>
      </c>
      <c r="E1324" s="4" t="str">
        <f>HYPERLINK("./Results/DLO\2202\Osteo_Sarco_1.png","RPT")</f>
        <v>RPT</v>
      </c>
      <c r="F1324" s="2" t="s">
        <v>121</v>
      </c>
      <c r="G1324" s="6"/>
      <c r="I1324"/>
      <c r="J1324"/>
      <c r="K1324"/>
    </row>
    <row r="1325" spans="1:11" x14ac:dyDescent="0.3">
      <c r="A1325" s="2" t="s">
        <v>322</v>
      </c>
      <c r="B1325" s="2" t="s">
        <v>116</v>
      </c>
      <c r="C1325" s="2" t="s">
        <v>111</v>
      </c>
      <c r="D1325" s="2" t="s">
        <v>2859</v>
      </c>
      <c r="E1325" s="4" t="str">
        <f>HYPERLINK("./Results/DLO\2203\Osteo_Sarco_1.png","RPT")</f>
        <v>RPT</v>
      </c>
      <c r="F1325" s="2" t="s">
        <v>121</v>
      </c>
      <c r="G1325" s="6"/>
      <c r="I1325"/>
      <c r="J1325"/>
      <c r="K1325"/>
    </row>
    <row r="1326" spans="1:11" x14ac:dyDescent="0.3">
      <c r="A1326" s="2" t="s">
        <v>337</v>
      </c>
      <c r="B1326" s="2" t="s">
        <v>153</v>
      </c>
      <c r="C1326" s="2" t="s">
        <v>111</v>
      </c>
      <c r="D1326" s="2" t="s">
        <v>2859</v>
      </c>
      <c r="E1326" s="4" t="str">
        <f>HYPERLINK("./Results/DLO\2204\Osteo_Sarco_1.png","RPT")</f>
        <v>RPT</v>
      </c>
      <c r="F1326" s="2" t="s">
        <v>121</v>
      </c>
      <c r="G1326" s="6"/>
      <c r="I1326"/>
      <c r="J1326"/>
      <c r="K1326"/>
    </row>
    <row r="1327" spans="1:11" x14ac:dyDescent="0.3">
      <c r="A1327" s="2" t="s">
        <v>329</v>
      </c>
      <c r="B1327" s="2" t="s">
        <v>126</v>
      </c>
      <c r="C1327" s="2" t="s">
        <v>111</v>
      </c>
      <c r="D1327" s="2" t="s">
        <v>2867</v>
      </c>
      <c r="E1327" s="4" t="str">
        <f>HYPERLINK("./Results/DLO\2205\Osteo_Sarco_1.png","RPT")</f>
        <v>RPT</v>
      </c>
      <c r="F1327" s="2" t="s">
        <v>121</v>
      </c>
      <c r="G1327" s="6"/>
      <c r="I1327"/>
      <c r="J1327"/>
      <c r="K1327"/>
    </row>
    <row r="1328" spans="1:11" x14ac:dyDescent="0.3">
      <c r="A1328" s="2" t="s">
        <v>318</v>
      </c>
      <c r="B1328" s="2" t="s">
        <v>138</v>
      </c>
      <c r="C1328" s="2" t="s">
        <v>111</v>
      </c>
      <c r="D1328" s="2" t="s">
        <v>2859</v>
      </c>
      <c r="E1328" s="4" t="str">
        <f>HYPERLINK("./Results/DLO\2206\Osteo_Sarco_1.png","RPT")</f>
        <v>RPT</v>
      </c>
      <c r="F1328" s="2" t="s">
        <v>121</v>
      </c>
      <c r="G1328" s="6"/>
      <c r="I1328"/>
      <c r="J1328"/>
      <c r="K1328"/>
    </row>
    <row r="1329" spans="1:11" x14ac:dyDescent="0.3">
      <c r="A1329" s="2" t="s">
        <v>325</v>
      </c>
      <c r="B1329" s="2" t="s">
        <v>136</v>
      </c>
      <c r="C1329" s="2" t="s">
        <v>119</v>
      </c>
      <c r="D1329" s="2" t="s">
        <v>2859</v>
      </c>
      <c r="E1329" s="4" t="str">
        <f>HYPERLINK("./Results/DLO\2207\Osteo_Sarco_1.png","RPT")</f>
        <v>RPT</v>
      </c>
      <c r="F1329" s="2" t="s">
        <v>121</v>
      </c>
      <c r="G1329" s="6"/>
      <c r="H1329" s="1">
        <v>22.72</v>
      </c>
    </row>
    <row r="1330" spans="1:11" x14ac:dyDescent="0.3">
      <c r="A1330" s="2" t="s">
        <v>323</v>
      </c>
      <c r="B1330" s="2" t="s">
        <v>138</v>
      </c>
      <c r="C1330" s="2" t="s">
        <v>111</v>
      </c>
      <c r="D1330" s="2" t="s">
        <v>2867</v>
      </c>
      <c r="E1330" s="4" t="str">
        <f>HYPERLINK("./Results/DLO\2208\Osteo_Sarco_1.png","RPT")</f>
        <v>RPT</v>
      </c>
      <c r="F1330" s="2" t="s">
        <v>121</v>
      </c>
      <c r="G1330" s="6"/>
      <c r="I1330"/>
      <c r="J1330"/>
      <c r="K1330"/>
    </row>
    <row r="1331" spans="1:11" x14ac:dyDescent="0.3">
      <c r="A1331" s="2" t="s">
        <v>338</v>
      </c>
      <c r="B1331" s="2" t="s">
        <v>118</v>
      </c>
      <c r="C1331" s="2" t="s">
        <v>119</v>
      </c>
      <c r="D1331" s="2" t="s">
        <v>2859</v>
      </c>
      <c r="E1331" s="4" t="str">
        <f>HYPERLINK("./Results/DLO\2209\Osteo_Sarco_1.png","RPT")</f>
        <v>RPT</v>
      </c>
      <c r="F1331" s="2" t="s">
        <v>121</v>
      </c>
      <c r="G1331" s="6"/>
      <c r="I1331"/>
      <c r="J1331"/>
      <c r="K1331"/>
    </row>
    <row r="1332" spans="1:11" x14ac:dyDescent="0.3">
      <c r="A1332" s="2" t="s">
        <v>315</v>
      </c>
      <c r="B1332" s="2" t="s">
        <v>123</v>
      </c>
      <c r="C1332" s="2" t="s">
        <v>111</v>
      </c>
      <c r="D1332" s="2" t="s">
        <v>2859</v>
      </c>
      <c r="E1332" s="4" t="str">
        <f>HYPERLINK("./Results/DLO\221\Osteo_Sarco_1.png","RPT")</f>
        <v>RPT</v>
      </c>
      <c r="F1332" s="2" t="s">
        <v>121</v>
      </c>
      <c r="G1332" s="6"/>
      <c r="I1332"/>
      <c r="J1332"/>
      <c r="K1332"/>
    </row>
    <row r="1333" spans="1:11" x14ac:dyDescent="0.3">
      <c r="A1333" s="2" t="s">
        <v>330</v>
      </c>
      <c r="B1333" s="2" t="s">
        <v>140</v>
      </c>
      <c r="C1333" s="2" t="s">
        <v>111</v>
      </c>
      <c r="D1333" s="2" t="s">
        <v>2867</v>
      </c>
      <c r="E1333" s="4" t="str">
        <f>HYPERLINK("./Results/DLO\2210\Osteo_Sarco_1.png","RPT")</f>
        <v>RPT</v>
      </c>
      <c r="F1333" s="2" t="s">
        <v>121</v>
      </c>
      <c r="G1333" s="6"/>
      <c r="I1333"/>
      <c r="J1333"/>
      <c r="K1333"/>
    </row>
    <row r="1334" spans="1:11" x14ac:dyDescent="0.3">
      <c r="A1334" s="2" t="s">
        <v>319</v>
      </c>
      <c r="B1334" s="2" t="s">
        <v>167</v>
      </c>
      <c r="C1334" s="2" t="s">
        <v>111</v>
      </c>
      <c r="D1334" s="2" t="s">
        <v>2867</v>
      </c>
      <c r="E1334" s="4" t="str">
        <f>HYPERLINK("./Results/DLO\2211\Osteo_Sarco_1.png","RPT")</f>
        <v>RPT</v>
      </c>
      <c r="F1334" s="2" t="s">
        <v>121</v>
      </c>
      <c r="G1334" s="6"/>
      <c r="H1334" s="1">
        <v>23.7</v>
      </c>
    </row>
    <row r="1335" spans="1:11" x14ac:dyDescent="0.3">
      <c r="A1335" s="2" t="s">
        <v>321</v>
      </c>
      <c r="B1335" s="2" t="s">
        <v>577</v>
      </c>
      <c r="C1335" s="2" t="s">
        <v>119</v>
      </c>
      <c r="D1335" s="2" t="s">
        <v>2867</v>
      </c>
      <c r="E1335" s="4" t="str">
        <f>HYPERLINK("./Results/DLO\2212\Osteo_Sarco_1.png","RPT")</f>
        <v>RPT</v>
      </c>
      <c r="F1335" s="2" t="s">
        <v>121</v>
      </c>
      <c r="G1335" s="6"/>
      <c r="I1335"/>
      <c r="J1335"/>
      <c r="K1335"/>
    </row>
    <row r="1336" spans="1:11" x14ac:dyDescent="0.3">
      <c r="A1336" s="2" t="s">
        <v>331</v>
      </c>
      <c r="B1336" s="2" t="s">
        <v>161</v>
      </c>
      <c r="C1336" s="2" t="s">
        <v>111</v>
      </c>
      <c r="D1336" s="2" t="s">
        <v>2867</v>
      </c>
      <c r="E1336" s="4" t="str">
        <f>HYPERLINK("./Results/DLO\2214\Osteo_Sarco_1.png","RPT")</f>
        <v>RPT</v>
      </c>
      <c r="F1336" s="2" t="s">
        <v>121</v>
      </c>
      <c r="G1336" s="6"/>
      <c r="I1336"/>
      <c r="J1336"/>
      <c r="K1336"/>
    </row>
    <row r="1337" spans="1:11" x14ac:dyDescent="0.3">
      <c r="A1337" s="2" t="s">
        <v>333</v>
      </c>
      <c r="B1337" s="2" t="s">
        <v>149</v>
      </c>
      <c r="C1337" s="2" t="s">
        <v>119</v>
      </c>
      <c r="D1337" s="2" t="s">
        <v>2859</v>
      </c>
      <c r="E1337" s="4" t="str">
        <f>HYPERLINK("./Results/DLO\2215\Osteo_Sarco_1.png","RPT")</f>
        <v>RPT</v>
      </c>
      <c r="F1337" s="2" t="s">
        <v>121</v>
      </c>
      <c r="G1337" s="6"/>
      <c r="I1337"/>
      <c r="J1337"/>
      <c r="K1337"/>
    </row>
    <row r="1338" spans="1:11" x14ac:dyDescent="0.3">
      <c r="A1338" s="2" t="s">
        <v>317</v>
      </c>
      <c r="B1338" s="2" t="s">
        <v>137</v>
      </c>
      <c r="C1338" s="2" t="s">
        <v>119</v>
      </c>
      <c r="D1338" s="2" t="s">
        <v>2859</v>
      </c>
      <c r="E1338" s="4" t="str">
        <f>HYPERLINK("./Results/DLO\2216\Osteo_Sarco_1.png","RPT")</f>
        <v>RPT</v>
      </c>
      <c r="F1338" s="2" t="s">
        <v>121</v>
      </c>
      <c r="G1338" s="6"/>
      <c r="I1338"/>
      <c r="J1338"/>
      <c r="K1338"/>
    </row>
    <row r="1339" spans="1:11" x14ac:dyDescent="0.3">
      <c r="A1339" s="2" t="s">
        <v>316</v>
      </c>
      <c r="B1339" s="2" t="s">
        <v>123</v>
      </c>
      <c r="C1339" s="2" t="s">
        <v>119</v>
      </c>
      <c r="D1339" s="2" t="s">
        <v>2859</v>
      </c>
      <c r="E1339" s="4" t="str">
        <f>HYPERLINK("./Results/DLO\2217\Osteo_Sarco_1.png","RPT")</f>
        <v>RPT</v>
      </c>
      <c r="F1339" s="2" t="s">
        <v>121</v>
      </c>
      <c r="G1339" s="6"/>
      <c r="H1339" s="1">
        <v>25.3</v>
      </c>
    </row>
    <row r="1340" spans="1:11" x14ac:dyDescent="0.3">
      <c r="A1340" s="2" t="s">
        <v>335</v>
      </c>
      <c r="B1340" s="2" t="s">
        <v>131</v>
      </c>
      <c r="C1340" s="2" t="s">
        <v>119</v>
      </c>
      <c r="D1340" s="2" t="s">
        <v>2859</v>
      </c>
      <c r="E1340" s="4" t="str">
        <f>HYPERLINK("./Results/DLO\2218\Osteo_Sarco_1.png","RPT")</f>
        <v>RPT</v>
      </c>
      <c r="F1340" s="2" t="s">
        <v>121</v>
      </c>
      <c r="G1340" s="6"/>
      <c r="I1340"/>
      <c r="J1340"/>
      <c r="K1340"/>
    </row>
    <row r="1341" spans="1:11" x14ac:dyDescent="0.3">
      <c r="A1341" s="2" t="s">
        <v>334</v>
      </c>
      <c r="B1341" s="2" t="s">
        <v>151</v>
      </c>
      <c r="C1341" s="2" t="s">
        <v>111</v>
      </c>
      <c r="D1341" s="2" t="s">
        <v>2859</v>
      </c>
      <c r="E1341" s="4" t="str">
        <f>HYPERLINK("./Results/DLO\2219\Osteo_Sarco_1.png","RPT")</f>
        <v>RPT</v>
      </c>
      <c r="F1341" s="2" t="s">
        <v>121</v>
      </c>
      <c r="G1341" s="6"/>
      <c r="H1341" s="1">
        <v>30.44</v>
      </c>
    </row>
    <row r="1342" spans="1:11" x14ac:dyDescent="0.3">
      <c r="A1342" s="2" t="s">
        <v>326</v>
      </c>
      <c r="B1342" s="2" t="s">
        <v>138</v>
      </c>
      <c r="C1342" s="2" t="s">
        <v>119</v>
      </c>
      <c r="D1342" s="2" t="s">
        <v>2859</v>
      </c>
      <c r="E1342" s="4" t="str">
        <f>HYPERLINK("./Results/DLO\222\Osteo_Sarco_1.png","RPT")</f>
        <v>RPT</v>
      </c>
      <c r="F1342" s="2" t="s">
        <v>121</v>
      </c>
      <c r="G1342" s="6"/>
      <c r="H1342" s="1">
        <v>23.18</v>
      </c>
    </row>
    <row r="1343" spans="1:11" x14ac:dyDescent="0.3">
      <c r="A1343" s="2" t="s">
        <v>332</v>
      </c>
      <c r="B1343" s="2" t="s">
        <v>116</v>
      </c>
      <c r="C1343" s="2" t="s">
        <v>111</v>
      </c>
      <c r="D1343" s="2" t="s">
        <v>2859</v>
      </c>
      <c r="E1343" s="4" t="str">
        <f>HYPERLINK("./Results/DLO\2220\Osteo_Sarco_1.png","RPT")</f>
        <v>RPT</v>
      </c>
      <c r="F1343" s="2" t="s">
        <v>121</v>
      </c>
      <c r="G1343" s="6"/>
      <c r="H1343" s="1">
        <v>21.7</v>
      </c>
    </row>
    <row r="1344" spans="1:11" x14ac:dyDescent="0.3">
      <c r="A1344" s="2" t="s">
        <v>327</v>
      </c>
      <c r="B1344" s="2" t="s">
        <v>130</v>
      </c>
      <c r="C1344" s="2" t="s">
        <v>119</v>
      </c>
      <c r="D1344" s="2" t="s">
        <v>2859</v>
      </c>
      <c r="E1344" s="4" t="str">
        <f>HYPERLINK("./Results/DLO\2221\Osteo_Sarco_1.png","RPT")</f>
        <v>RPT</v>
      </c>
      <c r="F1344" s="2" t="s">
        <v>121</v>
      </c>
      <c r="G1344" s="6"/>
      <c r="I1344"/>
      <c r="J1344"/>
      <c r="K1344"/>
    </row>
    <row r="1345" spans="1:11" x14ac:dyDescent="0.3">
      <c r="A1345" s="2" t="s">
        <v>328</v>
      </c>
      <c r="B1345" s="2" t="s">
        <v>136</v>
      </c>
      <c r="C1345" s="2" t="s">
        <v>111</v>
      </c>
      <c r="D1345" s="2" t="s">
        <v>2859</v>
      </c>
      <c r="E1345" s="4" t="str">
        <f>HYPERLINK("./Results/DLO\2222\Osteo_Sarco_1.png","RPT")</f>
        <v>RPT</v>
      </c>
      <c r="F1345" s="2" t="s">
        <v>121</v>
      </c>
      <c r="G1345" s="6"/>
      <c r="I1345"/>
      <c r="J1345"/>
      <c r="K1345"/>
    </row>
    <row r="1346" spans="1:11" x14ac:dyDescent="0.3">
      <c r="A1346" s="2" t="s">
        <v>342</v>
      </c>
      <c r="B1346" s="2" t="s">
        <v>146</v>
      </c>
      <c r="C1346" s="2" t="s">
        <v>111</v>
      </c>
      <c r="D1346" s="2" t="s">
        <v>2859</v>
      </c>
      <c r="E1346" s="4" t="str">
        <f>HYPERLINK("./Results/DLO\2223\Osteo_Sarco_1.png","RPT")</f>
        <v>RPT</v>
      </c>
      <c r="F1346" s="2" t="s">
        <v>121</v>
      </c>
      <c r="G1346" s="6"/>
      <c r="I1346"/>
      <c r="J1346"/>
      <c r="K1346"/>
    </row>
    <row r="1347" spans="1:11" x14ac:dyDescent="0.3">
      <c r="A1347" s="2" t="s">
        <v>350</v>
      </c>
      <c r="B1347" s="2" t="s">
        <v>587</v>
      </c>
      <c r="C1347" s="2" t="s">
        <v>111</v>
      </c>
      <c r="D1347" s="2" t="s">
        <v>2859</v>
      </c>
      <c r="E1347" s="4" t="str">
        <f>HYPERLINK("./Results/DLO\2224\Osteo_Sarco_1.png","RPT")</f>
        <v>RPT</v>
      </c>
      <c r="F1347" s="2" t="s">
        <v>121</v>
      </c>
      <c r="G1347" s="6"/>
      <c r="I1347"/>
      <c r="J1347"/>
      <c r="K1347"/>
    </row>
    <row r="1348" spans="1:11" x14ac:dyDescent="0.3">
      <c r="A1348" s="2" t="s">
        <v>351</v>
      </c>
      <c r="B1348" s="2" t="s">
        <v>160</v>
      </c>
      <c r="C1348" s="2" t="s">
        <v>111</v>
      </c>
      <c r="D1348" s="2" t="s">
        <v>2859</v>
      </c>
      <c r="E1348" s="4" t="str">
        <f>HYPERLINK("./Results/DLO\2225\Osteo_Sarco_1.png","RPT")</f>
        <v>RPT</v>
      </c>
      <c r="F1348" s="2" t="s">
        <v>121</v>
      </c>
      <c r="G1348" s="6"/>
      <c r="I1348"/>
      <c r="J1348"/>
      <c r="K1348"/>
    </row>
    <row r="1349" spans="1:11" x14ac:dyDescent="0.3">
      <c r="A1349" s="2" t="s">
        <v>343</v>
      </c>
      <c r="B1349" s="2" t="s">
        <v>122</v>
      </c>
      <c r="C1349" s="2" t="s">
        <v>111</v>
      </c>
      <c r="D1349" s="2" t="s">
        <v>2859</v>
      </c>
      <c r="E1349" s="4" t="str">
        <f>HYPERLINK("./Results/DLO\2226\Osteo_Sarco_1.png","RPT")</f>
        <v>RPT</v>
      </c>
      <c r="F1349" s="2" t="s">
        <v>121</v>
      </c>
      <c r="G1349" s="6"/>
      <c r="H1349" s="1">
        <v>27.81</v>
      </c>
    </row>
    <row r="1350" spans="1:11" x14ac:dyDescent="0.3">
      <c r="A1350" s="2" t="s">
        <v>346</v>
      </c>
      <c r="B1350" s="2" t="s">
        <v>123</v>
      </c>
      <c r="C1350" s="2" t="s">
        <v>111</v>
      </c>
      <c r="D1350" s="2" t="s">
        <v>2859</v>
      </c>
      <c r="E1350" s="4" t="str">
        <f>HYPERLINK("./Results/DLO\2227\Osteo_Sarco_1.png","RPT")</f>
        <v>RPT</v>
      </c>
      <c r="F1350" s="2" t="s">
        <v>121</v>
      </c>
      <c r="G1350" s="6"/>
      <c r="H1350" s="1">
        <v>30.17</v>
      </c>
    </row>
    <row r="1351" spans="1:11" x14ac:dyDescent="0.3">
      <c r="A1351" s="2" t="s">
        <v>358</v>
      </c>
      <c r="B1351" s="2" t="s">
        <v>149</v>
      </c>
      <c r="C1351" s="2" t="s">
        <v>111</v>
      </c>
      <c r="D1351" s="2" t="s">
        <v>2867</v>
      </c>
      <c r="E1351" s="4" t="str">
        <f>HYPERLINK("./Results/DLO\2228\Osteo_Sarco_1.png","RPT")</f>
        <v>RPT</v>
      </c>
      <c r="F1351" s="2" t="s">
        <v>121</v>
      </c>
      <c r="G1351" s="6"/>
      <c r="I1351"/>
      <c r="J1351"/>
      <c r="K1351"/>
    </row>
    <row r="1352" spans="1:11" x14ac:dyDescent="0.3">
      <c r="A1352" s="2" t="s">
        <v>348</v>
      </c>
      <c r="B1352" s="2" t="s">
        <v>131</v>
      </c>
      <c r="C1352" s="2" t="s">
        <v>111</v>
      </c>
      <c r="D1352" s="2" t="s">
        <v>2867</v>
      </c>
      <c r="E1352" s="4" t="str">
        <f>HYPERLINK("./Results/DLO\2229\Osteo_Sarco_1.png","RPT")</f>
        <v>RPT</v>
      </c>
      <c r="F1352" s="2" t="s">
        <v>121</v>
      </c>
      <c r="G1352" s="6"/>
      <c r="H1352" s="1">
        <v>25.73</v>
      </c>
    </row>
    <row r="1353" spans="1:11" x14ac:dyDescent="0.3">
      <c r="A1353" s="2" t="s">
        <v>340</v>
      </c>
      <c r="B1353" s="2" t="s">
        <v>143</v>
      </c>
      <c r="C1353" s="2" t="s">
        <v>119</v>
      </c>
      <c r="D1353" s="2" t="s">
        <v>2859</v>
      </c>
      <c r="E1353" s="4" t="str">
        <f>HYPERLINK("./Results/DLO\223\Osteo_Sarco_1.png","RPT")</f>
        <v>RPT</v>
      </c>
      <c r="F1353" s="2" t="s">
        <v>121</v>
      </c>
      <c r="G1353" s="6"/>
      <c r="I1353"/>
      <c r="J1353"/>
      <c r="K1353"/>
    </row>
    <row r="1354" spans="1:11" x14ac:dyDescent="0.3">
      <c r="A1354" s="2" t="s">
        <v>341</v>
      </c>
      <c r="B1354" s="2" t="s">
        <v>118</v>
      </c>
      <c r="C1354" s="2" t="s">
        <v>111</v>
      </c>
      <c r="D1354" s="2" t="s">
        <v>2859</v>
      </c>
      <c r="E1354" s="4" t="str">
        <f>HYPERLINK("./Results/DLO\2230\Osteo_Sarco_1.png","RPT")</f>
        <v>RPT</v>
      </c>
      <c r="F1354" s="2" t="s">
        <v>121</v>
      </c>
      <c r="G1354" s="6"/>
      <c r="H1354" s="1">
        <v>22.97</v>
      </c>
    </row>
    <row r="1355" spans="1:11" x14ac:dyDescent="0.3">
      <c r="A1355" s="2" t="s">
        <v>347</v>
      </c>
      <c r="B1355" s="2" t="s">
        <v>125</v>
      </c>
      <c r="C1355" s="2" t="s">
        <v>111</v>
      </c>
      <c r="D1355" s="2" t="s">
        <v>2859</v>
      </c>
      <c r="E1355" s="4" t="str">
        <f>HYPERLINK("./Results/DLO\2231\Osteo_Sarco_1.png","RPT")</f>
        <v>RPT</v>
      </c>
      <c r="F1355" s="2" t="s">
        <v>121</v>
      </c>
      <c r="G1355" s="6"/>
      <c r="I1355"/>
      <c r="J1355"/>
      <c r="K1355"/>
    </row>
    <row r="1356" spans="1:11" x14ac:dyDescent="0.3">
      <c r="A1356" s="2" t="s">
        <v>355</v>
      </c>
      <c r="B1356" s="2" t="s">
        <v>136</v>
      </c>
      <c r="C1356" s="2" t="s">
        <v>119</v>
      </c>
      <c r="D1356" s="2" t="s">
        <v>2859</v>
      </c>
      <c r="E1356" s="4" t="str">
        <f>HYPERLINK("./Results/DLO\2232\Osteo_Sarco_1.png","RPT")</f>
        <v>RPT</v>
      </c>
      <c r="F1356" s="2" t="s">
        <v>121</v>
      </c>
      <c r="G1356" s="6"/>
      <c r="I1356"/>
      <c r="J1356"/>
      <c r="K1356"/>
    </row>
    <row r="1357" spans="1:11" x14ac:dyDescent="0.3">
      <c r="A1357" s="2" t="s">
        <v>359</v>
      </c>
      <c r="B1357" s="2" t="s">
        <v>170</v>
      </c>
      <c r="C1357" s="2" t="s">
        <v>119</v>
      </c>
      <c r="D1357" s="2" t="s">
        <v>2859</v>
      </c>
      <c r="E1357" s="4" t="str">
        <f>HYPERLINK("./Results/DLO\2233\Osteo_Sarco_1.png","RPT")</f>
        <v>RPT</v>
      </c>
      <c r="F1357" s="2" t="s">
        <v>121</v>
      </c>
      <c r="G1357" s="6"/>
      <c r="I1357"/>
      <c r="J1357"/>
      <c r="K1357"/>
    </row>
    <row r="1358" spans="1:11" x14ac:dyDescent="0.3">
      <c r="A1358" s="2" t="s">
        <v>344</v>
      </c>
      <c r="B1358" s="2" t="s">
        <v>137</v>
      </c>
      <c r="C1358" s="2" t="s">
        <v>119</v>
      </c>
      <c r="D1358" s="2" t="s">
        <v>2859</v>
      </c>
      <c r="E1358" s="4" t="str">
        <f>HYPERLINK("./Results/DLO\2234\Osteo_Sarco_1.png","RPT")</f>
        <v>RPT</v>
      </c>
      <c r="F1358" s="2" t="s">
        <v>121</v>
      </c>
      <c r="G1358" s="6"/>
      <c r="I1358"/>
      <c r="J1358"/>
      <c r="K1358"/>
    </row>
    <row r="1359" spans="1:11" x14ac:dyDescent="0.3">
      <c r="A1359" s="2" t="s">
        <v>356</v>
      </c>
      <c r="B1359" s="2" t="s">
        <v>131</v>
      </c>
      <c r="C1359" s="2" t="s">
        <v>111</v>
      </c>
      <c r="D1359" s="2" t="s">
        <v>2859</v>
      </c>
      <c r="E1359" s="4" t="str">
        <f>HYPERLINK("./Results/DLO\2235\Osteo_Sarco_1.png","RPT")</f>
        <v>RPT</v>
      </c>
      <c r="F1359" s="2" t="s">
        <v>121</v>
      </c>
      <c r="G1359" s="6"/>
      <c r="I1359"/>
      <c r="J1359"/>
      <c r="K1359"/>
    </row>
    <row r="1360" spans="1:11" x14ac:dyDescent="0.3">
      <c r="A1360" s="2" t="s">
        <v>360</v>
      </c>
      <c r="B1360" s="2" t="s">
        <v>127</v>
      </c>
      <c r="C1360" s="2" t="s">
        <v>111</v>
      </c>
      <c r="D1360" s="2" t="s">
        <v>2859</v>
      </c>
      <c r="E1360" s="4" t="str">
        <f>HYPERLINK("./Results/DLO\2236\Osteo_Sarco_1.png","RPT")</f>
        <v>RPT</v>
      </c>
      <c r="F1360" s="2" t="s">
        <v>121</v>
      </c>
      <c r="G1360" s="6"/>
      <c r="I1360"/>
      <c r="J1360"/>
      <c r="K1360"/>
    </row>
    <row r="1361" spans="1:11" x14ac:dyDescent="0.3">
      <c r="A1361" s="2" t="s">
        <v>354</v>
      </c>
      <c r="B1361" s="2" t="s">
        <v>137</v>
      </c>
      <c r="C1361" s="2" t="s">
        <v>119</v>
      </c>
      <c r="D1361" s="2" t="s">
        <v>2859</v>
      </c>
      <c r="E1361" s="4" t="str">
        <f>HYPERLINK("./Results/DLO\2237\Osteo_Sarco_1.png","RPT")</f>
        <v>RPT</v>
      </c>
      <c r="F1361" s="2" t="s">
        <v>121</v>
      </c>
      <c r="G1361" s="6"/>
      <c r="H1361" s="1">
        <v>25.64</v>
      </c>
    </row>
    <row r="1362" spans="1:11" x14ac:dyDescent="0.3">
      <c r="A1362" s="2" t="s">
        <v>352</v>
      </c>
      <c r="B1362" s="2" t="s">
        <v>146</v>
      </c>
      <c r="C1362" s="2" t="s">
        <v>111</v>
      </c>
      <c r="D1362" s="2" t="s">
        <v>2859</v>
      </c>
      <c r="E1362" s="4" t="str">
        <f>HYPERLINK("./Results/DLO\2238\Osteo_Sarco_1.png","RPT")</f>
        <v>RPT</v>
      </c>
      <c r="F1362" s="2" t="s">
        <v>121</v>
      </c>
      <c r="G1362" s="6"/>
      <c r="I1362"/>
      <c r="J1362"/>
      <c r="K1362"/>
    </row>
    <row r="1363" spans="1:11" x14ac:dyDescent="0.3">
      <c r="A1363" s="2" t="s">
        <v>349</v>
      </c>
      <c r="B1363" s="2" t="s">
        <v>129</v>
      </c>
      <c r="C1363" s="2" t="s">
        <v>111</v>
      </c>
      <c r="D1363" s="2" t="s">
        <v>2859</v>
      </c>
      <c r="E1363" s="4" t="str">
        <f>HYPERLINK("./Results/DLO\2239\Osteo_Sarco_1.png","RPT")</f>
        <v>RPT</v>
      </c>
      <c r="F1363" s="2" t="s">
        <v>121</v>
      </c>
      <c r="G1363" s="6"/>
      <c r="I1363"/>
      <c r="J1363"/>
      <c r="K1363"/>
    </row>
    <row r="1364" spans="1:11" x14ac:dyDescent="0.3">
      <c r="A1364" s="2" t="s">
        <v>345</v>
      </c>
      <c r="B1364" s="2" t="s">
        <v>112</v>
      </c>
      <c r="C1364" s="2" t="s">
        <v>111</v>
      </c>
      <c r="D1364" s="2" t="s">
        <v>2867</v>
      </c>
      <c r="E1364" s="4" t="str">
        <f>HYPERLINK("./Results/DLO\224\Osteo_Sarco_1.png","RPT")</f>
        <v>RPT</v>
      </c>
      <c r="F1364" s="2" t="s">
        <v>121</v>
      </c>
      <c r="G1364" s="6"/>
      <c r="I1364"/>
      <c r="J1364"/>
      <c r="K1364"/>
    </row>
    <row r="1365" spans="1:11" x14ac:dyDescent="0.3">
      <c r="A1365" s="2" t="s">
        <v>357</v>
      </c>
      <c r="B1365" s="2" t="s">
        <v>131</v>
      </c>
      <c r="C1365" s="2" t="s">
        <v>111</v>
      </c>
      <c r="D1365" s="2" t="s">
        <v>2859</v>
      </c>
      <c r="E1365" s="4" t="str">
        <f>HYPERLINK("./Results/DLO\2240\Osteo_Sarco_1.png","RPT")</f>
        <v>RPT</v>
      </c>
      <c r="F1365" s="2" t="s">
        <v>121</v>
      </c>
      <c r="G1365" s="6"/>
      <c r="I1365"/>
      <c r="J1365"/>
      <c r="K1365"/>
    </row>
    <row r="1366" spans="1:11" x14ac:dyDescent="0.3">
      <c r="A1366" s="2" t="s">
        <v>353</v>
      </c>
      <c r="B1366" s="2" t="s">
        <v>140</v>
      </c>
      <c r="C1366" s="2" t="s">
        <v>111</v>
      </c>
      <c r="D1366" s="2" t="s">
        <v>2859</v>
      </c>
      <c r="E1366" s="4" t="str">
        <f>HYPERLINK("./Results/DLO\2241\Osteo_Sarco_1.png","RPT")</f>
        <v>RPT</v>
      </c>
      <c r="F1366" s="2" t="s">
        <v>121</v>
      </c>
      <c r="G1366" s="6"/>
      <c r="I1366"/>
      <c r="J1366"/>
      <c r="K1366"/>
    </row>
    <row r="1367" spans="1:11" x14ac:dyDescent="0.3">
      <c r="A1367" s="2" t="s">
        <v>339</v>
      </c>
      <c r="B1367" s="2" t="s">
        <v>131</v>
      </c>
      <c r="C1367" s="2" t="s">
        <v>111</v>
      </c>
      <c r="D1367" s="2" t="s">
        <v>2859</v>
      </c>
      <c r="E1367" s="4" t="str">
        <f>HYPERLINK("./Results/DLO\2242\Osteo_Sarco_1.png","RPT")</f>
        <v>RPT</v>
      </c>
      <c r="F1367" s="2" t="s">
        <v>121</v>
      </c>
      <c r="G1367" s="6"/>
      <c r="I1367"/>
      <c r="J1367"/>
      <c r="K1367"/>
    </row>
    <row r="1368" spans="1:11" x14ac:dyDescent="0.3">
      <c r="A1368" s="2" t="s">
        <v>371</v>
      </c>
      <c r="B1368" s="2" t="s">
        <v>138</v>
      </c>
      <c r="C1368" s="2" t="s">
        <v>111</v>
      </c>
      <c r="D1368" s="2" t="s">
        <v>2859</v>
      </c>
      <c r="E1368" s="4" t="str">
        <f>HYPERLINK("./Results/DLO\2243\Osteo_Sarco_1.png","RPT")</f>
        <v>RPT</v>
      </c>
      <c r="F1368" s="2" t="s">
        <v>121</v>
      </c>
      <c r="G1368" s="6"/>
      <c r="I1368"/>
      <c r="J1368"/>
      <c r="K1368"/>
    </row>
    <row r="1369" spans="1:11" x14ac:dyDescent="0.3">
      <c r="A1369" s="2" t="s">
        <v>369</v>
      </c>
      <c r="B1369" s="2" t="s">
        <v>148</v>
      </c>
      <c r="C1369" s="2" t="s">
        <v>119</v>
      </c>
      <c r="D1369" s="2" t="s">
        <v>2859</v>
      </c>
      <c r="E1369" s="4" t="str">
        <f>HYPERLINK("./Results/DLO\2244\Osteo_Sarco_1.png","RPT")</f>
        <v>RPT</v>
      </c>
      <c r="F1369" s="2" t="s">
        <v>121</v>
      </c>
      <c r="G1369" s="6"/>
      <c r="I1369"/>
      <c r="J1369"/>
      <c r="K1369"/>
    </row>
    <row r="1370" spans="1:11" x14ac:dyDescent="0.3">
      <c r="A1370" s="2" t="s">
        <v>376</v>
      </c>
      <c r="B1370" s="2" t="s">
        <v>167</v>
      </c>
      <c r="C1370" s="2" t="s">
        <v>111</v>
      </c>
      <c r="D1370" s="2" t="s">
        <v>2859</v>
      </c>
      <c r="E1370" s="4" t="str">
        <f>HYPERLINK("./Results/DLO\2245\Osteo_Sarco_1.png","RPT")</f>
        <v>RPT</v>
      </c>
      <c r="F1370" s="2" t="s">
        <v>121</v>
      </c>
      <c r="G1370" s="6"/>
      <c r="I1370"/>
      <c r="J1370"/>
      <c r="K1370"/>
    </row>
    <row r="1371" spans="1:11" x14ac:dyDescent="0.3">
      <c r="A1371" s="2" t="s">
        <v>382</v>
      </c>
      <c r="B1371" s="2" t="s">
        <v>148</v>
      </c>
      <c r="C1371" s="2" t="s">
        <v>111</v>
      </c>
      <c r="D1371" s="2" t="s">
        <v>2859</v>
      </c>
      <c r="E1371" s="4" t="str">
        <f>HYPERLINK("./Results/DLO\2246\Osteo_Sarco_1.png","RPT")</f>
        <v>RPT</v>
      </c>
      <c r="F1371" s="2" t="s">
        <v>121</v>
      </c>
      <c r="G1371" s="6"/>
      <c r="I1371"/>
      <c r="J1371"/>
      <c r="K1371"/>
    </row>
    <row r="1372" spans="1:11" x14ac:dyDescent="0.3">
      <c r="A1372" s="2" t="s">
        <v>367</v>
      </c>
      <c r="B1372" s="2" t="s">
        <v>151</v>
      </c>
      <c r="C1372" s="2" t="s">
        <v>111</v>
      </c>
      <c r="D1372" s="2" t="s">
        <v>2859</v>
      </c>
      <c r="E1372" s="4" t="str">
        <f>HYPERLINK("./Results/DLO\2247\Osteo_Sarco_1.png","RPT")</f>
        <v>RPT</v>
      </c>
      <c r="F1372" s="2" t="s">
        <v>121</v>
      </c>
      <c r="G1372" s="6"/>
      <c r="I1372"/>
      <c r="J1372"/>
      <c r="K1372"/>
    </row>
    <row r="1373" spans="1:11" x14ac:dyDescent="0.3">
      <c r="A1373" s="2" t="s">
        <v>379</v>
      </c>
      <c r="B1373" s="2" t="s">
        <v>166</v>
      </c>
      <c r="C1373" s="2" t="s">
        <v>119</v>
      </c>
      <c r="D1373" s="2" t="s">
        <v>2859</v>
      </c>
      <c r="E1373" s="4" t="str">
        <f>HYPERLINK("./Results/DLO\2248\Osteo_Sarco_1.png","RPT")</f>
        <v>RPT</v>
      </c>
      <c r="F1373" s="2" t="s">
        <v>121</v>
      </c>
      <c r="G1373" s="6"/>
      <c r="I1373"/>
      <c r="J1373"/>
      <c r="K1373"/>
    </row>
    <row r="1374" spans="1:11" x14ac:dyDescent="0.3">
      <c r="A1374" s="2" t="s">
        <v>381</v>
      </c>
      <c r="B1374" s="2" t="s">
        <v>161</v>
      </c>
      <c r="C1374" s="2" t="s">
        <v>119</v>
      </c>
      <c r="D1374" s="2" t="s">
        <v>2859</v>
      </c>
      <c r="E1374" s="4" t="str">
        <f>HYPERLINK("./Results/DLO\2249\Osteo_Sarco_1.png","RPT")</f>
        <v>RPT</v>
      </c>
      <c r="F1374" s="2" t="s">
        <v>121</v>
      </c>
      <c r="G1374" s="6"/>
      <c r="I1374"/>
      <c r="J1374"/>
      <c r="K1374"/>
    </row>
    <row r="1375" spans="1:11" x14ac:dyDescent="0.3">
      <c r="A1375" s="2" t="s">
        <v>372</v>
      </c>
      <c r="B1375" s="2" t="s">
        <v>167</v>
      </c>
      <c r="C1375" s="2" t="s">
        <v>111</v>
      </c>
      <c r="D1375" s="2" t="s">
        <v>2859</v>
      </c>
      <c r="E1375" s="4" t="str">
        <f>HYPERLINK("./Results/DLO\225\Osteo_Sarco_1.png","RPT")</f>
        <v>RPT</v>
      </c>
      <c r="F1375" s="2" t="s">
        <v>121</v>
      </c>
      <c r="G1375" s="6"/>
      <c r="I1375"/>
      <c r="J1375"/>
      <c r="K1375"/>
    </row>
    <row r="1376" spans="1:11" x14ac:dyDescent="0.3">
      <c r="A1376" s="2" t="s">
        <v>373</v>
      </c>
      <c r="B1376" s="2" t="s">
        <v>168</v>
      </c>
      <c r="C1376" s="2" t="s">
        <v>119</v>
      </c>
      <c r="D1376" s="2" t="s">
        <v>2867</v>
      </c>
      <c r="E1376" s="4" t="str">
        <f>HYPERLINK("./Results/DLO\2250\Osteo_Sarco_1.png","RPT")</f>
        <v>RPT</v>
      </c>
      <c r="F1376" s="2" t="s">
        <v>121</v>
      </c>
      <c r="G1376" s="6"/>
      <c r="I1376"/>
      <c r="J1376"/>
      <c r="K1376"/>
    </row>
    <row r="1377" spans="1:11" x14ac:dyDescent="0.3">
      <c r="A1377" s="2" t="s">
        <v>374</v>
      </c>
      <c r="B1377" s="2" t="s">
        <v>120</v>
      </c>
      <c r="C1377" s="2" t="s">
        <v>119</v>
      </c>
      <c r="D1377" s="2" t="s">
        <v>2859</v>
      </c>
      <c r="E1377" s="4" t="str">
        <f>HYPERLINK("./Results/DLO\2251\Osteo_Sarco_1.png","RPT")</f>
        <v>RPT</v>
      </c>
      <c r="F1377" s="2" t="s">
        <v>121</v>
      </c>
      <c r="G1377" s="6"/>
      <c r="I1377"/>
      <c r="J1377"/>
      <c r="K1377"/>
    </row>
    <row r="1378" spans="1:11" x14ac:dyDescent="0.3">
      <c r="A1378" s="2" t="s">
        <v>378</v>
      </c>
      <c r="B1378" s="2" t="s">
        <v>123</v>
      </c>
      <c r="C1378" s="2" t="s">
        <v>111</v>
      </c>
      <c r="D1378" s="2" t="s">
        <v>2859</v>
      </c>
      <c r="E1378" s="4" t="str">
        <f>HYPERLINK("./Results/DLO\2252\Osteo_Sarco_1.png","RPT")</f>
        <v>RPT</v>
      </c>
      <c r="F1378" s="2" t="s">
        <v>121</v>
      </c>
      <c r="G1378" s="6"/>
      <c r="I1378"/>
      <c r="J1378"/>
      <c r="K1378"/>
    </row>
    <row r="1379" spans="1:11" x14ac:dyDescent="0.3">
      <c r="A1379" s="2" t="s">
        <v>364</v>
      </c>
      <c r="B1379" s="2" t="s">
        <v>138</v>
      </c>
      <c r="C1379" s="2" t="s">
        <v>119</v>
      </c>
      <c r="D1379" s="2" t="s">
        <v>2859</v>
      </c>
      <c r="E1379" s="4" t="str">
        <f>HYPERLINK("./Results/DLO\2253\Osteo_Sarco_1.png","RPT")</f>
        <v>RPT</v>
      </c>
      <c r="F1379" s="2" t="s">
        <v>121</v>
      </c>
      <c r="G1379" s="6"/>
      <c r="I1379"/>
      <c r="J1379"/>
      <c r="K1379"/>
    </row>
    <row r="1380" spans="1:11" x14ac:dyDescent="0.3">
      <c r="A1380" s="2" t="s">
        <v>375</v>
      </c>
      <c r="B1380" s="2" t="s">
        <v>140</v>
      </c>
      <c r="C1380" s="2" t="s">
        <v>119</v>
      </c>
      <c r="D1380" s="2" t="s">
        <v>2859</v>
      </c>
      <c r="E1380" s="4" t="str">
        <f>HYPERLINK("./Results/DLO\2254\Osteo_Sarco_1.png","RPT")</f>
        <v>RPT</v>
      </c>
      <c r="F1380" s="2" t="s">
        <v>121</v>
      </c>
      <c r="G1380" s="6"/>
      <c r="I1380"/>
      <c r="J1380"/>
      <c r="K1380"/>
    </row>
    <row r="1381" spans="1:11" x14ac:dyDescent="0.3">
      <c r="A1381" s="2" t="s">
        <v>365</v>
      </c>
      <c r="B1381" s="2" t="s">
        <v>122</v>
      </c>
      <c r="C1381" s="2" t="s">
        <v>111</v>
      </c>
      <c r="D1381" s="2" t="s">
        <v>2859</v>
      </c>
      <c r="E1381" s="4" t="str">
        <f>HYPERLINK("./Results/DLO\2255\Osteo_Sarco_1.png","RPT")</f>
        <v>RPT</v>
      </c>
      <c r="F1381" s="2" t="s">
        <v>121</v>
      </c>
      <c r="G1381" s="6"/>
      <c r="I1381"/>
      <c r="J1381"/>
      <c r="K1381"/>
    </row>
    <row r="1382" spans="1:11" x14ac:dyDescent="0.3">
      <c r="A1382" s="2" t="s">
        <v>370</v>
      </c>
      <c r="B1382" s="2" t="s">
        <v>152</v>
      </c>
      <c r="C1382" s="2" t="s">
        <v>119</v>
      </c>
      <c r="D1382" s="2" t="s">
        <v>2859</v>
      </c>
      <c r="E1382" s="4" t="str">
        <f>HYPERLINK("./Results/DLO\2256\Osteo_Sarco_1.png","RPT")</f>
        <v>RPT</v>
      </c>
      <c r="F1382" s="2" t="s">
        <v>121</v>
      </c>
      <c r="G1382" s="6"/>
      <c r="I1382"/>
      <c r="J1382"/>
      <c r="K1382"/>
    </row>
    <row r="1383" spans="1:11" x14ac:dyDescent="0.3">
      <c r="A1383" s="2" t="s">
        <v>380</v>
      </c>
      <c r="B1383" s="2" t="s">
        <v>114</v>
      </c>
      <c r="C1383" s="2" t="s">
        <v>111</v>
      </c>
      <c r="D1383" s="2" t="s">
        <v>2867</v>
      </c>
      <c r="E1383" s="4" t="str">
        <f>HYPERLINK("./Results/DLO\2257\Osteo_Sarco_1.png","RPT")</f>
        <v>RPT</v>
      </c>
      <c r="F1383" s="2" t="s">
        <v>121</v>
      </c>
      <c r="G1383" s="6"/>
      <c r="I1383"/>
      <c r="J1383"/>
      <c r="K1383"/>
    </row>
    <row r="1384" spans="1:11" x14ac:dyDescent="0.3">
      <c r="A1384" s="2" t="s">
        <v>362</v>
      </c>
      <c r="B1384" s="2" t="s">
        <v>149</v>
      </c>
      <c r="C1384" s="2" t="s">
        <v>111</v>
      </c>
      <c r="D1384" s="2" t="s">
        <v>2859</v>
      </c>
      <c r="E1384" s="4" t="str">
        <f>HYPERLINK("./Results/DLO\2258\Osteo_Sarco_1.png","RPT")</f>
        <v>RPT</v>
      </c>
      <c r="F1384" s="2" t="s">
        <v>121</v>
      </c>
      <c r="G1384" s="6"/>
      <c r="I1384"/>
      <c r="J1384"/>
      <c r="K1384"/>
    </row>
    <row r="1385" spans="1:11" x14ac:dyDescent="0.3">
      <c r="A1385" s="2" t="s">
        <v>383</v>
      </c>
      <c r="B1385" s="2" t="s">
        <v>137</v>
      </c>
      <c r="C1385" s="2" t="s">
        <v>111</v>
      </c>
      <c r="D1385" s="2" t="s">
        <v>2859</v>
      </c>
      <c r="E1385" s="4" t="str">
        <f>HYPERLINK("./Results/DLO\2259\Osteo_Sarco_1.png","RPT")</f>
        <v>RPT</v>
      </c>
      <c r="F1385" s="2" t="s">
        <v>121</v>
      </c>
      <c r="G1385" s="6"/>
      <c r="H1385" s="1">
        <v>25.33</v>
      </c>
    </row>
    <row r="1386" spans="1:11" x14ac:dyDescent="0.3">
      <c r="A1386" s="2" t="s">
        <v>363</v>
      </c>
      <c r="B1386" s="2" t="s">
        <v>150</v>
      </c>
      <c r="C1386" s="2" t="s">
        <v>111</v>
      </c>
      <c r="D1386" s="2" t="s">
        <v>2859</v>
      </c>
      <c r="E1386" s="4" t="str">
        <f>HYPERLINK("./Results/DLO\226\Osteo_Sarco_1.png","RPT")</f>
        <v>RPT</v>
      </c>
      <c r="F1386" s="2" t="s">
        <v>121</v>
      </c>
      <c r="G1386" s="6"/>
      <c r="H1386" s="1">
        <v>25.21</v>
      </c>
    </row>
    <row r="1387" spans="1:11" x14ac:dyDescent="0.3">
      <c r="A1387" s="2" t="s">
        <v>366</v>
      </c>
      <c r="B1387" s="2" t="s">
        <v>132</v>
      </c>
      <c r="C1387" s="2" t="s">
        <v>119</v>
      </c>
      <c r="D1387" s="2" t="s">
        <v>2859</v>
      </c>
      <c r="E1387" s="4" t="str">
        <f>HYPERLINK("./Results/DLO\2260\Osteo_Sarco_1.png","RPT")</f>
        <v>RPT</v>
      </c>
      <c r="F1387" s="2" t="s">
        <v>121</v>
      </c>
      <c r="G1387" s="6"/>
      <c r="I1387"/>
      <c r="J1387"/>
      <c r="K1387"/>
    </row>
    <row r="1388" spans="1:11" x14ac:dyDescent="0.3">
      <c r="A1388" s="2" t="s">
        <v>377</v>
      </c>
      <c r="B1388" s="2" t="s">
        <v>131</v>
      </c>
      <c r="C1388" s="2" t="s">
        <v>119</v>
      </c>
      <c r="D1388" s="2" t="s">
        <v>2859</v>
      </c>
      <c r="E1388" s="4" t="str">
        <f>HYPERLINK("./Results/DLO\2261\Osteo_Sarco_1.png","RPT")</f>
        <v>RPT</v>
      </c>
      <c r="F1388" s="2" t="s">
        <v>121</v>
      </c>
      <c r="G1388" s="6"/>
      <c r="I1388"/>
      <c r="J1388"/>
      <c r="K1388"/>
    </row>
    <row r="1389" spans="1:11" x14ac:dyDescent="0.3">
      <c r="A1389" s="2" t="s">
        <v>384</v>
      </c>
      <c r="B1389" s="2" t="s">
        <v>138</v>
      </c>
      <c r="C1389" s="2" t="s">
        <v>119</v>
      </c>
      <c r="D1389" s="2" t="s">
        <v>2859</v>
      </c>
      <c r="E1389" s="4" t="str">
        <f>HYPERLINK("./Results/DLO\2262\Osteo_Sarco_1.png","RPT")</f>
        <v>RPT</v>
      </c>
      <c r="F1389" s="2" t="s">
        <v>121</v>
      </c>
      <c r="G1389" s="6"/>
      <c r="I1389"/>
      <c r="J1389"/>
      <c r="K1389"/>
    </row>
    <row r="1390" spans="1:11" x14ac:dyDescent="0.3">
      <c r="A1390" s="2" t="s">
        <v>361</v>
      </c>
      <c r="B1390" s="2" t="s">
        <v>168</v>
      </c>
      <c r="C1390" s="2" t="s">
        <v>119</v>
      </c>
      <c r="D1390" s="2" t="s">
        <v>2859</v>
      </c>
      <c r="E1390" s="4" t="str">
        <f>HYPERLINK("./Results/DLO\2263\Osteo_Sarco_1.png","RPT")</f>
        <v>RPT</v>
      </c>
      <c r="F1390" s="2" t="s">
        <v>121</v>
      </c>
      <c r="G1390" s="6"/>
      <c r="I1390"/>
      <c r="J1390"/>
      <c r="K1390"/>
    </row>
    <row r="1391" spans="1:11" x14ac:dyDescent="0.3">
      <c r="A1391" s="2" t="s">
        <v>368</v>
      </c>
      <c r="B1391" s="2" t="s">
        <v>143</v>
      </c>
      <c r="C1391" s="2" t="s">
        <v>111</v>
      </c>
      <c r="D1391" s="2" t="s">
        <v>2859</v>
      </c>
      <c r="E1391" s="4" t="str">
        <f>HYPERLINK("./Results/DLO\2264\Osteo_Sarco_1.png","RPT")</f>
        <v>RPT</v>
      </c>
      <c r="F1391" s="2" t="s">
        <v>121</v>
      </c>
      <c r="G1391" s="6"/>
      <c r="I1391"/>
      <c r="J1391"/>
      <c r="K1391"/>
    </row>
    <row r="1392" spans="1:11" x14ac:dyDescent="0.3">
      <c r="A1392" s="2" t="s">
        <v>386</v>
      </c>
      <c r="B1392" s="2" t="s">
        <v>118</v>
      </c>
      <c r="C1392" s="2" t="s">
        <v>111</v>
      </c>
      <c r="D1392" s="2" t="s">
        <v>2859</v>
      </c>
      <c r="E1392" s="4" t="str">
        <f>HYPERLINK("./Results/DLO\2265\Osteo_Sarco_1.png","RPT")</f>
        <v>RPT</v>
      </c>
      <c r="F1392" s="2" t="s">
        <v>121</v>
      </c>
      <c r="G1392" s="6"/>
      <c r="I1392"/>
      <c r="J1392"/>
      <c r="K1392"/>
    </row>
    <row r="1393" spans="1:11" x14ac:dyDescent="0.3">
      <c r="A1393" s="2" t="s">
        <v>393</v>
      </c>
      <c r="B1393" s="2" t="s">
        <v>168</v>
      </c>
      <c r="C1393" s="2" t="s">
        <v>111</v>
      </c>
      <c r="D1393" s="2" t="s">
        <v>2859</v>
      </c>
      <c r="E1393" s="4" t="str">
        <f>HYPERLINK("./Results/DLO\2266\Osteo_Sarco_1.png","RPT")</f>
        <v>RPT</v>
      </c>
      <c r="F1393" s="2" t="s">
        <v>121</v>
      </c>
      <c r="G1393" s="6"/>
      <c r="H1393" s="1">
        <v>25.5</v>
      </c>
    </row>
    <row r="1394" spans="1:11" x14ac:dyDescent="0.3">
      <c r="A1394" s="2" t="s">
        <v>407</v>
      </c>
      <c r="B1394" s="2" t="s">
        <v>166</v>
      </c>
      <c r="C1394" s="2" t="s">
        <v>119</v>
      </c>
      <c r="D1394" s="2" t="s">
        <v>2859</v>
      </c>
      <c r="E1394" s="4" t="str">
        <f>HYPERLINK("./Results/DLO\2267\Osteo_Sarco_1.png","RPT")</f>
        <v>RPT</v>
      </c>
      <c r="F1394" s="2" t="s">
        <v>121</v>
      </c>
      <c r="G1394" s="6"/>
      <c r="I1394"/>
      <c r="J1394"/>
      <c r="K1394"/>
    </row>
    <row r="1395" spans="1:11" x14ac:dyDescent="0.3">
      <c r="A1395" s="2" t="s">
        <v>397</v>
      </c>
      <c r="B1395" s="2" t="s">
        <v>148</v>
      </c>
      <c r="C1395" s="2" t="s">
        <v>111</v>
      </c>
      <c r="D1395" s="2" t="s">
        <v>2859</v>
      </c>
      <c r="E1395" s="4" t="str">
        <f>HYPERLINK("./Results/DLO\2268\Osteo_Sarco_1.png","RPT")</f>
        <v>RPT</v>
      </c>
      <c r="F1395" s="2" t="s">
        <v>121</v>
      </c>
      <c r="G1395" s="6"/>
      <c r="I1395"/>
      <c r="J1395"/>
      <c r="K1395"/>
    </row>
    <row r="1396" spans="1:11" x14ac:dyDescent="0.3">
      <c r="A1396" s="2" t="s">
        <v>404</v>
      </c>
      <c r="B1396" s="2" t="s">
        <v>131</v>
      </c>
      <c r="C1396" s="2" t="s">
        <v>119</v>
      </c>
      <c r="D1396" s="2" t="s">
        <v>2859</v>
      </c>
      <c r="E1396" s="4" t="str">
        <f>HYPERLINK("./Results/DLO\2269\Osteo_Sarco_1.png","RPT")</f>
        <v>RPT</v>
      </c>
      <c r="F1396" s="2" t="s">
        <v>121</v>
      </c>
      <c r="G1396" s="6"/>
      <c r="I1396"/>
      <c r="J1396"/>
      <c r="K1396"/>
    </row>
    <row r="1397" spans="1:11" x14ac:dyDescent="0.3">
      <c r="A1397" s="2" t="s">
        <v>406</v>
      </c>
      <c r="B1397" s="2" t="s">
        <v>167</v>
      </c>
      <c r="C1397" s="2" t="s">
        <v>111</v>
      </c>
      <c r="D1397" s="2" t="s">
        <v>2859</v>
      </c>
      <c r="E1397" s="4" t="str">
        <f>HYPERLINK("./Results/DLO\227\Osteo_Sarco_1.png","RPT")</f>
        <v>RPT</v>
      </c>
      <c r="F1397" s="2" t="s">
        <v>121</v>
      </c>
      <c r="G1397" s="6"/>
      <c r="H1397" s="1">
        <v>25.69</v>
      </c>
    </row>
    <row r="1398" spans="1:11" x14ac:dyDescent="0.3">
      <c r="A1398" s="2" t="s">
        <v>391</v>
      </c>
      <c r="B1398" s="2" t="s">
        <v>166</v>
      </c>
      <c r="C1398" s="2" t="s">
        <v>111</v>
      </c>
      <c r="D1398" s="2" t="s">
        <v>2867</v>
      </c>
      <c r="E1398" s="4" t="str">
        <f>HYPERLINK("./Results/DLO\2270\Osteo_Sarco_1.png","RPT")</f>
        <v>RPT</v>
      </c>
      <c r="F1398" s="2" t="s">
        <v>121</v>
      </c>
      <c r="G1398" s="6"/>
      <c r="H1398" s="1">
        <v>24.3</v>
      </c>
    </row>
    <row r="1399" spans="1:11" x14ac:dyDescent="0.3">
      <c r="A1399" s="2" t="s">
        <v>388</v>
      </c>
      <c r="B1399" s="2" t="s">
        <v>137</v>
      </c>
      <c r="C1399" s="2" t="s">
        <v>119</v>
      </c>
      <c r="D1399" s="2" t="s">
        <v>2867</v>
      </c>
      <c r="E1399" s="4" t="str">
        <f>HYPERLINK("./Results/DLO\2271\Osteo_Sarco_1.png","RPT")</f>
        <v>RPT</v>
      </c>
      <c r="F1399" s="2" t="s">
        <v>121</v>
      </c>
      <c r="G1399" s="6"/>
      <c r="I1399"/>
      <c r="J1399"/>
      <c r="K1399"/>
    </row>
    <row r="1400" spans="1:11" x14ac:dyDescent="0.3">
      <c r="A1400" s="2" t="s">
        <v>400</v>
      </c>
      <c r="B1400" s="2" t="s">
        <v>141</v>
      </c>
      <c r="C1400" s="2" t="s">
        <v>119</v>
      </c>
      <c r="D1400" s="2" t="s">
        <v>2859</v>
      </c>
      <c r="E1400" s="4" t="str">
        <f>HYPERLINK("./Results/DLO\2272\Osteo_Sarco_1.png","RPT")</f>
        <v>RPT</v>
      </c>
      <c r="F1400" s="2" t="s">
        <v>121</v>
      </c>
      <c r="G1400" s="6"/>
      <c r="I1400"/>
      <c r="J1400"/>
      <c r="K1400"/>
    </row>
    <row r="1401" spans="1:11" x14ac:dyDescent="0.3">
      <c r="A1401" s="2" t="s">
        <v>402</v>
      </c>
      <c r="B1401" s="2" t="s">
        <v>163</v>
      </c>
      <c r="C1401" s="2" t="s">
        <v>119</v>
      </c>
      <c r="D1401" s="2" t="s">
        <v>2867</v>
      </c>
      <c r="E1401" s="4" t="str">
        <f>HYPERLINK("./Results/DLO\2273\Osteo_Sarco_1.png","RPT")</f>
        <v>RPT</v>
      </c>
      <c r="F1401" s="2" t="s">
        <v>121</v>
      </c>
      <c r="G1401" s="6"/>
      <c r="I1401"/>
      <c r="J1401"/>
      <c r="K1401"/>
    </row>
    <row r="1402" spans="1:11" x14ac:dyDescent="0.3">
      <c r="A1402" s="2" t="s">
        <v>398</v>
      </c>
      <c r="B1402" s="2" t="s">
        <v>116</v>
      </c>
      <c r="C1402" s="2" t="s">
        <v>111</v>
      </c>
      <c r="D1402" s="2" t="s">
        <v>2859</v>
      </c>
      <c r="E1402" s="4" t="str">
        <f>HYPERLINK("./Results/DLO\2274\Osteo_Sarco_1.png","RPT")</f>
        <v>RPT</v>
      </c>
      <c r="F1402" s="2" t="s">
        <v>121</v>
      </c>
      <c r="G1402" s="6"/>
      <c r="H1402" s="1">
        <v>26.98</v>
      </c>
    </row>
    <row r="1403" spans="1:11" x14ac:dyDescent="0.3">
      <c r="A1403" s="2" t="s">
        <v>389</v>
      </c>
      <c r="B1403" s="2" t="s">
        <v>587</v>
      </c>
      <c r="C1403" s="2" t="s">
        <v>111</v>
      </c>
      <c r="D1403" s="2" t="s">
        <v>2271</v>
      </c>
      <c r="E1403" s="4" t="str">
        <f>HYPERLINK("./Results/DLO\2275\Osteo_Sarco_1.png","RPT")</f>
        <v>RPT</v>
      </c>
      <c r="F1403" s="2" t="s">
        <v>121</v>
      </c>
      <c r="G1403" s="6"/>
      <c r="I1403"/>
      <c r="J1403"/>
      <c r="K1403"/>
    </row>
    <row r="1404" spans="1:11" x14ac:dyDescent="0.3">
      <c r="A1404" s="2" t="s">
        <v>399</v>
      </c>
      <c r="B1404" s="2" t="s">
        <v>165</v>
      </c>
      <c r="C1404" s="2" t="s">
        <v>119</v>
      </c>
      <c r="D1404" s="2" t="s">
        <v>2867</v>
      </c>
      <c r="E1404" s="4" t="str">
        <f>HYPERLINK("./Results/DLO\2276\Osteo_Sarco_1.png","RPT")</f>
        <v>RPT</v>
      </c>
      <c r="F1404" s="2" t="s">
        <v>121</v>
      </c>
      <c r="G1404" s="6"/>
      <c r="H1404" s="1">
        <v>25.29</v>
      </c>
    </row>
    <row r="1405" spans="1:11" x14ac:dyDescent="0.3">
      <c r="A1405" s="2" t="s">
        <v>390</v>
      </c>
      <c r="B1405" s="2" t="s">
        <v>153</v>
      </c>
      <c r="C1405" s="2" t="s">
        <v>119</v>
      </c>
      <c r="D1405" s="2" t="s">
        <v>2859</v>
      </c>
      <c r="E1405" s="4" t="str">
        <f>HYPERLINK("./Results/DLO\2277\Osteo_Sarco_1.png","RPT")</f>
        <v>RPT</v>
      </c>
      <c r="F1405" s="2" t="s">
        <v>121</v>
      </c>
      <c r="G1405" s="6"/>
      <c r="I1405"/>
      <c r="J1405"/>
      <c r="K1405"/>
    </row>
    <row r="1406" spans="1:11" x14ac:dyDescent="0.3">
      <c r="A1406" s="2" t="s">
        <v>403</v>
      </c>
      <c r="B1406" s="2" t="s">
        <v>164</v>
      </c>
      <c r="C1406" s="2" t="s">
        <v>119</v>
      </c>
      <c r="D1406" s="2" t="s">
        <v>2859</v>
      </c>
      <c r="E1406" s="4" t="str">
        <f>HYPERLINK("./Results/DLO\2278\Osteo_Sarco_1.png","RPT")</f>
        <v>RPT</v>
      </c>
      <c r="F1406" s="2" t="s">
        <v>121</v>
      </c>
      <c r="G1406" s="6"/>
      <c r="H1406" s="1">
        <v>21.23</v>
      </c>
    </row>
    <row r="1407" spans="1:11" x14ac:dyDescent="0.3">
      <c r="A1407" s="2" t="s">
        <v>395</v>
      </c>
      <c r="B1407" s="2" t="s">
        <v>151</v>
      </c>
      <c r="C1407" s="2" t="s">
        <v>111</v>
      </c>
      <c r="D1407" s="2" t="s">
        <v>2859</v>
      </c>
      <c r="E1407" s="4" t="str">
        <f>HYPERLINK("./Results/DLO\2279\Osteo_Sarco_1.png","RPT")</f>
        <v>RPT</v>
      </c>
      <c r="F1407" s="2" t="s">
        <v>121</v>
      </c>
      <c r="G1407" s="6"/>
      <c r="I1407"/>
      <c r="J1407"/>
      <c r="K1407"/>
    </row>
    <row r="1408" spans="1:11" x14ac:dyDescent="0.3">
      <c r="A1408" s="2" t="s">
        <v>387</v>
      </c>
      <c r="B1408" s="2" t="s">
        <v>152</v>
      </c>
      <c r="C1408" s="2" t="s">
        <v>119</v>
      </c>
      <c r="D1408" s="2" t="s">
        <v>2859</v>
      </c>
      <c r="E1408" s="4" t="str">
        <f>HYPERLINK("./Results/DLO\228\Osteo_Sarco_1.png","RPT")</f>
        <v>RPT</v>
      </c>
      <c r="F1408" s="2" t="s">
        <v>121</v>
      </c>
      <c r="G1408" s="6"/>
      <c r="I1408"/>
      <c r="J1408"/>
      <c r="K1408"/>
    </row>
    <row r="1409" spans="1:11" x14ac:dyDescent="0.3">
      <c r="A1409" s="2" t="s">
        <v>405</v>
      </c>
      <c r="B1409" s="2" t="s">
        <v>149</v>
      </c>
      <c r="C1409" s="2" t="s">
        <v>111</v>
      </c>
      <c r="D1409" s="2" t="s">
        <v>2859</v>
      </c>
      <c r="E1409" s="4" t="str">
        <f>HYPERLINK("./Results/DLO\2280\Osteo_Sarco_1.png","RPT")</f>
        <v>RPT</v>
      </c>
      <c r="F1409" s="2" t="s">
        <v>121</v>
      </c>
      <c r="G1409" s="6"/>
      <c r="I1409"/>
      <c r="J1409"/>
      <c r="K1409"/>
    </row>
    <row r="1410" spans="1:11" x14ac:dyDescent="0.3">
      <c r="A1410" s="2" t="s">
        <v>392</v>
      </c>
      <c r="B1410" s="2" t="s">
        <v>146</v>
      </c>
      <c r="C1410" s="2" t="s">
        <v>111</v>
      </c>
      <c r="D1410" s="2" t="s">
        <v>2867</v>
      </c>
      <c r="E1410" s="4" t="str">
        <f>HYPERLINK("./Results/DLO\2281\Osteo_Sarco_1.png","RPT")</f>
        <v>RPT</v>
      </c>
      <c r="F1410" s="2" t="s">
        <v>121</v>
      </c>
      <c r="G1410" s="6"/>
      <c r="H1410" s="1">
        <v>22.59</v>
      </c>
    </row>
    <row r="1411" spans="1:11" x14ac:dyDescent="0.3">
      <c r="A1411" s="2" t="s">
        <v>394</v>
      </c>
      <c r="B1411" s="2" t="s">
        <v>134</v>
      </c>
      <c r="C1411" s="2" t="s">
        <v>111</v>
      </c>
      <c r="D1411" s="2" t="s">
        <v>2859</v>
      </c>
      <c r="E1411" s="4" t="str">
        <f>HYPERLINK("./Results/DLO\2282\Osteo_Sarco_1.png","RPT")</f>
        <v>RPT</v>
      </c>
      <c r="F1411" s="2" t="s">
        <v>121</v>
      </c>
      <c r="G1411" s="6"/>
      <c r="I1411"/>
      <c r="J1411"/>
      <c r="K1411"/>
    </row>
    <row r="1412" spans="1:11" x14ac:dyDescent="0.3">
      <c r="A1412" s="2" t="s">
        <v>396</v>
      </c>
      <c r="B1412" s="2" t="s">
        <v>116</v>
      </c>
      <c r="C1412" s="2" t="s">
        <v>111</v>
      </c>
      <c r="D1412" s="2" t="s">
        <v>2867</v>
      </c>
      <c r="E1412" s="4" t="str">
        <f>HYPERLINK("./Results/DLO\2283\Osteo_Sarco_1.png","RPT")</f>
        <v>RPT</v>
      </c>
      <c r="F1412" s="2" t="s">
        <v>121</v>
      </c>
      <c r="G1412" s="6"/>
      <c r="I1412"/>
      <c r="J1412"/>
      <c r="K1412"/>
    </row>
    <row r="1413" spans="1:11" x14ac:dyDescent="0.3">
      <c r="A1413" s="2" t="s">
        <v>401</v>
      </c>
      <c r="B1413" s="2" t="s">
        <v>143</v>
      </c>
      <c r="C1413" s="2" t="s">
        <v>119</v>
      </c>
      <c r="D1413" s="2" t="s">
        <v>2867</v>
      </c>
      <c r="E1413" s="4" t="str">
        <f>HYPERLINK("./Results/DLO\2284\Osteo_Sarco_1.png","RPT")</f>
        <v>RPT</v>
      </c>
      <c r="F1413" s="2" t="s">
        <v>121</v>
      </c>
      <c r="G1413" s="6"/>
      <c r="H1413" s="1">
        <v>29.24</v>
      </c>
    </row>
    <row r="1414" spans="1:11" x14ac:dyDescent="0.3">
      <c r="A1414" s="2" t="s">
        <v>385</v>
      </c>
      <c r="B1414" s="2" t="s">
        <v>161</v>
      </c>
      <c r="C1414" s="2" t="s">
        <v>119</v>
      </c>
      <c r="D1414" s="2" t="s">
        <v>2859</v>
      </c>
      <c r="E1414" s="4" t="str">
        <f>HYPERLINK("./Results/DLO\2285\Osteo_Sarco_1.png","RPT")</f>
        <v>RPT</v>
      </c>
      <c r="F1414" s="2" t="s">
        <v>121</v>
      </c>
      <c r="G1414" s="6"/>
      <c r="H1414" s="1">
        <v>20.57</v>
      </c>
    </row>
    <row r="1415" spans="1:11" x14ac:dyDescent="0.3">
      <c r="A1415" s="2" t="s">
        <v>409</v>
      </c>
      <c r="B1415" s="2" t="s">
        <v>123</v>
      </c>
      <c r="C1415" s="2" t="s">
        <v>119</v>
      </c>
      <c r="D1415" s="2" t="s">
        <v>2859</v>
      </c>
      <c r="E1415" s="4" t="str">
        <f>HYPERLINK("./Results/DLO\2286\Osteo_Sarco_1.png","RPT")</f>
        <v>RPT</v>
      </c>
      <c r="F1415" s="2" t="s">
        <v>121</v>
      </c>
      <c r="G1415" s="6"/>
      <c r="I1415"/>
      <c r="J1415"/>
      <c r="K1415"/>
    </row>
    <row r="1416" spans="1:11" x14ac:dyDescent="0.3">
      <c r="A1416" s="2" t="s">
        <v>415</v>
      </c>
      <c r="B1416" s="2" t="s">
        <v>132</v>
      </c>
      <c r="C1416" s="2" t="s">
        <v>119</v>
      </c>
      <c r="D1416" s="2" t="s">
        <v>2859</v>
      </c>
      <c r="E1416" s="4" t="str">
        <f>HYPERLINK("./Results/DLO\2287\Osteo_Sarco_1.png","RPT")</f>
        <v>RPT</v>
      </c>
      <c r="F1416" s="2" t="s">
        <v>121</v>
      </c>
      <c r="G1416" s="6"/>
      <c r="I1416"/>
      <c r="J1416"/>
      <c r="K1416"/>
    </row>
    <row r="1417" spans="1:11" x14ac:dyDescent="0.3">
      <c r="A1417" s="2" t="s">
        <v>416</v>
      </c>
      <c r="B1417" s="2" t="s">
        <v>167</v>
      </c>
      <c r="C1417" s="2" t="s">
        <v>111</v>
      </c>
      <c r="D1417" s="2" t="s">
        <v>2867</v>
      </c>
      <c r="E1417" s="4" t="str">
        <f>HYPERLINK("./Results/DLO\2288\Osteo_Sarco_1.png","RPT")</f>
        <v>RPT</v>
      </c>
      <c r="F1417" s="2" t="s">
        <v>121</v>
      </c>
      <c r="G1417" s="6"/>
      <c r="I1417"/>
      <c r="J1417"/>
      <c r="K1417"/>
    </row>
    <row r="1418" spans="1:11" x14ac:dyDescent="0.3">
      <c r="A1418" s="2" t="s">
        <v>413</v>
      </c>
      <c r="B1418" s="2" t="s">
        <v>166</v>
      </c>
      <c r="C1418" s="2" t="s">
        <v>119</v>
      </c>
      <c r="D1418" s="2" t="s">
        <v>2859</v>
      </c>
      <c r="E1418" s="4" t="str">
        <f>HYPERLINK("./Results/DLO\2289\Osteo_Sarco_1.png","RPT")</f>
        <v>RPT</v>
      </c>
      <c r="F1418" s="2" t="s">
        <v>121</v>
      </c>
      <c r="G1418" s="6"/>
      <c r="H1418" s="1">
        <v>27.17</v>
      </c>
    </row>
    <row r="1419" spans="1:11" x14ac:dyDescent="0.3">
      <c r="A1419" s="2" t="s">
        <v>412</v>
      </c>
      <c r="B1419" s="2" t="s">
        <v>151</v>
      </c>
      <c r="C1419" s="2" t="s">
        <v>119</v>
      </c>
      <c r="D1419" s="2" t="s">
        <v>2859</v>
      </c>
      <c r="E1419" s="4" t="str">
        <f>HYPERLINK("./Results/DLO\229\Osteo_Sarco_1.png","RPT")</f>
        <v>RPT</v>
      </c>
      <c r="F1419" s="2" t="s">
        <v>121</v>
      </c>
      <c r="G1419" s="6"/>
      <c r="I1419"/>
      <c r="J1419"/>
      <c r="K1419"/>
    </row>
    <row r="1420" spans="1:11" x14ac:dyDescent="0.3">
      <c r="A1420" s="2" t="s">
        <v>408</v>
      </c>
      <c r="B1420" s="2" t="s">
        <v>141</v>
      </c>
      <c r="C1420" s="2" t="s">
        <v>111</v>
      </c>
      <c r="D1420" s="2" t="s">
        <v>2859</v>
      </c>
      <c r="E1420" s="4" t="str">
        <f>HYPERLINK("./Results/DLO\2290\Osteo_Sarco_1.png","RPT")</f>
        <v>RPT</v>
      </c>
      <c r="F1420" s="2" t="s">
        <v>121</v>
      </c>
      <c r="G1420" s="6"/>
      <c r="I1420"/>
      <c r="J1420"/>
      <c r="K1420"/>
    </row>
    <row r="1421" spans="1:11" x14ac:dyDescent="0.3">
      <c r="A1421" s="2" t="s">
        <v>410</v>
      </c>
      <c r="B1421" s="2" t="s">
        <v>131</v>
      </c>
      <c r="C1421" s="2" t="s">
        <v>111</v>
      </c>
      <c r="D1421" s="2" t="s">
        <v>2859</v>
      </c>
      <c r="E1421" s="4" t="str">
        <f>HYPERLINK("./Results/DLO\2291\Osteo_Sarco_1.png","RPT")</f>
        <v>RPT</v>
      </c>
      <c r="F1421" s="2" t="s">
        <v>121</v>
      </c>
      <c r="G1421" s="6"/>
      <c r="H1421" s="1">
        <v>22.63</v>
      </c>
    </row>
    <row r="1422" spans="1:11" x14ac:dyDescent="0.3">
      <c r="A1422" s="2" t="s">
        <v>414</v>
      </c>
      <c r="B1422" s="2" t="s">
        <v>149</v>
      </c>
      <c r="C1422" s="2" t="s">
        <v>111</v>
      </c>
      <c r="D1422" s="2" t="s">
        <v>2859</v>
      </c>
      <c r="E1422" s="4" t="str">
        <f>HYPERLINK("./Results/DLO\2292\Osteo_Sarco_1.png","RPT")</f>
        <v>RPT</v>
      </c>
      <c r="F1422" s="2" t="s">
        <v>121</v>
      </c>
      <c r="G1422" s="6"/>
      <c r="H1422" s="1">
        <v>23.41</v>
      </c>
    </row>
    <row r="1423" spans="1:11" x14ac:dyDescent="0.3">
      <c r="A1423" s="2" t="s">
        <v>411</v>
      </c>
      <c r="B1423" s="2" t="s">
        <v>149</v>
      </c>
      <c r="C1423" s="2" t="s">
        <v>111</v>
      </c>
      <c r="D1423" s="2" t="s">
        <v>2859</v>
      </c>
      <c r="E1423" s="4" t="str">
        <f>HYPERLINK("./Results/DLO\2293\Osteo_Sarco_1.png","RPT")</f>
        <v>RPT</v>
      </c>
      <c r="F1423" s="2" t="s">
        <v>121</v>
      </c>
      <c r="G1423" s="6"/>
      <c r="I1423"/>
      <c r="J1423"/>
      <c r="K1423"/>
    </row>
    <row r="1424" spans="1:11" x14ac:dyDescent="0.3">
      <c r="A1424" s="2" t="s">
        <v>417</v>
      </c>
      <c r="B1424" s="2" t="s">
        <v>127</v>
      </c>
      <c r="C1424" s="2" t="s">
        <v>111</v>
      </c>
      <c r="D1424" s="2" t="s">
        <v>2859</v>
      </c>
      <c r="E1424" s="4" t="str">
        <f>HYPERLINK("./Results/DLO\2294\Osteo_Sarco_1.png","RPT")</f>
        <v>RPT</v>
      </c>
      <c r="F1424" s="2" t="s">
        <v>121</v>
      </c>
      <c r="G1424" s="6"/>
      <c r="I1424"/>
      <c r="J1424"/>
      <c r="K1424"/>
    </row>
    <row r="1425" spans="1:11" x14ac:dyDescent="0.3">
      <c r="A1425" s="2" t="s">
        <v>418</v>
      </c>
      <c r="B1425" s="2" t="s">
        <v>118</v>
      </c>
      <c r="C1425" s="2" t="s">
        <v>119</v>
      </c>
      <c r="D1425" s="2" t="s">
        <v>2867</v>
      </c>
      <c r="E1425" s="4" t="str">
        <f>HYPERLINK("./Results/DLO\2295\Osteo_Sarco_1.png","RPT")</f>
        <v>RPT</v>
      </c>
      <c r="F1425" s="2" t="s">
        <v>121</v>
      </c>
      <c r="G1425" s="6"/>
      <c r="I1425"/>
      <c r="J1425"/>
      <c r="K1425"/>
    </row>
    <row r="1426" spans="1:11" x14ac:dyDescent="0.3">
      <c r="A1426" s="2" t="s">
        <v>419</v>
      </c>
      <c r="B1426" s="2" t="s">
        <v>165</v>
      </c>
      <c r="C1426" s="2" t="s">
        <v>111</v>
      </c>
      <c r="D1426" s="2" t="s">
        <v>2867</v>
      </c>
      <c r="E1426" s="4" t="str">
        <f>HYPERLINK("./Results/DLO\2296\Osteo_Sarco_1.png","RPT")</f>
        <v>RPT</v>
      </c>
      <c r="F1426" s="2" t="s">
        <v>121</v>
      </c>
      <c r="G1426" s="6"/>
      <c r="H1426" s="1">
        <v>25.95</v>
      </c>
    </row>
    <row r="1427" spans="1:11" x14ac:dyDescent="0.3">
      <c r="A1427" s="2" t="s">
        <v>420</v>
      </c>
      <c r="B1427" s="2" t="s">
        <v>122</v>
      </c>
      <c r="C1427" s="2" t="s">
        <v>111</v>
      </c>
      <c r="D1427" s="2" t="s">
        <v>2859</v>
      </c>
      <c r="E1427" s="4" t="str">
        <f>HYPERLINK("./Results/DLO\2297\Osteo_Sarco_1.png","RPT")</f>
        <v>RPT</v>
      </c>
      <c r="F1427" s="2" t="s">
        <v>121</v>
      </c>
      <c r="G1427" s="6"/>
      <c r="I1427"/>
      <c r="J1427"/>
      <c r="K1427"/>
    </row>
    <row r="1428" spans="1:11" x14ac:dyDescent="0.3">
      <c r="A1428" s="2" t="s">
        <v>421</v>
      </c>
      <c r="B1428" s="2" t="s">
        <v>123</v>
      </c>
      <c r="C1428" s="2" t="s">
        <v>111</v>
      </c>
      <c r="D1428" s="2" t="s">
        <v>2859</v>
      </c>
      <c r="E1428" s="4" t="str">
        <f>HYPERLINK("./Results/DLO\2298\Osteo_Sarco_1.png","RPT")</f>
        <v>RPT</v>
      </c>
      <c r="F1428" s="2" t="s">
        <v>121</v>
      </c>
      <c r="G1428" s="6"/>
      <c r="H1428" s="1">
        <v>22.89</v>
      </c>
    </row>
    <row r="1429" spans="1:11" x14ac:dyDescent="0.3">
      <c r="A1429" s="2" t="s">
        <v>422</v>
      </c>
      <c r="B1429" s="2" t="s">
        <v>127</v>
      </c>
      <c r="C1429" s="2" t="s">
        <v>119</v>
      </c>
      <c r="D1429" s="2" t="s">
        <v>2859</v>
      </c>
      <c r="E1429" s="4" t="str">
        <f>HYPERLINK("./Results/DLO\2299\Osteo_Sarco_1.png","RPT")</f>
        <v>RPT</v>
      </c>
      <c r="F1429" s="2" t="s">
        <v>121</v>
      </c>
      <c r="G1429" s="6"/>
      <c r="H1429" s="1">
        <v>31.25</v>
      </c>
    </row>
    <row r="1430" spans="1:11" x14ac:dyDescent="0.3">
      <c r="A1430" s="2" t="s">
        <v>175</v>
      </c>
      <c r="B1430" s="2" t="s">
        <v>125</v>
      </c>
      <c r="C1430" s="2" t="s">
        <v>119</v>
      </c>
      <c r="D1430" s="2" t="s">
        <v>2859</v>
      </c>
      <c r="E1430" s="4" t="str">
        <f>HYPERLINK("./Results/DLO\23\Osteo_Sarco_1.png","RPT")</f>
        <v>RPT</v>
      </c>
      <c r="F1430" s="2" t="s">
        <v>121</v>
      </c>
      <c r="G1430" s="6"/>
      <c r="H1430" s="1">
        <v>25.72</v>
      </c>
    </row>
    <row r="1431" spans="1:11" x14ac:dyDescent="0.3">
      <c r="A1431" s="2" t="s">
        <v>185</v>
      </c>
      <c r="B1431" s="2" t="s">
        <v>137</v>
      </c>
      <c r="C1431" s="2" t="s">
        <v>119</v>
      </c>
      <c r="D1431" s="2" t="s">
        <v>2867</v>
      </c>
      <c r="E1431" s="4" t="str">
        <f>HYPERLINK("./Results/DLO\230\Osteo_Sarco_1.png","RPT")</f>
        <v>RPT</v>
      </c>
      <c r="F1431" s="2" t="s">
        <v>121</v>
      </c>
      <c r="G1431" s="6"/>
      <c r="H1431" s="1">
        <v>24.32</v>
      </c>
    </row>
    <row r="1432" spans="1:11" x14ac:dyDescent="0.3">
      <c r="A1432" s="2" t="s">
        <v>179</v>
      </c>
      <c r="B1432" s="2" t="s">
        <v>130</v>
      </c>
      <c r="C1432" s="2" t="s">
        <v>119</v>
      </c>
      <c r="D1432" s="2" t="s">
        <v>2859</v>
      </c>
      <c r="E1432" s="4" t="str">
        <f>HYPERLINK("./Results/DLO\2300\Osteo_Sarco_1.png","RPT")</f>
        <v>RPT</v>
      </c>
      <c r="F1432" s="2" t="s">
        <v>121</v>
      </c>
      <c r="G1432" s="6"/>
      <c r="I1432"/>
      <c r="J1432"/>
      <c r="K1432"/>
    </row>
    <row r="1433" spans="1:11" x14ac:dyDescent="0.3">
      <c r="A1433" s="2" t="s">
        <v>192</v>
      </c>
      <c r="B1433" s="2" t="s">
        <v>148</v>
      </c>
      <c r="C1433" s="2" t="s">
        <v>111</v>
      </c>
      <c r="D1433" s="2" t="s">
        <v>1957</v>
      </c>
      <c r="E1433" s="4" t="str">
        <f>HYPERLINK("./Results/DLO\2301\Osteo_Sarco_1.png","RPT")</f>
        <v>RPT</v>
      </c>
      <c r="F1433" s="2" t="s">
        <v>121</v>
      </c>
      <c r="G1433" s="6"/>
      <c r="H1433" s="1">
        <v>21.1</v>
      </c>
    </row>
    <row r="1434" spans="1:11" x14ac:dyDescent="0.3">
      <c r="A1434" s="2" t="s">
        <v>176</v>
      </c>
      <c r="B1434" s="2" t="s">
        <v>115</v>
      </c>
      <c r="C1434" s="2" t="s">
        <v>111</v>
      </c>
      <c r="D1434" s="2" t="s">
        <v>2859</v>
      </c>
      <c r="E1434" s="4" t="str">
        <f>HYPERLINK("./Results/DLO\2302\Osteo_Sarco_1.png","RPT")</f>
        <v>RPT</v>
      </c>
      <c r="F1434" s="2" t="s">
        <v>121</v>
      </c>
      <c r="G1434" s="6"/>
      <c r="H1434" s="1">
        <v>24.69</v>
      </c>
    </row>
    <row r="1435" spans="1:11" x14ac:dyDescent="0.3">
      <c r="A1435" s="2" t="s">
        <v>189</v>
      </c>
      <c r="B1435" s="2" t="s">
        <v>116</v>
      </c>
      <c r="C1435" s="2" t="s">
        <v>111</v>
      </c>
      <c r="D1435" s="2" t="s">
        <v>2859</v>
      </c>
      <c r="E1435" s="4" t="str">
        <f>HYPERLINK("./Results/DLO\2303\Osteo_Sarco_1.png","RPT")</f>
        <v>RPT</v>
      </c>
      <c r="F1435" s="2" t="s">
        <v>121</v>
      </c>
      <c r="G1435" s="6"/>
      <c r="I1435"/>
      <c r="J1435"/>
      <c r="K1435"/>
    </row>
    <row r="1436" spans="1:11" x14ac:dyDescent="0.3">
      <c r="A1436" s="2" t="s">
        <v>184</v>
      </c>
      <c r="B1436" s="2" t="s">
        <v>131</v>
      </c>
      <c r="C1436" s="2" t="s">
        <v>119</v>
      </c>
      <c r="D1436" s="2" t="s">
        <v>2859</v>
      </c>
      <c r="E1436" s="4" t="str">
        <f>HYPERLINK("./Results/DLO\2304\Osteo_Sarco_1.png","RPT")</f>
        <v>RPT</v>
      </c>
      <c r="F1436" s="2" t="s">
        <v>121</v>
      </c>
      <c r="G1436" s="6"/>
      <c r="I1436"/>
      <c r="J1436"/>
      <c r="K1436"/>
    </row>
    <row r="1437" spans="1:11" x14ac:dyDescent="0.3">
      <c r="A1437" s="2" t="s">
        <v>177</v>
      </c>
      <c r="B1437" s="2" t="s">
        <v>123</v>
      </c>
      <c r="C1437" s="2" t="s">
        <v>111</v>
      </c>
      <c r="D1437" s="2" t="s">
        <v>2859</v>
      </c>
      <c r="E1437" s="4" t="str">
        <f>HYPERLINK("./Results/DLO\2305\Osteo_Sarco_1.png","RPT")</f>
        <v>RPT</v>
      </c>
      <c r="F1437" s="2" t="s">
        <v>121</v>
      </c>
      <c r="G1437" s="6"/>
      <c r="H1437" s="1">
        <v>26.3</v>
      </c>
    </row>
    <row r="1438" spans="1:11" x14ac:dyDescent="0.3">
      <c r="A1438" s="2" t="s">
        <v>178</v>
      </c>
      <c r="B1438" s="2" t="s">
        <v>147</v>
      </c>
      <c r="C1438" s="2" t="s">
        <v>111</v>
      </c>
      <c r="D1438" s="2" t="s">
        <v>2859</v>
      </c>
      <c r="E1438" s="4" t="str">
        <f>HYPERLINK("./Results/DLO\2306\Osteo_Sarco_1.png","RPT")</f>
        <v>RPT</v>
      </c>
      <c r="F1438" s="2" t="s">
        <v>121</v>
      </c>
      <c r="G1438" s="6"/>
      <c r="I1438"/>
      <c r="J1438"/>
      <c r="K1438"/>
    </row>
    <row r="1439" spans="1:11" x14ac:dyDescent="0.3">
      <c r="A1439" s="2" t="s">
        <v>181</v>
      </c>
      <c r="B1439" s="2" t="s">
        <v>132</v>
      </c>
      <c r="C1439" s="2" t="s">
        <v>119</v>
      </c>
      <c r="D1439" s="2" t="s">
        <v>2859</v>
      </c>
      <c r="E1439" s="4" t="str">
        <f>HYPERLINK("./Results/DLO\2307\Osteo_Sarco_1.png","RPT")</f>
        <v>RPT</v>
      </c>
      <c r="F1439" s="2" t="s">
        <v>121</v>
      </c>
      <c r="G1439" s="6"/>
      <c r="I1439"/>
      <c r="J1439"/>
      <c r="K1439"/>
    </row>
    <row r="1440" spans="1:11" x14ac:dyDescent="0.3">
      <c r="A1440" s="2" t="s">
        <v>186</v>
      </c>
      <c r="B1440" s="2" t="s">
        <v>167</v>
      </c>
      <c r="C1440" s="2" t="s">
        <v>111</v>
      </c>
      <c r="D1440" s="2" t="s">
        <v>2859</v>
      </c>
      <c r="E1440" s="4" t="str">
        <f>HYPERLINK("./Results/DLO\2309\Osteo_Sarco_1.png","RPT")</f>
        <v>RPT</v>
      </c>
      <c r="F1440" s="2" t="s">
        <v>121</v>
      </c>
      <c r="G1440" s="6"/>
      <c r="H1440" s="1">
        <v>23.76</v>
      </c>
    </row>
    <row r="1441" spans="1:11" x14ac:dyDescent="0.3">
      <c r="A1441" s="2" t="s">
        <v>190</v>
      </c>
      <c r="B1441" s="2" t="s">
        <v>165</v>
      </c>
      <c r="C1441" s="2" t="s">
        <v>111</v>
      </c>
      <c r="D1441" s="2" t="s">
        <v>2859</v>
      </c>
      <c r="E1441" s="4" t="str">
        <f>HYPERLINK("./Results/DLO\231\Osteo_Sarco_1.png","RPT")</f>
        <v>RPT</v>
      </c>
      <c r="F1441" s="2" t="s">
        <v>121</v>
      </c>
      <c r="G1441" s="6"/>
      <c r="I1441"/>
      <c r="J1441"/>
      <c r="K1441"/>
    </row>
    <row r="1442" spans="1:11" x14ac:dyDescent="0.3">
      <c r="A1442" s="2" t="s">
        <v>180</v>
      </c>
      <c r="B1442" s="2" t="s">
        <v>151</v>
      </c>
      <c r="C1442" s="2" t="s">
        <v>111</v>
      </c>
      <c r="D1442" s="2" t="s">
        <v>2859</v>
      </c>
      <c r="E1442" s="4" t="str">
        <f>HYPERLINK("./Results/DLO\2310\Osteo_Sarco_1.png","RPT")</f>
        <v>RPT</v>
      </c>
      <c r="F1442" s="2" t="s">
        <v>121</v>
      </c>
      <c r="G1442" s="6"/>
      <c r="I1442"/>
      <c r="J1442"/>
      <c r="K1442"/>
    </row>
    <row r="1443" spans="1:11" x14ac:dyDescent="0.3">
      <c r="A1443" s="2" t="s">
        <v>182</v>
      </c>
      <c r="B1443" s="2" t="s">
        <v>579</v>
      </c>
      <c r="C1443" s="2" t="s">
        <v>119</v>
      </c>
      <c r="D1443" s="2" t="s">
        <v>2859</v>
      </c>
      <c r="E1443" s="4" t="str">
        <f>HYPERLINK("./Results/DLO\2311\Osteo_Sarco_1.png","RPT")</f>
        <v>RPT</v>
      </c>
      <c r="F1443" s="2" t="s">
        <v>121</v>
      </c>
      <c r="G1443" s="6"/>
      <c r="I1443"/>
      <c r="J1443"/>
      <c r="K1443"/>
    </row>
    <row r="1444" spans="1:11" x14ac:dyDescent="0.3">
      <c r="A1444" s="2" t="s">
        <v>173</v>
      </c>
      <c r="B1444" s="2" t="s">
        <v>126</v>
      </c>
      <c r="C1444" s="2" t="s">
        <v>119</v>
      </c>
      <c r="D1444" s="2" t="s">
        <v>2859</v>
      </c>
      <c r="E1444" s="4" t="str">
        <f>HYPERLINK("./Results/DLO\2312\Osteo_Sarco_1.png","RPT")</f>
        <v>RPT</v>
      </c>
      <c r="F1444" s="2" t="s">
        <v>121</v>
      </c>
      <c r="G1444" s="6"/>
      <c r="I1444"/>
      <c r="J1444"/>
      <c r="K1444"/>
    </row>
    <row r="1445" spans="1:11" x14ac:dyDescent="0.3">
      <c r="A1445" s="2" t="s">
        <v>187</v>
      </c>
      <c r="B1445" s="2" t="s">
        <v>125</v>
      </c>
      <c r="C1445" s="2" t="s">
        <v>111</v>
      </c>
      <c r="D1445" s="2" t="s">
        <v>2859</v>
      </c>
      <c r="E1445" s="4" t="str">
        <f>HYPERLINK("./Results/DLO\2313\Osteo_Sarco_1.png","RPT")</f>
        <v>RPT</v>
      </c>
      <c r="F1445" s="2" t="s">
        <v>121</v>
      </c>
      <c r="G1445" s="6"/>
      <c r="H1445" s="1">
        <v>22.27</v>
      </c>
    </row>
    <row r="1446" spans="1:11" x14ac:dyDescent="0.3">
      <c r="A1446" s="2" t="s">
        <v>183</v>
      </c>
      <c r="B1446" s="2" t="s">
        <v>122</v>
      </c>
      <c r="C1446" s="2" t="s">
        <v>111</v>
      </c>
      <c r="D1446" s="2" t="s">
        <v>1957</v>
      </c>
      <c r="E1446" s="4" t="str">
        <f>HYPERLINK("./Results/DLO\2314\Osteo_Sarco_1.png","RPT")</f>
        <v>RPT</v>
      </c>
      <c r="F1446" s="2" t="s">
        <v>121</v>
      </c>
      <c r="G1446" s="6"/>
      <c r="I1446"/>
      <c r="J1446"/>
      <c r="K1446"/>
    </row>
    <row r="1447" spans="1:11" x14ac:dyDescent="0.3">
      <c r="A1447" s="2" t="s">
        <v>191</v>
      </c>
      <c r="B1447" s="2" t="s">
        <v>135</v>
      </c>
      <c r="C1447" s="2" t="s">
        <v>119</v>
      </c>
      <c r="D1447" s="2" t="s">
        <v>2867</v>
      </c>
      <c r="E1447" s="4" t="str">
        <f>HYPERLINK("./Results/DLO\2315\Osteo_Sarco_1.png","RPT")</f>
        <v>RPT</v>
      </c>
      <c r="F1447" s="2" t="s">
        <v>121</v>
      </c>
      <c r="G1447" s="6"/>
      <c r="H1447" s="1">
        <v>21.42</v>
      </c>
    </row>
    <row r="1448" spans="1:11" x14ac:dyDescent="0.3">
      <c r="A1448" s="2" t="s">
        <v>174</v>
      </c>
      <c r="B1448" s="2" t="s">
        <v>128</v>
      </c>
      <c r="C1448" s="2" t="s">
        <v>111</v>
      </c>
      <c r="D1448" s="2" t="s">
        <v>2859</v>
      </c>
      <c r="E1448" s="4" t="str">
        <f>HYPERLINK("./Results/DLO\2316\Osteo_Sarco_1.png","RPT")</f>
        <v>RPT</v>
      </c>
      <c r="F1448" s="2" t="s">
        <v>121</v>
      </c>
      <c r="G1448" s="6"/>
      <c r="I1448"/>
      <c r="J1448"/>
      <c r="K1448"/>
    </row>
    <row r="1449" spans="1:11" x14ac:dyDescent="0.3">
      <c r="A1449" s="2" t="s">
        <v>188</v>
      </c>
      <c r="B1449" s="2" t="s">
        <v>139</v>
      </c>
      <c r="C1449" s="2" t="s">
        <v>119</v>
      </c>
      <c r="D1449" s="2" t="s">
        <v>2859</v>
      </c>
      <c r="E1449" s="4" t="str">
        <f>HYPERLINK("./Results/DLO\2317\Osteo_Sarco_1.png","RPT")</f>
        <v>RPT</v>
      </c>
      <c r="F1449" s="2" t="s">
        <v>121</v>
      </c>
      <c r="G1449" s="6"/>
      <c r="I1449"/>
      <c r="J1449"/>
      <c r="K1449"/>
    </row>
    <row r="1450" spans="1:11" x14ac:dyDescent="0.3">
      <c r="A1450" s="2" t="s">
        <v>193</v>
      </c>
      <c r="B1450" s="2" t="s">
        <v>148</v>
      </c>
      <c r="C1450" s="2" t="s">
        <v>111</v>
      </c>
      <c r="D1450" s="2" t="s">
        <v>2867</v>
      </c>
      <c r="E1450" s="4" t="str">
        <f>HYPERLINK("./Results/DLO\2318\Osteo_Sarco_1.png","RPT")</f>
        <v>RPT</v>
      </c>
      <c r="F1450" s="2" t="s">
        <v>121</v>
      </c>
      <c r="G1450" s="6"/>
      <c r="H1450" s="1">
        <v>21.16</v>
      </c>
    </row>
    <row r="1451" spans="1:11" x14ac:dyDescent="0.3">
      <c r="A1451" s="2" t="s">
        <v>171</v>
      </c>
      <c r="B1451" s="2" t="s">
        <v>141</v>
      </c>
      <c r="C1451" s="2" t="s">
        <v>111</v>
      </c>
      <c r="D1451" s="2" t="s">
        <v>2859</v>
      </c>
      <c r="E1451" s="4" t="str">
        <f>HYPERLINK("./Results/DLO\2319\Osteo_Sarco_1.png","RPT")</f>
        <v>RPT</v>
      </c>
      <c r="F1451" s="2" t="s">
        <v>121</v>
      </c>
      <c r="G1451" s="6"/>
      <c r="I1451"/>
      <c r="J1451"/>
      <c r="K1451"/>
    </row>
    <row r="1452" spans="1:11" x14ac:dyDescent="0.3">
      <c r="A1452" s="2" t="s">
        <v>172</v>
      </c>
      <c r="B1452" s="2" t="s">
        <v>118</v>
      </c>
      <c r="C1452" s="2" t="s">
        <v>119</v>
      </c>
      <c r="D1452" s="2" t="s">
        <v>2867</v>
      </c>
      <c r="E1452" s="4" t="str">
        <f>HYPERLINK("./Results/DLO\232\Osteo_Sarco_1.png","RPT")</f>
        <v>RPT</v>
      </c>
      <c r="F1452" s="2" t="s">
        <v>121</v>
      </c>
      <c r="G1452" s="6"/>
      <c r="I1452"/>
      <c r="J1452"/>
      <c r="K1452"/>
    </row>
    <row r="1453" spans="1:11" x14ac:dyDescent="0.3">
      <c r="A1453" s="2" t="s">
        <v>200</v>
      </c>
      <c r="B1453" s="2" t="s">
        <v>166</v>
      </c>
      <c r="C1453" s="2" t="s">
        <v>111</v>
      </c>
      <c r="D1453" s="2" t="s">
        <v>2859</v>
      </c>
      <c r="E1453" s="4" t="str">
        <f>HYPERLINK("./Results/DLO\2320\Osteo_Sarco_1.png","RPT")</f>
        <v>RPT</v>
      </c>
      <c r="F1453" s="2" t="s">
        <v>121</v>
      </c>
      <c r="G1453" s="6"/>
      <c r="H1453" s="1">
        <v>27.9</v>
      </c>
    </row>
    <row r="1454" spans="1:11" x14ac:dyDescent="0.3">
      <c r="A1454" s="2" t="s">
        <v>218</v>
      </c>
      <c r="B1454" s="2" t="s">
        <v>166</v>
      </c>
      <c r="C1454" s="2" t="s">
        <v>119</v>
      </c>
      <c r="D1454" s="2" t="s">
        <v>2859</v>
      </c>
      <c r="E1454" s="4" t="str">
        <f>HYPERLINK("./Results/DLO\2321\Osteo_Sarco_1.png","RPT")</f>
        <v>RPT</v>
      </c>
      <c r="F1454" s="2" t="s">
        <v>121</v>
      </c>
      <c r="G1454" s="6"/>
      <c r="I1454"/>
      <c r="J1454"/>
      <c r="K1454"/>
    </row>
    <row r="1455" spans="1:11" x14ac:dyDescent="0.3">
      <c r="A1455" s="2" t="s">
        <v>203</v>
      </c>
      <c r="B1455" s="2" t="s">
        <v>129</v>
      </c>
      <c r="C1455" s="2" t="s">
        <v>111</v>
      </c>
      <c r="D1455" s="2" t="s">
        <v>2859</v>
      </c>
      <c r="E1455" s="4" t="str">
        <f>HYPERLINK("./Results/DLO\2322\Osteo_Sarco_1.png","RPT")</f>
        <v>RPT</v>
      </c>
      <c r="F1455" s="2" t="s">
        <v>121</v>
      </c>
      <c r="G1455" s="6"/>
      <c r="I1455"/>
      <c r="J1455"/>
      <c r="K1455"/>
    </row>
    <row r="1456" spans="1:11" x14ac:dyDescent="0.3">
      <c r="A1456" s="2" t="s">
        <v>208</v>
      </c>
      <c r="B1456" s="2" t="s">
        <v>149</v>
      </c>
      <c r="C1456" s="2" t="s">
        <v>111</v>
      </c>
      <c r="D1456" s="2" t="s">
        <v>2859</v>
      </c>
      <c r="E1456" s="4" t="str">
        <f>HYPERLINK("./Results/DLO\2323\Osteo_Sarco_1.png","RPT")</f>
        <v>RPT</v>
      </c>
      <c r="F1456" s="2" t="s">
        <v>121</v>
      </c>
      <c r="G1456" s="6"/>
      <c r="I1456"/>
      <c r="J1456"/>
      <c r="K1456"/>
    </row>
    <row r="1457" spans="1:11" x14ac:dyDescent="0.3">
      <c r="A1457" s="2" t="s">
        <v>214</v>
      </c>
      <c r="B1457" s="2" t="s">
        <v>578</v>
      </c>
      <c r="C1457" s="2" t="s">
        <v>119</v>
      </c>
      <c r="D1457" s="2" t="s">
        <v>1935</v>
      </c>
      <c r="E1457" s="4" t="str">
        <f>HYPERLINK("./Results/DLO\2324\Osteo_Sarco_1.png","RPT")</f>
        <v>RPT</v>
      </c>
      <c r="F1457" s="2" t="s">
        <v>121</v>
      </c>
      <c r="G1457" s="6"/>
      <c r="I1457"/>
      <c r="J1457"/>
      <c r="K1457"/>
    </row>
    <row r="1458" spans="1:11" x14ac:dyDescent="0.3">
      <c r="A1458" s="2" t="s">
        <v>217</v>
      </c>
      <c r="B1458" s="2" t="s">
        <v>132</v>
      </c>
      <c r="C1458" s="2" t="s">
        <v>111</v>
      </c>
      <c r="D1458" s="2" t="s">
        <v>2859</v>
      </c>
      <c r="E1458" s="4" t="str">
        <f>HYPERLINK("./Results/DLO\2325\Osteo_Sarco_1.png","RPT")</f>
        <v>RPT</v>
      </c>
      <c r="F1458" s="2" t="s">
        <v>121</v>
      </c>
      <c r="G1458" s="6"/>
      <c r="I1458"/>
      <c r="J1458"/>
      <c r="K1458"/>
    </row>
    <row r="1459" spans="1:11" x14ac:dyDescent="0.3">
      <c r="A1459" s="2" t="s">
        <v>199</v>
      </c>
      <c r="B1459" s="2" t="s">
        <v>166</v>
      </c>
      <c r="C1459" s="2" t="s">
        <v>119</v>
      </c>
      <c r="D1459" s="2" t="s">
        <v>2859</v>
      </c>
      <c r="E1459" s="4" t="str">
        <f>HYPERLINK("./Results/DLO\2326\Osteo_Sarco_1.png","RPT")</f>
        <v>RPT</v>
      </c>
      <c r="F1459" s="2" t="s">
        <v>121</v>
      </c>
      <c r="G1459" s="6"/>
      <c r="I1459"/>
      <c r="J1459"/>
      <c r="K1459"/>
    </row>
    <row r="1460" spans="1:11" x14ac:dyDescent="0.3">
      <c r="A1460" s="2" t="s">
        <v>201</v>
      </c>
      <c r="B1460" s="2" t="s">
        <v>129</v>
      </c>
      <c r="C1460" s="2" t="s">
        <v>111</v>
      </c>
      <c r="D1460" s="2" t="s">
        <v>2867</v>
      </c>
      <c r="E1460" s="4" t="str">
        <f>HYPERLINK("./Results/DLO\2327\Osteo_Sarco_1.png","RPT")</f>
        <v>RPT</v>
      </c>
      <c r="F1460" s="2" t="s">
        <v>121</v>
      </c>
      <c r="G1460" s="6"/>
      <c r="I1460"/>
      <c r="J1460"/>
      <c r="K1460"/>
    </row>
    <row r="1461" spans="1:11" x14ac:dyDescent="0.3">
      <c r="A1461" s="2" t="s">
        <v>196</v>
      </c>
      <c r="B1461" s="2" t="s">
        <v>126</v>
      </c>
      <c r="C1461" s="2" t="s">
        <v>111</v>
      </c>
      <c r="D1461" s="2" t="s">
        <v>2859</v>
      </c>
      <c r="E1461" s="4" t="str">
        <f>HYPERLINK("./Results/DLO\2328\Osteo_Sarco_1.png","RPT")</f>
        <v>RPT</v>
      </c>
      <c r="F1461" s="2" t="s">
        <v>121</v>
      </c>
      <c r="G1461" s="6"/>
      <c r="I1461"/>
      <c r="J1461"/>
      <c r="K1461"/>
    </row>
    <row r="1462" spans="1:11" x14ac:dyDescent="0.3">
      <c r="A1462" s="2" t="s">
        <v>215</v>
      </c>
      <c r="B1462" s="2" t="s">
        <v>144</v>
      </c>
      <c r="C1462" s="2" t="s">
        <v>119</v>
      </c>
      <c r="D1462" s="2" t="s">
        <v>2867</v>
      </c>
      <c r="E1462" s="4" t="str">
        <f>HYPERLINK("./Results/DLO\2329\Osteo_Sarco_1.png","RPT")</f>
        <v>RPT</v>
      </c>
      <c r="F1462" s="2" t="s">
        <v>121</v>
      </c>
      <c r="G1462" s="6"/>
      <c r="I1462"/>
      <c r="J1462"/>
      <c r="K1462"/>
    </row>
    <row r="1463" spans="1:11" x14ac:dyDescent="0.3">
      <c r="A1463" s="2" t="s">
        <v>210</v>
      </c>
      <c r="B1463" s="2" t="s">
        <v>127</v>
      </c>
      <c r="C1463" s="2" t="s">
        <v>119</v>
      </c>
      <c r="D1463" s="2" t="s">
        <v>2859</v>
      </c>
      <c r="E1463" s="4" t="str">
        <f>HYPERLINK("./Results/DLO\233\Osteo_Sarco_1.png","RPT")</f>
        <v>RPT</v>
      </c>
      <c r="F1463" s="2" t="s">
        <v>121</v>
      </c>
      <c r="G1463" s="6"/>
      <c r="I1463"/>
      <c r="J1463"/>
      <c r="K1463"/>
    </row>
    <row r="1464" spans="1:11" x14ac:dyDescent="0.3">
      <c r="A1464" s="2" t="s">
        <v>194</v>
      </c>
      <c r="B1464" s="2" t="s">
        <v>123</v>
      </c>
      <c r="C1464" s="2" t="s">
        <v>119</v>
      </c>
      <c r="D1464" s="2" t="s">
        <v>2859</v>
      </c>
      <c r="E1464" s="4" t="str">
        <f>HYPERLINK("./Results/DLO\2330\Osteo_Sarco_1.png","RPT")</f>
        <v>RPT</v>
      </c>
      <c r="F1464" s="2" t="s">
        <v>121</v>
      </c>
      <c r="G1464" s="6"/>
      <c r="H1464" s="1">
        <v>21.08</v>
      </c>
    </row>
    <row r="1465" spans="1:11" x14ac:dyDescent="0.3">
      <c r="A1465" s="2" t="s">
        <v>216</v>
      </c>
      <c r="B1465" s="2" t="s">
        <v>139</v>
      </c>
      <c r="C1465" s="2" t="s">
        <v>119</v>
      </c>
      <c r="D1465" s="2" t="s">
        <v>2867</v>
      </c>
      <c r="E1465" s="4" t="str">
        <f>HYPERLINK("./Results/DLO\2331\Osteo_Sarco_1.png","RPT")</f>
        <v>RPT</v>
      </c>
      <c r="F1465" s="2" t="s">
        <v>121</v>
      </c>
      <c r="G1465" s="6"/>
      <c r="I1465"/>
      <c r="J1465"/>
      <c r="K1465"/>
    </row>
    <row r="1466" spans="1:11" x14ac:dyDescent="0.3">
      <c r="A1466" s="2" t="s">
        <v>209</v>
      </c>
      <c r="B1466" s="2" t="s">
        <v>144</v>
      </c>
      <c r="C1466" s="2" t="s">
        <v>111</v>
      </c>
      <c r="D1466" s="2" t="s">
        <v>2867</v>
      </c>
      <c r="E1466" s="4" t="str">
        <f>HYPERLINK("./Results/DLO\2332\Osteo_Sarco_1.png","RPT")</f>
        <v>RPT</v>
      </c>
      <c r="F1466" s="2" t="s">
        <v>121</v>
      </c>
      <c r="G1466" s="6"/>
      <c r="I1466"/>
      <c r="J1466"/>
      <c r="K1466"/>
    </row>
    <row r="1467" spans="1:11" x14ac:dyDescent="0.3">
      <c r="A1467" s="2" t="s">
        <v>202</v>
      </c>
      <c r="B1467" s="2" t="s">
        <v>577</v>
      </c>
      <c r="C1467" s="2" t="s">
        <v>119</v>
      </c>
      <c r="D1467" s="2" t="s">
        <v>2859</v>
      </c>
      <c r="E1467" s="4" t="str">
        <f>HYPERLINK("./Results/DLO\2333\Osteo_Sarco_1.png","RPT")</f>
        <v>RPT</v>
      </c>
      <c r="F1467" s="2" t="s">
        <v>121</v>
      </c>
      <c r="G1467" s="6"/>
      <c r="I1467"/>
      <c r="J1467"/>
      <c r="K1467"/>
    </row>
    <row r="1468" spans="1:11" x14ac:dyDescent="0.3">
      <c r="A1468" s="2" t="s">
        <v>195</v>
      </c>
      <c r="B1468" s="2" t="s">
        <v>140</v>
      </c>
      <c r="C1468" s="2" t="s">
        <v>111</v>
      </c>
      <c r="D1468" s="2" t="s">
        <v>1935</v>
      </c>
      <c r="E1468" s="4" t="str">
        <f>HYPERLINK("./Results/DLO\2334\Osteo_Sarco_1.png","RPT")</f>
        <v>RPT</v>
      </c>
      <c r="F1468" s="2" t="s">
        <v>121</v>
      </c>
      <c r="G1468" s="6"/>
      <c r="H1468" s="1">
        <v>23.39</v>
      </c>
    </row>
    <row r="1469" spans="1:11" x14ac:dyDescent="0.3">
      <c r="A1469" s="2" t="s">
        <v>204</v>
      </c>
      <c r="B1469" s="2" t="s">
        <v>123</v>
      </c>
      <c r="C1469" s="2" t="s">
        <v>119</v>
      </c>
      <c r="D1469" s="2" t="s">
        <v>2859</v>
      </c>
      <c r="E1469" s="4" t="str">
        <f>HYPERLINK("./Results/DLO\2335\Osteo_Sarco_1.png","RPT")</f>
        <v>RPT</v>
      </c>
      <c r="F1469" s="2" t="s">
        <v>121</v>
      </c>
      <c r="G1469" s="6"/>
      <c r="H1469" s="1">
        <v>22.22</v>
      </c>
    </row>
    <row r="1470" spans="1:11" x14ac:dyDescent="0.3">
      <c r="A1470" s="2" t="s">
        <v>213</v>
      </c>
      <c r="B1470" s="2" t="s">
        <v>114</v>
      </c>
      <c r="C1470" s="2" t="s">
        <v>119</v>
      </c>
      <c r="D1470" s="2" t="s">
        <v>2859</v>
      </c>
      <c r="E1470" s="4" t="str">
        <f>HYPERLINK("./Results/DLO\2336\Osteo_Sarco_1.png","RPT")</f>
        <v>RPT</v>
      </c>
      <c r="F1470" s="2" t="s">
        <v>121</v>
      </c>
      <c r="G1470" s="6"/>
      <c r="I1470"/>
      <c r="J1470"/>
      <c r="K1470"/>
    </row>
    <row r="1471" spans="1:11" x14ac:dyDescent="0.3">
      <c r="A1471" s="2" t="s">
        <v>197</v>
      </c>
      <c r="B1471" s="2" t="s">
        <v>118</v>
      </c>
      <c r="C1471" s="2" t="s">
        <v>119</v>
      </c>
      <c r="D1471" s="2" t="s">
        <v>2859</v>
      </c>
      <c r="E1471" s="4" t="str">
        <f>HYPERLINK("./Results/DLO\2337\Osteo_Sarco_1.png","RPT")</f>
        <v>RPT</v>
      </c>
      <c r="F1471" s="2" t="s">
        <v>121</v>
      </c>
      <c r="G1471" s="6"/>
      <c r="I1471"/>
      <c r="J1471"/>
      <c r="K1471"/>
    </row>
    <row r="1472" spans="1:11" x14ac:dyDescent="0.3">
      <c r="A1472" s="2" t="s">
        <v>198</v>
      </c>
      <c r="B1472" s="2" t="s">
        <v>142</v>
      </c>
      <c r="C1472" s="2" t="s">
        <v>111</v>
      </c>
      <c r="D1472" s="2" t="s">
        <v>2859</v>
      </c>
      <c r="E1472" s="4" t="str">
        <f>HYPERLINK("./Results/DLO\2338\Osteo_Sarco_1.png","RPT")</f>
        <v>RPT</v>
      </c>
      <c r="F1472" s="2" t="s">
        <v>121</v>
      </c>
      <c r="G1472" s="6"/>
      <c r="I1472"/>
      <c r="J1472"/>
      <c r="K1472"/>
    </row>
    <row r="1473" spans="1:11" x14ac:dyDescent="0.3">
      <c r="A1473" s="2" t="s">
        <v>205</v>
      </c>
      <c r="B1473" s="2" t="s">
        <v>157</v>
      </c>
      <c r="C1473" s="2" t="s">
        <v>119</v>
      </c>
      <c r="D1473" s="2" t="s">
        <v>2859</v>
      </c>
      <c r="E1473" s="4" t="str">
        <f>HYPERLINK("./Results/DLO\2339\Osteo_Sarco_1.png","RPT")</f>
        <v>RPT</v>
      </c>
      <c r="F1473" s="2" t="s">
        <v>121</v>
      </c>
      <c r="G1473" s="6"/>
      <c r="I1473"/>
      <c r="J1473"/>
      <c r="K1473"/>
    </row>
    <row r="1474" spans="1:11" x14ac:dyDescent="0.3">
      <c r="A1474" s="2" t="s">
        <v>206</v>
      </c>
      <c r="B1474" s="2" t="s">
        <v>118</v>
      </c>
      <c r="C1474" s="2" t="s">
        <v>111</v>
      </c>
      <c r="D1474" s="2" t="s">
        <v>2867</v>
      </c>
      <c r="E1474" s="4" t="str">
        <f>HYPERLINK("./Results/DLO\234\Osteo_Sarco_1.png","RPT")</f>
        <v>RPT</v>
      </c>
      <c r="F1474" s="2" t="s">
        <v>121</v>
      </c>
      <c r="G1474" s="6"/>
      <c r="I1474"/>
      <c r="J1474"/>
      <c r="K1474"/>
    </row>
    <row r="1475" spans="1:11" x14ac:dyDescent="0.3">
      <c r="A1475" s="2" t="s">
        <v>207</v>
      </c>
      <c r="B1475" s="2" t="s">
        <v>116</v>
      </c>
      <c r="C1475" s="2" t="s">
        <v>111</v>
      </c>
      <c r="D1475" s="2" t="s">
        <v>2867</v>
      </c>
      <c r="E1475" s="4" t="str">
        <f>HYPERLINK("./Results/DLO\2341\Osteo_Sarco_1.png","RPT")</f>
        <v>RPT</v>
      </c>
      <c r="F1475" s="2" t="s">
        <v>121</v>
      </c>
      <c r="G1475" s="6"/>
      <c r="I1475"/>
      <c r="J1475"/>
      <c r="K1475"/>
    </row>
    <row r="1476" spans="1:11" x14ac:dyDescent="0.3">
      <c r="A1476" s="2" t="s">
        <v>211</v>
      </c>
      <c r="B1476" s="2" t="s">
        <v>166</v>
      </c>
      <c r="C1476" s="2" t="s">
        <v>119</v>
      </c>
      <c r="D1476" s="2" t="s">
        <v>2859</v>
      </c>
      <c r="E1476" s="4" t="str">
        <f>HYPERLINK("./Results/DLO\2342\Osteo_Sarco_1.png","RPT")</f>
        <v>RPT</v>
      </c>
      <c r="F1476" s="2" t="s">
        <v>121</v>
      </c>
      <c r="G1476" s="6"/>
      <c r="I1476"/>
      <c r="J1476"/>
      <c r="K1476"/>
    </row>
    <row r="1477" spans="1:11" x14ac:dyDescent="0.3">
      <c r="A1477" s="2" t="s">
        <v>212</v>
      </c>
      <c r="B1477" s="2" t="s">
        <v>114</v>
      </c>
      <c r="C1477" s="2" t="s">
        <v>111</v>
      </c>
      <c r="D1477" s="2" t="s">
        <v>2859</v>
      </c>
      <c r="E1477" s="4" t="str">
        <f>HYPERLINK("./Results/DLO\2343\Osteo_Sarco_1.png","RPT")</f>
        <v>RPT</v>
      </c>
      <c r="F1477" s="2" t="s">
        <v>121</v>
      </c>
      <c r="G1477" s="6"/>
      <c r="I1477"/>
      <c r="J1477"/>
      <c r="K1477"/>
    </row>
    <row r="1478" spans="1:11" x14ac:dyDescent="0.3">
      <c r="A1478" s="2" t="s">
        <v>232</v>
      </c>
      <c r="B1478" s="2" t="s">
        <v>143</v>
      </c>
      <c r="C1478" s="2" t="s">
        <v>119</v>
      </c>
      <c r="D1478" s="2" t="s">
        <v>2859</v>
      </c>
      <c r="E1478" s="4" t="str">
        <f>HYPERLINK("./Results/DLO\2344\Osteo_Sarco_1.png","RPT")</f>
        <v>RPT</v>
      </c>
      <c r="F1478" s="2" t="s">
        <v>121</v>
      </c>
      <c r="G1478" s="6"/>
      <c r="I1478"/>
      <c r="J1478"/>
      <c r="K1478"/>
    </row>
    <row r="1479" spans="1:11" x14ac:dyDescent="0.3">
      <c r="A1479" s="2" t="s">
        <v>221</v>
      </c>
      <c r="B1479" s="2" t="s">
        <v>148</v>
      </c>
      <c r="C1479" s="2" t="s">
        <v>119</v>
      </c>
      <c r="D1479" s="2" t="s">
        <v>2859</v>
      </c>
      <c r="E1479" s="4" t="str">
        <f>HYPERLINK("./Results/DLO\2345\Osteo_Sarco_1.png","RPT")</f>
        <v>RPT</v>
      </c>
      <c r="F1479" s="2" t="s">
        <v>121</v>
      </c>
      <c r="G1479" s="6"/>
      <c r="H1479" s="1">
        <v>25.67</v>
      </c>
    </row>
    <row r="1480" spans="1:11" x14ac:dyDescent="0.3">
      <c r="A1480" s="2" t="s">
        <v>238</v>
      </c>
      <c r="B1480" s="2" t="s">
        <v>118</v>
      </c>
      <c r="C1480" s="2" t="s">
        <v>111</v>
      </c>
      <c r="D1480" s="2" t="s">
        <v>2859</v>
      </c>
      <c r="E1480" s="4" t="str">
        <f>HYPERLINK("./Results/DLO\2346\Osteo_Sarco_1.png","RPT")</f>
        <v>RPT</v>
      </c>
      <c r="F1480" s="2" t="s">
        <v>121</v>
      </c>
      <c r="G1480" s="6"/>
      <c r="I1480"/>
      <c r="J1480"/>
      <c r="K1480"/>
    </row>
    <row r="1481" spans="1:11" x14ac:dyDescent="0.3">
      <c r="A1481" s="2" t="s">
        <v>233</v>
      </c>
      <c r="B1481" s="2" t="s">
        <v>151</v>
      </c>
      <c r="C1481" s="2" t="s">
        <v>111</v>
      </c>
      <c r="D1481" s="2" t="s">
        <v>2859</v>
      </c>
      <c r="E1481" s="4" t="str">
        <f>HYPERLINK("./Results/DLO\2347\Osteo_Sarco_1.png","RPT")</f>
        <v>RPT</v>
      </c>
      <c r="F1481" s="2" t="s">
        <v>121</v>
      </c>
      <c r="G1481" s="6"/>
      <c r="I1481"/>
      <c r="J1481"/>
      <c r="K1481"/>
    </row>
    <row r="1482" spans="1:11" x14ac:dyDescent="0.3">
      <c r="A1482" s="2" t="s">
        <v>240</v>
      </c>
      <c r="B1482" s="2" t="s">
        <v>127</v>
      </c>
      <c r="C1482" s="2" t="s">
        <v>119</v>
      </c>
      <c r="D1482" s="2" t="s">
        <v>1935</v>
      </c>
      <c r="E1482" s="4" t="str">
        <f>HYPERLINK("./Results/DLO\2348\Osteo_Sarco_1.png","RPT")</f>
        <v>RPT</v>
      </c>
      <c r="F1482" s="2" t="s">
        <v>121</v>
      </c>
      <c r="G1482" s="6"/>
      <c r="I1482"/>
      <c r="J1482"/>
      <c r="K1482"/>
    </row>
    <row r="1483" spans="1:11" x14ac:dyDescent="0.3">
      <c r="A1483" s="2" t="s">
        <v>237</v>
      </c>
      <c r="B1483" s="2" t="s">
        <v>131</v>
      </c>
      <c r="C1483" s="2" t="s">
        <v>111</v>
      </c>
      <c r="D1483" s="2" t="s">
        <v>2859</v>
      </c>
      <c r="E1483" s="4" t="str">
        <f>HYPERLINK("./Results/DLO\2349\Osteo_Sarco_1.png","RPT")</f>
        <v>RPT</v>
      </c>
      <c r="F1483" s="2" t="s">
        <v>121</v>
      </c>
      <c r="G1483" s="6"/>
      <c r="I1483"/>
      <c r="J1483"/>
      <c r="K1483"/>
    </row>
    <row r="1484" spans="1:11" x14ac:dyDescent="0.3">
      <c r="A1484" s="2" t="s">
        <v>241</v>
      </c>
      <c r="B1484" s="2" t="s">
        <v>140</v>
      </c>
      <c r="C1484" s="2" t="s">
        <v>119</v>
      </c>
      <c r="D1484" s="2" t="s">
        <v>2859</v>
      </c>
      <c r="E1484" s="4" t="str">
        <f>HYPERLINK("./Results/DLO\235\Osteo_Sarco_1.png","RPT")</f>
        <v>RPT</v>
      </c>
      <c r="F1484" s="2" t="s">
        <v>121</v>
      </c>
      <c r="G1484" s="6"/>
      <c r="H1484" s="1">
        <v>21.19</v>
      </c>
    </row>
    <row r="1485" spans="1:11" x14ac:dyDescent="0.3">
      <c r="A1485" s="2" t="s">
        <v>222</v>
      </c>
      <c r="B1485" s="2" t="s">
        <v>131</v>
      </c>
      <c r="C1485" s="2" t="s">
        <v>111</v>
      </c>
      <c r="D1485" s="2" t="s">
        <v>2859</v>
      </c>
      <c r="E1485" s="4" t="str">
        <f>HYPERLINK("./Results/DLO\2350\Osteo_Sarco_1.png","RPT")</f>
        <v>RPT</v>
      </c>
      <c r="F1485" s="2" t="s">
        <v>121</v>
      </c>
      <c r="G1485" s="6"/>
      <c r="I1485"/>
      <c r="J1485"/>
      <c r="K1485"/>
    </row>
    <row r="1486" spans="1:11" x14ac:dyDescent="0.3">
      <c r="A1486" s="2" t="s">
        <v>236</v>
      </c>
      <c r="B1486" s="2" t="s">
        <v>135</v>
      </c>
      <c r="C1486" s="2" t="s">
        <v>119</v>
      </c>
      <c r="D1486" s="2" t="s">
        <v>2859</v>
      </c>
      <c r="E1486" s="4" t="str">
        <f>HYPERLINK("./Results/DLO\2351\Osteo_Sarco_1.png","RPT")</f>
        <v>RPT</v>
      </c>
      <c r="F1486" s="2" t="s">
        <v>121</v>
      </c>
      <c r="G1486" s="6"/>
      <c r="I1486"/>
      <c r="J1486"/>
      <c r="K1486"/>
    </row>
    <row r="1487" spans="1:11" x14ac:dyDescent="0.3">
      <c r="A1487" s="2" t="s">
        <v>224</v>
      </c>
      <c r="B1487" s="2" t="s">
        <v>148</v>
      </c>
      <c r="C1487" s="2" t="s">
        <v>119</v>
      </c>
      <c r="D1487" s="2" t="s">
        <v>2859</v>
      </c>
      <c r="E1487" s="4" t="str">
        <f>HYPERLINK("./Results/DLO\2352\Osteo_Sarco_1.png","RPT")</f>
        <v>RPT</v>
      </c>
      <c r="F1487" s="2" t="s">
        <v>121</v>
      </c>
      <c r="G1487" s="6"/>
      <c r="I1487"/>
      <c r="J1487"/>
      <c r="K1487"/>
    </row>
    <row r="1488" spans="1:11" x14ac:dyDescent="0.3">
      <c r="A1488" s="2" t="s">
        <v>239</v>
      </c>
      <c r="B1488" s="2" t="s">
        <v>148</v>
      </c>
      <c r="C1488" s="2" t="s">
        <v>111</v>
      </c>
      <c r="D1488" s="2" t="s">
        <v>2859</v>
      </c>
      <c r="E1488" s="4" t="str">
        <f>HYPERLINK("./Results/DLO\2353\Osteo_Sarco_1.png","RPT")</f>
        <v>RPT</v>
      </c>
      <c r="F1488" s="2" t="s">
        <v>121</v>
      </c>
      <c r="G1488" s="6"/>
      <c r="I1488"/>
      <c r="J1488"/>
      <c r="K1488"/>
    </row>
    <row r="1489" spans="1:11" x14ac:dyDescent="0.3">
      <c r="A1489" s="2" t="s">
        <v>243</v>
      </c>
      <c r="B1489" s="2" t="s">
        <v>159</v>
      </c>
      <c r="C1489" s="2" t="s">
        <v>111</v>
      </c>
      <c r="D1489" s="2" t="s">
        <v>2859</v>
      </c>
      <c r="E1489" s="4" t="str">
        <f>HYPERLINK("./Results/DLO\2354\Osteo_Sarco_1.png","RPT")</f>
        <v>RPT</v>
      </c>
      <c r="F1489" s="2" t="s">
        <v>121</v>
      </c>
      <c r="G1489" s="6"/>
      <c r="I1489"/>
      <c r="J1489"/>
      <c r="K1489"/>
    </row>
    <row r="1490" spans="1:11" x14ac:dyDescent="0.3">
      <c r="A1490" s="2" t="s">
        <v>225</v>
      </c>
      <c r="B1490" s="2" t="s">
        <v>573</v>
      </c>
      <c r="C1490" s="2" t="s">
        <v>111</v>
      </c>
      <c r="D1490" s="2" t="s">
        <v>2859</v>
      </c>
      <c r="E1490" s="4" t="str">
        <f>HYPERLINK("./Results/DLO\2355\Osteo_Sarco_1.png","RPT")</f>
        <v>RPT</v>
      </c>
      <c r="F1490" s="2" t="s">
        <v>121</v>
      </c>
      <c r="G1490" s="6"/>
      <c r="I1490"/>
      <c r="J1490"/>
      <c r="K1490"/>
    </row>
    <row r="1491" spans="1:11" x14ac:dyDescent="0.3">
      <c r="A1491" s="2" t="s">
        <v>220</v>
      </c>
      <c r="B1491" s="2" t="s">
        <v>134</v>
      </c>
      <c r="C1491" s="2" t="s">
        <v>111</v>
      </c>
      <c r="D1491" s="2" t="s">
        <v>2859</v>
      </c>
      <c r="E1491" s="4" t="str">
        <f>HYPERLINK("./Results/DLO\2356\Osteo_Sarco_1.png","RPT")</f>
        <v>RPT</v>
      </c>
      <c r="F1491" s="2" t="s">
        <v>121</v>
      </c>
      <c r="G1491" s="6"/>
      <c r="I1491"/>
      <c r="J1491"/>
      <c r="K1491"/>
    </row>
    <row r="1492" spans="1:11" x14ac:dyDescent="0.3">
      <c r="A1492" s="2" t="s">
        <v>231</v>
      </c>
      <c r="B1492" s="2" t="s">
        <v>148</v>
      </c>
      <c r="C1492" s="2" t="s">
        <v>111</v>
      </c>
      <c r="D1492" s="2" t="s">
        <v>2859</v>
      </c>
      <c r="E1492" s="4" t="str">
        <f>HYPERLINK("./Results/DLO\2357\Osteo_Sarco_1.png","RPT")</f>
        <v>RPT</v>
      </c>
      <c r="F1492" s="2" t="s">
        <v>121</v>
      </c>
      <c r="G1492" s="6"/>
      <c r="H1492" s="1">
        <v>19.95</v>
      </c>
    </row>
    <row r="1493" spans="1:11" x14ac:dyDescent="0.3">
      <c r="A1493" s="2" t="s">
        <v>226</v>
      </c>
      <c r="B1493" s="2" t="s">
        <v>130</v>
      </c>
      <c r="C1493" s="2" t="s">
        <v>119</v>
      </c>
      <c r="D1493" s="2" t="s">
        <v>2859</v>
      </c>
      <c r="E1493" s="4" t="str">
        <f>HYPERLINK("./Results/DLO\2358\Osteo_Sarco_1.png","RPT")</f>
        <v>RPT</v>
      </c>
      <c r="F1493" s="2" t="s">
        <v>121</v>
      </c>
      <c r="G1493" s="6"/>
      <c r="I1493"/>
      <c r="J1493"/>
      <c r="K1493"/>
    </row>
    <row r="1494" spans="1:11" x14ac:dyDescent="0.3">
      <c r="A1494" s="2" t="s">
        <v>229</v>
      </c>
      <c r="B1494" s="2" t="s">
        <v>113</v>
      </c>
      <c r="C1494" s="2" t="s">
        <v>119</v>
      </c>
      <c r="D1494" s="2" t="s">
        <v>1935</v>
      </c>
      <c r="E1494" s="4" t="str">
        <f>HYPERLINK("./Results/DLO\2359\Osteo_Sarco_1.png","RPT")</f>
        <v>RPT</v>
      </c>
      <c r="F1494" s="2" t="s">
        <v>121</v>
      </c>
      <c r="G1494" s="6"/>
      <c r="H1494" s="1">
        <v>19.329999999999998</v>
      </c>
    </row>
    <row r="1495" spans="1:11" x14ac:dyDescent="0.3">
      <c r="A1495" s="2" t="s">
        <v>242</v>
      </c>
      <c r="B1495" s="2" t="s">
        <v>167</v>
      </c>
      <c r="C1495" s="2" t="s">
        <v>119</v>
      </c>
      <c r="D1495" s="2" t="s">
        <v>2859</v>
      </c>
      <c r="E1495" s="4" t="str">
        <f>HYPERLINK("./Results/DLO\236\Osteo_Sarco_1.png","RPT")</f>
        <v>RPT</v>
      </c>
      <c r="F1495" s="2" t="s">
        <v>121</v>
      </c>
      <c r="G1495" s="6"/>
      <c r="H1495" s="1">
        <v>24.02</v>
      </c>
    </row>
    <row r="1496" spans="1:11" x14ac:dyDescent="0.3">
      <c r="A1496" s="2" t="s">
        <v>219</v>
      </c>
      <c r="B1496" s="2" t="s">
        <v>133</v>
      </c>
      <c r="C1496" s="2" t="s">
        <v>111</v>
      </c>
      <c r="D1496" s="2" t="s">
        <v>2859</v>
      </c>
      <c r="E1496" s="4" t="str">
        <f>HYPERLINK("./Results/DLO\2360\Osteo_Sarco_1.png","RPT")</f>
        <v>RPT</v>
      </c>
      <c r="F1496" s="2" t="s">
        <v>121</v>
      </c>
      <c r="G1496" s="6"/>
      <c r="I1496"/>
      <c r="J1496"/>
      <c r="K1496"/>
    </row>
    <row r="1497" spans="1:11" x14ac:dyDescent="0.3">
      <c r="A1497" s="2" t="s">
        <v>223</v>
      </c>
      <c r="B1497" s="2" t="s">
        <v>129</v>
      </c>
      <c r="C1497" s="2" t="s">
        <v>119</v>
      </c>
      <c r="D1497" s="2" t="s">
        <v>2859</v>
      </c>
      <c r="E1497" s="4" t="str">
        <f>HYPERLINK("./Results/DLO\2361\Osteo_Sarco_1.png","RPT")</f>
        <v>RPT</v>
      </c>
      <c r="F1497" s="2" t="s">
        <v>121</v>
      </c>
      <c r="G1497" s="6"/>
      <c r="I1497"/>
      <c r="J1497"/>
      <c r="K1497"/>
    </row>
    <row r="1498" spans="1:11" x14ac:dyDescent="0.3">
      <c r="A1498" s="2" t="s">
        <v>234</v>
      </c>
      <c r="B1498" s="2" t="s">
        <v>166</v>
      </c>
      <c r="C1498" s="2" t="s">
        <v>111</v>
      </c>
      <c r="D1498" s="2" t="s">
        <v>2867</v>
      </c>
      <c r="E1498" s="4" t="str">
        <f>HYPERLINK("./Results/DLO\2362\Osteo_Sarco_1.png","RPT")</f>
        <v>RPT</v>
      </c>
      <c r="F1498" s="2" t="s">
        <v>121</v>
      </c>
      <c r="G1498" s="6"/>
      <c r="I1498"/>
      <c r="J1498"/>
      <c r="K1498"/>
    </row>
    <row r="1499" spans="1:11" x14ac:dyDescent="0.3">
      <c r="A1499" s="2" t="s">
        <v>227</v>
      </c>
      <c r="B1499" s="2" t="s">
        <v>154</v>
      </c>
      <c r="C1499" s="2" t="s">
        <v>111</v>
      </c>
      <c r="D1499" s="2" t="s">
        <v>2859</v>
      </c>
      <c r="E1499" s="4" t="str">
        <f>HYPERLINK("./Results/DLO\2363\Osteo_Sarco_1.png","RPT")</f>
        <v>RPT</v>
      </c>
      <c r="F1499" s="2" t="s">
        <v>121</v>
      </c>
      <c r="G1499" s="6"/>
      <c r="I1499"/>
      <c r="J1499"/>
      <c r="K1499"/>
    </row>
    <row r="1500" spans="1:11" x14ac:dyDescent="0.3">
      <c r="A1500" s="2" t="s">
        <v>228</v>
      </c>
      <c r="B1500" s="2" t="s">
        <v>151</v>
      </c>
      <c r="C1500" s="2" t="s">
        <v>111</v>
      </c>
      <c r="D1500" s="2" t="s">
        <v>2859</v>
      </c>
      <c r="E1500" s="4" t="str">
        <f>HYPERLINK("./Results/DLO\2364\Osteo_Sarco_1.png","RPT")</f>
        <v>RPT</v>
      </c>
      <c r="F1500" s="2" t="s">
        <v>121</v>
      </c>
      <c r="G1500" s="6"/>
      <c r="I1500"/>
      <c r="J1500"/>
      <c r="K1500"/>
    </row>
    <row r="1501" spans="1:11" x14ac:dyDescent="0.3">
      <c r="A1501" s="2" t="s">
        <v>230</v>
      </c>
      <c r="B1501" s="2" t="s">
        <v>136</v>
      </c>
      <c r="C1501" s="2" t="s">
        <v>119</v>
      </c>
      <c r="D1501" s="2" t="s">
        <v>2867</v>
      </c>
      <c r="E1501" s="4" t="str">
        <f>HYPERLINK("./Results/DLO\2366\Osteo_Sarco_1.png","RPT")</f>
        <v>RPT</v>
      </c>
      <c r="F1501" s="2" t="s">
        <v>121</v>
      </c>
      <c r="G1501" s="6"/>
      <c r="H1501" s="1">
        <v>22.5</v>
      </c>
    </row>
    <row r="1502" spans="1:11" x14ac:dyDescent="0.3">
      <c r="A1502" s="2" t="s">
        <v>235</v>
      </c>
      <c r="B1502" s="2" t="s">
        <v>144</v>
      </c>
      <c r="C1502" s="2" t="s">
        <v>119</v>
      </c>
      <c r="D1502" s="2" t="s">
        <v>1960</v>
      </c>
      <c r="E1502" s="4" t="str">
        <f>HYPERLINK("./Results/DLO\2367\Osteo_Sarco_1.png","RPT")</f>
        <v>RPT</v>
      </c>
      <c r="F1502" s="2" t="s">
        <v>121</v>
      </c>
      <c r="G1502" s="6"/>
      <c r="I1502"/>
      <c r="J1502"/>
      <c r="K1502"/>
    </row>
    <row r="1503" spans="1:11" x14ac:dyDescent="0.3">
      <c r="A1503" s="2" t="s">
        <v>262</v>
      </c>
      <c r="B1503" s="2" t="s">
        <v>163</v>
      </c>
      <c r="C1503" s="2" t="s">
        <v>119</v>
      </c>
      <c r="D1503" s="2" t="s">
        <v>2859</v>
      </c>
      <c r="E1503" s="4" t="str">
        <f>HYPERLINK("./Results/DLO\2368\Osteo_Sarco_1.png","RPT")</f>
        <v>RPT</v>
      </c>
      <c r="F1503" s="2" t="s">
        <v>121</v>
      </c>
      <c r="G1503" s="6"/>
      <c r="I1503"/>
      <c r="J1503"/>
      <c r="K1503"/>
    </row>
    <row r="1504" spans="1:11" x14ac:dyDescent="0.3">
      <c r="A1504" s="2" t="s">
        <v>257</v>
      </c>
      <c r="B1504" s="2" t="s">
        <v>148</v>
      </c>
      <c r="C1504" s="2" t="s">
        <v>111</v>
      </c>
      <c r="D1504" s="2" t="s">
        <v>2859</v>
      </c>
      <c r="E1504" s="4" t="str">
        <f>HYPERLINK("./Results/DLO\2369\Osteo_Sarco_1.png","RPT")</f>
        <v>RPT</v>
      </c>
      <c r="F1504" s="2" t="s">
        <v>121</v>
      </c>
      <c r="G1504" s="6"/>
      <c r="I1504"/>
      <c r="J1504"/>
      <c r="K1504"/>
    </row>
    <row r="1505" spans="1:11" x14ac:dyDescent="0.3">
      <c r="A1505" s="2" t="s">
        <v>256</v>
      </c>
      <c r="B1505" s="2" t="s">
        <v>123</v>
      </c>
      <c r="C1505" s="2" t="s">
        <v>111</v>
      </c>
      <c r="D1505" s="2" t="s">
        <v>2867</v>
      </c>
      <c r="E1505" s="4" t="str">
        <f>HYPERLINK("./Results/DLO\237\Osteo_Sarco_1.png","RPT")</f>
        <v>RPT</v>
      </c>
      <c r="F1505" s="2" t="s">
        <v>121</v>
      </c>
      <c r="G1505" s="6"/>
      <c r="I1505"/>
      <c r="J1505"/>
      <c r="K1505"/>
    </row>
    <row r="1506" spans="1:11" x14ac:dyDescent="0.3">
      <c r="A1506" s="2" t="s">
        <v>258</v>
      </c>
      <c r="B1506" s="2" t="s">
        <v>143</v>
      </c>
      <c r="C1506" s="2" t="s">
        <v>119</v>
      </c>
      <c r="D1506" s="2" t="s">
        <v>2859</v>
      </c>
      <c r="E1506" s="4" t="str">
        <f>HYPERLINK("./Results/DLO\2370\Osteo_Sarco_1.png","RPT")</f>
        <v>RPT</v>
      </c>
      <c r="F1506" s="2" t="s">
        <v>121</v>
      </c>
      <c r="G1506" s="6"/>
      <c r="H1506" s="1">
        <v>24.45</v>
      </c>
    </row>
    <row r="1507" spans="1:11" x14ac:dyDescent="0.3">
      <c r="A1507" s="2" t="s">
        <v>263</v>
      </c>
      <c r="B1507" s="2" t="s">
        <v>170</v>
      </c>
      <c r="C1507" s="2" t="s">
        <v>119</v>
      </c>
      <c r="D1507" s="2" t="s">
        <v>2859</v>
      </c>
      <c r="E1507" s="4" t="str">
        <f>HYPERLINK("./Results/DLO\2371\Osteo_Sarco_1.png","RPT")</f>
        <v>RPT</v>
      </c>
      <c r="F1507" s="2" t="s">
        <v>121</v>
      </c>
      <c r="G1507" s="6"/>
      <c r="I1507"/>
      <c r="J1507"/>
      <c r="K1507"/>
    </row>
    <row r="1508" spans="1:11" x14ac:dyDescent="0.3">
      <c r="A1508" s="2" t="s">
        <v>265</v>
      </c>
      <c r="B1508" s="2" t="s">
        <v>120</v>
      </c>
      <c r="C1508" s="2" t="s">
        <v>119</v>
      </c>
      <c r="D1508" s="2" t="s">
        <v>2859</v>
      </c>
      <c r="E1508" s="4" t="str">
        <f>HYPERLINK("./Results/DLO\2372\Osteo_Sarco_1.png","RPT")</f>
        <v>RPT</v>
      </c>
      <c r="F1508" s="2" t="s">
        <v>121</v>
      </c>
      <c r="G1508" s="6"/>
      <c r="I1508"/>
      <c r="J1508"/>
      <c r="K1508"/>
    </row>
    <row r="1509" spans="1:11" x14ac:dyDescent="0.3">
      <c r="A1509" s="2" t="s">
        <v>254</v>
      </c>
      <c r="B1509" s="2" t="s">
        <v>142</v>
      </c>
      <c r="C1509" s="2" t="s">
        <v>111</v>
      </c>
      <c r="D1509" s="2" t="s">
        <v>2859</v>
      </c>
      <c r="E1509" s="4" t="str">
        <f>HYPERLINK("./Results/DLO\2373\Osteo_Sarco_1.png","RPT")</f>
        <v>RPT</v>
      </c>
      <c r="F1509" s="2" t="s">
        <v>121</v>
      </c>
      <c r="G1509" s="6"/>
      <c r="I1509"/>
      <c r="J1509"/>
      <c r="K1509"/>
    </row>
    <row r="1510" spans="1:11" x14ac:dyDescent="0.3">
      <c r="A1510" s="2" t="s">
        <v>247</v>
      </c>
      <c r="B1510" s="2" t="s">
        <v>146</v>
      </c>
      <c r="C1510" s="2" t="s">
        <v>119</v>
      </c>
      <c r="D1510" s="2" t="s">
        <v>2859</v>
      </c>
      <c r="E1510" s="4" t="str">
        <f>HYPERLINK("./Results/DLO\2374\Osteo_Sarco_1.png","RPT")</f>
        <v>RPT</v>
      </c>
      <c r="F1510" s="2" t="s">
        <v>121</v>
      </c>
      <c r="G1510" s="6"/>
      <c r="I1510"/>
      <c r="J1510"/>
      <c r="K1510"/>
    </row>
    <row r="1511" spans="1:11" x14ac:dyDescent="0.3">
      <c r="A1511" s="2" t="s">
        <v>260</v>
      </c>
      <c r="B1511" s="2" t="s">
        <v>170</v>
      </c>
      <c r="C1511" s="2" t="s">
        <v>111</v>
      </c>
      <c r="D1511" s="2" t="s">
        <v>2867</v>
      </c>
      <c r="E1511" s="4" t="str">
        <f>HYPERLINK("./Results/DLO\2375\Osteo_Sarco_1.png","RPT")</f>
        <v>RPT</v>
      </c>
      <c r="F1511" s="2" t="s">
        <v>121</v>
      </c>
      <c r="G1511" s="6"/>
      <c r="I1511"/>
      <c r="J1511"/>
      <c r="K1511"/>
    </row>
    <row r="1512" spans="1:11" x14ac:dyDescent="0.3">
      <c r="A1512" s="2" t="s">
        <v>259</v>
      </c>
      <c r="B1512" s="2" t="s">
        <v>572</v>
      </c>
      <c r="C1512" s="2" t="s">
        <v>111</v>
      </c>
      <c r="D1512" s="2" t="s">
        <v>2859</v>
      </c>
      <c r="E1512" s="4" t="str">
        <f>HYPERLINK("./Results/DLO\2376\Osteo_Sarco_1.png","RPT")</f>
        <v>RPT</v>
      </c>
      <c r="F1512" s="2" t="s">
        <v>121</v>
      </c>
      <c r="G1512" s="6"/>
      <c r="I1512"/>
      <c r="J1512"/>
      <c r="K1512"/>
    </row>
    <row r="1513" spans="1:11" x14ac:dyDescent="0.3">
      <c r="A1513" s="2" t="s">
        <v>248</v>
      </c>
      <c r="B1513" s="2" t="s">
        <v>132</v>
      </c>
      <c r="C1513" s="2" t="s">
        <v>111</v>
      </c>
      <c r="D1513" s="2" t="s">
        <v>2859</v>
      </c>
      <c r="E1513" s="4" t="str">
        <f>HYPERLINK("./Results/DLO\2377\Osteo_Sarco_1.png","RPT")</f>
        <v>RPT</v>
      </c>
      <c r="F1513" s="2" t="s">
        <v>121</v>
      </c>
      <c r="G1513" s="6"/>
      <c r="I1513"/>
      <c r="J1513"/>
      <c r="K1513"/>
    </row>
    <row r="1514" spans="1:11" x14ac:dyDescent="0.3">
      <c r="A1514" s="2" t="s">
        <v>261</v>
      </c>
      <c r="B1514" s="2" t="s">
        <v>136</v>
      </c>
      <c r="C1514" s="2" t="s">
        <v>119</v>
      </c>
      <c r="D1514" s="2" t="s">
        <v>2859</v>
      </c>
      <c r="E1514" s="4" t="str">
        <f>HYPERLINK("./Results/DLO\2378\Osteo_Sarco_1.png","RPT")</f>
        <v>RPT</v>
      </c>
      <c r="F1514" s="2" t="s">
        <v>121</v>
      </c>
      <c r="G1514" s="6"/>
      <c r="I1514"/>
      <c r="J1514"/>
      <c r="K1514"/>
    </row>
    <row r="1515" spans="1:11" x14ac:dyDescent="0.3">
      <c r="A1515" s="2" t="s">
        <v>249</v>
      </c>
      <c r="B1515" s="2" t="s">
        <v>587</v>
      </c>
      <c r="C1515" s="2" t="s">
        <v>111</v>
      </c>
      <c r="D1515" s="2" t="s">
        <v>2859</v>
      </c>
      <c r="E1515" s="4" t="str">
        <f>HYPERLINK("./Results/DLO\2379\Osteo_Sarco_1.png","RPT")</f>
        <v>RPT</v>
      </c>
      <c r="F1515" s="2" t="s">
        <v>121</v>
      </c>
      <c r="G1515" s="6"/>
      <c r="I1515"/>
      <c r="J1515"/>
      <c r="K1515"/>
    </row>
    <row r="1516" spans="1:11" x14ac:dyDescent="0.3">
      <c r="A1516" s="2" t="s">
        <v>250</v>
      </c>
      <c r="B1516" s="2" t="s">
        <v>127</v>
      </c>
      <c r="C1516" s="2" t="s">
        <v>111</v>
      </c>
      <c r="D1516" s="2" t="s">
        <v>2859</v>
      </c>
      <c r="E1516" s="4" t="str">
        <f>HYPERLINK("./Results/DLO\238\Osteo_Sarco_1.png","RPT")</f>
        <v>RPT</v>
      </c>
      <c r="F1516" s="2" t="s">
        <v>121</v>
      </c>
      <c r="G1516" s="6"/>
      <c r="I1516"/>
      <c r="J1516"/>
      <c r="K1516"/>
    </row>
    <row r="1517" spans="1:11" x14ac:dyDescent="0.3">
      <c r="A1517" s="2" t="s">
        <v>252</v>
      </c>
      <c r="B1517" s="2" t="s">
        <v>142</v>
      </c>
      <c r="C1517" s="2" t="s">
        <v>119</v>
      </c>
      <c r="D1517" s="2" t="s">
        <v>2859</v>
      </c>
      <c r="E1517" s="4" t="str">
        <f>HYPERLINK("./Results/DLO\2380\Osteo_Sarco_1.png","RPT")</f>
        <v>RPT</v>
      </c>
      <c r="F1517" s="2" t="s">
        <v>121</v>
      </c>
      <c r="G1517" s="6"/>
      <c r="H1517" s="1">
        <v>22.4</v>
      </c>
    </row>
    <row r="1518" spans="1:11" x14ac:dyDescent="0.3">
      <c r="A1518" s="2" t="s">
        <v>255</v>
      </c>
      <c r="B1518" s="2" t="s">
        <v>127</v>
      </c>
      <c r="C1518" s="2" t="s">
        <v>111</v>
      </c>
      <c r="D1518" s="2" t="s">
        <v>2867</v>
      </c>
      <c r="E1518" s="4" t="str">
        <f>HYPERLINK("./Results/DLO\2381\Osteo_Sarco_1.png","RPT")</f>
        <v>RPT</v>
      </c>
      <c r="F1518" s="2" t="s">
        <v>121</v>
      </c>
      <c r="G1518" s="6"/>
      <c r="H1518" s="1">
        <v>26.83</v>
      </c>
    </row>
    <row r="1519" spans="1:11" x14ac:dyDescent="0.3">
      <c r="A1519" s="2" t="s">
        <v>245</v>
      </c>
      <c r="B1519" s="2" t="s">
        <v>131</v>
      </c>
      <c r="C1519" s="2" t="s">
        <v>111</v>
      </c>
      <c r="D1519" s="2" t="s">
        <v>2859</v>
      </c>
      <c r="E1519" s="4" t="str">
        <f>HYPERLINK("./Results/DLO\2382\Osteo_Sarco_1.png","RPT")</f>
        <v>RPT</v>
      </c>
      <c r="F1519" s="2" t="s">
        <v>121</v>
      </c>
      <c r="G1519" s="6"/>
      <c r="I1519"/>
      <c r="J1519"/>
      <c r="K1519"/>
    </row>
    <row r="1520" spans="1:11" x14ac:dyDescent="0.3">
      <c r="A1520" s="2" t="s">
        <v>264</v>
      </c>
      <c r="B1520" s="2" t="s">
        <v>161</v>
      </c>
      <c r="C1520" s="2" t="s">
        <v>119</v>
      </c>
      <c r="D1520" s="2" t="s">
        <v>2859</v>
      </c>
      <c r="E1520" s="4" t="str">
        <f>HYPERLINK("./Results/DLO\2383\Osteo_Sarco_1.png","RPT")</f>
        <v>RPT</v>
      </c>
      <c r="F1520" s="2" t="s">
        <v>121</v>
      </c>
      <c r="G1520" s="6"/>
      <c r="I1520"/>
      <c r="J1520"/>
      <c r="K1520"/>
    </row>
    <row r="1521" spans="1:11" x14ac:dyDescent="0.3">
      <c r="A1521" s="2" t="s">
        <v>266</v>
      </c>
      <c r="B1521" s="2" t="s">
        <v>129</v>
      </c>
      <c r="C1521" s="2" t="s">
        <v>111</v>
      </c>
      <c r="D1521" s="2" t="s">
        <v>2859</v>
      </c>
      <c r="E1521" s="4" t="str">
        <f>HYPERLINK("./Results/DLO\2384\Osteo_Sarco_1.png","RPT")</f>
        <v>RPT</v>
      </c>
      <c r="F1521" s="2" t="s">
        <v>121</v>
      </c>
      <c r="G1521" s="6"/>
      <c r="H1521" s="1">
        <v>23.33</v>
      </c>
    </row>
    <row r="1522" spans="1:11" x14ac:dyDescent="0.3">
      <c r="A1522" s="2" t="s">
        <v>244</v>
      </c>
      <c r="B1522" s="2" t="s">
        <v>125</v>
      </c>
      <c r="C1522" s="2" t="s">
        <v>119</v>
      </c>
      <c r="D1522" s="2" t="s">
        <v>2867</v>
      </c>
      <c r="E1522" s="4" t="str">
        <f>HYPERLINK("./Results/DLO\2385\Osteo_Sarco_1.png","RPT")</f>
        <v>RPT</v>
      </c>
      <c r="F1522" s="2" t="s">
        <v>121</v>
      </c>
      <c r="G1522" s="6"/>
      <c r="I1522"/>
      <c r="J1522"/>
      <c r="K1522"/>
    </row>
    <row r="1523" spans="1:11" x14ac:dyDescent="0.3">
      <c r="A1523" s="2" t="s">
        <v>251</v>
      </c>
      <c r="B1523" s="2" t="s">
        <v>131</v>
      </c>
      <c r="C1523" s="2" t="s">
        <v>119</v>
      </c>
      <c r="D1523" s="2" t="s">
        <v>2859</v>
      </c>
      <c r="E1523" s="4" t="str">
        <f>HYPERLINK("./Results/DLO\2386\Osteo_Sarco_1.png","RPT")</f>
        <v>RPT</v>
      </c>
      <c r="F1523" s="2" t="s">
        <v>121</v>
      </c>
      <c r="G1523" s="6"/>
      <c r="H1523" s="1">
        <v>25.24</v>
      </c>
    </row>
    <row r="1524" spans="1:11" x14ac:dyDescent="0.3">
      <c r="A1524" s="2" t="s">
        <v>246</v>
      </c>
      <c r="B1524" s="2" t="s">
        <v>151</v>
      </c>
      <c r="C1524" s="2" t="s">
        <v>119</v>
      </c>
      <c r="D1524" s="2" t="s">
        <v>2859</v>
      </c>
      <c r="E1524" s="4" t="str">
        <f>HYPERLINK("./Results/DLO\2387\Osteo_Sarco_1.png","RPT")</f>
        <v>RPT</v>
      </c>
      <c r="F1524" s="2" t="s">
        <v>121</v>
      </c>
      <c r="G1524" s="6"/>
      <c r="I1524"/>
      <c r="J1524"/>
      <c r="K1524"/>
    </row>
    <row r="1525" spans="1:11" x14ac:dyDescent="0.3">
      <c r="A1525" s="2" t="s">
        <v>253</v>
      </c>
      <c r="B1525" s="2" t="s">
        <v>116</v>
      </c>
      <c r="C1525" s="2" t="s">
        <v>111</v>
      </c>
      <c r="D1525" s="2" t="s">
        <v>2859</v>
      </c>
      <c r="E1525" s="4" t="str">
        <f>HYPERLINK("./Results/DLO\2388\Osteo_Sarco_1.png","RPT")</f>
        <v>RPT</v>
      </c>
      <c r="F1525" s="2" t="s">
        <v>121</v>
      </c>
      <c r="G1525" s="6"/>
      <c r="I1525"/>
      <c r="J1525"/>
      <c r="K1525"/>
    </row>
    <row r="1526" spans="1:11" x14ac:dyDescent="0.3">
      <c r="A1526" s="2" t="s">
        <v>288</v>
      </c>
      <c r="B1526" s="2" t="s">
        <v>118</v>
      </c>
      <c r="C1526" s="2" t="s">
        <v>119</v>
      </c>
      <c r="D1526" s="2" t="s">
        <v>2859</v>
      </c>
      <c r="E1526" s="4" t="str">
        <f>HYPERLINK("./Results/DLO\2389\Osteo_Sarco_1.png","RPT")</f>
        <v>RPT</v>
      </c>
      <c r="F1526" s="2" t="s">
        <v>121</v>
      </c>
      <c r="G1526" s="6"/>
      <c r="I1526"/>
      <c r="J1526"/>
      <c r="K1526"/>
    </row>
    <row r="1527" spans="1:11" x14ac:dyDescent="0.3">
      <c r="A1527" s="2" t="s">
        <v>287</v>
      </c>
      <c r="B1527" s="2" t="s">
        <v>166</v>
      </c>
      <c r="C1527" s="2" t="s">
        <v>111</v>
      </c>
      <c r="D1527" s="2" t="s">
        <v>2859</v>
      </c>
      <c r="E1527" s="4" t="str">
        <f>HYPERLINK("./Results/DLO\239\Osteo_Sarco_1.png","RPT")</f>
        <v>RPT</v>
      </c>
      <c r="F1527" s="2" t="s">
        <v>121</v>
      </c>
      <c r="G1527" s="6"/>
      <c r="I1527"/>
      <c r="J1527"/>
      <c r="K1527"/>
    </row>
    <row r="1528" spans="1:11" x14ac:dyDescent="0.3">
      <c r="A1528" s="2" t="s">
        <v>282</v>
      </c>
      <c r="B1528" s="2" t="s">
        <v>166</v>
      </c>
      <c r="C1528" s="2" t="s">
        <v>111</v>
      </c>
      <c r="D1528" s="2" t="s">
        <v>2859</v>
      </c>
      <c r="E1528" s="4" t="str">
        <f>HYPERLINK("./Results/DLO\2390\Osteo_Sarco_1.png","RPT")</f>
        <v>RPT</v>
      </c>
      <c r="F1528" s="2" t="s">
        <v>121</v>
      </c>
      <c r="G1528" s="6"/>
      <c r="I1528"/>
      <c r="J1528"/>
      <c r="K1528"/>
    </row>
    <row r="1529" spans="1:11" x14ac:dyDescent="0.3">
      <c r="A1529" s="2" t="s">
        <v>285</v>
      </c>
      <c r="B1529" s="2" t="s">
        <v>151</v>
      </c>
      <c r="C1529" s="2" t="s">
        <v>119</v>
      </c>
      <c r="D1529" s="2" t="s">
        <v>2859</v>
      </c>
      <c r="E1529" s="4" t="str">
        <f>HYPERLINK("./Results/DLO\2391\Osteo_Sarco_1.png","RPT")</f>
        <v>RPT</v>
      </c>
      <c r="F1529" s="2" t="s">
        <v>121</v>
      </c>
      <c r="G1529" s="6"/>
      <c r="I1529"/>
      <c r="J1529"/>
      <c r="K1529"/>
    </row>
    <row r="1530" spans="1:11" x14ac:dyDescent="0.3">
      <c r="A1530" s="2" t="s">
        <v>292</v>
      </c>
      <c r="B1530" s="2" t="s">
        <v>132</v>
      </c>
      <c r="C1530" s="2" t="s">
        <v>111</v>
      </c>
      <c r="D1530" s="2" t="s">
        <v>2859</v>
      </c>
      <c r="E1530" s="4" t="str">
        <f>HYPERLINK("./Results/DLO\2392\Osteo_Sarco_1.png","RPT")</f>
        <v>RPT</v>
      </c>
      <c r="F1530" s="2" t="s">
        <v>121</v>
      </c>
      <c r="G1530" s="6"/>
      <c r="I1530"/>
      <c r="J1530"/>
      <c r="K1530"/>
    </row>
    <row r="1531" spans="1:11" x14ac:dyDescent="0.3">
      <c r="A1531" s="2" t="s">
        <v>272</v>
      </c>
      <c r="B1531" s="2" t="s">
        <v>140</v>
      </c>
      <c r="C1531" s="2" t="s">
        <v>111</v>
      </c>
      <c r="D1531" s="2" t="s">
        <v>2867</v>
      </c>
      <c r="E1531" s="4" t="str">
        <f>HYPERLINK("./Results/DLO\2393\Osteo_Sarco_1.png","RPT")</f>
        <v>RPT</v>
      </c>
      <c r="F1531" s="2" t="s">
        <v>121</v>
      </c>
      <c r="G1531" s="6"/>
      <c r="I1531"/>
      <c r="J1531"/>
      <c r="K1531"/>
    </row>
    <row r="1532" spans="1:11" x14ac:dyDescent="0.3">
      <c r="A1532" s="2" t="s">
        <v>268</v>
      </c>
      <c r="B1532" s="2" t="s">
        <v>149</v>
      </c>
      <c r="C1532" s="2" t="s">
        <v>119</v>
      </c>
      <c r="D1532" s="2" t="s">
        <v>2859</v>
      </c>
      <c r="E1532" s="4" t="str">
        <f>HYPERLINK("./Results/DLO\2394\Osteo_Sarco_1.png","RPT")</f>
        <v>RPT</v>
      </c>
      <c r="F1532" s="2" t="s">
        <v>121</v>
      </c>
      <c r="G1532" s="6"/>
      <c r="I1532"/>
      <c r="J1532"/>
      <c r="K1532"/>
    </row>
    <row r="1533" spans="1:11" x14ac:dyDescent="0.3">
      <c r="A1533" s="2" t="s">
        <v>293</v>
      </c>
      <c r="B1533" s="2" t="s">
        <v>116</v>
      </c>
      <c r="C1533" s="2" t="s">
        <v>111</v>
      </c>
      <c r="D1533" s="2" t="s">
        <v>2859</v>
      </c>
      <c r="E1533" s="4" t="str">
        <f>HYPERLINK("./Results/DLO\2395\Osteo_Sarco_1.png","RPT")</f>
        <v>RPT</v>
      </c>
      <c r="F1533" s="2" t="s">
        <v>121</v>
      </c>
      <c r="G1533" s="6"/>
      <c r="I1533"/>
      <c r="J1533"/>
      <c r="K1533"/>
    </row>
    <row r="1534" spans="1:11" x14ac:dyDescent="0.3">
      <c r="A1534" s="2" t="s">
        <v>270</v>
      </c>
      <c r="B1534" s="2" t="s">
        <v>579</v>
      </c>
      <c r="C1534" s="2" t="s">
        <v>119</v>
      </c>
      <c r="D1534" s="2" t="s">
        <v>2859</v>
      </c>
      <c r="E1534" s="4" t="str">
        <f>HYPERLINK("./Results/DLO\2396\Osteo_Sarco_1.png","RPT")</f>
        <v>RPT</v>
      </c>
      <c r="F1534" s="2" t="s">
        <v>121</v>
      </c>
      <c r="G1534" s="6"/>
      <c r="I1534"/>
      <c r="J1534"/>
      <c r="K1534"/>
    </row>
    <row r="1535" spans="1:11" x14ac:dyDescent="0.3">
      <c r="A1535" s="2" t="s">
        <v>271</v>
      </c>
      <c r="B1535" s="2" t="s">
        <v>589</v>
      </c>
      <c r="C1535" s="2" t="s">
        <v>111</v>
      </c>
      <c r="D1535" s="2" t="s">
        <v>2859</v>
      </c>
      <c r="E1535" s="4" t="str">
        <f>HYPERLINK("./Results/DLO\2397\Osteo_Sarco_1.png","RPT")</f>
        <v>RPT</v>
      </c>
      <c r="F1535" s="2" t="s">
        <v>121</v>
      </c>
      <c r="G1535" s="6"/>
      <c r="I1535"/>
      <c r="J1535"/>
      <c r="K1535"/>
    </row>
    <row r="1536" spans="1:11" x14ac:dyDescent="0.3">
      <c r="A1536" s="2" t="s">
        <v>276</v>
      </c>
      <c r="B1536" s="2" t="s">
        <v>114</v>
      </c>
      <c r="C1536" s="2" t="s">
        <v>119</v>
      </c>
      <c r="D1536" s="2" t="s">
        <v>2867</v>
      </c>
      <c r="E1536" s="4" t="str">
        <f>HYPERLINK("./Results/DLO\2398\Osteo_Sarco_1.png","RPT")</f>
        <v>RPT</v>
      </c>
      <c r="F1536" s="2" t="s">
        <v>121</v>
      </c>
      <c r="G1536" s="6"/>
      <c r="I1536"/>
      <c r="J1536"/>
      <c r="K1536"/>
    </row>
    <row r="1537" spans="1:11" x14ac:dyDescent="0.3">
      <c r="A1537" s="2" t="s">
        <v>280</v>
      </c>
      <c r="B1537" s="2" t="s">
        <v>166</v>
      </c>
      <c r="C1537" s="2" t="s">
        <v>111</v>
      </c>
      <c r="D1537" s="2" t="s">
        <v>2859</v>
      </c>
      <c r="E1537" s="4" t="str">
        <f>HYPERLINK("./Results/DLO\2399\Osteo_Sarco_1.png","RPT")</f>
        <v>RPT</v>
      </c>
      <c r="F1537" s="2" t="s">
        <v>121</v>
      </c>
      <c r="G1537" s="6"/>
      <c r="I1537"/>
      <c r="J1537"/>
      <c r="K1537"/>
    </row>
    <row r="1538" spans="1:11" x14ac:dyDescent="0.3">
      <c r="A1538" s="2" t="s">
        <v>277</v>
      </c>
      <c r="B1538" s="2" t="s">
        <v>156</v>
      </c>
      <c r="C1538" s="2" t="s">
        <v>119</v>
      </c>
      <c r="D1538" s="2" t="s">
        <v>2867</v>
      </c>
      <c r="E1538" s="4" t="str">
        <f>HYPERLINK("./Results/DLO\24\Osteo_Sarco_1.png","RPT")</f>
        <v>RPT</v>
      </c>
      <c r="F1538" s="2" t="s">
        <v>121</v>
      </c>
      <c r="G1538" s="6"/>
      <c r="I1538"/>
      <c r="J1538"/>
      <c r="K1538"/>
    </row>
    <row r="1539" spans="1:11" x14ac:dyDescent="0.3">
      <c r="A1539" s="2" t="s">
        <v>269</v>
      </c>
      <c r="B1539" s="2" t="s">
        <v>140</v>
      </c>
      <c r="C1539" s="2" t="s">
        <v>119</v>
      </c>
      <c r="D1539" s="2" t="s">
        <v>2859</v>
      </c>
      <c r="E1539" s="4" t="str">
        <f>HYPERLINK("./Results/DLO\240\Osteo_Sarco_1.png","RPT")</f>
        <v>RPT</v>
      </c>
      <c r="F1539" s="2" t="s">
        <v>121</v>
      </c>
      <c r="G1539" s="6"/>
      <c r="I1539"/>
      <c r="J1539"/>
      <c r="K1539"/>
    </row>
    <row r="1540" spans="1:11" x14ac:dyDescent="0.3">
      <c r="A1540" s="2" t="s">
        <v>284</v>
      </c>
      <c r="B1540" s="2" t="s">
        <v>127</v>
      </c>
      <c r="C1540" s="2" t="s">
        <v>111</v>
      </c>
      <c r="D1540" s="2" t="s">
        <v>2859</v>
      </c>
      <c r="E1540" s="4" t="str">
        <f>HYPERLINK("./Results/DLO\2400\Osteo_Sarco_1.png","RPT")</f>
        <v>RPT</v>
      </c>
      <c r="F1540" s="2" t="s">
        <v>121</v>
      </c>
      <c r="G1540" s="6"/>
      <c r="I1540"/>
      <c r="J1540"/>
      <c r="K1540"/>
    </row>
    <row r="1541" spans="1:11" x14ac:dyDescent="0.3">
      <c r="A1541" s="2" t="s">
        <v>291</v>
      </c>
      <c r="B1541" s="2" t="s">
        <v>168</v>
      </c>
      <c r="C1541" s="2" t="s">
        <v>119</v>
      </c>
      <c r="D1541" s="2" t="s">
        <v>2859</v>
      </c>
      <c r="E1541" s="4" t="str">
        <f>HYPERLINK("./Results/DLO\2401\Osteo_Sarco_1.png","RPT")</f>
        <v>RPT</v>
      </c>
      <c r="F1541" s="2" t="s">
        <v>121</v>
      </c>
      <c r="G1541" s="6"/>
      <c r="I1541"/>
      <c r="J1541"/>
      <c r="K1541"/>
    </row>
    <row r="1542" spans="1:11" x14ac:dyDescent="0.3">
      <c r="A1542" s="2" t="s">
        <v>278</v>
      </c>
      <c r="B1542" s="2" t="s">
        <v>161</v>
      </c>
      <c r="C1542" s="2" t="s">
        <v>119</v>
      </c>
      <c r="D1542" s="2" t="s">
        <v>1960</v>
      </c>
      <c r="E1542" s="4" t="str">
        <f>HYPERLINK("./Results/DLO\2402\Osteo_Sarco_1.png","RPT")</f>
        <v>RPT</v>
      </c>
      <c r="F1542" s="2" t="s">
        <v>121</v>
      </c>
      <c r="G1542" s="6"/>
      <c r="I1542"/>
      <c r="J1542"/>
      <c r="K1542"/>
    </row>
    <row r="1543" spans="1:11" x14ac:dyDescent="0.3">
      <c r="A1543" s="2" t="s">
        <v>290</v>
      </c>
      <c r="B1543" s="2" t="s">
        <v>157</v>
      </c>
      <c r="C1543" s="2" t="s">
        <v>111</v>
      </c>
      <c r="D1543" s="2" t="s">
        <v>2867</v>
      </c>
      <c r="E1543" s="4" t="str">
        <f>HYPERLINK("./Results/DLO\2403\Osteo_Sarco_1.png","RPT")</f>
        <v>RPT</v>
      </c>
      <c r="F1543" s="2" t="s">
        <v>121</v>
      </c>
      <c r="G1543" s="6"/>
      <c r="I1543"/>
      <c r="J1543"/>
      <c r="K1543"/>
    </row>
    <row r="1544" spans="1:11" x14ac:dyDescent="0.3">
      <c r="A1544" s="2" t="s">
        <v>274</v>
      </c>
      <c r="B1544" s="2" t="s">
        <v>141</v>
      </c>
      <c r="C1544" s="2" t="s">
        <v>119</v>
      </c>
      <c r="D1544" s="2" t="s">
        <v>2867</v>
      </c>
      <c r="E1544" s="4" t="str">
        <f>HYPERLINK("./Results/DLO\2404\Osteo_Sarco_1.png","RPT")</f>
        <v>RPT</v>
      </c>
      <c r="F1544" s="2" t="s">
        <v>121</v>
      </c>
      <c r="G1544" s="6"/>
      <c r="H1544" s="1">
        <v>20.34</v>
      </c>
    </row>
    <row r="1545" spans="1:11" x14ac:dyDescent="0.3">
      <c r="A1545" s="2" t="s">
        <v>281</v>
      </c>
      <c r="B1545" s="2" t="s">
        <v>164</v>
      </c>
      <c r="C1545" s="2" t="s">
        <v>119</v>
      </c>
      <c r="D1545" s="2" t="s">
        <v>2859</v>
      </c>
      <c r="E1545" s="4" t="str">
        <f>HYPERLINK("./Results/DLO\2405\Osteo_Sarco_1.png","RPT")</f>
        <v>RPT</v>
      </c>
      <c r="F1545" s="2" t="s">
        <v>121</v>
      </c>
      <c r="G1545" s="6"/>
      <c r="I1545"/>
      <c r="J1545"/>
      <c r="K1545"/>
    </row>
    <row r="1546" spans="1:11" x14ac:dyDescent="0.3">
      <c r="A1546" s="2" t="s">
        <v>283</v>
      </c>
      <c r="B1546" s="2" t="s">
        <v>165</v>
      </c>
      <c r="C1546" s="2" t="s">
        <v>111</v>
      </c>
      <c r="D1546" s="2" t="s">
        <v>2859</v>
      </c>
      <c r="E1546" s="4" t="str">
        <f>HYPERLINK("./Results/DLO\2406\Osteo_Sarco_1.png","RPT")</f>
        <v>RPT</v>
      </c>
      <c r="F1546" s="2" t="s">
        <v>121</v>
      </c>
      <c r="G1546" s="6"/>
      <c r="I1546"/>
      <c r="J1546"/>
      <c r="K1546"/>
    </row>
    <row r="1547" spans="1:11" x14ac:dyDescent="0.3">
      <c r="A1547" s="2" t="s">
        <v>273</v>
      </c>
      <c r="B1547" s="2" t="s">
        <v>142</v>
      </c>
      <c r="C1547" s="2" t="s">
        <v>111</v>
      </c>
      <c r="D1547" s="2" t="s">
        <v>2859</v>
      </c>
      <c r="E1547" s="4" t="str">
        <f>HYPERLINK("./Results/DLO\2407\Osteo_Sarco_1.png","RPT")</f>
        <v>RPT</v>
      </c>
      <c r="F1547" s="2" t="s">
        <v>121</v>
      </c>
      <c r="G1547" s="6"/>
      <c r="I1547"/>
      <c r="J1547"/>
      <c r="K1547"/>
    </row>
    <row r="1548" spans="1:11" x14ac:dyDescent="0.3">
      <c r="A1548" s="2" t="s">
        <v>267</v>
      </c>
      <c r="B1548" s="2" t="s">
        <v>159</v>
      </c>
      <c r="C1548" s="2" t="s">
        <v>111</v>
      </c>
      <c r="D1548" s="2" t="s">
        <v>2867</v>
      </c>
      <c r="E1548" s="4" t="str">
        <f>HYPERLINK("./Results/DLO\2408\Osteo_Sarco_1.png","RPT")</f>
        <v>RPT</v>
      </c>
      <c r="F1548" s="2" t="s">
        <v>121</v>
      </c>
      <c r="G1548" s="6"/>
      <c r="I1548"/>
      <c r="J1548"/>
      <c r="K1548"/>
    </row>
    <row r="1549" spans="1:11" x14ac:dyDescent="0.3">
      <c r="A1549" s="2" t="s">
        <v>275</v>
      </c>
      <c r="B1549" s="2" t="s">
        <v>147</v>
      </c>
      <c r="C1549" s="2" t="s">
        <v>119</v>
      </c>
      <c r="D1549" s="2" t="s">
        <v>1960</v>
      </c>
      <c r="E1549" s="4" t="str">
        <f>HYPERLINK("./Results/DLO\2409\Osteo_Sarco_1.png","RPT")</f>
        <v>RPT</v>
      </c>
      <c r="F1549" s="2" t="s">
        <v>121</v>
      </c>
      <c r="G1549" s="6"/>
      <c r="I1549"/>
      <c r="J1549"/>
      <c r="K1549"/>
    </row>
    <row r="1550" spans="1:11" x14ac:dyDescent="0.3">
      <c r="A1550" s="2" t="s">
        <v>289</v>
      </c>
      <c r="B1550" s="2" t="s">
        <v>157</v>
      </c>
      <c r="C1550" s="2" t="s">
        <v>119</v>
      </c>
      <c r="D1550" s="2" t="s">
        <v>2859</v>
      </c>
      <c r="E1550" s="4" t="str">
        <f>HYPERLINK("./Results/DLO\241\Osteo_Sarco_1.png","RPT")</f>
        <v>RPT</v>
      </c>
      <c r="F1550" s="2" t="s">
        <v>121</v>
      </c>
      <c r="G1550" s="6"/>
      <c r="I1550"/>
      <c r="J1550"/>
      <c r="K1550"/>
    </row>
    <row r="1551" spans="1:11" x14ac:dyDescent="0.3">
      <c r="A1551" s="2" t="s">
        <v>279</v>
      </c>
      <c r="B1551" s="2" t="s">
        <v>159</v>
      </c>
      <c r="C1551" s="2" t="s">
        <v>119</v>
      </c>
      <c r="D1551" s="2" t="s">
        <v>2867</v>
      </c>
      <c r="E1551" s="4" t="str">
        <f>HYPERLINK("./Results/DLO\2410\Osteo_Sarco_1.png","RPT")</f>
        <v>RPT</v>
      </c>
      <c r="F1551" s="2" t="s">
        <v>121</v>
      </c>
      <c r="G1551" s="6"/>
      <c r="I1551"/>
      <c r="J1551"/>
      <c r="K1551"/>
    </row>
    <row r="1552" spans="1:11" x14ac:dyDescent="0.3">
      <c r="A1552" s="2" t="s">
        <v>286</v>
      </c>
      <c r="B1552" s="2" t="s">
        <v>148</v>
      </c>
      <c r="C1552" s="2" t="s">
        <v>119</v>
      </c>
      <c r="D1552" s="2" t="s">
        <v>2859</v>
      </c>
      <c r="E1552" s="4" t="str">
        <f>HYPERLINK("./Results/DLO\2411\Osteo_Sarco_1.png","RPT")</f>
        <v>RPT</v>
      </c>
      <c r="F1552" s="2" t="s">
        <v>121</v>
      </c>
      <c r="G1552" s="6"/>
      <c r="H1552" s="1">
        <v>27.98</v>
      </c>
    </row>
    <row r="1553" spans="1:11" x14ac:dyDescent="0.3">
      <c r="A1553" s="2" t="s">
        <v>314</v>
      </c>
      <c r="B1553" s="2" t="s">
        <v>146</v>
      </c>
      <c r="C1553" s="2" t="s">
        <v>111</v>
      </c>
      <c r="D1553" s="2" t="s">
        <v>2859</v>
      </c>
      <c r="E1553" s="4" t="str">
        <f>HYPERLINK("./Results/DLO\2412\Osteo_Sarco_1.png","RPT")</f>
        <v>RPT</v>
      </c>
      <c r="F1553" s="2" t="s">
        <v>121</v>
      </c>
      <c r="G1553" s="6"/>
      <c r="H1553" s="1">
        <v>31.56</v>
      </c>
    </row>
    <row r="1554" spans="1:11" x14ac:dyDescent="0.3">
      <c r="A1554" s="2" t="s">
        <v>294</v>
      </c>
      <c r="B1554" s="2" t="s">
        <v>151</v>
      </c>
      <c r="C1554" s="2" t="s">
        <v>111</v>
      </c>
      <c r="D1554" s="2" t="s">
        <v>2859</v>
      </c>
      <c r="E1554" s="4" t="str">
        <f>HYPERLINK("./Results/DLO\2413\Osteo_Sarco_1.png","RPT")</f>
        <v>RPT</v>
      </c>
      <c r="F1554" s="2" t="s">
        <v>121</v>
      </c>
      <c r="G1554" s="6"/>
      <c r="I1554"/>
      <c r="J1554"/>
      <c r="K1554"/>
    </row>
    <row r="1555" spans="1:11" x14ac:dyDescent="0.3">
      <c r="A1555" s="2" t="s">
        <v>301</v>
      </c>
      <c r="B1555" s="2" t="s">
        <v>120</v>
      </c>
      <c r="C1555" s="2" t="s">
        <v>111</v>
      </c>
      <c r="D1555" s="2" t="s">
        <v>2859</v>
      </c>
      <c r="E1555" s="4" t="str">
        <f>HYPERLINK("./Results/DLO\2414\Osteo_Sarco_1.png","RPT")</f>
        <v>RPT</v>
      </c>
      <c r="F1555" s="2" t="s">
        <v>121</v>
      </c>
      <c r="G1555" s="6"/>
      <c r="I1555"/>
      <c r="J1555"/>
      <c r="K1555"/>
    </row>
    <row r="1556" spans="1:11" x14ac:dyDescent="0.3">
      <c r="A1556" s="2" t="s">
        <v>310</v>
      </c>
      <c r="B1556" s="2" t="s">
        <v>116</v>
      </c>
      <c r="C1556" s="2" t="s">
        <v>119</v>
      </c>
      <c r="D1556" s="2" t="s">
        <v>2859</v>
      </c>
      <c r="E1556" s="4" t="str">
        <f>HYPERLINK("./Results/DLO\2415\Osteo_Sarco_1.png","RPT")</f>
        <v>RPT</v>
      </c>
      <c r="F1556" s="2" t="s">
        <v>121</v>
      </c>
      <c r="G1556" s="6"/>
      <c r="I1556"/>
      <c r="J1556"/>
      <c r="K1556"/>
    </row>
    <row r="1557" spans="1:11" x14ac:dyDescent="0.3">
      <c r="A1557" s="2" t="s">
        <v>299</v>
      </c>
      <c r="B1557" s="2" t="s">
        <v>133</v>
      </c>
      <c r="C1557" s="2" t="s">
        <v>111</v>
      </c>
      <c r="D1557" s="2" t="s">
        <v>2859</v>
      </c>
      <c r="E1557" s="4" t="str">
        <f>HYPERLINK("./Results/DLO\2416\Osteo_Sarco_1.png","RPT")</f>
        <v>RPT</v>
      </c>
      <c r="F1557" s="2" t="s">
        <v>121</v>
      </c>
      <c r="G1557" s="6"/>
      <c r="H1557" s="1">
        <v>25.04</v>
      </c>
    </row>
    <row r="1558" spans="1:11" x14ac:dyDescent="0.3">
      <c r="A1558" s="2" t="s">
        <v>295</v>
      </c>
      <c r="B1558" s="2" t="s">
        <v>142</v>
      </c>
      <c r="C1558" s="2" t="s">
        <v>119</v>
      </c>
      <c r="D1558" s="2" t="s">
        <v>2859</v>
      </c>
      <c r="E1558" s="4" t="str">
        <f>HYPERLINK("./Results/DLO\2417\Osteo_Sarco_1.png","RPT")</f>
        <v>RPT</v>
      </c>
      <c r="F1558" s="2" t="s">
        <v>121</v>
      </c>
      <c r="G1558" s="6"/>
      <c r="I1558"/>
      <c r="J1558"/>
      <c r="K1558"/>
    </row>
    <row r="1559" spans="1:11" x14ac:dyDescent="0.3">
      <c r="A1559" s="2" t="s">
        <v>300</v>
      </c>
      <c r="B1559" s="2" t="s">
        <v>142</v>
      </c>
      <c r="C1559" s="2" t="s">
        <v>119</v>
      </c>
      <c r="D1559" s="2" t="s">
        <v>2859</v>
      </c>
      <c r="E1559" s="4" t="str">
        <f>HYPERLINK("./Results/DLO\2418\Osteo_Sarco_1.png","RPT")</f>
        <v>RPT</v>
      </c>
      <c r="F1559" s="2" t="s">
        <v>121</v>
      </c>
      <c r="G1559" s="6"/>
      <c r="I1559"/>
      <c r="J1559"/>
      <c r="K1559"/>
    </row>
    <row r="1560" spans="1:11" x14ac:dyDescent="0.3">
      <c r="A1560" s="2" t="s">
        <v>304</v>
      </c>
      <c r="B1560" s="2" t="s">
        <v>135</v>
      </c>
      <c r="C1560" s="2" t="s">
        <v>111</v>
      </c>
      <c r="D1560" s="2" t="s">
        <v>2859</v>
      </c>
      <c r="E1560" s="4" t="str">
        <f>HYPERLINK("./Results/DLO\2419\Osteo_Sarco_1.png","RPT")</f>
        <v>RPT</v>
      </c>
      <c r="F1560" s="2" t="s">
        <v>121</v>
      </c>
      <c r="G1560" s="6"/>
      <c r="H1560" s="1">
        <v>22.66</v>
      </c>
    </row>
    <row r="1561" spans="1:11" x14ac:dyDescent="0.3">
      <c r="A1561" s="2" t="s">
        <v>311</v>
      </c>
      <c r="B1561" s="2" t="s">
        <v>137</v>
      </c>
      <c r="C1561" s="2" t="s">
        <v>111</v>
      </c>
      <c r="D1561" s="2" t="s">
        <v>2859</v>
      </c>
      <c r="E1561" s="4" t="str">
        <f>HYPERLINK("./Results/DLO\242\Osteo_Sarco_1.png","RPT")</f>
        <v>RPT</v>
      </c>
      <c r="F1561" s="2" t="s">
        <v>121</v>
      </c>
      <c r="G1561" s="6"/>
      <c r="I1561"/>
      <c r="J1561"/>
      <c r="K1561"/>
    </row>
    <row r="1562" spans="1:11" x14ac:dyDescent="0.3">
      <c r="A1562" s="2" t="s">
        <v>306</v>
      </c>
      <c r="B1562" s="2" t="s">
        <v>167</v>
      </c>
      <c r="C1562" s="2" t="s">
        <v>111</v>
      </c>
      <c r="D1562" s="2" t="s">
        <v>1935</v>
      </c>
      <c r="E1562" s="4" t="str">
        <f>HYPERLINK("./Results/DLO\2420\Osteo_Sarco_1.png","RPT")</f>
        <v>RPT</v>
      </c>
      <c r="F1562" s="2" t="s">
        <v>121</v>
      </c>
      <c r="G1562" s="6"/>
      <c r="I1562"/>
      <c r="J1562"/>
      <c r="K1562"/>
    </row>
    <row r="1563" spans="1:11" x14ac:dyDescent="0.3">
      <c r="A1563" s="2" t="s">
        <v>313</v>
      </c>
      <c r="B1563" s="2" t="s">
        <v>133</v>
      </c>
      <c r="C1563" s="2" t="s">
        <v>111</v>
      </c>
      <c r="D1563" s="2" t="s">
        <v>2859</v>
      </c>
      <c r="E1563" s="4" t="str">
        <f>HYPERLINK("./Results/DLO\2421\Osteo_Sarco_1.png","RPT")</f>
        <v>RPT</v>
      </c>
      <c r="F1563" s="2" t="s">
        <v>121</v>
      </c>
      <c r="G1563" s="6"/>
      <c r="I1563"/>
      <c r="J1563"/>
      <c r="K1563"/>
    </row>
    <row r="1564" spans="1:11" x14ac:dyDescent="0.3">
      <c r="A1564" s="2" t="s">
        <v>302</v>
      </c>
      <c r="B1564" s="2" t="s">
        <v>120</v>
      </c>
      <c r="C1564" s="2" t="s">
        <v>111</v>
      </c>
      <c r="D1564" s="2" t="s">
        <v>2867</v>
      </c>
      <c r="E1564" s="4" t="str">
        <f>HYPERLINK("./Results/DLO\2422\Osteo_Sarco_1.png","RPT")</f>
        <v>RPT</v>
      </c>
      <c r="F1564" s="2" t="s">
        <v>121</v>
      </c>
      <c r="G1564" s="6"/>
      <c r="I1564"/>
      <c r="J1564"/>
      <c r="K1564"/>
    </row>
    <row r="1565" spans="1:11" x14ac:dyDescent="0.3">
      <c r="A1565" s="2" t="s">
        <v>298</v>
      </c>
      <c r="B1565" s="2" t="s">
        <v>116</v>
      </c>
      <c r="C1565" s="2" t="s">
        <v>119</v>
      </c>
      <c r="D1565" s="2" t="s">
        <v>2859</v>
      </c>
      <c r="E1565" s="4" t="str">
        <f>HYPERLINK("./Results/DLO\2423\Osteo_Sarco_1.png","RPT")</f>
        <v>RPT</v>
      </c>
      <c r="F1565" s="2" t="s">
        <v>121</v>
      </c>
      <c r="G1565" s="6"/>
      <c r="I1565"/>
      <c r="J1565"/>
      <c r="K1565"/>
    </row>
    <row r="1566" spans="1:11" x14ac:dyDescent="0.3">
      <c r="A1566" s="2" t="s">
        <v>305</v>
      </c>
      <c r="B1566" s="2" t="s">
        <v>114</v>
      </c>
      <c r="C1566" s="2" t="s">
        <v>111</v>
      </c>
      <c r="D1566" s="2" t="s">
        <v>2867</v>
      </c>
      <c r="E1566" s="4" t="str">
        <f>HYPERLINK("./Results/DLO\2424\Osteo_Sarco_1.png","RPT")</f>
        <v>RPT</v>
      </c>
      <c r="F1566" s="2" t="s">
        <v>121</v>
      </c>
      <c r="G1566" s="6"/>
      <c r="H1566" s="1">
        <v>27.05</v>
      </c>
    </row>
    <row r="1567" spans="1:11" x14ac:dyDescent="0.3">
      <c r="A1567" s="2" t="s">
        <v>296</v>
      </c>
      <c r="B1567" s="2" t="s">
        <v>126</v>
      </c>
      <c r="C1567" s="2" t="s">
        <v>111</v>
      </c>
      <c r="D1567" s="2" t="s">
        <v>2859</v>
      </c>
      <c r="E1567" s="4" t="str">
        <f>HYPERLINK("./Results/DLO\2425\Osteo_Sarco_1.png","RPT")</f>
        <v>RPT</v>
      </c>
      <c r="F1567" s="2" t="s">
        <v>121</v>
      </c>
      <c r="G1567" s="6"/>
      <c r="I1567"/>
      <c r="J1567"/>
      <c r="K1567"/>
    </row>
    <row r="1568" spans="1:11" x14ac:dyDescent="0.3">
      <c r="A1568" s="2" t="s">
        <v>303</v>
      </c>
      <c r="B1568" s="2" t="s">
        <v>151</v>
      </c>
      <c r="C1568" s="2" t="s">
        <v>111</v>
      </c>
      <c r="D1568" s="2" t="s">
        <v>2859</v>
      </c>
      <c r="E1568" s="4" t="str">
        <f>HYPERLINK("./Results/DLO\2426\Osteo_Sarco_1.png","RPT")</f>
        <v>RPT</v>
      </c>
      <c r="F1568" s="2" t="s">
        <v>121</v>
      </c>
      <c r="G1568" s="6"/>
      <c r="I1568"/>
      <c r="J1568"/>
      <c r="K1568"/>
    </row>
    <row r="1569" spans="1:11" x14ac:dyDescent="0.3">
      <c r="A1569" s="2" t="s">
        <v>297</v>
      </c>
      <c r="B1569" s="2" t="s">
        <v>139</v>
      </c>
      <c r="C1569" s="2" t="s">
        <v>119</v>
      </c>
      <c r="D1569" s="2" t="s">
        <v>2859</v>
      </c>
      <c r="E1569" s="4" t="str">
        <f>HYPERLINK("./Results/DLO\2427\Osteo_Sarco_1.png","RPT")</f>
        <v>RPT</v>
      </c>
      <c r="F1569" s="2" t="s">
        <v>121</v>
      </c>
      <c r="G1569" s="6"/>
      <c r="I1569"/>
      <c r="J1569"/>
      <c r="K1569"/>
    </row>
    <row r="1570" spans="1:11" x14ac:dyDescent="0.3">
      <c r="A1570" s="2" t="s">
        <v>307</v>
      </c>
      <c r="B1570" s="2" t="s">
        <v>146</v>
      </c>
      <c r="C1570" s="2" t="s">
        <v>111</v>
      </c>
      <c r="D1570" s="2" t="s">
        <v>2859</v>
      </c>
      <c r="E1570" s="4" t="str">
        <f>HYPERLINK("./Results/DLO\2428\Osteo_Sarco_1.png","RPT")</f>
        <v>RPT</v>
      </c>
      <c r="F1570" s="2" t="s">
        <v>121</v>
      </c>
      <c r="G1570" s="6"/>
      <c r="I1570"/>
      <c r="J1570"/>
      <c r="K1570"/>
    </row>
    <row r="1571" spans="1:11" x14ac:dyDescent="0.3">
      <c r="A1571" s="2" t="s">
        <v>308</v>
      </c>
      <c r="B1571" s="2" t="s">
        <v>168</v>
      </c>
      <c r="C1571" s="2" t="s">
        <v>111</v>
      </c>
      <c r="D1571" s="2" t="s">
        <v>2859</v>
      </c>
      <c r="E1571" s="4" t="str">
        <f>HYPERLINK("./Results/DLO\2429\Osteo_Sarco_1.png","RPT")</f>
        <v>RPT</v>
      </c>
      <c r="F1571" s="2" t="s">
        <v>121</v>
      </c>
      <c r="G1571" s="6"/>
      <c r="I1571"/>
      <c r="J1571"/>
      <c r="K1571"/>
    </row>
    <row r="1572" spans="1:11" x14ac:dyDescent="0.3">
      <c r="A1572" s="2" t="s">
        <v>312</v>
      </c>
      <c r="B1572" s="2" t="s">
        <v>164</v>
      </c>
      <c r="C1572" s="2" t="s">
        <v>119</v>
      </c>
      <c r="D1572" s="2" t="s">
        <v>2859</v>
      </c>
      <c r="E1572" s="4" t="str">
        <f>HYPERLINK("./Results/DLO\243\Osteo_Sarco_1.png","RPT")</f>
        <v>RPT</v>
      </c>
      <c r="F1572" s="2" t="s">
        <v>121</v>
      </c>
      <c r="G1572" s="6"/>
      <c r="H1572" s="1">
        <v>24.17</v>
      </c>
    </row>
    <row r="1573" spans="1:11" x14ac:dyDescent="0.3">
      <c r="A1573" s="2" t="s">
        <v>309</v>
      </c>
      <c r="B1573" s="2" t="s">
        <v>113</v>
      </c>
      <c r="C1573" s="2" t="s">
        <v>111</v>
      </c>
      <c r="D1573" s="2" t="s">
        <v>2867</v>
      </c>
      <c r="E1573" s="4" t="str">
        <f>HYPERLINK("./Results/DLO\2430\Osteo_Sarco_1.png","RPT")</f>
        <v>RPT</v>
      </c>
      <c r="F1573" s="2" t="s">
        <v>121</v>
      </c>
      <c r="G1573" s="6"/>
      <c r="H1573" s="1">
        <v>23.1</v>
      </c>
    </row>
    <row r="1574" spans="1:11" x14ac:dyDescent="0.3">
      <c r="A1574" s="2" t="s">
        <v>689</v>
      </c>
      <c r="B1574" s="2" t="s">
        <v>143</v>
      </c>
      <c r="C1574" s="2" t="s">
        <v>111</v>
      </c>
      <c r="D1574" s="2" t="s">
        <v>2859</v>
      </c>
      <c r="E1574" s="4" t="str">
        <f>HYPERLINK("./Results/DLO\2431\Osteo_Sarco_1.png","RPT")</f>
        <v>RPT</v>
      </c>
      <c r="F1574" s="2" t="s">
        <v>121</v>
      </c>
      <c r="G1574" s="6"/>
      <c r="H1574" s="1">
        <v>25.14</v>
      </c>
    </row>
    <row r="1575" spans="1:11" x14ac:dyDescent="0.3">
      <c r="A1575" s="2" t="s">
        <v>2960</v>
      </c>
      <c r="B1575" s="2" t="s">
        <v>146</v>
      </c>
      <c r="C1575" s="2" t="s">
        <v>111</v>
      </c>
      <c r="D1575" s="2" t="s">
        <v>2859</v>
      </c>
      <c r="E1575" s="4" t="str">
        <f>HYPERLINK("./Results/DLO\2432\Osteo_Sarco_1.png","RPT")</f>
        <v>RPT</v>
      </c>
      <c r="F1575" s="2" t="s">
        <v>121</v>
      </c>
      <c r="G1575" s="6"/>
      <c r="I1575"/>
      <c r="J1575"/>
      <c r="K1575"/>
    </row>
    <row r="1576" spans="1:11" x14ac:dyDescent="0.3">
      <c r="A1576" s="2" t="s">
        <v>2968</v>
      </c>
      <c r="B1576" s="2" t="s">
        <v>163</v>
      </c>
      <c r="C1576" s="2" t="s">
        <v>111</v>
      </c>
      <c r="D1576" s="2" t="s">
        <v>2859</v>
      </c>
      <c r="E1576" s="4" t="str">
        <f>HYPERLINK("./Results/DLO\2433\Osteo_Sarco_1.png","RPT")</f>
        <v>RPT</v>
      </c>
      <c r="F1576" s="2" t="s">
        <v>121</v>
      </c>
      <c r="G1576" s="6"/>
      <c r="I1576"/>
      <c r="J1576"/>
      <c r="K1576"/>
    </row>
    <row r="1577" spans="1:11" x14ac:dyDescent="0.3">
      <c r="A1577" s="2" t="s">
        <v>2972</v>
      </c>
      <c r="B1577" s="2" t="s">
        <v>141</v>
      </c>
      <c r="C1577" s="2" t="s">
        <v>111</v>
      </c>
      <c r="D1577" s="2" t="s">
        <v>2867</v>
      </c>
      <c r="E1577" s="4" t="str">
        <f>HYPERLINK("./Results/DLO\2434\Osteo_Sarco_1.png","RPT")</f>
        <v>RPT</v>
      </c>
      <c r="F1577" s="2" t="s">
        <v>121</v>
      </c>
      <c r="G1577" s="6"/>
      <c r="I1577"/>
      <c r="J1577"/>
      <c r="K1577"/>
    </row>
    <row r="1578" spans="1:11" x14ac:dyDescent="0.3">
      <c r="A1578" s="2" t="s">
        <v>2973</v>
      </c>
      <c r="B1578" s="2" t="s">
        <v>166</v>
      </c>
      <c r="C1578" s="2" t="s">
        <v>111</v>
      </c>
      <c r="D1578" s="2" t="s">
        <v>1960</v>
      </c>
      <c r="E1578" s="4" t="str">
        <f>HYPERLINK("./Results/DLO\2435\Osteo_Sarco_1.png","RPT")</f>
        <v>RPT</v>
      </c>
      <c r="F1578" s="2" t="s">
        <v>121</v>
      </c>
      <c r="G1578" s="6"/>
      <c r="I1578"/>
      <c r="J1578"/>
      <c r="K1578"/>
    </row>
    <row r="1579" spans="1:11" x14ac:dyDescent="0.3">
      <c r="A1579" s="2" t="s">
        <v>2978</v>
      </c>
      <c r="B1579" s="2" t="s">
        <v>164</v>
      </c>
      <c r="C1579" s="2" t="s">
        <v>111</v>
      </c>
      <c r="D1579" s="2" t="s">
        <v>2859</v>
      </c>
      <c r="E1579" s="4" t="str">
        <f>HYPERLINK("./Results/DLO\2436\Osteo_Sarco_1.png","RPT")</f>
        <v>RPT</v>
      </c>
      <c r="F1579" s="2" t="s">
        <v>121</v>
      </c>
      <c r="G1579" s="6"/>
      <c r="I1579"/>
      <c r="J1579"/>
      <c r="K1579"/>
    </row>
    <row r="1580" spans="1:11" x14ac:dyDescent="0.3">
      <c r="A1580" s="2" t="s">
        <v>2964</v>
      </c>
      <c r="B1580" s="2" t="s">
        <v>163</v>
      </c>
      <c r="C1580" s="2" t="s">
        <v>119</v>
      </c>
      <c r="D1580" s="2" t="s">
        <v>2859</v>
      </c>
      <c r="E1580" s="4" t="str">
        <f>HYPERLINK("./Results/DLO\2437\Osteo_Sarco_1.png","RPT")</f>
        <v>RPT</v>
      </c>
      <c r="F1580" s="2" t="s">
        <v>121</v>
      </c>
      <c r="G1580" s="6"/>
      <c r="I1580"/>
      <c r="J1580"/>
      <c r="K1580"/>
    </row>
    <row r="1581" spans="1:11" x14ac:dyDescent="0.3">
      <c r="A1581" s="2" t="s">
        <v>2957</v>
      </c>
      <c r="B1581" s="2" t="s">
        <v>587</v>
      </c>
      <c r="C1581" s="2" t="s">
        <v>111</v>
      </c>
      <c r="D1581" s="2" t="s">
        <v>2859</v>
      </c>
      <c r="E1581" s="4" t="str">
        <f>HYPERLINK("./Results/DLO\2438\Osteo_Sarco_1.png","RPT")</f>
        <v>RPT</v>
      </c>
      <c r="F1581" s="2" t="s">
        <v>121</v>
      </c>
      <c r="G1581" s="6"/>
      <c r="I1581"/>
      <c r="J1581"/>
      <c r="K1581"/>
    </row>
    <row r="1582" spans="1:11" x14ac:dyDescent="0.3">
      <c r="A1582" s="2" t="s">
        <v>2958</v>
      </c>
      <c r="B1582" s="2" t="s">
        <v>120</v>
      </c>
      <c r="C1582" s="2" t="s">
        <v>111</v>
      </c>
      <c r="D1582" s="2" t="s">
        <v>2859</v>
      </c>
      <c r="E1582" s="4" t="str">
        <f>HYPERLINK("./Results/DLO\2439\Osteo_Sarco_1.png","RPT")</f>
        <v>RPT</v>
      </c>
      <c r="F1582" s="2" t="s">
        <v>121</v>
      </c>
      <c r="G1582" s="6"/>
      <c r="I1582"/>
      <c r="J1582"/>
      <c r="K1582"/>
    </row>
    <row r="1583" spans="1:11" x14ac:dyDescent="0.3">
      <c r="A1583" s="2" t="s">
        <v>2976</v>
      </c>
      <c r="B1583" s="2" t="s">
        <v>157</v>
      </c>
      <c r="C1583" s="2" t="s">
        <v>119</v>
      </c>
      <c r="D1583" s="2" t="s">
        <v>2859</v>
      </c>
      <c r="E1583" s="4" t="str">
        <f>HYPERLINK("./Results/DLO\244\Osteo_Sarco_1.png","RPT")</f>
        <v>RPT</v>
      </c>
      <c r="F1583" s="2" t="s">
        <v>121</v>
      </c>
      <c r="G1583" s="6"/>
      <c r="I1583"/>
      <c r="J1583"/>
      <c r="K1583"/>
    </row>
    <row r="1584" spans="1:11" x14ac:dyDescent="0.3">
      <c r="A1584" s="2" t="s">
        <v>2974</v>
      </c>
      <c r="B1584" s="2" t="s">
        <v>139</v>
      </c>
      <c r="C1584" s="2" t="s">
        <v>119</v>
      </c>
      <c r="D1584" s="2" t="s">
        <v>2859</v>
      </c>
      <c r="E1584" s="4" t="str">
        <f>HYPERLINK("./Results/DLO\2440\Osteo_Sarco_1.png","RPT")</f>
        <v>RPT</v>
      </c>
      <c r="F1584" s="2" t="s">
        <v>121</v>
      </c>
      <c r="G1584" s="6"/>
      <c r="I1584"/>
      <c r="J1584"/>
      <c r="K1584"/>
    </row>
    <row r="1585" spans="1:11" x14ac:dyDescent="0.3">
      <c r="A1585" s="2" t="s">
        <v>2975</v>
      </c>
      <c r="B1585" s="2" t="s">
        <v>137</v>
      </c>
      <c r="C1585" s="2" t="s">
        <v>111</v>
      </c>
      <c r="D1585" s="2" t="s">
        <v>2867</v>
      </c>
      <c r="E1585" s="4" t="str">
        <f>HYPERLINK("./Results/DLO\2441\Osteo_Sarco_1.png","RPT")</f>
        <v>RPT</v>
      </c>
      <c r="F1585" s="2" t="s">
        <v>121</v>
      </c>
      <c r="G1585" s="6"/>
      <c r="I1585"/>
      <c r="J1585"/>
      <c r="K1585"/>
    </row>
    <row r="1586" spans="1:11" x14ac:dyDescent="0.3">
      <c r="A1586" s="2" t="s">
        <v>2954</v>
      </c>
      <c r="B1586" s="2" t="s">
        <v>114</v>
      </c>
      <c r="C1586" s="2" t="s">
        <v>119</v>
      </c>
      <c r="D1586" s="2" t="s">
        <v>2859</v>
      </c>
      <c r="E1586" s="4" t="str">
        <f>HYPERLINK("./Results/DLO\2442\Osteo_Sarco_1.png","RPT")</f>
        <v>RPT</v>
      </c>
      <c r="F1586" s="2" t="s">
        <v>121</v>
      </c>
      <c r="G1586" s="6"/>
      <c r="I1586"/>
      <c r="J1586"/>
      <c r="K1586"/>
    </row>
    <row r="1587" spans="1:11" x14ac:dyDescent="0.3">
      <c r="A1587" s="2" t="s">
        <v>2959</v>
      </c>
      <c r="B1587" s="2" t="s">
        <v>167</v>
      </c>
      <c r="C1587" s="2" t="s">
        <v>119</v>
      </c>
      <c r="D1587" s="2" t="s">
        <v>2859</v>
      </c>
      <c r="E1587" s="4" t="str">
        <f>HYPERLINK("./Results/DLO\2443\Osteo_Sarco_1.png","RPT")</f>
        <v>RPT</v>
      </c>
      <c r="F1587" s="2" t="s">
        <v>121</v>
      </c>
      <c r="G1587" s="6"/>
      <c r="I1587"/>
      <c r="J1587"/>
      <c r="K1587"/>
    </row>
    <row r="1588" spans="1:11" x14ac:dyDescent="0.3">
      <c r="A1588" s="2" t="s">
        <v>2962</v>
      </c>
      <c r="B1588" s="2" t="s">
        <v>163</v>
      </c>
      <c r="C1588" s="2" t="s">
        <v>111</v>
      </c>
      <c r="D1588" s="2" t="s">
        <v>2859</v>
      </c>
      <c r="E1588" s="4" t="str">
        <f>HYPERLINK("./Results/DLO\2444\Osteo_Sarco_1.png","RPT")</f>
        <v>RPT</v>
      </c>
      <c r="F1588" s="2" t="s">
        <v>121</v>
      </c>
      <c r="G1588" s="6"/>
      <c r="I1588"/>
      <c r="J1588"/>
      <c r="K1588"/>
    </row>
    <row r="1589" spans="1:11" x14ac:dyDescent="0.3">
      <c r="A1589" s="2" t="s">
        <v>2977</v>
      </c>
      <c r="B1589" s="2" t="s">
        <v>138</v>
      </c>
      <c r="C1589" s="2" t="s">
        <v>119</v>
      </c>
      <c r="D1589" s="2" t="s">
        <v>2867</v>
      </c>
      <c r="E1589" s="4" t="str">
        <f>HYPERLINK("./Results/DLO\2445\Osteo_Sarco_1.png","RPT")</f>
        <v>RPT</v>
      </c>
      <c r="F1589" s="2" t="s">
        <v>121</v>
      </c>
      <c r="G1589" s="6"/>
      <c r="I1589"/>
      <c r="J1589"/>
      <c r="K1589"/>
    </row>
    <row r="1590" spans="1:11" x14ac:dyDescent="0.3">
      <c r="A1590" s="2" t="s">
        <v>2956</v>
      </c>
      <c r="B1590" s="2" t="s">
        <v>130</v>
      </c>
      <c r="C1590" s="2" t="s">
        <v>119</v>
      </c>
      <c r="D1590" s="2" t="s">
        <v>2859</v>
      </c>
      <c r="E1590" s="4" t="str">
        <f>HYPERLINK("./Results/DLO\2447\Osteo_Sarco_1.png","RPT")</f>
        <v>RPT</v>
      </c>
      <c r="F1590" s="2" t="s">
        <v>121</v>
      </c>
      <c r="G1590" s="6"/>
      <c r="H1590" s="1">
        <v>21.13</v>
      </c>
    </row>
    <row r="1591" spans="1:11" x14ac:dyDescent="0.3">
      <c r="A1591" s="2" t="s">
        <v>2963</v>
      </c>
      <c r="B1591" s="2" t="s">
        <v>157</v>
      </c>
      <c r="C1591" s="2" t="s">
        <v>119</v>
      </c>
      <c r="D1591" s="2" t="s">
        <v>2859</v>
      </c>
      <c r="E1591" s="4" t="str">
        <f>HYPERLINK("./Results/DLO\2448\Osteo_Sarco_1.png","RPT")</f>
        <v>RPT</v>
      </c>
      <c r="F1591" s="2" t="s">
        <v>121</v>
      </c>
      <c r="G1591" s="6"/>
      <c r="I1591"/>
      <c r="J1591"/>
      <c r="K1591"/>
    </row>
    <row r="1592" spans="1:11" x14ac:dyDescent="0.3">
      <c r="A1592" s="2" t="s">
        <v>2965</v>
      </c>
      <c r="B1592" s="2" t="s">
        <v>159</v>
      </c>
      <c r="C1592" s="2" t="s">
        <v>119</v>
      </c>
      <c r="D1592" s="2" t="s">
        <v>2859</v>
      </c>
      <c r="E1592" s="4" t="str">
        <f>HYPERLINK("./Results/DLO\2449\Osteo_Sarco_1.png","RPT")</f>
        <v>RPT</v>
      </c>
      <c r="F1592" s="2" t="s">
        <v>121</v>
      </c>
      <c r="G1592" s="6"/>
      <c r="I1592"/>
      <c r="J1592"/>
      <c r="K1592"/>
    </row>
    <row r="1593" spans="1:11" x14ac:dyDescent="0.3">
      <c r="A1593" s="2" t="s">
        <v>2955</v>
      </c>
      <c r="B1593" s="2" t="s">
        <v>576</v>
      </c>
      <c r="C1593" s="2" t="s">
        <v>119</v>
      </c>
      <c r="D1593" s="2" t="s">
        <v>575</v>
      </c>
      <c r="E1593" s="4" t="str">
        <f>HYPERLINK("./Results/DLO\245\Osteo_Sarco_1.png","RPT")</f>
        <v>RPT</v>
      </c>
      <c r="F1593" s="2" t="s">
        <v>121</v>
      </c>
      <c r="G1593" s="6"/>
      <c r="I1593"/>
      <c r="J1593"/>
      <c r="K1593"/>
    </row>
    <row r="1594" spans="1:11" x14ac:dyDescent="0.3">
      <c r="A1594" s="2" t="s">
        <v>2961</v>
      </c>
      <c r="B1594" s="2" t="s">
        <v>131</v>
      </c>
      <c r="C1594" s="2" t="s">
        <v>119</v>
      </c>
      <c r="D1594" s="2" t="s">
        <v>2859</v>
      </c>
      <c r="E1594" s="4" t="str">
        <f>HYPERLINK("./Results/DLO\2450\Osteo_Sarco_1.png","RPT")</f>
        <v>RPT</v>
      </c>
      <c r="F1594" s="2" t="s">
        <v>121</v>
      </c>
      <c r="G1594" s="6"/>
      <c r="I1594"/>
      <c r="J1594"/>
      <c r="K1594"/>
    </row>
    <row r="1595" spans="1:11" x14ac:dyDescent="0.3">
      <c r="A1595" s="2" t="s">
        <v>2966</v>
      </c>
      <c r="B1595" s="2" t="s">
        <v>140</v>
      </c>
      <c r="C1595" s="2" t="s">
        <v>119</v>
      </c>
      <c r="D1595" s="2" t="s">
        <v>2859</v>
      </c>
      <c r="E1595" s="4" t="str">
        <f>HYPERLINK("./Results/DLO\2451\Osteo_Sarco_1.png","RPT")</f>
        <v>RPT</v>
      </c>
      <c r="F1595" s="2" t="s">
        <v>121</v>
      </c>
      <c r="G1595" s="6"/>
      <c r="I1595"/>
      <c r="J1595"/>
      <c r="K1595"/>
    </row>
    <row r="1596" spans="1:11" x14ac:dyDescent="0.3">
      <c r="A1596" s="2" t="s">
        <v>2967</v>
      </c>
      <c r="B1596" s="2" t="s">
        <v>142</v>
      </c>
      <c r="C1596" s="2" t="s">
        <v>119</v>
      </c>
      <c r="D1596" s="2" t="s">
        <v>2859</v>
      </c>
      <c r="E1596" s="4" t="str">
        <f>HYPERLINK("./Results/DLO\2453\Osteo_Sarco_1.png","RPT")</f>
        <v>RPT</v>
      </c>
      <c r="F1596" s="2" t="s">
        <v>121</v>
      </c>
      <c r="G1596" s="6"/>
      <c r="I1596"/>
      <c r="J1596"/>
      <c r="K1596"/>
    </row>
    <row r="1597" spans="1:11" x14ac:dyDescent="0.3">
      <c r="A1597" s="2" t="s">
        <v>2970</v>
      </c>
      <c r="B1597" s="2" t="s">
        <v>161</v>
      </c>
      <c r="C1597" s="2" t="s">
        <v>119</v>
      </c>
      <c r="D1597" s="2" t="s">
        <v>2859</v>
      </c>
      <c r="E1597" s="4" t="str">
        <f>HYPERLINK("./Results/DLO\2454\Osteo_Sarco_1.png","RPT")</f>
        <v>RPT</v>
      </c>
      <c r="F1597" s="2" t="s">
        <v>121</v>
      </c>
      <c r="G1597" s="6"/>
      <c r="I1597"/>
      <c r="J1597"/>
      <c r="K1597"/>
    </row>
    <row r="1598" spans="1:11" x14ac:dyDescent="0.3">
      <c r="A1598" s="2" t="s">
        <v>2971</v>
      </c>
      <c r="B1598" s="2" t="s">
        <v>144</v>
      </c>
      <c r="C1598" s="2" t="s">
        <v>111</v>
      </c>
      <c r="D1598" s="2" t="s">
        <v>2859</v>
      </c>
      <c r="E1598" s="4" t="str">
        <f>HYPERLINK("./Results/DLO\2455\Osteo_Sarco_1.png","RPT")</f>
        <v>RPT</v>
      </c>
      <c r="F1598" s="2" t="s">
        <v>121</v>
      </c>
      <c r="G1598" s="6"/>
      <c r="H1598" s="1">
        <v>29.32</v>
      </c>
    </row>
    <row r="1599" spans="1:11" x14ac:dyDescent="0.3">
      <c r="A1599" s="2" t="s">
        <v>2981</v>
      </c>
      <c r="B1599" s="2" t="s">
        <v>137</v>
      </c>
      <c r="C1599" s="2" t="s">
        <v>119</v>
      </c>
      <c r="D1599" s="2" t="s">
        <v>2859</v>
      </c>
      <c r="E1599" s="4" t="str">
        <f>HYPERLINK("./Results/DLO\2456\Osteo_Sarco_1.png","RPT")</f>
        <v>RPT</v>
      </c>
      <c r="F1599" s="2" t="s">
        <v>121</v>
      </c>
      <c r="G1599" s="6"/>
      <c r="I1599"/>
      <c r="J1599"/>
      <c r="K1599"/>
    </row>
    <row r="1600" spans="1:11" x14ac:dyDescent="0.3">
      <c r="A1600" s="2" t="s">
        <v>2980</v>
      </c>
      <c r="B1600" s="2" t="s">
        <v>136</v>
      </c>
      <c r="C1600" s="2" t="s">
        <v>111</v>
      </c>
      <c r="D1600" s="2" t="s">
        <v>2859</v>
      </c>
      <c r="E1600" s="4" t="str">
        <f>HYPERLINK("./Results/DLO\2457\Osteo_Sarco_1.png","RPT")</f>
        <v>RPT</v>
      </c>
      <c r="F1600" s="2" t="s">
        <v>121</v>
      </c>
      <c r="G1600" s="6"/>
      <c r="I1600"/>
      <c r="J1600"/>
      <c r="K1600"/>
    </row>
    <row r="1601" spans="1:11" x14ac:dyDescent="0.3">
      <c r="A1601" s="2" t="s">
        <v>2982</v>
      </c>
      <c r="B1601" s="2" t="s">
        <v>131</v>
      </c>
      <c r="C1601" s="2" t="s">
        <v>111</v>
      </c>
      <c r="D1601" s="2" t="s">
        <v>2859</v>
      </c>
      <c r="E1601" s="4" t="str">
        <f>HYPERLINK("./Results/DLO\2458\Osteo_Sarco_1.png","RPT")</f>
        <v>RPT</v>
      </c>
      <c r="F1601" s="2" t="s">
        <v>121</v>
      </c>
      <c r="G1601" s="6"/>
      <c r="I1601"/>
      <c r="J1601"/>
      <c r="K1601"/>
    </row>
    <row r="1602" spans="1:11" x14ac:dyDescent="0.3">
      <c r="A1602" s="2" t="s">
        <v>2984</v>
      </c>
      <c r="B1602" s="2" t="s">
        <v>157</v>
      </c>
      <c r="C1602" s="2" t="s">
        <v>119</v>
      </c>
      <c r="D1602" s="2" t="s">
        <v>2859</v>
      </c>
      <c r="E1602" s="4" t="str">
        <f>HYPERLINK("./Results/DLO\2459\Osteo_Sarco_1.png","RPT")</f>
        <v>RPT</v>
      </c>
      <c r="F1602" s="2" t="s">
        <v>121</v>
      </c>
      <c r="G1602" s="6"/>
      <c r="I1602"/>
      <c r="J1602"/>
      <c r="K1602"/>
    </row>
    <row r="1603" spans="1:11" x14ac:dyDescent="0.3">
      <c r="A1603" s="2" t="s">
        <v>2979</v>
      </c>
      <c r="B1603" s="2" t="s">
        <v>146</v>
      </c>
      <c r="C1603" s="2" t="s">
        <v>119</v>
      </c>
      <c r="D1603" s="2" t="s">
        <v>2859</v>
      </c>
      <c r="E1603" s="4" t="str">
        <f>HYPERLINK("./Results/DLO\246\Osteo_Sarco_1.png","RPT")</f>
        <v>RPT</v>
      </c>
      <c r="F1603" s="2" t="s">
        <v>121</v>
      </c>
      <c r="G1603" s="6"/>
      <c r="H1603" s="1">
        <v>21.46</v>
      </c>
    </row>
    <row r="1604" spans="1:11" x14ac:dyDescent="0.3">
      <c r="A1604" s="2" t="s">
        <v>2985</v>
      </c>
      <c r="B1604" s="2" t="s">
        <v>165</v>
      </c>
      <c r="C1604" s="2" t="s">
        <v>111</v>
      </c>
      <c r="D1604" s="2" t="s">
        <v>2859</v>
      </c>
      <c r="E1604" s="4" t="str">
        <f>HYPERLINK("./Results/DLO\2460\Osteo_Sarco_1.png","RPT")</f>
        <v>RPT</v>
      </c>
      <c r="F1604" s="2" t="s">
        <v>121</v>
      </c>
      <c r="G1604" s="6"/>
      <c r="H1604" s="1">
        <v>23.8</v>
      </c>
    </row>
    <row r="1605" spans="1:11" x14ac:dyDescent="0.3">
      <c r="A1605" s="2" t="s">
        <v>2995</v>
      </c>
      <c r="B1605" s="2" t="s">
        <v>114</v>
      </c>
      <c r="C1605" s="2" t="s">
        <v>119</v>
      </c>
      <c r="D1605" s="2" t="s">
        <v>2859</v>
      </c>
      <c r="E1605" s="4" t="str">
        <f>HYPERLINK("./Results/DLO\2461\Osteo_Sarco_1.png","RPT")</f>
        <v>RPT</v>
      </c>
      <c r="F1605" s="2" t="s">
        <v>121</v>
      </c>
      <c r="G1605" s="6"/>
      <c r="H1605" s="1">
        <v>24.89</v>
      </c>
    </row>
    <row r="1606" spans="1:11" x14ac:dyDescent="0.3">
      <c r="A1606" s="2" t="s">
        <v>2996</v>
      </c>
      <c r="B1606" s="2" t="s">
        <v>127</v>
      </c>
      <c r="C1606" s="2" t="s">
        <v>119</v>
      </c>
      <c r="D1606" s="2" t="s">
        <v>2859</v>
      </c>
      <c r="E1606" s="4" t="str">
        <f>HYPERLINK("./Results/DLO\2462\Osteo_Sarco_1.png","RPT")</f>
        <v>RPT</v>
      </c>
      <c r="F1606" s="2" t="s">
        <v>121</v>
      </c>
      <c r="G1606" s="6"/>
      <c r="I1606"/>
      <c r="J1606"/>
      <c r="K1606"/>
    </row>
    <row r="1607" spans="1:11" x14ac:dyDescent="0.3">
      <c r="A1607" s="2" t="s">
        <v>2992</v>
      </c>
      <c r="B1607" s="2" t="s">
        <v>120</v>
      </c>
      <c r="C1607" s="2" t="s">
        <v>111</v>
      </c>
      <c r="D1607" s="2" t="s">
        <v>2859</v>
      </c>
      <c r="E1607" s="4" t="str">
        <f>HYPERLINK("./Results/DLO\2463\Osteo_Sarco_1.png","RPT")</f>
        <v>RPT</v>
      </c>
      <c r="F1607" s="2" t="s">
        <v>121</v>
      </c>
      <c r="G1607" s="6"/>
      <c r="I1607"/>
      <c r="J1607"/>
      <c r="K1607"/>
    </row>
    <row r="1608" spans="1:11" x14ac:dyDescent="0.3">
      <c r="A1608" s="2" t="s">
        <v>2989</v>
      </c>
      <c r="B1608" s="2" t="s">
        <v>144</v>
      </c>
      <c r="C1608" s="2" t="s">
        <v>119</v>
      </c>
      <c r="D1608" s="2" t="s">
        <v>2859</v>
      </c>
      <c r="E1608" s="4" t="str">
        <f>HYPERLINK("./Results/DLO\2464\Osteo_Sarco_1.png","RPT")</f>
        <v>RPT</v>
      </c>
      <c r="F1608" s="2" t="s">
        <v>121</v>
      </c>
      <c r="G1608" s="6"/>
      <c r="I1608"/>
      <c r="J1608"/>
      <c r="K1608"/>
    </row>
    <row r="1609" spans="1:11" x14ac:dyDescent="0.3">
      <c r="A1609" s="2" t="s">
        <v>2997</v>
      </c>
      <c r="B1609" s="2" t="s">
        <v>168</v>
      </c>
      <c r="C1609" s="2" t="s">
        <v>119</v>
      </c>
      <c r="D1609" s="2" t="s">
        <v>2867</v>
      </c>
      <c r="E1609" s="4" t="str">
        <f>HYPERLINK("./Results/DLO\2465\Osteo_Sarco_1.png","RPT")</f>
        <v>RPT</v>
      </c>
      <c r="F1609" s="2" t="s">
        <v>121</v>
      </c>
      <c r="G1609" s="6"/>
      <c r="I1609"/>
      <c r="J1609"/>
      <c r="K1609"/>
    </row>
    <row r="1610" spans="1:11" x14ac:dyDescent="0.3">
      <c r="A1610" s="2" t="s">
        <v>2990</v>
      </c>
      <c r="B1610" s="2" t="s">
        <v>122</v>
      </c>
      <c r="C1610" s="2" t="s">
        <v>111</v>
      </c>
      <c r="D1610" s="2" t="s">
        <v>2867</v>
      </c>
      <c r="E1610" s="4" t="str">
        <f>HYPERLINK("./Results/DLO\2466\Osteo_Sarco_1.png","RPT")</f>
        <v>RPT</v>
      </c>
      <c r="F1610" s="2" t="s">
        <v>121</v>
      </c>
      <c r="G1610" s="6"/>
      <c r="I1610"/>
      <c r="J1610"/>
      <c r="K1610"/>
    </row>
    <row r="1611" spans="1:11" x14ac:dyDescent="0.3">
      <c r="A1611" s="2" t="s">
        <v>2994</v>
      </c>
      <c r="B1611" s="2" t="s">
        <v>131</v>
      </c>
      <c r="C1611" s="2" t="s">
        <v>111</v>
      </c>
      <c r="D1611" s="2" t="s">
        <v>2859</v>
      </c>
      <c r="E1611" s="4" t="str">
        <f>HYPERLINK("./Results/DLO\2467\Osteo_Sarco_1.png","RPT")</f>
        <v>RPT</v>
      </c>
      <c r="F1611" s="2" t="s">
        <v>121</v>
      </c>
      <c r="G1611" s="6"/>
      <c r="I1611"/>
      <c r="J1611"/>
      <c r="K1611"/>
    </row>
    <row r="1612" spans="1:11" x14ac:dyDescent="0.3">
      <c r="A1612" s="2" t="s">
        <v>2999</v>
      </c>
      <c r="B1612" s="2" t="s">
        <v>167</v>
      </c>
      <c r="C1612" s="2" t="s">
        <v>119</v>
      </c>
      <c r="D1612" s="2" t="s">
        <v>2859</v>
      </c>
      <c r="E1612" s="4" t="str">
        <f>HYPERLINK("./Results/DLO\2468\Osteo_Sarco_1.png","RPT")</f>
        <v>RPT</v>
      </c>
      <c r="F1612" s="2" t="s">
        <v>121</v>
      </c>
      <c r="G1612" s="6"/>
      <c r="H1612" s="1">
        <v>24.61</v>
      </c>
    </row>
    <row r="1613" spans="1:11" x14ac:dyDescent="0.3">
      <c r="A1613" s="2" t="s">
        <v>2986</v>
      </c>
      <c r="B1613" s="2" t="s">
        <v>152</v>
      </c>
      <c r="C1613" s="2" t="s">
        <v>119</v>
      </c>
      <c r="D1613" s="2" t="s">
        <v>2859</v>
      </c>
      <c r="E1613" s="4" t="str">
        <f>HYPERLINK("./Results/DLO\2469\Osteo_Sarco_1.png","RPT")</f>
        <v>RPT</v>
      </c>
      <c r="F1613" s="2" t="s">
        <v>121</v>
      </c>
      <c r="G1613" s="6"/>
      <c r="I1613"/>
      <c r="J1613"/>
      <c r="K1613"/>
    </row>
    <row r="1614" spans="1:11" x14ac:dyDescent="0.3">
      <c r="A1614" s="2" t="s">
        <v>2991</v>
      </c>
      <c r="B1614" s="2" t="s">
        <v>140</v>
      </c>
      <c r="C1614" s="2" t="s">
        <v>119</v>
      </c>
      <c r="D1614" s="2" t="s">
        <v>2859</v>
      </c>
      <c r="E1614" s="4" t="str">
        <f>HYPERLINK("./Results/DLO\247\Osteo_Sarco_1.png","RPT")</f>
        <v>RPT</v>
      </c>
      <c r="F1614" s="2" t="s">
        <v>121</v>
      </c>
      <c r="G1614" s="6"/>
      <c r="I1614"/>
      <c r="J1614"/>
      <c r="K1614"/>
    </row>
    <row r="1615" spans="1:11" x14ac:dyDescent="0.3">
      <c r="A1615" s="2" t="s">
        <v>2993</v>
      </c>
      <c r="B1615" s="2" t="s">
        <v>166</v>
      </c>
      <c r="C1615" s="2" t="s">
        <v>119</v>
      </c>
      <c r="D1615" s="2" t="s">
        <v>2859</v>
      </c>
      <c r="E1615" s="4" t="str">
        <f>HYPERLINK("./Results/DLO\2470\Osteo_Sarco_1.png","RPT")</f>
        <v>RPT</v>
      </c>
      <c r="F1615" s="2" t="s">
        <v>121</v>
      </c>
      <c r="G1615" s="6"/>
      <c r="H1615" s="1">
        <v>22.39</v>
      </c>
    </row>
    <row r="1616" spans="1:11" x14ac:dyDescent="0.3">
      <c r="A1616" s="2" t="s">
        <v>2987</v>
      </c>
      <c r="B1616" s="2" t="s">
        <v>126</v>
      </c>
      <c r="C1616" s="2" t="s">
        <v>111</v>
      </c>
      <c r="D1616" s="2" t="s">
        <v>1960</v>
      </c>
      <c r="E1616" s="4" t="str">
        <f>HYPERLINK("./Results/DLO\2471\Osteo_Sarco_1.png","RPT")</f>
        <v>RPT</v>
      </c>
      <c r="F1616" s="2" t="s">
        <v>121</v>
      </c>
      <c r="G1616" s="6"/>
      <c r="I1616"/>
      <c r="J1616"/>
      <c r="K1616"/>
    </row>
    <row r="1617" spans="1:11" x14ac:dyDescent="0.3">
      <c r="A1617" s="2" t="s">
        <v>2998</v>
      </c>
      <c r="B1617" s="2" t="s">
        <v>142</v>
      </c>
      <c r="C1617" s="2" t="s">
        <v>119</v>
      </c>
      <c r="D1617" s="2" t="s">
        <v>2859</v>
      </c>
      <c r="E1617" s="4" t="str">
        <f>HYPERLINK("./Results/DLO\2472\Osteo_Sarco_1.png","RPT")</f>
        <v>RPT</v>
      </c>
      <c r="F1617" s="2" t="s">
        <v>121</v>
      </c>
      <c r="G1617" s="6"/>
      <c r="H1617" s="1">
        <v>20.78</v>
      </c>
    </row>
    <row r="1618" spans="1:11" x14ac:dyDescent="0.3">
      <c r="A1618" s="2" t="s">
        <v>2983</v>
      </c>
      <c r="B1618" s="2" t="s">
        <v>138</v>
      </c>
      <c r="C1618" s="2" t="s">
        <v>119</v>
      </c>
      <c r="D1618" s="2" t="s">
        <v>2859</v>
      </c>
      <c r="E1618" s="4" t="str">
        <f>HYPERLINK("./Results/DLO\2473\Osteo_Sarco_1.png","RPT")</f>
        <v>RPT</v>
      </c>
      <c r="F1618" s="2" t="s">
        <v>121</v>
      </c>
      <c r="G1618" s="6"/>
      <c r="I1618"/>
      <c r="J1618"/>
      <c r="K1618"/>
    </row>
    <row r="1619" spans="1:11" x14ac:dyDescent="0.3">
      <c r="A1619" s="2" t="s">
        <v>2988</v>
      </c>
      <c r="B1619" s="2" t="s">
        <v>112</v>
      </c>
      <c r="C1619" s="2" t="s">
        <v>111</v>
      </c>
      <c r="D1619" s="2" t="s">
        <v>2859</v>
      </c>
      <c r="E1619" s="4" t="str">
        <f>HYPERLINK("./Results/DLO\2474\Osteo_Sarco_1.png","RPT")</f>
        <v>RPT</v>
      </c>
      <c r="F1619" s="2" t="s">
        <v>121</v>
      </c>
      <c r="G1619" s="6"/>
      <c r="H1619" s="1">
        <v>21.89</v>
      </c>
    </row>
    <row r="1620" spans="1:11" x14ac:dyDescent="0.3">
      <c r="A1620" s="2" t="s">
        <v>3010</v>
      </c>
      <c r="B1620" s="2" t="s">
        <v>165</v>
      </c>
      <c r="C1620" s="2" t="s">
        <v>111</v>
      </c>
      <c r="D1620" s="2" t="s">
        <v>2859</v>
      </c>
      <c r="E1620" s="4" t="str">
        <f>HYPERLINK("./Results/DLO\2475\Osteo_Sarco_1.png","RPT")</f>
        <v>RPT</v>
      </c>
      <c r="F1620" s="2" t="s">
        <v>121</v>
      </c>
      <c r="G1620" s="6"/>
      <c r="I1620"/>
      <c r="J1620"/>
      <c r="K1620"/>
    </row>
    <row r="1621" spans="1:11" x14ac:dyDescent="0.3">
      <c r="A1621" s="2" t="s">
        <v>3020</v>
      </c>
      <c r="B1621" s="2" t="s">
        <v>123</v>
      </c>
      <c r="C1621" s="2" t="s">
        <v>111</v>
      </c>
      <c r="D1621" s="2" t="s">
        <v>2859</v>
      </c>
      <c r="E1621" s="4" t="str">
        <f>HYPERLINK("./Results/DLO\2476\Osteo_Sarco_1.png","RPT")</f>
        <v>RPT</v>
      </c>
      <c r="F1621" s="2" t="s">
        <v>121</v>
      </c>
      <c r="G1621" s="6"/>
      <c r="I1621"/>
      <c r="J1621"/>
      <c r="K1621"/>
    </row>
    <row r="1622" spans="1:11" x14ac:dyDescent="0.3">
      <c r="A1622" s="2" t="s">
        <v>3003</v>
      </c>
      <c r="B1622" s="2" t="s">
        <v>138</v>
      </c>
      <c r="C1622" s="2" t="s">
        <v>119</v>
      </c>
      <c r="D1622" s="2" t="s">
        <v>2859</v>
      </c>
      <c r="E1622" s="4" t="str">
        <f>HYPERLINK("./Results/DLO\2477\Osteo_Sarco_1.png","RPT")</f>
        <v>RPT</v>
      </c>
      <c r="F1622" s="2" t="s">
        <v>121</v>
      </c>
      <c r="G1622" s="6"/>
      <c r="I1622"/>
      <c r="J1622"/>
      <c r="K1622"/>
    </row>
    <row r="1623" spans="1:11" x14ac:dyDescent="0.3">
      <c r="A1623" s="2" t="s">
        <v>3006</v>
      </c>
      <c r="B1623" s="2" t="s">
        <v>142</v>
      </c>
      <c r="C1623" s="2" t="s">
        <v>111</v>
      </c>
      <c r="D1623" s="2" t="s">
        <v>2859</v>
      </c>
      <c r="E1623" s="4" t="str">
        <f>HYPERLINK("./Results/DLO\2478\Osteo_Sarco_1.png","RPT")</f>
        <v>RPT</v>
      </c>
      <c r="F1623" s="2" t="s">
        <v>121</v>
      </c>
      <c r="G1623" s="6"/>
      <c r="I1623"/>
      <c r="J1623"/>
      <c r="K1623"/>
    </row>
    <row r="1624" spans="1:11" x14ac:dyDescent="0.3">
      <c r="A1624" s="2" t="s">
        <v>3018</v>
      </c>
      <c r="B1624" s="2" t="s">
        <v>149</v>
      </c>
      <c r="C1624" s="2" t="s">
        <v>111</v>
      </c>
      <c r="D1624" s="2" t="s">
        <v>2859</v>
      </c>
      <c r="E1624" s="4" t="str">
        <f>HYPERLINK("./Results/DLO\2479\Osteo_Sarco_1.png","RPT")</f>
        <v>RPT</v>
      </c>
      <c r="F1624" s="2" t="s">
        <v>121</v>
      </c>
      <c r="G1624" s="6"/>
      <c r="I1624"/>
      <c r="J1624"/>
      <c r="K1624"/>
    </row>
    <row r="1625" spans="1:11" x14ac:dyDescent="0.3">
      <c r="A1625" s="2" t="s">
        <v>3005</v>
      </c>
      <c r="B1625" s="2" t="s">
        <v>165</v>
      </c>
      <c r="C1625" s="2" t="s">
        <v>119</v>
      </c>
      <c r="D1625" s="2" t="s">
        <v>2867</v>
      </c>
      <c r="E1625" s="4" t="str">
        <f>HYPERLINK("./Results/DLO\248\Osteo_Sarco_1.png","RPT")</f>
        <v>RPT</v>
      </c>
      <c r="F1625" s="2" t="s">
        <v>121</v>
      </c>
      <c r="G1625" s="6"/>
      <c r="I1625"/>
      <c r="J1625"/>
      <c r="K1625"/>
    </row>
    <row r="1626" spans="1:11" x14ac:dyDescent="0.3">
      <c r="A1626" s="2" t="s">
        <v>3021</v>
      </c>
      <c r="B1626" s="2" t="s">
        <v>577</v>
      </c>
      <c r="C1626" s="2" t="s">
        <v>119</v>
      </c>
      <c r="D1626" s="2" t="s">
        <v>2859</v>
      </c>
      <c r="E1626" s="4" t="str">
        <f>HYPERLINK("./Results/DLO\2480\Osteo_Sarco_1.png","RPT")</f>
        <v>RPT</v>
      </c>
      <c r="F1626" s="2" t="s">
        <v>121</v>
      </c>
      <c r="G1626" s="6"/>
      <c r="I1626"/>
      <c r="J1626"/>
      <c r="K1626"/>
    </row>
    <row r="1627" spans="1:11" x14ac:dyDescent="0.3">
      <c r="A1627" s="2" t="s">
        <v>3016</v>
      </c>
      <c r="B1627" s="2" t="s">
        <v>166</v>
      </c>
      <c r="C1627" s="2" t="s">
        <v>119</v>
      </c>
      <c r="D1627" s="2" t="s">
        <v>2859</v>
      </c>
      <c r="E1627" s="4" t="str">
        <f>HYPERLINK("./Results/DLO\2481\Osteo_Sarco_1.png","RPT")</f>
        <v>RPT</v>
      </c>
      <c r="F1627" s="2" t="s">
        <v>121</v>
      </c>
      <c r="G1627" s="6"/>
      <c r="H1627" s="1">
        <v>22.94</v>
      </c>
    </row>
    <row r="1628" spans="1:11" x14ac:dyDescent="0.3">
      <c r="A1628" s="2" t="s">
        <v>3015</v>
      </c>
      <c r="B1628" s="2" t="s">
        <v>149</v>
      </c>
      <c r="C1628" s="2" t="s">
        <v>119</v>
      </c>
      <c r="D1628" s="2" t="s">
        <v>2859</v>
      </c>
      <c r="E1628" s="4" t="str">
        <f>HYPERLINK("./Results/DLO\2482\Osteo_Sarco_1.png","RPT")</f>
        <v>RPT</v>
      </c>
      <c r="F1628" s="2" t="s">
        <v>121</v>
      </c>
      <c r="G1628" s="6"/>
      <c r="I1628"/>
      <c r="J1628"/>
      <c r="K1628"/>
    </row>
    <row r="1629" spans="1:11" x14ac:dyDescent="0.3">
      <c r="A1629" s="2" t="s">
        <v>3012</v>
      </c>
      <c r="B1629" s="2" t="s">
        <v>129</v>
      </c>
      <c r="C1629" s="2" t="s">
        <v>119</v>
      </c>
      <c r="D1629" s="2" t="s">
        <v>2867</v>
      </c>
      <c r="E1629" s="4" t="str">
        <f>HYPERLINK("./Results/DLO\2483\Osteo_Sarco_1.png","RPT")</f>
        <v>RPT</v>
      </c>
      <c r="F1629" s="2" t="s">
        <v>121</v>
      </c>
      <c r="G1629" s="6"/>
      <c r="I1629"/>
      <c r="J1629"/>
      <c r="K1629"/>
    </row>
    <row r="1630" spans="1:11" x14ac:dyDescent="0.3">
      <c r="A1630" s="2" t="s">
        <v>3017</v>
      </c>
      <c r="B1630" s="2" t="s">
        <v>140</v>
      </c>
      <c r="C1630" s="2" t="s">
        <v>111</v>
      </c>
      <c r="D1630" s="2" t="s">
        <v>2859</v>
      </c>
      <c r="E1630" s="4" t="str">
        <f>HYPERLINK("./Results/DLO\2484\Osteo_Sarco_1.png","RPT")</f>
        <v>RPT</v>
      </c>
      <c r="F1630" s="2" t="s">
        <v>121</v>
      </c>
      <c r="G1630" s="6"/>
      <c r="I1630"/>
      <c r="J1630"/>
      <c r="K1630"/>
    </row>
    <row r="1631" spans="1:11" x14ac:dyDescent="0.3">
      <c r="A1631" s="2" t="s">
        <v>3001</v>
      </c>
      <c r="B1631" s="2" t="s">
        <v>148</v>
      </c>
      <c r="C1631" s="2" t="s">
        <v>119</v>
      </c>
      <c r="D1631" s="2" t="s">
        <v>2859</v>
      </c>
      <c r="E1631" s="4" t="str">
        <f>HYPERLINK("./Results/DLO\2485\Osteo_Sarco_1.png","RPT")</f>
        <v>RPT</v>
      </c>
      <c r="F1631" s="2" t="s">
        <v>121</v>
      </c>
      <c r="G1631" s="6"/>
      <c r="I1631"/>
      <c r="J1631"/>
      <c r="K1631"/>
    </row>
    <row r="1632" spans="1:11" x14ac:dyDescent="0.3">
      <c r="A1632" s="2" t="s">
        <v>3004</v>
      </c>
      <c r="B1632" s="2" t="s">
        <v>128</v>
      </c>
      <c r="C1632" s="2" t="s">
        <v>119</v>
      </c>
      <c r="D1632" s="2" t="s">
        <v>2859</v>
      </c>
      <c r="E1632" s="4" t="str">
        <f>HYPERLINK("./Results/DLO\2486\Osteo_Sarco_1.png","RPT")</f>
        <v>RPT</v>
      </c>
      <c r="F1632" s="2" t="s">
        <v>121</v>
      </c>
      <c r="G1632" s="6"/>
      <c r="H1632" s="1">
        <v>20.59</v>
      </c>
    </row>
    <row r="1633" spans="1:11" x14ac:dyDescent="0.3">
      <c r="A1633" s="2" t="s">
        <v>3019</v>
      </c>
      <c r="B1633" s="2" t="s">
        <v>133</v>
      </c>
      <c r="C1633" s="2" t="s">
        <v>111</v>
      </c>
      <c r="D1633" s="2" t="s">
        <v>2859</v>
      </c>
      <c r="E1633" s="4" t="str">
        <f>HYPERLINK("./Results/DLO\2487\Osteo_Sarco_1.png","RPT")</f>
        <v>RPT</v>
      </c>
      <c r="F1633" s="2" t="s">
        <v>121</v>
      </c>
      <c r="G1633" s="6"/>
      <c r="I1633"/>
      <c r="J1633"/>
      <c r="K1633"/>
    </row>
    <row r="1634" spans="1:11" x14ac:dyDescent="0.3">
      <c r="A1634" s="2" t="s">
        <v>3014</v>
      </c>
      <c r="B1634" s="2" t="s">
        <v>118</v>
      </c>
      <c r="C1634" s="2" t="s">
        <v>119</v>
      </c>
      <c r="D1634" s="2" t="s">
        <v>2859</v>
      </c>
      <c r="E1634" s="4" t="str">
        <f>HYPERLINK("./Results/DLO\2488\Osteo_Sarco_1.png","RPT")</f>
        <v>RPT</v>
      </c>
      <c r="F1634" s="2" t="s">
        <v>121</v>
      </c>
      <c r="G1634" s="6"/>
      <c r="I1634"/>
      <c r="J1634"/>
      <c r="K1634"/>
    </row>
    <row r="1635" spans="1:11" x14ac:dyDescent="0.3">
      <c r="A1635" s="2" t="s">
        <v>3009</v>
      </c>
      <c r="B1635" s="2" t="s">
        <v>129</v>
      </c>
      <c r="C1635" s="2" t="s">
        <v>111</v>
      </c>
      <c r="D1635" s="2" t="s">
        <v>2859</v>
      </c>
      <c r="E1635" s="4" t="str">
        <f>HYPERLINK("./Results/DLO\2489\Osteo_Sarco_1.png","RPT")</f>
        <v>RPT</v>
      </c>
      <c r="F1635" s="2" t="s">
        <v>121</v>
      </c>
      <c r="G1635" s="6"/>
      <c r="H1635" s="1">
        <v>23.17</v>
      </c>
    </row>
    <row r="1636" spans="1:11" x14ac:dyDescent="0.3">
      <c r="A1636" s="2" t="s">
        <v>3000</v>
      </c>
      <c r="B1636" s="2" t="s">
        <v>129</v>
      </c>
      <c r="C1636" s="2" t="s">
        <v>119</v>
      </c>
      <c r="D1636" s="2" t="s">
        <v>2859</v>
      </c>
      <c r="E1636" s="4" t="str">
        <f>HYPERLINK("./Results/DLO\249\Osteo_Sarco_1.png","RPT")</f>
        <v>RPT</v>
      </c>
      <c r="F1636" s="2" t="s">
        <v>121</v>
      </c>
      <c r="G1636" s="6"/>
      <c r="H1636" s="1">
        <v>26.01</v>
      </c>
    </row>
    <row r="1637" spans="1:11" x14ac:dyDescent="0.3">
      <c r="A1637" s="2" t="s">
        <v>3008</v>
      </c>
      <c r="B1637" s="2" t="s">
        <v>140</v>
      </c>
      <c r="C1637" s="2" t="s">
        <v>119</v>
      </c>
      <c r="D1637" s="2" t="s">
        <v>2859</v>
      </c>
      <c r="E1637" s="4" t="str">
        <f>HYPERLINK("./Results/DLO\2490\Osteo_Sarco_1.png","RPT")</f>
        <v>RPT</v>
      </c>
      <c r="F1637" s="2" t="s">
        <v>121</v>
      </c>
      <c r="G1637" s="6"/>
      <c r="H1637" s="1">
        <v>27.63</v>
      </c>
    </row>
    <row r="1638" spans="1:11" x14ac:dyDescent="0.3">
      <c r="A1638" s="2" t="s">
        <v>3011</v>
      </c>
      <c r="B1638" s="2" t="s">
        <v>142</v>
      </c>
      <c r="C1638" s="2" t="s">
        <v>111</v>
      </c>
      <c r="D1638" s="2" t="s">
        <v>2859</v>
      </c>
      <c r="E1638" s="4" t="str">
        <f>HYPERLINK("./Results/DLO\2491\Osteo_Sarco_1.png","RPT")</f>
        <v>RPT</v>
      </c>
      <c r="F1638" s="2" t="s">
        <v>121</v>
      </c>
      <c r="G1638" s="6"/>
      <c r="I1638"/>
      <c r="J1638"/>
      <c r="K1638"/>
    </row>
    <row r="1639" spans="1:11" x14ac:dyDescent="0.3">
      <c r="A1639" s="2" t="s">
        <v>3002</v>
      </c>
      <c r="B1639" s="2" t="s">
        <v>120</v>
      </c>
      <c r="C1639" s="2" t="s">
        <v>111</v>
      </c>
      <c r="D1639" s="2" t="s">
        <v>2859</v>
      </c>
      <c r="E1639" s="4" t="str">
        <f>HYPERLINK("./Results/DLO\2492\Osteo_Sarco_1.png","RPT")</f>
        <v>RPT</v>
      </c>
      <c r="F1639" s="2" t="s">
        <v>121</v>
      </c>
      <c r="G1639" s="6"/>
      <c r="H1639" s="1">
        <v>25.25</v>
      </c>
    </row>
    <row r="1640" spans="1:11" x14ac:dyDescent="0.3">
      <c r="A1640" s="2" t="s">
        <v>3007</v>
      </c>
      <c r="B1640" s="2" t="s">
        <v>149</v>
      </c>
      <c r="C1640" s="2" t="s">
        <v>119</v>
      </c>
      <c r="D1640" s="2" t="s">
        <v>2859</v>
      </c>
      <c r="E1640" s="4" t="str">
        <f>HYPERLINK("./Results/DLO\2493\Osteo_Sarco_1.png","RPT")</f>
        <v>RPT</v>
      </c>
      <c r="F1640" s="2" t="s">
        <v>121</v>
      </c>
      <c r="G1640" s="6"/>
      <c r="I1640"/>
      <c r="J1640"/>
      <c r="K1640"/>
    </row>
    <row r="1641" spans="1:11" x14ac:dyDescent="0.3">
      <c r="A1641" s="2" t="s">
        <v>3013</v>
      </c>
      <c r="B1641" s="2" t="s">
        <v>118</v>
      </c>
      <c r="C1641" s="2" t="s">
        <v>119</v>
      </c>
      <c r="D1641" s="2" t="s">
        <v>2867</v>
      </c>
      <c r="E1641" s="4" t="str">
        <f>HYPERLINK("./Results/DLO\2494\Osteo_Sarco_1.png","RPT")</f>
        <v>RPT</v>
      </c>
      <c r="F1641" s="2" t="s">
        <v>121</v>
      </c>
      <c r="G1641" s="6"/>
      <c r="I1641"/>
      <c r="J1641"/>
      <c r="K1641"/>
    </row>
    <row r="1642" spans="1:11" x14ac:dyDescent="0.3">
      <c r="A1642" s="2" t="s">
        <v>3025</v>
      </c>
      <c r="B1642" s="2" t="s">
        <v>170</v>
      </c>
      <c r="C1642" s="2" t="s">
        <v>119</v>
      </c>
      <c r="D1642" s="2" t="s">
        <v>2859</v>
      </c>
      <c r="E1642" s="4" t="str">
        <f>HYPERLINK("./Results/DLO\2495\Osteo_Sarco_1.png","RPT")</f>
        <v>RPT</v>
      </c>
      <c r="F1642" s="2" t="s">
        <v>121</v>
      </c>
      <c r="G1642" s="6"/>
      <c r="I1642"/>
      <c r="J1642"/>
      <c r="K1642"/>
    </row>
    <row r="1643" spans="1:11" x14ac:dyDescent="0.3">
      <c r="A1643" s="2" t="s">
        <v>3035</v>
      </c>
      <c r="B1643" s="2" t="s">
        <v>140</v>
      </c>
      <c r="C1643" s="2" t="s">
        <v>111</v>
      </c>
      <c r="D1643" s="2" t="s">
        <v>2859</v>
      </c>
      <c r="E1643" s="4" t="str">
        <f>HYPERLINK("./Results/DLO\2496\Osteo_Sarco_1.png","RPT")</f>
        <v>RPT</v>
      </c>
      <c r="F1643" s="2" t="s">
        <v>121</v>
      </c>
      <c r="G1643" s="6"/>
      <c r="I1643"/>
      <c r="J1643"/>
      <c r="K1643"/>
    </row>
    <row r="1644" spans="1:11" x14ac:dyDescent="0.3">
      <c r="A1644" s="2" t="s">
        <v>3039</v>
      </c>
      <c r="B1644" s="2" t="s">
        <v>116</v>
      </c>
      <c r="C1644" s="2" t="s">
        <v>111</v>
      </c>
      <c r="D1644" s="2" t="s">
        <v>2859</v>
      </c>
      <c r="E1644" s="4" t="str">
        <f>HYPERLINK("./Results/DLO\2497\Osteo_Sarco_1.png","RPT")</f>
        <v>RPT</v>
      </c>
      <c r="F1644" s="2" t="s">
        <v>121</v>
      </c>
      <c r="G1644" s="6"/>
      <c r="I1644"/>
      <c r="J1644"/>
      <c r="K1644"/>
    </row>
    <row r="1645" spans="1:11" x14ac:dyDescent="0.3">
      <c r="A1645" s="2" t="s">
        <v>3040</v>
      </c>
      <c r="B1645" s="2" t="s">
        <v>167</v>
      </c>
      <c r="C1645" s="2" t="s">
        <v>111</v>
      </c>
      <c r="D1645" s="2" t="s">
        <v>2859</v>
      </c>
      <c r="E1645" s="4" t="str">
        <f>HYPERLINK("./Results/DLO\2498\Osteo_Sarco_1.png","RPT")</f>
        <v>RPT</v>
      </c>
      <c r="F1645" s="2" t="s">
        <v>121</v>
      </c>
      <c r="G1645" s="6"/>
      <c r="I1645"/>
      <c r="J1645"/>
      <c r="K1645"/>
    </row>
    <row r="1646" spans="1:11" x14ac:dyDescent="0.3">
      <c r="A1646" s="2" t="s">
        <v>3026</v>
      </c>
      <c r="B1646" s="2" t="s">
        <v>142</v>
      </c>
      <c r="C1646" s="2" t="s">
        <v>119</v>
      </c>
      <c r="D1646" s="2" t="s">
        <v>2859</v>
      </c>
      <c r="E1646" s="4" t="str">
        <f>HYPERLINK("./Results/DLO\2499\Osteo_Sarco_1.png","RPT")</f>
        <v>RPT</v>
      </c>
      <c r="F1646" s="2" t="s">
        <v>121</v>
      </c>
      <c r="G1646" s="6"/>
      <c r="H1646" s="1">
        <v>20.9</v>
      </c>
    </row>
    <row r="1647" spans="1:11" x14ac:dyDescent="0.3">
      <c r="A1647" s="2" t="s">
        <v>3033</v>
      </c>
      <c r="B1647" s="2" t="s">
        <v>139</v>
      </c>
      <c r="C1647" s="2" t="s">
        <v>119</v>
      </c>
      <c r="D1647" s="2" t="s">
        <v>2859</v>
      </c>
      <c r="E1647" s="4" t="str">
        <f>HYPERLINK("./Results/DLO\25\Osteo_Sarco_1.png","RPT")</f>
        <v>RPT</v>
      </c>
      <c r="F1647" s="2" t="s">
        <v>121</v>
      </c>
      <c r="G1647" s="6"/>
      <c r="I1647"/>
      <c r="J1647"/>
      <c r="K1647"/>
    </row>
    <row r="1648" spans="1:11" x14ac:dyDescent="0.3">
      <c r="A1648" s="2" t="s">
        <v>3027</v>
      </c>
      <c r="B1648" s="2" t="s">
        <v>161</v>
      </c>
      <c r="C1648" s="2" t="s">
        <v>119</v>
      </c>
      <c r="D1648" s="2" t="s">
        <v>2859</v>
      </c>
      <c r="E1648" s="4" t="str">
        <f>HYPERLINK("./Results/DLO\250\Osteo_Sarco_1.png","RPT")</f>
        <v>RPT</v>
      </c>
      <c r="F1648" s="2" t="s">
        <v>121</v>
      </c>
      <c r="G1648" s="6"/>
      <c r="I1648"/>
      <c r="J1648"/>
      <c r="K1648"/>
    </row>
    <row r="1649" spans="1:11" x14ac:dyDescent="0.3">
      <c r="A1649" s="2" t="s">
        <v>3029</v>
      </c>
      <c r="B1649" s="2" t="s">
        <v>138</v>
      </c>
      <c r="C1649" s="2" t="s">
        <v>119</v>
      </c>
      <c r="D1649" s="2" t="s">
        <v>2859</v>
      </c>
      <c r="E1649" s="4" t="str">
        <f>HYPERLINK("./Results/DLO\2500\Osteo_Sarco_1.png","RPT")</f>
        <v>RPT</v>
      </c>
      <c r="F1649" s="2" t="s">
        <v>121</v>
      </c>
      <c r="G1649" s="6"/>
      <c r="I1649"/>
      <c r="J1649"/>
      <c r="K1649"/>
    </row>
    <row r="1650" spans="1:11" x14ac:dyDescent="0.3">
      <c r="A1650" s="2" t="s">
        <v>3028</v>
      </c>
      <c r="B1650" s="2" t="s">
        <v>127</v>
      </c>
      <c r="C1650" s="2" t="s">
        <v>119</v>
      </c>
      <c r="D1650" s="2" t="s">
        <v>2867</v>
      </c>
      <c r="E1650" s="4" t="str">
        <f>HYPERLINK("./Results/DLO\2501\Osteo_Sarco_1.png","RPT")</f>
        <v>RPT</v>
      </c>
      <c r="F1650" s="2" t="s">
        <v>121</v>
      </c>
      <c r="G1650" s="6"/>
      <c r="I1650"/>
      <c r="J1650"/>
      <c r="K1650"/>
    </row>
    <row r="1651" spans="1:11" x14ac:dyDescent="0.3">
      <c r="A1651" s="2" t="s">
        <v>3038</v>
      </c>
      <c r="B1651" s="2" t="s">
        <v>167</v>
      </c>
      <c r="C1651" s="2" t="s">
        <v>119</v>
      </c>
      <c r="D1651" s="2" t="s">
        <v>2867</v>
      </c>
      <c r="E1651" s="4" t="str">
        <f>HYPERLINK("./Results/DLO\2502\Osteo_Sarco_1.png","RPT")</f>
        <v>RPT</v>
      </c>
      <c r="F1651" s="2" t="s">
        <v>121</v>
      </c>
      <c r="G1651" s="6"/>
      <c r="H1651" s="1">
        <v>25.71</v>
      </c>
    </row>
    <row r="1652" spans="1:11" x14ac:dyDescent="0.3">
      <c r="A1652" s="2" t="s">
        <v>3043</v>
      </c>
      <c r="B1652" s="2" t="s">
        <v>118</v>
      </c>
      <c r="C1652" s="2" t="s">
        <v>111</v>
      </c>
      <c r="D1652" s="2" t="s">
        <v>2131</v>
      </c>
      <c r="E1652" s="4" t="str">
        <f>HYPERLINK("./Results/DLO\2503\Osteo_Sarco_1.png","RPT")</f>
        <v>RPT</v>
      </c>
      <c r="F1652" s="2" t="s">
        <v>121</v>
      </c>
      <c r="G1652" s="6"/>
      <c r="I1652"/>
      <c r="J1652"/>
      <c r="K1652"/>
    </row>
    <row r="1653" spans="1:11" x14ac:dyDescent="0.3">
      <c r="A1653" s="2" t="s">
        <v>3023</v>
      </c>
      <c r="B1653" s="2" t="s">
        <v>140</v>
      </c>
      <c r="C1653" s="2" t="s">
        <v>119</v>
      </c>
      <c r="D1653" s="2" t="s">
        <v>2859</v>
      </c>
      <c r="E1653" s="4" t="str">
        <f>HYPERLINK("./Results/DLO\2504\Osteo_Sarco_1.png","RPT")</f>
        <v>RPT</v>
      </c>
      <c r="F1653" s="2" t="s">
        <v>121</v>
      </c>
      <c r="G1653" s="6"/>
      <c r="I1653"/>
      <c r="J1653"/>
      <c r="K1653"/>
    </row>
    <row r="1654" spans="1:11" x14ac:dyDescent="0.3">
      <c r="A1654" s="2" t="s">
        <v>3041</v>
      </c>
      <c r="B1654" s="2" t="s">
        <v>143</v>
      </c>
      <c r="C1654" s="2" t="s">
        <v>119</v>
      </c>
      <c r="D1654" s="2" t="s">
        <v>2867</v>
      </c>
      <c r="E1654" s="4" t="str">
        <f>HYPERLINK("./Results/DLO\2505\Osteo_Sarco_1.png","RPT")</f>
        <v>RPT</v>
      </c>
      <c r="F1654" s="2" t="s">
        <v>121</v>
      </c>
      <c r="G1654" s="6"/>
      <c r="H1654" s="1">
        <v>24.45</v>
      </c>
    </row>
    <row r="1655" spans="1:11" x14ac:dyDescent="0.3">
      <c r="A1655" s="2" t="s">
        <v>3030</v>
      </c>
      <c r="B1655" s="2" t="s">
        <v>120</v>
      </c>
      <c r="C1655" s="2" t="s">
        <v>119</v>
      </c>
      <c r="D1655" s="2" t="s">
        <v>1935</v>
      </c>
      <c r="E1655" s="4" t="str">
        <f>HYPERLINK("./Results/DLO\2506\Osteo_Sarco_1.png","RPT")</f>
        <v>RPT</v>
      </c>
      <c r="F1655" s="2" t="s">
        <v>121</v>
      </c>
      <c r="G1655" s="6"/>
      <c r="H1655" s="1">
        <v>19.64</v>
      </c>
    </row>
    <row r="1656" spans="1:11" x14ac:dyDescent="0.3">
      <c r="A1656" s="2" t="s">
        <v>3034</v>
      </c>
      <c r="B1656" s="2" t="s">
        <v>131</v>
      </c>
      <c r="C1656" s="2" t="s">
        <v>119</v>
      </c>
      <c r="D1656" s="2" t="s">
        <v>2859</v>
      </c>
      <c r="E1656" s="4" t="str">
        <f>HYPERLINK("./Results/DLO\2507\Osteo_Sarco_1.png","RPT")</f>
        <v>RPT</v>
      </c>
      <c r="F1656" s="2" t="s">
        <v>121</v>
      </c>
      <c r="G1656" s="6"/>
      <c r="I1656"/>
      <c r="J1656"/>
      <c r="K1656"/>
    </row>
    <row r="1657" spans="1:11" x14ac:dyDescent="0.3">
      <c r="A1657" s="2" t="s">
        <v>3037</v>
      </c>
      <c r="B1657" s="2" t="s">
        <v>116</v>
      </c>
      <c r="C1657" s="2" t="s">
        <v>119</v>
      </c>
      <c r="D1657" s="2" t="s">
        <v>2859</v>
      </c>
      <c r="E1657" s="4" t="str">
        <f>HYPERLINK("./Results/DLO\2508\Osteo_Sarco_1.png","RPT")</f>
        <v>RPT</v>
      </c>
      <c r="F1657" s="2" t="s">
        <v>121</v>
      </c>
      <c r="G1657" s="6"/>
      <c r="H1657" s="1">
        <v>28.58</v>
      </c>
    </row>
    <row r="1658" spans="1:11" x14ac:dyDescent="0.3">
      <c r="A1658" s="2" t="s">
        <v>3044</v>
      </c>
      <c r="B1658" s="2" t="s">
        <v>162</v>
      </c>
      <c r="C1658" s="2" t="s">
        <v>119</v>
      </c>
      <c r="D1658" s="2" t="s">
        <v>2859</v>
      </c>
      <c r="E1658" s="4" t="str">
        <f>HYPERLINK("./Results/DLO\2509\Osteo_Sarco_1.png","RPT")</f>
        <v>RPT</v>
      </c>
      <c r="F1658" s="2" t="s">
        <v>121</v>
      </c>
      <c r="G1658" s="6"/>
      <c r="I1658"/>
      <c r="J1658"/>
      <c r="K1658"/>
    </row>
    <row r="1659" spans="1:11" x14ac:dyDescent="0.3">
      <c r="A1659" s="2" t="s">
        <v>3036</v>
      </c>
      <c r="B1659" s="2" t="s">
        <v>143</v>
      </c>
      <c r="C1659" s="2" t="s">
        <v>119</v>
      </c>
      <c r="D1659" s="2" t="s">
        <v>2859</v>
      </c>
      <c r="E1659" s="4" t="str">
        <f>HYPERLINK("./Results/DLO\251\Osteo_Sarco_1.png","RPT")</f>
        <v>RPT</v>
      </c>
      <c r="F1659" s="2" t="s">
        <v>121</v>
      </c>
      <c r="G1659" s="6"/>
      <c r="H1659" s="1">
        <v>23.41</v>
      </c>
    </row>
    <row r="1660" spans="1:11" x14ac:dyDescent="0.3">
      <c r="A1660" s="2" t="s">
        <v>3042</v>
      </c>
      <c r="B1660" s="2" t="s">
        <v>113</v>
      </c>
      <c r="C1660" s="2" t="s">
        <v>111</v>
      </c>
      <c r="D1660" s="2" t="s">
        <v>2859</v>
      </c>
      <c r="E1660" s="4" t="str">
        <f>HYPERLINK("./Results/DLO\2510\Osteo_Sarco_1.png","RPT")</f>
        <v>RPT</v>
      </c>
      <c r="F1660" s="2" t="s">
        <v>121</v>
      </c>
      <c r="G1660" s="6"/>
      <c r="H1660" s="1">
        <v>21.32</v>
      </c>
    </row>
    <row r="1661" spans="1:11" x14ac:dyDescent="0.3">
      <c r="A1661" s="2" t="s">
        <v>3046</v>
      </c>
      <c r="B1661" s="2" t="s">
        <v>151</v>
      </c>
      <c r="C1661" s="2" t="s">
        <v>119</v>
      </c>
      <c r="D1661" s="2" t="s">
        <v>2859</v>
      </c>
      <c r="E1661" s="4" t="str">
        <f>HYPERLINK("./Results/DLO\2511\Osteo_Sarco_1.png","RPT")</f>
        <v>RPT</v>
      </c>
      <c r="F1661" s="2" t="s">
        <v>121</v>
      </c>
      <c r="G1661" s="6"/>
      <c r="I1661"/>
      <c r="J1661"/>
      <c r="K1661"/>
    </row>
    <row r="1662" spans="1:11" x14ac:dyDescent="0.3">
      <c r="A1662" s="2" t="s">
        <v>3031</v>
      </c>
      <c r="B1662" s="2" t="s">
        <v>144</v>
      </c>
      <c r="C1662" s="2" t="s">
        <v>111</v>
      </c>
      <c r="D1662" s="2" t="s">
        <v>2859</v>
      </c>
      <c r="E1662" s="4" t="str">
        <f>HYPERLINK("./Results/DLO\2512\Osteo_Sarco_1.png","RPT")</f>
        <v>RPT</v>
      </c>
      <c r="F1662" s="2" t="s">
        <v>121</v>
      </c>
      <c r="G1662" s="6"/>
      <c r="I1662"/>
      <c r="J1662"/>
      <c r="K1662"/>
    </row>
    <row r="1663" spans="1:11" x14ac:dyDescent="0.3">
      <c r="A1663" s="2" t="s">
        <v>3032</v>
      </c>
      <c r="B1663" s="2" t="s">
        <v>164</v>
      </c>
      <c r="C1663" s="2" t="s">
        <v>111</v>
      </c>
      <c r="D1663" s="2" t="s">
        <v>2859</v>
      </c>
      <c r="E1663" s="4" t="str">
        <f>HYPERLINK("./Results/DLO\2513\Osteo_Sarco_1.png","RPT")</f>
        <v>RPT</v>
      </c>
      <c r="F1663" s="2" t="s">
        <v>121</v>
      </c>
      <c r="G1663" s="6"/>
      <c r="H1663" s="1">
        <v>21.83</v>
      </c>
    </row>
    <row r="1664" spans="1:11" x14ac:dyDescent="0.3">
      <c r="A1664" s="2" t="s">
        <v>3024</v>
      </c>
      <c r="B1664" s="2" t="s">
        <v>122</v>
      </c>
      <c r="C1664" s="2" t="s">
        <v>119</v>
      </c>
      <c r="D1664" s="2" t="s">
        <v>2859</v>
      </c>
      <c r="E1664" s="4" t="str">
        <f>HYPERLINK("./Results/DLO\2514\Osteo_Sarco_1.png","RPT")</f>
        <v>RPT</v>
      </c>
      <c r="F1664" s="2" t="s">
        <v>121</v>
      </c>
      <c r="G1664" s="6"/>
      <c r="I1664"/>
      <c r="J1664"/>
      <c r="K1664"/>
    </row>
    <row r="1665" spans="1:11" x14ac:dyDescent="0.3">
      <c r="A1665" s="2" t="s">
        <v>3045</v>
      </c>
      <c r="B1665" s="2" t="s">
        <v>123</v>
      </c>
      <c r="C1665" s="2" t="s">
        <v>111</v>
      </c>
      <c r="D1665" s="2" t="s">
        <v>2859</v>
      </c>
      <c r="E1665" s="4" t="str">
        <f>HYPERLINK("./Results/DLO\2515\Osteo_Sarco_1.png","RPT")</f>
        <v>RPT</v>
      </c>
      <c r="F1665" s="2" t="s">
        <v>121</v>
      </c>
      <c r="G1665" s="6"/>
      <c r="H1665" s="1">
        <v>19.489999999999998</v>
      </c>
    </row>
    <row r="1666" spans="1:11" x14ac:dyDescent="0.3">
      <c r="A1666" s="2" t="s">
        <v>3022</v>
      </c>
      <c r="B1666" s="2" t="s">
        <v>123</v>
      </c>
      <c r="C1666" s="2" t="s">
        <v>111</v>
      </c>
      <c r="D1666" s="2" t="s">
        <v>2859</v>
      </c>
      <c r="E1666" s="4" t="str">
        <f>HYPERLINK("./Results/DLO\2516\Osteo_Sarco_1.png","RPT")</f>
        <v>RPT</v>
      </c>
      <c r="F1666" s="2" t="s">
        <v>121</v>
      </c>
      <c r="G1666" s="6"/>
      <c r="H1666" s="1">
        <v>28.01</v>
      </c>
    </row>
    <row r="1667" spans="1:11" x14ac:dyDescent="0.3">
      <c r="A1667" s="2" t="s">
        <v>3069</v>
      </c>
      <c r="B1667" s="2" t="s">
        <v>125</v>
      </c>
      <c r="C1667" s="2" t="s">
        <v>111</v>
      </c>
      <c r="D1667" s="2" t="s">
        <v>2867</v>
      </c>
      <c r="E1667" s="4" t="str">
        <f>HYPERLINK("./Results/DLO\2517\Osteo_Sarco_1.png","RPT")</f>
        <v>RPT</v>
      </c>
      <c r="F1667" s="2" t="s">
        <v>121</v>
      </c>
      <c r="G1667" s="6"/>
      <c r="I1667"/>
      <c r="J1667"/>
      <c r="K1667"/>
    </row>
    <row r="1668" spans="1:11" x14ac:dyDescent="0.3">
      <c r="A1668" s="2" t="s">
        <v>3053</v>
      </c>
      <c r="B1668" s="2" t="s">
        <v>114</v>
      </c>
      <c r="C1668" s="2" t="s">
        <v>119</v>
      </c>
      <c r="D1668" s="2" t="s">
        <v>2859</v>
      </c>
      <c r="E1668" s="4" t="str">
        <f>HYPERLINK("./Results/DLO\2518\Osteo_Sarco_1.png","RPT")</f>
        <v>RPT</v>
      </c>
      <c r="F1668" s="2" t="s">
        <v>121</v>
      </c>
      <c r="G1668" s="6"/>
      <c r="I1668"/>
      <c r="J1668"/>
      <c r="K1668"/>
    </row>
    <row r="1669" spans="1:11" x14ac:dyDescent="0.3">
      <c r="A1669" s="2" t="s">
        <v>3056</v>
      </c>
      <c r="B1669" s="2" t="s">
        <v>146</v>
      </c>
      <c r="C1669" s="2" t="s">
        <v>111</v>
      </c>
      <c r="D1669" s="2" t="s">
        <v>1935</v>
      </c>
      <c r="E1669" s="4" t="str">
        <f>HYPERLINK("./Results/DLO\2519\Osteo_Sarco_1.png","RPT")</f>
        <v>RPT</v>
      </c>
      <c r="F1669" s="2" t="s">
        <v>121</v>
      </c>
      <c r="G1669" s="6"/>
      <c r="I1669"/>
      <c r="J1669"/>
      <c r="K1669"/>
    </row>
    <row r="1670" spans="1:11" x14ac:dyDescent="0.3">
      <c r="A1670" s="2" t="s">
        <v>3058</v>
      </c>
      <c r="B1670" s="2" t="s">
        <v>112</v>
      </c>
      <c r="C1670" s="2" t="s">
        <v>111</v>
      </c>
      <c r="D1670" s="2" t="s">
        <v>2859</v>
      </c>
      <c r="E1670" s="4" t="str">
        <f>HYPERLINK("./Results/DLO\252\Osteo_Sarco_1.png","RPT")</f>
        <v>RPT</v>
      </c>
      <c r="F1670" s="2" t="s">
        <v>121</v>
      </c>
      <c r="G1670" s="6"/>
      <c r="H1670" s="1">
        <v>20.95</v>
      </c>
    </row>
    <row r="1671" spans="1:11" x14ac:dyDescent="0.3">
      <c r="A1671" s="2" t="s">
        <v>3048</v>
      </c>
      <c r="B1671" s="2" t="s">
        <v>139</v>
      </c>
      <c r="C1671" s="2" t="s">
        <v>119</v>
      </c>
      <c r="D1671" s="2" t="s">
        <v>2859</v>
      </c>
      <c r="E1671" s="4" t="str">
        <f>HYPERLINK("./Results/DLO\2520\Osteo_Sarco_1.png","RPT")</f>
        <v>RPT</v>
      </c>
      <c r="F1671" s="2" t="s">
        <v>121</v>
      </c>
      <c r="G1671" s="6"/>
      <c r="I1671"/>
      <c r="J1671"/>
      <c r="K1671"/>
    </row>
    <row r="1672" spans="1:11" x14ac:dyDescent="0.3">
      <c r="A1672" s="2" t="s">
        <v>3063</v>
      </c>
      <c r="B1672" s="2" t="s">
        <v>582</v>
      </c>
      <c r="C1672" s="2" t="s">
        <v>119</v>
      </c>
      <c r="D1672" s="2" t="s">
        <v>2859</v>
      </c>
      <c r="E1672" s="4" t="str">
        <f>HYPERLINK("./Results/DLO\2521\Osteo_Sarco_1.png","RPT")</f>
        <v>RPT</v>
      </c>
      <c r="F1672" s="2" t="s">
        <v>121</v>
      </c>
      <c r="G1672" s="6"/>
      <c r="I1672"/>
      <c r="J1672"/>
      <c r="K1672"/>
    </row>
    <row r="1673" spans="1:11" x14ac:dyDescent="0.3">
      <c r="A1673" s="2" t="s">
        <v>3067</v>
      </c>
      <c r="B1673" s="2" t="s">
        <v>116</v>
      </c>
      <c r="C1673" s="2" t="s">
        <v>119</v>
      </c>
      <c r="D1673" s="2" t="s">
        <v>2867</v>
      </c>
      <c r="E1673" s="4" t="str">
        <f>HYPERLINK("./Results/DLO\2522\Osteo_Sarco_1.png","RPT")</f>
        <v>RPT</v>
      </c>
      <c r="F1673" s="2" t="s">
        <v>121</v>
      </c>
      <c r="G1673" s="6"/>
      <c r="I1673"/>
      <c r="J1673"/>
      <c r="K1673"/>
    </row>
    <row r="1674" spans="1:11" x14ac:dyDescent="0.3">
      <c r="A1674" s="2" t="s">
        <v>3068</v>
      </c>
      <c r="B1674" s="2" t="s">
        <v>140</v>
      </c>
      <c r="C1674" s="2" t="s">
        <v>119</v>
      </c>
      <c r="D1674" s="2" t="s">
        <v>2859</v>
      </c>
      <c r="E1674" s="4" t="str">
        <f>HYPERLINK("./Results/DLO\2523\Osteo_Sarco_1.png","RPT")</f>
        <v>RPT</v>
      </c>
      <c r="F1674" s="2" t="s">
        <v>121</v>
      </c>
      <c r="G1674" s="6"/>
      <c r="I1674"/>
      <c r="J1674"/>
      <c r="K1674"/>
    </row>
    <row r="1675" spans="1:11" x14ac:dyDescent="0.3">
      <c r="A1675" s="2" t="s">
        <v>3050</v>
      </c>
      <c r="B1675" s="2" t="s">
        <v>146</v>
      </c>
      <c r="C1675" s="2" t="s">
        <v>111</v>
      </c>
      <c r="D1675" s="2" t="s">
        <v>2859</v>
      </c>
      <c r="E1675" s="4" t="str">
        <f>HYPERLINK("./Results/DLO\2524\Osteo_Sarco_1.png","RPT")</f>
        <v>RPT</v>
      </c>
      <c r="F1675" s="2" t="s">
        <v>121</v>
      </c>
      <c r="G1675" s="6"/>
      <c r="I1675"/>
      <c r="J1675"/>
      <c r="K1675"/>
    </row>
    <row r="1676" spans="1:11" x14ac:dyDescent="0.3">
      <c r="A1676" s="2" t="s">
        <v>3051</v>
      </c>
      <c r="B1676" s="2" t="s">
        <v>135</v>
      </c>
      <c r="C1676" s="2" t="s">
        <v>111</v>
      </c>
      <c r="D1676" s="2" t="s">
        <v>2867</v>
      </c>
      <c r="E1676" s="4" t="str">
        <f>HYPERLINK("./Results/DLO\2525\Osteo_Sarco_1.png","RPT")</f>
        <v>RPT</v>
      </c>
      <c r="F1676" s="2" t="s">
        <v>121</v>
      </c>
      <c r="G1676" s="6"/>
      <c r="I1676"/>
      <c r="J1676"/>
      <c r="K1676"/>
    </row>
    <row r="1677" spans="1:11" x14ac:dyDescent="0.3">
      <c r="A1677" s="2" t="s">
        <v>3054</v>
      </c>
      <c r="B1677" s="2" t="s">
        <v>127</v>
      </c>
      <c r="C1677" s="2" t="s">
        <v>111</v>
      </c>
      <c r="D1677" s="2" t="s">
        <v>2867</v>
      </c>
      <c r="E1677" s="4" t="str">
        <f>HYPERLINK("./Results/DLO\2526\Osteo_Sarco_1.png","RPT")</f>
        <v>RPT</v>
      </c>
      <c r="F1677" s="2" t="s">
        <v>121</v>
      </c>
      <c r="G1677" s="6"/>
      <c r="I1677"/>
      <c r="J1677"/>
      <c r="K1677"/>
    </row>
    <row r="1678" spans="1:11" x14ac:dyDescent="0.3">
      <c r="A1678" s="2" t="s">
        <v>3055</v>
      </c>
      <c r="B1678" s="2" t="s">
        <v>167</v>
      </c>
      <c r="C1678" s="2" t="s">
        <v>119</v>
      </c>
      <c r="D1678" s="2" t="s">
        <v>2867</v>
      </c>
      <c r="E1678" s="4" t="str">
        <f>HYPERLINK("./Results/DLO\2527\Osteo_Sarco_1.png","RPT")</f>
        <v>RPT</v>
      </c>
      <c r="F1678" s="2" t="s">
        <v>121</v>
      </c>
      <c r="G1678" s="6"/>
      <c r="H1678" s="1">
        <v>20.9</v>
      </c>
    </row>
    <row r="1679" spans="1:11" x14ac:dyDescent="0.3">
      <c r="A1679" s="2" t="s">
        <v>3052</v>
      </c>
      <c r="B1679" s="2" t="s">
        <v>125</v>
      </c>
      <c r="C1679" s="2" t="s">
        <v>119</v>
      </c>
      <c r="D1679" s="2" t="s">
        <v>2859</v>
      </c>
      <c r="E1679" s="4" t="str">
        <f>HYPERLINK("./Results/DLO\2528\Osteo_Sarco_1.png","RPT")</f>
        <v>RPT</v>
      </c>
      <c r="F1679" s="2" t="s">
        <v>121</v>
      </c>
      <c r="G1679" s="6"/>
      <c r="I1679"/>
      <c r="J1679"/>
      <c r="K1679"/>
    </row>
    <row r="1680" spans="1:11" x14ac:dyDescent="0.3">
      <c r="A1680" s="2" t="s">
        <v>3061</v>
      </c>
      <c r="B1680" s="2" t="s">
        <v>116</v>
      </c>
      <c r="C1680" s="2" t="s">
        <v>111</v>
      </c>
      <c r="D1680" s="2" t="s">
        <v>2859</v>
      </c>
      <c r="E1680" s="4" t="str">
        <f>HYPERLINK("./Results/DLO\2529\Osteo_Sarco_1.png","RPT")</f>
        <v>RPT</v>
      </c>
      <c r="F1680" s="2" t="s">
        <v>121</v>
      </c>
      <c r="G1680" s="6"/>
      <c r="I1680"/>
      <c r="J1680"/>
      <c r="K1680"/>
    </row>
    <row r="1681" spans="1:11" x14ac:dyDescent="0.3">
      <c r="A1681" s="2" t="s">
        <v>3066</v>
      </c>
      <c r="B1681" s="2" t="s">
        <v>164</v>
      </c>
      <c r="C1681" s="2" t="s">
        <v>119</v>
      </c>
      <c r="D1681" s="2" t="s">
        <v>2867</v>
      </c>
      <c r="E1681" s="4" t="str">
        <f>HYPERLINK("./Results/DLO\253\Osteo_Sarco_1.png","RPT")</f>
        <v>RPT</v>
      </c>
      <c r="F1681" s="2" t="s">
        <v>121</v>
      </c>
      <c r="G1681" s="6"/>
      <c r="H1681" s="1">
        <v>23.42</v>
      </c>
    </row>
    <row r="1682" spans="1:11" x14ac:dyDescent="0.3">
      <c r="A1682" s="2" t="s">
        <v>3070</v>
      </c>
      <c r="B1682" s="2" t="s">
        <v>138</v>
      </c>
      <c r="C1682" s="2" t="s">
        <v>111</v>
      </c>
      <c r="D1682" s="2" t="s">
        <v>2867</v>
      </c>
      <c r="E1682" s="4" t="str">
        <f>HYPERLINK("./Results/DLO\2530\Osteo_Sarco_1.png","RPT")</f>
        <v>RPT</v>
      </c>
      <c r="F1682" s="2" t="s">
        <v>121</v>
      </c>
      <c r="G1682" s="6"/>
      <c r="I1682"/>
      <c r="J1682"/>
      <c r="K1682"/>
    </row>
    <row r="1683" spans="1:11" x14ac:dyDescent="0.3">
      <c r="A1683" s="2" t="s">
        <v>3057</v>
      </c>
      <c r="B1683" s="2" t="s">
        <v>133</v>
      </c>
      <c r="C1683" s="2" t="s">
        <v>119</v>
      </c>
      <c r="D1683" s="2" t="s">
        <v>2859</v>
      </c>
      <c r="E1683" s="4" t="str">
        <f>HYPERLINK("./Results/DLO\2531\Osteo_Sarco_1.png","RPT")</f>
        <v>RPT</v>
      </c>
      <c r="F1683" s="2" t="s">
        <v>121</v>
      </c>
      <c r="G1683" s="6"/>
      <c r="H1683" s="1">
        <v>26.85</v>
      </c>
    </row>
    <row r="1684" spans="1:11" x14ac:dyDescent="0.3">
      <c r="A1684" s="2" t="s">
        <v>3073</v>
      </c>
      <c r="B1684" s="2" t="s">
        <v>126</v>
      </c>
      <c r="C1684" s="2" t="s">
        <v>111</v>
      </c>
      <c r="D1684" s="2" t="s">
        <v>2867</v>
      </c>
      <c r="E1684" s="4" t="str">
        <f>HYPERLINK("./Results/DLO\2532\Osteo_Sarco_1.png","RPT")</f>
        <v>RPT</v>
      </c>
      <c r="F1684" s="2" t="s">
        <v>121</v>
      </c>
      <c r="G1684" s="6"/>
      <c r="I1684"/>
      <c r="J1684"/>
      <c r="K1684"/>
    </row>
    <row r="1685" spans="1:11" x14ac:dyDescent="0.3">
      <c r="A1685" s="2" t="s">
        <v>3059</v>
      </c>
      <c r="B1685" s="2" t="s">
        <v>129</v>
      </c>
      <c r="C1685" s="2" t="s">
        <v>119</v>
      </c>
      <c r="D1685" s="2" t="s">
        <v>2867</v>
      </c>
      <c r="E1685" s="4" t="str">
        <f>HYPERLINK("./Results/DLO\2533\Osteo_Sarco_1.png","RPT")</f>
        <v>RPT</v>
      </c>
      <c r="F1685" s="2" t="s">
        <v>121</v>
      </c>
      <c r="G1685" s="6"/>
      <c r="I1685"/>
      <c r="J1685"/>
      <c r="K1685"/>
    </row>
    <row r="1686" spans="1:11" x14ac:dyDescent="0.3">
      <c r="A1686" s="2" t="s">
        <v>3071</v>
      </c>
      <c r="B1686" s="2" t="s">
        <v>120</v>
      </c>
      <c r="C1686" s="2" t="s">
        <v>119</v>
      </c>
      <c r="D1686" s="2" t="s">
        <v>2859</v>
      </c>
      <c r="E1686" s="4" t="str">
        <f>HYPERLINK("./Results/DLO\2534\Osteo_Sarco_1.png","RPT")</f>
        <v>RPT</v>
      </c>
      <c r="F1686" s="2" t="s">
        <v>121</v>
      </c>
      <c r="G1686" s="6"/>
      <c r="I1686"/>
      <c r="J1686"/>
      <c r="K1686"/>
    </row>
    <row r="1687" spans="1:11" x14ac:dyDescent="0.3">
      <c r="A1687" s="2" t="s">
        <v>3072</v>
      </c>
      <c r="B1687" s="2" t="s">
        <v>123</v>
      </c>
      <c r="C1687" s="2" t="s">
        <v>111</v>
      </c>
      <c r="D1687" s="2" t="s">
        <v>2859</v>
      </c>
      <c r="E1687" s="4" t="str">
        <f>HYPERLINK("./Results/DLO\2535\Osteo_Sarco_1.png","RPT")</f>
        <v>RPT</v>
      </c>
      <c r="F1687" s="2" t="s">
        <v>121</v>
      </c>
      <c r="G1687" s="6"/>
      <c r="I1687"/>
      <c r="J1687"/>
      <c r="K1687"/>
    </row>
    <row r="1688" spans="1:11" x14ac:dyDescent="0.3">
      <c r="A1688" s="2" t="s">
        <v>3060</v>
      </c>
      <c r="B1688" s="2" t="s">
        <v>589</v>
      </c>
      <c r="C1688" s="2" t="s">
        <v>119</v>
      </c>
      <c r="D1688" s="2" t="s">
        <v>2859</v>
      </c>
      <c r="E1688" s="4" t="str">
        <f>HYPERLINK("./Results/DLO\2536\Osteo_Sarco_1.png","RPT")</f>
        <v>RPT</v>
      </c>
      <c r="F1688" s="2" t="s">
        <v>121</v>
      </c>
      <c r="G1688" s="6"/>
      <c r="I1688"/>
      <c r="J1688"/>
      <c r="K1688"/>
    </row>
    <row r="1689" spans="1:11" x14ac:dyDescent="0.3">
      <c r="A1689" s="2" t="s">
        <v>3062</v>
      </c>
      <c r="B1689" s="2" t="s">
        <v>120</v>
      </c>
      <c r="C1689" s="2" t="s">
        <v>111</v>
      </c>
      <c r="D1689" s="2" t="s">
        <v>2859</v>
      </c>
      <c r="E1689" s="4" t="str">
        <f>HYPERLINK("./Results/DLO\2537\Osteo_Sarco_1.png","RPT")</f>
        <v>RPT</v>
      </c>
      <c r="F1689" s="2" t="s">
        <v>121</v>
      </c>
      <c r="G1689" s="6"/>
      <c r="H1689" s="1">
        <v>19.52</v>
      </c>
    </row>
    <row r="1690" spans="1:11" x14ac:dyDescent="0.3">
      <c r="A1690" s="2" t="s">
        <v>3049</v>
      </c>
      <c r="B1690" s="2" t="s">
        <v>167</v>
      </c>
      <c r="C1690" s="2" t="s">
        <v>119</v>
      </c>
      <c r="D1690" s="2" t="s">
        <v>2867</v>
      </c>
      <c r="E1690" s="4" t="str">
        <f>HYPERLINK("./Results/DLO\2538\Osteo_Sarco_1.png","RPT")</f>
        <v>RPT</v>
      </c>
      <c r="F1690" s="2" t="s">
        <v>121</v>
      </c>
      <c r="G1690" s="6"/>
      <c r="I1690"/>
      <c r="J1690"/>
      <c r="K1690"/>
    </row>
    <row r="1691" spans="1:11" x14ac:dyDescent="0.3">
      <c r="A1691" s="2" t="s">
        <v>3064</v>
      </c>
      <c r="B1691" s="2" t="s">
        <v>131</v>
      </c>
      <c r="C1691" s="2" t="s">
        <v>119</v>
      </c>
      <c r="D1691" s="2" t="s">
        <v>2859</v>
      </c>
      <c r="E1691" s="4" t="str">
        <f>HYPERLINK("./Results/DLO\2539\Osteo_Sarco_1.png","RPT")</f>
        <v>RPT</v>
      </c>
      <c r="F1691" s="2" t="s">
        <v>121</v>
      </c>
      <c r="G1691" s="6"/>
      <c r="I1691"/>
      <c r="J1691"/>
      <c r="K1691"/>
    </row>
    <row r="1692" spans="1:11" x14ac:dyDescent="0.3">
      <c r="A1692" s="2" t="s">
        <v>3065</v>
      </c>
      <c r="B1692" s="2" t="s">
        <v>142</v>
      </c>
      <c r="C1692" s="2" t="s">
        <v>119</v>
      </c>
      <c r="D1692" s="2" t="s">
        <v>2859</v>
      </c>
      <c r="E1692" s="4" t="str">
        <f>HYPERLINK("./Results/DLO\254\Osteo_Sarco_1.png","RPT")</f>
        <v>RPT</v>
      </c>
      <c r="F1692" s="2" t="s">
        <v>121</v>
      </c>
      <c r="G1692" s="6"/>
      <c r="I1692"/>
      <c r="J1692"/>
      <c r="K1692"/>
    </row>
    <row r="1693" spans="1:11" x14ac:dyDescent="0.3">
      <c r="A1693" s="2" t="s">
        <v>3047</v>
      </c>
      <c r="B1693" s="2" t="s">
        <v>136</v>
      </c>
      <c r="C1693" s="2" t="s">
        <v>111</v>
      </c>
      <c r="D1693" s="2" t="s">
        <v>2859</v>
      </c>
      <c r="E1693" s="4" t="str">
        <f>HYPERLINK("./Results/DLO\2540\Osteo_Sarco_1.png","RPT")</f>
        <v>RPT</v>
      </c>
      <c r="F1693" s="2" t="s">
        <v>121</v>
      </c>
      <c r="G1693" s="6"/>
      <c r="H1693" s="1">
        <v>26.47</v>
      </c>
    </row>
    <row r="1694" spans="1:11" x14ac:dyDescent="0.3">
      <c r="A1694" s="2" t="s">
        <v>3093</v>
      </c>
      <c r="B1694" s="2" t="s">
        <v>137</v>
      </c>
      <c r="C1694" s="2" t="s">
        <v>119</v>
      </c>
      <c r="D1694" s="2" t="s">
        <v>2867</v>
      </c>
      <c r="E1694" s="4" t="str">
        <f>HYPERLINK("./Results/DLO\2541\Osteo_Sarco_1.png","RPT")</f>
        <v>RPT</v>
      </c>
      <c r="F1694" s="2" t="s">
        <v>121</v>
      </c>
      <c r="G1694" s="6"/>
      <c r="I1694"/>
      <c r="J1694"/>
      <c r="K1694"/>
    </row>
    <row r="1695" spans="1:11" x14ac:dyDescent="0.3">
      <c r="A1695" s="2" t="s">
        <v>3090</v>
      </c>
      <c r="B1695" s="2" t="s">
        <v>160</v>
      </c>
      <c r="C1695" s="2" t="s">
        <v>119</v>
      </c>
      <c r="D1695" s="2" t="s">
        <v>2859</v>
      </c>
      <c r="E1695" s="4" t="str">
        <f>HYPERLINK("./Results/DLO\2542\Osteo_Sarco_1.png","RPT")</f>
        <v>RPT</v>
      </c>
      <c r="F1695" s="2" t="s">
        <v>121</v>
      </c>
      <c r="G1695" s="6"/>
      <c r="H1695" s="1">
        <v>26.01</v>
      </c>
    </row>
    <row r="1696" spans="1:11" x14ac:dyDescent="0.3">
      <c r="A1696" s="2" t="s">
        <v>3077</v>
      </c>
      <c r="B1696" s="2" t="s">
        <v>148</v>
      </c>
      <c r="C1696" s="2" t="s">
        <v>119</v>
      </c>
      <c r="D1696" s="2" t="s">
        <v>2859</v>
      </c>
      <c r="E1696" s="4" t="str">
        <f>HYPERLINK("./Results/DLO\2543\Osteo_Sarco_1.png","RPT")</f>
        <v>RPT</v>
      </c>
      <c r="F1696" s="2" t="s">
        <v>121</v>
      </c>
      <c r="G1696" s="6"/>
      <c r="H1696" s="1">
        <v>18.510000000000002</v>
      </c>
    </row>
    <row r="1697" spans="1:11" x14ac:dyDescent="0.3">
      <c r="A1697" s="2" t="s">
        <v>3097</v>
      </c>
      <c r="B1697" s="2" t="s">
        <v>125</v>
      </c>
      <c r="C1697" s="2" t="s">
        <v>111</v>
      </c>
      <c r="D1697" s="2" t="s">
        <v>2859</v>
      </c>
      <c r="E1697" s="4" t="str">
        <f>HYPERLINK("./Results/DLO\2544\Osteo_Sarco_1.png","RPT")</f>
        <v>RPT</v>
      </c>
      <c r="F1697" s="2" t="s">
        <v>121</v>
      </c>
      <c r="G1697" s="6"/>
      <c r="H1697" s="1">
        <v>25.06</v>
      </c>
    </row>
    <row r="1698" spans="1:11" x14ac:dyDescent="0.3">
      <c r="A1698" s="2" t="s">
        <v>3086</v>
      </c>
      <c r="B1698" s="2" t="s">
        <v>131</v>
      </c>
      <c r="C1698" s="2" t="s">
        <v>119</v>
      </c>
      <c r="D1698" s="2" t="s">
        <v>2867</v>
      </c>
      <c r="E1698" s="4" t="str">
        <f>HYPERLINK("./Results/DLO\2545\Osteo_Sarco_1.png","RPT")</f>
        <v>RPT</v>
      </c>
      <c r="F1698" s="2" t="s">
        <v>121</v>
      </c>
      <c r="G1698" s="6"/>
      <c r="H1698" s="1">
        <v>38.86</v>
      </c>
    </row>
    <row r="1699" spans="1:11" x14ac:dyDescent="0.3">
      <c r="A1699" s="2" t="s">
        <v>3094</v>
      </c>
      <c r="B1699" s="2" t="s">
        <v>163</v>
      </c>
      <c r="C1699" s="2" t="s">
        <v>111</v>
      </c>
      <c r="D1699" s="2" t="s">
        <v>2867</v>
      </c>
      <c r="E1699" s="4" t="str">
        <f>HYPERLINK("./Results/DLO\2546\Osteo_Sarco_1.png","RPT")</f>
        <v>RPT</v>
      </c>
      <c r="F1699" s="2" t="s">
        <v>121</v>
      </c>
      <c r="G1699" s="6"/>
      <c r="I1699"/>
      <c r="J1699"/>
      <c r="K1699"/>
    </row>
    <row r="1700" spans="1:11" x14ac:dyDescent="0.3">
      <c r="A1700" s="2" t="s">
        <v>3091</v>
      </c>
      <c r="B1700" s="2" t="s">
        <v>149</v>
      </c>
      <c r="C1700" s="2" t="s">
        <v>111</v>
      </c>
      <c r="D1700" s="2" t="s">
        <v>2859</v>
      </c>
      <c r="E1700" s="4" t="str">
        <f>HYPERLINK("./Results/DLO\2547\Osteo_Sarco_1.png","RPT")</f>
        <v>RPT</v>
      </c>
      <c r="F1700" s="2" t="s">
        <v>121</v>
      </c>
      <c r="G1700" s="6"/>
      <c r="I1700"/>
      <c r="J1700"/>
      <c r="K1700"/>
    </row>
    <row r="1701" spans="1:11" x14ac:dyDescent="0.3">
      <c r="A1701" s="2" t="s">
        <v>3078</v>
      </c>
      <c r="B1701" s="2" t="s">
        <v>138</v>
      </c>
      <c r="C1701" s="2" t="s">
        <v>119</v>
      </c>
      <c r="D1701" s="2" t="s">
        <v>2859</v>
      </c>
      <c r="E1701" s="4" t="str">
        <f>HYPERLINK("./Results/DLO\2548\Osteo_Sarco_1.png","RPT")</f>
        <v>RPT</v>
      </c>
      <c r="F1701" s="2" t="s">
        <v>121</v>
      </c>
      <c r="G1701" s="6"/>
      <c r="I1701"/>
      <c r="J1701"/>
      <c r="K1701"/>
    </row>
    <row r="1702" spans="1:11" x14ac:dyDescent="0.3">
      <c r="A1702" s="2" t="s">
        <v>3095</v>
      </c>
      <c r="B1702" s="2" t="s">
        <v>116</v>
      </c>
      <c r="C1702" s="2" t="s">
        <v>119</v>
      </c>
      <c r="D1702" s="2" t="s">
        <v>2867</v>
      </c>
      <c r="E1702" s="4" t="str">
        <f>HYPERLINK("./Results/DLO\2549\Osteo_Sarco_1.png","RPT")</f>
        <v>RPT</v>
      </c>
      <c r="F1702" s="2" t="s">
        <v>121</v>
      </c>
      <c r="G1702" s="6"/>
      <c r="I1702"/>
      <c r="J1702"/>
      <c r="K1702"/>
    </row>
    <row r="1703" spans="1:11" x14ac:dyDescent="0.3">
      <c r="A1703" s="2" t="s">
        <v>3075</v>
      </c>
      <c r="B1703" s="2" t="s">
        <v>587</v>
      </c>
      <c r="C1703" s="2" t="s">
        <v>111</v>
      </c>
      <c r="D1703" s="2" t="s">
        <v>2859</v>
      </c>
      <c r="E1703" s="4" t="str">
        <f>HYPERLINK("./Results/DLO\255\Osteo_Sarco_1.png","RPT")</f>
        <v>RPT</v>
      </c>
      <c r="F1703" s="2" t="s">
        <v>121</v>
      </c>
      <c r="G1703" s="6"/>
      <c r="I1703"/>
      <c r="J1703"/>
      <c r="K1703"/>
    </row>
    <row r="1704" spans="1:11" x14ac:dyDescent="0.3">
      <c r="A1704" s="2" t="s">
        <v>3080</v>
      </c>
      <c r="B1704" s="2" t="s">
        <v>132</v>
      </c>
      <c r="C1704" s="2" t="s">
        <v>119</v>
      </c>
      <c r="D1704" s="2" t="s">
        <v>2859</v>
      </c>
      <c r="E1704" s="4" t="str">
        <f>HYPERLINK("./Results/DLO\2550\Osteo_Sarco_1.png","RPT")</f>
        <v>RPT</v>
      </c>
      <c r="F1704" s="2" t="s">
        <v>121</v>
      </c>
      <c r="G1704" s="6"/>
      <c r="H1704" s="1">
        <v>24.5</v>
      </c>
    </row>
    <row r="1705" spans="1:11" x14ac:dyDescent="0.3">
      <c r="A1705" s="2" t="s">
        <v>3088</v>
      </c>
      <c r="B1705" s="2" t="s">
        <v>126</v>
      </c>
      <c r="C1705" s="2" t="s">
        <v>119</v>
      </c>
      <c r="D1705" s="2" t="s">
        <v>2859</v>
      </c>
      <c r="E1705" s="4" t="str">
        <f>HYPERLINK("./Results/DLO\2551\Osteo_Sarco_1.png","RPT")</f>
        <v>RPT</v>
      </c>
      <c r="F1705" s="2" t="s">
        <v>121</v>
      </c>
      <c r="G1705" s="6"/>
      <c r="I1705"/>
      <c r="J1705"/>
      <c r="K1705"/>
    </row>
    <row r="1706" spans="1:11" x14ac:dyDescent="0.3">
      <c r="A1706" s="2" t="s">
        <v>3087</v>
      </c>
      <c r="B1706" s="2" t="s">
        <v>167</v>
      </c>
      <c r="C1706" s="2" t="s">
        <v>111</v>
      </c>
      <c r="D1706" s="2" t="s">
        <v>2867</v>
      </c>
      <c r="E1706" s="4" t="str">
        <f>HYPERLINK("./Results/DLO\2552\Osteo_Sarco_1.png","RPT")</f>
        <v>RPT</v>
      </c>
      <c r="F1706" s="2" t="s">
        <v>121</v>
      </c>
      <c r="G1706" s="6"/>
      <c r="I1706"/>
      <c r="J1706"/>
      <c r="K1706"/>
    </row>
    <row r="1707" spans="1:11" x14ac:dyDescent="0.3">
      <c r="A1707" s="2" t="s">
        <v>3089</v>
      </c>
      <c r="B1707" s="2" t="s">
        <v>148</v>
      </c>
      <c r="C1707" s="2" t="s">
        <v>111</v>
      </c>
      <c r="D1707" s="2" t="s">
        <v>2859</v>
      </c>
      <c r="E1707" s="4" t="str">
        <f>HYPERLINK("./Results/DLO\2553\Osteo_Sarco_1.png","RPT")</f>
        <v>RPT</v>
      </c>
      <c r="F1707" s="2" t="s">
        <v>121</v>
      </c>
      <c r="G1707" s="6"/>
      <c r="H1707" s="1">
        <v>24.34</v>
      </c>
    </row>
    <row r="1708" spans="1:11" x14ac:dyDescent="0.3">
      <c r="A1708" s="2" t="s">
        <v>3079</v>
      </c>
      <c r="B1708" s="2" t="s">
        <v>120</v>
      </c>
      <c r="C1708" s="2" t="s">
        <v>111</v>
      </c>
      <c r="D1708" s="2" t="s">
        <v>2859</v>
      </c>
      <c r="E1708" s="4" t="str">
        <f>HYPERLINK("./Results/DLO\2554\Osteo_Sarco_1.png","RPT")</f>
        <v>RPT</v>
      </c>
      <c r="F1708" s="2" t="s">
        <v>121</v>
      </c>
      <c r="G1708" s="6"/>
      <c r="I1708"/>
      <c r="J1708"/>
      <c r="K1708"/>
    </row>
    <row r="1709" spans="1:11" x14ac:dyDescent="0.3">
      <c r="A1709" s="2" t="s">
        <v>3074</v>
      </c>
      <c r="B1709" s="2" t="s">
        <v>129</v>
      </c>
      <c r="C1709" s="2" t="s">
        <v>119</v>
      </c>
      <c r="D1709" s="2" t="s">
        <v>2859</v>
      </c>
      <c r="E1709" s="4" t="str">
        <f>HYPERLINK("./Results/DLO\2555\Osteo_Sarco_1.png","RPT")</f>
        <v>RPT</v>
      </c>
      <c r="F1709" s="2" t="s">
        <v>121</v>
      </c>
      <c r="G1709" s="6"/>
      <c r="H1709" s="1">
        <v>17.63</v>
      </c>
    </row>
    <row r="1710" spans="1:11" x14ac:dyDescent="0.3">
      <c r="A1710" s="2" t="s">
        <v>3081</v>
      </c>
      <c r="B1710" s="2" t="s">
        <v>123</v>
      </c>
      <c r="C1710" s="2" t="s">
        <v>119</v>
      </c>
      <c r="D1710" s="2" t="s">
        <v>2859</v>
      </c>
      <c r="E1710" s="4" t="str">
        <f>HYPERLINK("./Results/DLO\2556\Osteo_Sarco_1.png","RPT")</f>
        <v>RPT</v>
      </c>
      <c r="F1710" s="2" t="s">
        <v>121</v>
      </c>
      <c r="G1710" s="6"/>
      <c r="H1710" s="1">
        <v>25.85</v>
      </c>
    </row>
    <row r="1711" spans="1:11" x14ac:dyDescent="0.3">
      <c r="A1711" s="2" t="s">
        <v>3082</v>
      </c>
      <c r="B1711" s="2" t="s">
        <v>131</v>
      </c>
      <c r="C1711" s="2" t="s">
        <v>119</v>
      </c>
      <c r="D1711" s="2" t="s">
        <v>2859</v>
      </c>
      <c r="E1711" s="4" t="str">
        <f>HYPERLINK("./Results/DLO\2557\Osteo_Sarco_1.png","RPT")</f>
        <v>RPT</v>
      </c>
      <c r="F1711" s="2" t="s">
        <v>121</v>
      </c>
      <c r="G1711" s="6"/>
      <c r="H1711" s="1">
        <v>23.3</v>
      </c>
    </row>
    <row r="1712" spans="1:11" x14ac:dyDescent="0.3">
      <c r="A1712" s="2" t="s">
        <v>3096</v>
      </c>
      <c r="B1712" s="2" t="s">
        <v>138</v>
      </c>
      <c r="C1712" s="2" t="s">
        <v>119</v>
      </c>
      <c r="D1712" s="2" t="s">
        <v>2859</v>
      </c>
      <c r="E1712" s="4" t="str">
        <f>HYPERLINK("./Results/DLO\2558\Osteo_Sarco_1.png","RPT")</f>
        <v>RPT</v>
      </c>
      <c r="F1712" s="2" t="s">
        <v>121</v>
      </c>
      <c r="G1712" s="6"/>
      <c r="I1712"/>
      <c r="J1712"/>
      <c r="K1712"/>
    </row>
    <row r="1713" spans="1:11" x14ac:dyDescent="0.3">
      <c r="A1713" s="2" t="s">
        <v>3092</v>
      </c>
      <c r="B1713" s="2" t="s">
        <v>574</v>
      </c>
      <c r="C1713" s="2" t="s">
        <v>119</v>
      </c>
      <c r="D1713" s="2" t="s">
        <v>2859</v>
      </c>
      <c r="E1713" s="4" t="str">
        <f>HYPERLINK("./Results/DLO\2559\Osteo_Sarco_1.png","RPT")</f>
        <v>RPT</v>
      </c>
      <c r="F1713" s="2" t="s">
        <v>121</v>
      </c>
      <c r="G1713" s="6"/>
      <c r="I1713"/>
      <c r="J1713"/>
      <c r="K1713"/>
    </row>
    <row r="1714" spans="1:11" x14ac:dyDescent="0.3">
      <c r="A1714" s="2" t="s">
        <v>3083</v>
      </c>
      <c r="B1714" s="2" t="s">
        <v>144</v>
      </c>
      <c r="C1714" s="2" t="s">
        <v>119</v>
      </c>
      <c r="D1714" s="2" t="s">
        <v>2867</v>
      </c>
      <c r="E1714" s="4" t="str">
        <f>HYPERLINK("./Results/DLO\256\Osteo_Sarco_1.png","RPT")</f>
        <v>RPT</v>
      </c>
      <c r="F1714" s="2" t="s">
        <v>121</v>
      </c>
      <c r="G1714" s="6"/>
      <c r="I1714"/>
      <c r="J1714"/>
      <c r="K1714"/>
    </row>
    <row r="1715" spans="1:11" x14ac:dyDescent="0.3">
      <c r="A1715" s="2" t="s">
        <v>3076</v>
      </c>
      <c r="B1715" s="2" t="s">
        <v>129</v>
      </c>
      <c r="C1715" s="2" t="s">
        <v>119</v>
      </c>
      <c r="D1715" s="2" t="s">
        <v>2859</v>
      </c>
      <c r="E1715" s="4" t="str">
        <f>HYPERLINK("./Results/DLO\2560\Osteo_Sarco_1.png","RPT")</f>
        <v>RPT</v>
      </c>
      <c r="F1715" s="2" t="s">
        <v>121</v>
      </c>
      <c r="G1715" s="6"/>
      <c r="I1715"/>
      <c r="J1715"/>
      <c r="K1715"/>
    </row>
    <row r="1716" spans="1:11" x14ac:dyDescent="0.3">
      <c r="A1716" s="2" t="s">
        <v>3084</v>
      </c>
      <c r="B1716" s="2" t="s">
        <v>148</v>
      </c>
      <c r="C1716" s="2" t="s">
        <v>111</v>
      </c>
      <c r="D1716" s="2" t="s">
        <v>2859</v>
      </c>
      <c r="E1716" s="4" t="str">
        <f>HYPERLINK("./Results/DLO\2561\Osteo_Sarco_1.png","RPT")</f>
        <v>RPT</v>
      </c>
      <c r="F1716" s="2" t="s">
        <v>121</v>
      </c>
      <c r="G1716" s="6"/>
      <c r="I1716"/>
      <c r="J1716"/>
      <c r="K1716"/>
    </row>
    <row r="1717" spans="1:11" x14ac:dyDescent="0.3">
      <c r="A1717" s="2" t="s">
        <v>3085</v>
      </c>
      <c r="B1717" s="2" t="s">
        <v>123</v>
      </c>
      <c r="C1717" s="2" t="s">
        <v>111</v>
      </c>
      <c r="D1717" s="2" t="s">
        <v>2859</v>
      </c>
      <c r="E1717" s="4" t="str">
        <f>HYPERLINK("./Results/DLO\2563\Osteo_Sarco_1.png","RPT")</f>
        <v>RPT</v>
      </c>
      <c r="F1717" s="2" t="s">
        <v>121</v>
      </c>
      <c r="G1717" s="6"/>
      <c r="H1717" s="1">
        <v>17.510000000000002</v>
      </c>
    </row>
    <row r="1718" spans="1:11" x14ac:dyDescent="0.3">
      <c r="A1718" s="2" t="s">
        <v>3116</v>
      </c>
      <c r="B1718" s="2" t="s">
        <v>116</v>
      </c>
      <c r="C1718" s="2" t="s">
        <v>119</v>
      </c>
      <c r="D1718" s="2" t="s">
        <v>2859</v>
      </c>
      <c r="E1718" s="4" t="str">
        <f>HYPERLINK("./Results/DLO\2564\Osteo_Sarco_1.png","RPT")</f>
        <v>RPT</v>
      </c>
      <c r="F1718" s="2" t="s">
        <v>121</v>
      </c>
      <c r="G1718" s="6"/>
      <c r="I1718"/>
      <c r="J1718"/>
      <c r="K1718"/>
    </row>
    <row r="1719" spans="1:11" x14ac:dyDescent="0.3">
      <c r="A1719" s="2" t="s">
        <v>3112</v>
      </c>
      <c r="B1719" s="2" t="s">
        <v>132</v>
      </c>
      <c r="C1719" s="2" t="s">
        <v>119</v>
      </c>
      <c r="D1719" s="2" t="s">
        <v>2859</v>
      </c>
      <c r="E1719" s="4" t="str">
        <f>HYPERLINK("./Results/DLO\2565\Osteo_Sarco_1.png","RPT")</f>
        <v>RPT</v>
      </c>
      <c r="F1719" s="2" t="s">
        <v>121</v>
      </c>
      <c r="G1719" s="6"/>
      <c r="I1719"/>
      <c r="J1719"/>
      <c r="K1719"/>
    </row>
    <row r="1720" spans="1:11" x14ac:dyDescent="0.3">
      <c r="A1720" s="2" t="s">
        <v>3113</v>
      </c>
      <c r="B1720" s="2" t="s">
        <v>140</v>
      </c>
      <c r="C1720" s="2" t="s">
        <v>119</v>
      </c>
      <c r="D1720" s="2" t="s">
        <v>2867</v>
      </c>
      <c r="E1720" s="4" t="str">
        <f>HYPERLINK("./Results/DLO\2566\Osteo_Sarco_1.png","RPT")</f>
        <v>RPT</v>
      </c>
      <c r="F1720" s="2" t="s">
        <v>121</v>
      </c>
      <c r="G1720" s="6"/>
      <c r="H1720" s="1">
        <v>28.17</v>
      </c>
    </row>
    <row r="1721" spans="1:11" x14ac:dyDescent="0.3">
      <c r="A1721" s="2" t="s">
        <v>3119</v>
      </c>
      <c r="B1721" s="2" t="s">
        <v>112</v>
      </c>
      <c r="C1721" s="2" t="s">
        <v>111</v>
      </c>
      <c r="D1721" s="2" t="s">
        <v>2859</v>
      </c>
      <c r="E1721" s="4" t="str">
        <f>HYPERLINK("./Results/DLO\2567\Osteo_Sarco_1.png","RPT")</f>
        <v>RPT</v>
      </c>
      <c r="F1721" s="2" t="s">
        <v>121</v>
      </c>
      <c r="G1721" s="6"/>
      <c r="I1721"/>
      <c r="J1721"/>
      <c r="K1721"/>
    </row>
    <row r="1722" spans="1:11" x14ac:dyDescent="0.3">
      <c r="A1722" s="2" t="s">
        <v>3102</v>
      </c>
      <c r="B1722" s="2" t="s">
        <v>146</v>
      </c>
      <c r="C1722" s="2" t="s">
        <v>119</v>
      </c>
      <c r="D1722" s="2" t="s">
        <v>2859</v>
      </c>
      <c r="E1722" s="4" t="str">
        <f>HYPERLINK("./Results/DLO\2568\Osteo_Sarco_1.png","RPT")</f>
        <v>RPT</v>
      </c>
      <c r="F1722" s="2" t="s">
        <v>121</v>
      </c>
      <c r="G1722" s="6"/>
      <c r="I1722"/>
      <c r="J1722"/>
      <c r="K1722"/>
    </row>
    <row r="1723" spans="1:11" x14ac:dyDescent="0.3">
      <c r="A1723" s="2" t="s">
        <v>3099</v>
      </c>
      <c r="B1723" s="2" t="s">
        <v>165</v>
      </c>
      <c r="C1723" s="2" t="s">
        <v>119</v>
      </c>
      <c r="D1723" s="2" t="s">
        <v>2859</v>
      </c>
      <c r="E1723" s="4" t="str">
        <f>HYPERLINK("./Results/DLO\2569\Osteo_Sarco_1.png","RPT")</f>
        <v>RPT</v>
      </c>
      <c r="F1723" s="2" t="s">
        <v>121</v>
      </c>
      <c r="G1723" s="6"/>
      <c r="I1723"/>
      <c r="J1723"/>
      <c r="K1723"/>
    </row>
    <row r="1724" spans="1:11" x14ac:dyDescent="0.3">
      <c r="A1724" s="2" t="s">
        <v>3120</v>
      </c>
      <c r="B1724" s="2" t="s">
        <v>166</v>
      </c>
      <c r="C1724" s="2" t="s">
        <v>119</v>
      </c>
      <c r="D1724" s="2" t="s">
        <v>2859</v>
      </c>
      <c r="E1724" s="4" t="str">
        <f>HYPERLINK("./Results/DLO\257\Osteo_Sarco_1.png","RPT")</f>
        <v>RPT</v>
      </c>
      <c r="F1724" s="2" t="s">
        <v>121</v>
      </c>
      <c r="G1724" s="6"/>
      <c r="I1724"/>
      <c r="J1724"/>
      <c r="K1724"/>
    </row>
    <row r="1725" spans="1:11" x14ac:dyDescent="0.3">
      <c r="A1725" s="2" t="s">
        <v>3100</v>
      </c>
      <c r="B1725" s="2" t="s">
        <v>123</v>
      </c>
      <c r="C1725" s="2" t="s">
        <v>119</v>
      </c>
      <c r="D1725" s="2" t="s">
        <v>2859</v>
      </c>
      <c r="E1725" s="4" t="str">
        <f>HYPERLINK("./Results/DLO\2570\Osteo_Sarco_1.png","RPT")</f>
        <v>RPT</v>
      </c>
      <c r="F1725" s="2" t="s">
        <v>121</v>
      </c>
      <c r="G1725" s="6"/>
      <c r="H1725" s="1">
        <v>32.81</v>
      </c>
    </row>
    <row r="1726" spans="1:11" x14ac:dyDescent="0.3">
      <c r="A1726" s="2" t="s">
        <v>3106</v>
      </c>
      <c r="B1726" s="2" t="s">
        <v>170</v>
      </c>
      <c r="C1726" s="2" t="s">
        <v>119</v>
      </c>
      <c r="D1726" s="2" t="s">
        <v>2859</v>
      </c>
      <c r="E1726" s="4" t="str">
        <f>HYPERLINK("./Results/DLO\2571\Osteo_Sarco_1.png","RPT")</f>
        <v>RPT</v>
      </c>
      <c r="F1726" s="2" t="s">
        <v>121</v>
      </c>
      <c r="G1726" s="6"/>
      <c r="I1726"/>
      <c r="J1726"/>
      <c r="K1726"/>
    </row>
    <row r="1727" spans="1:11" x14ac:dyDescent="0.3">
      <c r="A1727" s="2" t="s">
        <v>3111</v>
      </c>
      <c r="B1727" s="2" t="s">
        <v>148</v>
      </c>
      <c r="C1727" s="2" t="s">
        <v>111</v>
      </c>
      <c r="D1727" s="2" t="s">
        <v>2859</v>
      </c>
      <c r="E1727" s="4" t="str">
        <f>HYPERLINK("./Results/DLO\2572\Osteo_Sarco_1.png","RPT")</f>
        <v>RPT</v>
      </c>
      <c r="F1727" s="2" t="s">
        <v>121</v>
      </c>
      <c r="G1727" s="6"/>
      <c r="I1727"/>
      <c r="J1727"/>
      <c r="K1727"/>
    </row>
    <row r="1728" spans="1:11" x14ac:dyDescent="0.3">
      <c r="A1728" s="2" t="s">
        <v>3101</v>
      </c>
      <c r="B1728" s="2" t="s">
        <v>129</v>
      </c>
      <c r="C1728" s="2" t="s">
        <v>111</v>
      </c>
      <c r="D1728" s="2" t="s">
        <v>2859</v>
      </c>
      <c r="E1728" s="4" t="str">
        <f>HYPERLINK("./Results/DLO\2573\Osteo_Sarco_1.png","RPT")</f>
        <v>RPT</v>
      </c>
      <c r="F1728" s="2" t="s">
        <v>121</v>
      </c>
      <c r="G1728" s="6"/>
      <c r="I1728"/>
      <c r="J1728"/>
      <c r="K1728"/>
    </row>
    <row r="1729" spans="1:11" x14ac:dyDescent="0.3">
      <c r="A1729" s="2" t="s">
        <v>3109</v>
      </c>
      <c r="B1729" s="2" t="s">
        <v>129</v>
      </c>
      <c r="C1729" s="2" t="s">
        <v>111</v>
      </c>
      <c r="D1729" s="2" t="s">
        <v>2867</v>
      </c>
      <c r="E1729" s="4" t="str">
        <f>HYPERLINK("./Results/DLO\2574\Osteo_Sarco_1.png","RPT")</f>
        <v>RPT</v>
      </c>
      <c r="F1729" s="2" t="s">
        <v>121</v>
      </c>
      <c r="G1729" s="6"/>
      <c r="I1729"/>
      <c r="J1729"/>
      <c r="K1729"/>
    </row>
    <row r="1730" spans="1:11" x14ac:dyDescent="0.3">
      <c r="A1730" s="2" t="s">
        <v>3114</v>
      </c>
      <c r="B1730" s="2" t="s">
        <v>148</v>
      </c>
      <c r="C1730" s="2" t="s">
        <v>119</v>
      </c>
      <c r="D1730" s="2" t="s">
        <v>1957</v>
      </c>
      <c r="E1730" s="4" t="str">
        <f>HYPERLINK("./Results/DLO\2575\Osteo_Sarco_1.png","RPT")</f>
        <v>RPT</v>
      </c>
      <c r="F1730" s="2" t="s">
        <v>121</v>
      </c>
      <c r="G1730" s="6"/>
      <c r="I1730"/>
      <c r="J1730"/>
      <c r="K1730"/>
    </row>
    <row r="1731" spans="1:11" x14ac:dyDescent="0.3">
      <c r="A1731" s="2" t="s">
        <v>3107</v>
      </c>
      <c r="B1731" s="2" t="s">
        <v>137</v>
      </c>
      <c r="C1731" s="2" t="s">
        <v>119</v>
      </c>
      <c r="D1731" s="2" t="s">
        <v>2867</v>
      </c>
      <c r="E1731" s="4" t="str">
        <f>HYPERLINK("./Results/DLO\2576\Osteo_Sarco_1.png","RPT")</f>
        <v>RPT</v>
      </c>
      <c r="F1731" s="2" t="s">
        <v>121</v>
      </c>
      <c r="G1731" s="6"/>
      <c r="I1731"/>
      <c r="J1731"/>
      <c r="K1731"/>
    </row>
    <row r="1732" spans="1:11" x14ac:dyDescent="0.3">
      <c r="A1732" s="2" t="s">
        <v>3098</v>
      </c>
      <c r="B1732" s="2" t="s">
        <v>120</v>
      </c>
      <c r="C1732" s="2" t="s">
        <v>111</v>
      </c>
      <c r="D1732" s="2" t="s">
        <v>2867</v>
      </c>
      <c r="E1732" s="4" t="str">
        <f>HYPERLINK("./Results/DLO\2577\Osteo_Sarco_1.png","RPT")</f>
        <v>RPT</v>
      </c>
      <c r="F1732" s="2" t="s">
        <v>121</v>
      </c>
      <c r="G1732" s="6"/>
      <c r="I1732"/>
      <c r="J1732"/>
      <c r="K1732"/>
    </row>
    <row r="1733" spans="1:11" x14ac:dyDescent="0.3">
      <c r="A1733" s="2" t="s">
        <v>3117</v>
      </c>
      <c r="B1733" s="2" t="s">
        <v>126</v>
      </c>
      <c r="C1733" s="2" t="s">
        <v>119</v>
      </c>
      <c r="D1733" s="2" t="s">
        <v>2859</v>
      </c>
      <c r="E1733" s="4" t="str">
        <f>HYPERLINK("./Results/DLO\2578\Osteo_Sarco_1.png","RPT")</f>
        <v>RPT</v>
      </c>
      <c r="F1733" s="2" t="s">
        <v>121</v>
      </c>
      <c r="G1733" s="6"/>
      <c r="I1733"/>
      <c r="J1733"/>
      <c r="K1733"/>
    </row>
    <row r="1734" spans="1:11" x14ac:dyDescent="0.3">
      <c r="A1734" s="2" t="s">
        <v>3103</v>
      </c>
      <c r="B1734" s="2" t="s">
        <v>123</v>
      </c>
      <c r="C1734" s="2" t="s">
        <v>111</v>
      </c>
      <c r="D1734" s="2" t="s">
        <v>2867</v>
      </c>
      <c r="E1734" s="4" t="str">
        <f>HYPERLINK("./Results/DLO\2579\Osteo_Sarco_1.png","RPT")</f>
        <v>RPT</v>
      </c>
      <c r="F1734" s="2" t="s">
        <v>121</v>
      </c>
      <c r="G1734" s="6"/>
      <c r="I1734"/>
      <c r="J1734"/>
      <c r="K1734"/>
    </row>
    <row r="1735" spans="1:11" x14ac:dyDescent="0.3">
      <c r="A1735" s="2" t="s">
        <v>3115</v>
      </c>
      <c r="B1735" s="2" t="s">
        <v>129</v>
      </c>
      <c r="C1735" s="2" t="s">
        <v>119</v>
      </c>
      <c r="D1735" s="2" t="s">
        <v>2859</v>
      </c>
      <c r="E1735" s="4" t="str">
        <f>HYPERLINK("./Results/DLO\258\Osteo_Sarco_1.png","RPT")</f>
        <v>RPT</v>
      </c>
      <c r="F1735" s="2" t="s">
        <v>121</v>
      </c>
      <c r="G1735" s="6"/>
      <c r="I1735"/>
      <c r="J1735"/>
      <c r="K1735"/>
    </row>
    <row r="1736" spans="1:11" x14ac:dyDescent="0.3">
      <c r="A1736" s="2" t="s">
        <v>3118</v>
      </c>
      <c r="B1736" s="2" t="s">
        <v>114</v>
      </c>
      <c r="C1736" s="2" t="s">
        <v>119</v>
      </c>
      <c r="D1736" s="2" t="s">
        <v>2859</v>
      </c>
      <c r="E1736" s="4" t="str">
        <f>HYPERLINK("./Results/DLO\2580\Osteo_Sarco_1.png","RPT")</f>
        <v>RPT</v>
      </c>
      <c r="F1736" s="2" t="s">
        <v>121</v>
      </c>
      <c r="G1736" s="6"/>
      <c r="I1736"/>
      <c r="J1736"/>
      <c r="K1736"/>
    </row>
    <row r="1737" spans="1:11" x14ac:dyDescent="0.3">
      <c r="A1737" s="2" t="s">
        <v>3104</v>
      </c>
      <c r="B1737" s="2" t="s">
        <v>132</v>
      </c>
      <c r="C1737" s="2" t="s">
        <v>111</v>
      </c>
      <c r="D1737" s="2" t="s">
        <v>2867</v>
      </c>
      <c r="E1737" s="4" t="str">
        <f>HYPERLINK("./Results/DLO\2581\Osteo_Sarco_1.png","RPT")</f>
        <v>RPT</v>
      </c>
      <c r="F1737" s="2" t="s">
        <v>121</v>
      </c>
      <c r="G1737" s="6"/>
      <c r="H1737" s="1">
        <v>24.24</v>
      </c>
    </row>
    <row r="1738" spans="1:11" x14ac:dyDescent="0.3">
      <c r="A1738" s="2" t="s">
        <v>3105</v>
      </c>
      <c r="B1738" s="2" t="s">
        <v>590</v>
      </c>
      <c r="C1738" s="2" t="s">
        <v>119</v>
      </c>
      <c r="D1738" s="2" t="s">
        <v>2867</v>
      </c>
      <c r="E1738" s="4" t="str">
        <f>HYPERLINK("./Results/DLO\2582\Osteo_Sarco_1.png","RPT")</f>
        <v>RPT</v>
      </c>
      <c r="F1738" s="2" t="s">
        <v>121</v>
      </c>
      <c r="G1738" s="6"/>
      <c r="H1738" s="1">
        <v>26.16</v>
      </c>
    </row>
    <row r="1739" spans="1:11" x14ac:dyDescent="0.3">
      <c r="A1739" s="2" t="s">
        <v>3108</v>
      </c>
      <c r="B1739" s="2" t="s">
        <v>139</v>
      </c>
      <c r="C1739" s="2" t="s">
        <v>111</v>
      </c>
      <c r="D1739" s="2" t="s">
        <v>2867</v>
      </c>
      <c r="E1739" s="4" t="str">
        <f>HYPERLINK("./Results/DLO\2584\Osteo_Sarco_1.png","RPT")</f>
        <v>RPT</v>
      </c>
      <c r="F1739" s="2" t="s">
        <v>121</v>
      </c>
      <c r="G1739" s="6"/>
      <c r="H1739" s="1">
        <v>28.01</v>
      </c>
    </row>
    <row r="1740" spans="1:11" x14ac:dyDescent="0.3">
      <c r="A1740" s="2" t="s">
        <v>3110</v>
      </c>
      <c r="B1740" s="2" t="s">
        <v>118</v>
      </c>
      <c r="C1740" s="2" t="s">
        <v>119</v>
      </c>
      <c r="D1740" s="2" t="s">
        <v>2867</v>
      </c>
      <c r="E1740" s="4" t="str">
        <f>HYPERLINK("./Results/DLO\2585\Osteo_Sarco_1.png","RPT")</f>
        <v>RPT</v>
      </c>
      <c r="F1740" s="2" t="s">
        <v>121</v>
      </c>
      <c r="G1740" s="6"/>
      <c r="H1740" s="1">
        <v>24.24</v>
      </c>
    </row>
    <row r="1741" spans="1:11" x14ac:dyDescent="0.3">
      <c r="A1741" s="2" t="s">
        <v>3123</v>
      </c>
      <c r="B1741" s="2" t="s">
        <v>159</v>
      </c>
      <c r="C1741" s="2" t="s">
        <v>111</v>
      </c>
      <c r="D1741" s="2" t="s">
        <v>2867</v>
      </c>
      <c r="E1741" s="4" t="str">
        <f>HYPERLINK("./Results/DLO\2586\Osteo_Sarco_1.png","RPT")</f>
        <v>RPT</v>
      </c>
      <c r="F1741" s="2" t="s">
        <v>121</v>
      </c>
      <c r="G1741" s="6"/>
      <c r="I1741"/>
      <c r="J1741"/>
      <c r="K1741"/>
    </row>
    <row r="1742" spans="1:11" x14ac:dyDescent="0.3">
      <c r="A1742" s="2" t="s">
        <v>3124</v>
      </c>
      <c r="B1742" s="2" t="s">
        <v>148</v>
      </c>
      <c r="C1742" s="2" t="s">
        <v>119</v>
      </c>
      <c r="D1742" s="2" t="s">
        <v>1957</v>
      </c>
      <c r="E1742" s="4" t="str">
        <f>HYPERLINK("./Results/DLO\2588\Osteo_Sarco_1.png","RPT")</f>
        <v>RPT</v>
      </c>
      <c r="F1742" s="2" t="s">
        <v>121</v>
      </c>
      <c r="G1742" s="6"/>
      <c r="I1742"/>
      <c r="J1742"/>
      <c r="K1742"/>
    </row>
    <row r="1743" spans="1:11" x14ac:dyDescent="0.3">
      <c r="A1743" s="2" t="s">
        <v>3129</v>
      </c>
      <c r="B1743" s="2" t="s">
        <v>138</v>
      </c>
      <c r="C1743" s="2" t="s">
        <v>119</v>
      </c>
      <c r="D1743" s="2" t="s">
        <v>2859</v>
      </c>
      <c r="E1743" s="4" t="str">
        <f>HYPERLINK("./Results/DLO\2589\Osteo_Sarco_1.png","RPT")</f>
        <v>RPT</v>
      </c>
      <c r="F1743" s="2" t="s">
        <v>121</v>
      </c>
      <c r="G1743" s="6"/>
      <c r="I1743"/>
      <c r="J1743"/>
      <c r="K1743"/>
    </row>
    <row r="1744" spans="1:11" x14ac:dyDescent="0.3">
      <c r="A1744" s="2" t="s">
        <v>3127</v>
      </c>
      <c r="B1744" s="2" t="s">
        <v>159</v>
      </c>
      <c r="C1744" s="2" t="s">
        <v>111</v>
      </c>
      <c r="D1744" s="2" t="s">
        <v>2859</v>
      </c>
      <c r="E1744" s="4" t="str">
        <f>HYPERLINK("./Results/DLO\259\Osteo_Sarco_1.png","RPT")</f>
        <v>RPT</v>
      </c>
      <c r="F1744" s="2" t="s">
        <v>121</v>
      </c>
      <c r="G1744" s="6"/>
      <c r="I1744"/>
      <c r="J1744"/>
      <c r="K1744"/>
    </row>
    <row r="1745" spans="1:11" x14ac:dyDescent="0.3">
      <c r="A1745" s="2" t="s">
        <v>3138</v>
      </c>
      <c r="B1745" s="2" t="s">
        <v>123</v>
      </c>
      <c r="C1745" s="2" t="s">
        <v>119</v>
      </c>
      <c r="D1745" s="2" t="s">
        <v>2867</v>
      </c>
      <c r="E1745" s="4" t="str">
        <f>HYPERLINK("./Results/DLO\2590\Osteo_Sarco_1.png","RPT")</f>
        <v>RPT</v>
      </c>
      <c r="F1745" s="2" t="s">
        <v>121</v>
      </c>
      <c r="G1745" s="6"/>
      <c r="I1745"/>
      <c r="J1745"/>
      <c r="K1745"/>
    </row>
    <row r="1746" spans="1:11" x14ac:dyDescent="0.3">
      <c r="A1746" s="2" t="s">
        <v>3126</v>
      </c>
      <c r="B1746" s="2" t="s">
        <v>151</v>
      </c>
      <c r="C1746" s="2" t="s">
        <v>111</v>
      </c>
      <c r="D1746" s="2" t="s">
        <v>2859</v>
      </c>
      <c r="E1746" s="4" t="str">
        <f>HYPERLINK("./Results/DLO\2591\Osteo_Sarco_1.png","RPT")</f>
        <v>RPT</v>
      </c>
      <c r="F1746" s="2" t="s">
        <v>121</v>
      </c>
      <c r="G1746" s="6"/>
      <c r="I1746"/>
      <c r="J1746"/>
      <c r="K1746"/>
    </row>
    <row r="1747" spans="1:11" x14ac:dyDescent="0.3">
      <c r="A1747" s="2" t="s">
        <v>3130</v>
      </c>
      <c r="B1747" s="2" t="s">
        <v>130</v>
      </c>
      <c r="C1747" s="2" t="s">
        <v>119</v>
      </c>
      <c r="D1747" s="2" t="s">
        <v>2859</v>
      </c>
      <c r="E1747" s="4" t="str">
        <f>HYPERLINK("./Results/DLO\2592\Osteo_Sarco_1.png","RPT")</f>
        <v>RPT</v>
      </c>
      <c r="F1747" s="2" t="s">
        <v>121</v>
      </c>
      <c r="G1747" s="6"/>
      <c r="I1747"/>
      <c r="J1747"/>
      <c r="K1747"/>
    </row>
    <row r="1748" spans="1:11" x14ac:dyDescent="0.3">
      <c r="A1748" s="2" t="s">
        <v>3132</v>
      </c>
      <c r="B1748" s="2" t="s">
        <v>146</v>
      </c>
      <c r="C1748" s="2" t="s">
        <v>119</v>
      </c>
      <c r="D1748" s="2" t="s">
        <v>2859</v>
      </c>
      <c r="E1748" s="4" t="str">
        <f>HYPERLINK("./Results/DLO\2593\Osteo_Sarco_1.png","RPT")</f>
        <v>RPT</v>
      </c>
      <c r="F1748" s="2" t="s">
        <v>121</v>
      </c>
      <c r="G1748" s="6"/>
      <c r="I1748"/>
      <c r="J1748"/>
      <c r="K1748"/>
    </row>
    <row r="1749" spans="1:11" x14ac:dyDescent="0.3">
      <c r="A1749" s="2" t="s">
        <v>3125</v>
      </c>
      <c r="B1749" s="2" t="s">
        <v>166</v>
      </c>
      <c r="C1749" s="2" t="s">
        <v>119</v>
      </c>
      <c r="D1749" s="2" t="s">
        <v>2867</v>
      </c>
      <c r="E1749" s="4" t="str">
        <f>HYPERLINK("./Results/DLO\2594\Osteo_Sarco_1.png","RPT")</f>
        <v>RPT</v>
      </c>
      <c r="F1749" s="2" t="s">
        <v>121</v>
      </c>
      <c r="G1749" s="6"/>
      <c r="I1749"/>
      <c r="J1749"/>
      <c r="K1749"/>
    </row>
    <row r="1750" spans="1:11" x14ac:dyDescent="0.3">
      <c r="A1750" s="2" t="s">
        <v>3131</v>
      </c>
      <c r="B1750" s="2" t="s">
        <v>160</v>
      </c>
      <c r="C1750" s="2" t="s">
        <v>119</v>
      </c>
      <c r="D1750" s="2" t="s">
        <v>2859</v>
      </c>
      <c r="E1750" s="4" t="str">
        <f>HYPERLINK("./Results/DLO\2595\Osteo_Sarco_1.png","RPT")</f>
        <v>RPT</v>
      </c>
      <c r="F1750" s="2" t="s">
        <v>121</v>
      </c>
      <c r="G1750" s="6"/>
      <c r="I1750"/>
      <c r="J1750"/>
      <c r="K1750"/>
    </row>
    <row r="1751" spans="1:11" x14ac:dyDescent="0.3">
      <c r="A1751" s="2" t="s">
        <v>3137</v>
      </c>
      <c r="B1751" s="2" t="s">
        <v>131</v>
      </c>
      <c r="C1751" s="2" t="s">
        <v>111</v>
      </c>
      <c r="D1751" s="2" t="s">
        <v>2859</v>
      </c>
      <c r="E1751" s="4" t="str">
        <f>HYPERLINK("./Results/DLO\2596\Osteo_Sarco_1.png","RPT")</f>
        <v>RPT</v>
      </c>
      <c r="F1751" s="2" t="s">
        <v>121</v>
      </c>
      <c r="G1751" s="6"/>
      <c r="H1751" s="1">
        <v>23.66</v>
      </c>
    </row>
    <row r="1752" spans="1:11" x14ac:dyDescent="0.3">
      <c r="A1752" s="2" t="s">
        <v>3133</v>
      </c>
      <c r="B1752" s="2" t="s">
        <v>141</v>
      </c>
      <c r="C1752" s="2" t="s">
        <v>119</v>
      </c>
      <c r="D1752" s="2" t="s">
        <v>2867</v>
      </c>
      <c r="E1752" s="4" t="str">
        <f>HYPERLINK("./Results/DLO\2597\Osteo_Sarco_1.png","RPT")</f>
        <v>RPT</v>
      </c>
      <c r="F1752" s="2" t="s">
        <v>121</v>
      </c>
      <c r="G1752" s="6"/>
      <c r="I1752"/>
      <c r="J1752"/>
      <c r="K1752"/>
    </row>
    <row r="1753" spans="1:11" x14ac:dyDescent="0.3">
      <c r="A1753" s="2" t="s">
        <v>3134</v>
      </c>
      <c r="B1753" s="2" t="s">
        <v>126</v>
      </c>
      <c r="C1753" s="2" t="s">
        <v>111</v>
      </c>
      <c r="D1753" s="2" t="s">
        <v>2867</v>
      </c>
      <c r="E1753" s="4" t="str">
        <f>HYPERLINK("./Results/DLO\2598\Osteo_Sarco_1.png","RPT")</f>
        <v>RPT</v>
      </c>
      <c r="F1753" s="2" t="s">
        <v>121</v>
      </c>
      <c r="G1753" s="6"/>
      <c r="I1753"/>
      <c r="J1753"/>
      <c r="K1753"/>
    </row>
    <row r="1754" spans="1:11" x14ac:dyDescent="0.3">
      <c r="A1754" s="2" t="s">
        <v>3128</v>
      </c>
      <c r="B1754" s="2" t="s">
        <v>573</v>
      </c>
      <c r="C1754" s="2" t="s">
        <v>119</v>
      </c>
      <c r="D1754" s="2" t="s">
        <v>2859</v>
      </c>
      <c r="E1754" s="4" t="str">
        <f>HYPERLINK("./Results/DLO\2599\Osteo_Sarco_1.png","RPT")</f>
        <v>RPT</v>
      </c>
      <c r="F1754" s="2" t="s">
        <v>121</v>
      </c>
      <c r="G1754" s="6"/>
      <c r="I1754"/>
      <c r="J1754"/>
      <c r="K1754"/>
    </row>
    <row r="1755" spans="1:11" x14ac:dyDescent="0.3">
      <c r="A1755" s="2" t="s">
        <v>3140</v>
      </c>
      <c r="B1755" s="2" t="s">
        <v>581</v>
      </c>
      <c r="C1755" s="2" t="s">
        <v>119</v>
      </c>
      <c r="D1755" s="2" t="s">
        <v>2867</v>
      </c>
      <c r="E1755" s="4" t="str">
        <f>HYPERLINK("./Results/DLO\26\Osteo_Sarco_1.png","RPT")</f>
        <v>RPT</v>
      </c>
      <c r="F1755" s="2" t="s">
        <v>121</v>
      </c>
      <c r="G1755" s="6"/>
      <c r="H1755" s="1">
        <v>18.48</v>
      </c>
    </row>
    <row r="1756" spans="1:11" x14ac:dyDescent="0.3">
      <c r="A1756" s="2" t="s">
        <v>3135</v>
      </c>
      <c r="B1756" s="2" t="s">
        <v>170</v>
      </c>
      <c r="C1756" s="2" t="s">
        <v>111</v>
      </c>
      <c r="D1756" s="2" t="s">
        <v>2859</v>
      </c>
      <c r="E1756" s="4" t="str">
        <f>HYPERLINK("./Results/DLO\260\Osteo_Sarco_1.png","RPT")</f>
        <v>RPT</v>
      </c>
      <c r="F1756" s="2" t="s">
        <v>121</v>
      </c>
      <c r="G1756" s="6"/>
      <c r="I1756"/>
      <c r="J1756"/>
      <c r="K1756"/>
    </row>
    <row r="1757" spans="1:11" x14ac:dyDescent="0.3">
      <c r="A1757" s="2" t="s">
        <v>3136</v>
      </c>
      <c r="B1757" s="2" t="s">
        <v>147</v>
      </c>
      <c r="C1757" s="2" t="s">
        <v>111</v>
      </c>
      <c r="D1757" s="2" t="s">
        <v>1960</v>
      </c>
      <c r="E1757" s="4" t="str">
        <f>HYPERLINK("./Results/DLO\2600\Osteo_Sarco_1.png","RPT")</f>
        <v>RPT</v>
      </c>
      <c r="F1757" s="2" t="s">
        <v>121</v>
      </c>
      <c r="G1757" s="6"/>
      <c r="I1757"/>
      <c r="J1757"/>
      <c r="K1757"/>
    </row>
    <row r="1758" spans="1:11" x14ac:dyDescent="0.3">
      <c r="A1758" s="2" t="s">
        <v>3139</v>
      </c>
      <c r="B1758" s="2" t="s">
        <v>114</v>
      </c>
      <c r="C1758" s="2" t="s">
        <v>119</v>
      </c>
      <c r="D1758" s="2" t="s">
        <v>2859</v>
      </c>
      <c r="E1758" s="4" t="str">
        <f>HYPERLINK("./Results/DLO\2601\Osteo_Sarco_1.png","RPT")</f>
        <v>RPT</v>
      </c>
      <c r="F1758" s="2" t="s">
        <v>121</v>
      </c>
      <c r="G1758" s="6"/>
      <c r="H1758" s="1">
        <v>23.72</v>
      </c>
    </row>
    <row r="1759" spans="1:11" x14ac:dyDescent="0.3">
      <c r="A1759" s="2" t="s">
        <v>3141</v>
      </c>
      <c r="B1759" s="2" t="s">
        <v>140</v>
      </c>
      <c r="C1759" s="2" t="s">
        <v>111</v>
      </c>
      <c r="D1759" s="2" t="s">
        <v>2867</v>
      </c>
      <c r="E1759" s="4" t="str">
        <f>HYPERLINK("./Results/DLO\2602\Osteo_Sarco_1.png","RPT")</f>
        <v>RPT</v>
      </c>
      <c r="F1759" s="2" t="s">
        <v>121</v>
      </c>
      <c r="G1759" s="6"/>
      <c r="H1759" s="1">
        <v>28.08</v>
      </c>
    </row>
    <row r="1760" spans="1:11" x14ac:dyDescent="0.3">
      <c r="A1760" s="2" t="s">
        <v>3142</v>
      </c>
      <c r="B1760" s="2" t="s">
        <v>140</v>
      </c>
      <c r="C1760" s="2" t="s">
        <v>111</v>
      </c>
      <c r="D1760" s="2" t="s">
        <v>2859</v>
      </c>
      <c r="E1760" s="4" t="str">
        <f>HYPERLINK("./Results/DLO\2603\Osteo_Sarco_1.png","RPT")</f>
        <v>RPT</v>
      </c>
      <c r="F1760" s="2" t="s">
        <v>121</v>
      </c>
      <c r="G1760" s="6"/>
      <c r="I1760"/>
      <c r="J1760"/>
      <c r="K1760"/>
    </row>
    <row r="1761" spans="1:11" x14ac:dyDescent="0.3">
      <c r="A1761" s="2" t="s">
        <v>3121</v>
      </c>
      <c r="B1761" s="2" t="s">
        <v>131</v>
      </c>
      <c r="C1761" s="2" t="s">
        <v>111</v>
      </c>
      <c r="D1761" s="2" t="s">
        <v>2859</v>
      </c>
      <c r="E1761" s="4" t="str">
        <f>HYPERLINK("./Results/DLO\2604\Osteo_Sarco_1.png","RPT")</f>
        <v>RPT</v>
      </c>
      <c r="F1761" s="2" t="s">
        <v>121</v>
      </c>
      <c r="G1761" s="6"/>
      <c r="I1761"/>
      <c r="J1761"/>
      <c r="K1761"/>
    </row>
    <row r="1762" spans="1:11" x14ac:dyDescent="0.3">
      <c r="A1762" s="2" t="s">
        <v>3122</v>
      </c>
      <c r="B1762" s="2" t="s">
        <v>140</v>
      </c>
      <c r="C1762" s="2" t="s">
        <v>119</v>
      </c>
      <c r="D1762" s="2" t="s">
        <v>2867</v>
      </c>
      <c r="E1762" s="4" t="str">
        <f>HYPERLINK("./Results/DLO\2605\Osteo_Sarco_1.png","RPT")</f>
        <v>RPT</v>
      </c>
      <c r="F1762" s="2" t="s">
        <v>121</v>
      </c>
      <c r="G1762" s="6"/>
      <c r="I1762"/>
      <c r="J1762"/>
      <c r="K1762"/>
    </row>
    <row r="1763" spans="1:11" x14ac:dyDescent="0.3">
      <c r="A1763" s="2" t="s">
        <v>3161</v>
      </c>
      <c r="B1763" s="2" t="s">
        <v>123</v>
      </c>
      <c r="C1763" s="2" t="s">
        <v>119</v>
      </c>
      <c r="D1763" s="2" t="s">
        <v>2859</v>
      </c>
      <c r="E1763" s="4" t="str">
        <f>HYPERLINK("./Results/DLO\2606\Osteo_Sarco_1.png","RPT")</f>
        <v>RPT</v>
      </c>
      <c r="F1763" s="2" t="s">
        <v>121</v>
      </c>
      <c r="G1763" s="6"/>
      <c r="H1763" s="1">
        <v>25.13</v>
      </c>
    </row>
    <row r="1764" spans="1:11" x14ac:dyDescent="0.3">
      <c r="A1764" s="2" t="s">
        <v>3166</v>
      </c>
      <c r="B1764" s="2" t="s">
        <v>127</v>
      </c>
      <c r="C1764" s="2" t="s">
        <v>111</v>
      </c>
      <c r="D1764" s="2" t="s">
        <v>2867</v>
      </c>
      <c r="E1764" s="4" t="str">
        <f>HYPERLINK("./Results/DLO\2607\Osteo_Sarco_1.png","RPT")</f>
        <v>RPT</v>
      </c>
      <c r="F1764" s="2" t="s">
        <v>121</v>
      </c>
      <c r="G1764" s="6"/>
      <c r="I1764"/>
      <c r="J1764"/>
      <c r="K1764"/>
    </row>
    <row r="1765" spans="1:11" x14ac:dyDescent="0.3">
      <c r="A1765" s="2" t="s">
        <v>3160</v>
      </c>
      <c r="B1765" s="2" t="s">
        <v>148</v>
      </c>
      <c r="C1765" s="2" t="s">
        <v>111</v>
      </c>
      <c r="D1765" s="2" t="s">
        <v>2859</v>
      </c>
      <c r="E1765" s="4" t="str">
        <f>HYPERLINK("./Results/DLO\2608\Osteo_Sarco_1.png","RPT")</f>
        <v>RPT</v>
      </c>
      <c r="F1765" s="2" t="s">
        <v>121</v>
      </c>
      <c r="G1765" s="6"/>
      <c r="H1765" s="1">
        <v>16.899999999999999</v>
      </c>
    </row>
    <row r="1766" spans="1:11" x14ac:dyDescent="0.3">
      <c r="A1766" s="2" t="s">
        <v>3149</v>
      </c>
      <c r="B1766" s="2" t="s">
        <v>573</v>
      </c>
      <c r="C1766" s="2" t="s">
        <v>111</v>
      </c>
      <c r="D1766" s="2" t="s">
        <v>2867</v>
      </c>
      <c r="E1766" s="4" t="str">
        <f>HYPERLINK("./Results/DLO\2609\Osteo_Sarco_1.png","RPT")</f>
        <v>RPT</v>
      </c>
      <c r="F1766" s="2" t="s">
        <v>121</v>
      </c>
      <c r="G1766" s="6"/>
      <c r="I1766"/>
      <c r="J1766"/>
      <c r="K1766"/>
    </row>
    <row r="1767" spans="1:11" x14ac:dyDescent="0.3">
      <c r="A1767" s="2" t="s">
        <v>3152</v>
      </c>
      <c r="B1767" s="2" t="s">
        <v>157</v>
      </c>
      <c r="C1767" s="2" t="s">
        <v>111</v>
      </c>
      <c r="D1767" s="2" t="s">
        <v>2867</v>
      </c>
      <c r="E1767" s="4" t="str">
        <f>HYPERLINK("./Results/DLO\261\Osteo_Sarco_1.png","RPT")</f>
        <v>RPT</v>
      </c>
      <c r="F1767" s="2" t="s">
        <v>121</v>
      </c>
      <c r="G1767" s="6"/>
      <c r="I1767"/>
      <c r="J1767"/>
      <c r="K1767"/>
    </row>
    <row r="1768" spans="1:11" x14ac:dyDescent="0.3">
      <c r="A1768" s="2" t="s">
        <v>3145</v>
      </c>
      <c r="B1768" s="2" t="s">
        <v>144</v>
      </c>
      <c r="C1768" s="2" t="s">
        <v>119</v>
      </c>
      <c r="D1768" s="2" t="s">
        <v>2859</v>
      </c>
      <c r="E1768" s="4" t="str">
        <f>HYPERLINK("./Results/DLO\2610\Osteo_Sarco_1.png","RPT")</f>
        <v>RPT</v>
      </c>
      <c r="F1768" s="2" t="s">
        <v>121</v>
      </c>
      <c r="G1768" s="6"/>
      <c r="I1768"/>
      <c r="J1768"/>
      <c r="K1768"/>
    </row>
    <row r="1769" spans="1:11" x14ac:dyDescent="0.3">
      <c r="A1769" s="2" t="s">
        <v>3157</v>
      </c>
      <c r="B1769" s="2" t="s">
        <v>138</v>
      </c>
      <c r="C1769" s="2" t="s">
        <v>111</v>
      </c>
      <c r="D1769" s="2" t="s">
        <v>2859</v>
      </c>
      <c r="E1769" s="4" t="str">
        <f>HYPERLINK("./Results/DLO\2611\Osteo_Sarco_1.png","RPT")</f>
        <v>RPT</v>
      </c>
      <c r="F1769" s="2" t="s">
        <v>121</v>
      </c>
      <c r="G1769" s="6"/>
      <c r="I1769"/>
      <c r="J1769"/>
      <c r="K1769"/>
    </row>
    <row r="1770" spans="1:11" x14ac:dyDescent="0.3">
      <c r="A1770" s="2" t="s">
        <v>3154</v>
      </c>
      <c r="B1770" s="2" t="s">
        <v>164</v>
      </c>
      <c r="C1770" s="2" t="s">
        <v>119</v>
      </c>
      <c r="D1770" s="2" t="s">
        <v>2859</v>
      </c>
      <c r="E1770" s="4" t="str">
        <f>HYPERLINK("./Results/DLO\2612\Osteo_Sarco_1.png","RPT")</f>
        <v>RPT</v>
      </c>
      <c r="F1770" s="2" t="s">
        <v>121</v>
      </c>
      <c r="G1770" s="6"/>
      <c r="H1770" s="1">
        <v>23.62</v>
      </c>
    </row>
    <row r="1771" spans="1:11" x14ac:dyDescent="0.3">
      <c r="A1771" s="2" t="s">
        <v>3167</v>
      </c>
      <c r="B1771" s="2" t="s">
        <v>152</v>
      </c>
      <c r="C1771" s="2" t="s">
        <v>111</v>
      </c>
      <c r="D1771" s="2" t="s">
        <v>2867</v>
      </c>
      <c r="E1771" s="4" t="str">
        <f>HYPERLINK("./Results/DLO\2613\Osteo_Sarco_1.png","RPT")</f>
        <v>RPT</v>
      </c>
      <c r="F1771" s="2" t="s">
        <v>121</v>
      </c>
      <c r="G1771" s="6"/>
      <c r="I1771"/>
      <c r="J1771"/>
      <c r="K1771"/>
    </row>
    <row r="1772" spans="1:11" x14ac:dyDescent="0.3">
      <c r="A1772" s="2" t="s">
        <v>3155</v>
      </c>
      <c r="B1772" s="2" t="s">
        <v>165</v>
      </c>
      <c r="C1772" s="2" t="s">
        <v>119</v>
      </c>
      <c r="D1772" s="2" t="s">
        <v>2859</v>
      </c>
      <c r="E1772" s="4" t="str">
        <f>HYPERLINK("./Results/DLO\2614\Osteo_Sarco_1.png","RPT")</f>
        <v>RPT</v>
      </c>
      <c r="F1772" s="2" t="s">
        <v>121</v>
      </c>
      <c r="G1772" s="6"/>
      <c r="I1772"/>
      <c r="J1772"/>
      <c r="K1772"/>
    </row>
    <row r="1773" spans="1:11" x14ac:dyDescent="0.3">
      <c r="A1773" s="2" t="s">
        <v>3143</v>
      </c>
      <c r="B1773" s="2" t="s">
        <v>137</v>
      </c>
      <c r="C1773" s="2" t="s">
        <v>119</v>
      </c>
      <c r="D1773" s="2" t="s">
        <v>2859</v>
      </c>
      <c r="E1773" s="4" t="str">
        <f>HYPERLINK("./Results/DLO\2615\Osteo_Sarco_1.png","RPT")</f>
        <v>RPT</v>
      </c>
      <c r="F1773" s="2" t="s">
        <v>121</v>
      </c>
      <c r="G1773" s="6"/>
      <c r="I1773"/>
      <c r="J1773"/>
      <c r="K1773"/>
    </row>
    <row r="1774" spans="1:11" x14ac:dyDescent="0.3">
      <c r="A1774" s="2" t="s">
        <v>3151</v>
      </c>
      <c r="B1774" s="2" t="s">
        <v>587</v>
      </c>
      <c r="C1774" s="2" t="s">
        <v>119</v>
      </c>
      <c r="D1774" s="2" t="s">
        <v>2859</v>
      </c>
      <c r="E1774" s="4" t="str">
        <f>HYPERLINK("./Results/DLO\2616\Osteo_Sarco_1.png","RPT")</f>
        <v>RPT</v>
      </c>
      <c r="F1774" s="2" t="s">
        <v>121</v>
      </c>
      <c r="G1774" s="6"/>
      <c r="I1774"/>
      <c r="J1774"/>
      <c r="K1774"/>
    </row>
    <row r="1775" spans="1:11" x14ac:dyDescent="0.3">
      <c r="A1775" s="2" t="s">
        <v>3150</v>
      </c>
      <c r="B1775" s="2" t="s">
        <v>137</v>
      </c>
      <c r="C1775" s="2" t="s">
        <v>111</v>
      </c>
      <c r="D1775" s="2" t="s">
        <v>2859</v>
      </c>
      <c r="E1775" s="4" t="str">
        <f>HYPERLINK("./Results/DLO\2617\Osteo_Sarco_1.png","RPT")</f>
        <v>RPT</v>
      </c>
      <c r="F1775" s="2" t="s">
        <v>121</v>
      </c>
      <c r="G1775" s="6"/>
      <c r="H1775" s="1">
        <v>26.85</v>
      </c>
    </row>
    <row r="1776" spans="1:11" x14ac:dyDescent="0.3">
      <c r="A1776" s="2" t="s">
        <v>3148</v>
      </c>
      <c r="B1776" s="2" t="s">
        <v>170</v>
      </c>
      <c r="C1776" s="2" t="s">
        <v>119</v>
      </c>
      <c r="D1776" s="2" t="s">
        <v>2859</v>
      </c>
      <c r="E1776" s="4" t="str">
        <f>HYPERLINK("./Results/DLO\2618\Osteo_Sarco_1.png","RPT")</f>
        <v>RPT</v>
      </c>
      <c r="F1776" s="2" t="s">
        <v>121</v>
      </c>
      <c r="G1776" s="6"/>
      <c r="H1776" s="1">
        <v>23.43</v>
      </c>
    </row>
    <row r="1777" spans="1:11" x14ac:dyDescent="0.3">
      <c r="A1777" s="2" t="s">
        <v>3158</v>
      </c>
      <c r="B1777" s="2" t="s">
        <v>129</v>
      </c>
      <c r="C1777" s="2" t="s">
        <v>111</v>
      </c>
      <c r="D1777" s="2" t="s">
        <v>2859</v>
      </c>
      <c r="E1777" s="4" t="str">
        <f>HYPERLINK("./Results/DLO\2619\Osteo_Sarco_1.png","RPT")</f>
        <v>RPT</v>
      </c>
      <c r="F1777" s="2" t="s">
        <v>121</v>
      </c>
      <c r="G1777" s="6"/>
      <c r="I1777"/>
      <c r="J1777"/>
      <c r="K1777"/>
    </row>
    <row r="1778" spans="1:11" x14ac:dyDescent="0.3">
      <c r="A1778" s="2" t="s">
        <v>3146</v>
      </c>
      <c r="B1778" s="2" t="s">
        <v>114</v>
      </c>
      <c r="C1778" s="2" t="s">
        <v>119</v>
      </c>
      <c r="D1778" s="2" t="s">
        <v>2859</v>
      </c>
      <c r="E1778" s="4" t="str">
        <f>HYPERLINK("./Results/DLO\262\Osteo_Sarco_1.png","RPT")</f>
        <v>RPT</v>
      </c>
      <c r="F1778" s="2" t="s">
        <v>121</v>
      </c>
      <c r="G1778" s="6"/>
      <c r="I1778"/>
      <c r="J1778"/>
      <c r="K1778"/>
    </row>
    <row r="1779" spans="1:11" x14ac:dyDescent="0.3">
      <c r="A1779" s="2" t="s">
        <v>3153</v>
      </c>
      <c r="B1779" s="2" t="s">
        <v>140</v>
      </c>
      <c r="C1779" s="2" t="s">
        <v>119</v>
      </c>
      <c r="D1779" s="2" t="s">
        <v>2867</v>
      </c>
      <c r="E1779" s="4" t="str">
        <f>HYPERLINK("./Results/DLO\2620\Osteo_Sarco_1.png","RPT")</f>
        <v>RPT</v>
      </c>
      <c r="F1779" s="2" t="s">
        <v>121</v>
      </c>
      <c r="G1779" s="6"/>
      <c r="I1779"/>
      <c r="J1779"/>
      <c r="K1779"/>
    </row>
    <row r="1780" spans="1:11" x14ac:dyDescent="0.3">
      <c r="A1780" s="2" t="s">
        <v>3156</v>
      </c>
      <c r="B1780" s="2" t="s">
        <v>142</v>
      </c>
      <c r="C1780" s="2" t="s">
        <v>111</v>
      </c>
      <c r="D1780" s="2" t="s">
        <v>2859</v>
      </c>
      <c r="E1780" s="4" t="str">
        <f>HYPERLINK("./Results/DLO\2621\Osteo_Sarco_1.png","RPT")</f>
        <v>RPT</v>
      </c>
      <c r="F1780" s="2" t="s">
        <v>121</v>
      </c>
      <c r="G1780" s="6"/>
      <c r="I1780"/>
      <c r="J1780"/>
      <c r="K1780"/>
    </row>
    <row r="1781" spans="1:11" x14ac:dyDescent="0.3">
      <c r="A1781" s="2" t="s">
        <v>3147</v>
      </c>
      <c r="B1781" s="2" t="s">
        <v>164</v>
      </c>
      <c r="C1781" s="2" t="s">
        <v>119</v>
      </c>
      <c r="D1781" s="2" t="s">
        <v>2859</v>
      </c>
      <c r="E1781" s="4" t="str">
        <f>HYPERLINK("./Results/DLO\2622\Osteo_Sarco_1.png","RPT")</f>
        <v>RPT</v>
      </c>
      <c r="F1781" s="2" t="s">
        <v>121</v>
      </c>
      <c r="G1781" s="6"/>
      <c r="H1781" s="1">
        <v>22.35</v>
      </c>
    </row>
    <row r="1782" spans="1:11" x14ac:dyDescent="0.3">
      <c r="A1782" s="2" t="s">
        <v>3144</v>
      </c>
      <c r="B1782" s="2" t="s">
        <v>166</v>
      </c>
      <c r="C1782" s="2" t="s">
        <v>111</v>
      </c>
      <c r="D1782" s="2" t="s">
        <v>2859</v>
      </c>
      <c r="E1782" s="4" t="str">
        <f>HYPERLINK("./Results/DLO\2623\Osteo_Sarco_1.png","RPT")</f>
        <v>RPT</v>
      </c>
      <c r="F1782" s="2" t="s">
        <v>121</v>
      </c>
      <c r="G1782" s="6"/>
      <c r="I1782"/>
      <c r="J1782"/>
      <c r="K1782"/>
    </row>
    <row r="1783" spans="1:11" x14ac:dyDescent="0.3">
      <c r="A1783" s="2" t="s">
        <v>3159</v>
      </c>
      <c r="B1783" s="2" t="s">
        <v>144</v>
      </c>
      <c r="C1783" s="2" t="s">
        <v>111</v>
      </c>
      <c r="D1783" s="2" t="s">
        <v>2867</v>
      </c>
      <c r="E1783" s="4" t="str">
        <f>HYPERLINK("./Results/DLO\2624\Osteo_Sarco_1.png","RPT")</f>
        <v>RPT</v>
      </c>
      <c r="F1783" s="2" t="s">
        <v>121</v>
      </c>
      <c r="G1783" s="6"/>
      <c r="I1783"/>
      <c r="J1783"/>
      <c r="K1783"/>
    </row>
    <row r="1784" spans="1:11" x14ac:dyDescent="0.3">
      <c r="A1784" s="2" t="s">
        <v>3165</v>
      </c>
      <c r="B1784" s="2" t="s">
        <v>163</v>
      </c>
      <c r="C1784" s="2" t="s">
        <v>111</v>
      </c>
      <c r="D1784" s="2" t="s">
        <v>2867</v>
      </c>
      <c r="E1784" s="4" t="str">
        <f>HYPERLINK("./Results/DLO\2625\Osteo_Sarco_1.png","RPT")</f>
        <v>RPT</v>
      </c>
      <c r="F1784" s="2" t="s">
        <v>121</v>
      </c>
      <c r="G1784" s="6"/>
      <c r="I1784"/>
      <c r="J1784"/>
      <c r="K1784"/>
    </row>
    <row r="1785" spans="1:11" x14ac:dyDescent="0.3">
      <c r="A1785" s="2" t="s">
        <v>3164</v>
      </c>
      <c r="B1785" s="2" t="s">
        <v>163</v>
      </c>
      <c r="C1785" s="2" t="s">
        <v>119</v>
      </c>
      <c r="D1785" s="2" t="s">
        <v>2859</v>
      </c>
      <c r="E1785" s="4" t="str">
        <f>HYPERLINK("./Results/DLO\2626\Osteo_Sarco_1.png","RPT")</f>
        <v>RPT</v>
      </c>
      <c r="F1785" s="2" t="s">
        <v>121</v>
      </c>
      <c r="G1785" s="6"/>
      <c r="I1785"/>
      <c r="J1785"/>
      <c r="K1785"/>
    </row>
    <row r="1786" spans="1:11" x14ac:dyDescent="0.3">
      <c r="A1786" s="2" t="s">
        <v>3162</v>
      </c>
      <c r="B1786" s="2" t="s">
        <v>135</v>
      </c>
      <c r="C1786" s="2" t="s">
        <v>119</v>
      </c>
      <c r="D1786" s="2" t="s">
        <v>2859</v>
      </c>
      <c r="E1786" s="4" t="str">
        <f>HYPERLINK("./Results/DLO\2627\Osteo_Sarco_1.png","RPT")</f>
        <v>RPT</v>
      </c>
      <c r="F1786" s="2" t="s">
        <v>121</v>
      </c>
      <c r="G1786" s="6"/>
      <c r="I1786"/>
      <c r="J1786"/>
      <c r="K1786"/>
    </row>
    <row r="1787" spans="1:11" x14ac:dyDescent="0.3">
      <c r="A1787" s="2" t="s">
        <v>3163</v>
      </c>
      <c r="B1787" s="2" t="s">
        <v>129</v>
      </c>
      <c r="C1787" s="2" t="s">
        <v>111</v>
      </c>
      <c r="D1787" s="2" t="s">
        <v>2859</v>
      </c>
      <c r="E1787" s="4" t="str">
        <f>HYPERLINK("./Results/DLO\2628\Osteo_Sarco_1.png","RPT")</f>
        <v>RPT</v>
      </c>
      <c r="F1787" s="2" t="s">
        <v>121</v>
      </c>
      <c r="G1787" s="6"/>
      <c r="H1787" s="1">
        <v>23.67</v>
      </c>
    </row>
    <row r="1788" spans="1:11" x14ac:dyDescent="0.3">
      <c r="A1788" s="2" t="s">
        <v>3169</v>
      </c>
      <c r="B1788" s="2" t="s">
        <v>126</v>
      </c>
      <c r="C1788" s="2" t="s">
        <v>111</v>
      </c>
      <c r="D1788" s="2" t="s">
        <v>2859</v>
      </c>
      <c r="E1788" s="4" t="str">
        <f>HYPERLINK("./Results/DLO\2629\Osteo_Sarco_1.png","RPT")</f>
        <v>RPT</v>
      </c>
      <c r="F1788" s="2" t="s">
        <v>121</v>
      </c>
      <c r="G1788" s="6"/>
      <c r="I1788"/>
      <c r="J1788"/>
      <c r="K1788"/>
    </row>
    <row r="1789" spans="1:11" x14ac:dyDescent="0.3">
      <c r="A1789" s="2" t="s">
        <v>3190</v>
      </c>
      <c r="B1789" s="2" t="s">
        <v>167</v>
      </c>
      <c r="C1789" s="2" t="s">
        <v>111</v>
      </c>
      <c r="D1789" s="2" t="s">
        <v>2867</v>
      </c>
      <c r="E1789" s="4" t="str">
        <f>HYPERLINK("./Results/DLO\263\Osteo_Sarco_1.png","RPT")</f>
        <v>RPT</v>
      </c>
      <c r="F1789" s="2" t="s">
        <v>121</v>
      </c>
      <c r="G1789" s="6"/>
      <c r="I1789"/>
      <c r="J1789"/>
      <c r="K1789"/>
    </row>
    <row r="1790" spans="1:11" x14ac:dyDescent="0.3">
      <c r="A1790" s="2" t="s">
        <v>3171</v>
      </c>
      <c r="B1790" s="2" t="s">
        <v>167</v>
      </c>
      <c r="C1790" s="2" t="s">
        <v>111</v>
      </c>
      <c r="D1790" s="2" t="s">
        <v>2859</v>
      </c>
      <c r="E1790" s="4" t="str">
        <f>HYPERLINK("./Results/DLO\2630\Osteo_Sarco_1.png","RPT")</f>
        <v>RPT</v>
      </c>
      <c r="F1790" s="2" t="s">
        <v>121</v>
      </c>
      <c r="G1790" s="6"/>
      <c r="I1790"/>
      <c r="J1790"/>
      <c r="K1790"/>
    </row>
    <row r="1791" spans="1:11" x14ac:dyDescent="0.3">
      <c r="A1791" s="2" t="s">
        <v>3175</v>
      </c>
      <c r="B1791" s="2" t="s">
        <v>151</v>
      </c>
      <c r="C1791" s="2" t="s">
        <v>119</v>
      </c>
      <c r="D1791" s="2" t="s">
        <v>2859</v>
      </c>
      <c r="E1791" s="4" t="str">
        <f>HYPERLINK("./Results/DLO\2631\Osteo_Sarco_1.png","RPT")</f>
        <v>RPT</v>
      </c>
      <c r="F1791" s="2" t="s">
        <v>121</v>
      </c>
      <c r="G1791" s="6"/>
      <c r="I1791"/>
      <c r="J1791"/>
      <c r="K1791"/>
    </row>
    <row r="1792" spans="1:11" x14ac:dyDescent="0.3">
      <c r="A1792" s="2" t="s">
        <v>3181</v>
      </c>
      <c r="B1792" s="2" t="s">
        <v>131</v>
      </c>
      <c r="C1792" s="2" t="s">
        <v>119</v>
      </c>
      <c r="D1792" s="2" t="s">
        <v>2867</v>
      </c>
      <c r="E1792" s="4" t="str">
        <f>HYPERLINK("./Results/DLO\2632\Osteo_Sarco_1.png","RPT")</f>
        <v>RPT</v>
      </c>
      <c r="F1792" s="2" t="s">
        <v>121</v>
      </c>
      <c r="G1792" s="6"/>
      <c r="I1792"/>
      <c r="J1792"/>
      <c r="K1792"/>
    </row>
    <row r="1793" spans="1:11" x14ac:dyDescent="0.3">
      <c r="A1793" s="2" t="s">
        <v>3172</v>
      </c>
      <c r="B1793" s="2" t="s">
        <v>112</v>
      </c>
      <c r="C1793" s="2" t="s">
        <v>111</v>
      </c>
      <c r="D1793" s="2" t="s">
        <v>2859</v>
      </c>
      <c r="E1793" s="4" t="str">
        <f>HYPERLINK("./Results/DLO\2633\Osteo_Sarco_1.png","RPT")</f>
        <v>RPT</v>
      </c>
      <c r="F1793" s="2" t="s">
        <v>121</v>
      </c>
      <c r="G1793" s="6"/>
      <c r="I1793"/>
      <c r="J1793"/>
      <c r="K1793"/>
    </row>
    <row r="1794" spans="1:11" x14ac:dyDescent="0.3">
      <c r="A1794" s="2" t="s">
        <v>3186</v>
      </c>
      <c r="B1794" s="2" t="s">
        <v>129</v>
      </c>
      <c r="C1794" s="2" t="s">
        <v>111</v>
      </c>
      <c r="D1794" s="2" t="s">
        <v>2859</v>
      </c>
      <c r="E1794" s="4" t="str">
        <f>HYPERLINK("./Results/DLO\2634\Osteo_Sarco_1.png","RPT")</f>
        <v>RPT</v>
      </c>
      <c r="F1794" s="2" t="s">
        <v>121</v>
      </c>
      <c r="G1794" s="6"/>
      <c r="H1794" s="1">
        <v>22.09</v>
      </c>
    </row>
    <row r="1795" spans="1:11" x14ac:dyDescent="0.3">
      <c r="A1795" s="2" t="s">
        <v>3182</v>
      </c>
      <c r="B1795" s="2" t="s">
        <v>114</v>
      </c>
      <c r="C1795" s="2" t="s">
        <v>119</v>
      </c>
      <c r="D1795" s="2" t="s">
        <v>2867</v>
      </c>
      <c r="E1795" s="4" t="str">
        <f>HYPERLINK("./Results/DLO\2635\Osteo_Sarco_1.png","RPT")</f>
        <v>RPT</v>
      </c>
      <c r="F1795" s="2" t="s">
        <v>121</v>
      </c>
      <c r="G1795" s="6"/>
      <c r="I1795"/>
      <c r="J1795"/>
      <c r="K1795"/>
    </row>
    <row r="1796" spans="1:11" x14ac:dyDescent="0.3">
      <c r="A1796" s="2" t="s">
        <v>3177</v>
      </c>
      <c r="B1796" s="2" t="s">
        <v>123</v>
      </c>
      <c r="C1796" s="2" t="s">
        <v>119</v>
      </c>
      <c r="D1796" s="2" t="s">
        <v>2867</v>
      </c>
      <c r="E1796" s="4" t="str">
        <f>HYPERLINK("./Results/DLO\2636\Osteo_Sarco_1.png","RPT")</f>
        <v>RPT</v>
      </c>
      <c r="F1796" s="2" t="s">
        <v>121</v>
      </c>
      <c r="G1796" s="6"/>
      <c r="I1796"/>
      <c r="J1796"/>
      <c r="K1796"/>
    </row>
    <row r="1797" spans="1:11" x14ac:dyDescent="0.3">
      <c r="A1797" s="2" t="s">
        <v>3178</v>
      </c>
      <c r="B1797" s="2" t="s">
        <v>587</v>
      </c>
      <c r="C1797" s="2" t="s">
        <v>111</v>
      </c>
      <c r="D1797" s="2" t="s">
        <v>2859</v>
      </c>
      <c r="E1797" s="4" t="str">
        <f>HYPERLINK("./Results/DLO\2637\Osteo_Sarco_1.png","RPT")</f>
        <v>RPT</v>
      </c>
      <c r="F1797" s="2" t="s">
        <v>121</v>
      </c>
      <c r="G1797" s="6"/>
      <c r="I1797"/>
      <c r="J1797"/>
      <c r="K1797"/>
    </row>
    <row r="1798" spans="1:11" x14ac:dyDescent="0.3">
      <c r="A1798" s="2" t="s">
        <v>3168</v>
      </c>
      <c r="B1798" s="2" t="s">
        <v>159</v>
      </c>
      <c r="C1798" s="2" t="s">
        <v>111</v>
      </c>
      <c r="D1798" s="2" t="s">
        <v>2859</v>
      </c>
      <c r="E1798" s="4" t="str">
        <f>HYPERLINK("./Results/DLO\2638\Osteo_Sarco_1.png","RPT")</f>
        <v>RPT</v>
      </c>
      <c r="F1798" s="2" t="s">
        <v>121</v>
      </c>
      <c r="G1798" s="6"/>
      <c r="I1798"/>
      <c r="J1798"/>
      <c r="K1798"/>
    </row>
    <row r="1799" spans="1:11" x14ac:dyDescent="0.3">
      <c r="A1799" s="2" t="s">
        <v>3191</v>
      </c>
      <c r="B1799" s="2" t="s">
        <v>146</v>
      </c>
      <c r="C1799" s="2" t="s">
        <v>119</v>
      </c>
      <c r="D1799" s="2" t="s">
        <v>2859</v>
      </c>
      <c r="E1799" s="4" t="str">
        <f>HYPERLINK("./Results/DLO\2639\Osteo_Sarco_1.png","RPT")</f>
        <v>RPT</v>
      </c>
      <c r="F1799" s="2" t="s">
        <v>121</v>
      </c>
      <c r="G1799" s="6"/>
      <c r="I1799"/>
      <c r="J1799"/>
      <c r="K1799"/>
    </row>
    <row r="1800" spans="1:11" x14ac:dyDescent="0.3">
      <c r="A1800" s="2" t="s">
        <v>3187</v>
      </c>
      <c r="B1800" s="2" t="s">
        <v>166</v>
      </c>
      <c r="C1800" s="2" t="s">
        <v>119</v>
      </c>
      <c r="D1800" s="2" t="s">
        <v>2867</v>
      </c>
      <c r="E1800" s="4" t="str">
        <f>HYPERLINK("./Results/DLO\264\Osteo_Sarco_1.png","RPT")</f>
        <v>RPT</v>
      </c>
      <c r="F1800" s="2" t="s">
        <v>121</v>
      </c>
      <c r="G1800" s="6"/>
      <c r="H1800" s="1">
        <v>16.87</v>
      </c>
    </row>
    <row r="1801" spans="1:11" x14ac:dyDescent="0.3">
      <c r="A1801" s="2" t="s">
        <v>3173</v>
      </c>
      <c r="B1801" s="2" t="s">
        <v>127</v>
      </c>
      <c r="C1801" s="2" t="s">
        <v>111</v>
      </c>
      <c r="D1801" s="2" t="s">
        <v>2859</v>
      </c>
      <c r="E1801" s="4" t="str">
        <f>HYPERLINK("./Results/DLO\2640\Osteo_Sarco_1.png","RPT")</f>
        <v>RPT</v>
      </c>
      <c r="F1801" s="2" t="s">
        <v>121</v>
      </c>
      <c r="G1801" s="6"/>
      <c r="I1801"/>
      <c r="J1801"/>
      <c r="K1801"/>
    </row>
    <row r="1802" spans="1:11" x14ac:dyDescent="0.3">
      <c r="A1802" s="2" t="s">
        <v>3188</v>
      </c>
      <c r="B1802" s="2" t="s">
        <v>143</v>
      </c>
      <c r="C1802" s="2" t="s">
        <v>111</v>
      </c>
      <c r="D1802" s="2" t="s">
        <v>2859</v>
      </c>
      <c r="E1802" s="4" t="str">
        <f>HYPERLINK("./Results/DLO\2641\Osteo_Sarco_1.png","RPT")</f>
        <v>RPT</v>
      </c>
      <c r="F1802" s="2" t="s">
        <v>121</v>
      </c>
      <c r="G1802" s="6"/>
      <c r="I1802"/>
      <c r="J1802"/>
      <c r="K1802"/>
    </row>
    <row r="1803" spans="1:11" x14ac:dyDescent="0.3">
      <c r="A1803" s="2" t="s">
        <v>3183</v>
      </c>
      <c r="B1803" s="2" t="s">
        <v>159</v>
      </c>
      <c r="C1803" s="2" t="s">
        <v>119</v>
      </c>
      <c r="D1803" s="2" t="s">
        <v>2867</v>
      </c>
      <c r="E1803" s="4" t="str">
        <f>HYPERLINK("./Results/DLO\2642\Osteo_Sarco_1.png","RPT")</f>
        <v>RPT</v>
      </c>
      <c r="F1803" s="2" t="s">
        <v>121</v>
      </c>
      <c r="G1803" s="6"/>
      <c r="I1803"/>
      <c r="J1803"/>
      <c r="K1803"/>
    </row>
    <row r="1804" spans="1:11" x14ac:dyDescent="0.3">
      <c r="A1804" s="2" t="s">
        <v>3174</v>
      </c>
      <c r="B1804" s="2" t="s">
        <v>146</v>
      </c>
      <c r="C1804" s="2" t="s">
        <v>119</v>
      </c>
      <c r="D1804" s="2" t="s">
        <v>2859</v>
      </c>
      <c r="E1804" s="4" t="str">
        <f>HYPERLINK("./Results/DLO\2643\Osteo_Sarco_1.png","RPT")</f>
        <v>RPT</v>
      </c>
      <c r="F1804" s="2" t="s">
        <v>121</v>
      </c>
      <c r="G1804" s="6"/>
      <c r="I1804"/>
      <c r="J1804"/>
      <c r="K1804"/>
    </row>
    <row r="1805" spans="1:11" x14ac:dyDescent="0.3">
      <c r="A1805" s="2" t="s">
        <v>3189</v>
      </c>
      <c r="B1805" s="2" t="s">
        <v>587</v>
      </c>
      <c r="C1805" s="2" t="s">
        <v>119</v>
      </c>
      <c r="D1805" s="2" t="s">
        <v>2859</v>
      </c>
      <c r="E1805" s="4" t="str">
        <f>HYPERLINK("./Results/DLO\2644\Osteo_Sarco_1.png","RPT")</f>
        <v>RPT</v>
      </c>
      <c r="F1805" s="2" t="s">
        <v>121</v>
      </c>
      <c r="G1805" s="6"/>
      <c r="I1805"/>
      <c r="J1805"/>
      <c r="K1805"/>
    </row>
    <row r="1806" spans="1:11" x14ac:dyDescent="0.3">
      <c r="A1806" s="2" t="s">
        <v>3179</v>
      </c>
      <c r="B1806" s="2" t="s">
        <v>127</v>
      </c>
      <c r="C1806" s="2" t="s">
        <v>111</v>
      </c>
      <c r="D1806" s="2" t="s">
        <v>2859</v>
      </c>
      <c r="E1806" s="4" t="str">
        <f>HYPERLINK("./Results/DLO\2645\Osteo_Sarco_1.png","RPT")</f>
        <v>RPT</v>
      </c>
      <c r="F1806" s="2" t="s">
        <v>121</v>
      </c>
      <c r="G1806" s="6"/>
      <c r="I1806"/>
      <c r="J1806"/>
      <c r="K1806"/>
    </row>
    <row r="1807" spans="1:11" x14ac:dyDescent="0.3">
      <c r="A1807" s="2" t="s">
        <v>3176</v>
      </c>
      <c r="B1807" s="2" t="s">
        <v>129</v>
      </c>
      <c r="C1807" s="2" t="s">
        <v>111</v>
      </c>
      <c r="D1807" s="2" t="s">
        <v>2867</v>
      </c>
      <c r="E1807" s="4" t="str">
        <f>HYPERLINK("./Results/DLO\2646\Osteo_Sarco_1.png","RPT")</f>
        <v>RPT</v>
      </c>
      <c r="F1807" s="2" t="s">
        <v>121</v>
      </c>
      <c r="G1807" s="6"/>
      <c r="H1807" s="1">
        <v>22.06</v>
      </c>
    </row>
    <row r="1808" spans="1:11" x14ac:dyDescent="0.3">
      <c r="A1808" s="2" t="s">
        <v>3170</v>
      </c>
      <c r="B1808" s="2" t="s">
        <v>127</v>
      </c>
      <c r="C1808" s="2" t="s">
        <v>119</v>
      </c>
      <c r="D1808" s="2" t="s">
        <v>2859</v>
      </c>
      <c r="E1808" s="4" t="str">
        <f>HYPERLINK("./Results/DLO\2647\Osteo_Sarco_1.png","RPT")</f>
        <v>RPT</v>
      </c>
      <c r="F1808" s="2" t="s">
        <v>121</v>
      </c>
      <c r="G1808" s="6"/>
      <c r="H1808" s="1">
        <v>24.73</v>
      </c>
    </row>
    <row r="1809" spans="1:11" x14ac:dyDescent="0.3">
      <c r="A1809" s="2" t="s">
        <v>3180</v>
      </c>
      <c r="B1809" s="2" t="s">
        <v>148</v>
      </c>
      <c r="C1809" s="2" t="s">
        <v>119</v>
      </c>
      <c r="D1809" s="2" t="s">
        <v>2867</v>
      </c>
      <c r="E1809" s="4" t="str">
        <f>HYPERLINK("./Results/DLO\2648\Osteo_Sarco_1.png","RPT")</f>
        <v>RPT</v>
      </c>
      <c r="F1809" s="2" t="s">
        <v>121</v>
      </c>
      <c r="G1809" s="6"/>
      <c r="I1809"/>
      <c r="J1809"/>
      <c r="K1809"/>
    </row>
    <row r="1810" spans="1:11" x14ac:dyDescent="0.3">
      <c r="A1810" s="2" t="s">
        <v>3184</v>
      </c>
      <c r="B1810" s="2" t="s">
        <v>148</v>
      </c>
      <c r="C1810" s="2" t="s">
        <v>111</v>
      </c>
      <c r="D1810" s="2" t="s">
        <v>2859</v>
      </c>
      <c r="E1810" s="4" t="str">
        <f>HYPERLINK("./Results/DLO\265\Osteo_Sarco_1.png","RPT")</f>
        <v>RPT</v>
      </c>
      <c r="F1810" s="2" t="s">
        <v>121</v>
      </c>
      <c r="G1810" s="6"/>
      <c r="I1810"/>
      <c r="J1810"/>
      <c r="K1810"/>
    </row>
    <row r="1811" spans="1:11" x14ac:dyDescent="0.3">
      <c r="A1811" s="2" t="s">
        <v>3185</v>
      </c>
      <c r="B1811" s="2" t="s">
        <v>116</v>
      </c>
      <c r="C1811" s="2" t="s">
        <v>119</v>
      </c>
      <c r="D1811" s="2" t="s">
        <v>2867</v>
      </c>
      <c r="E1811" s="4" t="str">
        <f>HYPERLINK("./Results/DLO\2650\Osteo_Sarco_1.png","RPT")</f>
        <v>RPT</v>
      </c>
      <c r="F1811" s="2" t="s">
        <v>121</v>
      </c>
      <c r="G1811" s="6"/>
      <c r="I1811"/>
      <c r="J1811"/>
      <c r="K1811"/>
    </row>
    <row r="1812" spans="1:11" x14ac:dyDescent="0.3">
      <c r="A1812" s="2" t="s">
        <v>3212</v>
      </c>
      <c r="B1812" s="2" t="s">
        <v>165</v>
      </c>
      <c r="C1812" s="2" t="s">
        <v>111</v>
      </c>
      <c r="D1812" s="2" t="s">
        <v>2859</v>
      </c>
      <c r="E1812" s="4" t="str">
        <f>HYPERLINK("./Results/DLO\2651\Osteo_Sarco_1.png","RPT")</f>
        <v>RPT</v>
      </c>
      <c r="F1812" s="2" t="s">
        <v>121</v>
      </c>
      <c r="G1812" s="6"/>
      <c r="I1812"/>
      <c r="J1812"/>
      <c r="K1812"/>
    </row>
    <row r="1813" spans="1:11" x14ac:dyDescent="0.3">
      <c r="A1813" s="2" t="s">
        <v>3210</v>
      </c>
      <c r="B1813" s="2" t="s">
        <v>140</v>
      </c>
      <c r="C1813" s="2" t="s">
        <v>119</v>
      </c>
      <c r="D1813" s="2" t="s">
        <v>2859</v>
      </c>
      <c r="E1813" s="4" t="str">
        <f>HYPERLINK("./Results/DLO\2652\Osteo_Sarco_1.png","RPT")</f>
        <v>RPT</v>
      </c>
      <c r="F1813" s="2" t="s">
        <v>121</v>
      </c>
      <c r="G1813" s="6"/>
      <c r="H1813" s="1">
        <v>26.8</v>
      </c>
    </row>
    <row r="1814" spans="1:11" x14ac:dyDescent="0.3">
      <c r="A1814" s="2" t="s">
        <v>3206</v>
      </c>
      <c r="B1814" s="2" t="s">
        <v>128</v>
      </c>
      <c r="C1814" s="2" t="s">
        <v>111</v>
      </c>
      <c r="D1814" s="2" t="s">
        <v>2867</v>
      </c>
      <c r="E1814" s="4" t="str">
        <f>HYPERLINK("./Results/DLO\2653\Osteo_Sarco_1.png","RPT")</f>
        <v>RPT</v>
      </c>
      <c r="F1814" s="2" t="s">
        <v>121</v>
      </c>
      <c r="G1814" s="6"/>
      <c r="H1814" s="1">
        <v>22.96</v>
      </c>
    </row>
    <row r="1815" spans="1:11" x14ac:dyDescent="0.3">
      <c r="A1815" s="2" t="s">
        <v>3204</v>
      </c>
      <c r="B1815" s="2" t="s">
        <v>131</v>
      </c>
      <c r="C1815" s="2" t="s">
        <v>119</v>
      </c>
      <c r="D1815" s="2" t="s">
        <v>2859</v>
      </c>
      <c r="E1815" s="4" t="str">
        <f>HYPERLINK("./Results/DLO\2654\Osteo_Sarco_1.png","RPT")</f>
        <v>RPT</v>
      </c>
      <c r="F1815" s="2" t="s">
        <v>121</v>
      </c>
      <c r="G1815" s="6"/>
      <c r="I1815"/>
      <c r="J1815"/>
      <c r="K1815"/>
    </row>
    <row r="1816" spans="1:11" x14ac:dyDescent="0.3">
      <c r="A1816" s="2" t="s">
        <v>3202</v>
      </c>
      <c r="B1816" s="2" t="s">
        <v>126</v>
      </c>
      <c r="C1816" s="2" t="s">
        <v>111</v>
      </c>
      <c r="D1816" s="2" t="s">
        <v>2859</v>
      </c>
      <c r="E1816" s="4" t="str">
        <f>HYPERLINK("./Results/DLO\2655\Osteo_Sarco_1.png","RPT")</f>
        <v>RPT</v>
      </c>
      <c r="F1816" s="2" t="s">
        <v>121</v>
      </c>
      <c r="G1816" s="6"/>
      <c r="I1816"/>
      <c r="J1816"/>
      <c r="K1816"/>
    </row>
    <row r="1817" spans="1:11" x14ac:dyDescent="0.3">
      <c r="A1817" s="2" t="s">
        <v>3198</v>
      </c>
      <c r="B1817" s="2" t="s">
        <v>165</v>
      </c>
      <c r="C1817" s="2" t="s">
        <v>111</v>
      </c>
      <c r="D1817" s="2" t="s">
        <v>2859</v>
      </c>
      <c r="E1817" s="4" t="str">
        <f>HYPERLINK("./Results/DLO\2656\Osteo_Sarco_1.png","RPT")</f>
        <v>RPT</v>
      </c>
      <c r="F1817" s="2" t="s">
        <v>121</v>
      </c>
      <c r="G1817" s="6"/>
      <c r="I1817"/>
      <c r="J1817"/>
      <c r="K1817"/>
    </row>
    <row r="1818" spans="1:11" x14ac:dyDescent="0.3">
      <c r="A1818" s="2" t="s">
        <v>3208</v>
      </c>
      <c r="B1818" s="2" t="s">
        <v>127</v>
      </c>
      <c r="C1818" s="2" t="s">
        <v>111</v>
      </c>
      <c r="D1818" s="2" t="s">
        <v>1960</v>
      </c>
      <c r="E1818" s="4" t="str">
        <f>HYPERLINK("./Results/DLO\2657\Osteo_Sarco_1.png","RPT")</f>
        <v>RPT</v>
      </c>
      <c r="F1818" s="2" t="s">
        <v>121</v>
      </c>
      <c r="G1818" s="6"/>
      <c r="I1818"/>
      <c r="J1818"/>
      <c r="K1818"/>
    </row>
    <row r="1819" spans="1:11" x14ac:dyDescent="0.3">
      <c r="A1819" s="2" t="s">
        <v>3194</v>
      </c>
      <c r="B1819" s="2" t="s">
        <v>166</v>
      </c>
      <c r="C1819" s="2" t="s">
        <v>111</v>
      </c>
      <c r="D1819" s="2" t="s">
        <v>2859</v>
      </c>
      <c r="E1819" s="4" t="str">
        <f>HYPERLINK("./Results/DLO\2658\Osteo_Sarco_1.png","RPT")</f>
        <v>RPT</v>
      </c>
      <c r="F1819" s="2" t="s">
        <v>121</v>
      </c>
      <c r="G1819" s="6"/>
      <c r="I1819"/>
      <c r="J1819"/>
      <c r="K1819"/>
    </row>
    <row r="1820" spans="1:11" x14ac:dyDescent="0.3">
      <c r="A1820" s="2" t="s">
        <v>3196</v>
      </c>
      <c r="B1820" s="2" t="s">
        <v>136</v>
      </c>
      <c r="C1820" s="2" t="s">
        <v>111</v>
      </c>
      <c r="D1820" s="2" t="s">
        <v>2867</v>
      </c>
      <c r="E1820" s="4" t="str">
        <f>HYPERLINK("./Results/DLO\2659\Osteo_Sarco_1.png","RPT")</f>
        <v>RPT</v>
      </c>
      <c r="F1820" s="2" t="s">
        <v>121</v>
      </c>
      <c r="G1820" s="6"/>
      <c r="H1820" s="1">
        <v>26.22</v>
      </c>
    </row>
    <row r="1821" spans="1:11" x14ac:dyDescent="0.3">
      <c r="A1821" s="2" t="s">
        <v>3209</v>
      </c>
      <c r="B1821" s="2" t="s">
        <v>113</v>
      </c>
      <c r="C1821" s="2" t="s">
        <v>111</v>
      </c>
      <c r="D1821" s="2" t="s">
        <v>2859</v>
      </c>
      <c r="E1821" s="4" t="str">
        <f>HYPERLINK("./Results/DLO\266\Osteo_Sarco_1.png","RPT")</f>
        <v>RPT</v>
      </c>
      <c r="F1821" s="2" t="s">
        <v>121</v>
      </c>
      <c r="G1821" s="6"/>
      <c r="I1821"/>
      <c r="J1821"/>
      <c r="K1821"/>
    </row>
    <row r="1822" spans="1:11" x14ac:dyDescent="0.3">
      <c r="A1822" s="2" t="s">
        <v>3203</v>
      </c>
      <c r="B1822" s="2" t="s">
        <v>168</v>
      </c>
      <c r="C1822" s="2" t="s">
        <v>119</v>
      </c>
      <c r="D1822" s="2" t="s">
        <v>2859</v>
      </c>
      <c r="E1822" s="4" t="str">
        <f>HYPERLINK("./Results/DLO\2661\Osteo_Sarco_1.png","RPT")</f>
        <v>RPT</v>
      </c>
      <c r="F1822" s="2" t="s">
        <v>121</v>
      </c>
      <c r="G1822" s="6"/>
      <c r="I1822"/>
      <c r="J1822"/>
      <c r="K1822"/>
    </row>
    <row r="1823" spans="1:11" x14ac:dyDescent="0.3">
      <c r="A1823" s="2" t="s">
        <v>3195</v>
      </c>
      <c r="B1823" s="2" t="s">
        <v>137</v>
      </c>
      <c r="C1823" s="2" t="s">
        <v>111</v>
      </c>
      <c r="D1823" s="2" t="s">
        <v>2867</v>
      </c>
      <c r="E1823" s="4" t="str">
        <f>HYPERLINK("./Results/DLO\2662\Osteo_Sarco_1.png","RPT")</f>
        <v>RPT</v>
      </c>
      <c r="F1823" s="2" t="s">
        <v>121</v>
      </c>
      <c r="G1823" s="6"/>
      <c r="I1823"/>
      <c r="J1823"/>
      <c r="K1823"/>
    </row>
    <row r="1824" spans="1:11" x14ac:dyDescent="0.3">
      <c r="A1824" s="2" t="s">
        <v>3199</v>
      </c>
      <c r="B1824" s="2" t="s">
        <v>138</v>
      </c>
      <c r="C1824" s="2" t="s">
        <v>111</v>
      </c>
      <c r="D1824" s="2" t="s">
        <v>2859</v>
      </c>
      <c r="E1824" s="4" t="str">
        <f>HYPERLINK("./Results/DLO\2663\Osteo_Sarco_1.png","RPT")</f>
        <v>RPT</v>
      </c>
      <c r="F1824" s="2" t="s">
        <v>121</v>
      </c>
      <c r="G1824" s="6"/>
      <c r="I1824"/>
      <c r="J1824"/>
      <c r="K1824"/>
    </row>
    <row r="1825" spans="1:11" x14ac:dyDescent="0.3">
      <c r="A1825" s="2" t="s">
        <v>3201</v>
      </c>
      <c r="B1825" s="2" t="s">
        <v>122</v>
      </c>
      <c r="C1825" s="2" t="s">
        <v>111</v>
      </c>
      <c r="D1825" s="2" t="s">
        <v>2867</v>
      </c>
      <c r="E1825" s="4" t="str">
        <f>HYPERLINK("./Results/DLO\2664\Osteo_Sarco_1.png","RPT")</f>
        <v>RPT</v>
      </c>
      <c r="F1825" s="2" t="s">
        <v>121</v>
      </c>
      <c r="G1825" s="6"/>
      <c r="H1825" s="1">
        <v>30.07</v>
      </c>
    </row>
    <row r="1826" spans="1:11" x14ac:dyDescent="0.3">
      <c r="A1826" s="2" t="s">
        <v>3211</v>
      </c>
      <c r="B1826" s="2" t="s">
        <v>146</v>
      </c>
      <c r="C1826" s="2" t="s">
        <v>111</v>
      </c>
      <c r="D1826" s="2" t="s">
        <v>2867</v>
      </c>
      <c r="E1826" s="4" t="str">
        <f>HYPERLINK("./Results/DLO\2665\Osteo_Sarco_1.png","RPT")</f>
        <v>RPT</v>
      </c>
      <c r="F1826" s="2" t="s">
        <v>121</v>
      </c>
      <c r="G1826" s="6"/>
      <c r="I1826"/>
      <c r="J1826"/>
      <c r="K1826"/>
    </row>
    <row r="1827" spans="1:11" x14ac:dyDescent="0.3">
      <c r="A1827" s="2" t="s">
        <v>3200</v>
      </c>
      <c r="B1827" s="2" t="s">
        <v>137</v>
      </c>
      <c r="C1827" s="2" t="s">
        <v>119</v>
      </c>
      <c r="D1827" s="2" t="s">
        <v>2867</v>
      </c>
      <c r="E1827" s="4" t="str">
        <f>HYPERLINK("./Results/DLO\2666\Osteo_Sarco_1.png","RPT")</f>
        <v>RPT</v>
      </c>
      <c r="F1827" s="2" t="s">
        <v>121</v>
      </c>
      <c r="G1827" s="6"/>
      <c r="H1827" s="1">
        <v>23.31</v>
      </c>
    </row>
    <row r="1828" spans="1:11" x14ac:dyDescent="0.3">
      <c r="A1828" s="2" t="s">
        <v>3193</v>
      </c>
      <c r="B1828" s="2" t="s">
        <v>139</v>
      </c>
      <c r="C1828" s="2" t="s">
        <v>111</v>
      </c>
      <c r="D1828" s="2" t="s">
        <v>2867</v>
      </c>
      <c r="E1828" s="4" t="str">
        <f>HYPERLINK("./Results/DLO\2667\Osteo_Sarco_1.png","RPT")</f>
        <v>RPT</v>
      </c>
      <c r="F1828" s="2" t="s">
        <v>121</v>
      </c>
      <c r="G1828" s="6"/>
      <c r="I1828"/>
      <c r="J1828"/>
      <c r="K1828"/>
    </row>
    <row r="1829" spans="1:11" x14ac:dyDescent="0.3">
      <c r="A1829" s="2" t="s">
        <v>3205</v>
      </c>
      <c r="B1829" s="2" t="s">
        <v>123</v>
      </c>
      <c r="C1829" s="2" t="s">
        <v>111</v>
      </c>
      <c r="D1829" s="2" t="s">
        <v>2131</v>
      </c>
      <c r="E1829" s="4" t="str">
        <f>HYPERLINK("./Results/DLO\2668\Osteo_Sarco_1.png","RPT")</f>
        <v>RPT</v>
      </c>
      <c r="F1829" s="2" t="s">
        <v>121</v>
      </c>
      <c r="G1829" s="6"/>
      <c r="I1829"/>
      <c r="J1829"/>
      <c r="K1829"/>
    </row>
    <row r="1830" spans="1:11" x14ac:dyDescent="0.3">
      <c r="A1830" s="2" t="s">
        <v>3192</v>
      </c>
      <c r="B1830" s="2" t="s">
        <v>138</v>
      </c>
      <c r="C1830" s="2" t="s">
        <v>119</v>
      </c>
      <c r="D1830" s="2" t="s">
        <v>2859</v>
      </c>
      <c r="E1830" s="4" t="str">
        <f>HYPERLINK("./Results/DLO\2669\Osteo_Sarco_1.png","RPT")</f>
        <v>RPT</v>
      </c>
      <c r="F1830" s="2" t="s">
        <v>121</v>
      </c>
      <c r="G1830" s="6"/>
      <c r="I1830"/>
      <c r="J1830"/>
      <c r="K1830"/>
    </row>
    <row r="1831" spans="1:11" x14ac:dyDescent="0.3">
      <c r="A1831" s="2" t="s">
        <v>3207</v>
      </c>
      <c r="B1831" s="2" t="s">
        <v>149</v>
      </c>
      <c r="C1831" s="2" t="s">
        <v>111</v>
      </c>
      <c r="D1831" s="2" t="s">
        <v>2859</v>
      </c>
      <c r="E1831" s="4" t="str">
        <f>HYPERLINK("./Results/DLO\267\Osteo_Sarco_1.png","RPT")</f>
        <v>RPT</v>
      </c>
      <c r="F1831" s="2" t="s">
        <v>121</v>
      </c>
      <c r="G1831" s="6"/>
      <c r="H1831" s="1">
        <v>27.48</v>
      </c>
    </row>
    <row r="1832" spans="1:11" x14ac:dyDescent="0.3">
      <c r="A1832" s="2" t="s">
        <v>3213</v>
      </c>
      <c r="B1832" s="2" t="s">
        <v>127</v>
      </c>
      <c r="C1832" s="2" t="s">
        <v>111</v>
      </c>
      <c r="D1832" s="2" t="s">
        <v>2859</v>
      </c>
      <c r="E1832" s="4" t="str">
        <f>HYPERLINK("./Results/DLO\2670\Osteo_Sarco_1.png","RPT")</f>
        <v>RPT</v>
      </c>
      <c r="F1832" s="2" t="s">
        <v>121</v>
      </c>
      <c r="G1832" s="6"/>
      <c r="I1832"/>
      <c r="J1832"/>
      <c r="K1832"/>
    </row>
    <row r="1833" spans="1:11" x14ac:dyDescent="0.3">
      <c r="A1833" s="2" t="s">
        <v>3197</v>
      </c>
      <c r="B1833" s="2" t="s">
        <v>144</v>
      </c>
      <c r="C1833" s="2" t="s">
        <v>119</v>
      </c>
      <c r="D1833" s="2" t="s">
        <v>2859</v>
      </c>
      <c r="E1833" s="4" t="str">
        <f>HYPERLINK("./Results/DLO\2671\Osteo_Sarco_1.png","RPT")</f>
        <v>RPT</v>
      </c>
      <c r="F1833" s="2" t="s">
        <v>121</v>
      </c>
      <c r="G1833" s="6"/>
      <c r="H1833" s="1">
        <v>22.8</v>
      </c>
    </row>
    <row r="1834" spans="1:11" x14ac:dyDescent="0.3">
      <c r="A1834" s="2" t="s">
        <v>3234</v>
      </c>
      <c r="B1834" s="2" t="s">
        <v>114</v>
      </c>
      <c r="C1834" s="2" t="s">
        <v>119</v>
      </c>
      <c r="D1834" s="2" t="s">
        <v>2859</v>
      </c>
      <c r="E1834" s="4" t="str">
        <f>HYPERLINK("./Results/DLO\2672\Osteo_Sarco_1.png","RPT")</f>
        <v>RPT</v>
      </c>
      <c r="F1834" s="2" t="s">
        <v>121</v>
      </c>
      <c r="G1834" s="6"/>
      <c r="I1834"/>
      <c r="J1834"/>
      <c r="K1834"/>
    </row>
    <row r="1835" spans="1:11" x14ac:dyDescent="0.3">
      <c r="A1835" s="2" t="s">
        <v>3225</v>
      </c>
      <c r="B1835" s="2" t="s">
        <v>114</v>
      </c>
      <c r="C1835" s="2" t="s">
        <v>111</v>
      </c>
      <c r="D1835" s="2" t="s">
        <v>2859</v>
      </c>
      <c r="E1835" s="4" t="str">
        <f>HYPERLINK("./Results/DLO\2673\Osteo_Sarco_1.png","RPT")</f>
        <v>RPT</v>
      </c>
      <c r="F1835" s="2" t="s">
        <v>121</v>
      </c>
      <c r="G1835" s="6"/>
      <c r="I1835"/>
      <c r="J1835"/>
      <c r="K1835"/>
    </row>
    <row r="1836" spans="1:11" x14ac:dyDescent="0.3">
      <c r="A1836" s="2" t="s">
        <v>3237</v>
      </c>
      <c r="B1836" s="2" t="s">
        <v>169</v>
      </c>
      <c r="C1836" s="2" t="s">
        <v>119</v>
      </c>
      <c r="D1836" s="2" t="s">
        <v>2859</v>
      </c>
      <c r="E1836" s="4" t="str">
        <f>HYPERLINK("./Results/DLO\2674\Osteo_Sarco_1.png","RPT")</f>
        <v>RPT</v>
      </c>
      <c r="F1836" s="2" t="s">
        <v>121</v>
      </c>
      <c r="G1836" s="6"/>
      <c r="H1836" s="1">
        <v>17.420000000000002</v>
      </c>
    </row>
    <row r="1837" spans="1:11" x14ac:dyDescent="0.3">
      <c r="A1837" s="2" t="s">
        <v>3219</v>
      </c>
      <c r="B1837" s="2" t="s">
        <v>122</v>
      </c>
      <c r="C1837" s="2" t="s">
        <v>111</v>
      </c>
      <c r="D1837" s="2" t="s">
        <v>2859</v>
      </c>
      <c r="E1837" s="4" t="str">
        <f>HYPERLINK("./Results/DLO\2675\Osteo_Sarco_1.png","RPT")</f>
        <v>RPT</v>
      </c>
      <c r="F1837" s="2" t="s">
        <v>121</v>
      </c>
      <c r="G1837" s="6"/>
      <c r="I1837"/>
      <c r="J1837"/>
      <c r="K1837"/>
    </row>
    <row r="1838" spans="1:11" x14ac:dyDescent="0.3">
      <c r="A1838" s="2" t="s">
        <v>3223</v>
      </c>
      <c r="B1838" s="2" t="s">
        <v>149</v>
      </c>
      <c r="C1838" s="2" t="s">
        <v>111</v>
      </c>
      <c r="D1838" s="2" t="s">
        <v>2867</v>
      </c>
      <c r="E1838" s="4" t="str">
        <f>HYPERLINK("./Results/DLO\2676\Osteo_Sarco_1.png","RPT")</f>
        <v>RPT</v>
      </c>
      <c r="F1838" s="2" t="s">
        <v>121</v>
      </c>
      <c r="G1838" s="6"/>
      <c r="I1838"/>
      <c r="J1838"/>
      <c r="K1838"/>
    </row>
    <row r="1839" spans="1:11" x14ac:dyDescent="0.3">
      <c r="A1839" s="2" t="s">
        <v>3235</v>
      </c>
      <c r="B1839" s="2" t="s">
        <v>144</v>
      </c>
      <c r="C1839" s="2" t="s">
        <v>111</v>
      </c>
      <c r="D1839" s="2" t="s">
        <v>2859</v>
      </c>
      <c r="E1839" s="4" t="str">
        <f>HYPERLINK("./Results/DLO\2677\Osteo_Sarco_1.png","RPT")</f>
        <v>RPT</v>
      </c>
      <c r="F1839" s="2" t="s">
        <v>121</v>
      </c>
      <c r="G1839" s="6"/>
      <c r="H1839" s="1">
        <v>26.61</v>
      </c>
    </row>
    <row r="1840" spans="1:11" x14ac:dyDescent="0.3">
      <c r="A1840" s="2" t="s">
        <v>3217</v>
      </c>
      <c r="B1840" s="2" t="s">
        <v>148</v>
      </c>
      <c r="C1840" s="2" t="s">
        <v>119</v>
      </c>
      <c r="D1840" s="2" t="s">
        <v>2131</v>
      </c>
      <c r="E1840" s="4" t="str">
        <f>HYPERLINK("./Results/DLO\2678\Osteo_Sarco_1.png","RPT")</f>
        <v>RPT</v>
      </c>
      <c r="F1840" s="2" t="s">
        <v>121</v>
      </c>
      <c r="G1840" s="6"/>
      <c r="I1840"/>
      <c r="J1840"/>
      <c r="K1840"/>
    </row>
    <row r="1841" spans="1:11" x14ac:dyDescent="0.3">
      <c r="A1841" s="2" t="s">
        <v>3227</v>
      </c>
      <c r="B1841" s="2" t="s">
        <v>142</v>
      </c>
      <c r="C1841" s="2" t="s">
        <v>119</v>
      </c>
      <c r="D1841" s="2" t="s">
        <v>2867</v>
      </c>
      <c r="E1841" s="4" t="str">
        <f>HYPERLINK("./Results/DLO\2679\Osteo_Sarco_1.png","RPT")</f>
        <v>RPT</v>
      </c>
      <c r="F1841" s="2" t="s">
        <v>121</v>
      </c>
      <c r="G1841" s="6"/>
      <c r="H1841" s="1">
        <v>26.35</v>
      </c>
    </row>
    <row r="1842" spans="1:11" x14ac:dyDescent="0.3">
      <c r="A1842" s="2" t="s">
        <v>3216</v>
      </c>
      <c r="B1842" s="2" t="s">
        <v>136</v>
      </c>
      <c r="C1842" s="2" t="s">
        <v>119</v>
      </c>
      <c r="D1842" s="2" t="s">
        <v>2859</v>
      </c>
      <c r="E1842" s="4" t="str">
        <f>HYPERLINK("./Results/DLO\268\Osteo_Sarco_1.png","RPT")</f>
        <v>RPT</v>
      </c>
      <c r="F1842" s="2" t="s">
        <v>121</v>
      </c>
      <c r="G1842" s="6"/>
      <c r="I1842"/>
      <c r="J1842"/>
      <c r="K1842"/>
    </row>
    <row r="1843" spans="1:11" x14ac:dyDescent="0.3">
      <c r="A1843" s="2" t="s">
        <v>3236</v>
      </c>
      <c r="B1843" s="2" t="s">
        <v>151</v>
      </c>
      <c r="C1843" s="2" t="s">
        <v>119</v>
      </c>
      <c r="D1843" s="2" t="s">
        <v>2867</v>
      </c>
      <c r="E1843" s="4" t="str">
        <f>HYPERLINK("./Results/DLO\2680\Osteo_Sarco_1.png","RPT")</f>
        <v>RPT</v>
      </c>
      <c r="F1843" s="2" t="s">
        <v>121</v>
      </c>
      <c r="G1843" s="6"/>
      <c r="I1843"/>
      <c r="J1843"/>
      <c r="K1843"/>
    </row>
    <row r="1844" spans="1:11" x14ac:dyDescent="0.3">
      <c r="A1844" s="2" t="s">
        <v>3226</v>
      </c>
      <c r="B1844" s="2" t="s">
        <v>135</v>
      </c>
      <c r="C1844" s="2" t="s">
        <v>111</v>
      </c>
      <c r="D1844" s="2" t="s">
        <v>2859</v>
      </c>
      <c r="E1844" s="4" t="str">
        <f>HYPERLINK("./Results/DLO\2681\Osteo_Sarco_1.png","RPT")</f>
        <v>RPT</v>
      </c>
      <c r="F1844" s="2" t="s">
        <v>121</v>
      </c>
      <c r="G1844" s="6"/>
      <c r="I1844"/>
      <c r="J1844"/>
      <c r="K1844"/>
    </row>
    <row r="1845" spans="1:11" x14ac:dyDescent="0.3">
      <c r="A1845" s="2" t="s">
        <v>3231</v>
      </c>
      <c r="B1845" s="2" t="s">
        <v>136</v>
      </c>
      <c r="C1845" s="2" t="s">
        <v>119</v>
      </c>
      <c r="D1845" s="2" t="s">
        <v>2859</v>
      </c>
      <c r="E1845" s="4" t="str">
        <f>HYPERLINK("./Results/DLO\2682\Osteo_Sarco_1.png","RPT")</f>
        <v>RPT</v>
      </c>
      <c r="F1845" s="2" t="s">
        <v>121</v>
      </c>
      <c r="G1845" s="6"/>
      <c r="H1845" s="1">
        <v>21.57</v>
      </c>
    </row>
    <row r="1846" spans="1:11" x14ac:dyDescent="0.3">
      <c r="A1846" s="2" t="s">
        <v>3224</v>
      </c>
      <c r="B1846" s="2" t="s">
        <v>127</v>
      </c>
      <c r="C1846" s="2" t="s">
        <v>119</v>
      </c>
      <c r="D1846" s="2" t="s">
        <v>2859</v>
      </c>
      <c r="E1846" s="4" t="str">
        <f>HYPERLINK("./Results/DLO\2683\Osteo_Sarco_1.png","RPT")</f>
        <v>RPT</v>
      </c>
      <c r="F1846" s="2" t="s">
        <v>121</v>
      </c>
      <c r="G1846" s="6"/>
      <c r="H1846" s="1">
        <v>22.36</v>
      </c>
    </row>
    <row r="1847" spans="1:11" x14ac:dyDescent="0.3">
      <c r="A1847" s="2" t="s">
        <v>3214</v>
      </c>
      <c r="B1847" s="2" t="s">
        <v>125</v>
      </c>
      <c r="C1847" s="2" t="s">
        <v>111</v>
      </c>
      <c r="D1847" s="2" t="s">
        <v>2867</v>
      </c>
      <c r="E1847" s="4" t="str">
        <f>HYPERLINK("./Results/DLO\2684\Osteo_Sarco_1.png","RPT")</f>
        <v>RPT</v>
      </c>
      <c r="F1847" s="2" t="s">
        <v>121</v>
      </c>
      <c r="G1847" s="6"/>
      <c r="I1847"/>
      <c r="J1847"/>
      <c r="K1847"/>
    </row>
    <row r="1848" spans="1:11" x14ac:dyDescent="0.3">
      <c r="A1848" s="2" t="s">
        <v>3215</v>
      </c>
      <c r="B1848" s="2" t="s">
        <v>149</v>
      </c>
      <c r="C1848" s="2" t="s">
        <v>119</v>
      </c>
      <c r="D1848" s="2" t="s">
        <v>2867</v>
      </c>
      <c r="E1848" s="4" t="str">
        <f>HYPERLINK("./Results/DLO\2685\Osteo_Sarco_1.png","RPT")</f>
        <v>RPT</v>
      </c>
      <c r="F1848" s="2" t="s">
        <v>121</v>
      </c>
      <c r="G1848" s="6"/>
      <c r="I1848"/>
      <c r="J1848"/>
      <c r="K1848"/>
    </row>
    <row r="1849" spans="1:11" x14ac:dyDescent="0.3">
      <c r="A1849" s="2" t="s">
        <v>3228</v>
      </c>
      <c r="B1849" s="2" t="s">
        <v>164</v>
      </c>
      <c r="C1849" s="2" t="s">
        <v>111</v>
      </c>
      <c r="D1849" s="2" t="s">
        <v>2867</v>
      </c>
      <c r="E1849" s="4" t="str">
        <f>HYPERLINK("./Results/DLO\2686\Osteo_Sarco_1.png","RPT")</f>
        <v>RPT</v>
      </c>
      <c r="F1849" s="2" t="s">
        <v>121</v>
      </c>
      <c r="G1849" s="6"/>
      <c r="I1849"/>
      <c r="J1849"/>
      <c r="K1849"/>
    </row>
    <row r="1850" spans="1:11" x14ac:dyDescent="0.3">
      <c r="A1850" s="2" t="s">
        <v>3232</v>
      </c>
      <c r="B1850" s="2" t="s">
        <v>114</v>
      </c>
      <c r="C1850" s="2" t="s">
        <v>111</v>
      </c>
      <c r="D1850" s="2" t="s">
        <v>2859</v>
      </c>
      <c r="E1850" s="4" t="str">
        <f>HYPERLINK("./Results/DLO\2687\Osteo_Sarco_1.png","RPT")</f>
        <v>RPT</v>
      </c>
      <c r="F1850" s="2" t="s">
        <v>121</v>
      </c>
      <c r="G1850" s="6"/>
      <c r="I1850"/>
      <c r="J1850"/>
      <c r="K1850"/>
    </row>
    <row r="1851" spans="1:11" x14ac:dyDescent="0.3">
      <c r="A1851" s="2" t="s">
        <v>3229</v>
      </c>
      <c r="B1851" s="2" t="s">
        <v>126</v>
      </c>
      <c r="C1851" s="2" t="s">
        <v>119</v>
      </c>
      <c r="D1851" s="2" t="s">
        <v>2859</v>
      </c>
      <c r="E1851" s="4" t="str">
        <f>HYPERLINK("./Results/DLO\2688\Osteo_Sarco_1.png","RPT")</f>
        <v>RPT</v>
      </c>
      <c r="F1851" s="2" t="s">
        <v>121</v>
      </c>
      <c r="G1851" s="6"/>
      <c r="I1851"/>
      <c r="J1851"/>
      <c r="K1851"/>
    </row>
    <row r="1852" spans="1:11" x14ac:dyDescent="0.3">
      <c r="A1852" s="2" t="s">
        <v>3218</v>
      </c>
      <c r="B1852" s="2" t="s">
        <v>131</v>
      </c>
      <c r="C1852" s="2" t="s">
        <v>119</v>
      </c>
      <c r="D1852" s="2" t="s">
        <v>2859</v>
      </c>
      <c r="E1852" s="4" t="str">
        <f>HYPERLINK("./Results/DLO\2689\Osteo_Sarco_1.png","RPT")</f>
        <v>RPT</v>
      </c>
      <c r="F1852" s="2" t="s">
        <v>74</v>
      </c>
      <c r="G1852" s="6"/>
      <c r="I1852"/>
      <c r="J1852"/>
      <c r="K1852"/>
    </row>
    <row r="1853" spans="1:11" x14ac:dyDescent="0.3">
      <c r="A1853" s="2" t="s">
        <v>3230</v>
      </c>
      <c r="B1853" s="2" t="s">
        <v>591</v>
      </c>
      <c r="C1853" s="2" t="s">
        <v>119</v>
      </c>
      <c r="D1853" s="2" t="s">
        <v>2867</v>
      </c>
      <c r="E1853" s="4" t="str">
        <f>HYPERLINK("./Results/DLO\269\Osteo_Sarco_1.png","RPT")</f>
        <v>RPT</v>
      </c>
      <c r="F1853" s="2" t="s">
        <v>77</v>
      </c>
      <c r="G1853" s="6"/>
      <c r="H1853" s="1">
        <v>17.899999999999999</v>
      </c>
    </row>
    <row r="1854" spans="1:11" x14ac:dyDescent="0.3">
      <c r="A1854" s="2" t="s">
        <v>3220</v>
      </c>
      <c r="B1854" s="2" t="s">
        <v>123</v>
      </c>
      <c r="C1854" s="2" t="s">
        <v>119</v>
      </c>
      <c r="D1854" s="2" t="s">
        <v>2867</v>
      </c>
      <c r="E1854" s="4" t="str">
        <f>HYPERLINK("./Results/DLO\2690\Osteo_Sarco_1.png","RPT")</f>
        <v>RPT</v>
      </c>
      <c r="F1854" s="2" t="s">
        <v>76</v>
      </c>
      <c r="G1854" s="6"/>
      <c r="I1854"/>
      <c r="J1854"/>
      <c r="K1854"/>
    </row>
    <row r="1855" spans="1:11" x14ac:dyDescent="0.3">
      <c r="A1855" s="2" t="s">
        <v>3233</v>
      </c>
      <c r="B1855" s="2" t="s">
        <v>140</v>
      </c>
      <c r="C1855" s="2" t="s">
        <v>119</v>
      </c>
      <c r="D1855" s="2" t="s">
        <v>2859</v>
      </c>
      <c r="E1855" s="4" t="str">
        <f>HYPERLINK("./Results/DLO\2691\Osteo_Sarco_1.png","RPT")</f>
        <v>RPT</v>
      </c>
      <c r="F1855" s="2" t="s">
        <v>474</v>
      </c>
      <c r="G1855" s="6"/>
      <c r="I1855"/>
      <c r="J1855"/>
      <c r="K1855"/>
    </row>
    <row r="1856" spans="1:11" x14ac:dyDescent="0.3">
      <c r="A1856" s="2" t="s">
        <v>3221</v>
      </c>
      <c r="B1856" s="2" t="s">
        <v>587</v>
      </c>
      <c r="C1856" s="2" t="s">
        <v>119</v>
      </c>
      <c r="D1856" s="2" t="s">
        <v>2859</v>
      </c>
      <c r="E1856" s="4" t="str">
        <f>HYPERLINK("./Results/DLO\2692\Osteo_Sarco_1.png","RPT")</f>
        <v>RPT</v>
      </c>
      <c r="F1856" s="2" t="s">
        <v>72</v>
      </c>
      <c r="G1856" s="6"/>
      <c r="I1856"/>
      <c r="J1856"/>
      <c r="K1856"/>
    </row>
    <row r="1857" spans="1:11" x14ac:dyDescent="0.3">
      <c r="A1857" s="2" t="s">
        <v>3222</v>
      </c>
      <c r="B1857" s="2" t="s">
        <v>140</v>
      </c>
      <c r="C1857" s="2" t="s">
        <v>111</v>
      </c>
      <c r="D1857" s="2" t="s">
        <v>1960</v>
      </c>
      <c r="E1857" s="4" t="str">
        <f>HYPERLINK("./Results/DLO\2693\Osteo_Sarco_1.png","RPT")</f>
        <v>RPT</v>
      </c>
      <c r="F1857" s="2" t="s">
        <v>465</v>
      </c>
      <c r="G1857" s="6"/>
      <c r="I1857"/>
      <c r="J1857"/>
      <c r="K1857"/>
    </row>
    <row r="1858" spans="1:11" x14ac:dyDescent="0.3">
      <c r="A1858" s="2" t="s">
        <v>3242</v>
      </c>
      <c r="B1858" s="2" t="s">
        <v>127</v>
      </c>
      <c r="C1858" s="2" t="s">
        <v>111</v>
      </c>
      <c r="D1858" s="2" t="s">
        <v>1957</v>
      </c>
      <c r="E1858" s="4" t="str">
        <f>HYPERLINK("./Results/DLO\2694\Osteo_Sarco_1.png","RPT")</f>
        <v>RPT</v>
      </c>
      <c r="F1858" s="2" t="s">
        <v>450</v>
      </c>
      <c r="G1858" s="6"/>
      <c r="H1858" s="1">
        <v>21.08</v>
      </c>
    </row>
    <row r="1859" spans="1:11" x14ac:dyDescent="0.3">
      <c r="A1859" s="2" t="s">
        <v>3250</v>
      </c>
      <c r="B1859" s="2" t="s">
        <v>120</v>
      </c>
      <c r="C1859" s="2" t="s">
        <v>111</v>
      </c>
      <c r="D1859" s="2" t="s">
        <v>2867</v>
      </c>
      <c r="E1859" s="4" t="str">
        <f>HYPERLINK("./Results/DLO\2695\Osteo_Sarco_1.png","RPT")</f>
        <v>RPT</v>
      </c>
      <c r="F1859" s="2" t="s">
        <v>455</v>
      </c>
      <c r="G1859" s="6"/>
      <c r="H1859" s="1">
        <v>24.93</v>
      </c>
    </row>
    <row r="1860" spans="1:11" x14ac:dyDescent="0.3">
      <c r="A1860" s="2" t="s">
        <v>3247</v>
      </c>
      <c r="B1860" s="2" t="s">
        <v>140</v>
      </c>
      <c r="C1860" s="2" t="s">
        <v>111</v>
      </c>
      <c r="D1860" s="2" t="s">
        <v>2867</v>
      </c>
      <c r="E1860" s="4" t="str">
        <f>HYPERLINK("./Results/DLO\2696\Osteo_Sarco_1.png","RPT")</f>
        <v>RPT</v>
      </c>
      <c r="F1860" s="2" t="s">
        <v>32</v>
      </c>
      <c r="G1860" s="6"/>
      <c r="I1860"/>
      <c r="J1860"/>
      <c r="K1860"/>
    </row>
    <row r="1861" spans="1:11" x14ac:dyDescent="0.3">
      <c r="A1861" s="2" t="s">
        <v>3251</v>
      </c>
      <c r="B1861" s="2" t="s">
        <v>168</v>
      </c>
      <c r="C1861" s="2" t="s">
        <v>119</v>
      </c>
      <c r="D1861" s="2" t="s">
        <v>2859</v>
      </c>
      <c r="E1861" s="4" t="str">
        <f>HYPERLINK("./Results/DLO\2697\Osteo_Sarco_1.png","RPT")</f>
        <v>RPT</v>
      </c>
      <c r="F1861" s="2" t="s">
        <v>575</v>
      </c>
      <c r="G1861" s="6"/>
      <c r="I1861"/>
      <c r="J1861"/>
      <c r="K1861"/>
    </row>
    <row r="1862" spans="1:11" x14ac:dyDescent="0.3">
      <c r="A1862" s="2" t="s">
        <v>3258</v>
      </c>
      <c r="B1862" s="2" t="s">
        <v>127</v>
      </c>
      <c r="C1862" s="2" t="s">
        <v>119</v>
      </c>
      <c r="D1862" s="2" t="s">
        <v>2867</v>
      </c>
      <c r="E1862" s="4" t="str">
        <f>HYPERLINK("./Results/DLO\2698\Osteo_Sarco_1.png","RPT")</f>
        <v>RPT</v>
      </c>
      <c r="F1862" s="2" t="s">
        <v>27</v>
      </c>
      <c r="G1862" s="6"/>
      <c r="I1862"/>
      <c r="J1862"/>
      <c r="K1862"/>
    </row>
    <row r="1863" spans="1:11" x14ac:dyDescent="0.3">
      <c r="A1863" s="2" t="s">
        <v>3256</v>
      </c>
      <c r="B1863" s="2" t="s">
        <v>162</v>
      </c>
      <c r="C1863" s="2" t="s">
        <v>111</v>
      </c>
      <c r="D1863" s="2" t="s">
        <v>2867</v>
      </c>
      <c r="E1863" s="4" t="str">
        <f>HYPERLINK("./Results/DLO\2699\Osteo_Sarco_1.png","RPT")</f>
        <v>RPT</v>
      </c>
      <c r="F1863" s="2" t="s">
        <v>4</v>
      </c>
      <c r="G1863" s="6"/>
      <c r="I1863"/>
      <c r="J1863"/>
      <c r="K1863"/>
    </row>
    <row r="1864" spans="1:11" x14ac:dyDescent="0.3">
      <c r="A1864" s="2" t="s">
        <v>3255</v>
      </c>
      <c r="B1864" s="2" t="s">
        <v>113</v>
      </c>
      <c r="C1864" s="2" t="s">
        <v>119</v>
      </c>
      <c r="D1864" s="2" t="s">
        <v>2859</v>
      </c>
      <c r="E1864" s="4" t="str">
        <f>HYPERLINK("./Results/DLO\27\Osteo_Sarco_1.png","RPT")</f>
        <v>RPT</v>
      </c>
      <c r="F1864" s="2" t="s">
        <v>46</v>
      </c>
      <c r="G1864" s="6"/>
      <c r="I1864"/>
      <c r="J1864"/>
      <c r="K1864"/>
    </row>
    <row r="1865" spans="1:11" x14ac:dyDescent="0.3">
      <c r="A1865" s="2" t="s">
        <v>3240</v>
      </c>
      <c r="B1865" s="2" t="s">
        <v>140</v>
      </c>
      <c r="C1865" s="2" t="s">
        <v>111</v>
      </c>
      <c r="D1865" s="2" t="s">
        <v>2859</v>
      </c>
      <c r="E1865" s="4" t="str">
        <f>HYPERLINK("./Results/DLO\270\Osteo_Sarco_1.png","RPT")</f>
        <v>RPT</v>
      </c>
      <c r="F1865" s="2" t="s">
        <v>59</v>
      </c>
      <c r="G1865" s="6"/>
      <c r="I1865"/>
      <c r="J1865"/>
      <c r="K1865"/>
    </row>
    <row r="1866" spans="1:11" x14ac:dyDescent="0.3">
      <c r="A1866" s="2" t="s">
        <v>3238</v>
      </c>
      <c r="B1866" s="2" t="s">
        <v>573</v>
      </c>
      <c r="C1866" s="2" t="s">
        <v>119</v>
      </c>
      <c r="D1866" s="2" t="s">
        <v>2859</v>
      </c>
      <c r="E1866" s="4" t="str">
        <f>HYPERLINK("./Results/DLO\2700\Osteo_Sarco_1.png","RPT")</f>
        <v>RPT</v>
      </c>
      <c r="F1866" s="2" t="s">
        <v>29</v>
      </c>
      <c r="G1866" s="6"/>
      <c r="I1866"/>
      <c r="J1866"/>
      <c r="K1866"/>
    </row>
    <row r="1867" spans="1:11" x14ac:dyDescent="0.3">
      <c r="A1867" s="2" t="s">
        <v>3248</v>
      </c>
      <c r="B1867" s="2" t="s">
        <v>146</v>
      </c>
      <c r="C1867" s="2" t="s">
        <v>111</v>
      </c>
      <c r="D1867" s="2" t="s">
        <v>2859</v>
      </c>
      <c r="E1867" s="4" t="str">
        <f>HYPERLINK("./Results/DLO\2701\Osteo_Sarco_1.png","RPT")</f>
        <v>RPT</v>
      </c>
      <c r="F1867" s="2" t="s">
        <v>72</v>
      </c>
      <c r="G1867" s="6"/>
      <c r="I1867"/>
      <c r="J1867"/>
      <c r="K1867"/>
    </row>
    <row r="1868" spans="1:11" x14ac:dyDescent="0.3">
      <c r="A1868" s="2" t="s">
        <v>3244</v>
      </c>
      <c r="B1868" s="2" t="s">
        <v>165</v>
      </c>
      <c r="C1868" s="2" t="s">
        <v>119</v>
      </c>
      <c r="D1868" s="2" t="s">
        <v>2867</v>
      </c>
      <c r="E1868" s="4" t="str">
        <f>HYPERLINK("./Results/DLO\2702\Osteo_Sarco_1.png","RPT")</f>
        <v>RPT</v>
      </c>
      <c r="F1868" s="2" t="s">
        <v>81</v>
      </c>
      <c r="G1868" s="6"/>
      <c r="H1868" s="1">
        <v>22.51</v>
      </c>
    </row>
    <row r="1869" spans="1:11" x14ac:dyDescent="0.3">
      <c r="A1869" s="2" t="s">
        <v>3241</v>
      </c>
      <c r="B1869" s="2" t="s">
        <v>126</v>
      </c>
      <c r="C1869" s="2" t="s">
        <v>119</v>
      </c>
      <c r="D1869" s="2" t="s">
        <v>2867</v>
      </c>
      <c r="E1869" s="4" t="str">
        <f>HYPERLINK("./Results/DLO\2703\Osteo_Sarco_1.png","RPT")</f>
        <v>RPT</v>
      </c>
      <c r="F1869" s="2" t="s">
        <v>81</v>
      </c>
      <c r="G1869" s="6"/>
      <c r="I1869"/>
      <c r="J1869"/>
      <c r="K1869"/>
    </row>
    <row r="1870" spans="1:11" x14ac:dyDescent="0.3">
      <c r="A1870" s="2" t="s">
        <v>3254</v>
      </c>
      <c r="B1870" s="2" t="s">
        <v>165</v>
      </c>
      <c r="C1870" s="2" t="s">
        <v>111</v>
      </c>
      <c r="D1870" s="2" t="s">
        <v>2859</v>
      </c>
      <c r="E1870" s="4" t="str">
        <f>HYPERLINK("./Results/DLO\2704\Osteo_Sarco_1.png","RPT")</f>
        <v>RPT</v>
      </c>
      <c r="F1870" s="2" t="s">
        <v>41</v>
      </c>
      <c r="G1870" s="6"/>
      <c r="I1870"/>
      <c r="J1870"/>
      <c r="K1870"/>
    </row>
    <row r="1871" spans="1:11" x14ac:dyDescent="0.3">
      <c r="A1871" s="2" t="s">
        <v>3260</v>
      </c>
      <c r="B1871" s="2" t="s">
        <v>137</v>
      </c>
      <c r="C1871" s="2" t="s">
        <v>111</v>
      </c>
      <c r="D1871" s="2" t="s">
        <v>2859</v>
      </c>
      <c r="E1871" s="4" t="str">
        <f>HYPERLINK("./Results/DLO\2705\Osteo_Sarco_1.png","RPT")</f>
        <v>RPT</v>
      </c>
      <c r="F1871" s="2" t="s">
        <v>73</v>
      </c>
      <c r="G1871" s="6"/>
      <c r="I1871"/>
      <c r="J1871"/>
      <c r="K1871"/>
    </row>
    <row r="1872" spans="1:11" x14ac:dyDescent="0.3">
      <c r="A1872" s="2" t="s">
        <v>3257</v>
      </c>
      <c r="B1872" s="2" t="s">
        <v>113</v>
      </c>
      <c r="C1872" s="2" t="s">
        <v>119</v>
      </c>
      <c r="D1872" s="2" t="s">
        <v>2867</v>
      </c>
      <c r="E1872" s="4" t="str">
        <f>HYPERLINK("./Results/DLO\2706\Osteo_Sarco_1.png","RPT")</f>
        <v>RPT</v>
      </c>
      <c r="F1872" s="2" t="s">
        <v>70</v>
      </c>
      <c r="G1872" s="6"/>
      <c r="H1872" s="1">
        <v>25.04</v>
      </c>
    </row>
    <row r="1873" spans="1:11" x14ac:dyDescent="0.3">
      <c r="A1873" s="2" t="s">
        <v>3259</v>
      </c>
      <c r="B1873" s="2" t="s">
        <v>116</v>
      </c>
      <c r="C1873" s="2" t="s">
        <v>119</v>
      </c>
      <c r="D1873" s="2" t="s">
        <v>2867</v>
      </c>
      <c r="E1873" s="4" t="str">
        <f>HYPERLINK("./Results/DLO\2707\Osteo_Sarco_1.png","RPT")</f>
        <v>RPT</v>
      </c>
      <c r="F1873" s="2" t="s">
        <v>88</v>
      </c>
      <c r="G1873" s="6"/>
      <c r="I1873"/>
      <c r="J1873"/>
      <c r="K1873"/>
    </row>
    <row r="1874" spans="1:11" x14ac:dyDescent="0.3">
      <c r="A1874" s="2" t="s">
        <v>3239</v>
      </c>
      <c r="B1874" s="2" t="s">
        <v>114</v>
      </c>
      <c r="C1874" s="2" t="s">
        <v>119</v>
      </c>
      <c r="D1874" s="2" t="s">
        <v>2859</v>
      </c>
      <c r="E1874" s="4" t="str">
        <f>HYPERLINK("./Results/DLO\2708\Osteo_Sarco_1.png","RPT")</f>
        <v>RPT</v>
      </c>
      <c r="F1874" s="2" t="s">
        <v>73</v>
      </c>
      <c r="G1874" s="6"/>
      <c r="I1874"/>
      <c r="J1874"/>
      <c r="K1874"/>
    </row>
    <row r="1875" spans="1:11" x14ac:dyDescent="0.3">
      <c r="A1875" s="2" t="s">
        <v>3243</v>
      </c>
      <c r="B1875" s="2" t="s">
        <v>167</v>
      </c>
      <c r="C1875" s="2" t="s">
        <v>119</v>
      </c>
      <c r="D1875" s="2" t="s">
        <v>2131</v>
      </c>
      <c r="E1875" s="4" t="str">
        <f>HYPERLINK("./Results/DLO\2709\Osteo_Sarco_1.png","RPT")</f>
        <v>RPT</v>
      </c>
      <c r="F1875" s="2" t="s">
        <v>81</v>
      </c>
      <c r="G1875" s="6"/>
      <c r="H1875" s="1">
        <v>24.49</v>
      </c>
    </row>
    <row r="1876" spans="1:11" x14ac:dyDescent="0.3">
      <c r="A1876" s="2" t="s">
        <v>3245</v>
      </c>
      <c r="B1876" s="2" t="s">
        <v>129</v>
      </c>
      <c r="C1876" s="2" t="s">
        <v>111</v>
      </c>
      <c r="D1876" s="2" t="s">
        <v>2859</v>
      </c>
      <c r="E1876" s="4" t="str">
        <f>HYPERLINK("./Results/DLO\271\Osteo_Sarco_1.png","RPT")</f>
        <v>RPT</v>
      </c>
      <c r="F1876" s="2" t="s">
        <v>113</v>
      </c>
      <c r="G1876" s="6"/>
      <c r="I1876"/>
      <c r="J1876"/>
      <c r="K1876"/>
    </row>
    <row r="1877" spans="1:11" x14ac:dyDescent="0.3">
      <c r="A1877" s="2" t="s">
        <v>3246</v>
      </c>
      <c r="B1877" s="2" t="s">
        <v>152</v>
      </c>
      <c r="C1877" s="2" t="s">
        <v>119</v>
      </c>
      <c r="D1877" s="2" t="s">
        <v>2859</v>
      </c>
      <c r="E1877" s="4" t="str">
        <f>HYPERLINK("./Results/DLO\2710\Osteo_Sarco_1.png","RPT")</f>
        <v>RPT</v>
      </c>
      <c r="F1877" s="2" t="s">
        <v>31</v>
      </c>
      <c r="G1877" s="6"/>
      <c r="I1877"/>
      <c r="J1877"/>
      <c r="K1877"/>
    </row>
    <row r="1878" spans="1:11" x14ac:dyDescent="0.3">
      <c r="A1878" s="2" t="s">
        <v>3249</v>
      </c>
      <c r="B1878" s="2" t="s">
        <v>120</v>
      </c>
      <c r="C1878" s="2" t="s">
        <v>111</v>
      </c>
      <c r="D1878" s="2" t="s">
        <v>2859</v>
      </c>
      <c r="E1878" s="4" t="str">
        <f>HYPERLINK("./Results/DLO\2711\Osteo_Sarco_1.png","RPT")</f>
        <v>RPT</v>
      </c>
      <c r="F1878" s="2" t="s">
        <v>27</v>
      </c>
      <c r="G1878" s="6"/>
      <c r="I1878"/>
      <c r="J1878"/>
      <c r="K1878"/>
    </row>
    <row r="1879" spans="1:11" x14ac:dyDescent="0.3">
      <c r="A1879" s="2" t="s">
        <v>3252</v>
      </c>
      <c r="B1879" s="2" t="s">
        <v>126</v>
      </c>
      <c r="C1879" s="2" t="s">
        <v>119</v>
      </c>
      <c r="D1879" s="2" t="s">
        <v>2867</v>
      </c>
      <c r="E1879" s="4" t="str">
        <f>HYPERLINK("./Results/DLO\2712\Osteo_Sarco_1.png","RPT")</f>
        <v>RPT</v>
      </c>
      <c r="F1879" s="2" t="s">
        <v>38</v>
      </c>
      <c r="G1879" s="6"/>
      <c r="I1879"/>
      <c r="J1879"/>
      <c r="K1879"/>
    </row>
    <row r="1880" spans="1:11" x14ac:dyDescent="0.3">
      <c r="A1880" s="2" t="s">
        <v>3253</v>
      </c>
      <c r="B1880" s="2" t="s">
        <v>113</v>
      </c>
      <c r="C1880" s="2" t="s">
        <v>111</v>
      </c>
      <c r="D1880" s="2" t="s">
        <v>2859</v>
      </c>
      <c r="E1880" s="4" t="str">
        <f>HYPERLINK("./Results/DLO\2713\Osteo_Sarco_1.png","RPT")</f>
        <v>RPT</v>
      </c>
      <c r="F1880" s="2" t="s">
        <v>43</v>
      </c>
      <c r="G1880" s="6"/>
      <c r="I1880"/>
      <c r="J1880"/>
      <c r="K1880"/>
    </row>
    <row r="1881" spans="1:11" x14ac:dyDescent="0.3">
      <c r="A1881" s="2" t="s">
        <v>3269</v>
      </c>
      <c r="B1881" s="2" t="s">
        <v>146</v>
      </c>
      <c r="C1881" s="2" t="s">
        <v>111</v>
      </c>
      <c r="D1881" s="2" t="s">
        <v>2859</v>
      </c>
      <c r="E1881" s="4" t="str">
        <f>HYPERLINK("./Results/DLO\2714\Osteo_Sarco_1.png","RPT")</f>
        <v>RPT</v>
      </c>
      <c r="F1881" s="2" t="s">
        <v>475</v>
      </c>
      <c r="G1881" s="6"/>
      <c r="I1881"/>
      <c r="J1881"/>
      <c r="K1881"/>
    </row>
    <row r="1882" spans="1:11" x14ac:dyDescent="0.3">
      <c r="A1882" s="2" t="s">
        <v>3282</v>
      </c>
      <c r="B1882" s="2" t="s">
        <v>114</v>
      </c>
      <c r="C1882" s="2" t="s">
        <v>111</v>
      </c>
      <c r="D1882" s="2" t="s">
        <v>2859</v>
      </c>
      <c r="E1882" s="4" t="str">
        <f>HYPERLINK("./Results/DLO\2715\Osteo_Sarco_1.png","RPT")</f>
        <v>RPT</v>
      </c>
      <c r="F1882" s="2" t="s">
        <v>95</v>
      </c>
      <c r="G1882" s="6"/>
      <c r="I1882"/>
      <c r="J1882"/>
      <c r="K1882"/>
    </row>
    <row r="1883" spans="1:11" x14ac:dyDescent="0.3">
      <c r="A1883" s="2" t="s">
        <v>3273</v>
      </c>
      <c r="B1883" s="2" t="s">
        <v>138</v>
      </c>
      <c r="C1883" s="2" t="s">
        <v>119</v>
      </c>
      <c r="D1883" s="2" t="s">
        <v>2867</v>
      </c>
      <c r="E1883" s="4" t="str">
        <f>HYPERLINK("./Results/DLO\2717\Osteo_Sarco_1.png","RPT")</f>
        <v>RPT</v>
      </c>
      <c r="F1883" s="2" t="s">
        <v>585</v>
      </c>
      <c r="G1883" s="6"/>
      <c r="I1883"/>
      <c r="J1883"/>
      <c r="K1883"/>
    </row>
    <row r="1884" spans="1:11" x14ac:dyDescent="0.3">
      <c r="A1884" s="2" t="s">
        <v>3277</v>
      </c>
      <c r="B1884" s="2" t="s">
        <v>164</v>
      </c>
      <c r="C1884" s="2" t="s">
        <v>119</v>
      </c>
      <c r="D1884" s="2" t="s">
        <v>2867</v>
      </c>
      <c r="E1884" s="4" t="str">
        <f>HYPERLINK("./Results/DLO\2718\Osteo_Sarco_1.png","RPT")</f>
        <v>RPT</v>
      </c>
      <c r="F1884" s="2" t="s">
        <v>57</v>
      </c>
      <c r="G1884" s="6"/>
      <c r="I1884"/>
      <c r="J1884"/>
      <c r="K1884"/>
    </row>
    <row r="1885" spans="1:11" x14ac:dyDescent="0.3">
      <c r="A1885" s="2" t="s">
        <v>3280</v>
      </c>
      <c r="B1885" s="2" t="s">
        <v>113</v>
      </c>
      <c r="C1885" s="2" t="s">
        <v>111</v>
      </c>
      <c r="D1885" s="2" t="s">
        <v>1957</v>
      </c>
      <c r="E1885" s="4" t="str">
        <f>HYPERLINK("./Results/DLO\2719\Osteo_Sarco_1.png","RPT")</f>
        <v>RPT</v>
      </c>
      <c r="F1885" s="2" t="s">
        <v>110</v>
      </c>
      <c r="G1885" s="6"/>
      <c r="I1885"/>
      <c r="J1885"/>
      <c r="K1885"/>
    </row>
    <row r="1886" spans="1:11" x14ac:dyDescent="0.3">
      <c r="A1886" s="2" t="s">
        <v>3265</v>
      </c>
      <c r="B1886" s="2" t="s">
        <v>165</v>
      </c>
      <c r="C1886" s="2" t="s">
        <v>111</v>
      </c>
      <c r="D1886" s="2" t="s">
        <v>2859</v>
      </c>
      <c r="E1886" s="4" t="str">
        <f>HYPERLINK("./Results/DLO\272\Osteo_Sarco_1.png","RPT")</f>
        <v>RPT</v>
      </c>
      <c r="F1886" s="2" t="s">
        <v>25</v>
      </c>
      <c r="G1886" s="6"/>
      <c r="I1886"/>
      <c r="J1886"/>
      <c r="K1886"/>
    </row>
    <row r="1887" spans="1:11" x14ac:dyDescent="0.3">
      <c r="A1887" s="2" t="s">
        <v>3267</v>
      </c>
      <c r="B1887" s="2" t="s">
        <v>157</v>
      </c>
      <c r="C1887" s="2" t="s">
        <v>119</v>
      </c>
      <c r="D1887" s="2" t="s">
        <v>2859</v>
      </c>
      <c r="E1887" s="4" t="str">
        <f>HYPERLINK("./Results/DLO\2720\Osteo_Sarco_1.png","RPT")</f>
        <v>RPT</v>
      </c>
      <c r="F1887" s="2" t="s">
        <v>28</v>
      </c>
      <c r="G1887" s="6"/>
      <c r="I1887"/>
      <c r="J1887"/>
      <c r="K1887"/>
    </row>
    <row r="1888" spans="1:11" x14ac:dyDescent="0.3">
      <c r="A1888" s="2" t="s">
        <v>3266</v>
      </c>
      <c r="B1888" s="2" t="s">
        <v>136</v>
      </c>
      <c r="C1888" s="2" t="s">
        <v>111</v>
      </c>
      <c r="D1888" s="2" t="s">
        <v>2859</v>
      </c>
      <c r="E1888" s="4" t="str">
        <f>HYPERLINK("./Results/DLO\2721\Osteo_Sarco_1.png","RPT")</f>
        <v>RPT</v>
      </c>
      <c r="F1888" s="2" t="s">
        <v>101</v>
      </c>
      <c r="G1888" s="6"/>
      <c r="I1888"/>
      <c r="J1888"/>
      <c r="K1888"/>
    </row>
    <row r="1889" spans="1:11" x14ac:dyDescent="0.3">
      <c r="A1889" s="2" t="s">
        <v>3281</v>
      </c>
      <c r="B1889" s="2" t="s">
        <v>587</v>
      </c>
      <c r="C1889" s="2" t="s">
        <v>119</v>
      </c>
      <c r="D1889" s="2" t="s">
        <v>2867</v>
      </c>
      <c r="E1889" s="4" t="str">
        <f>HYPERLINK("./Results/DLO\2722\Osteo_Sarco_1.png","RPT")</f>
        <v>RPT</v>
      </c>
      <c r="F1889" s="2" t="s">
        <v>45</v>
      </c>
      <c r="G1889" s="6"/>
      <c r="H1889" s="1">
        <v>20.36</v>
      </c>
    </row>
    <row r="1890" spans="1:11" x14ac:dyDescent="0.3">
      <c r="A1890" s="2" t="s">
        <v>3274</v>
      </c>
      <c r="B1890" s="2" t="s">
        <v>137</v>
      </c>
      <c r="C1890" s="2" t="s">
        <v>111</v>
      </c>
      <c r="D1890" s="2" t="s">
        <v>2859</v>
      </c>
      <c r="E1890" s="4" t="str">
        <f>HYPERLINK("./Results/DLO\2723\Osteo_Sarco_1.png","RPT")</f>
        <v>RPT</v>
      </c>
      <c r="F1890" s="2" t="s">
        <v>450</v>
      </c>
      <c r="G1890" s="6"/>
      <c r="I1890"/>
      <c r="J1890"/>
      <c r="K1890"/>
    </row>
    <row r="1891" spans="1:11" x14ac:dyDescent="0.3">
      <c r="A1891" s="2" t="s">
        <v>3268</v>
      </c>
      <c r="B1891" s="2" t="s">
        <v>589</v>
      </c>
      <c r="C1891" s="2" t="s">
        <v>119</v>
      </c>
      <c r="D1891" s="2" t="s">
        <v>2859</v>
      </c>
      <c r="E1891" s="4" t="str">
        <f>HYPERLINK("./Results/DLO\2724\Osteo_Sarco_1.png","RPT")</f>
        <v>RPT</v>
      </c>
      <c r="F1891" s="2" t="s">
        <v>87</v>
      </c>
      <c r="G1891" s="6"/>
      <c r="I1891"/>
      <c r="J1891"/>
      <c r="K1891"/>
    </row>
    <row r="1892" spans="1:11" x14ac:dyDescent="0.3">
      <c r="A1892" s="2" t="s">
        <v>3263</v>
      </c>
      <c r="B1892" s="2" t="s">
        <v>118</v>
      </c>
      <c r="C1892" s="2" t="s">
        <v>111</v>
      </c>
      <c r="D1892" s="2" t="s">
        <v>2859</v>
      </c>
      <c r="E1892" s="4" t="str">
        <f>HYPERLINK("./Results/DLO\2725\Osteo_Sarco_1.png","RPT")</f>
        <v>RPT</v>
      </c>
      <c r="F1892" s="2" t="s">
        <v>458</v>
      </c>
      <c r="G1892" s="6"/>
      <c r="I1892"/>
      <c r="J1892"/>
      <c r="K1892"/>
    </row>
    <row r="1893" spans="1:11" x14ac:dyDescent="0.3">
      <c r="A1893" s="2" t="s">
        <v>3278</v>
      </c>
      <c r="B1893" s="2" t="s">
        <v>132</v>
      </c>
      <c r="C1893" s="2" t="s">
        <v>111</v>
      </c>
      <c r="D1893" s="2" t="s">
        <v>2859</v>
      </c>
      <c r="E1893" s="4" t="str">
        <f>HYPERLINK("./Results/DLO\2726\Osteo_Sarco_1.png","RPT")</f>
        <v>RPT</v>
      </c>
      <c r="F1893" s="2" t="s">
        <v>102</v>
      </c>
      <c r="G1893" s="6"/>
      <c r="I1893"/>
      <c r="J1893"/>
      <c r="K1893"/>
    </row>
    <row r="1894" spans="1:11" x14ac:dyDescent="0.3">
      <c r="A1894" s="2" t="s">
        <v>3283</v>
      </c>
      <c r="B1894" s="2" t="s">
        <v>116</v>
      </c>
      <c r="C1894" s="2" t="s">
        <v>111</v>
      </c>
      <c r="D1894" s="2" t="s">
        <v>2867</v>
      </c>
      <c r="E1894" s="4" t="str">
        <f>HYPERLINK("./Results/DLO\2727\Osteo_Sarco_1.png","RPT")</f>
        <v>RPT</v>
      </c>
      <c r="F1894" s="2" t="s">
        <v>42</v>
      </c>
      <c r="G1894" s="6"/>
      <c r="I1894"/>
      <c r="J1894"/>
      <c r="K1894"/>
    </row>
    <row r="1895" spans="1:11" x14ac:dyDescent="0.3">
      <c r="A1895" s="2" t="s">
        <v>3275</v>
      </c>
      <c r="B1895" s="2" t="s">
        <v>137</v>
      </c>
      <c r="C1895" s="2" t="s">
        <v>111</v>
      </c>
      <c r="D1895" s="2" t="s">
        <v>2859</v>
      </c>
      <c r="E1895" s="4" t="str">
        <f>HYPERLINK("./Results/DLO\2728\Osteo_Sarco_1.png","RPT")</f>
        <v>RPT</v>
      </c>
      <c r="F1895" s="2" t="s">
        <v>97</v>
      </c>
      <c r="G1895" s="6"/>
      <c r="H1895" s="1">
        <v>23.71</v>
      </c>
    </row>
    <row r="1896" spans="1:11" x14ac:dyDescent="0.3">
      <c r="A1896" s="2" t="s">
        <v>3270</v>
      </c>
      <c r="B1896" s="2" t="s">
        <v>159</v>
      </c>
      <c r="C1896" s="2" t="s">
        <v>119</v>
      </c>
      <c r="D1896" s="2" t="s">
        <v>2859</v>
      </c>
      <c r="E1896" s="4" t="str">
        <f>HYPERLINK("./Results/DLO\2729\Osteo_Sarco_1.png","RPT")</f>
        <v>RPT</v>
      </c>
      <c r="F1896" s="2" t="s">
        <v>70</v>
      </c>
      <c r="G1896" s="6"/>
      <c r="I1896"/>
      <c r="J1896"/>
      <c r="K1896"/>
    </row>
    <row r="1897" spans="1:11" x14ac:dyDescent="0.3">
      <c r="A1897" s="2" t="s">
        <v>3261</v>
      </c>
      <c r="B1897" s="2" t="s">
        <v>131</v>
      </c>
      <c r="C1897" s="2" t="s">
        <v>119</v>
      </c>
      <c r="D1897" s="2" t="s">
        <v>2859</v>
      </c>
      <c r="E1897" s="4" t="str">
        <f>HYPERLINK("./Results/DLO\273\Osteo_Sarco_1.png","RPT")</f>
        <v>RPT</v>
      </c>
      <c r="F1897" s="2" t="s">
        <v>74</v>
      </c>
      <c r="G1897" s="6"/>
      <c r="I1897"/>
      <c r="J1897"/>
      <c r="K1897"/>
    </row>
    <row r="1898" spans="1:11" x14ac:dyDescent="0.3">
      <c r="A1898" s="2" t="s">
        <v>3284</v>
      </c>
      <c r="B1898" s="2" t="s">
        <v>148</v>
      </c>
      <c r="C1898" s="2" t="s">
        <v>119</v>
      </c>
      <c r="D1898" s="2" t="s">
        <v>2859</v>
      </c>
      <c r="E1898" s="4" t="str">
        <f>HYPERLINK("./Results/DLO\2730\Osteo_Sarco_1.png","RPT")</f>
        <v>RPT</v>
      </c>
      <c r="F1898" s="2" t="s">
        <v>31</v>
      </c>
      <c r="G1898" s="6"/>
      <c r="H1898" s="1">
        <v>20.059999999999999</v>
      </c>
    </row>
    <row r="1899" spans="1:11" x14ac:dyDescent="0.3">
      <c r="A1899" s="2" t="s">
        <v>3271</v>
      </c>
      <c r="B1899" s="2" t="s">
        <v>147</v>
      </c>
      <c r="C1899" s="2" t="s">
        <v>119</v>
      </c>
      <c r="D1899" s="2" t="s">
        <v>2859</v>
      </c>
      <c r="E1899" s="4" t="str">
        <f>HYPERLINK("./Results/DLO\2731\Osteo_Sarco_1.png","RPT")</f>
        <v>RPT</v>
      </c>
      <c r="F1899" s="2" t="s">
        <v>56</v>
      </c>
      <c r="G1899" s="6"/>
      <c r="I1899"/>
      <c r="J1899"/>
      <c r="K1899"/>
    </row>
    <row r="1900" spans="1:11" x14ac:dyDescent="0.3">
      <c r="A1900" s="2" t="s">
        <v>3272</v>
      </c>
      <c r="B1900" s="2" t="s">
        <v>140</v>
      </c>
      <c r="C1900" s="2" t="s">
        <v>111</v>
      </c>
      <c r="D1900" s="2" t="s">
        <v>2859</v>
      </c>
      <c r="E1900" s="4" t="str">
        <f>HYPERLINK("./Results/DLO\2732\Osteo_Sarco_1.png","RPT")</f>
        <v>RPT</v>
      </c>
      <c r="F1900" s="2" t="s">
        <v>99</v>
      </c>
      <c r="G1900" s="6"/>
      <c r="H1900" s="1">
        <v>21.48</v>
      </c>
    </row>
    <row r="1901" spans="1:11" x14ac:dyDescent="0.3">
      <c r="A1901" s="2" t="s">
        <v>3262</v>
      </c>
      <c r="B1901" s="2" t="s">
        <v>573</v>
      </c>
      <c r="C1901" s="2" t="s">
        <v>119</v>
      </c>
      <c r="D1901" s="2" t="s">
        <v>2867</v>
      </c>
      <c r="E1901" s="4" t="str">
        <f>HYPERLINK("./Results/DLO\2733\Osteo_Sarco_1.png","RPT")</f>
        <v>RPT</v>
      </c>
      <c r="F1901" s="2" t="s">
        <v>57</v>
      </c>
      <c r="G1901" s="6"/>
      <c r="I1901"/>
      <c r="J1901"/>
      <c r="K1901"/>
    </row>
    <row r="1902" spans="1:11" x14ac:dyDescent="0.3">
      <c r="A1902" s="2" t="s">
        <v>3279</v>
      </c>
      <c r="B1902" s="2" t="s">
        <v>151</v>
      </c>
      <c r="C1902" s="2" t="s">
        <v>119</v>
      </c>
      <c r="D1902" s="2" t="s">
        <v>2859</v>
      </c>
      <c r="E1902" s="4" t="str">
        <f>HYPERLINK("./Results/DLO\2735\Osteo_Sarco_1.png","RPT")</f>
        <v>RPT</v>
      </c>
      <c r="F1902" s="2" t="s">
        <v>450</v>
      </c>
      <c r="G1902" s="6"/>
      <c r="H1902" s="1">
        <v>28.2</v>
      </c>
    </row>
    <row r="1903" spans="1:11" x14ac:dyDescent="0.3">
      <c r="A1903" s="2" t="s">
        <v>3276</v>
      </c>
      <c r="B1903" s="2" t="s">
        <v>131</v>
      </c>
      <c r="C1903" s="2" t="s">
        <v>111</v>
      </c>
      <c r="D1903" s="2" t="s">
        <v>2859</v>
      </c>
      <c r="E1903" s="4" t="str">
        <f>HYPERLINK("./Results/DLO\2736\Osteo_Sarco_1.png","RPT")</f>
        <v>RPT</v>
      </c>
      <c r="F1903" s="2" t="s">
        <v>107</v>
      </c>
      <c r="G1903" s="6"/>
      <c r="I1903"/>
      <c r="J1903"/>
      <c r="K1903"/>
    </row>
    <row r="1904" spans="1:11" x14ac:dyDescent="0.3">
      <c r="A1904" s="2" t="s">
        <v>3264</v>
      </c>
      <c r="B1904" s="2" t="s">
        <v>112</v>
      </c>
      <c r="C1904" s="2" t="s">
        <v>119</v>
      </c>
      <c r="D1904" s="2" t="s">
        <v>2859</v>
      </c>
      <c r="E1904" s="4" t="str">
        <f>HYPERLINK("./Results/DLO\2737\Osteo_Sarco_1.png","RPT")</f>
        <v>RPT</v>
      </c>
      <c r="F1904" s="2" t="s">
        <v>454</v>
      </c>
      <c r="G1904" s="6"/>
      <c r="I1904"/>
      <c r="J1904"/>
      <c r="K1904"/>
    </row>
    <row r="1905" spans="1:11" x14ac:dyDescent="0.3">
      <c r="A1905" s="2" t="s">
        <v>3292</v>
      </c>
      <c r="B1905" s="2" t="s">
        <v>146</v>
      </c>
      <c r="C1905" s="2" t="s">
        <v>111</v>
      </c>
      <c r="D1905" s="2" t="s">
        <v>2859</v>
      </c>
      <c r="E1905" s="4" t="str">
        <f>HYPERLINK("./Results/DLO\2738\Osteo_Sarco_1.png","RPT")</f>
        <v>RPT</v>
      </c>
      <c r="F1905" s="2" t="s">
        <v>155</v>
      </c>
      <c r="G1905" s="6"/>
      <c r="I1905"/>
      <c r="J1905"/>
      <c r="K1905"/>
    </row>
    <row r="1906" spans="1:11" x14ac:dyDescent="0.3">
      <c r="A1906" s="2" t="s">
        <v>3300</v>
      </c>
      <c r="B1906" s="2" t="s">
        <v>142</v>
      </c>
      <c r="C1906" s="2" t="s">
        <v>111</v>
      </c>
      <c r="D1906" s="2" t="s">
        <v>2859</v>
      </c>
      <c r="E1906" s="4" t="str">
        <f>HYPERLINK("./Results/DLO\2739\Osteo_Sarco_1.png","RPT")</f>
        <v>RPT</v>
      </c>
      <c r="F1906" s="2" t="s">
        <v>459</v>
      </c>
      <c r="G1906" s="6"/>
      <c r="I1906"/>
      <c r="J1906"/>
      <c r="K1906"/>
    </row>
    <row r="1907" spans="1:11" x14ac:dyDescent="0.3">
      <c r="A1907" s="2" t="s">
        <v>3307</v>
      </c>
      <c r="B1907" s="2" t="s">
        <v>149</v>
      </c>
      <c r="C1907" s="2" t="s">
        <v>111</v>
      </c>
      <c r="D1907" s="2" t="s">
        <v>2859</v>
      </c>
      <c r="E1907" s="4" t="str">
        <f>HYPERLINK("./Results/DLO\274\Osteo_Sarco_1.png","RPT")</f>
        <v>RPT</v>
      </c>
      <c r="F1907" s="2" t="s">
        <v>65</v>
      </c>
      <c r="G1907" s="6"/>
      <c r="I1907"/>
      <c r="J1907"/>
      <c r="K1907"/>
    </row>
    <row r="1908" spans="1:11" x14ac:dyDescent="0.3">
      <c r="A1908" s="2" t="s">
        <v>3290</v>
      </c>
      <c r="B1908" s="2" t="s">
        <v>157</v>
      </c>
      <c r="C1908" s="2" t="s">
        <v>119</v>
      </c>
      <c r="D1908" s="2" t="s">
        <v>2859</v>
      </c>
      <c r="E1908" s="4" t="str">
        <f>HYPERLINK("./Results/DLO\2740\Osteo_Sarco_1.png","RPT")</f>
        <v>RPT</v>
      </c>
      <c r="F1908" s="2" t="s">
        <v>458</v>
      </c>
      <c r="G1908" s="6"/>
      <c r="I1908"/>
      <c r="J1908"/>
      <c r="K1908"/>
    </row>
    <row r="1909" spans="1:11" x14ac:dyDescent="0.3">
      <c r="A1909" s="2" t="s">
        <v>3299</v>
      </c>
      <c r="B1909" s="2" t="s">
        <v>151</v>
      </c>
      <c r="C1909" s="2" t="s">
        <v>119</v>
      </c>
      <c r="D1909" s="2" t="s">
        <v>2859</v>
      </c>
      <c r="E1909" s="4" t="str">
        <f>HYPERLINK("./Results/DLO\2742\Osteo_Sarco_1.png","RPT")</f>
        <v>RPT</v>
      </c>
      <c r="F1909" s="2" t="s">
        <v>69</v>
      </c>
      <c r="G1909" s="6"/>
      <c r="I1909"/>
      <c r="J1909"/>
      <c r="K1909"/>
    </row>
    <row r="1910" spans="1:11" x14ac:dyDescent="0.3">
      <c r="A1910" s="2" t="s">
        <v>3286</v>
      </c>
      <c r="B1910" s="2" t="s">
        <v>136</v>
      </c>
      <c r="C1910" s="2" t="s">
        <v>111</v>
      </c>
      <c r="D1910" s="2" t="s">
        <v>2859</v>
      </c>
      <c r="E1910" s="4" t="str">
        <f>HYPERLINK("./Results/DLO\2743\Osteo_Sarco_1.png","RPT")</f>
        <v>RPT</v>
      </c>
      <c r="F1910" s="2" t="s">
        <v>43</v>
      </c>
      <c r="G1910" s="6"/>
      <c r="I1910"/>
      <c r="J1910"/>
      <c r="K1910"/>
    </row>
    <row r="1911" spans="1:11" x14ac:dyDescent="0.3">
      <c r="A1911" s="2" t="s">
        <v>3308</v>
      </c>
      <c r="B1911" s="2" t="s">
        <v>170</v>
      </c>
      <c r="C1911" s="2" t="s">
        <v>119</v>
      </c>
      <c r="D1911" s="2" t="s">
        <v>2859</v>
      </c>
      <c r="E1911" s="4" t="str">
        <f>HYPERLINK("./Results/DLO\2744\Osteo_Sarco_1.png","RPT")</f>
        <v>RPT</v>
      </c>
      <c r="F1911" s="2" t="s">
        <v>454</v>
      </c>
      <c r="G1911" s="6"/>
      <c r="H1911" s="1">
        <v>22.98</v>
      </c>
    </row>
    <row r="1912" spans="1:11" x14ac:dyDescent="0.3">
      <c r="A1912" s="2" t="s">
        <v>3309</v>
      </c>
      <c r="B1912" s="2" t="s">
        <v>123</v>
      </c>
      <c r="C1912" s="2" t="s">
        <v>111</v>
      </c>
      <c r="D1912" s="2" t="s">
        <v>2859</v>
      </c>
      <c r="E1912" s="4" t="str">
        <f>HYPERLINK("./Results/DLO\2745\Osteo_Sarco_1.png","RPT")</f>
        <v>RPT</v>
      </c>
      <c r="F1912" s="2" t="s">
        <v>42</v>
      </c>
      <c r="G1912" s="6"/>
      <c r="I1912"/>
      <c r="J1912"/>
      <c r="K1912"/>
    </row>
    <row r="1913" spans="1:11" x14ac:dyDescent="0.3">
      <c r="A1913" s="2" t="s">
        <v>3285</v>
      </c>
      <c r="B1913" s="2" t="s">
        <v>167</v>
      </c>
      <c r="C1913" s="2" t="s">
        <v>119</v>
      </c>
      <c r="D1913" s="2" t="s">
        <v>2859</v>
      </c>
      <c r="E1913" s="4" t="str">
        <f>HYPERLINK("./Results/DLO\2746\Osteo_Sarco_1.png","RPT")</f>
        <v>RPT</v>
      </c>
      <c r="F1913" s="2" t="s">
        <v>151</v>
      </c>
      <c r="G1913" s="6"/>
      <c r="I1913"/>
      <c r="J1913"/>
      <c r="K1913"/>
    </row>
    <row r="1914" spans="1:11" x14ac:dyDescent="0.3">
      <c r="A1914" s="2" t="s">
        <v>3291</v>
      </c>
      <c r="B1914" s="2" t="s">
        <v>161</v>
      </c>
      <c r="C1914" s="2" t="s">
        <v>119</v>
      </c>
      <c r="D1914" s="2" t="s">
        <v>2859</v>
      </c>
      <c r="E1914" s="4" t="str">
        <f>HYPERLINK("./Results/DLO\2747\Osteo_Sarco_1.png","RPT")</f>
        <v>RPT</v>
      </c>
      <c r="F1914" s="2" t="s">
        <v>29</v>
      </c>
      <c r="G1914" s="6"/>
      <c r="I1914"/>
      <c r="J1914"/>
      <c r="K1914"/>
    </row>
    <row r="1915" spans="1:11" x14ac:dyDescent="0.3">
      <c r="A1915" s="2" t="s">
        <v>3303</v>
      </c>
      <c r="B1915" s="2" t="s">
        <v>142</v>
      </c>
      <c r="C1915" s="2" t="s">
        <v>111</v>
      </c>
      <c r="D1915" s="2" t="s">
        <v>2867</v>
      </c>
      <c r="E1915" s="4" t="str">
        <f>HYPERLINK("./Results/DLO\2748\Osteo_Sarco_1.png","RPT")</f>
        <v>RPT</v>
      </c>
      <c r="F1915" s="2" t="s">
        <v>103</v>
      </c>
      <c r="G1915" s="6"/>
      <c r="I1915"/>
      <c r="J1915"/>
      <c r="K1915"/>
    </row>
    <row r="1916" spans="1:11" x14ac:dyDescent="0.3">
      <c r="A1916" s="2" t="s">
        <v>3287</v>
      </c>
      <c r="B1916" s="2" t="s">
        <v>151</v>
      </c>
      <c r="C1916" s="2" t="s">
        <v>111</v>
      </c>
      <c r="D1916" s="2" t="s">
        <v>1935</v>
      </c>
      <c r="E1916" s="4" t="str">
        <f>HYPERLINK("./Results/DLO\2749\Osteo_Sarco_1.png","RPT")</f>
        <v>RPT</v>
      </c>
      <c r="F1916" s="2" t="s">
        <v>467</v>
      </c>
      <c r="G1916" s="6"/>
      <c r="I1916"/>
      <c r="J1916"/>
      <c r="K1916"/>
    </row>
    <row r="1917" spans="1:11" x14ac:dyDescent="0.3">
      <c r="A1917" s="2" t="s">
        <v>3304</v>
      </c>
      <c r="B1917" s="2" t="s">
        <v>143</v>
      </c>
      <c r="C1917" s="2" t="s">
        <v>119</v>
      </c>
      <c r="D1917" s="2" t="s">
        <v>2859</v>
      </c>
      <c r="E1917" s="4" t="str">
        <f>HYPERLINK("./Results/DLO\275\Osteo_Sarco_1.png","RPT")</f>
        <v>RPT</v>
      </c>
      <c r="F1917" s="2" t="s">
        <v>60</v>
      </c>
      <c r="G1917" s="6"/>
      <c r="I1917"/>
      <c r="J1917"/>
      <c r="K1917"/>
    </row>
    <row r="1918" spans="1:11" x14ac:dyDescent="0.3">
      <c r="A1918" s="2" t="s">
        <v>3288</v>
      </c>
      <c r="B1918" s="2" t="s">
        <v>137</v>
      </c>
      <c r="C1918" s="2" t="s">
        <v>119</v>
      </c>
      <c r="D1918" s="2" t="s">
        <v>2859</v>
      </c>
      <c r="E1918" s="4" t="str">
        <f>HYPERLINK("./Results/DLO\2750\Osteo_Sarco_1.png","RPT")</f>
        <v>RPT</v>
      </c>
      <c r="F1918" s="2" t="s">
        <v>28</v>
      </c>
      <c r="G1918" s="6"/>
      <c r="I1918"/>
      <c r="J1918"/>
      <c r="K1918"/>
    </row>
    <row r="1919" spans="1:11" x14ac:dyDescent="0.3">
      <c r="A1919" s="2" t="s">
        <v>3305</v>
      </c>
      <c r="B1919" s="2" t="s">
        <v>157</v>
      </c>
      <c r="C1919" s="2" t="s">
        <v>111</v>
      </c>
      <c r="D1919" s="2" t="s">
        <v>2859</v>
      </c>
      <c r="E1919" s="4" t="str">
        <f>HYPERLINK("./Results/DLO\2751\Osteo_Sarco_1.png","RPT")</f>
        <v>RPT</v>
      </c>
      <c r="F1919" s="2" t="s">
        <v>103</v>
      </c>
      <c r="G1919" s="6"/>
      <c r="I1919"/>
      <c r="J1919"/>
      <c r="K1919"/>
    </row>
    <row r="1920" spans="1:11" x14ac:dyDescent="0.3">
      <c r="A1920" s="2" t="s">
        <v>3289</v>
      </c>
      <c r="B1920" s="2" t="s">
        <v>146</v>
      </c>
      <c r="C1920" s="2" t="s">
        <v>119</v>
      </c>
      <c r="D1920" s="2" t="s">
        <v>2859</v>
      </c>
      <c r="E1920" s="4" t="str">
        <f>HYPERLINK("./Results/DLO\2752\Osteo_Sarco_1.png","RPT")</f>
        <v>RPT</v>
      </c>
      <c r="F1920" s="2" t="s">
        <v>454</v>
      </c>
      <c r="G1920" s="6"/>
      <c r="I1920"/>
      <c r="J1920"/>
      <c r="K1920"/>
    </row>
    <row r="1921" spans="1:11" x14ac:dyDescent="0.3">
      <c r="A1921" s="2" t="s">
        <v>3293</v>
      </c>
      <c r="B1921" s="2" t="s">
        <v>165</v>
      </c>
      <c r="C1921" s="2" t="s">
        <v>111</v>
      </c>
      <c r="D1921" s="2" t="s">
        <v>2859</v>
      </c>
      <c r="E1921" s="4" t="str">
        <f>HYPERLINK("./Results/DLO\2753\Osteo_Sarco_1.png","RPT")</f>
        <v>RPT</v>
      </c>
      <c r="F1921" s="2" t="s">
        <v>453</v>
      </c>
      <c r="G1921" s="6"/>
      <c r="H1921" s="1">
        <v>26.45</v>
      </c>
    </row>
    <row r="1922" spans="1:11" x14ac:dyDescent="0.3">
      <c r="A1922" s="2" t="s">
        <v>3298</v>
      </c>
      <c r="B1922" s="2" t="s">
        <v>136</v>
      </c>
      <c r="C1922" s="2" t="s">
        <v>111</v>
      </c>
      <c r="D1922" s="2" t="s">
        <v>2867</v>
      </c>
      <c r="E1922" s="4" t="str">
        <f>HYPERLINK("./Results/DLO\2754\Osteo_Sarco_1.png","RPT")</f>
        <v>RPT</v>
      </c>
      <c r="F1922" s="2" t="s">
        <v>465</v>
      </c>
      <c r="G1922" s="6"/>
      <c r="H1922" s="1">
        <v>28.07</v>
      </c>
    </row>
    <row r="1923" spans="1:11" x14ac:dyDescent="0.3">
      <c r="A1923" s="2" t="s">
        <v>3294</v>
      </c>
      <c r="B1923" s="2" t="s">
        <v>134</v>
      </c>
      <c r="C1923" s="2" t="s">
        <v>119</v>
      </c>
      <c r="D1923" s="2" t="s">
        <v>2867</v>
      </c>
      <c r="E1923" s="4" t="str">
        <f>HYPERLINK("./Results/DLO\2755\Osteo_Sarco_1.png","RPT")</f>
        <v>RPT</v>
      </c>
      <c r="F1923" s="2" t="s">
        <v>54</v>
      </c>
      <c r="G1923" s="6"/>
      <c r="H1923" s="1">
        <v>27.8</v>
      </c>
    </row>
    <row r="1924" spans="1:11" x14ac:dyDescent="0.3">
      <c r="A1924" s="2" t="s">
        <v>3301</v>
      </c>
      <c r="B1924" s="2" t="s">
        <v>167</v>
      </c>
      <c r="C1924" s="2" t="s">
        <v>111</v>
      </c>
      <c r="D1924" s="2" t="s">
        <v>2131</v>
      </c>
      <c r="E1924" s="4" t="str">
        <f>HYPERLINK("./Results/DLO\2756\Osteo_Sarco_1.png","RPT")</f>
        <v>RPT</v>
      </c>
      <c r="F1924" s="2" t="s">
        <v>448</v>
      </c>
      <c r="G1924" s="6"/>
      <c r="I1924"/>
      <c r="J1924"/>
      <c r="K1924"/>
    </row>
    <row r="1925" spans="1:11" x14ac:dyDescent="0.3">
      <c r="A1925" s="2" t="s">
        <v>3302</v>
      </c>
      <c r="B1925" s="2" t="s">
        <v>133</v>
      </c>
      <c r="C1925" s="2" t="s">
        <v>111</v>
      </c>
      <c r="D1925" s="2" t="s">
        <v>2867</v>
      </c>
      <c r="E1925" s="4" t="str">
        <f>HYPERLINK("./Results/DLO\2757\Osteo_Sarco_1.png","RPT")</f>
        <v>RPT</v>
      </c>
      <c r="F1925" s="2" t="s">
        <v>94</v>
      </c>
      <c r="G1925" s="6"/>
      <c r="I1925"/>
      <c r="J1925"/>
      <c r="K1925"/>
    </row>
    <row r="1926" spans="1:11" x14ac:dyDescent="0.3">
      <c r="A1926" s="2" t="s">
        <v>3306</v>
      </c>
      <c r="B1926" s="2" t="s">
        <v>131</v>
      </c>
      <c r="C1926" s="2" t="s">
        <v>119</v>
      </c>
      <c r="D1926" s="2" t="s">
        <v>2859</v>
      </c>
      <c r="E1926" s="4" t="str">
        <f>HYPERLINK("./Results/DLO\2758\Osteo_Sarco_1.png","RPT")</f>
        <v>RPT</v>
      </c>
      <c r="F1926" s="2" t="s">
        <v>60</v>
      </c>
      <c r="G1926" s="6"/>
      <c r="I1926"/>
      <c r="J1926"/>
      <c r="K1926"/>
    </row>
    <row r="1927" spans="1:11" x14ac:dyDescent="0.3">
      <c r="A1927" s="2" t="s">
        <v>3295</v>
      </c>
      <c r="B1927" s="2" t="s">
        <v>164</v>
      </c>
      <c r="C1927" s="2" t="s">
        <v>111</v>
      </c>
      <c r="D1927" s="2" t="s">
        <v>2859</v>
      </c>
      <c r="E1927" s="4" t="str">
        <f>HYPERLINK("./Results/DLO\2759\Osteo_Sarco_1.png","RPT")</f>
        <v>RPT</v>
      </c>
      <c r="F1927" s="2" t="s">
        <v>456</v>
      </c>
      <c r="G1927" s="6"/>
      <c r="H1927" s="1">
        <v>27.28</v>
      </c>
    </row>
    <row r="1928" spans="1:11" x14ac:dyDescent="0.3">
      <c r="A1928" s="2" t="s">
        <v>3296</v>
      </c>
      <c r="B1928" s="2" t="s">
        <v>144</v>
      </c>
      <c r="C1928" s="2" t="s">
        <v>119</v>
      </c>
      <c r="D1928" s="2" t="s">
        <v>2859</v>
      </c>
      <c r="E1928" s="4" t="str">
        <f>HYPERLINK("./Results/DLO\276\Osteo_Sarco_1.png","RPT")</f>
        <v>RPT</v>
      </c>
      <c r="F1928" s="2" t="s">
        <v>90</v>
      </c>
      <c r="G1928" s="6"/>
      <c r="I1928"/>
      <c r="J1928"/>
      <c r="K1928"/>
    </row>
    <row r="1929" spans="1:11" x14ac:dyDescent="0.3">
      <c r="A1929" s="2" t="s">
        <v>3297</v>
      </c>
      <c r="B1929" s="2" t="s">
        <v>123</v>
      </c>
      <c r="C1929" s="2" t="s">
        <v>111</v>
      </c>
      <c r="D1929" s="2" t="s">
        <v>2867</v>
      </c>
      <c r="E1929" s="4" t="str">
        <f>HYPERLINK("./Results/DLO\2760\Osteo_Sarco_1.png","RPT")</f>
        <v>RPT</v>
      </c>
      <c r="F1929" s="2" t="s">
        <v>452</v>
      </c>
      <c r="G1929" s="6"/>
      <c r="I1929"/>
      <c r="J1929"/>
      <c r="K1929"/>
    </row>
    <row r="1930" spans="1:11" x14ac:dyDescent="0.3">
      <c r="A1930" s="2" t="s">
        <v>3323</v>
      </c>
      <c r="B1930" s="2" t="s">
        <v>131</v>
      </c>
      <c r="C1930" s="2" t="s">
        <v>119</v>
      </c>
      <c r="D1930" s="2" t="s">
        <v>2867</v>
      </c>
      <c r="E1930" s="4" t="str">
        <f>HYPERLINK("./Results/DLO\2761\Osteo_Sarco_1.png","RPT")</f>
        <v>RPT</v>
      </c>
      <c r="F1930" s="2" t="s">
        <v>449</v>
      </c>
      <c r="G1930" s="6"/>
      <c r="H1930" s="1">
        <v>24.24</v>
      </c>
    </row>
    <row r="1931" spans="1:11" x14ac:dyDescent="0.3">
      <c r="A1931" s="2" t="s">
        <v>3328</v>
      </c>
      <c r="B1931" s="2" t="s">
        <v>168</v>
      </c>
      <c r="C1931" s="2" t="s">
        <v>119</v>
      </c>
      <c r="D1931" s="2" t="s">
        <v>2859</v>
      </c>
      <c r="E1931" s="4" t="str">
        <f>HYPERLINK("./Results/DLO\2762\Osteo_Sarco_1.png","RPT")</f>
        <v>RPT</v>
      </c>
      <c r="F1931" s="2" t="s">
        <v>61</v>
      </c>
      <c r="G1931" s="6"/>
      <c r="I1931"/>
      <c r="J1931"/>
      <c r="K1931"/>
    </row>
    <row r="1932" spans="1:11" x14ac:dyDescent="0.3">
      <c r="A1932" s="2" t="s">
        <v>3315</v>
      </c>
      <c r="B1932" s="2" t="s">
        <v>118</v>
      </c>
      <c r="C1932" s="2" t="s">
        <v>111</v>
      </c>
      <c r="D1932" s="2" t="s">
        <v>2867</v>
      </c>
      <c r="E1932" s="4" t="str">
        <f>HYPERLINK("./Results/DLO\2763\Osteo_Sarco_1.png","RPT")</f>
        <v>RPT</v>
      </c>
      <c r="F1932" s="2" t="s">
        <v>455</v>
      </c>
      <c r="G1932" s="6"/>
      <c r="H1932" s="1">
        <v>25.34</v>
      </c>
    </row>
    <row r="1933" spans="1:11" x14ac:dyDescent="0.3">
      <c r="A1933" s="2" t="s">
        <v>3325</v>
      </c>
      <c r="B1933" s="2" t="s">
        <v>149</v>
      </c>
      <c r="C1933" s="2" t="s">
        <v>111</v>
      </c>
      <c r="D1933" s="2" t="s">
        <v>2859</v>
      </c>
      <c r="E1933" s="4" t="str">
        <f>HYPERLINK("./Results/DLO\2764\Osteo_Sarco_1.png","RPT")</f>
        <v>RPT</v>
      </c>
      <c r="F1933" s="2" t="s">
        <v>51</v>
      </c>
      <c r="G1933" s="6"/>
      <c r="I1933"/>
      <c r="J1933"/>
      <c r="K1933"/>
    </row>
    <row r="1934" spans="1:11" x14ac:dyDescent="0.3">
      <c r="A1934" s="2" t="s">
        <v>3332</v>
      </c>
      <c r="B1934" s="2" t="s">
        <v>133</v>
      </c>
      <c r="C1934" s="2" t="s">
        <v>119</v>
      </c>
      <c r="D1934" s="2" t="s">
        <v>2859</v>
      </c>
      <c r="E1934" s="4" t="str">
        <f>HYPERLINK("./Results/DLO\2765\Osteo_Sarco_1.png","RPT")</f>
        <v>RPT</v>
      </c>
      <c r="F1934" s="2" t="s">
        <v>96</v>
      </c>
      <c r="G1934" s="6"/>
      <c r="I1934"/>
      <c r="J1934"/>
      <c r="K1934"/>
    </row>
    <row r="1935" spans="1:11" x14ac:dyDescent="0.3">
      <c r="A1935" s="2" t="s">
        <v>3324</v>
      </c>
      <c r="B1935" s="2" t="s">
        <v>148</v>
      </c>
      <c r="C1935" s="2" t="s">
        <v>111</v>
      </c>
      <c r="D1935" s="2" t="s">
        <v>2867</v>
      </c>
      <c r="E1935" s="4" t="str">
        <f>HYPERLINK("./Results/DLO\2766\Osteo_Sarco_1.png","RPT")</f>
        <v>RPT</v>
      </c>
      <c r="F1935" s="2" t="s">
        <v>45</v>
      </c>
      <c r="G1935" s="6"/>
      <c r="H1935" s="1">
        <v>22.89</v>
      </c>
    </row>
    <row r="1936" spans="1:11" x14ac:dyDescent="0.3">
      <c r="A1936" s="2" t="s">
        <v>3329</v>
      </c>
      <c r="B1936" s="2" t="s">
        <v>589</v>
      </c>
      <c r="C1936" s="2" t="s">
        <v>119</v>
      </c>
      <c r="D1936" s="2" t="s">
        <v>2859</v>
      </c>
      <c r="E1936" s="4" t="str">
        <f>HYPERLINK("./Results/DLO\2767\Osteo_Sarco_1.png","RPT")</f>
        <v>RPT</v>
      </c>
      <c r="F1936" s="2" t="s">
        <v>46</v>
      </c>
      <c r="G1936" s="6"/>
      <c r="I1936"/>
      <c r="J1936"/>
      <c r="K1936"/>
    </row>
    <row r="1937" spans="1:11" x14ac:dyDescent="0.3">
      <c r="A1937" s="2" t="s">
        <v>3318</v>
      </c>
      <c r="B1937" s="2" t="s">
        <v>148</v>
      </c>
      <c r="C1937" s="2" t="s">
        <v>111</v>
      </c>
      <c r="D1937" s="2" t="s">
        <v>2867</v>
      </c>
      <c r="E1937" s="4" t="str">
        <f>HYPERLINK("./Results/DLO\2768\Osteo_Sarco_1.png","RPT")</f>
        <v>RPT</v>
      </c>
      <c r="F1937" s="2" t="s">
        <v>90</v>
      </c>
      <c r="G1937" s="6"/>
      <c r="I1937"/>
      <c r="J1937"/>
      <c r="K1937"/>
    </row>
    <row r="1938" spans="1:11" x14ac:dyDescent="0.3">
      <c r="A1938" s="2" t="s">
        <v>3317</v>
      </c>
      <c r="B1938" s="2" t="s">
        <v>132</v>
      </c>
      <c r="C1938" s="2" t="s">
        <v>119</v>
      </c>
      <c r="D1938" s="2" t="s">
        <v>2859</v>
      </c>
      <c r="E1938" s="4" t="str">
        <f>HYPERLINK("./Results/DLO\2769\Osteo_Sarco_1.png","RPT")</f>
        <v>RPT</v>
      </c>
      <c r="F1938" s="2" t="s">
        <v>56</v>
      </c>
      <c r="G1938" s="6"/>
      <c r="I1938"/>
      <c r="J1938"/>
      <c r="K1938"/>
    </row>
    <row r="1939" spans="1:11" x14ac:dyDescent="0.3">
      <c r="A1939" s="2" t="s">
        <v>3326</v>
      </c>
      <c r="B1939" s="2" t="s">
        <v>140</v>
      </c>
      <c r="C1939" s="2" t="s">
        <v>119</v>
      </c>
      <c r="D1939" s="2" t="s">
        <v>2859</v>
      </c>
      <c r="E1939" s="4" t="str">
        <f>HYPERLINK("./Results/DLO\277\Osteo_Sarco_1.png","RPT")</f>
        <v>RPT</v>
      </c>
      <c r="F1939" s="2" t="s">
        <v>36</v>
      </c>
      <c r="G1939" s="6"/>
      <c r="I1939"/>
      <c r="J1939"/>
      <c r="K1939"/>
    </row>
    <row r="1940" spans="1:11" x14ac:dyDescent="0.3">
      <c r="A1940" s="2" t="s">
        <v>3327</v>
      </c>
      <c r="B1940" s="2" t="s">
        <v>163</v>
      </c>
      <c r="C1940" s="2" t="s">
        <v>119</v>
      </c>
      <c r="D1940" s="2" t="s">
        <v>2867</v>
      </c>
      <c r="E1940" s="4" t="str">
        <f>HYPERLINK("./Results/DLO\2770\Osteo_Sarco_1.png","RPT")</f>
        <v>RPT</v>
      </c>
      <c r="F1940" s="2" t="s">
        <v>97</v>
      </c>
      <c r="G1940" s="6"/>
      <c r="I1940"/>
      <c r="J1940"/>
      <c r="K1940"/>
    </row>
    <row r="1941" spans="1:11" x14ac:dyDescent="0.3">
      <c r="A1941" s="2" t="s">
        <v>3320</v>
      </c>
      <c r="B1941" s="2" t="s">
        <v>163</v>
      </c>
      <c r="C1941" s="2" t="s">
        <v>111</v>
      </c>
      <c r="D1941" s="2" t="s">
        <v>2859</v>
      </c>
      <c r="E1941" s="4" t="str">
        <f>HYPERLINK("./Results/DLO\2771\Osteo_Sarco_1.png","RPT")</f>
        <v>RPT</v>
      </c>
      <c r="F1941" s="2" t="s">
        <v>52</v>
      </c>
      <c r="G1941" s="6"/>
      <c r="I1941"/>
      <c r="J1941"/>
      <c r="K1941"/>
    </row>
    <row r="1942" spans="1:11" x14ac:dyDescent="0.3">
      <c r="A1942" s="2" t="s">
        <v>3319</v>
      </c>
      <c r="B1942" s="2" t="s">
        <v>587</v>
      </c>
      <c r="C1942" s="2" t="s">
        <v>119</v>
      </c>
      <c r="D1942" s="2" t="s">
        <v>2859</v>
      </c>
      <c r="E1942" s="4" t="str">
        <f>HYPERLINK("./Results/DLO\2773\Osteo_Sarco_1.png","RPT")</f>
        <v>RPT</v>
      </c>
      <c r="F1942" s="2" t="s">
        <v>44</v>
      </c>
      <c r="G1942" s="6"/>
      <c r="I1942"/>
      <c r="J1942"/>
      <c r="K1942"/>
    </row>
    <row r="1943" spans="1:11" x14ac:dyDescent="0.3">
      <c r="A1943" s="2" t="s">
        <v>3330</v>
      </c>
      <c r="B1943" s="2" t="s">
        <v>120</v>
      </c>
      <c r="C1943" s="2" t="s">
        <v>111</v>
      </c>
      <c r="D1943" s="2" t="s">
        <v>2859</v>
      </c>
      <c r="E1943" s="4" t="str">
        <f>HYPERLINK("./Results/DLO\2774\Osteo_Sarco_1.png","RPT")</f>
        <v>RPT</v>
      </c>
      <c r="F1943" s="2" t="s">
        <v>450</v>
      </c>
      <c r="G1943" s="6"/>
      <c r="H1943" s="1">
        <v>21.34</v>
      </c>
    </row>
    <row r="1944" spans="1:11" x14ac:dyDescent="0.3">
      <c r="A1944" s="2" t="s">
        <v>3321</v>
      </c>
      <c r="B1944" s="2" t="s">
        <v>131</v>
      </c>
      <c r="C1944" s="2" t="s">
        <v>119</v>
      </c>
      <c r="D1944" s="2" t="s">
        <v>2859</v>
      </c>
      <c r="E1944" s="4" t="str">
        <f>HYPERLINK("./Results/DLO\2775\Osteo_Sarco_1.png","RPT")</f>
        <v>RPT</v>
      </c>
      <c r="F1944" s="2" t="s">
        <v>38</v>
      </c>
      <c r="G1944" s="6"/>
      <c r="I1944"/>
      <c r="J1944"/>
      <c r="K1944"/>
    </row>
    <row r="1945" spans="1:11" x14ac:dyDescent="0.3">
      <c r="A1945" s="2" t="s">
        <v>3331</v>
      </c>
      <c r="B1945" s="2" t="s">
        <v>144</v>
      </c>
      <c r="C1945" s="2" t="s">
        <v>111</v>
      </c>
      <c r="D1945" s="2" t="s">
        <v>2859</v>
      </c>
      <c r="E1945" s="4" t="str">
        <f>HYPERLINK("./Results/DLO\2776\Osteo_Sarco_1.png","RPT")</f>
        <v>RPT</v>
      </c>
      <c r="F1945" s="2" t="s">
        <v>473</v>
      </c>
      <c r="G1945" s="6"/>
      <c r="I1945"/>
      <c r="J1945"/>
      <c r="K1945"/>
    </row>
    <row r="1946" spans="1:11" x14ac:dyDescent="0.3">
      <c r="A1946" s="2" t="s">
        <v>3312</v>
      </c>
      <c r="B1946" s="2" t="s">
        <v>125</v>
      </c>
      <c r="C1946" s="2" t="s">
        <v>111</v>
      </c>
      <c r="D1946" s="2" t="s">
        <v>2859</v>
      </c>
      <c r="E1946" s="4" t="str">
        <f>HYPERLINK("./Results/DLO\2777\Osteo_Sarco_1.png","RPT")</f>
        <v>RPT</v>
      </c>
      <c r="F1946" s="2" t="s">
        <v>94</v>
      </c>
      <c r="G1946" s="6"/>
      <c r="H1946" s="1">
        <v>28.84</v>
      </c>
    </row>
    <row r="1947" spans="1:11" x14ac:dyDescent="0.3">
      <c r="A1947" s="2" t="s">
        <v>3310</v>
      </c>
      <c r="B1947" s="2" t="s">
        <v>166</v>
      </c>
      <c r="C1947" s="2" t="s">
        <v>119</v>
      </c>
      <c r="D1947" s="2" t="s">
        <v>2867</v>
      </c>
      <c r="E1947" s="4" t="str">
        <f>HYPERLINK("./Results/DLO\2778\Osteo_Sarco_1.png","RPT")</f>
        <v>RPT</v>
      </c>
      <c r="F1947" s="2" t="s">
        <v>21</v>
      </c>
      <c r="G1947" s="6"/>
      <c r="I1947"/>
      <c r="J1947"/>
      <c r="K1947"/>
    </row>
    <row r="1948" spans="1:11" x14ac:dyDescent="0.3">
      <c r="A1948" s="2" t="s">
        <v>3311</v>
      </c>
      <c r="B1948" s="2" t="s">
        <v>163</v>
      </c>
      <c r="C1948" s="2" t="s">
        <v>119</v>
      </c>
      <c r="D1948" s="2" t="s">
        <v>2867</v>
      </c>
      <c r="E1948" s="4" t="str">
        <f>HYPERLINK("./Results/DLO\2779\Osteo_Sarco_1.png","RPT")</f>
        <v>RPT</v>
      </c>
      <c r="F1948" s="2" t="s">
        <v>454</v>
      </c>
      <c r="G1948" s="6"/>
      <c r="I1948"/>
      <c r="J1948"/>
      <c r="K1948"/>
    </row>
    <row r="1949" spans="1:11" x14ac:dyDescent="0.3">
      <c r="A1949" s="2" t="s">
        <v>3313</v>
      </c>
      <c r="B1949" s="2" t="s">
        <v>167</v>
      </c>
      <c r="C1949" s="2" t="s">
        <v>119</v>
      </c>
      <c r="D1949" s="2" t="s">
        <v>2859</v>
      </c>
      <c r="E1949" s="4" t="str">
        <f>HYPERLINK("./Results/DLO\278\Osteo_Sarco_1.png","RPT")</f>
        <v>RPT</v>
      </c>
      <c r="F1949" s="2" t="s">
        <v>50</v>
      </c>
      <c r="G1949" s="6"/>
      <c r="I1949"/>
      <c r="J1949"/>
      <c r="K1949"/>
    </row>
    <row r="1950" spans="1:11" x14ac:dyDescent="0.3">
      <c r="A1950" s="2" t="s">
        <v>3314</v>
      </c>
      <c r="B1950" s="2" t="s">
        <v>129</v>
      </c>
      <c r="C1950" s="2" t="s">
        <v>111</v>
      </c>
      <c r="D1950" s="2" t="s">
        <v>2859</v>
      </c>
      <c r="E1950" s="4" t="str">
        <f>HYPERLINK("./Results/DLO\2780\Osteo_Sarco_1.png","RPT")</f>
        <v>RPT</v>
      </c>
      <c r="F1950" s="2" t="s">
        <v>454</v>
      </c>
      <c r="G1950" s="6"/>
      <c r="H1950" s="1">
        <v>26.03</v>
      </c>
    </row>
    <row r="1951" spans="1:11" x14ac:dyDescent="0.3">
      <c r="A1951" s="2" t="s">
        <v>3316</v>
      </c>
      <c r="B1951" s="2" t="s">
        <v>127</v>
      </c>
      <c r="C1951" s="2" t="s">
        <v>119</v>
      </c>
      <c r="D1951" s="2" t="s">
        <v>2859</v>
      </c>
      <c r="E1951" s="4" t="str">
        <f>HYPERLINK("./Results/DLO\2781\Osteo_Sarco_1.png","RPT")</f>
        <v>RPT</v>
      </c>
      <c r="F1951" s="2" t="s">
        <v>445</v>
      </c>
      <c r="G1951" s="6"/>
      <c r="I1951"/>
      <c r="J1951"/>
      <c r="K1951"/>
    </row>
    <row r="1952" spans="1:11" x14ac:dyDescent="0.3">
      <c r="A1952" s="2" t="s">
        <v>3322</v>
      </c>
      <c r="B1952" s="2" t="s">
        <v>583</v>
      </c>
      <c r="C1952" s="2" t="s">
        <v>111</v>
      </c>
      <c r="D1952" s="2" t="s">
        <v>2859</v>
      </c>
      <c r="E1952" s="4" t="str">
        <f>HYPERLINK("./Results/DLO\2782\Osteo_Sarco_1.png","RPT")</f>
        <v>RPT</v>
      </c>
      <c r="F1952" s="2" t="s">
        <v>583</v>
      </c>
      <c r="G1952" s="6"/>
      <c r="H1952" s="1">
        <v>16.59</v>
      </c>
    </row>
    <row r="1953" spans="1:11" x14ac:dyDescent="0.3">
      <c r="A1953" s="2" t="s">
        <v>3340</v>
      </c>
      <c r="B1953" s="2" t="s">
        <v>140</v>
      </c>
      <c r="C1953" s="2" t="s">
        <v>111</v>
      </c>
      <c r="D1953" s="2" t="s">
        <v>2859</v>
      </c>
      <c r="E1953" s="4" t="str">
        <f>HYPERLINK("./Results/DLO\2783\Osteo_Sarco_1.png","RPT")</f>
        <v>RPT</v>
      </c>
      <c r="F1953" s="2" t="s">
        <v>83</v>
      </c>
      <c r="G1953" s="6"/>
      <c r="I1953"/>
      <c r="J1953"/>
      <c r="K1953"/>
    </row>
    <row r="1954" spans="1:11" x14ac:dyDescent="0.3">
      <c r="A1954" s="2" t="s">
        <v>3351</v>
      </c>
      <c r="B1954" s="2" t="s">
        <v>138</v>
      </c>
      <c r="C1954" s="2" t="s">
        <v>111</v>
      </c>
      <c r="D1954" s="2" t="s">
        <v>2859</v>
      </c>
      <c r="E1954" s="4" t="str">
        <f>HYPERLINK("./Results/DLO\2784\Osteo_Sarco_1.png","RPT")</f>
        <v>RPT</v>
      </c>
      <c r="F1954" s="2" t="s">
        <v>453</v>
      </c>
      <c r="G1954" s="6"/>
      <c r="I1954"/>
      <c r="J1954"/>
      <c r="K1954"/>
    </row>
    <row r="1955" spans="1:11" x14ac:dyDescent="0.3">
      <c r="A1955" s="2" t="s">
        <v>3358</v>
      </c>
      <c r="B1955" s="2" t="s">
        <v>131</v>
      </c>
      <c r="C1955" s="2" t="s">
        <v>111</v>
      </c>
      <c r="D1955" s="2" t="s">
        <v>2867</v>
      </c>
      <c r="E1955" s="4" t="str">
        <f>HYPERLINK("./Results/DLO\2785\Osteo_Sarco_1.png","RPT")</f>
        <v>RPT</v>
      </c>
      <c r="F1955" s="2" t="s">
        <v>444</v>
      </c>
      <c r="G1955" s="6"/>
      <c r="H1955" s="1">
        <v>30.4</v>
      </c>
    </row>
    <row r="1956" spans="1:11" x14ac:dyDescent="0.3">
      <c r="A1956" s="2" t="s">
        <v>3356</v>
      </c>
      <c r="B1956" s="2" t="s">
        <v>123</v>
      </c>
      <c r="C1956" s="2" t="s">
        <v>119</v>
      </c>
      <c r="D1956" s="2" t="s">
        <v>2859</v>
      </c>
      <c r="E1956" s="4" t="str">
        <f>HYPERLINK("./Results/DLO\2786\Osteo_Sarco_1.png","RPT")</f>
        <v>RPT</v>
      </c>
      <c r="F1956" s="2" t="s">
        <v>42</v>
      </c>
      <c r="G1956" s="6"/>
      <c r="I1956"/>
      <c r="J1956"/>
      <c r="K1956"/>
    </row>
    <row r="1957" spans="1:11" x14ac:dyDescent="0.3">
      <c r="A1957" s="2" t="s">
        <v>3355</v>
      </c>
      <c r="B1957" s="2" t="s">
        <v>127</v>
      </c>
      <c r="C1957" s="2" t="s">
        <v>119</v>
      </c>
      <c r="D1957" s="2" t="s">
        <v>2859</v>
      </c>
      <c r="E1957" s="4" t="str">
        <f>HYPERLINK("./Results/DLO\2787\Osteo_Sarco_1.png","RPT")</f>
        <v>RPT</v>
      </c>
      <c r="F1957" s="2" t="s">
        <v>97</v>
      </c>
      <c r="G1957" s="6"/>
      <c r="I1957"/>
      <c r="J1957"/>
      <c r="K1957"/>
    </row>
    <row r="1958" spans="1:11" x14ac:dyDescent="0.3">
      <c r="A1958" s="2" t="s">
        <v>3343</v>
      </c>
      <c r="B1958" s="2" t="s">
        <v>137</v>
      </c>
      <c r="C1958" s="2" t="s">
        <v>111</v>
      </c>
      <c r="D1958" s="2" t="s">
        <v>2859</v>
      </c>
      <c r="E1958" s="4" t="str">
        <f>HYPERLINK("./Results/DLO\2788\Osteo_Sarco_1.png","RPT")</f>
        <v>RPT</v>
      </c>
      <c r="F1958" s="2" t="s">
        <v>65</v>
      </c>
      <c r="G1958" s="6"/>
      <c r="I1958"/>
      <c r="J1958"/>
      <c r="K1958"/>
    </row>
    <row r="1959" spans="1:11" x14ac:dyDescent="0.3">
      <c r="A1959" s="2" t="s">
        <v>3342</v>
      </c>
      <c r="B1959" s="2" t="s">
        <v>162</v>
      </c>
      <c r="C1959" s="2" t="s">
        <v>119</v>
      </c>
      <c r="D1959" s="2" t="s">
        <v>2859</v>
      </c>
      <c r="E1959" s="4" t="str">
        <f>HYPERLINK("./Results/DLO\2789\Osteo_Sarco_1.png","RPT")</f>
        <v>RPT</v>
      </c>
      <c r="F1959" s="2" t="s">
        <v>70</v>
      </c>
      <c r="G1959" s="6"/>
      <c r="I1959"/>
      <c r="J1959"/>
      <c r="K1959"/>
    </row>
    <row r="1960" spans="1:11" x14ac:dyDescent="0.3">
      <c r="A1960" s="2" t="s">
        <v>3352</v>
      </c>
      <c r="B1960" s="2" t="s">
        <v>163</v>
      </c>
      <c r="C1960" s="2" t="s">
        <v>119</v>
      </c>
      <c r="D1960" s="2" t="s">
        <v>2859</v>
      </c>
      <c r="E1960" s="4" t="str">
        <f>HYPERLINK("./Results/DLO\279\Osteo_Sarco_1.png","RPT")</f>
        <v>RPT</v>
      </c>
      <c r="F1960" s="2" t="s">
        <v>454</v>
      </c>
      <c r="G1960" s="6"/>
      <c r="I1960"/>
      <c r="J1960"/>
      <c r="K1960"/>
    </row>
    <row r="1961" spans="1:11" x14ac:dyDescent="0.3">
      <c r="A1961" s="2" t="s">
        <v>3346</v>
      </c>
      <c r="B1961" s="2" t="s">
        <v>122</v>
      </c>
      <c r="C1961" s="2" t="s">
        <v>111</v>
      </c>
      <c r="D1961" s="2" t="s">
        <v>2859</v>
      </c>
      <c r="E1961" s="4" t="str">
        <f>HYPERLINK("./Results/DLO\2790\Osteo_Sarco_1.png","RPT")</f>
        <v>RPT</v>
      </c>
      <c r="F1961" s="2" t="s">
        <v>71</v>
      </c>
      <c r="G1961" s="6"/>
      <c r="I1961"/>
      <c r="J1961"/>
      <c r="K1961"/>
    </row>
    <row r="1962" spans="1:11" x14ac:dyDescent="0.3">
      <c r="A1962" s="2" t="s">
        <v>3354</v>
      </c>
      <c r="B1962" s="2" t="s">
        <v>142</v>
      </c>
      <c r="C1962" s="2" t="s">
        <v>119</v>
      </c>
      <c r="D1962" s="2" t="s">
        <v>2859</v>
      </c>
      <c r="E1962" s="4" t="str">
        <f>HYPERLINK("./Results/DLO\2791\Osteo_Sarco_1.png","RPT")</f>
        <v>RPT</v>
      </c>
      <c r="F1962" s="2" t="s">
        <v>60</v>
      </c>
      <c r="G1962" s="6"/>
      <c r="H1962" s="1">
        <v>20.83</v>
      </c>
    </row>
    <row r="1963" spans="1:11" x14ac:dyDescent="0.3">
      <c r="A1963" s="2" t="s">
        <v>3341</v>
      </c>
      <c r="B1963" s="2" t="s">
        <v>587</v>
      </c>
      <c r="C1963" s="2" t="s">
        <v>111</v>
      </c>
      <c r="D1963" s="2" t="s">
        <v>2867</v>
      </c>
      <c r="E1963" s="4" t="str">
        <f>HYPERLINK("./Results/DLO\2792\Osteo_Sarco_1.png","RPT")</f>
        <v>RPT</v>
      </c>
      <c r="F1963" s="2" t="s">
        <v>104</v>
      </c>
      <c r="G1963" s="6"/>
      <c r="I1963"/>
      <c r="J1963"/>
      <c r="K1963"/>
    </row>
    <row r="1964" spans="1:11" x14ac:dyDescent="0.3">
      <c r="A1964" s="2" t="s">
        <v>3334</v>
      </c>
      <c r="B1964" s="2" t="s">
        <v>146</v>
      </c>
      <c r="C1964" s="2" t="s">
        <v>111</v>
      </c>
      <c r="D1964" s="2" t="s">
        <v>2859</v>
      </c>
      <c r="E1964" s="4" t="str">
        <f>HYPERLINK("./Results/DLO\2793\Osteo_Sarco_1.png","RPT")</f>
        <v>RPT</v>
      </c>
      <c r="F1964" s="2" t="s">
        <v>446</v>
      </c>
      <c r="G1964" s="6"/>
      <c r="I1964"/>
      <c r="J1964"/>
      <c r="K1964"/>
    </row>
    <row r="1965" spans="1:11" x14ac:dyDescent="0.3">
      <c r="A1965" s="2" t="s">
        <v>3347</v>
      </c>
      <c r="B1965" s="2" t="s">
        <v>142</v>
      </c>
      <c r="C1965" s="2" t="s">
        <v>111</v>
      </c>
      <c r="D1965" s="2" t="s">
        <v>2867</v>
      </c>
      <c r="E1965" s="4" t="str">
        <f>HYPERLINK("./Results/DLO\2794\Osteo_Sarco_1.png","RPT")</f>
        <v>RPT</v>
      </c>
      <c r="F1965" s="2" t="s">
        <v>444</v>
      </c>
      <c r="G1965" s="6"/>
      <c r="I1965"/>
      <c r="J1965"/>
      <c r="K1965"/>
    </row>
    <row r="1966" spans="1:11" x14ac:dyDescent="0.3">
      <c r="A1966" s="2" t="s">
        <v>3339</v>
      </c>
      <c r="B1966" s="2" t="s">
        <v>133</v>
      </c>
      <c r="C1966" s="2" t="s">
        <v>119</v>
      </c>
      <c r="D1966" s="2" t="s">
        <v>2867</v>
      </c>
      <c r="E1966" s="4" t="str">
        <f>HYPERLINK("./Results/DLO\2795\Osteo_Sarco_1.png","RPT")</f>
        <v>RPT</v>
      </c>
      <c r="F1966" s="2" t="s">
        <v>35</v>
      </c>
      <c r="G1966" s="6"/>
      <c r="H1966" s="1">
        <v>26.88</v>
      </c>
    </row>
    <row r="1967" spans="1:11" x14ac:dyDescent="0.3">
      <c r="A1967" s="2" t="s">
        <v>3357</v>
      </c>
      <c r="B1967" s="2" t="s">
        <v>170</v>
      </c>
      <c r="C1967" s="2" t="s">
        <v>119</v>
      </c>
      <c r="D1967" s="2" t="s">
        <v>2859</v>
      </c>
      <c r="E1967" s="4" t="str">
        <f>HYPERLINK("./Results/DLO\2796\Osteo_Sarco_1.png","RPT")</f>
        <v>RPT</v>
      </c>
      <c r="F1967" s="2" t="s">
        <v>74</v>
      </c>
      <c r="G1967" s="6"/>
      <c r="I1967"/>
      <c r="J1967"/>
      <c r="K1967"/>
    </row>
    <row r="1968" spans="1:11" x14ac:dyDescent="0.3">
      <c r="A1968" s="2" t="s">
        <v>3333</v>
      </c>
      <c r="B1968" s="2" t="s">
        <v>144</v>
      </c>
      <c r="C1968" s="2" t="s">
        <v>111</v>
      </c>
      <c r="D1968" s="2" t="s">
        <v>2859</v>
      </c>
      <c r="E1968" s="4" t="str">
        <f>HYPERLINK("./Results/DLO\2797\Osteo_Sarco_1.png","RPT")</f>
        <v>RPT</v>
      </c>
      <c r="F1968" s="2" t="s">
        <v>106</v>
      </c>
      <c r="G1968" s="6"/>
      <c r="I1968"/>
      <c r="J1968"/>
      <c r="K1968"/>
    </row>
    <row r="1969" spans="1:11" x14ac:dyDescent="0.3">
      <c r="A1969" s="2" t="s">
        <v>3336</v>
      </c>
      <c r="B1969" s="2" t="s">
        <v>149</v>
      </c>
      <c r="C1969" s="2" t="s">
        <v>111</v>
      </c>
      <c r="D1969" s="2" t="s">
        <v>2859</v>
      </c>
      <c r="E1969" s="4" t="str">
        <f>HYPERLINK("./Results/DLO\2798\Osteo_Sarco_1.png","RPT")</f>
        <v>RPT</v>
      </c>
      <c r="F1969" s="2" t="s">
        <v>65</v>
      </c>
      <c r="G1969" s="6"/>
      <c r="I1969"/>
      <c r="J1969"/>
      <c r="K1969"/>
    </row>
    <row r="1970" spans="1:11" x14ac:dyDescent="0.3">
      <c r="A1970" s="2" t="s">
        <v>3338</v>
      </c>
      <c r="B1970" s="2" t="s">
        <v>116</v>
      </c>
      <c r="C1970" s="2" t="s">
        <v>119</v>
      </c>
      <c r="D1970" s="2" t="s">
        <v>2859</v>
      </c>
      <c r="E1970" s="4" t="str">
        <f>HYPERLINK("./Results/DLO\2799\Osteo_Sarco_1.png","RPT")</f>
        <v>RPT</v>
      </c>
      <c r="F1970" s="2" t="s">
        <v>38</v>
      </c>
      <c r="G1970" s="6"/>
      <c r="H1970" s="1">
        <v>27.09</v>
      </c>
    </row>
    <row r="1971" spans="1:11" x14ac:dyDescent="0.3">
      <c r="A1971" s="2" t="s">
        <v>3353</v>
      </c>
      <c r="B1971" s="2" t="s">
        <v>167</v>
      </c>
      <c r="C1971" s="2" t="s">
        <v>119</v>
      </c>
      <c r="D1971" s="2" t="s">
        <v>2859</v>
      </c>
      <c r="E1971" s="4" t="str">
        <f>HYPERLINK("./Results/DLO\28\Osteo_Sarco_1.png","RPT")</f>
        <v>RPT</v>
      </c>
      <c r="F1971" s="2" t="s">
        <v>98</v>
      </c>
      <c r="G1971" s="6"/>
      <c r="I1971"/>
      <c r="J1971"/>
      <c r="K1971"/>
    </row>
    <row r="1972" spans="1:11" x14ac:dyDescent="0.3">
      <c r="A1972" s="2" t="s">
        <v>3344</v>
      </c>
      <c r="B1972" s="2" t="s">
        <v>116</v>
      </c>
      <c r="C1972" s="2" t="s">
        <v>111</v>
      </c>
      <c r="D1972" s="2" t="s">
        <v>2859</v>
      </c>
      <c r="E1972" s="4" t="str">
        <f>HYPERLINK("./Results/DLO\280\Osteo_Sarco_1.png","RPT")</f>
        <v>RPT</v>
      </c>
      <c r="F1972" s="2" t="s">
        <v>106</v>
      </c>
      <c r="G1972" s="6"/>
      <c r="I1972"/>
      <c r="J1972"/>
      <c r="K1972"/>
    </row>
    <row r="1973" spans="1:11" x14ac:dyDescent="0.3">
      <c r="A1973" s="2" t="s">
        <v>3345</v>
      </c>
      <c r="B1973" s="2" t="s">
        <v>135</v>
      </c>
      <c r="C1973" s="2" t="s">
        <v>111</v>
      </c>
      <c r="D1973" s="2" t="s">
        <v>2859</v>
      </c>
      <c r="E1973" s="4" t="str">
        <f>HYPERLINK("./Results/DLO\2800\Osteo_Sarco_1.png","RPT")</f>
        <v>RPT</v>
      </c>
      <c r="F1973" s="2" t="s">
        <v>80</v>
      </c>
      <c r="G1973" s="6"/>
      <c r="I1973"/>
      <c r="J1973"/>
      <c r="K1973"/>
    </row>
    <row r="1974" spans="1:11" x14ac:dyDescent="0.3">
      <c r="A1974" s="2" t="s">
        <v>3335</v>
      </c>
      <c r="B1974" s="2" t="s">
        <v>140</v>
      </c>
      <c r="C1974" s="2" t="s">
        <v>111</v>
      </c>
      <c r="D1974" s="2" t="s">
        <v>2859</v>
      </c>
      <c r="E1974" s="4" t="str">
        <f>HYPERLINK("./Results/DLO\2801\Osteo_Sarco_1.png","RPT")</f>
        <v>RPT</v>
      </c>
      <c r="F1974" s="2" t="s">
        <v>25</v>
      </c>
      <c r="G1974" s="6"/>
      <c r="I1974"/>
      <c r="J1974"/>
      <c r="K1974"/>
    </row>
    <row r="1975" spans="1:11" x14ac:dyDescent="0.3">
      <c r="A1975" s="2" t="s">
        <v>3337</v>
      </c>
      <c r="B1975" s="2" t="s">
        <v>125</v>
      </c>
      <c r="C1975" s="2" t="s">
        <v>111</v>
      </c>
      <c r="D1975" s="2" t="s">
        <v>2859</v>
      </c>
      <c r="E1975" s="4" t="str">
        <f>HYPERLINK("./Results/DLO\2802\Osteo_Sarco_1.png","RPT")</f>
        <v>RPT</v>
      </c>
      <c r="F1975" s="2" t="s">
        <v>459</v>
      </c>
      <c r="G1975" s="6"/>
      <c r="I1975"/>
      <c r="J1975"/>
      <c r="K1975"/>
    </row>
    <row r="1976" spans="1:11" x14ac:dyDescent="0.3">
      <c r="A1976" s="2" t="s">
        <v>3348</v>
      </c>
      <c r="B1976" s="2" t="s">
        <v>140</v>
      </c>
      <c r="C1976" s="2" t="s">
        <v>119</v>
      </c>
      <c r="D1976" s="2" t="s">
        <v>2859</v>
      </c>
      <c r="E1976" s="4" t="str">
        <f>HYPERLINK("./Results/DLO\2803\Osteo_Sarco_1.png","RPT")</f>
        <v>RPT</v>
      </c>
      <c r="F1976" s="2" t="s">
        <v>156</v>
      </c>
      <c r="G1976" s="6"/>
      <c r="I1976"/>
      <c r="J1976"/>
      <c r="K1976"/>
    </row>
    <row r="1977" spans="1:11" x14ac:dyDescent="0.3">
      <c r="A1977" s="2" t="s">
        <v>3349</v>
      </c>
      <c r="B1977" s="2" t="s">
        <v>589</v>
      </c>
      <c r="C1977" s="2" t="s">
        <v>119</v>
      </c>
      <c r="D1977" s="2" t="s">
        <v>2867</v>
      </c>
      <c r="E1977" s="4" t="str">
        <f>HYPERLINK("./Results/DLO\2804\Osteo_Sarco_1.png","RPT")</f>
        <v>RPT</v>
      </c>
      <c r="F1977" s="2" t="s">
        <v>456</v>
      </c>
      <c r="G1977" s="6"/>
      <c r="I1977"/>
      <c r="J1977"/>
      <c r="K1977"/>
    </row>
    <row r="1978" spans="1:11" x14ac:dyDescent="0.3">
      <c r="A1978" s="2" t="s">
        <v>3350</v>
      </c>
      <c r="B1978" s="2" t="s">
        <v>116</v>
      </c>
      <c r="C1978" s="2" t="s">
        <v>119</v>
      </c>
      <c r="D1978" s="2" t="s">
        <v>2867</v>
      </c>
      <c r="E1978" s="4" t="str">
        <f>HYPERLINK("./Results/DLO\2805\Osteo_Sarco_1.png","RPT")</f>
        <v>RPT</v>
      </c>
      <c r="F1978" s="2" t="s">
        <v>97</v>
      </c>
      <c r="G1978" s="6"/>
      <c r="H1978" s="1">
        <v>21.15</v>
      </c>
    </row>
    <row r="1979" spans="1:11" x14ac:dyDescent="0.3">
      <c r="A1979" s="2" t="s">
        <v>3359</v>
      </c>
      <c r="B1979" s="2" t="s">
        <v>580</v>
      </c>
      <c r="C1979" s="2" t="s">
        <v>111</v>
      </c>
      <c r="D1979" s="2" t="s">
        <v>1935</v>
      </c>
      <c r="E1979" s="4" t="str">
        <f>HYPERLINK("./Results/DLO\2806\Osteo_Sarco_1.png","RPT")</f>
        <v>RPT</v>
      </c>
      <c r="F1979" s="2" t="s">
        <v>145</v>
      </c>
      <c r="G1979" s="6"/>
      <c r="I1979"/>
      <c r="J1979"/>
      <c r="K1979"/>
    </row>
    <row r="1980" spans="1:11" x14ac:dyDescent="0.3">
      <c r="A1980" s="2" t="s">
        <v>3372</v>
      </c>
      <c r="B1980" s="2" t="s">
        <v>133</v>
      </c>
      <c r="C1980" s="2" t="s">
        <v>119</v>
      </c>
      <c r="D1980" s="2" t="s">
        <v>2859</v>
      </c>
      <c r="E1980" s="4" t="str">
        <f>HYPERLINK("./Results/DLO\2807\Osteo_Sarco_1.png","RPT")</f>
        <v>RPT</v>
      </c>
      <c r="F1980" s="2" t="s">
        <v>50</v>
      </c>
      <c r="G1980" s="6"/>
      <c r="H1980" s="1">
        <v>20.5</v>
      </c>
    </row>
    <row r="1981" spans="1:11" x14ac:dyDescent="0.3">
      <c r="A1981" s="2" t="s">
        <v>3362</v>
      </c>
      <c r="B1981" s="2" t="s">
        <v>165</v>
      </c>
      <c r="C1981" s="2" t="s">
        <v>111</v>
      </c>
      <c r="D1981" s="2" t="s">
        <v>2859</v>
      </c>
      <c r="E1981" s="4" t="str">
        <f>HYPERLINK("./Results/DLO\2808\Osteo_Sarco_1.png","RPT")</f>
        <v>RPT</v>
      </c>
      <c r="F1981" s="2" t="s">
        <v>475</v>
      </c>
      <c r="G1981" s="6"/>
      <c r="H1981" s="1">
        <v>24.09</v>
      </c>
    </row>
    <row r="1982" spans="1:11" x14ac:dyDescent="0.3">
      <c r="A1982" s="2" t="s">
        <v>3363</v>
      </c>
      <c r="B1982" s="2" t="s">
        <v>139</v>
      </c>
      <c r="C1982" s="2" t="s">
        <v>119</v>
      </c>
      <c r="D1982" s="2" t="s">
        <v>2859</v>
      </c>
      <c r="E1982" s="4" t="str">
        <f>HYPERLINK("./Results/DLO\2809\Osteo_Sarco_1.png","RPT")</f>
        <v>RPT</v>
      </c>
      <c r="F1982" s="2" t="s">
        <v>467</v>
      </c>
      <c r="G1982" s="6"/>
      <c r="I1982"/>
      <c r="J1982"/>
      <c r="K1982"/>
    </row>
    <row r="1983" spans="1:11" x14ac:dyDescent="0.3">
      <c r="A1983" s="2" t="s">
        <v>3373</v>
      </c>
      <c r="B1983" s="2" t="s">
        <v>131</v>
      </c>
      <c r="C1983" s="2" t="s">
        <v>119</v>
      </c>
      <c r="D1983" s="2" t="s">
        <v>2859</v>
      </c>
      <c r="E1983" s="4" t="str">
        <f>HYPERLINK("./Results/DLO\281\Osteo_Sarco_1.png","RPT")</f>
        <v>RPT</v>
      </c>
      <c r="F1983" s="2" t="s">
        <v>21</v>
      </c>
      <c r="G1983" s="6"/>
      <c r="I1983"/>
      <c r="J1983"/>
      <c r="K1983"/>
    </row>
    <row r="1984" spans="1:11" x14ac:dyDescent="0.3">
      <c r="A1984" s="2" t="s">
        <v>3360</v>
      </c>
      <c r="B1984" s="2" t="s">
        <v>134</v>
      </c>
      <c r="C1984" s="2" t="s">
        <v>111</v>
      </c>
      <c r="D1984" s="2" t="s">
        <v>2859</v>
      </c>
      <c r="E1984" s="4" t="str">
        <f>HYPERLINK("./Results/DLO\2810\Osteo_Sarco_1.png","RPT")</f>
        <v>RPT</v>
      </c>
      <c r="F1984" s="2" t="s">
        <v>465</v>
      </c>
      <c r="G1984" s="6"/>
      <c r="H1984" s="1">
        <v>25.34</v>
      </c>
    </row>
    <row r="1985" spans="1:11" x14ac:dyDescent="0.3">
      <c r="A1985" s="2" t="s">
        <v>3364</v>
      </c>
      <c r="B1985" s="2" t="s">
        <v>149</v>
      </c>
      <c r="C1985" s="2" t="s">
        <v>119</v>
      </c>
      <c r="D1985" s="2" t="s">
        <v>2859</v>
      </c>
      <c r="E1985" s="4" t="str">
        <f>HYPERLINK("./Results/DLO\2811\Osteo_Sarco_1.png","RPT")</f>
        <v>RPT</v>
      </c>
      <c r="F1985" s="2" t="s">
        <v>27</v>
      </c>
      <c r="G1985" s="6"/>
      <c r="I1985"/>
      <c r="J1985"/>
      <c r="K1985"/>
    </row>
    <row r="1986" spans="1:11" x14ac:dyDescent="0.3">
      <c r="A1986" s="2" t="s">
        <v>3370</v>
      </c>
      <c r="B1986" s="2" t="s">
        <v>113</v>
      </c>
      <c r="C1986" s="2" t="s">
        <v>119</v>
      </c>
      <c r="D1986" s="2" t="s">
        <v>2859</v>
      </c>
      <c r="E1986" s="4" t="str">
        <f>HYPERLINK("./Results/DLO\2812\Osteo_Sarco_1.png","RPT")</f>
        <v>RPT</v>
      </c>
      <c r="F1986" s="2" t="s">
        <v>46</v>
      </c>
      <c r="G1986" s="6"/>
      <c r="H1986" s="1">
        <v>24.32</v>
      </c>
    </row>
    <row r="1987" spans="1:11" x14ac:dyDescent="0.3">
      <c r="A1987" s="2" t="s">
        <v>3374</v>
      </c>
      <c r="B1987" s="2" t="s">
        <v>165</v>
      </c>
      <c r="C1987" s="2" t="s">
        <v>119</v>
      </c>
      <c r="D1987" s="2" t="s">
        <v>2859</v>
      </c>
      <c r="E1987" s="4" t="str">
        <f>HYPERLINK("./Results/DLO\2813\Osteo_Sarco_1.png","RPT")</f>
        <v>RPT</v>
      </c>
      <c r="F1987" s="2" t="s">
        <v>121</v>
      </c>
      <c r="G1987" s="6"/>
      <c r="H1987" s="1">
        <v>29.32</v>
      </c>
    </row>
    <row r="1988" spans="1:11" x14ac:dyDescent="0.3">
      <c r="A1988" s="2" t="s">
        <v>3365</v>
      </c>
      <c r="B1988" s="2" t="s">
        <v>149</v>
      </c>
      <c r="C1988" s="2" t="s">
        <v>119</v>
      </c>
      <c r="D1988" s="2" t="s">
        <v>2867</v>
      </c>
      <c r="E1988" s="4" t="str">
        <f>HYPERLINK("./Results/DLO\2814\Osteo_Sarco_1.png","RPT")</f>
        <v>RPT</v>
      </c>
      <c r="F1988" s="2" t="s">
        <v>73</v>
      </c>
      <c r="G1988" s="6"/>
      <c r="I1988"/>
      <c r="J1988"/>
      <c r="K1988"/>
    </row>
    <row r="1989" spans="1:11" x14ac:dyDescent="0.3">
      <c r="A1989" s="2" t="s">
        <v>3361</v>
      </c>
      <c r="B1989" s="2" t="s">
        <v>145</v>
      </c>
      <c r="C1989" s="2" t="s">
        <v>119</v>
      </c>
      <c r="D1989" s="2" t="s">
        <v>2859</v>
      </c>
      <c r="E1989" s="4" t="str">
        <f>HYPERLINK("./Results/DLO\2815\Osteo_Sarco_1.png","RPT")</f>
        <v>RPT</v>
      </c>
      <c r="F1989" s="2" t="s">
        <v>448</v>
      </c>
      <c r="G1989" s="6"/>
      <c r="I1989"/>
      <c r="J1989"/>
      <c r="K1989"/>
    </row>
    <row r="1990" spans="1:11" x14ac:dyDescent="0.3">
      <c r="A1990" s="2" t="s">
        <v>3366</v>
      </c>
      <c r="B1990" s="2" t="s">
        <v>143</v>
      </c>
      <c r="C1990" s="2" t="s">
        <v>119</v>
      </c>
      <c r="D1990" s="2" t="s">
        <v>2859</v>
      </c>
      <c r="E1990" s="4" t="str">
        <f>HYPERLINK("./Results/DLO\2816\Osteo_Sarco_1.png","RPT")</f>
        <v>RPT</v>
      </c>
      <c r="F1990" s="2" t="s">
        <v>134</v>
      </c>
      <c r="G1990" s="6"/>
      <c r="H1990" s="1">
        <v>19.420000000000002</v>
      </c>
    </row>
    <row r="1991" spans="1:11" x14ac:dyDescent="0.3">
      <c r="A1991" s="2" t="s">
        <v>3367</v>
      </c>
      <c r="B1991" s="2" t="s">
        <v>165</v>
      </c>
      <c r="C1991" s="2" t="s">
        <v>119</v>
      </c>
      <c r="D1991" s="2" t="s">
        <v>2859</v>
      </c>
      <c r="E1991" s="4" t="str">
        <f>HYPERLINK("./Results/DLO\2817\Osteo_Sarco_1.png","RPT")</f>
        <v>RPT</v>
      </c>
      <c r="F1991" s="2" t="s">
        <v>134</v>
      </c>
      <c r="G1991" s="6"/>
      <c r="I1991"/>
      <c r="J1991"/>
      <c r="K1991"/>
    </row>
    <row r="1992" spans="1:11" x14ac:dyDescent="0.3">
      <c r="A1992" s="2" t="s">
        <v>3368</v>
      </c>
      <c r="B1992" s="2" t="s">
        <v>168</v>
      </c>
      <c r="C1992" s="2" t="s">
        <v>111</v>
      </c>
      <c r="D1992" s="2" t="s">
        <v>2859</v>
      </c>
      <c r="E1992" s="4" t="str">
        <f>HYPERLINK("./Results/DLO\2818\Osteo_Sarco_1.png","RPT")</f>
        <v>RPT</v>
      </c>
      <c r="F1992" s="2" t="s">
        <v>452</v>
      </c>
      <c r="G1992" s="6"/>
      <c r="I1992"/>
      <c r="J1992"/>
      <c r="K1992"/>
    </row>
    <row r="1993" spans="1:11" x14ac:dyDescent="0.3">
      <c r="A1993" s="2" t="s">
        <v>3375</v>
      </c>
      <c r="B1993" s="2" t="s">
        <v>150</v>
      </c>
      <c r="C1993" s="2" t="s">
        <v>111</v>
      </c>
      <c r="D1993" s="2" t="s">
        <v>2859</v>
      </c>
      <c r="E1993" s="4" t="str">
        <f>HYPERLINK("./Results/DLO\2819\Osteo_Sarco_1.png","RPT")</f>
        <v>RPT</v>
      </c>
      <c r="F1993" s="2" t="s">
        <v>53</v>
      </c>
      <c r="G1993" s="6"/>
      <c r="H1993" s="1">
        <v>24.44</v>
      </c>
    </row>
    <row r="1994" spans="1:11" x14ac:dyDescent="0.3">
      <c r="A1994" s="2" t="s">
        <v>3379</v>
      </c>
      <c r="B1994" s="2" t="s">
        <v>116</v>
      </c>
      <c r="C1994" s="2" t="s">
        <v>119</v>
      </c>
      <c r="D1994" s="2" t="s">
        <v>2867</v>
      </c>
      <c r="E1994" s="4" t="str">
        <f>HYPERLINK("./Results/DLO\282\Osteo_Sarco_1.png","RPT")</f>
        <v>RPT</v>
      </c>
      <c r="F1994" s="2" t="s">
        <v>104</v>
      </c>
      <c r="G1994" s="6"/>
      <c r="I1994"/>
      <c r="J1994"/>
      <c r="K1994"/>
    </row>
    <row r="1995" spans="1:11" x14ac:dyDescent="0.3">
      <c r="A1995" s="2" t="s">
        <v>3369</v>
      </c>
      <c r="B1995" s="2" t="s">
        <v>150</v>
      </c>
      <c r="C1995" s="2" t="s">
        <v>119</v>
      </c>
      <c r="D1995" s="2" t="s">
        <v>2859</v>
      </c>
      <c r="E1995" s="4" t="str">
        <f>HYPERLINK("./Results/DLO\2820\Osteo_Sarco_1.png","RPT")</f>
        <v>RPT</v>
      </c>
      <c r="F1995" s="2" t="s">
        <v>45</v>
      </c>
      <c r="G1995" s="6"/>
      <c r="I1995"/>
      <c r="J1995"/>
      <c r="K1995"/>
    </row>
    <row r="1996" spans="1:11" x14ac:dyDescent="0.3">
      <c r="A1996" s="2" t="s">
        <v>3371</v>
      </c>
      <c r="B1996" s="2" t="s">
        <v>123</v>
      </c>
      <c r="C1996" s="2" t="s">
        <v>111</v>
      </c>
      <c r="D1996" s="2" t="s">
        <v>2859</v>
      </c>
      <c r="E1996" s="4" t="str">
        <f>HYPERLINK("./Results/DLO\2823\Osteo_Sarco_1.png","RPT")</f>
        <v>RPT</v>
      </c>
      <c r="F1996" s="2" t="s">
        <v>103</v>
      </c>
      <c r="G1996" s="6"/>
      <c r="H1996" s="1">
        <v>28.03</v>
      </c>
    </row>
    <row r="1997" spans="1:11" x14ac:dyDescent="0.3">
      <c r="A1997" s="2" t="s">
        <v>3376</v>
      </c>
      <c r="B1997" s="2" t="s">
        <v>142</v>
      </c>
      <c r="C1997" s="2" t="s">
        <v>119</v>
      </c>
      <c r="D1997" s="2" t="s">
        <v>2859</v>
      </c>
      <c r="E1997" s="4" t="str">
        <f>HYPERLINK("./Results/DLO\2824\Osteo_Sarco_1.png","RPT")</f>
        <v>RPT</v>
      </c>
      <c r="F1997" s="2" t="s">
        <v>97</v>
      </c>
      <c r="G1997" s="6"/>
      <c r="I1997"/>
      <c r="J1997"/>
      <c r="K1997"/>
    </row>
    <row r="1998" spans="1:11" x14ac:dyDescent="0.3">
      <c r="A1998" s="2" t="s">
        <v>3377</v>
      </c>
      <c r="B1998" s="2" t="s">
        <v>157</v>
      </c>
      <c r="C1998" s="2" t="s">
        <v>111</v>
      </c>
      <c r="D1998" s="2" t="s">
        <v>2867</v>
      </c>
      <c r="E1998" s="4" t="str">
        <f>HYPERLINK("./Results/DLO\2825\Osteo_Sarco_1.png","RPT")</f>
        <v>RPT</v>
      </c>
      <c r="F1998" s="2" t="s">
        <v>473</v>
      </c>
      <c r="G1998" s="6"/>
      <c r="H1998" s="1">
        <v>25.83</v>
      </c>
    </row>
    <row r="1999" spans="1:11" x14ac:dyDescent="0.3">
      <c r="A1999" s="2" t="s">
        <v>3378</v>
      </c>
      <c r="B1999" s="2" t="s">
        <v>148</v>
      </c>
      <c r="C1999" s="2" t="s">
        <v>119</v>
      </c>
      <c r="D1999" s="2" t="s">
        <v>2859</v>
      </c>
      <c r="E1999" s="4" t="str">
        <f>HYPERLINK("./Results/DLO\2826\Osteo_Sarco_1.png","RPT")</f>
        <v>RPT</v>
      </c>
      <c r="F1999" s="2" t="s">
        <v>46</v>
      </c>
      <c r="G1999" s="6"/>
      <c r="I1999"/>
      <c r="J1999"/>
      <c r="K1999"/>
    </row>
    <row r="2000" spans="1:11" x14ac:dyDescent="0.3">
      <c r="A2000" s="2" t="s">
        <v>3383</v>
      </c>
      <c r="B2000" s="2" t="s">
        <v>587</v>
      </c>
      <c r="C2000" s="2" t="s">
        <v>111</v>
      </c>
      <c r="D2000" s="2" t="s">
        <v>2131</v>
      </c>
      <c r="E2000" s="4" t="str">
        <f>HYPERLINK("./Results/DLO\2828\Osteo_Sarco_1.png","RPT")</f>
        <v>RPT</v>
      </c>
      <c r="F2000" s="2" t="s">
        <v>67</v>
      </c>
      <c r="G2000" s="6"/>
      <c r="H2000" s="1">
        <v>23.75</v>
      </c>
    </row>
    <row r="2001" spans="1:11" x14ac:dyDescent="0.3">
      <c r="A2001" s="2" t="s">
        <v>3381</v>
      </c>
      <c r="B2001" s="2" t="s">
        <v>164</v>
      </c>
      <c r="C2001" s="2" t="s">
        <v>111</v>
      </c>
      <c r="D2001" s="2" t="s">
        <v>2867</v>
      </c>
      <c r="E2001" s="4" t="str">
        <f>HYPERLINK("./Results/DLO\2829\Osteo_Sarco_1.png","RPT")</f>
        <v>RPT</v>
      </c>
      <c r="F2001" s="2" t="s">
        <v>26</v>
      </c>
      <c r="G2001" s="6"/>
      <c r="H2001" s="1">
        <v>20.79</v>
      </c>
    </row>
    <row r="2002" spans="1:11" x14ac:dyDescent="0.3">
      <c r="A2002" s="2" t="s">
        <v>3384</v>
      </c>
      <c r="B2002" s="2" t="s">
        <v>151</v>
      </c>
      <c r="C2002" s="2" t="s">
        <v>119</v>
      </c>
      <c r="D2002" s="2" t="s">
        <v>2867</v>
      </c>
      <c r="E2002" s="4" t="str">
        <f>HYPERLINK("./Results/DLO\283\Osteo_Sarco_1.png","RPT")</f>
        <v>RPT</v>
      </c>
      <c r="F2002" s="2" t="s">
        <v>48</v>
      </c>
      <c r="G2002" s="6"/>
      <c r="I2002"/>
      <c r="J2002"/>
      <c r="K2002"/>
    </row>
    <row r="2003" spans="1:11" x14ac:dyDescent="0.3">
      <c r="A2003" s="2" t="s">
        <v>3380</v>
      </c>
      <c r="B2003" s="2" t="s">
        <v>120</v>
      </c>
      <c r="C2003" s="2" t="s">
        <v>119</v>
      </c>
      <c r="D2003" s="2" t="s">
        <v>2859</v>
      </c>
      <c r="E2003" s="4" t="str">
        <f>HYPERLINK("./Results/DLO\2830\Osteo_Sarco_1.png","RPT")</f>
        <v>RPT</v>
      </c>
      <c r="F2003" s="2" t="s">
        <v>44</v>
      </c>
      <c r="G2003" s="6"/>
      <c r="I2003"/>
      <c r="J2003"/>
      <c r="K2003"/>
    </row>
    <row r="2004" spans="1:11" x14ac:dyDescent="0.3">
      <c r="A2004" s="2" t="s">
        <v>3382</v>
      </c>
      <c r="B2004" s="2" t="s">
        <v>149</v>
      </c>
      <c r="C2004" s="2" t="s">
        <v>111</v>
      </c>
      <c r="D2004" s="2" t="s">
        <v>2859</v>
      </c>
      <c r="E2004" s="4" t="str">
        <f>HYPERLINK("./Results/DLO\2831\Osteo_Sarco_1.png","RPT")</f>
        <v>RPT</v>
      </c>
      <c r="F2004" s="2" t="s">
        <v>473</v>
      </c>
      <c r="G2004" s="6"/>
      <c r="H2004" s="1">
        <v>23.81</v>
      </c>
    </row>
    <row r="2005" spans="1:11" x14ac:dyDescent="0.3">
      <c r="A2005" s="2" t="s">
        <v>2888</v>
      </c>
      <c r="B2005" s="2" t="s">
        <v>166</v>
      </c>
      <c r="C2005" s="2" t="s">
        <v>111</v>
      </c>
      <c r="D2005" s="2" t="s">
        <v>1957</v>
      </c>
      <c r="E2005" s="4" t="str">
        <f>HYPERLINK("./Results/DLO\2832\Osteo_Sarco_1.png","RPT")</f>
        <v>RPT</v>
      </c>
      <c r="F2005" s="2" t="s">
        <v>466</v>
      </c>
      <c r="G2005" s="6"/>
      <c r="I2005"/>
      <c r="J2005"/>
      <c r="K2005"/>
    </row>
    <row r="2006" spans="1:11" x14ac:dyDescent="0.3">
      <c r="A2006" s="2" t="s">
        <v>2885</v>
      </c>
      <c r="B2006" s="2" t="s">
        <v>137</v>
      </c>
      <c r="C2006" s="2" t="s">
        <v>111</v>
      </c>
      <c r="D2006" s="2" t="s">
        <v>2867</v>
      </c>
      <c r="E2006" s="4" t="str">
        <f>HYPERLINK("./Results/DLO\2833\Osteo_Sarco_1.png","RPT")</f>
        <v>RPT</v>
      </c>
      <c r="F2006" s="2" t="s">
        <v>107</v>
      </c>
      <c r="G2006" s="6"/>
      <c r="I2006"/>
      <c r="J2006"/>
      <c r="K2006"/>
    </row>
    <row r="2007" spans="1:11" x14ac:dyDescent="0.3">
      <c r="A2007" s="2" t="s">
        <v>2886</v>
      </c>
      <c r="B2007" s="2" t="s">
        <v>143</v>
      </c>
      <c r="C2007" s="2" t="s">
        <v>119</v>
      </c>
      <c r="D2007" s="2" t="s">
        <v>2859</v>
      </c>
      <c r="E2007" s="4" t="str">
        <f>HYPERLINK("./Results/DLO\2834\Osteo_Sarco_1.png","RPT")</f>
        <v>RPT</v>
      </c>
      <c r="F2007" s="2" t="s">
        <v>46</v>
      </c>
      <c r="G2007" s="6"/>
      <c r="I2007"/>
      <c r="J2007"/>
      <c r="K2007"/>
    </row>
    <row r="2008" spans="1:11" x14ac:dyDescent="0.3">
      <c r="A2008" s="2" t="s">
        <v>2900</v>
      </c>
      <c r="B2008" s="2" t="s">
        <v>166</v>
      </c>
      <c r="C2008" s="2" t="s">
        <v>119</v>
      </c>
      <c r="D2008" s="2" t="s">
        <v>2859</v>
      </c>
      <c r="E2008" s="4" t="str">
        <f>HYPERLINK("./Results/DLO\2835\Osteo_Sarco_1.png","RPT")</f>
        <v>RPT</v>
      </c>
      <c r="F2008" s="2" t="s">
        <v>96</v>
      </c>
      <c r="G2008" s="6"/>
      <c r="I2008"/>
      <c r="J2008"/>
      <c r="K2008"/>
    </row>
    <row r="2009" spans="1:11" x14ac:dyDescent="0.3">
      <c r="A2009" s="2" t="s">
        <v>2897</v>
      </c>
      <c r="B2009" s="2" t="s">
        <v>122</v>
      </c>
      <c r="C2009" s="2" t="s">
        <v>111</v>
      </c>
      <c r="D2009" s="2" t="s">
        <v>2859</v>
      </c>
      <c r="E2009" s="4" t="str">
        <f>HYPERLINK("./Results/DLO\2836\Osteo_Sarco_1.png","RPT")</f>
        <v>RPT</v>
      </c>
      <c r="F2009" s="2" t="s">
        <v>67</v>
      </c>
      <c r="G2009" s="6"/>
      <c r="I2009"/>
      <c r="J2009"/>
      <c r="K2009"/>
    </row>
    <row r="2010" spans="1:11" x14ac:dyDescent="0.3">
      <c r="A2010" s="2" t="s">
        <v>2880</v>
      </c>
      <c r="B2010" s="2" t="s">
        <v>142</v>
      </c>
      <c r="C2010" s="2" t="s">
        <v>111</v>
      </c>
      <c r="D2010" s="2" t="s">
        <v>2867</v>
      </c>
      <c r="E2010" s="4" t="str">
        <f>HYPERLINK("./Results/DLO\2837\Osteo_Sarco_1.png","RPT")</f>
        <v>RPT</v>
      </c>
      <c r="F2010" s="2" t="s">
        <v>96</v>
      </c>
      <c r="G2010" s="6"/>
      <c r="I2010"/>
      <c r="J2010"/>
      <c r="K2010"/>
    </row>
    <row r="2011" spans="1:11" x14ac:dyDescent="0.3">
      <c r="A2011" s="2" t="s">
        <v>2884</v>
      </c>
      <c r="B2011" s="2" t="s">
        <v>127</v>
      </c>
      <c r="C2011" s="2" t="s">
        <v>111</v>
      </c>
      <c r="D2011" s="2" t="s">
        <v>2859</v>
      </c>
      <c r="E2011" s="4" t="str">
        <f>HYPERLINK("./Results/DLO\2838\Osteo_Sarco_1.png","RPT")</f>
        <v>RPT</v>
      </c>
      <c r="F2011" s="2" t="s">
        <v>108</v>
      </c>
      <c r="G2011" s="6"/>
      <c r="I2011"/>
      <c r="J2011"/>
      <c r="K2011"/>
    </row>
    <row r="2012" spans="1:11" x14ac:dyDescent="0.3">
      <c r="A2012" s="2" t="s">
        <v>2891</v>
      </c>
      <c r="B2012" s="2" t="s">
        <v>146</v>
      </c>
      <c r="C2012" s="2" t="s">
        <v>111</v>
      </c>
      <c r="D2012" s="2" t="s">
        <v>2859</v>
      </c>
      <c r="E2012" s="4" t="str">
        <f>HYPERLINK("./Results/DLO\2839\Osteo_Sarco_1.png","RPT")</f>
        <v>RPT</v>
      </c>
      <c r="F2012" s="2" t="s">
        <v>448</v>
      </c>
      <c r="G2012" s="6"/>
      <c r="H2012" s="1">
        <v>22.41</v>
      </c>
    </row>
    <row r="2013" spans="1:11" x14ac:dyDescent="0.3">
      <c r="A2013" s="2" t="s">
        <v>2899</v>
      </c>
      <c r="B2013" s="2" t="s">
        <v>127</v>
      </c>
      <c r="C2013" s="2" t="s">
        <v>111</v>
      </c>
      <c r="D2013" s="2" t="s">
        <v>2859</v>
      </c>
      <c r="E2013" s="4" t="str">
        <f>HYPERLINK("./Results/DLO\284\Osteo_Sarco_1.png","RPT")</f>
        <v>RPT</v>
      </c>
      <c r="F2013" s="2" t="s">
        <v>20</v>
      </c>
      <c r="G2013" s="6"/>
      <c r="I2013"/>
      <c r="J2013"/>
      <c r="K2013"/>
    </row>
    <row r="2014" spans="1:11" x14ac:dyDescent="0.3">
      <c r="A2014" s="2" t="s">
        <v>2887</v>
      </c>
      <c r="B2014" s="2" t="s">
        <v>128</v>
      </c>
      <c r="C2014" s="2" t="s">
        <v>111</v>
      </c>
      <c r="D2014" s="2" t="s">
        <v>2867</v>
      </c>
      <c r="E2014" s="4" t="str">
        <f>HYPERLINK("./Results/DLO\2840\Osteo_Sarco_1.png","RPT")</f>
        <v>RPT</v>
      </c>
      <c r="F2014" s="2" t="s">
        <v>72</v>
      </c>
      <c r="G2014" s="6"/>
      <c r="H2014" s="1">
        <v>20.32</v>
      </c>
    </row>
    <row r="2015" spans="1:11" x14ac:dyDescent="0.3">
      <c r="A2015" s="2" t="s">
        <v>2878</v>
      </c>
      <c r="B2015" s="2" t="s">
        <v>146</v>
      </c>
      <c r="C2015" s="2" t="s">
        <v>111</v>
      </c>
      <c r="D2015" s="2" t="s">
        <v>2859</v>
      </c>
      <c r="E2015" s="4" t="str">
        <f>HYPERLINK("./Results/DLO\2841\Osteo_Sarco_1.png","RPT")</f>
        <v>RPT</v>
      </c>
      <c r="F2015" s="2" t="s">
        <v>105</v>
      </c>
      <c r="G2015" s="6"/>
      <c r="I2015"/>
      <c r="J2015"/>
      <c r="K2015"/>
    </row>
    <row r="2016" spans="1:11" x14ac:dyDescent="0.3">
      <c r="A2016" s="2" t="s">
        <v>2889</v>
      </c>
      <c r="B2016" s="2" t="s">
        <v>131</v>
      </c>
      <c r="C2016" s="2" t="s">
        <v>111</v>
      </c>
      <c r="D2016" s="2" t="s">
        <v>2859</v>
      </c>
      <c r="E2016" s="4" t="str">
        <f>HYPERLINK("./Results/DLO\2842\Osteo_Sarco_1.png","RPT")</f>
        <v>RPT</v>
      </c>
      <c r="F2016" s="2" t="s">
        <v>54</v>
      </c>
      <c r="G2016" s="6"/>
      <c r="I2016"/>
      <c r="J2016"/>
      <c r="K2016"/>
    </row>
    <row r="2017" spans="1:11" x14ac:dyDescent="0.3">
      <c r="A2017" s="2" t="s">
        <v>2881</v>
      </c>
      <c r="B2017" s="2" t="s">
        <v>144</v>
      </c>
      <c r="C2017" s="2" t="s">
        <v>119</v>
      </c>
      <c r="D2017" s="2" t="s">
        <v>2859</v>
      </c>
      <c r="E2017" s="4" t="str">
        <f>HYPERLINK("./Results/DLO\2843\Osteo_Sarco_1.png","RPT")</f>
        <v>RPT</v>
      </c>
      <c r="F2017" s="2" t="s">
        <v>467</v>
      </c>
      <c r="G2017" s="6"/>
      <c r="I2017"/>
      <c r="J2017"/>
      <c r="K2017"/>
    </row>
    <row r="2018" spans="1:11" x14ac:dyDescent="0.3">
      <c r="A2018" s="2" t="s">
        <v>2893</v>
      </c>
      <c r="B2018" s="2" t="s">
        <v>140</v>
      </c>
      <c r="C2018" s="2" t="s">
        <v>119</v>
      </c>
      <c r="D2018" s="2" t="s">
        <v>2859</v>
      </c>
      <c r="E2018" s="4" t="str">
        <f>HYPERLINK("./Results/DLO\2844\Osteo_Sarco_1.png","RPT")</f>
        <v>RPT</v>
      </c>
      <c r="F2018" s="2" t="s">
        <v>87</v>
      </c>
      <c r="G2018" s="6"/>
      <c r="I2018"/>
      <c r="J2018"/>
      <c r="K2018"/>
    </row>
    <row r="2019" spans="1:11" x14ac:dyDescent="0.3">
      <c r="A2019" s="2" t="s">
        <v>2883</v>
      </c>
      <c r="B2019" s="2" t="s">
        <v>146</v>
      </c>
      <c r="C2019" s="2" t="s">
        <v>111</v>
      </c>
      <c r="D2019" s="2" t="s">
        <v>2867</v>
      </c>
      <c r="E2019" s="4" t="str">
        <f>HYPERLINK("./Results/DLO\2846\Osteo_Sarco_1.png","RPT")</f>
        <v>RPT</v>
      </c>
      <c r="F2019" s="2" t="s">
        <v>458</v>
      </c>
      <c r="G2019" s="6"/>
      <c r="I2019"/>
      <c r="J2019"/>
      <c r="K2019"/>
    </row>
    <row r="2020" spans="1:11" x14ac:dyDescent="0.3">
      <c r="A2020" s="2" t="s">
        <v>2890</v>
      </c>
      <c r="B2020" s="2" t="s">
        <v>140</v>
      </c>
      <c r="C2020" s="2" t="s">
        <v>111</v>
      </c>
      <c r="D2020" s="2" t="s">
        <v>2867</v>
      </c>
      <c r="E2020" s="4" t="str">
        <f>HYPERLINK("./Results/DLO\2847\Osteo_Sarco_1.png","RPT")</f>
        <v>RPT</v>
      </c>
      <c r="F2020" s="2" t="s">
        <v>450</v>
      </c>
      <c r="G2020" s="6"/>
      <c r="H2020" s="1">
        <v>24.28</v>
      </c>
    </row>
    <row r="2021" spans="1:11" x14ac:dyDescent="0.3">
      <c r="A2021" s="2" t="s">
        <v>2892</v>
      </c>
      <c r="B2021" s="2" t="s">
        <v>576</v>
      </c>
      <c r="C2021" s="2" t="s">
        <v>119</v>
      </c>
      <c r="D2021" s="2" t="s">
        <v>2859</v>
      </c>
      <c r="E2021" s="4" t="str">
        <f>HYPERLINK("./Results/DLO\2848\Osteo_Sarco_1.png","RPT")</f>
        <v>RPT</v>
      </c>
      <c r="F2021" s="2" t="s">
        <v>43</v>
      </c>
      <c r="G2021" s="6"/>
      <c r="I2021"/>
      <c r="J2021"/>
      <c r="K2021"/>
    </row>
    <row r="2022" spans="1:11" x14ac:dyDescent="0.3">
      <c r="A2022" s="2" t="s">
        <v>2894</v>
      </c>
      <c r="B2022" s="2" t="s">
        <v>151</v>
      </c>
      <c r="C2022" s="2" t="s">
        <v>111</v>
      </c>
      <c r="D2022" s="2" t="s">
        <v>2867</v>
      </c>
      <c r="E2022" s="4" t="str">
        <f>HYPERLINK("./Results/DLO\2849\Osteo_Sarco_1.png","RPT")</f>
        <v>RPT</v>
      </c>
      <c r="F2022" s="2" t="s">
        <v>463</v>
      </c>
      <c r="G2022" s="6"/>
      <c r="I2022"/>
      <c r="J2022"/>
      <c r="K2022"/>
    </row>
    <row r="2023" spans="1:11" x14ac:dyDescent="0.3">
      <c r="A2023" s="2" t="s">
        <v>2895</v>
      </c>
      <c r="B2023" s="2" t="s">
        <v>127</v>
      </c>
      <c r="C2023" s="2" t="s">
        <v>111</v>
      </c>
      <c r="D2023" s="2" t="s">
        <v>2859</v>
      </c>
      <c r="E2023" s="4" t="str">
        <f>HYPERLINK("./Results/DLO\285\Osteo_Sarco_1.png","RPT")</f>
        <v>RPT</v>
      </c>
      <c r="F2023" s="2" t="s">
        <v>575</v>
      </c>
      <c r="G2023" s="6"/>
      <c r="I2023"/>
      <c r="J2023"/>
      <c r="K2023"/>
    </row>
    <row r="2024" spans="1:11" x14ac:dyDescent="0.3">
      <c r="A2024" s="2" t="s">
        <v>2879</v>
      </c>
      <c r="B2024" s="2" t="s">
        <v>139</v>
      </c>
      <c r="C2024" s="2" t="s">
        <v>119</v>
      </c>
      <c r="D2024" s="2" t="s">
        <v>2867</v>
      </c>
      <c r="E2024" s="4" t="str">
        <f>HYPERLINK("./Results/DLO\2850\Osteo_Sarco_1.png","RPT")</f>
        <v>RPT</v>
      </c>
      <c r="F2024" s="2" t="s">
        <v>48</v>
      </c>
      <c r="G2024" s="6"/>
      <c r="I2024"/>
      <c r="J2024"/>
      <c r="K2024"/>
    </row>
    <row r="2025" spans="1:11" x14ac:dyDescent="0.3">
      <c r="A2025" s="2" t="s">
        <v>2896</v>
      </c>
      <c r="B2025" s="2" t="s">
        <v>166</v>
      </c>
      <c r="C2025" s="2" t="s">
        <v>119</v>
      </c>
      <c r="D2025" s="2" t="s">
        <v>2859</v>
      </c>
      <c r="E2025" s="4" t="str">
        <f>HYPERLINK("./Results/DLO\2851\Osteo_Sarco_1.png","RPT")</f>
        <v>RPT</v>
      </c>
      <c r="F2025" s="2" t="s">
        <v>96</v>
      </c>
      <c r="G2025" s="6"/>
      <c r="I2025"/>
      <c r="J2025"/>
      <c r="K2025"/>
    </row>
    <row r="2026" spans="1:11" x14ac:dyDescent="0.3">
      <c r="A2026" s="2" t="s">
        <v>2882</v>
      </c>
      <c r="B2026" s="2" t="s">
        <v>162</v>
      </c>
      <c r="C2026" s="2" t="s">
        <v>119</v>
      </c>
      <c r="D2026" s="2" t="s">
        <v>2859</v>
      </c>
      <c r="E2026" s="4" t="str">
        <f>HYPERLINK("./Results/DLO\2852\Osteo_Sarco_1.png","RPT")</f>
        <v>RPT</v>
      </c>
      <c r="F2026" s="2" t="s">
        <v>97</v>
      </c>
      <c r="G2026" s="6"/>
      <c r="I2026"/>
      <c r="J2026"/>
      <c r="K2026"/>
    </row>
    <row r="2027" spans="1:11" x14ac:dyDescent="0.3">
      <c r="A2027" s="2" t="s">
        <v>2898</v>
      </c>
      <c r="B2027" s="2" t="s">
        <v>137</v>
      </c>
      <c r="C2027" s="2" t="s">
        <v>111</v>
      </c>
      <c r="D2027" s="2" t="s">
        <v>2867</v>
      </c>
      <c r="E2027" s="4" t="str">
        <f>HYPERLINK("./Results/DLO\2853\Osteo_Sarco_1.png","RPT")</f>
        <v>RPT</v>
      </c>
      <c r="F2027" s="2" t="s">
        <v>106</v>
      </c>
      <c r="G2027" s="6"/>
      <c r="I2027"/>
      <c r="J2027"/>
      <c r="K2027"/>
    </row>
    <row r="2028" spans="1:11" x14ac:dyDescent="0.3">
      <c r="A2028" s="2" t="s">
        <v>2904</v>
      </c>
      <c r="B2028" s="2" t="s">
        <v>116</v>
      </c>
      <c r="C2028" s="2" t="s">
        <v>111</v>
      </c>
      <c r="D2028" s="2" t="s">
        <v>2859</v>
      </c>
      <c r="E2028" s="4" t="str">
        <f>HYPERLINK("./Results/DLO\2854\Osteo_Sarco_1.png","RPT")</f>
        <v>RPT</v>
      </c>
      <c r="F2028" s="2" t="s">
        <v>98</v>
      </c>
      <c r="G2028" s="6"/>
      <c r="H2028" s="1">
        <v>19.32</v>
      </c>
    </row>
    <row r="2029" spans="1:11" x14ac:dyDescent="0.3">
      <c r="A2029" s="2" t="s">
        <v>2903</v>
      </c>
      <c r="B2029" s="2" t="s">
        <v>159</v>
      </c>
      <c r="C2029" s="2" t="s">
        <v>111</v>
      </c>
      <c r="D2029" s="2" t="s">
        <v>2859</v>
      </c>
      <c r="E2029" s="4" t="str">
        <f>HYPERLINK("./Results/DLO\2855\Osteo_Sarco_1.png","RPT")</f>
        <v>RPT</v>
      </c>
      <c r="F2029" s="2" t="s">
        <v>450</v>
      </c>
      <c r="G2029" s="6"/>
      <c r="I2029"/>
      <c r="J2029"/>
      <c r="K2029"/>
    </row>
    <row r="2030" spans="1:11" x14ac:dyDescent="0.3">
      <c r="A2030" s="2" t="s">
        <v>2910</v>
      </c>
      <c r="B2030" s="2" t="s">
        <v>587</v>
      </c>
      <c r="C2030" s="2" t="s">
        <v>111</v>
      </c>
      <c r="D2030" s="2" t="s">
        <v>2859</v>
      </c>
      <c r="E2030" s="4" t="str">
        <f>HYPERLINK("./Results/DLO\2856\Osteo_Sarco_1.png","RPT")</f>
        <v>RPT</v>
      </c>
      <c r="F2030" s="2" t="s">
        <v>83</v>
      </c>
      <c r="G2030" s="6"/>
      <c r="I2030"/>
      <c r="J2030"/>
      <c r="K2030"/>
    </row>
    <row r="2031" spans="1:11" x14ac:dyDescent="0.3">
      <c r="A2031" s="2" t="s">
        <v>2906</v>
      </c>
      <c r="B2031" s="2" t="s">
        <v>149</v>
      </c>
      <c r="C2031" s="2" t="s">
        <v>119</v>
      </c>
      <c r="D2031" s="2" t="s">
        <v>2867</v>
      </c>
      <c r="E2031" s="4" t="str">
        <f>HYPERLINK("./Results/DLO\2857\Osteo_Sarco_1.png","RPT")</f>
        <v>RPT</v>
      </c>
      <c r="F2031" s="2" t="s">
        <v>88</v>
      </c>
      <c r="G2031" s="6"/>
      <c r="I2031"/>
      <c r="J2031"/>
      <c r="K2031"/>
    </row>
    <row r="2032" spans="1:11" x14ac:dyDescent="0.3">
      <c r="A2032" s="2" t="s">
        <v>2920</v>
      </c>
      <c r="B2032" s="2" t="s">
        <v>129</v>
      </c>
      <c r="C2032" s="2" t="s">
        <v>111</v>
      </c>
      <c r="D2032" s="2" t="s">
        <v>2859</v>
      </c>
      <c r="E2032" s="4" t="str">
        <f>HYPERLINK("./Results/DLO\2858\Osteo_Sarco_1.png","RPT")</f>
        <v>RPT</v>
      </c>
      <c r="F2032" s="2" t="s">
        <v>460</v>
      </c>
      <c r="G2032" s="6"/>
      <c r="I2032"/>
      <c r="J2032"/>
      <c r="K2032"/>
    </row>
    <row r="2033" spans="1:11" x14ac:dyDescent="0.3">
      <c r="A2033" s="2" t="s">
        <v>2927</v>
      </c>
      <c r="B2033" s="2" t="s">
        <v>139</v>
      </c>
      <c r="C2033" s="2" t="s">
        <v>119</v>
      </c>
      <c r="D2033" s="2" t="s">
        <v>2859</v>
      </c>
      <c r="E2033" s="4" t="str">
        <f>HYPERLINK("./Results/DLO\2859\Osteo_Sarco_1.png","RPT")</f>
        <v>RPT</v>
      </c>
      <c r="F2033" s="2" t="s">
        <v>50</v>
      </c>
      <c r="G2033" s="6"/>
      <c r="I2033"/>
      <c r="J2033"/>
      <c r="K2033"/>
    </row>
    <row r="2034" spans="1:11" x14ac:dyDescent="0.3">
      <c r="A2034" s="2" t="s">
        <v>2901</v>
      </c>
      <c r="B2034" s="2" t="s">
        <v>123</v>
      </c>
      <c r="C2034" s="2" t="s">
        <v>111</v>
      </c>
      <c r="D2034" s="2" t="s">
        <v>2859</v>
      </c>
      <c r="E2034" s="4" t="str">
        <f>HYPERLINK("./Results/DLO\286\Osteo_Sarco_1.png","RPT")</f>
        <v>RPT</v>
      </c>
      <c r="F2034" s="2" t="s">
        <v>467</v>
      </c>
      <c r="G2034" s="6"/>
      <c r="H2034" s="1">
        <v>18.87</v>
      </c>
    </row>
    <row r="2035" spans="1:11" x14ac:dyDescent="0.3">
      <c r="A2035" s="2" t="s">
        <v>2922</v>
      </c>
      <c r="B2035" s="2" t="s">
        <v>114</v>
      </c>
      <c r="C2035" s="2" t="s">
        <v>111</v>
      </c>
      <c r="D2035" s="2" t="s">
        <v>2859</v>
      </c>
      <c r="E2035" s="4" t="str">
        <f>HYPERLINK("./Results/DLO\2860\Osteo_Sarco_1.png","RPT")</f>
        <v>RPT</v>
      </c>
      <c r="F2035" s="2" t="s">
        <v>57</v>
      </c>
      <c r="G2035" s="6"/>
      <c r="I2035"/>
      <c r="J2035"/>
      <c r="K2035"/>
    </row>
    <row r="2036" spans="1:11" x14ac:dyDescent="0.3">
      <c r="A2036" s="2" t="s">
        <v>2912</v>
      </c>
      <c r="B2036" s="2" t="s">
        <v>159</v>
      </c>
      <c r="C2036" s="2" t="s">
        <v>119</v>
      </c>
      <c r="D2036" s="2" t="s">
        <v>2859</v>
      </c>
      <c r="E2036" s="4" t="str">
        <f>HYPERLINK("./Results/DLO\2861\Osteo_Sarco_1.png","RPT")</f>
        <v>RPT</v>
      </c>
      <c r="F2036" s="2" t="s">
        <v>456</v>
      </c>
      <c r="G2036" s="6"/>
      <c r="I2036"/>
      <c r="J2036"/>
      <c r="K2036"/>
    </row>
    <row r="2037" spans="1:11" x14ac:dyDescent="0.3">
      <c r="A2037" s="2" t="s">
        <v>2917</v>
      </c>
      <c r="B2037" s="2" t="s">
        <v>149</v>
      </c>
      <c r="C2037" s="2" t="s">
        <v>119</v>
      </c>
      <c r="D2037" s="2" t="s">
        <v>2867</v>
      </c>
      <c r="E2037" s="4" t="str">
        <f>HYPERLINK("./Results/DLO\2862\Osteo_Sarco_1.png","RPT")</f>
        <v>RPT</v>
      </c>
      <c r="F2037" s="2" t="s">
        <v>74</v>
      </c>
      <c r="G2037" s="6"/>
      <c r="I2037"/>
      <c r="J2037"/>
      <c r="K2037"/>
    </row>
    <row r="2038" spans="1:11" x14ac:dyDescent="0.3">
      <c r="A2038" s="2" t="s">
        <v>2925</v>
      </c>
      <c r="B2038" s="2" t="s">
        <v>135</v>
      </c>
      <c r="C2038" s="2" t="s">
        <v>111</v>
      </c>
      <c r="D2038" s="2" t="s">
        <v>2859</v>
      </c>
      <c r="E2038" s="4" t="str">
        <f>HYPERLINK("./Results/DLO\2863\Osteo_Sarco_1.png","RPT")</f>
        <v>RPT</v>
      </c>
      <c r="F2038" s="2" t="s">
        <v>78</v>
      </c>
      <c r="G2038" s="6"/>
      <c r="H2038" s="1">
        <v>26.89</v>
      </c>
    </row>
    <row r="2039" spans="1:11" x14ac:dyDescent="0.3">
      <c r="A2039" s="2" t="s">
        <v>2911</v>
      </c>
      <c r="B2039" s="2" t="s">
        <v>127</v>
      </c>
      <c r="C2039" s="2" t="s">
        <v>111</v>
      </c>
      <c r="D2039" s="2" t="s">
        <v>2859</v>
      </c>
      <c r="E2039" s="4" t="str">
        <f>HYPERLINK("./Results/DLO\2864\Osteo_Sarco_1.png","RPT")</f>
        <v>RPT</v>
      </c>
      <c r="F2039" s="2" t="s">
        <v>52</v>
      </c>
      <c r="G2039" s="6"/>
      <c r="H2039" s="1">
        <v>23.75</v>
      </c>
    </row>
    <row r="2040" spans="1:11" x14ac:dyDescent="0.3">
      <c r="A2040" s="2" t="s">
        <v>2909</v>
      </c>
      <c r="B2040" s="2" t="s">
        <v>153</v>
      </c>
      <c r="C2040" s="2" t="s">
        <v>119</v>
      </c>
      <c r="D2040" s="2" t="s">
        <v>2859</v>
      </c>
      <c r="E2040" s="4" t="str">
        <f>HYPERLINK("./Results/DLO\2865\Osteo_Sarco_1.png","RPT")</f>
        <v>RPT</v>
      </c>
      <c r="F2040" s="2" t="s">
        <v>135</v>
      </c>
      <c r="G2040" s="6"/>
      <c r="I2040"/>
      <c r="J2040"/>
      <c r="K2040"/>
    </row>
    <row r="2041" spans="1:11" x14ac:dyDescent="0.3">
      <c r="A2041" s="2" t="s">
        <v>2902</v>
      </c>
      <c r="B2041" s="2" t="s">
        <v>123</v>
      </c>
      <c r="C2041" s="2" t="s">
        <v>111</v>
      </c>
      <c r="D2041" s="2" t="s">
        <v>2859</v>
      </c>
      <c r="E2041" s="4" t="str">
        <f>HYPERLINK("./Results/DLO\2866\Osteo_Sarco_1.png","RPT")</f>
        <v>RPT</v>
      </c>
      <c r="F2041" s="2" t="s">
        <v>78</v>
      </c>
      <c r="G2041" s="6"/>
      <c r="I2041"/>
      <c r="J2041"/>
      <c r="K2041"/>
    </row>
    <row r="2042" spans="1:11" x14ac:dyDescent="0.3">
      <c r="A2042" s="2" t="s">
        <v>2908</v>
      </c>
      <c r="B2042" s="2" t="s">
        <v>136</v>
      </c>
      <c r="C2042" s="2" t="s">
        <v>111</v>
      </c>
      <c r="D2042" s="2" t="s">
        <v>2859</v>
      </c>
      <c r="E2042" s="4" t="str">
        <f>HYPERLINK("./Results/DLO\2867\Osteo_Sarco_1.png","RPT")</f>
        <v>RPT</v>
      </c>
      <c r="F2042" s="2" t="s">
        <v>90</v>
      </c>
      <c r="G2042" s="6"/>
      <c r="I2042"/>
      <c r="J2042"/>
      <c r="K2042"/>
    </row>
    <row r="2043" spans="1:11" x14ac:dyDescent="0.3">
      <c r="A2043" s="2" t="s">
        <v>2913</v>
      </c>
      <c r="B2043" s="2" t="s">
        <v>585</v>
      </c>
      <c r="C2043" s="2" t="s">
        <v>111</v>
      </c>
      <c r="D2043" s="2" t="s">
        <v>2859</v>
      </c>
      <c r="E2043" s="4" t="str">
        <f>HYPERLINK("./Results/DLO\2869\Osteo_Sarco_1.png","RPT")</f>
        <v>RPT</v>
      </c>
      <c r="F2043" s="2" t="s">
        <v>474</v>
      </c>
      <c r="G2043" s="6"/>
      <c r="I2043"/>
      <c r="J2043"/>
      <c r="K2043"/>
    </row>
    <row r="2044" spans="1:11" x14ac:dyDescent="0.3">
      <c r="A2044" s="2" t="s">
        <v>2923</v>
      </c>
      <c r="B2044" s="2" t="s">
        <v>135</v>
      </c>
      <c r="C2044" s="2" t="s">
        <v>119</v>
      </c>
      <c r="D2044" s="2" t="s">
        <v>2859</v>
      </c>
      <c r="E2044" s="4" t="str">
        <f>HYPERLINK("./Results/DLO\287\Osteo_Sarco_1.png","RPT")</f>
        <v>RPT</v>
      </c>
      <c r="F2044" s="2" t="s">
        <v>88</v>
      </c>
      <c r="G2044" s="6"/>
      <c r="I2044"/>
      <c r="J2044"/>
      <c r="K2044"/>
    </row>
    <row r="2045" spans="1:11" x14ac:dyDescent="0.3">
      <c r="A2045" s="2" t="s">
        <v>2924</v>
      </c>
      <c r="B2045" s="2" t="s">
        <v>161</v>
      </c>
      <c r="C2045" s="2" t="s">
        <v>111</v>
      </c>
      <c r="D2045" s="2" t="s">
        <v>2867</v>
      </c>
      <c r="E2045" s="4" t="str">
        <f>HYPERLINK("./Results/DLO\2870\Osteo_Sarco_1.png","RPT")</f>
        <v>RPT</v>
      </c>
      <c r="F2045" s="2" t="s">
        <v>58</v>
      </c>
      <c r="G2045" s="6"/>
      <c r="H2045" s="1">
        <v>25.31</v>
      </c>
    </row>
    <row r="2046" spans="1:11" x14ac:dyDescent="0.3">
      <c r="A2046" s="2" t="s">
        <v>2907</v>
      </c>
      <c r="B2046" s="2" t="s">
        <v>149</v>
      </c>
      <c r="C2046" s="2" t="s">
        <v>111</v>
      </c>
      <c r="D2046" s="2" t="s">
        <v>2859</v>
      </c>
      <c r="E2046" s="4" t="str">
        <f>HYPERLINK("./Results/DLO\2871\Osteo_Sarco_1.png","RPT")</f>
        <v>RPT</v>
      </c>
      <c r="F2046" s="2" t="s">
        <v>5</v>
      </c>
      <c r="G2046" s="6"/>
      <c r="I2046"/>
      <c r="J2046"/>
      <c r="K2046"/>
    </row>
    <row r="2047" spans="1:11" x14ac:dyDescent="0.3">
      <c r="A2047" s="2" t="s">
        <v>2905</v>
      </c>
      <c r="B2047" s="2" t="s">
        <v>146</v>
      </c>
      <c r="C2047" s="2" t="s">
        <v>111</v>
      </c>
      <c r="D2047" s="2" t="s">
        <v>2859</v>
      </c>
      <c r="E2047" s="4" t="str">
        <f>HYPERLINK("./Results/DLO\2872\Osteo_Sarco_1.png","RPT")</f>
        <v>RPT</v>
      </c>
      <c r="F2047" s="2" t="s">
        <v>33</v>
      </c>
      <c r="G2047" s="6"/>
      <c r="I2047"/>
      <c r="J2047"/>
      <c r="K2047"/>
    </row>
    <row r="2048" spans="1:11" x14ac:dyDescent="0.3">
      <c r="A2048" s="2" t="s">
        <v>2914</v>
      </c>
      <c r="B2048" s="2" t="s">
        <v>137</v>
      </c>
      <c r="C2048" s="2" t="s">
        <v>119</v>
      </c>
      <c r="D2048" s="2" t="s">
        <v>2859</v>
      </c>
      <c r="E2048" s="4" t="str">
        <f>HYPERLINK("./Results/DLO\2874\Osteo_Sarco_1.png","RPT")</f>
        <v>RPT</v>
      </c>
      <c r="F2048" s="2" t="s">
        <v>87</v>
      </c>
      <c r="G2048" s="6"/>
      <c r="I2048"/>
      <c r="J2048"/>
      <c r="K2048"/>
    </row>
    <row r="2049" spans="1:11" x14ac:dyDescent="0.3">
      <c r="A2049" s="2" t="s">
        <v>2921</v>
      </c>
      <c r="B2049" s="2" t="s">
        <v>126</v>
      </c>
      <c r="C2049" s="2" t="s">
        <v>119</v>
      </c>
      <c r="D2049" s="2" t="s">
        <v>2859</v>
      </c>
      <c r="E2049" s="4" t="str">
        <f>HYPERLINK("./Results/DLO\2875\Osteo_Sarco_1.png","RPT")</f>
        <v>RPT</v>
      </c>
      <c r="F2049" s="2" t="s">
        <v>56</v>
      </c>
      <c r="G2049" s="6"/>
      <c r="I2049"/>
      <c r="J2049"/>
      <c r="K2049"/>
    </row>
    <row r="2050" spans="1:11" x14ac:dyDescent="0.3">
      <c r="A2050" s="2" t="s">
        <v>2926</v>
      </c>
      <c r="B2050" s="2" t="s">
        <v>114</v>
      </c>
      <c r="C2050" s="2" t="s">
        <v>119</v>
      </c>
      <c r="D2050" s="2" t="s">
        <v>2867</v>
      </c>
      <c r="E2050" s="4" t="str">
        <f>HYPERLINK("./Results/DLO\2876\Osteo_Sarco_1.png","RPT")</f>
        <v>RPT</v>
      </c>
      <c r="F2050" s="2" t="s">
        <v>27</v>
      </c>
      <c r="G2050" s="6"/>
      <c r="H2050" s="1">
        <v>20.309999999999999</v>
      </c>
    </row>
    <row r="2051" spans="1:11" x14ac:dyDescent="0.3">
      <c r="A2051" s="2" t="s">
        <v>2915</v>
      </c>
      <c r="B2051" s="2" t="s">
        <v>141</v>
      </c>
      <c r="C2051" s="2" t="s">
        <v>119</v>
      </c>
      <c r="D2051" s="2" t="s">
        <v>2859</v>
      </c>
      <c r="E2051" s="4" t="str">
        <f>HYPERLINK("./Results/DLO\2877\Osteo_Sarco_1.png","RPT")</f>
        <v>RPT</v>
      </c>
      <c r="F2051" s="2" t="s">
        <v>65</v>
      </c>
      <c r="G2051" s="6"/>
      <c r="I2051"/>
      <c r="J2051"/>
      <c r="K2051"/>
    </row>
    <row r="2052" spans="1:11" x14ac:dyDescent="0.3">
      <c r="A2052" s="2" t="s">
        <v>2916</v>
      </c>
      <c r="B2052" s="2" t="s">
        <v>142</v>
      </c>
      <c r="C2052" s="2" t="s">
        <v>111</v>
      </c>
      <c r="D2052" s="2" t="s">
        <v>2859</v>
      </c>
      <c r="E2052" s="4" t="str">
        <f>HYPERLINK("./Results/DLO\2878\Osteo_Sarco_1.png","RPT")</f>
        <v>RPT</v>
      </c>
      <c r="F2052" s="2" t="s">
        <v>80</v>
      </c>
      <c r="G2052" s="6"/>
      <c r="H2052" s="1">
        <v>24.52</v>
      </c>
    </row>
    <row r="2053" spans="1:11" x14ac:dyDescent="0.3">
      <c r="A2053" s="2" t="s">
        <v>2918</v>
      </c>
      <c r="B2053" s="2" t="s">
        <v>131</v>
      </c>
      <c r="C2053" s="2" t="s">
        <v>119</v>
      </c>
      <c r="D2053" s="2" t="s">
        <v>2867</v>
      </c>
      <c r="E2053" s="4" t="str">
        <f>HYPERLINK("./Results/DLO\2879\Osteo_Sarco_1.png","RPT")</f>
        <v>RPT</v>
      </c>
      <c r="F2053" s="2" t="s">
        <v>36</v>
      </c>
      <c r="G2053" s="6"/>
      <c r="I2053"/>
      <c r="J2053"/>
      <c r="K2053"/>
    </row>
    <row r="2054" spans="1:11" x14ac:dyDescent="0.3">
      <c r="A2054" s="2" t="s">
        <v>2919</v>
      </c>
      <c r="B2054" s="2" t="s">
        <v>112</v>
      </c>
      <c r="C2054" s="2" t="s">
        <v>111</v>
      </c>
      <c r="D2054" s="2" t="s">
        <v>2859</v>
      </c>
      <c r="E2054" s="4" t="str">
        <f>HYPERLINK("./Results/DLO\288\Osteo_Sarco_1.png","RPT")</f>
        <v>RPT</v>
      </c>
      <c r="F2054" s="2" t="s">
        <v>450</v>
      </c>
      <c r="G2054" s="6"/>
      <c r="I2054"/>
      <c r="J2054"/>
      <c r="K2054"/>
    </row>
    <row r="2055" spans="1:11" x14ac:dyDescent="0.3">
      <c r="A2055" s="2" t="s">
        <v>2938</v>
      </c>
      <c r="B2055" s="2" t="s">
        <v>167</v>
      </c>
      <c r="C2055" s="2" t="s">
        <v>111</v>
      </c>
      <c r="D2055" s="2" t="s">
        <v>2859</v>
      </c>
      <c r="E2055" s="4" t="str">
        <f>HYPERLINK("./Results/DLO\2880\Osteo_Sarco_1.png","RPT")</f>
        <v>RPT</v>
      </c>
      <c r="F2055" s="2" t="s">
        <v>68</v>
      </c>
      <c r="G2055" s="6"/>
      <c r="H2055" s="1">
        <v>29.33</v>
      </c>
    </row>
    <row r="2056" spans="1:11" x14ac:dyDescent="0.3">
      <c r="A2056" s="2" t="s">
        <v>2937</v>
      </c>
      <c r="B2056" s="2" t="s">
        <v>142</v>
      </c>
      <c r="C2056" s="2" t="s">
        <v>111</v>
      </c>
      <c r="D2056" s="2" t="s">
        <v>2859</v>
      </c>
      <c r="E2056" s="4" t="str">
        <f>HYPERLINK("./Results/DLO\2881\Osteo_Sarco_1.png","RPT")</f>
        <v>RPT</v>
      </c>
      <c r="F2056" s="2" t="s">
        <v>465</v>
      </c>
      <c r="G2056" s="6"/>
      <c r="I2056"/>
      <c r="J2056"/>
      <c r="K2056"/>
    </row>
    <row r="2057" spans="1:11" x14ac:dyDescent="0.3">
      <c r="A2057" s="2" t="s">
        <v>2951</v>
      </c>
      <c r="B2057" s="2" t="s">
        <v>170</v>
      </c>
      <c r="C2057" s="2" t="s">
        <v>111</v>
      </c>
      <c r="D2057" s="2" t="s">
        <v>2867</v>
      </c>
      <c r="E2057" s="4" t="str">
        <f>HYPERLINK("./Results/DLO\2882\Osteo_Sarco_1.png","RPT")</f>
        <v>RPT</v>
      </c>
      <c r="F2057" s="2" t="s">
        <v>447</v>
      </c>
      <c r="G2057" s="6"/>
      <c r="I2057"/>
      <c r="J2057"/>
      <c r="K2057"/>
    </row>
    <row r="2058" spans="1:11" x14ac:dyDescent="0.3">
      <c r="A2058" s="2" t="s">
        <v>2934</v>
      </c>
      <c r="B2058" s="2" t="s">
        <v>170</v>
      </c>
      <c r="C2058" s="2" t="s">
        <v>119</v>
      </c>
      <c r="D2058" s="2" t="s">
        <v>2859</v>
      </c>
      <c r="E2058" s="4" t="str">
        <f>HYPERLINK("./Results/DLO\2883\Osteo_Sarco_1.png","RPT")</f>
        <v>RPT</v>
      </c>
      <c r="F2058" s="2" t="s">
        <v>88</v>
      </c>
      <c r="G2058" s="6"/>
      <c r="I2058"/>
      <c r="J2058"/>
      <c r="K2058"/>
    </row>
    <row r="2059" spans="1:11" x14ac:dyDescent="0.3">
      <c r="A2059" s="2" t="s">
        <v>2942</v>
      </c>
      <c r="B2059" s="2" t="s">
        <v>141</v>
      </c>
      <c r="C2059" s="2" t="s">
        <v>111</v>
      </c>
      <c r="D2059" s="2" t="s">
        <v>2859</v>
      </c>
      <c r="E2059" s="4" t="str">
        <f>HYPERLINK("./Results/DLO\2884\Osteo_Sarco_1.png","RPT")</f>
        <v>RPT</v>
      </c>
      <c r="F2059" s="2" t="s">
        <v>475</v>
      </c>
      <c r="G2059" s="6"/>
      <c r="I2059"/>
      <c r="J2059"/>
      <c r="K2059"/>
    </row>
    <row r="2060" spans="1:11" x14ac:dyDescent="0.3">
      <c r="A2060" s="2" t="s">
        <v>2933</v>
      </c>
      <c r="B2060" s="2" t="s">
        <v>147</v>
      </c>
      <c r="C2060" s="2" t="s">
        <v>111</v>
      </c>
      <c r="D2060" s="2" t="s">
        <v>2859</v>
      </c>
      <c r="E2060" s="4" t="str">
        <f>HYPERLINK("./Results/DLO\2886\Osteo_Sarco_1.png","RPT")</f>
        <v>RPT</v>
      </c>
      <c r="F2060" s="2" t="s">
        <v>55</v>
      </c>
      <c r="G2060" s="6"/>
      <c r="I2060"/>
      <c r="J2060"/>
      <c r="K2060"/>
    </row>
    <row r="2061" spans="1:11" x14ac:dyDescent="0.3">
      <c r="A2061" s="2" t="s">
        <v>2939</v>
      </c>
      <c r="B2061" s="2" t="s">
        <v>113</v>
      </c>
      <c r="C2061" s="2" t="s">
        <v>111</v>
      </c>
      <c r="D2061" s="2" t="s">
        <v>2859</v>
      </c>
      <c r="E2061" s="4" t="str">
        <f>HYPERLINK("./Results/DLO\2887\Osteo_Sarco_1.png","RPT")</f>
        <v>RPT</v>
      </c>
      <c r="F2061" s="2" t="s">
        <v>61</v>
      </c>
      <c r="G2061" s="6"/>
      <c r="I2061"/>
      <c r="J2061"/>
      <c r="K2061"/>
    </row>
    <row r="2062" spans="1:11" x14ac:dyDescent="0.3">
      <c r="A2062" s="2" t="s">
        <v>2936</v>
      </c>
      <c r="B2062" s="2" t="s">
        <v>129</v>
      </c>
      <c r="C2062" s="2" t="s">
        <v>111</v>
      </c>
      <c r="D2062" s="2" t="s">
        <v>2859</v>
      </c>
      <c r="E2062" s="4" t="str">
        <f>HYPERLINK("./Results/DLO\2888\Osteo_Sarco_1.png","RPT")</f>
        <v>RPT</v>
      </c>
      <c r="F2062" s="2" t="s">
        <v>64</v>
      </c>
      <c r="G2062" s="6"/>
      <c r="I2062"/>
      <c r="J2062"/>
      <c r="K2062"/>
    </row>
    <row r="2063" spans="1:11" x14ac:dyDescent="0.3">
      <c r="A2063" s="2" t="s">
        <v>2928</v>
      </c>
      <c r="B2063" s="2" t="s">
        <v>140</v>
      </c>
      <c r="C2063" s="2" t="s">
        <v>111</v>
      </c>
      <c r="D2063" s="2" t="s">
        <v>2859</v>
      </c>
      <c r="E2063" s="4" t="str">
        <f>HYPERLINK("./Results/DLO\2889\Osteo_Sarco_1.png","RPT")</f>
        <v>RPT</v>
      </c>
      <c r="F2063" s="2" t="s">
        <v>65</v>
      </c>
      <c r="G2063" s="6"/>
      <c r="I2063"/>
      <c r="J2063"/>
      <c r="K2063"/>
    </row>
    <row r="2064" spans="1:11" x14ac:dyDescent="0.3">
      <c r="A2064" s="2" t="s">
        <v>2929</v>
      </c>
      <c r="B2064" s="2" t="s">
        <v>140</v>
      </c>
      <c r="C2064" s="2" t="s">
        <v>119</v>
      </c>
      <c r="D2064" s="2" t="s">
        <v>2859</v>
      </c>
      <c r="E2064" s="4" t="str">
        <f>HYPERLINK("./Results/DLO\289\Osteo_Sarco_1.png","RPT")</f>
        <v>RPT</v>
      </c>
      <c r="F2064" s="2" t="s">
        <v>134</v>
      </c>
      <c r="G2064" s="6"/>
      <c r="I2064"/>
      <c r="J2064"/>
      <c r="K2064"/>
    </row>
    <row r="2065" spans="1:11" x14ac:dyDescent="0.3">
      <c r="A2065" s="2" t="s">
        <v>2950</v>
      </c>
      <c r="B2065" s="2" t="s">
        <v>159</v>
      </c>
      <c r="C2065" s="2" t="s">
        <v>119</v>
      </c>
      <c r="D2065" s="2" t="s">
        <v>2867</v>
      </c>
      <c r="E2065" s="4" t="str">
        <f>HYPERLINK("./Results/DLO\2890\Osteo_Sarco_1.png","RPT")</f>
        <v>RPT</v>
      </c>
      <c r="F2065" s="2" t="s">
        <v>77</v>
      </c>
      <c r="G2065" s="6"/>
      <c r="I2065"/>
      <c r="J2065"/>
      <c r="K2065"/>
    </row>
    <row r="2066" spans="1:11" x14ac:dyDescent="0.3">
      <c r="A2066" s="2" t="s">
        <v>2940</v>
      </c>
      <c r="B2066" s="2" t="s">
        <v>139</v>
      </c>
      <c r="C2066" s="2" t="s">
        <v>111</v>
      </c>
      <c r="D2066" s="2" t="s">
        <v>2867</v>
      </c>
      <c r="E2066" s="4" t="str">
        <f>HYPERLINK("./Results/DLO\2891\Osteo_Sarco_1.png","RPT")</f>
        <v>RPT</v>
      </c>
      <c r="F2066" s="2" t="s">
        <v>51</v>
      </c>
      <c r="G2066" s="6"/>
      <c r="I2066"/>
      <c r="J2066"/>
      <c r="K2066"/>
    </row>
    <row r="2067" spans="1:11" x14ac:dyDescent="0.3">
      <c r="A2067" s="2" t="s">
        <v>2945</v>
      </c>
      <c r="B2067" s="2" t="s">
        <v>170</v>
      </c>
      <c r="C2067" s="2" t="s">
        <v>119</v>
      </c>
      <c r="D2067" s="2" t="s">
        <v>2859</v>
      </c>
      <c r="E2067" s="4" t="str">
        <f>HYPERLINK("./Results/DLO\2892\Osteo_Sarco_1.png","RPT")</f>
        <v>RPT</v>
      </c>
      <c r="F2067" s="2" t="s">
        <v>96</v>
      </c>
      <c r="G2067" s="6"/>
      <c r="I2067"/>
      <c r="J2067"/>
      <c r="K2067"/>
    </row>
    <row r="2068" spans="1:11" x14ac:dyDescent="0.3">
      <c r="A2068" s="2" t="s">
        <v>2941</v>
      </c>
      <c r="B2068" s="2" t="s">
        <v>131</v>
      </c>
      <c r="C2068" s="2" t="s">
        <v>119</v>
      </c>
      <c r="D2068" s="2" t="s">
        <v>2867</v>
      </c>
      <c r="E2068" s="4" t="str">
        <f>HYPERLINK("./Results/DLO\2893\Osteo_Sarco_1.png","RPT")</f>
        <v>RPT</v>
      </c>
      <c r="F2068" s="2" t="s">
        <v>43</v>
      </c>
      <c r="G2068" s="6"/>
      <c r="I2068"/>
      <c r="J2068"/>
      <c r="K2068"/>
    </row>
    <row r="2069" spans="1:11" x14ac:dyDescent="0.3">
      <c r="A2069" s="2" t="s">
        <v>2953</v>
      </c>
      <c r="B2069" s="2" t="s">
        <v>149</v>
      </c>
      <c r="C2069" s="2" t="s">
        <v>111</v>
      </c>
      <c r="D2069" s="2" t="s">
        <v>2859</v>
      </c>
      <c r="E2069" s="4" t="str">
        <f>HYPERLINK("./Results/DLO\2894\Osteo_Sarco_1.png","RPT")</f>
        <v>RPT</v>
      </c>
      <c r="F2069" s="2" t="s">
        <v>26</v>
      </c>
      <c r="G2069" s="6"/>
      <c r="I2069"/>
      <c r="J2069"/>
      <c r="K2069"/>
    </row>
    <row r="2070" spans="1:11" x14ac:dyDescent="0.3">
      <c r="A2070" s="2" t="s">
        <v>2946</v>
      </c>
      <c r="B2070" s="2" t="s">
        <v>116</v>
      </c>
      <c r="C2070" s="2" t="s">
        <v>119</v>
      </c>
      <c r="D2070" s="2" t="s">
        <v>2867</v>
      </c>
      <c r="E2070" s="4" t="str">
        <f>HYPERLINK("./Results/DLO\2895\Osteo_Sarco_1.png","RPT")</f>
        <v>RPT</v>
      </c>
      <c r="F2070" s="2" t="s">
        <v>97</v>
      </c>
      <c r="G2070" s="6"/>
      <c r="I2070"/>
      <c r="J2070"/>
      <c r="K2070"/>
    </row>
    <row r="2071" spans="1:11" x14ac:dyDescent="0.3">
      <c r="A2071" s="2" t="s">
        <v>2952</v>
      </c>
      <c r="B2071" s="2" t="s">
        <v>159</v>
      </c>
      <c r="C2071" s="2" t="s">
        <v>119</v>
      </c>
      <c r="D2071" s="2" t="s">
        <v>2867</v>
      </c>
      <c r="E2071" s="4" t="str">
        <f>HYPERLINK("./Results/DLO\2896\Osteo_Sarco_1.png","RPT")</f>
        <v>RPT</v>
      </c>
      <c r="F2071" s="2" t="s">
        <v>74</v>
      </c>
      <c r="G2071" s="6"/>
      <c r="I2071"/>
      <c r="J2071"/>
      <c r="K2071"/>
    </row>
    <row r="2072" spans="1:11" x14ac:dyDescent="0.3">
      <c r="A2072" s="2" t="s">
        <v>2943</v>
      </c>
      <c r="B2072" s="2" t="s">
        <v>118</v>
      </c>
      <c r="C2072" s="2" t="s">
        <v>111</v>
      </c>
      <c r="D2072" s="2" t="s">
        <v>2859</v>
      </c>
      <c r="E2072" s="4" t="str">
        <f>HYPERLINK("./Results/DLO\2897\Osteo_Sarco_1.png","RPT")</f>
        <v>RPT</v>
      </c>
      <c r="F2072" s="2" t="s">
        <v>69</v>
      </c>
      <c r="G2072" s="6"/>
      <c r="I2072"/>
      <c r="J2072"/>
      <c r="K2072"/>
    </row>
    <row r="2073" spans="1:11" x14ac:dyDescent="0.3">
      <c r="A2073" s="2" t="s">
        <v>2935</v>
      </c>
      <c r="B2073" s="2" t="s">
        <v>143</v>
      </c>
      <c r="C2073" s="2" t="s">
        <v>111</v>
      </c>
      <c r="D2073" s="2" t="s">
        <v>2867</v>
      </c>
      <c r="E2073" s="4" t="str">
        <f>HYPERLINK("./Results/DLO\2898\Osteo_Sarco_1.png","RPT")</f>
        <v>RPT</v>
      </c>
      <c r="F2073" s="2" t="s">
        <v>54</v>
      </c>
      <c r="G2073" s="6"/>
      <c r="H2073" s="1">
        <v>22.87</v>
      </c>
    </row>
    <row r="2074" spans="1:11" x14ac:dyDescent="0.3">
      <c r="A2074" s="2" t="s">
        <v>2930</v>
      </c>
      <c r="B2074" s="2" t="s">
        <v>132</v>
      </c>
      <c r="C2074" s="2" t="s">
        <v>111</v>
      </c>
      <c r="D2074" s="2" t="s">
        <v>2859</v>
      </c>
      <c r="E2074" s="4" t="str">
        <f>HYPERLINK("./Results/DLO\2899\Osteo_Sarco_1.png","RPT")</f>
        <v>RPT</v>
      </c>
      <c r="F2074" s="2" t="s">
        <v>32</v>
      </c>
      <c r="G2074" s="6"/>
      <c r="I2074"/>
      <c r="J2074"/>
      <c r="K2074"/>
    </row>
    <row r="2075" spans="1:11" x14ac:dyDescent="0.3">
      <c r="A2075" s="2" t="s">
        <v>2932</v>
      </c>
      <c r="B2075" s="2" t="s">
        <v>150</v>
      </c>
      <c r="C2075" s="2" t="s">
        <v>111</v>
      </c>
      <c r="D2075" s="2" t="s">
        <v>2859</v>
      </c>
      <c r="E2075" s="4" t="str">
        <f>HYPERLINK("./Results/DLO\29\Osteo_Sarco_1.png","RPT")</f>
        <v>RPT</v>
      </c>
      <c r="F2075" s="2" t="s">
        <v>32</v>
      </c>
      <c r="G2075" s="6"/>
      <c r="H2075" s="1">
        <v>25.43</v>
      </c>
    </row>
    <row r="2076" spans="1:11" x14ac:dyDescent="0.3">
      <c r="A2076" s="2" t="s">
        <v>2944</v>
      </c>
      <c r="B2076" s="2" t="s">
        <v>131</v>
      </c>
      <c r="C2076" s="2" t="s">
        <v>119</v>
      </c>
      <c r="D2076" s="2" t="s">
        <v>2867</v>
      </c>
      <c r="E2076" s="4" t="str">
        <f>HYPERLINK("./Results/DLO\290\Osteo_Sarco_1.png","RPT")</f>
        <v>RPT</v>
      </c>
      <c r="F2076" s="2" t="s">
        <v>34</v>
      </c>
      <c r="G2076" s="6"/>
      <c r="H2076" s="1">
        <v>24.69</v>
      </c>
    </row>
    <row r="2077" spans="1:11" x14ac:dyDescent="0.3">
      <c r="A2077" s="2" t="s">
        <v>2931</v>
      </c>
      <c r="B2077" s="2" t="s">
        <v>163</v>
      </c>
      <c r="C2077" s="2" t="s">
        <v>111</v>
      </c>
      <c r="D2077" s="2" t="s">
        <v>2859</v>
      </c>
      <c r="E2077" s="4" t="str">
        <f>HYPERLINK("./Results/DLO\2900\Osteo_Sarco_1.png","RPT")</f>
        <v>RPT</v>
      </c>
      <c r="F2077" s="2" t="s">
        <v>458</v>
      </c>
      <c r="G2077" s="6"/>
      <c r="I2077"/>
      <c r="J2077"/>
      <c r="K2077"/>
    </row>
    <row r="2078" spans="1:11" x14ac:dyDescent="0.3">
      <c r="A2078" s="2" t="s">
        <v>2947</v>
      </c>
      <c r="B2078" s="2" t="s">
        <v>123</v>
      </c>
      <c r="C2078" s="2" t="s">
        <v>111</v>
      </c>
      <c r="D2078" s="2" t="s">
        <v>2867</v>
      </c>
      <c r="E2078" s="4" t="str">
        <f>HYPERLINK("./Results/DLO\2901\Osteo_Sarco_1.png","RPT")</f>
        <v>RPT</v>
      </c>
      <c r="F2078" s="2" t="s">
        <v>108</v>
      </c>
      <c r="G2078" s="6"/>
      <c r="H2078" s="1">
        <v>24.91</v>
      </c>
    </row>
    <row r="2079" spans="1:11" x14ac:dyDescent="0.3">
      <c r="A2079" s="2" t="s">
        <v>2948</v>
      </c>
      <c r="B2079" s="2" t="s">
        <v>159</v>
      </c>
      <c r="C2079" s="2" t="s">
        <v>111</v>
      </c>
      <c r="D2079" s="2" t="s">
        <v>2859</v>
      </c>
      <c r="E2079" s="4" t="str">
        <f>HYPERLINK("./Results/DLO\2902\Osteo_Sarco_1.png","RPT")</f>
        <v>RPT</v>
      </c>
      <c r="F2079" s="2" t="s">
        <v>110</v>
      </c>
      <c r="G2079" s="6"/>
      <c r="I2079"/>
      <c r="J2079"/>
      <c r="K2079"/>
    </row>
    <row r="2080" spans="1:11" x14ac:dyDescent="0.3">
      <c r="A2080" s="2" t="s">
        <v>2949</v>
      </c>
      <c r="B2080" s="2" t="s">
        <v>165</v>
      </c>
      <c r="C2080" s="2" t="s">
        <v>111</v>
      </c>
      <c r="D2080" s="2" t="s">
        <v>2867</v>
      </c>
      <c r="E2080" s="4" t="str">
        <f>HYPERLINK("./Results/DLO\2903\Osteo_Sarco_1.png","RPT")</f>
        <v>RPT</v>
      </c>
      <c r="F2080" s="2" t="s">
        <v>34</v>
      </c>
      <c r="G2080" s="6"/>
      <c r="I2080"/>
      <c r="J2080"/>
      <c r="K2080"/>
    </row>
    <row r="2081" spans="1:11" x14ac:dyDescent="0.3">
      <c r="A2081" s="2" t="s">
        <v>320</v>
      </c>
      <c r="B2081" s="2" t="s">
        <v>138</v>
      </c>
      <c r="C2081" s="2" t="s">
        <v>119</v>
      </c>
      <c r="D2081" s="2" t="s">
        <v>2859</v>
      </c>
      <c r="E2081" s="4" t="str">
        <f>HYPERLINK("./Results/DLO\2904\Osteo_Sarco_1.png","RPT")</f>
        <v>RPT</v>
      </c>
      <c r="F2081" s="2" t="s">
        <v>70</v>
      </c>
      <c r="G2081" s="6"/>
      <c r="I2081"/>
      <c r="J2081"/>
      <c r="K2081"/>
    </row>
    <row r="2082" spans="1:11" x14ac:dyDescent="0.3">
      <c r="A2082" s="2" t="s">
        <v>1477</v>
      </c>
      <c r="B2082" s="2" t="s">
        <v>151</v>
      </c>
      <c r="C2082" s="2" t="s">
        <v>119</v>
      </c>
      <c r="D2082" s="2" t="s">
        <v>2859</v>
      </c>
      <c r="E2082" s="4" t="str">
        <f>HYPERLINK("./Results/DLO\2905\Osteo_Sarco_1.png","RPT")</f>
        <v>RPT</v>
      </c>
      <c r="F2082" s="2" t="s">
        <v>54</v>
      </c>
      <c r="G2082" s="6"/>
      <c r="I2082"/>
      <c r="J2082"/>
      <c r="K2082"/>
    </row>
    <row r="2083" spans="1:11" x14ac:dyDescent="0.3">
      <c r="A2083" s="2" t="s">
        <v>1472</v>
      </c>
      <c r="B2083" s="2" t="s">
        <v>587</v>
      </c>
      <c r="C2083" s="2" t="s">
        <v>111</v>
      </c>
      <c r="D2083" s="2" t="s">
        <v>2859</v>
      </c>
      <c r="E2083" s="4" t="str">
        <f>HYPERLINK("./Results/DLO\2906\Osteo_Sarco_1.png","RPT")</f>
        <v>RPT</v>
      </c>
      <c r="F2083" s="2" t="s">
        <v>80</v>
      </c>
      <c r="G2083" s="6"/>
      <c r="H2083" s="1">
        <v>26.68</v>
      </c>
    </row>
    <row r="2084" spans="1:11" x14ac:dyDescent="0.3">
      <c r="A2084" s="2" t="s">
        <v>1478</v>
      </c>
      <c r="B2084" s="2" t="s">
        <v>148</v>
      </c>
      <c r="C2084" s="2" t="s">
        <v>111</v>
      </c>
      <c r="D2084" s="2" t="s">
        <v>2859</v>
      </c>
      <c r="E2084" s="4" t="str">
        <f>HYPERLINK("./Results/DLO\2907\Osteo_Sarco_1.png","RPT")</f>
        <v>RPT</v>
      </c>
      <c r="F2084" s="2" t="s">
        <v>448</v>
      </c>
      <c r="G2084" s="6"/>
      <c r="H2084" s="1">
        <v>18.940000000000001</v>
      </c>
    </row>
    <row r="2085" spans="1:11" x14ac:dyDescent="0.3">
      <c r="A2085" s="2" t="s">
        <v>1492</v>
      </c>
      <c r="B2085" s="2" t="s">
        <v>138</v>
      </c>
      <c r="C2085" s="2" t="s">
        <v>111</v>
      </c>
      <c r="D2085" s="2" t="s">
        <v>2859</v>
      </c>
      <c r="E2085" s="4" t="str">
        <f>HYPERLINK("./Results/DLO\2908\Osteo_Sarco_1.png","RPT")</f>
        <v>RPT</v>
      </c>
      <c r="F2085" s="2" t="s">
        <v>97</v>
      </c>
      <c r="G2085" s="6"/>
      <c r="H2085" s="1">
        <v>19.53</v>
      </c>
    </row>
    <row r="2086" spans="1:11" x14ac:dyDescent="0.3">
      <c r="A2086" s="2" t="s">
        <v>1495</v>
      </c>
      <c r="B2086" s="2" t="s">
        <v>129</v>
      </c>
      <c r="C2086" s="2" t="s">
        <v>119</v>
      </c>
      <c r="D2086" s="2" t="s">
        <v>2859</v>
      </c>
      <c r="E2086" s="4" t="str">
        <f>HYPERLINK("./Results/DLO\2909\Osteo_Sarco_1.png","RPT")</f>
        <v>RPT</v>
      </c>
      <c r="F2086" s="2" t="s">
        <v>98</v>
      </c>
      <c r="G2086" s="6"/>
      <c r="I2086"/>
      <c r="J2086"/>
      <c r="K2086"/>
    </row>
    <row r="2087" spans="1:11" x14ac:dyDescent="0.3">
      <c r="A2087" s="2" t="s">
        <v>1484</v>
      </c>
      <c r="B2087" s="2" t="s">
        <v>135</v>
      </c>
      <c r="C2087" s="2" t="s">
        <v>111</v>
      </c>
      <c r="D2087" s="2" t="s">
        <v>2859</v>
      </c>
      <c r="E2087" s="4" t="str">
        <f>HYPERLINK("./Results/DLO\291\Osteo_Sarco_1.png","RPT")</f>
        <v>RPT</v>
      </c>
      <c r="F2087" s="2" t="s">
        <v>34</v>
      </c>
      <c r="G2087" s="6"/>
      <c r="I2087"/>
      <c r="J2087"/>
      <c r="K2087"/>
    </row>
    <row r="2088" spans="1:11" x14ac:dyDescent="0.3">
      <c r="A2088" s="2" t="s">
        <v>1494</v>
      </c>
      <c r="B2088" s="2" t="s">
        <v>579</v>
      </c>
      <c r="C2088" s="2" t="s">
        <v>119</v>
      </c>
      <c r="D2088" s="2" t="s">
        <v>2867</v>
      </c>
      <c r="E2088" s="4" t="str">
        <f>HYPERLINK("./Results/DLO\2910\Osteo_Sarco_1.png","RPT")</f>
        <v>RPT</v>
      </c>
      <c r="F2088" s="2" t="s">
        <v>70</v>
      </c>
      <c r="G2088" s="6"/>
      <c r="I2088"/>
      <c r="J2088"/>
      <c r="K2088"/>
    </row>
    <row r="2089" spans="1:11" x14ac:dyDescent="0.3">
      <c r="A2089" s="2" t="s">
        <v>1496</v>
      </c>
      <c r="B2089" s="2" t="s">
        <v>152</v>
      </c>
      <c r="C2089" s="2" t="s">
        <v>119</v>
      </c>
      <c r="D2089" s="2" t="s">
        <v>2867</v>
      </c>
      <c r="E2089" s="4" t="str">
        <f>HYPERLINK("./Results/DLO\2911\Osteo_Sarco_1.png","RPT")</f>
        <v>RPT</v>
      </c>
      <c r="F2089" s="2" t="s">
        <v>43</v>
      </c>
      <c r="G2089" s="6"/>
      <c r="I2089"/>
      <c r="J2089"/>
      <c r="K2089"/>
    </row>
    <row r="2090" spans="1:11" x14ac:dyDescent="0.3">
      <c r="A2090" s="2" t="s">
        <v>1474</v>
      </c>
      <c r="B2090" s="2" t="s">
        <v>123</v>
      </c>
      <c r="C2090" s="2" t="s">
        <v>111</v>
      </c>
      <c r="D2090" s="2" t="s">
        <v>2859</v>
      </c>
      <c r="E2090" s="4" t="str">
        <f>HYPERLINK("./Results/DLO\2912\Osteo_Sarco_1.png","RPT")</f>
        <v>RPT</v>
      </c>
      <c r="F2090" s="2" t="s">
        <v>94</v>
      </c>
      <c r="G2090" s="6"/>
      <c r="H2090" s="1">
        <v>20.02</v>
      </c>
    </row>
    <row r="2091" spans="1:11" x14ac:dyDescent="0.3">
      <c r="A2091" s="2" t="s">
        <v>1490</v>
      </c>
      <c r="B2091" s="2" t="s">
        <v>135</v>
      </c>
      <c r="C2091" s="2" t="s">
        <v>111</v>
      </c>
      <c r="D2091" s="2" t="s">
        <v>2859</v>
      </c>
      <c r="E2091" s="4" t="str">
        <f>HYPERLINK("./Results/DLO\2913\Osteo_Sarco_1.png","RPT")</f>
        <v>RPT</v>
      </c>
      <c r="F2091" s="2" t="s">
        <v>32</v>
      </c>
      <c r="G2091" s="6"/>
      <c r="H2091" s="1">
        <v>22.58</v>
      </c>
    </row>
    <row r="2092" spans="1:11" x14ac:dyDescent="0.3">
      <c r="A2092" s="2" t="s">
        <v>1476</v>
      </c>
      <c r="B2092" s="2" t="s">
        <v>112</v>
      </c>
      <c r="C2092" s="2" t="s">
        <v>119</v>
      </c>
      <c r="D2092" s="2" t="s">
        <v>2867</v>
      </c>
      <c r="E2092" s="4" t="str">
        <f>HYPERLINK("./Results/DLO\2915\Osteo_Sarco_1.png","RPT")</f>
        <v>RPT</v>
      </c>
      <c r="F2092" s="2" t="s">
        <v>76</v>
      </c>
      <c r="G2092" s="6"/>
      <c r="H2092" s="1">
        <v>26.52</v>
      </c>
    </row>
    <row r="2093" spans="1:11" x14ac:dyDescent="0.3">
      <c r="A2093" s="2" t="s">
        <v>1475</v>
      </c>
      <c r="B2093" s="2" t="s">
        <v>587</v>
      </c>
      <c r="C2093" s="2" t="s">
        <v>119</v>
      </c>
      <c r="D2093" s="2" t="s">
        <v>2859</v>
      </c>
      <c r="E2093" s="4" t="str">
        <f>HYPERLINK("./Results/DLO\2916\Osteo_Sarco_1.png","RPT")</f>
        <v>RPT</v>
      </c>
      <c r="F2093" s="2" t="s">
        <v>79</v>
      </c>
      <c r="G2093" s="6"/>
      <c r="I2093"/>
      <c r="J2093"/>
      <c r="K2093"/>
    </row>
    <row r="2094" spans="1:11" x14ac:dyDescent="0.3">
      <c r="A2094" s="2" t="s">
        <v>1489</v>
      </c>
      <c r="B2094" s="2" t="s">
        <v>148</v>
      </c>
      <c r="C2094" s="2" t="s">
        <v>119</v>
      </c>
      <c r="D2094" s="2" t="s">
        <v>2867</v>
      </c>
      <c r="E2094" s="4" t="str">
        <f>HYPERLINK("./Results/DLO\2918\Osteo_Sarco_1.png","RPT")</f>
        <v>RPT</v>
      </c>
      <c r="F2094" s="2" t="s">
        <v>45</v>
      </c>
      <c r="G2094" s="6"/>
      <c r="H2094" s="1">
        <v>25.06</v>
      </c>
    </row>
    <row r="2095" spans="1:11" x14ac:dyDescent="0.3">
      <c r="A2095" s="2" t="s">
        <v>1491</v>
      </c>
      <c r="B2095" s="2" t="s">
        <v>146</v>
      </c>
      <c r="C2095" s="2" t="s">
        <v>111</v>
      </c>
      <c r="D2095" s="2" t="s">
        <v>2867</v>
      </c>
      <c r="E2095" s="4" t="str">
        <f>HYPERLINK("./Results/DLO\2919\Osteo_Sarco_1.png","RPT")</f>
        <v>RPT</v>
      </c>
      <c r="F2095" s="2" t="s">
        <v>83</v>
      </c>
      <c r="G2095" s="6"/>
      <c r="H2095" s="1">
        <v>23.74</v>
      </c>
    </row>
    <row r="2096" spans="1:11" x14ac:dyDescent="0.3">
      <c r="A2096" s="2" t="s">
        <v>1497</v>
      </c>
      <c r="B2096" s="2" t="s">
        <v>165</v>
      </c>
      <c r="C2096" s="2" t="s">
        <v>111</v>
      </c>
      <c r="D2096" s="2" t="s">
        <v>2859</v>
      </c>
      <c r="E2096" s="4" t="str">
        <f>HYPERLINK("./Results/DLO\292\Osteo_Sarco_1.png","RPT")</f>
        <v>RPT</v>
      </c>
      <c r="F2096" s="2" t="s">
        <v>105</v>
      </c>
      <c r="G2096" s="6"/>
      <c r="I2096"/>
      <c r="J2096"/>
      <c r="K2096"/>
    </row>
    <row r="2097" spans="1:11" x14ac:dyDescent="0.3">
      <c r="A2097" s="2" t="s">
        <v>1498</v>
      </c>
      <c r="B2097" s="2" t="s">
        <v>591</v>
      </c>
      <c r="C2097" s="2" t="s">
        <v>119</v>
      </c>
      <c r="D2097" s="2" t="s">
        <v>2859</v>
      </c>
      <c r="E2097" s="4" t="str">
        <f>HYPERLINK("./Results/DLO\2920\Osteo_Sarco_1.png","RPT")</f>
        <v>RPT</v>
      </c>
      <c r="F2097" s="2" t="s">
        <v>113</v>
      </c>
      <c r="G2097" s="6"/>
      <c r="H2097" s="1">
        <v>16.649999999999999</v>
      </c>
    </row>
    <row r="2098" spans="1:11" x14ac:dyDescent="0.3">
      <c r="A2098" s="2" t="s">
        <v>1479</v>
      </c>
      <c r="B2098" s="2" t="s">
        <v>126</v>
      </c>
      <c r="C2098" s="2" t="s">
        <v>119</v>
      </c>
      <c r="D2098" s="2" t="s">
        <v>2859</v>
      </c>
      <c r="E2098" s="4" t="str">
        <f>HYPERLINK("./Results/DLO\2921\Osteo_Sarco_1.png","RPT")</f>
        <v>RPT</v>
      </c>
      <c r="F2098" s="2" t="s">
        <v>50</v>
      </c>
      <c r="G2098" s="6"/>
      <c r="I2098"/>
      <c r="J2098"/>
      <c r="K2098"/>
    </row>
    <row r="2099" spans="1:11" x14ac:dyDescent="0.3">
      <c r="A2099" s="2" t="s">
        <v>1480</v>
      </c>
      <c r="B2099" s="2" t="s">
        <v>126</v>
      </c>
      <c r="C2099" s="2" t="s">
        <v>119</v>
      </c>
      <c r="D2099" s="2" t="s">
        <v>2859</v>
      </c>
      <c r="E2099" s="4" t="str">
        <f>HYPERLINK("./Results/DLO\2922\Osteo_Sarco_1.png","RPT")</f>
        <v>RPT</v>
      </c>
      <c r="F2099" s="2" t="s">
        <v>467</v>
      </c>
      <c r="G2099" s="6"/>
      <c r="I2099"/>
      <c r="J2099"/>
      <c r="K2099"/>
    </row>
    <row r="2100" spans="1:11" x14ac:dyDescent="0.3">
      <c r="A2100" s="2" t="s">
        <v>1473</v>
      </c>
      <c r="B2100" s="2" t="s">
        <v>148</v>
      </c>
      <c r="C2100" s="2" t="s">
        <v>119</v>
      </c>
      <c r="D2100" s="2" t="s">
        <v>2859</v>
      </c>
      <c r="E2100" s="4" t="str">
        <f>HYPERLINK("./Results/DLO\2923\Osteo_Sarco_1.png","RPT")</f>
        <v>RPT</v>
      </c>
      <c r="F2100" s="2" t="s">
        <v>38</v>
      </c>
      <c r="G2100" s="6"/>
      <c r="H2100" s="1">
        <v>24.03</v>
      </c>
    </row>
    <row r="2101" spans="1:11" x14ac:dyDescent="0.3">
      <c r="A2101" s="2" t="s">
        <v>1482</v>
      </c>
      <c r="B2101" s="2" t="s">
        <v>154</v>
      </c>
      <c r="C2101" s="2" t="s">
        <v>111</v>
      </c>
      <c r="D2101" s="2" t="s">
        <v>2867</v>
      </c>
      <c r="E2101" s="4" t="str">
        <f>HYPERLINK("./Results/DLO\2924\Osteo_Sarco_1.png","RPT")</f>
        <v>RPT</v>
      </c>
      <c r="F2101" s="2" t="s">
        <v>474</v>
      </c>
      <c r="G2101" s="6"/>
      <c r="I2101"/>
      <c r="J2101"/>
      <c r="K2101"/>
    </row>
    <row r="2102" spans="1:11" x14ac:dyDescent="0.3">
      <c r="A2102" s="2" t="s">
        <v>1493</v>
      </c>
      <c r="B2102" s="2" t="s">
        <v>123</v>
      </c>
      <c r="C2102" s="2" t="s">
        <v>111</v>
      </c>
      <c r="D2102" s="2" t="s">
        <v>2859</v>
      </c>
      <c r="E2102" s="4" t="str">
        <f>HYPERLINK("./Results/DLO\2925\Osteo_Sarco_1.png","RPT")</f>
        <v>RPT</v>
      </c>
      <c r="F2102" s="2" t="s">
        <v>69</v>
      </c>
      <c r="G2102" s="6"/>
      <c r="H2102" s="1">
        <v>20.02</v>
      </c>
    </row>
    <row r="2103" spans="1:11" x14ac:dyDescent="0.3">
      <c r="A2103" s="2" t="s">
        <v>1481</v>
      </c>
      <c r="B2103" s="2" t="s">
        <v>170</v>
      </c>
      <c r="C2103" s="2" t="s">
        <v>111</v>
      </c>
      <c r="D2103" s="2" t="s">
        <v>2859</v>
      </c>
      <c r="E2103" s="4" t="str">
        <f>HYPERLINK("./Results/DLO\2926\Osteo_Sarco_1.png","RPT")</f>
        <v>RPT</v>
      </c>
      <c r="F2103" s="2" t="s">
        <v>87</v>
      </c>
      <c r="G2103" s="6"/>
      <c r="I2103"/>
      <c r="J2103"/>
      <c r="K2103"/>
    </row>
    <row r="2104" spans="1:11" x14ac:dyDescent="0.3">
      <c r="A2104" s="2" t="s">
        <v>1485</v>
      </c>
      <c r="B2104" s="2" t="s">
        <v>166</v>
      </c>
      <c r="C2104" s="2" t="s">
        <v>119</v>
      </c>
      <c r="D2104" s="2" t="s">
        <v>2859</v>
      </c>
      <c r="E2104" s="4" t="str">
        <f>HYPERLINK("./Results/DLO\2927\Osteo_Sarco_1.png","RPT")</f>
        <v>RPT</v>
      </c>
      <c r="F2104" s="2" t="s">
        <v>68</v>
      </c>
      <c r="G2104" s="6"/>
      <c r="H2104" s="1">
        <v>30.93</v>
      </c>
    </row>
    <row r="2105" spans="1:11" x14ac:dyDescent="0.3">
      <c r="A2105" s="2" t="s">
        <v>1486</v>
      </c>
      <c r="B2105" s="2" t="s">
        <v>113</v>
      </c>
      <c r="C2105" s="2" t="s">
        <v>111</v>
      </c>
      <c r="D2105" s="2" t="s">
        <v>2859</v>
      </c>
      <c r="E2105" s="4" t="str">
        <f>HYPERLINK("./Results/DLO\2928\Osteo_Sarco_1.png","RPT")</f>
        <v>RPT</v>
      </c>
      <c r="F2105" s="2" t="s">
        <v>455</v>
      </c>
      <c r="G2105" s="6"/>
      <c r="I2105"/>
      <c r="J2105"/>
      <c r="K2105"/>
    </row>
    <row r="2106" spans="1:11" x14ac:dyDescent="0.3">
      <c r="A2106" s="2" t="s">
        <v>1487</v>
      </c>
      <c r="B2106" s="2" t="s">
        <v>149</v>
      </c>
      <c r="C2106" s="2" t="s">
        <v>119</v>
      </c>
      <c r="D2106" s="2" t="s">
        <v>2867</v>
      </c>
      <c r="E2106" s="4" t="str">
        <f>HYPERLINK("./Results/DLO\2929\Osteo_Sarco_1.png","RPT")</f>
        <v>RPT</v>
      </c>
      <c r="F2106" s="2" t="s">
        <v>87</v>
      </c>
      <c r="G2106" s="6"/>
      <c r="I2106"/>
      <c r="J2106"/>
      <c r="K2106"/>
    </row>
    <row r="2107" spans="1:11" x14ac:dyDescent="0.3">
      <c r="A2107" s="2" t="s">
        <v>1483</v>
      </c>
      <c r="B2107" s="2" t="s">
        <v>131</v>
      </c>
      <c r="C2107" s="2" t="s">
        <v>111</v>
      </c>
      <c r="D2107" s="2" t="s">
        <v>2859</v>
      </c>
      <c r="E2107" s="4" t="str">
        <f>HYPERLINK("./Results/DLO\293\Osteo_Sarco_1.png","RPT")</f>
        <v>RPT</v>
      </c>
      <c r="F2107" s="2" t="s">
        <v>95</v>
      </c>
      <c r="G2107" s="6"/>
      <c r="I2107"/>
      <c r="J2107"/>
      <c r="K2107"/>
    </row>
    <row r="2108" spans="1:11" x14ac:dyDescent="0.3">
      <c r="A2108" s="2" t="s">
        <v>1488</v>
      </c>
      <c r="B2108" s="2" t="s">
        <v>127</v>
      </c>
      <c r="C2108" s="2" t="s">
        <v>111</v>
      </c>
      <c r="D2108" s="2" t="s">
        <v>2859</v>
      </c>
      <c r="E2108" s="4" t="str">
        <f>HYPERLINK("./Results/DLO\2930\Osteo_Sarco_1.png","RPT")</f>
        <v>RPT</v>
      </c>
      <c r="F2108" s="2" t="s">
        <v>447</v>
      </c>
      <c r="G2108" s="6"/>
      <c r="I2108"/>
      <c r="J2108"/>
      <c r="K2108"/>
    </row>
    <row r="2109" spans="1:11" x14ac:dyDescent="0.3">
      <c r="A2109" s="2" t="s">
        <v>1514</v>
      </c>
      <c r="B2109" s="2" t="s">
        <v>118</v>
      </c>
      <c r="C2109" s="2" t="s">
        <v>111</v>
      </c>
      <c r="D2109" s="2" t="s">
        <v>2859</v>
      </c>
      <c r="E2109" s="4" t="str">
        <f>HYPERLINK("./Results/DLO\2931\Osteo_Sarco_1.png","RPT")</f>
        <v>RPT</v>
      </c>
      <c r="F2109" s="2" t="s">
        <v>452</v>
      </c>
      <c r="G2109" s="6"/>
      <c r="H2109" s="1">
        <v>26.15</v>
      </c>
    </row>
    <row r="2110" spans="1:11" x14ac:dyDescent="0.3">
      <c r="A2110" s="2" t="s">
        <v>1500</v>
      </c>
      <c r="B2110" s="2" t="s">
        <v>126</v>
      </c>
      <c r="C2110" s="2" t="s">
        <v>111</v>
      </c>
      <c r="D2110" s="2" t="s">
        <v>2859</v>
      </c>
      <c r="E2110" s="4" t="str">
        <f>HYPERLINK("./Results/DLO\2932\Osteo_Sarco_1.png","RPT")</f>
        <v>RPT</v>
      </c>
      <c r="F2110" s="2" t="s">
        <v>451</v>
      </c>
      <c r="G2110" s="6"/>
      <c r="I2110"/>
      <c r="J2110"/>
      <c r="K2110"/>
    </row>
    <row r="2111" spans="1:11" x14ac:dyDescent="0.3">
      <c r="A2111" s="2" t="s">
        <v>1505</v>
      </c>
      <c r="B2111" s="2" t="s">
        <v>166</v>
      </c>
      <c r="C2111" s="2" t="s">
        <v>111</v>
      </c>
      <c r="D2111" s="2" t="s">
        <v>2859</v>
      </c>
      <c r="E2111" s="4" t="str">
        <f>HYPERLINK("./Results/DLO\2933\Osteo_Sarco_1.png","RPT")</f>
        <v>RPT</v>
      </c>
      <c r="F2111" s="2" t="s">
        <v>463</v>
      </c>
      <c r="G2111" s="6"/>
      <c r="I2111"/>
      <c r="J2111"/>
      <c r="K2111"/>
    </row>
    <row r="2112" spans="1:11" x14ac:dyDescent="0.3">
      <c r="A2112" s="2" t="s">
        <v>1516</v>
      </c>
      <c r="B2112" s="2" t="s">
        <v>116</v>
      </c>
      <c r="C2112" s="2" t="s">
        <v>111</v>
      </c>
      <c r="D2112" s="2" t="s">
        <v>2859</v>
      </c>
      <c r="E2112" s="4" t="str">
        <f>HYPERLINK("./Results/DLO\2934\Osteo_Sarco_1.png","RPT")</f>
        <v>RPT</v>
      </c>
      <c r="F2112" s="2" t="s">
        <v>80</v>
      </c>
      <c r="G2112" s="6"/>
      <c r="I2112"/>
      <c r="J2112"/>
      <c r="K2112"/>
    </row>
    <row r="2113" spans="1:11" x14ac:dyDescent="0.3">
      <c r="A2113" s="2" t="s">
        <v>1506</v>
      </c>
      <c r="B2113" s="2" t="s">
        <v>579</v>
      </c>
      <c r="C2113" s="2" t="s">
        <v>119</v>
      </c>
      <c r="D2113" s="2" t="s">
        <v>2867</v>
      </c>
      <c r="E2113" s="4" t="str">
        <f>HYPERLINK("./Results/DLO\2935\Osteo_Sarco_1.png","RPT")</f>
        <v>RPT</v>
      </c>
      <c r="F2113" s="2" t="s">
        <v>87</v>
      </c>
      <c r="G2113" s="6"/>
      <c r="I2113"/>
      <c r="J2113"/>
      <c r="K2113"/>
    </row>
    <row r="2114" spans="1:11" x14ac:dyDescent="0.3">
      <c r="A2114" s="2" t="s">
        <v>1517</v>
      </c>
      <c r="B2114" s="2" t="s">
        <v>142</v>
      </c>
      <c r="C2114" s="2" t="s">
        <v>111</v>
      </c>
      <c r="D2114" s="2" t="s">
        <v>2859</v>
      </c>
      <c r="E2114" s="4" t="str">
        <f>HYPERLINK("./Results/DLO\2936\Osteo_Sarco_1.png","RPT")</f>
        <v>RPT</v>
      </c>
      <c r="F2114" s="2" t="s">
        <v>84</v>
      </c>
      <c r="G2114" s="6"/>
      <c r="H2114" s="1">
        <v>30.39</v>
      </c>
    </row>
    <row r="2115" spans="1:11" x14ac:dyDescent="0.3">
      <c r="A2115" s="2" t="s">
        <v>1508</v>
      </c>
      <c r="B2115" s="2" t="s">
        <v>166</v>
      </c>
      <c r="C2115" s="2" t="s">
        <v>111</v>
      </c>
      <c r="D2115" s="2" t="s">
        <v>2859</v>
      </c>
      <c r="E2115" s="4" t="str">
        <f>HYPERLINK("./Results/DLO\2937\Osteo_Sarco_1.png","RPT")</f>
        <v>RPT</v>
      </c>
      <c r="F2115" s="2" t="s">
        <v>95</v>
      </c>
      <c r="G2115" s="6"/>
      <c r="I2115"/>
      <c r="J2115"/>
      <c r="K2115"/>
    </row>
    <row r="2116" spans="1:11" x14ac:dyDescent="0.3">
      <c r="A2116" s="2" t="s">
        <v>1511</v>
      </c>
      <c r="B2116" s="2" t="s">
        <v>116</v>
      </c>
      <c r="C2116" s="2" t="s">
        <v>111</v>
      </c>
      <c r="D2116" s="2" t="s">
        <v>2867</v>
      </c>
      <c r="E2116" s="4" t="str">
        <f>HYPERLINK("./Results/DLO\2938\Osteo_Sarco_1.png","RPT")</f>
        <v>RPT</v>
      </c>
      <c r="F2116" s="2" t="s">
        <v>95</v>
      </c>
      <c r="G2116" s="6"/>
      <c r="H2116" s="1">
        <v>24.8</v>
      </c>
    </row>
    <row r="2117" spans="1:11" x14ac:dyDescent="0.3">
      <c r="A2117" s="2" t="s">
        <v>1507</v>
      </c>
      <c r="B2117" s="2" t="s">
        <v>142</v>
      </c>
      <c r="C2117" s="2" t="s">
        <v>119</v>
      </c>
      <c r="D2117" s="2" t="s">
        <v>2859</v>
      </c>
      <c r="E2117" s="4" t="str">
        <f>HYPERLINK("./Results/DLO\2939\Osteo_Sarco_1.png","RPT")</f>
        <v>RPT</v>
      </c>
      <c r="F2117" s="2" t="s">
        <v>61</v>
      </c>
      <c r="G2117" s="6"/>
      <c r="I2117"/>
      <c r="J2117"/>
      <c r="K2117"/>
    </row>
    <row r="2118" spans="1:11" x14ac:dyDescent="0.3">
      <c r="A2118" s="2" t="s">
        <v>1501</v>
      </c>
      <c r="B2118" s="2" t="s">
        <v>133</v>
      </c>
      <c r="C2118" s="2" t="s">
        <v>119</v>
      </c>
      <c r="D2118" s="2" t="s">
        <v>2859</v>
      </c>
      <c r="E2118" s="4" t="str">
        <f>HYPERLINK("./Results/DLO\294\Osteo_Sarco_1.png","RPT")</f>
        <v>RPT</v>
      </c>
      <c r="F2118" s="2" t="s">
        <v>467</v>
      </c>
      <c r="G2118" s="6"/>
      <c r="I2118"/>
      <c r="J2118"/>
      <c r="K2118"/>
    </row>
    <row r="2119" spans="1:11" x14ac:dyDescent="0.3">
      <c r="A2119" s="2" t="s">
        <v>1512</v>
      </c>
      <c r="B2119" s="2" t="s">
        <v>139</v>
      </c>
      <c r="C2119" s="2" t="s">
        <v>111</v>
      </c>
      <c r="D2119" s="2" t="s">
        <v>2867</v>
      </c>
      <c r="E2119" s="4" t="str">
        <f>HYPERLINK("./Results/DLO\2940\Osteo_Sarco_1.png","RPT")</f>
        <v>RPT</v>
      </c>
      <c r="F2119" s="2" t="s">
        <v>84</v>
      </c>
      <c r="G2119" s="6"/>
      <c r="H2119" s="1">
        <v>31.32</v>
      </c>
    </row>
    <row r="2120" spans="1:11" x14ac:dyDescent="0.3">
      <c r="A2120" s="2" t="s">
        <v>1499</v>
      </c>
      <c r="B2120" s="2" t="s">
        <v>136</v>
      </c>
      <c r="C2120" s="2" t="s">
        <v>119</v>
      </c>
      <c r="D2120" s="2" t="s">
        <v>2859</v>
      </c>
      <c r="E2120" s="4" t="str">
        <f>HYPERLINK("./Results/DLO\2941\Osteo_Sarco_1.png","RPT")</f>
        <v>RPT</v>
      </c>
      <c r="F2120" s="2" t="s">
        <v>97</v>
      </c>
      <c r="G2120" s="6"/>
      <c r="H2120" s="1">
        <v>22.63</v>
      </c>
    </row>
    <row r="2121" spans="1:11" x14ac:dyDescent="0.3">
      <c r="A2121" s="2" t="s">
        <v>1502</v>
      </c>
      <c r="B2121" s="2" t="s">
        <v>112</v>
      </c>
      <c r="C2121" s="2" t="s">
        <v>119</v>
      </c>
      <c r="D2121" s="2" t="s">
        <v>2867</v>
      </c>
      <c r="E2121" s="4" t="str">
        <f>HYPERLINK("./Results/DLO\2942\Osteo_Sarco_1.png","RPT")</f>
        <v>RPT</v>
      </c>
      <c r="F2121" s="2" t="s">
        <v>73</v>
      </c>
      <c r="G2121" s="6"/>
      <c r="H2121" s="1">
        <v>24.56</v>
      </c>
    </row>
    <row r="2122" spans="1:11" x14ac:dyDescent="0.3">
      <c r="A2122" s="2" t="s">
        <v>1510</v>
      </c>
      <c r="B2122" s="2" t="s">
        <v>140</v>
      </c>
      <c r="C2122" s="2" t="s">
        <v>119</v>
      </c>
      <c r="D2122" s="2" t="s">
        <v>2859</v>
      </c>
      <c r="E2122" s="4" t="str">
        <f>HYPERLINK("./Results/DLO\2943\Osteo_Sarco_1.png","RPT")</f>
        <v>RPT</v>
      </c>
      <c r="F2122" s="2" t="s">
        <v>467</v>
      </c>
      <c r="G2122" s="6"/>
      <c r="I2122"/>
      <c r="J2122"/>
      <c r="K2122"/>
    </row>
    <row r="2123" spans="1:11" x14ac:dyDescent="0.3">
      <c r="A2123" s="2" t="s">
        <v>1509</v>
      </c>
      <c r="B2123" s="2" t="s">
        <v>140</v>
      </c>
      <c r="C2123" s="2" t="s">
        <v>119</v>
      </c>
      <c r="D2123" s="2" t="s">
        <v>2859</v>
      </c>
      <c r="E2123" s="4" t="str">
        <f>HYPERLINK("./Results/DLO\2944\Osteo_Sarco_1.png","RPT")</f>
        <v>RPT</v>
      </c>
      <c r="F2123" s="2" t="s">
        <v>87</v>
      </c>
      <c r="G2123" s="6"/>
      <c r="I2123"/>
      <c r="J2123"/>
      <c r="K2123"/>
    </row>
    <row r="2124" spans="1:11" x14ac:dyDescent="0.3">
      <c r="A2124" s="2" t="s">
        <v>1503</v>
      </c>
      <c r="B2124" s="2" t="s">
        <v>120</v>
      </c>
      <c r="C2124" s="2" t="s">
        <v>111</v>
      </c>
      <c r="D2124" s="2" t="s">
        <v>2867</v>
      </c>
      <c r="E2124" s="4" t="str">
        <f>HYPERLINK("./Results/DLO\2945\Osteo_Sarco_1.png","RPT")</f>
        <v>RPT</v>
      </c>
      <c r="F2124" s="2" t="s">
        <v>68</v>
      </c>
      <c r="G2124" s="6"/>
      <c r="I2124"/>
      <c r="J2124"/>
      <c r="K2124"/>
    </row>
    <row r="2125" spans="1:11" x14ac:dyDescent="0.3">
      <c r="A2125" s="2" t="s">
        <v>1504</v>
      </c>
      <c r="B2125" s="2" t="s">
        <v>127</v>
      </c>
      <c r="C2125" s="2" t="s">
        <v>111</v>
      </c>
      <c r="D2125" s="2" t="s">
        <v>2859</v>
      </c>
      <c r="E2125" s="4" t="str">
        <f>HYPERLINK("./Results/DLO\2947\Osteo_Sarco_1.png","RPT")</f>
        <v>RPT</v>
      </c>
      <c r="F2125" s="2" t="s">
        <v>3</v>
      </c>
      <c r="G2125" s="6"/>
      <c r="I2125"/>
      <c r="J2125"/>
      <c r="K2125"/>
    </row>
    <row r="2126" spans="1:11" x14ac:dyDescent="0.3">
      <c r="A2126" s="2" t="s">
        <v>1513</v>
      </c>
      <c r="B2126" s="2" t="s">
        <v>140</v>
      </c>
      <c r="C2126" s="2" t="s">
        <v>119</v>
      </c>
      <c r="D2126" s="2" t="s">
        <v>2859</v>
      </c>
      <c r="E2126" s="4" t="str">
        <f>HYPERLINK("./Results/DLO\2948\Osteo_Sarco_1.png","RPT")</f>
        <v>RPT</v>
      </c>
      <c r="F2126" s="2" t="s">
        <v>48</v>
      </c>
      <c r="G2126" s="6"/>
      <c r="I2126"/>
      <c r="J2126"/>
      <c r="K2126"/>
    </row>
    <row r="2127" spans="1:11" x14ac:dyDescent="0.3">
      <c r="A2127" s="2" t="s">
        <v>1515</v>
      </c>
      <c r="B2127" s="2" t="s">
        <v>137</v>
      </c>
      <c r="C2127" s="2" t="s">
        <v>111</v>
      </c>
      <c r="D2127" s="2" t="s">
        <v>2859</v>
      </c>
      <c r="E2127" s="4" t="str">
        <f>HYPERLINK("./Results/DLO\2949\Osteo_Sarco_1.png","RPT")</f>
        <v>RPT</v>
      </c>
      <c r="F2127" s="2" t="s">
        <v>104</v>
      </c>
      <c r="G2127" s="6"/>
      <c r="H2127" s="1">
        <v>32.29</v>
      </c>
    </row>
    <row r="2128" spans="1:11" x14ac:dyDescent="0.3">
      <c r="A2128" s="2" t="s">
        <v>1518</v>
      </c>
      <c r="B2128" s="2" t="s">
        <v>142</v>
      </c>
      <c r="C2128" s="2" t="s">
        <v>119</v>
      </c>
      <c r="D2128" s="2" t="s">
        <v>2867</v>
      </c>
      <c r="E2128" s="4" t="str">
        <f>HYPERLINK("./Results/DLO\295\Osteo_Sarco_1.png","RPT")</f>
        <v>RPT</v>
      </c>
      <c r="F2128" s="2" t="s">
        <v>31</v>
      </c>
      <c r="G2128" s="6"/>
      <c r="I2128"/>
      <c r="J2128"/>
      <c r="K2128"/>
    </row>
    <row r="2129" spans="1:11" x14ac:dyDescent="0.3">
      <c r="A2129" s="2" t="s">
        <v>1519</v>
      </c>
      <c r="B2129" s="2" t="s">
        <v>125</v>
      </c>
      <c r="C2129" s="2" t="s">
        <v>111</v>
      </c>
      <c r="D2129" s="2" t="s">
        <v>2867</v>
      </c>
      <c r="E2129" s="4" t="str">
        <f>HYPERLINK("./Results/DLO\2950\Osteo_Sarco_1.png","RPT")</f>
        <v>RPT</v>
      </c>
      <c r="F2129" s="2" t="s">
        <v>459</v>
      </c>
      <c r="G2129" s="6"/>
      <c r="I2129"/>
      <c r="J2129"/>
      <c r="K2129"/>
    </row>
    <row r="2130" spans="1:11" x14ac:dyDescent="0.3">
      <c r="A2130" s="2" t="s">
        <v>1521</v>
      </c>
      <c r="B2130" s="2" t="s">
        <v>131</v>
      </c>
      <c r="C2130" s="2" t="s">
        <v>111</v>
      </c>
      <c r="D2130" s="2" t="s">
        <v>2859</v>
      </c>
      <c r="E2130" s="4" t="str">
        <f>HYPERLINK("./Results/DLO\2951\Osteo_Sarco_1.png","RPT")</f>
        <v>RPT</v>
      </c>
      <c r="F2130" s="2" t="s">
        <v>5</v>
      </c>
      <c r="G2130" s="6"/>
      <c r="I2130"/>
      <c r="J2130"/>
      <c r="K2130"/>
    </row>
    <row r="2131" spans="1:11" x14ac:dyDescent="0.3">
      <c r="A2131" s="2" t="s">
        <v>1522</v>
      </c>
      <c r="B2131" s="2" t="s">
        <v>140</v>
      </c>
      <c r="C2131" s="2" t="s">
        <v>111</v>
      </c>
      <c r="D2131" s="2" t="s">
        <v>2131</v>
      </c>
      <c r="E2131" s="4" t="str">
        <f>HYPERLINK("./Results/DLO\2953\Osteo_Sarco_1.png","RPT")</f>
        <v>RPT</v>
      </c>
      <c r="F2131" s="2" t="s">
        <v>62</v>
      </c>
      <c r="G2131" s="6"/>
      <c r="I2131"/>
      <c r="J2131"/>
      <c r="K2131"/>
    </row>
    <row r="2132" spans="1:11" x14ac:dyDescent="0.3">
      <c r="A2132" s="2" t="s">
        <v>1520</v>
      </c>
      <c r="B2132" s="2" t="s">
        <v>163</v>
      </c>
      <c r="C2132" s="2" t="s">
        <v>119</v>
      </c>
      <c r="D2132" s="2" t="s">
        <v>2859</v>
      </c>
      <c r="E2132" s="4" t="str">
        <f>HYPERLINK("./Results/DLO\2954\Osteo_Sarco_1.png","RPT")</f>
        <v>RPT</v>
      </c>
      <c r="F2132" s="2" t="s">
        <v>32</v>
      </c>
      <c r="G2132" s="6"/>
      <c r="I2132"/>
      <c r="J2132"/>
      <c r="K2132"/>
    </row>
    <row r="2133" spans="1:11" x14ac:dyDescent="0.3">
      <c r="A2133" s="2" t="s">
        <v>1525</v>
      </c>
      <c r="B2133" s="2" t="s">
        <v>129</v>
      </c>
      <c r="C2133" s="2" t="s">
        <v>111</v>
      </c>
      <c r="D2133" s="2" t="s">
        <v>2859</v>
      </c>
      <c r="E2133" s="4" t="str">
        <f>HYPERLINK("./Results/DLO\2955\Osteo_Sarco_1.png","RPT")</f>
        <v>RPT</v>
      </c>
      <c r="F2133" s="2" t="s">
        <v>450</v>
      </c>
      <c r="G2133" s="6"/>
      <c r="H2133" s="1">
        <v>21.83</v>
      </c>
    </row>
    <row r="2134" spans="1:11" x14ac:dyDescent="0.3">
      <c r="A2134" s="2" t="s">
        <v>1536</v>
      </c>
      <c r="B2134" s="2" t="s">
        <v>129</v>
      </c>
      <c r="C2134" s="2" t="s">
        <v>119</v>
      </c>
      <c r="D2134" s="2" t="s">
        <v>2867</v>
      </c>
      <c r="E2134" s="4" t="str">
        <f>HYPERLINK("./Results/DLO\2956\Osteo_Sarco_1.png","RPT")</f>
        <v>RPT</v>
      </c>
      <c r="F2134" s="2" t="s">
        <v>28</v>
      </c>
      <c r="G2134" s="6"/>
      <c r="I2134"/>
      <c r="J2134"/>
      <c r="K2134"/>
    </row>
    <row r="2135" spans="1:11" x14ac:dyDescent="0.3">
      <c r="A2135" s="2" t="s">
        <v>1538</v>
      </c>
      <c r="B2135" s="2" t="s">
        <v>133</v>
      </c>
      <c r="C2135" s="2" t="s">
        <v>111</v>
      </c>
      <c r="D2135" s="2" t="s">
        <v>2859</v>
      </c>
      <c r="E2135" s="4" t="str">
        <f>HYPERLINK("./Results/DLO\2957\Osteo_Sarco_1.png","RPT")</f>
        <v>RPT</v>
      </c>
      <c r="F2135" s="2" t="s">
        <v>97</v>
      </c>
      <c r="G2135" s="6"/>
      <c r="I2135"/>
      <c r="J2135"/>
      <c r="K2135"/>
    </row>
    <row r="2136" spans="1:11" x14ac:dyDescent="0.3">
      <c r="A2136" s="2" t="s">
        <v>1530</v>
      </c>
      <c r="B2136" s="2" t="s">
        <v>167</v>
      </c>
      <c r="C2136" s="2" t="s">
        <v>111</v>
      </c>
      <c r="D2136" s="2" t="s">
        <v>2867</v>
      </c>
      <c r="E2136" s="4" t="str">
        <f>HYPERLINK("./Results/DLO\2958\Osteo_Sarco_1.png","RPT")</f>
        <v>RPT</v>
      </c>
      <c r="F2136" s="2" t="s">
        <v>20</v>
      </c>
      <c r="G2136" s="6"/>
      <c r="H2136" s="1">
        <v>23.05</v>
      </c>
    </row>
    <row r="2137" spans="1:11" x14ac:dyDescent="0.3">
      <c r="A2137" s="2" t="s">
        <v>1523</v>
      </c>
      <c r="B2137" s="2" t="s">
        <v>170</v>
      </c>
      <c r="C2137" s="2" t="s">
        <v>119</v>
      </c>
      <c r="D2137" s="2" t="s">
        <v>2859</v>
      </c>
      <c r="E2137" s="4" t="str">
        <f>HYPERLINK("./Results/DLO\2959\Osteo_Sarco_1.png","RPT")</f>
        <v>RPT</v>
      </c>
      <c r="F2137" s="2" t="s">
        <v>28</v>
      </c>
      <c r="G2137" s="6"/>
      <c r="I2137"/>
      <c r="J2137"/>
      <c r="K2137"/>
    </row>
    <row r="2138" spans="1:11" x14ac:dyDescent="0.3">
      <c r="A2138" s="2" t="s">
        <v>1528</v>
      </c>
      <c r="B2138" s="2" t="s">
        <v>149</v>
      </c>
      <c r="C2138" s="2" t="s">
        <v>119</v>
      </c>
      <c r="D2138" s="2" t="s">
        <v>2859</v>
      </c>
      <c r="E2138" s="4" t="str">
        <f>HYPERLINK("./Results/DLO\296\Osteo_Sarco_1.png","RPT")</f>
        <v>RPT</v>
      </c>
      <c r="F2138" s="2" t="s">
        <v>81</v>
      </c>
      <c r="G2138" s="6"/>
      <c r="I2138"/>
      <c r="J2138"/>
      <c r="K2138"/>
    </row>
    <row r="2139" spans="1:11" x14ac:dyDescent="0.3">
      <c r="A2139" s="2" t="s">
        <v>1534</v>
      </c>
      <c r="B2139" s="2" t="s">
        <v>159</v>
      </c>
      <c r="C2139" s="2" t="s">
        <v>111</v>
      </c>
      <c r="D2139" s="2" t="s">
        <v>2859</v>
      </c>
      <c r="E2139" s="4" t="str">
        <f>HYPERLINK("./Results/DLO\2960\Osteo_Sarco_1.png","RPT")</f>
        <v>RPT</v>
      </c>
      <c r="F2139" s="2" t="s">
        <v>82</v>
      </c>
      <c r="G2139" s="6"/>
      <c r="I2139"/>
      <c r="J2139"/>
      <c r="K2139"/>
    </row>
    <row r="2140" spans="1:11" x14ac:dyDescent="0.3">
      <c r="A2140" s="2" t="s">
        <v>1535</v>
      </c>
      <c r="B2140" s="2" t="s">
        <v>151</v>
      </c>
      <c r="C2140" s="2" t="s">
        <v>119</v>
      </c>
      <c r="D2140" s="2" t="s">
        <v>2867</v>
      </c>
      <c r="E2140" s="4" t="str">
        <f>HYPERLINK("./Results/DLO\2961\Osteo_Sarco_1.png","RPT")</f>
        <v>RPT</v>
      </c>
      <c r="F2140" s="2" t="s">
        <v>74</v>
      </c>
      <c r="G2140" s="6"/>
      <c r="H2140" s="1">
        <v>22.42</v>
      </c>
    </row>
    <row r="2141" spans="1:11" x14ac:dyDescent="0.3">
      <c r="A2141" s="2" t="s">
        <v>1537</v>
      </c>
      <c r="B2141" s="2" t="s">
        <v>139</v>
      </c>
      <c r="C2141" s="2" t="s">
        <v>111</v>
      </c>
      <c r="D2141" s="2" t="s">
        <v>2867</v>
      </c>
      <c r="E2141" s="4" t="str">
        <f>HYPERLINK("./Results/DLO\2962\Osteo_Sarco_1.png","RPT")</f>
        <v>RPT</v>
      </c>
      <c r="F2141" s="2" t="s">
        <v>473</v>
      </c>
      <c r="G2141" s="6"/>
      <c r="I2141"/>
      <c r="J2141"/>
      <c r="K2141"/>
    </row>
    <row r="2142" spans="1:11" x14ac:dyDescent="0.3">
      <c r="A2142" s="2" t="s">
        <v>1539</v>
      </c>
      <c r="B2142" s="2" t="s">
        <v>170</v>
      </c>
      <c r="C2142" s="2" t="s">
        <v>111</v>
      </c>
      <c r="D2142" s="2" t="s">
        <v>2859</v>
      </c>
      <c r="E2142" s="4" t="str">
        <f>HYPERLINK("./Results/DLO\2963\Osteo_Sarco_1.png","RPT")</f>
        <v>RPT</v>
      </c>
      <c r="F2142" s="2" t="s">
        <v>26</v>
      </c>
      <c r="G2142" s="6"/>
      <c r="I2142"/>
      <c r="J2142"/>
      <c r="K2142"/>
    </row>
    <row r="2143" spans="1:11" x14ac:dyDescent="0.3">
      <c r="A2143" s="2" t="s">
        <v>1527</v>
      </c>
      <c r="B2143" s="2" t="s">
        <v>131</v>
      </c>
      <c r="C2143" s="2" t="s">
        <v>111</v>
      </c>
      <c r="D2143" s="2" t="s">
        <v>2859</v>
      </c>
      <c r="E2143" s="4" t="str">
        <f>HYPERLINK("./Results/DLO\2964\Osteo_Sarco_1.png","RPT")</f>
        <v>RPT</v>
      </c>
      <c r="F2143" s="2" t="s">
        <v>110</v>
      </c>
      <c r="G2143" s="6"/>
      <c r="I2143"/>
      <c r="J2143"/>
      <c r="K2143"/>
    </row>
    <row r="2144" spans="1:11" x14ac:dyDescent="0.3">
      <c r="A2144" s="2" t="s">
        <v>1540</v>
      </c>
      <c r="B2144" s="2" t="s">
        <v>123</v>
      </c>
      <c r="C2144" s="2" t="s">
        <v>111</v>
      </c>
      <c r="D2144" s="2" t="s">
        <v>2859</v>
      </c>
      <c r="E2144" s="4" t="str">
        <f>HYPERLINK("./Results/DLO\2965\Osteo_Sarco_1.png","RPT")</f>
        <v>RPT</v>
      </c>
      <c r="F2144" s="2" t="s">
        <v>78</v>
      </c>
      <c r="G2144" s="6"/>
      <c r="I2144"/>
      <c r="J2144"/>
      <c r="K2144"/>
    </row>
    <row r="2145" spans="1:11" x14ac:dyDescent="0.3">
      <c r="A2145" s="2" t="s">
        <v>1524</v>
      </c>
      <c r="B2145" s="2" t="s">
        <v>148</v>
      </c>
      <c r="C2145" s="2" t="s">
        <v>119</v>
      </c>
      <c r="D2145" s="2" t="s">
        <v>2859</v>
      </c>
      <c r="E2145" s="4" t="str">
        <f>HYPERLINK("./Results/DLO\2966\Osteo_Sarco_1.png","RPT")</f>
        <v>RPT</v>
      </c>
      <c r="F2145" s="2" t="s">
        <v>105</v>
      </c>
      <c r="G2145" s="6"/>
      <c r="H2145" s="1">
        <v>31.19</v>
      </c>
    </row>
    <row r="2146" spans="1:11" x14ac:dyDescent="0.3">
      <c r="A2146" s="2" t="s">
        <v>1526</v>
      </c>
      <c r="B2146" s="2" t="s">
        <v>120</v>
      </c>
      <c r="C2146" s="2" t="s">
        <v>111</v>
      </c>
      <c r="D2146" s="2" t="s">
        <v>2859</v>
      </c>
      <c r="E2146" s="4" t="str">
        <f>HYPERLINK("./Results/DLO\2967\Osteo_Sarco_1.png","RPT")</f>
        <v>RPT</v>
      </c>
      <c r="F2146" s="2" t="s">
        <v>449</v>
      </c>
      <c r="G2146" s="6"/>
      <c r="I2146"/>
      <c r="J2146"/>
      <c r="K2146"/>
    </row>
    <row r="2147" spans="1:11" x14ac:dyDescent="0.3">
      <c r="A2147" s="2" t="s">
        <v>1529</v>
      </c>
      <c r="B2147" s="2" t="s">
        <v>590</v>
      </c>
      <c r="C2147" s="2" t="s">
        <v>119</v>
      </c>
      <c r="D2147" s="2" t="s">
        <v>2867</v>
      </c>
      <c r="E2147" s="4" t="str">
        <f>HYPERLINK("./Results/DLO\2968\Osteo_Sarco_1.png","RPT")</f>
        <v>RPT</v>
      </c>
      <c r="F2147" s="2" t="s">
        <v>456</v>
      </c>
      <c r="G2147" s="6"/>
      <c r="I2147"/>
      <c r="J2147"/>
      <c r="K2147"/>
    </row>
    <row r="2148" spans="1:11" x14ac:dyDescent="0.3">
      <c r="A2148" s="2" t="s">
        <v>1531</v>
      </c>
      <c r="B2148" s="2" t="s">
        <v>584</v>
      </c>
      <c r="C2148" s="2" t="s">
        <v>111</v>
      </c>
      <c r="D2148" s="2" t="s">
        <v>2859</v>
      </c>
      <c r="E2148" s="4" t="str">
        <f>HYPERLINK("./Results/DLO\2969\Osteo_Sarco_1.png","RPT")</f>
        <v>RPT</v>
      </c>
      <c r="F2148" s="2" t="s">
        <v>63</v>
      </c>
      <c r="G2148" s="6"/>
      <c r="I2148"/>
      <c r="J2148"/>
      <c r="K2148"/>
    </row>
    <row r="2149" spans="1:11" x14ac:dyDescent="0.3">
      <c r="A2149" s="2" t="s">
        <v>1532</v>
      </c>
      <c r="B2149" s="2" t="s">
        <v>120</v>
      </c>
      <c r="C2149" s="2" t="s">
        <v>111</v>
      </c>
      <c r="D2149" s="2" t="s">
        <v>2859</v>
      </c>
      <c r="E2149" s="4" t="str">
        <f>HYPERLINK("./Results/DLO\297\Osteo_Sarco_1.png","RPT")</f>
        <v>RPT</v>
      </c>
      <c r="F2149" s="2" t="s">
        <v>459</v>
      </c>
      <c r="G2149" s="6"/>
      <c r="I2149"/>
      <c r="J2149"/>
      <c r="K2149"/>
    </row>
    <row r="2150" spans="1:11" x14ac:dyDescent="0.3">
      <c r="A2150" s="2" t="s">
        <v>1533</v>
      </c>
      <c r="B2150" s="2" t="s">
        <v>162</v>
      </c>
      <c r="C2150" s="2" t="s">
        <v>111</v>
      </c>
      <c r="D2150" s="2" t="s">
        <v>2867</v>
      </c>
      <c r="E2150" s="4" t="str">
        <f>HYPERLINK("./Results/DLO\2970\Osteo_Sarco_1.png","RPT")</f>
        <v>RPT</v>
      </c>
      <c r="F2150" s="2" t="s">
        <v>96</v>
      </c>
      <c r="G2150" s="6"/>
      <c r="I2150"/>
      <c r="J2150"/>
      <c r="K2150"/>
    </row>
    <row r="2151" spans="1:11" x14ac:dyDescent="0.3">
      <c r="A2151" s="2" t="s">
        <v>1558</v>
      </c>
      <c r="B2151" s="2" t="s">
        <v>118</v>
      </c>
      <c r="C2151" s="2" t="s">
        <v>111</v>
      </c>
      <c r="D2151" s="2" t="s">
        <v>1957</v>
      </c>
      <c r="E2151" s="4" t="str">
        <f>HYPERLINK("./Results/DLO\2971\Osteo_Sarco_1.png","RPT")</f>
        <v>RPT</v>
      </c>
      <c r="F2151" s="2" t="s">
        <v>105</v>
      </c>
      <c r="G2151" s="6"/>
      <c r="I2151"/>
      <c r="J2151"/>
      <c r="K2151"/>
    </row>
    <row r="2152" spans="1:11" x14ac:dyDescent="0.3">
      <c r="A2152" s="2" t="s">
        <v>1545</v>
      </c>
      <c r="B2152" s="2" t="s">
        <v>118</v>
      </c>
      <c r="C2152" s="2" t="s">
        <v>119</v>
      </c>
      <c r="D2152" s="2" t="s">
        <v>2859</v>
      </c>
      <c r="E2152" s="4" t="str">
        <f>HYPERLINK("./Results/DLO\2972\Osteo_Sarco_1.png","RPT")</f>
        <v>RPT</v>
      </c>
      <c r="F2152" s="2" t="s">
        <v>38</v>
      </c>
      <c r="G2152" s="6"/>
      <c r="H2152" s="1">
        <v>28.72</v>
      </c>
    </row>
    <row r="2153" spans="1:11" x14ac:dyDescent="0.3">
      <c r="A2153" s="2" t="s">
        <v>1566</v>
      </c>
      <c r="B2153" s="2" t="s">
        <v>146</v>
      </c>
      <c r="C2153" s="2" t="s">
        <v>111</v>
      </c>
      <c r="D2153" s="2" t="s">
        <v>2859</v>
      </c>
      <c r="E2153" s="4" t="str">
        <f>HYPERLINK("./Results/DLO\2973\Osteo_Sarco_1.png","RPT")</f>
        <v>RPT</v>
      </c>
      <c r="F2153" s="2" t="s">
        <v>3</v>
      </c>
      <c r="G2153" s="6"/>
      <c r="I2153"/>
      <c r="J2153"/>
      <c r="K2153"/>
    </row>
    <row r="2154" spans="1:11" x14ac:dyDescent="0.3">
      <c r="A2154" s="2" t="s">
        <v>1564</v>
      </c>
      <c r="B2154" s="2" t="s">
        <v>143</v>
      </c>
      <c r="C2154" s="2" t="s">
        <v>119</v>
      </c>
      <c r="D2154" s="2" t="s">
        <v>2867</v>
      </c>
      <c r="E2154" s="4" t="str">
        <f>HYPERLINK("./Results/DLO\2975\Osteo_Sarco_1.png","RPT")</f>
        <v>RPT</v>
      </c>
      <c r="F2154" s="2" t="s">
        <v>69</v>
      </c>
      <c r="G2154" s="6"/>
      <c r="H2154" s="1">
        <v>26.58</v>
      </c>
    </row>
    <row r="2155" spans="1:11" x14ac:dyDescent="0.3">
      <c r="A2155" s="2" t="s">
        <v>1546</v>
      </c>
      <c r="B2155" s="2" t="s">
        <v>168</v>
      </c>
      <c r="C2155" s="2" t="s">
        <v>119</v>
      </c>
      <c r="D2155" s="2" t="s">
        <v>2859</v>
      </c>
      <c r="E2155" s="4" t="str">
        <f>HYPERLINK("./Results/DLO\2976\Osteo_Sarco_1.png","RPT")</f>
        <v>RPT</v>
      </c>
      <c r="F2155" s="2" t="s">
        <v>467</v>
      </c>
      <c r="G2155" s="6"/>
      <c r="I2155"/>
      <c r="J2155"/>
      <c r="K2155"/>
    </row>
    <row r="2156" spans="1:11" x14ac:dyDescent="0.3">
      <c r="A2156" s="2" t="s">
        <v>1565</v>
      </c>
      <c r="B2156" s="2" t="s">
        <v>141</v>
      </c>
      <c r="C2156" s="2" t="s">
        <v>111</v>
      </c>
      <c r="D2156" s="2" t="s">
        <v>2859</v>
      </c>
      <c r="E2156" s="4" t="str">
        <f>HYPERLINK("./Results/DLO\2977\Osteo_Sarco_1.png","RPT")</f>
        <v>RPT</v>
      </c>
      <c r="F2156" s="2" t="s">
        <v>593</v>
      </c>
      <c r="G2156" s="6"/>
      <c r="I2156"/>
      <c r="J2156"/>
      <c r="K2156"/>
    </row>
    <row r="2157" spans="1:11" x14ac:dyDescent="0.3">
      <c r="A2157" s="2" t="s">
        <v>1555</v>
      </c>
      <c r="B2157" s="2" t="s">
        <v>148</v>
      </c>
      <c r="C2157" s="2" t="s">
        <v>111</v>
      </c>
      <c r="D2157" s="2" t="s">
        <v>2859</v>
      </c>
      <c r="E2157" s="4" t="str">
        <f>HYPERLINK("./Results/DLO\2978\Osteo_Sarco_1.png","RPT")</f>
        <v>RPT</v>
      </c>
      <c r="F2157" s="2" t="s">
        <v>22</v>
      </c>
      <c r="G2157" s="6"/>
      <c r="I2157"/>
      <c r="J2157"/>
      <c r="K2157"/>
    </row>
    <row r="2158" spans="1:11" x14ac:dyDescent="0.3">
      <c r="A2158" s="2" t="s">
        <v>1560</v>
      </c>
      <c r="B2158" s="2" t="s">
        <v>167</v>
      </c>
      <c r="C2158" s="2" t="s">
        <v>111</v>
      </c>
      <c r="D2158" s="2" t="s">
        <v>2867</v>
      </c>
      <c r="E2158" s="4" t="str">
        <f>HYPERLINK("./Results/DLO\2979\Osteo_Sarco_1.png","RPT")</f>
        <v>RPT</v>
      </c>
      <c r="F2158" s="2" t="s">
        <v>78</v>
      </c>
      <c r="G2158" s="6"/>
      <c r="I2158"/>
      <c r="J2158"/>
      <c r="K2158"/>
    </row>
    <row r="2159" spans="1:11" x14ac:dyDescent="0.3">
      <c r="A2159" s="2" t="s">
        <v>1541</v>
      </c>
      <c r="B2159" s="2" t="s">
        <v>169</v>
      </c>
      <c r="C2159" s="2" t="s">
        <v>111</v>
      </c>
      <c r="D2159" s="2" t="s">
        <v>2859</v>
      </c>
      <c r="E2159" s="4" t="str">
        <f>HYPERLINK("./Results/DLO\298\Osteo_Sarco_1.png","RPT")</f>
        <v>RPT</v>
      </c>
      <c r="F2159" s="2" t="s">
        <v>88</v>
      </c>
      <c r="G2159" s="6"/>
      <c r="I2159"/>
      <c r="J2159"/>
      <c r="K2159"/>
    </row>
    <row r="2160" spans="1:11" x14ac:dyDescent="0.3">
      <c r="A2160" s="2" t="s">
        <v>1543</v>
      </c>
      <c r="B2160" s="2" t="s">
        <v>151</v>
      </c>
      <c r="C2160" s="2" t="s">
        <v>119</v>
      </c>
      <c r="D2160" s="2" t="s">
        <v>2859</v>
      </c>
      <c r="E2160" s="4" t="str">
        <f>HYPERLINK("./Results/DLO\2980\Osteo_Sarco_1.png","RPT")</f>
        <v>RPT</v>
      </c>
      <c r="F2160" s="2" t="s">
        <v>581</v>
      </c>
      <c r="G2160" s="6"/>
      <c r="I2160"/>
      <c r="J2160"/>
      <c r="K2160"/>
    </row>
    <row r="2161" spans="1:11" x14ac:dyDescent="0.3">
      <c r="A2161" s="2" t="s">
        <v>1544</v>
      </c>
      <c r="B2161" s="2" t="s">
        <v>128</v>
      </c>
      <c r="C2161" s="2" t="s">
        <v>119</v>
      </c>
      <c r="D2161" s="2" t="s">
        <v>2859</v>
      </c>
      <c r="E2161" s="4" t="str">
        <f>HYPERLINK("./Results/DLO\2981\Osteo_Sarco_1.png","RPT")</f>
        <v>RPT</v>
      </c>
      <c r="F2161" s="2" t="s">
        <v>28</v>
      </c>
      <c r="G2161" s="6"/>
      <c r="H2161" s="1">
        <v>24.36</v>
      </c>
    </row>
    <row r="2162" spans="1:11" x14ac:dyDescent="0.3">
      <c r="A2162" s="2" t="s">
        <v>1547</v>
      </c>
      <c r="B2162" s="2" t="s">
        <v>140</v>
      </c>
      <c r="C2162" s="2" t="s">
        <v>111</v>
      </c>
      <c r="D2162" s="2" t="s">
        <v>2867</v>
      </c>
      <c r="E2162" s="4" t="str">
        <f>HYPERLINK("./Results/DLO\2982\Osteo_Sarco_1.png","RPT")</f>
        <v>RPT</v>
      </c>
      <c r="F2162" s="2" t="s">
        <v>25</v>
      </c>
      <c r="G2162" s="6"/>
      <c r="I2162"/>
      <c r="J2162"/>
      <c r="K2162"/>
    </row>
    <row r="2163" spans="1:11" x14ac:dyDescent="0.3">
      <c r="A2163" s="2" t="s">
        <v>1549</v>
      </c>
      <c r="B2163" s="2" t="s">
        <v>116</v>
      </c>
      <c r="C2163" s="2" t="s">
        <v>119</v>
      </c>
      <c r="D2163" s="2" t="s">
        <v>2867</v>
      </c>
      <c r="E2163" s="4" t="str">
        <f>HYPERLINK("./Results/DLO\2983\Osteo_Sarco_1.png","RPT")</f>
        <v>RPT</v>
      </c>
      <c r="F2163" s="2" t="s">
        <v>70</v>
      </c>
      <c r="G2163" s="6"/>
      <c r="H2163" s="1">
        <v>22.66</v>
      </c>
    </row>
    <row r="2164" spans="1:11" x14ac:dyDescent="0.3">
      <c r="A2164" s="2" t="s">
        <v>1550</v>
      </c>
      <c r="B2164" s="2" t="s">
        <v>123</v>
      </c>
      <c r="C2164" s="2" t="s">
        <v>111</v>
      </c>
      <c r="D2164" s="2" t="s">
        <v>2859</v>
      </c>
      <c r="E2164" s="4" t="str">
        <f>HYPERLINK("./Results/DLO\2984\Osteo_Sarco_1.png","RPT")</f>
        <v>RPT</v>
      </c>
      <c r="F2164" s="2" t="s">
        <v>44</v>
      </c>
      <c r="G2164" s="6"/>
      <c r="I2164"/>
      <c r="J2164"/>
      <c r="K2164"/>
    </row>
    <row r="2165" spans="1:11" x14ac:dyDescent="0.3">
      <c r="A2165" s="2" t="s">
        <v>1556</v>
      </c>
      <c r="B2165" s="2" t="s">
        <v>114</v>
      </c>
      <c r="C2165" s="2" t="s">
        <v>119</v>
      </c>
      <c r="D2165" s="2" t="s">
        <v>2867</v>
      </c>
      <c r="E2165" s="4" t="str">
        <f>HYPERLINK("./Results/DLO\2985\Osteo_Sarco_1.png","RPT")</f>
        <v>RPT</v>
      </c>
      <c r="F2165" s="2" t="s">
        <v>121</v>
      </c>
      <c r="G2165" s="6"/>
      <c r="I2165"/>
      <c r="J2165"/>
      <c r="K2165"/>
    </row>
    <row r="2166" spans="1:11" x14ac:dyDescent="0.3">
      <c r="A2166" s="2" t="s">
        <v>1559</v>
      </c>
      <c r="B2166" s="2" t="s">
        <v>128</v>
      </c>
      <c r="C2166" s="2" t="s">
        <v>119</v>
      </c>
      <c r="D2166" s="2" t="s">
        <v>2867</v>
      </c>
      <c r="E2166" s="4" t="str">
        <f>HYPERLINK("./Results/DLO\2986\Osteo_Sarco_1.png","RPT")</f>
        <v>RPT</v>
      </c>
      <c r="F2166" s="2" t="s">
        <v>72</v>
      </c>
      <c r="G2166" s="6"/>
      <c r="I2166"/>
      <c r="J2166"/>
      <c r="K2166"/>
    </row>
    <row r="2167" spans="1:11" x14ac:dyDescent="0.3">
      <c r="A2167" s="2" t="s">
        <v>1562</v>
      </c>
      <c r="B2167" s="2" t="s">
        <v>573</v>
      </c>
      <c r="C2167" s="2" t="s">
        <v>119</v>
      </c>
      <c r="D2167" s="2" t="s">
        <v>2867</v>
      </c>
      <c r="E2167" s="4" t="str">
        <f>HYPERLINK("./Results/DLO\2987\Osteo_Sarco_1.png","RPT")</f>
        <v>RPT</v>
      </c>
      <c r="F2167" s="2" t="s">
        <v>25</v>
      </c>
      <c r="G2167" s="6"/>
      <c r="I2167"/>
      <c r="J2167"/>
      <c r="K2167"/>
    </row>
    <row r="2168" spans="1:11" x14ac:dyDescent="0.3">
      <c r="A2168" s="2" t="s">
        <v>1548</v>
      </c>
      <c r="B2168" s="2" t="s">
        <v>148</v>
      </c>
      <c r="C2168" s="2" t="s">
        <v>111</v>
      </c>
      <c r="D2168" s="2" t="s">
        <v>2867</v>
      </c>
      <c r="E2168" s="4" t="str">
        <f>HYPERLINK("./Results/DLO\2988\Osteo_Sarco_1.png","RPT")</f>
        <v>RPT</v>
      </c>
      <c r="F2168" s="2" t="s">
        <v>47</v>
      </c>
      <c r="G2168" s="6"/>
      <c r="H2168" s="1">
        <v>20.440000000000001</v>
      </c>
    </row>
    <row r="2169" spans="1:11" x14ac:dyDescent="0.3">
      <c r="A2169" s="2" t="s">
        <v>1551</v>
      </c>
      <c r="B2169" s="2" t="s">
        <v>138</v>
      </c>
      <c r="C2169" s="2" t="s">
        <v>111</v>
      </c>
      <c r="D2169" s="2" t="s">
        <v>2867</v>
      </c>
      <c r="E2169" s="4" t="str">
        <f>HYPERLINK("./Results/DLO\2989\Osteo_Sarco_1.png","RPT")</f>
        <v>RPT</v>
      </c>
      <c r="F2169" s="2" t="s">
        <v>1</v>
      </c>
      <c r="G2169" s="6"/>
      <c r="I2169"/>
      <c r="J2169"/>
      <c r="K2169"/>
    </row>
    <row r="2170" spans="1:11" x14ac:dyDescent="0.3">
      <c r="A2170" s="2" t="s">
        <v>1552</v>
      </c>
      <c r="B2170" s="2" t="s">
        <v>114</v>
      </c>
      <c r="C2170" s="2" t="s">
        <v>111</v>
      </c>
      <c r="D2170" s="2" t="s">
        <v>2867</v>
      </c>
      <c r="E2170" s="4" t="str">
        <f>HYPERLINK("./Results/DLO\299\Osteo_Sarco_1.png","RPT")</f>
        <v>RPT</v>
      </c>
      <c r="F2170" s="2" t="s">
        <v>63</v>
      </c>
      <c r="G2170" s="6"/>
      <c r="I2170"/>
      <c r="J2170"/>
      <c r="K2170"/>
    </row>
    <row r="2171" spans="1:11" x14ac:dyDescent="0.3">
      <c r="A2171" s="2" t="s">
        <v>1553</v>
      </c>
      <c r="B2171" s="2" t="s">
        <v>149</v>
      </c>
      <c r="C2171" s="2" t="s">
        <v>119</v>
      </c>
      <c r="D2171" s="2" t="s">
        <v>2859</v>
      </c>
      <c r="E2171" s="4" t="str">
        <f>HYPERLINK("./Results/DLO\2990\Osteo_Sarco_1.png","RPT")</f>
        <v>RPT</v>
      </c>
      <c r="F2171" s="2" t="s">
        <v>36</v>
      </c>
      <c r="G2171" s="6"/>
      <c r="I2171"/>
      <c r="J2171"/>
      <c r="K2171"/>
    </row>
    <row r="2172" spans="1:11" x14ac:dyDescent="0.3">
      <c r="A2172" s="2" t="s">
        <v>1554</v>
      </c>
      <c r="B2172" s="2" t="s">
        <v>131</v>
      </c>
      <c r="C2172" s="2" t="s">
        <v>111</v>
      </c>
      <c r="D2172" s="2" t="s">
        <v>2859</v>
      </c>
      <c r="E2172" s="4" t="str">
        <f>HYPERLINK("./Results/DLO\2991\Osteo_Sarco_1.png","RPT")</f>
        <v>RPT</v>
      </c>
      <c r="F2172" s="2" t="s">
        <v>448</v>
      </c>
      <c r="G2172" s="6"/>
      <c r="I2172"/>
      <c r="J2172"/>
      <c r="K2172"/>
    </row>
    <row r="2173" spans="1:11" x14ac:dyDescent="0.3">
      <c r="A2173" s="2" t="s">
        <v>1557</v>
      </c>
      <c r="B2173" s="2" t="s">
        <v>142</v>
      </c>
      <c r="C2173" s="2" t="s">
        <v>111</v>
      </c>
      <c r="D2173" s="2" t="s">
        <v>2859</v>
      </c>
      <c r="E2173" s="4" t="str">
        <f>HYPERLINK("./Results/DLO\2993\Osteo_Sarco_1.png","RPT")</f>
        <v>RPT</v>
      </c>
      <c r="F2173" s="2" t="s">
        <v>90</v>
      </c>
      <c r="G2173" s="6"/>
      <c r="I2173"/>
      <c r="J2173"/>
      <c r="K2173"/>
    </row>
    <row r="2174" spans="1:11" x14ac:dyDescent="0.3">
      <c r="A2174" s="2" t="s">
        <v>1561</v>
      </c>
      <c r="B2174" s="2" t="s">
        <v>120</v>
      </c>
      <c r="C2174" s="2" t="s">
        <v>119</v>
      </c>
      <c r="D2174" s="2" t="s">
        <v>2859</v>
      </c>
      <c r="E2174" s="4" t="str">
        <f>HYPERLINK("./Results/DLO\2994\Osteo_Sarco_1.png","RPT")</f>
        <v>RPT</v>
      </c>
      <c r="F2174" s="2" t="s">
        <v>575</v>
      </c>
      <c r="G2174" s="6"/>
      <c r="I2174"/>
      <c r="J2174"/>
      <c r="K2174"/>
    </row>
    <row r="2175" spans="1:11" x14ac:dyDescent="0.3">
      <c r="A2175" s="2" t="s">
        <v>1563</v>
      </c>
      <c r="B2175" s="2" t="s">
        <v>122</v>
      </c>
      <c r="C2175" s="2" t="s">
        <v>111</v>
      </c>
      <c r="D2175" s="2" t="s">
        <v>2859</v>
      </c>
      <c r="E2175" s="4" t="str">
        <f>HYPERLINK("./Results/DLO\2995\Osteo_Sarco_1.png","RPT")</f>
        <v>RPT</v>
      </c>
      <c r="F2175" s="2" t="s">
        <v>71</v>
      </c>
      <c r="G2175" s="6"/>
      <c r="I2175"/>
      <c r="J2175"/>
      <c r="K2175"/>
    </row>
    <row r="2176" spans="1:11" x14ac:dyDescent="0.3">
      <c r="A2176" s="2" t="s">
        <v>1542</v>
      </c>
      <c r="B2176" s="2" t="s">
        <v>587</v>
      </c>
      <c r="C2176" s="2" t="s">
        <v>111</v>
      </c>
      <c r="D2176" s="2" t="s">
        <v>2859</v>
      </c>
      <c r="E2176" s="4" t="str">
        <f>HYPERLINK("./Results/DLO\2996\Osteo_Sarco_1.png","RPT")</f>
        <v>RPT</v>
      </c>
      <c r="F2176" s="2" t="s">
        <v>49</v>
      </c>
      <c r="G2176" s="6"/>
      <c r="I2176"/>
      <c r="J2176"/>
      <c r="K2176"/>
    </row>
    <row r="2177" spans="1:11" x14ac:dyDescent="0.3">
      <c r="A2177" s="2" t="s">
        <v>1573</v>
      </c>
      <c r="B2177" s="2" t="s">
        <v>138</v>
      </c>
      <c r="C2177" s="2" t="s">
        <v>111</v>
      </c>
      <c r="D2177" s="2" t="s">
        <v>2859</v>
      </c>
      <c r="E2177" s="4" t="str">
        <f>HYPERLINK("./Results/DLO\2997\Osteo_Sarco_1.png","RPT")</f>
        <v>RPT</v>
      </c>
      <c r="F2177" s="2" t="s">
        <v>22</v>
      </c>
      <c r="G2177" s="6"/>
      <c r="I2177"/>
      <c r="J2177"/>
      <c r="K2177"/>
    </row>
    <row r="2178" spans="1:11" x14ac:dyDescent="0.3">
      <c r="A2178" s="2" t="s">
        <v>1568</v>
      </c>
      <c r="B2178" s="2" t="s">
        <v>127</v>
      </c>
      <c r="C2178" s="2" t="s">
        <v>111</v>
      </c>
      <c r="D2178" s="2" t="s">
        <v>2859</v>
      </c>
      <c r="E2178" s="4" t="str">
        <f>HYPERLINK("./Results/DLO\2998\Osteo_Sarco_1.png","RPT")</f>
        <v>RPT</v>
      </c>
      <c r="F2178" s="2" t="s">
        <v>104</v>
      </c>
      <c r="G2178" s="6"/>
      <c r="H2178" s="1">
        <v>23.51</v>
      </c>
    </row>
    <row r="2179" spans="1:11" x14ac:dyDescent="0.3">
      <c r="A2179" s="2" t="s">
        <v>1585</v>
      </c>
      <c r="B2179" s="2" t="s">
        <v>144</v>
      </c>
      <c r="C2179" s="2" t="s">
        <v>119</v>
      </c>
      <c r="D2179" s="2" t="s">
        <v>2859</v>
      </c>
      <c r="E2179" s="4" t="str">
        <f>HYPERLINK("./Results/DLO\2999\Osteo_Sarco_1.png","RPT")</f>
        <v>RPT</v>
      </c>
      <c r="F2179" s="2" t="s">
        <v>464</v>
      </c>
      <c r="G2179" s="6"/>
      <c r="I2179"/>
      <c r="J2179"/>
      <c r="K2179"/>
    </row>
    <row r="2180" spans="1:11" x14ac:dyDescent="0.3">
      <c r="A2180" s="2" t="s">
        <v>1571</v>
      </c>
      <c r="B2180" s="2" t="s">
        <v>133</v>
      </c>
      <c r="C2180" s="2" t="s">
        <v>111</v>
      </c>
      <c r="D2180" s="2" t="s">
        <v>2867</v>
      </c>
      <c r="E2180" s="4" t="str">
        <f>HYPERLINK("./Results/DLO\3\Osteo_Sarco_1.png","RPT")</f>
        <v>RPT</v>
      </c>
      <c r="F2180" s="2" t="s">
        <v>76</v>
      </c>
      <c r="G2180" s="6"/>
      <c r="I2180"/>
      <c r="J2180"/>
      <c r="K2180"/>
    </row>
    <row r="2181" spans="1:11" x14ac:dyDescent="0.3">
      <c r="A2181" s="2" t="s">
        <v>1579</v>
      </c>
      <c r="B2181" s="2" t="s">
        <v>137</v>
      </c>
      <c r="C2181" s="2" t="s">
        <v>119</v>
      </c>
      <c r="D2181" s="2" t="s">
        <v>2859</v>
      </c>
      <c r="E2181" s="4" t="str">
        <f>HYPERLINK("./Results/DLO\30\Osteo_Sarco_1.png","RPT")</f>
        <v>RPT</v>
      </c>
      <c r="F2181" s="2" t="s">
        <v>72</v>
      </c>
      <c r="G2181" s="6"/>
      <c r="I2181"/>
      <c r="J2181"/>
      <c r="K2181"/>
    </row>
    <row r="2182" spans="1:11" x14ac:dyDescent="0.3">
      <c r="A2182" s="2" t="s">
        <v>1581</v>
      </c>
      <c r="B2182" s="2" t="s">
        <v>150</v>
      </c>
      <c r="C2182" s="2" t="s">
        <v>111</v>
      </c>
      <c r="D2182" s="2" t="s">
        <v>2859</v>
      </c>
      <c r="E2182" s="4" t="str">
        <f>HYPERLINK("./Results/DLO\300\Osteo_Sarco_1.png","RPT")</f>
        <v>RPT</v>
      </c>
      <c r="F2182" s="2" t="s">
        <v>34</v>
      </c>
      <c r="G2182" s="6"/>
      <c r="H2182" s="1">
        <v>22.66</v>
      </c>
    </row>
    <row r="2183" spans="1:11" x14ac:dyDescent="0.3">
      <c r="A2183" s="2" t="s">
        <v>1588</v>
      </c>
      <c r="B2183" s="2" t="s">
        <v>140</v>
      </c>
      <c r="C2183" s="2" t="s">
        <v>111</v>
      </c>
      <c r="D2183" s="2" t="s">
        <v>2859</v>
      </c>
      <c r="E2183" s="4" t="str">
        <f>HYPERLINK("./Results/DLO\3000\Osteo_Sarco_1.png","RPT")</f>
        <v>RPT</v>
      </c>
      <c r="F2183" s="2" t="s">
        <v>455</v>
      </c>
      <c r="G2183" s="6"/>
      <c r="I2183"/>
      <c r="J2183"/>
      <c r="K2183"/>
    </row>
    <row r="2184" spans="1:11" x14ac:dyDescent="0.3">
      <c r="A2184" s="2" t="s">
        <v>1586</v>
      </c>
      <c r="B2184" s="2" t="s">
        <v>139</v>
      </c>
      <c r="C2184" s="2" t="s">
        <v>119</v>
      </c>
      <c r="D2184" s="2" t="s">
        <v>2859</v>
      </c>
      <c r="E2184" s="4" t="str">
        <f>HYPERLINK("./Results/DLO\3001\Osteo_Sarco_1.png","RPT")</f>
        <v>RPT</v>
      </c>
      <c r="F2184" s="2" t="s">
        <v>51</v>
      </c>
      <c r="G2184" s="6"/>
      <c r="I2184"/>
      <c r="J2184"/>
      <c r="K2184"/>
    </row>
    <row r="2185" spans="1:11" x14ac:dyDescent="0.3">
      <c r="A2185" s="2" t="s">
        <v>1572</v>
      </c>
      <c r="B2185" s="2" t="s">
        <v>116</v>
      </c>
      <c r="C2185" s="2" t="s">
        <v>119</v>
      </c>
      <c r="D2185" s="2" t="s">
        <v>2867</v>
      </c>
      <c r="E2185" s="4" t="str">
        <f>HYPERLINK("./Results/DLO\3002\Osteo_Sarco_1.png","RPT")</f>
        <v>RPT</v>
      </c>
      <c r="F2185" s="2" t="s">
        <v>50</v>
      </c>
      <c r="G2185" s="6"/>
      <c r="I2185"/>
      <c r="J2185"/>
      <c r="K2185"/>
    </row>
    <row r="2186" spans="1:11" x14ac:dyDescent="0.3">
      <c r="A2186" s="2" t="s">
        <v>1580</v>
      </c>
      <c r="B2186" s="2" t="s">
        <v>152</v>
      </c>
      <c r="C2186" s="2" t="s">
        <v>111</v>
      </c>
      <c r="D2186" s="2" t="s">
        <v>2859</v>
      </c>
      <c r="E2186" s="4" t="str">
        <f>HYPERLINK("./Results/DLO\3003\Osteo_Sarco_1.png","RPT")</f>
        <v>RPT</v>
      </c>
      <c r="F2186" s="2" t="s">
        <v>91</v>
      </c>
      <c r="G2186" s="6"/>
      <c r="I2186"/>
      <c r="J2186"/>
      <c r="K2186"/>
    </row>
    <row r="2187" spans="1:11" x14ac:dyDescent="0.3">
      <c r="A2187" s="2" t="s">
        <v>1574</v>
      </c>
      <c r="B2187" s="2" t="s">
        <v>120</v>
      </c>
      <c r="C2187" s="2" t="s">
        <v>111</v>
      </c>
      <c r="D2187" s="2" t="s">
        <v>2867</v>
      </c>
      <c r="E2187" s="4" t="str">
        <f>HYPERLINK("./Results/DLO\3004\Osteo_Sarco_1.png","RPT")</f>
        <v>RPT</v>
      </c>
      <c r="F2187" s="2" t="s">
        <v>475</v>
      </c>
      <c r="G2187" s="6"/>
      <c r="I2187"/>
      <c r="J2187"/>
      <c r="K2187"/>
    </row>
    <row r="2188" spans="1:11" x14ac:dyDescent="0.3">
      <c r="A2188" s="2" t="s">
        <v>1583</v>
      </c>
      <c r="B2188" s="2" t="s">
        <v>114</v>
      </c>
      <c r="C2188" s="2" t="s">
        <v>111</v>
      </c>
      <c r="D2188" s="2" t="s">
        <v>2867</v>
      </c>
      <c r="E2188" s="4" t="str">
        <f>HYPERLINK("./Results/DLO\3005\Osteo_Sarco_1.png","RPT")</f>
        <v>RPT</v>
      </c>
      <c r="F2188" s="2" t="s">
        <v>106</v>
      </c>
      <c r="G2188" s="6"/>
      <c r="I2188"/>
      <c r="J2188"/>
      <c r="K2188"/>
    </row>
    <row r="2189" spans="1:11" x14ac:dyDescent="0.3">
      <c r="A2189" s="2" t="s">
        <v>1575</v>
      </c>
      <c r="B2189" s="2" t="s">
        <v>157</v>
      </c>
      <c r="C2189" s="2" t="s">
        <v>111</v>
      </c>
      <c r="D2189" s="2" t="s">
        <v>2859</v>
      </c>
      <c r="E2189" s="4" t="str">
        <f>HYPERLINK("./Results/DLO\3006\Osteo_Sarco_1.png","RPT")</f>
        <v>RPT</v>
      </c>
      <c r="F2189" s="2" t="s">
        <v>102</v>
      </c>
      <c r="G2189" s="6"/>
      <c r="I2189"/>
      <c r="J2189"/>
      <c r="K2189"/>
    </row>
    <row r="2190" spans="1:11" x14ac:dyDescent="0.3">
      <c r="A2190" s="2" t="s">
        <v>1569</v>
      </c>
      <c r="B2190" s="2" t="s">
        <v>587</v>
      </c>
      <c r="C2190" s="2" t="s">
        <v>119</v>
      </c>
      <c r="D2190" s="2" t="s">
        <v>2859</v>
      </c>
      <c r="E2190" s="4" t="str">
        <f>HYPERLINK("./Results/DLO\3007\Osteo_Sarco_1.png","RPT")</f>
        <v>RPT</v>
      </c>
      <c r="F2190" s="2" t="s">
        <v>57</v>
      </c>
      <c r="G2190" s="6"/>
      <c r="H2190" s="1">
        <v>22.61</v>
      </c>
    </row>
    <row r="2191" spans="1:11" x14ac:dyDescent="0.3">
      <c r="A2191" s="2" t="s">
        <v>1577</v>
      </c>
      <c r="B2191" s="2" t="s">
        <v>123</v>
      </c>
      <c r="C2191" s="2" t="s">
        <v>119</v>
      </c>
      <c r="D2191" s="2" t="s">
        <v>2859</v>
      </c>
      <c r="E2191" s="4" t="str">
        <f>HYPERLINK("./Results/DLO\3008\Osteo_Sarco_1.png","RPT")</f>
        <v>RPT</v>
      </c>
      <c r="F2191" s="2" t="s">
        <v>88</v>
      </c>
      <c r="G2191" s="6"/>
      <c r="H2191" s="1">
        <v>21.82</v>
      </c>
    </row>
    <row r="2192" spans="1:11" x14ac:dyDescent="0.3">
      <c r="A2192" s="2" t="s">
        <v>1576</v>
      </c>
      <c r="B2192" s="2" t="s">
        <v>122</v>
      </c>
      <c r="C2192" s="2" t="s">
        <v>111</v>
      </c>
      <c r="D2192" s="2" t="s">
        <v>2859</v>
      </c>
      <c r="E2192" s="4" t="str">
        <f>HYPERLINK("./Results/DLO\3009\Osteo_Sarco_1.png","RPT")</f>
        <v>RPT</v>
      </c>
      <c r="F2192" s="2" t="s">
        <v>63</v>
      </c>
      <c r="G2192" s="6"/>
      <c r="I2192"/>
      <c r="J2192"/>
      <c r="K2192"/>
    </row>
    <row r="2193" spans="1:11" x14ac:dyDescent="0.3">
      <c r="A2193" s="2" t="s">
        <v>1570</v>
      </c>
      <c r="B2193" s="2" t="s">
        <v>165</v>
      </c>
      <c r="C2193" s="2" t="s">
        <v>111</v>
      </c>
      <c r="D2193" s="2" t="s">
        <v>2859</v>
      </c>
      <c r="E2193" s="4" t="str">
        <f>HYPERLINK("./Results/DLO\301\Osteo_Sarco_1.png","RPT")</f>
        <v>RPT</v>
      </c>
      <c r="F2193" s="2" t="s">
        <v>459</v>
      </c>
      <c r="G2193" s="6"/>
      <c r="H2193" s="1">
        <v>25.01</v>
      </c>
    </row>
    <row r="2194" spans="1:11" x14ac:dyDescent="0.3">
      <c r="A2194" s="2" t="s">
        <v>1578</v>
      </c>
      <c r="B2194" s="2" t="s">
        <v>149</v>
      </c>
      <c r="C2194" s="2" t="s">
        <v>119</v>
      </c>
      <c r="D2194" s="2" t="s">
        <v>2867</v>
      </c>
      <c r="E2194" s="4" t="str">
        <f>HYPERLINK("./Results/DLO\3010\Osteo_Sarco_1.png","RPT")</f>
        <v>RPT</v>
      </c>
      <c r="F2194" s="2" t="s">
        <v>76</v>
      </c>
      <c r="G2194" s="6"/>
      <c r="H2194" s="1">
        <v>23.68</v>
      </c>
    </row>
    <row r="2195" spans="1:11" x14ac:dyDescent="0.3">
      <c r="A2195" s="2" t="s">
        <v>1582</v>
      </c>
      <c r="B2195" s="2" t="s">
        <v>148</v>
      </c>
      <c r="C2195" s="2" t="s">
        <v>119</v>
      </c>
      <c r="D2195" s="2" t="s">
        <v>2859</v>
      </c>
      <c r="E2195" s="4" t="str">
        <f>HYPERLINK("./Results/DLO\3011\Osteo_Sarco_1.png","RPT")</f>
        <v>RPT</v>
      </c>
      <c r="F2195" s="2" t="s">
        <v>29</v>
      </c>
      <c r="G2195" s="6"/>
      <c r="H2195" s="1">
        <v>25.39</v>
      </c>
    </row>
    <row r="2196" spans="1:11" x14ac:dyDescent="0.3">
      <c r="A2196" s="2" t="s">
        <v>1584</v>
      </c>
      <c r="B2196" s="2" t="s">
        <v>590</v>
      </c>
      <c r="C2196" s="2" t="s">
        <v>111</v>
      </c>
      <c r="D2196" s="2" t="s">
        <v>2867</v>
      </c>
      <c r="E2196" s="4" t="str">
        <f>HYPERLINK("./Results/DLO\3012\Osteo_Sarco_1.png","RPT")</f>
        <v>RPT</v>
      </c>
      <c r="F2196" s="2" t="s">
        <v>453</v>
      </c>
      <c r="G2196" s="6"/>
      <c r="H2196" s="1">
        <v>27.51</v>
      </c>
    </row>
    <row r="2197" spans="1:11" x14ac:dyDescent="0.3">
      <c r="A2197" s="2" t="s">
        <v>1587</v>
      </c>
      <c r="B2197" s="2" t="s">
        <v>120</v>
      </c>
      <c r="C2197" s="2" t="s">
        <v>111</v>
      </c>
      <c r="D2197" s="2" t="s">
        <v>2859</v>
      </c>
      <c r="E2197" s="4" t="str">
        <f>HYPERLINK("./Results/DLO\3013\Osteo_Sarco_1.png","RPT")</f>
        <v>RPT</v>
      </c>
      <c r="F2197" s="2" t="s">
        <v>95</v>
      </c>
      <c r="G2197" s="6"/>
      <c r="I2197"/>
      <c r="J2197"/>
      <c r="K2197"/>
    </row>
    <row r="2198" spans="1:11" x14ac:dyDescent="0.3">
      <c r="A2198" s="2" t="s">
        <v>1567</v>
      </c>
      <c r="B2198" s="2" t="s">
        <v>161</v>
      </c>
      <c r="C2198" s="2" t="s">
        <v>119</v>
      </c>
      <c r="D2198" s="2" t="s">
        <v>2867</v>
      </c>
      <c r="E2198" s="4" t="str">
        <f>HYPERLINK("./Results/DLO\3014\Osteo_Sarco_1.png","RPT")</f>
        <v>RPT</v>
      </c>
      <c r="F2198" s="2" t="s">
        <v>41</v>
      </c>
      <c r="G2198" s="6"/>
      <c r="I2198"/>
      <c r="J2198"/>
      <c r="K2198"/>
    </row>
    <row r="2199" spans="1:11" x14ac:dyDescent="0.3">
      <c r="A2199" s="2" t="s">
        <v>1589</v>
      </c>
      <c r="B2199" s="2" t="s">
        <v>164</v>
      </c>
      <c r="C2199" s="2" t="s">
        <v>119</v>
      </c>
      <c r="D2199" s="2" t="s">
        <v>2867</v>
      </c>
      <c r="E2199" s="4" t="str">
        <f>HYPERLINK("./Results/DLO\3015\Osteo_Sarco_1.png","RPT")</f>
        <v>RPT</v>
      </c>
      <c r="F2199" s="2" t="s">
        <v>27</v>
      </c>
      <c r="G2199" s="6"/>
      <c r="H2199" s="1">
        <v>28.73</v>
      </c>
    </row>
    <row r="2200" spans="1:11" x14ac:dyDescent="0.3">
      <c r="A2200" s="2" t="s">
        <v>1609</v>
      </c>
      <c r="B2200" s="2" t="s">
        <v>133</v>
      </c>
      <c r="C2200" s="2" t="s">
        <v>111</v>
      </c>
      <c r="D2200" s="2" t="s">
        <v>2859</v>
      </c>
      <c r="E2200" s="4" t="str">
        <f>HYPERLINK("./Results/DLO\3016\Osteo_Sarco_1.png","RPT")</f>
        <v>RPT</v>
      </c>
      <c r="F2200" s="2" t="s">
        <v>575</v>
      </c>
      <c r="G2200" s="6"/>
      <c r="I2200"/>
      <c r="J2200"/>
      <c r="K2200"/>
    </row>
    <row r="2201" spans="1:11" x14ac:dyDescent="0.3">
      <c r="A2201" s="2" t="s">
        <v>1599</v>
      </c>
      <c r="B2201" s="2" t="s">
        <v>123</v>
      </c>
      <c r="C2201" s="2" t="s">
        <v>111</v>
      </c>
      <c r="D2201" s="2" t="s">
        <v>2859</v>
      </c>
      <c r="E2201" s="4" t="str">
        <f>HYPERLINK("./Results/DLO\3017\Osteo_Sarco_1.png","RPT")</f>
        <v>RPT</v>
      </c>
      <c r="F2201" s="2" t="s">
        <v>466</v>
      </c>
      <c r="G2201" s="6"/>
      <c r="I2201"/>
      <c r="J2201"/>
      <c r="K2201"/>
    </row>
    <row r="2202" spans="1:11" x14ac:dyDescent="0.3">
      <c r="A2202" s="2" t="s">
        <v>1610</v>
      </c>
      <c r="B2202" s="2" t="s">
        <v>136</v>
      </c>
      <c r="C2202" s="2" t="s">
        <v>111</v>
      </c>
      <c r="D2202" s="2" t="s">
        <v>2859</v>
      </c>
      <c r="E2202" s="4" t="str">
        <f>HYPERLINK("./Results/DLO\3018\Osteo_Sarco_1.png","RPT")</f>
        <v>RPT</v>
      </c>
      <c r="F2202" s="2" t="s">
        <v>108</v>
      </c>
      <c r="G2202" s="6"/>
      <c r="H2202" s="1">
        <v>22.22</v>
      </c>
    </row>
    <row r="2203" spans="1:11" x14ac:dyDescent="0.3">
      <c r="A2203" s="2" t="s">
        <v>1606</v>
      </c>
      <c r="B2203" s="2" t="s">
        <v>129</v>
      </c>
      <c r="C2203" s="2" t="s">
        <v>111</v>
      </c>
      <c r="D2203" s="2" t="s">
        <v>2867</v>
      </c>
      <c r="E2203" s="4" t="str">
        <f>HYPERLINK("./Results/DLO\3019\Osteo_Sarco_1.png","RPT")</f>
        <v>RPT</v>
      </c>
      <c r="F2203" s="2" t="s">
        <v>94</v>
      </c>
      <c r="G2203" s="6"/>
      <c r="I2203"/>
      <c r="J2203"/>
      <c r="K2203"/>
    </row>
    <row r="2204" spans="1:11" x14ac:dyDescent="0.3">
      <c r="A2204" s="2" t="s">
        <v>1600</v>
      </c>
      <c r="B2204" s="2" t="s">
        <v>164</v>
      </c>
      <c r="C2204" s="2" t="s">
        <v>119</v>
      </c>
      <c r="D2204" s="2" t="s">
        <v>2867</v>
      </c>
      <c r="E2204" s="4" t="str">
        <f>HYPERLINK("./Results/DLO\302\Osteo_Sarco_1.png","RPT")</f>
        <v>RPT</v>
      </c>
      <c r="F2204" s="2" t="s">
        <v>77</v>
      </c>
      <c r="G2204" s="6"/>
      <c r="H2204" s="1">
        <v>22.22</v>
      </c>
    </row>
    <row r="2205" spans="1:11" x14ac:dyDescent="0.3">
      <c r="A2205" s="2" t="s">
        <v>1611</v>
      </c>
      <c r="B2205" s="2" t="s">
        <v>166</v>
      </c>
      <c r="C2205" s="2" t="s">
        <v>119</v>
      </c>
      <c r="D2205" s="2" t="s">
        <v>2859</v>
      </c>
      <c r="E2205" s="4" t="str">
        <f>HYPERLINK("./Results/DLO\3020\Osteo_Sarco_1.png","RPT")</f>
        <v>RPT</v>
      </c>
      <c r="F2205" s="2" t="s">
        <v>21</v>
      </c>
      <c r="G2205" s="6"/>
      <c r="I2205"/>
      <c r="J2205"/>
      <c r="K2205"/>
    </row>
    <row r="2206" spans="1:11" x14ac:dyDescent="0.3">
      <c r="A2206" s="2" t="s">
        <v>1590</v>
      </c>
      <c r="B2206" s="2" t="s">
        <v>140</v>
      </c>
      <c r="C2206" s="2" t="s">
        <v>111</v>
      </c>
      <c r="D2206" s="2" t="s">
        <v>2859</v>
      </c>
      <c r="E2206" s="4" t="str">
        <f>HYPERLINK("./Results/DLO\3021\Osteo_Sarco_1.png","RPT")</f>
        <v>RPT</v>
      </c>
      <c r="F2206" s="2" t="s">
        <v>446</v>
      </c>
      <c r="G2206" s="6"/>
      <c r="H2206" s="1">
        <v>26.99</v>
      </c>
    </row>
    <row r="2207" spans="1:11" x14ac:dyDescent="0.3">
      <c r="A2207" s="2" t="s">
        <v>1601</v>
      </c>
      <c r="B2207" s="2" t="s">
        <v>137</v>
      </c>
      <c r="C2207" s="2" t="s">
        <v>111</v>
      </c>
      <c r="D2207" s="2" t="s">
        <v>2867</v>
      </c>
      <c r="E2207" s="4" t="str">
        <f>HYPERLINK("./Results/DLO\3022\Osteo_Sarco_1.png","RPT")</f>
        <v>RPT</v>
      </c>
      <c r="F2207" s="2" t="s">
        <v>473</v>
      </c>
      <c r="G2207" s="6"/>
      <c r="I2207"/>
      <c r="J2207"/>
      <c r="K2207"/>
    </row>
    <row r="2208" spans="1:11" x14ac:dyDescent="0.3">
      <c r="A2208" s="2" t="s">
        <v>1603</v>
      </c>
      <c r="B2208" s="2" t="s">
        <v>113</v>
      </c>
      <c r="C2208" s="2" t="s">
        <v>119</v>
      </c>
      <c r="D2208" s="2" t="s">
        <v>2859</v>
      </c>
      <c r="E2208" s="4" t="str">
        <f>HYPERLINK("./Results/DLO\3023\Osteo_Sarco_1.png","RPT")</f>
        <v>RPT</v>
      </c>
      <c r="F2208" s="2" t="s">
        <v>36</v>
      </c>
      <c r="G2208" s="6"/>
      <c r="H2208" s="1">
        <v>29.21</v>
      </c>
    </row>
    <row r="2209" spans="1:11" x14ac:dyDescent="0.3">
      <c r="A2209" s="2" t="s">
        <v>1612</v>
      </c>
      <c r="B2209" s="2" t="s">
        <v>154</v>
      </c>
      <c r="C2209" s="2" t="s">
        <v>111</v>
      </c>
      <c r="D2209" s="2" t="s">
        <v>2859</v>
      </c>
      <c r="E2209" s="4" t="str">
        <f>HYPERLINK("./Results/DLO\3025\Osteo_Sarco_1.png","RPT")</f>
        <v>RPT</v>
      </c>
      <c r="F2209" s="2" t="s">
        <v>475</v>
      </c>
      <c r="G2209" s="6"/>
      <c r="I2209"/>
      <c r="J2209"/>
      <c r="K2209"/>
    </row>
    <row r="2210" spans="1:11" x14ac:dyDescent="0.3">
      <c r="A2210" s="2" t="s">
        <v>1602</v>
      </c>
      <c r="B2210" s="2" t="s">
        <v>120</v>
      </c>
      <c r="C2210" s="2" t="s">
        <v>119</v>
      </c>
      <c r="D2210" s="2" t="s">
        <v>2859</v>
      </c>
      <c r="E2210" s="4" t="str">
        <f>HYPERLINK("./Results/DLO\3026\Osteo_Sarco_1.png","RPT")</f>
        <v>RPT</v>
      </c>
      <c r="F2210" s="2" t="s">
        <v>88</v>
      </c>
      <c r="G2210" s="6"/>
      <c r="I2210"/>
      <c r="J2210"/>
      <c r="K2210"/>
    </row>
    <row r="2211" spans="1:11" x14ac:dyDescent="0.3">
      <c r="A2211" s="2" t="s">
        <v>1604</v>
      </c>
      <c r="B2211" s="2" t="s">
        <v>134</v>
      </c>
      <c r="C2211" s="2" t="s">
        <v>111</v>
      </c>
      <c r="D2211" s="2" t="s">
        <v>2859</v>
      </c>
      <c r="E2211" s="4" t="str">
        <f>HYPERLINK("./Results/DLO\3027\Osteo_Sarco_1.png","RPT")</f>
        <v>RPT</v>
      </c>
      <c r="F2211" s="2" t="s">
        <v>45</v>
      </c>
      <c r="G2211" s="6"/>
      <c r="I2211"/>
      <c r="J2211"/>
      <c r="K2211"/>
    </row>
    <row r="2212" spans="1:11" x14ac:dyDescent="0.3">
      <c r="A2212" s="2" t="s">
        <v>1594</v>
      </c>
      <c r="B2212" s="2" t="s">
        <v>120</v>
      </c>
      <c r="C2212" s="2" t="s">
        <v>119</v>
      </c>
      <c r="D2212" s="2" t="s">
        <v>2859</v>
      </c>
      <c r="E2212" s="4" t="str">
        <f>HYPERLINK("./Results/DLO\3028\Osteo_Sarco_1.png","RPT")</f>
        <v>RPT</v>
      </c>
      <c r="F2212" s="2" t="s">
        <v>112</v>
      </c>
      <c r="G2212" s="6"/>
      <c r="I2212"/>
      <c r="J2212"/>
      <c r="K2212"/>
    </row>
    <row r="2213" spans="1:11" x14ac:dyDescent="0.3">
      <c r="A2213" s="2" t="s">
        <v>1607</v>
      </c>
      <c r="B2213" s="2" t="s">
        <v>125</v>
      </c>
      <c r="C2213" s="2" t="s">
        <v>111</v>
      </c>
      <c r="D2213" s="2" t="s">
        <v>2859</v>
      </c>
      <c r="E2213" s="4" t="str">
        <f>HYPERLINK("./Results/DLO\3029\Osteo_Sarco_1.png","RPT")</f>
        <v>RPT</v>
      </c>
      <c r="F2213" s="2" t="s">
        <v>459</v>
      </c>
      <c r="G2213" s="6"/>
      <c r="H2213" s="1">
        <v>24.41</v>
      </c>
    </row>
    <row r="2214" spans="1:11" x14ac:dyDescent="0.3">
      <c r="A2214" s="2" t="s">
        <v>1605</v>
      </c>
      <c r="B2214" s="2" t="s">
        <v>140</v>
      </c>
      <c r="C2214" s="2" t="s">
        <v>111</v>
      </c>
      <c r="D2214" s="2" t="s">
        <v>2859</v>
      </c>
      <c r="E2214" s="4" t="str">
        <f>HYPERLINK("./Results/DLO\303\Osteo_Sarco_1.png","RPT")</f>
        <v>RPT</v>
      </c>
      <c r="F2214" s="2" t="s">
        <v>35</v>
      </c>
      <c r="G2214" s="6"/>
      <c r="I2214"/>
      <c r="J2214"/>
      <c r="K2214"/>
    </row>
    <row r="2215" spans="1:11" x14ac:dyDescent="0.3">
      <c r="A2215" s="2" t="s">
        <v>1613</v>
      </c>
      <c r="B2215" s="2" t="s">
        <v>159</v>
      </c>
      <c r="C2215" s="2" t="s">
        <v>111</v>
      </c>
      <c r="D2215" s="2" t="s">
        <v>2867</v>
      </c>
      <c r="E2215" s="4" t="str">
        <f>HYPERLINK("./Results/DLO\3030\Osteo_Sarco_1.png","RPT")</f>
        <v>RPT</v>
      </c>
      <c r="F2215" s="2" t="s">
        <v>47</v>
      </c>
      <c r="G2215" s="6"/>
      <c r="H2215" s="1">
        <v>22.41</v>
      </c>
    </row>
    <row r="2216" spans="1:11" x14ac:dyDescent="0.3">
      <c r="A2216" s="2" t="s">
        <v>1592</v>
      </c>
      <c r="B2216" s="2" t="s">
        <v>144</v>
      </c>
      <c r="C2216" s="2" t="s">
        <v>111</v>
      </c>
      <c r="D2216" s="2" t="s">
        <v>2859</v>
      </c>
      <c r="E2216" s="4" t="str">
        <f>HYPERLINK("./Results/DLO\3031\Osteo_Sarco_1.png","RPT")</f>
        <v>RPT</v>
      </c>
      <c r="F2216" s="2" t="s">
        <v>95</v>
      </c>
      <c r="G2216" s="6"/>
      <c r="I2216"/>
      <c r="J2216"/>
      <c r="K2216"/>
    </row>
    <row r="2217" spans="1:11" x14ac:dyDescent="0.3">
      <c r="A2217" s="2" t="s">
        <v>1597</v>
      </c>
      <c r="B2217" s="2" t="s">
        <v>151</v>
      </c>
      <c r="C2217" s="2" t="s">
        <v>111</v>
      </c>
      <c r="D2217" s="2" t="s">
        <v>2859</v>
      </c>
      <c r="E2217" s="4" t="str">
        <f>HYPERLINK("./Results/DLO\3032\Osteo_Sarco_1.png","RPT")</f>
        <v>RPT</v>
      </c>
      <c r="F2217" s="2" t="s">
        <v>26</v>
      </c>
      <c r="G2217" s="6"/>
      <c r="I2217"/>
      <c r="J2217"/>
      <c r="K2217"/>
    </row>
    <row r="2218" spans="1:11" x14ac:dyDescent="0.3">
      <c r="A2218" s="2" t="s">
        <v>1591</v>
      </c>
      <c r="B2218" s="2" t="s">
        <v>140</v>
      </c>
      <c r="C2218" s="2" t="s">
        <v>119</v>
      </c>
      <c r="D2218" s="2" t="s">
        <v>2859</v>
      </c>
      <c r="E2218" s="4" t="str">
        <f>HYPERLINK("./Results/DLO\3033\Osteo_Sarco_1.png","RPT")</f>
        <v>RPT</v>
      </c>
      <c r="F2218" s="2" t="s">
        <v>88</v>
      </c>
      <c r="G2218" s="6"/>
      <c r="H2218" s="1">
        <v>24.03</v>
      </c>
    </row>
    <row r="2219" spans="1:11" x14ac:dyDescent="0.3">
      <c r="A2219" s="2" t="s">
        <v>1608</v>
      </c>
      <c r="B2219" s="2" t="s">
        <v>161</v>
      </c>
      <c r="C2219" s="2" t="s">
        <v>111</v>
      </c>
      <c r="D2219" s="2" t="s">
        <v>2859</v>
      </c>
      <c r="E2219" s="4" t="str">
        <f>HYPERLINK("./Results/DLO\3034\Osteo_Sarco_1.png","RPT")</f>
        <v>RPT</v>
      </c>
      <c r="F2219" s="2" t="s">
        <v>83</v>
      </c>
      <c r="G2219" s="6"/>
      <c r="I2219"/>
      <c r="J2219"/>
      <c r="K2219"/>
    </row>
    <row r="2220" spans="1:11" x14ac:dyDescent="0.3">
      <c r="A2220" s="2" t="s">
        <v>1598</v>
      </c>
      <c r="B2220" s="2" t="s">
        <v>116</v>
      </c>
      <c r="C2220" s="2" t="s">
        <v>111</v>
      </c>
      <c r="D2220" s="2" t="s">
        <v>2859</v>
      </c>
      <c r="E2220" s="4" t="str">
        <f>HYPERLINK("./Results/DLO\3035\Osteo_Sarco_1.png","RPT")</f>
        <v>RPT</v>
      </c>
      <c r="F2220" s="2" t="s">
        <v>32</v>
      </c>
      <c r="G2220" s="6"/>
      <c r="H2220" s="1">
        <v>21.55</v>
      </c>
    </row>
    <row r="2221" spans="1:11" x14ac:dyDescent="0.3">
      <c r="A2221" s="2" t="s">
        <v>1593</v>
      </c>
      <c r="B2221" s="2" t="s">
        <v>151</v>
      </c>
      <c r="C2221" s="2" t="s">
        <v>119</v>
      </c>
      <c r="D2221" s="2" t="s">
        <v>2859</v>
      </c>
      <c r="E2221" s="4" t="str">
        <f>HYPERLINK("./Results/DLO\3036\Osteo_Sarco_1.png","RPT")</f>
        <v>RPT</v>
      </c>
      <c r="F2221" s="2" t="s">
        <v>88</v>
      </c>
      <c r="G2221" s="6"/>
      <c r="I2221"/>
      <c r="J2221"/>
      <c r="K2221"/>
    </row>
    <row r="2222" spans="1:11" x14ac:dyDescent="0.3">
      <c r="A2222" s="2" t="s">
        <v>1595</v>
      </c>
      <c r="B2222" s="2" t="s">
        <v>167</v>
      </c>
      <c r="C2222" s="2" t="s">
        <v>119</v>
      </c>
      <c r="D2222" s="2" t="s">
        <v>2867</v>
      </c>
      <c r="E2222" s="4" t="str">
        <f>HYPERLINK("./Results/DLO\3037\Osteo_Sarco_1.png","RPT")</f>
        <v>RPT</v>
      </c>
      <c r="F2222" s="2" t="s">
        <v>56</v>
      </c>
      <c r="G2222" s="6"/>
      <c r="H2222" s="1">
        <v>26.24</v>
      </c>
    </row>
    <row r="2223" spans="1:11" x14ac:dyDescent="0.3">
      <c r="A2223" s="2" t="s">
        <v>1596</v>
      </c>
      <c r="B2223" s="2" t="s">
        <v>118</v>
      </c>
      <c r="C2223" s="2" t="s">
        <v>119</v>
      </c>
      <c r="D2223" s="2" t="s">
        <v>2867</v>
      </c>
      <c r="E2223" s="4" t="str">
        <f>HYPERLINK("./Results/DLO\3038\Osteo_Sarco_1.png","RPT")</f>
        <v>RPT</v>
      </c>
      <c r="F2223" s="2" t="s">
        <v>46</v>
      </c>
      <c r="G2223" s="6"/>
      <c r="I2223"/>
      <c r="J2223"/>
      <c r="K2223"/>
    </row>
    <row r="2224" spans="1:11" x14ac:dyDescent="0.3">
      <c r="A2224" s="2" t="s">
        <v>1633</v>
      </c>
      <c r="B2224" s="2" t="s">
        <v>149</v>
      </c>
      <c r="C2224" s="2" t="s">
        <v>111</v>
      </c>
      <c r="D2224" s="2" t="s">
        <v>2867</v>
      </c>
      <c r="E2224" s="4" t="str">
        <f>HYPERLINK("./Results/DLO\3039\Osteo_Sarco_1.png","RPT")</f>
        <v>RPT</v>
      </c>
      <c r="F2224" s="2" t="s">
        <v>84</v>
      </c>
      <c r="G2224" s="6"/>
      <c r="I2224"/>
      <c r="J2224"/>
      <c r="K2224"/>
    </row>
    <row r="2225" spans="1:11" x14ac:dyDescent="0.3">
      <c r="A2225" s="2" t="s">
        <v>1624</v>
      </c>
      <c r="B2225" s="2" t="s">
        <v>148</v>
      </c>
      <c r="C2225" s="2" t="s">
        <v>119</v>
      </c>
      <c r="D2225" s="2" t="s">
        <v>2867</v>
      </c>
      <c r="E2225" s="4" t="str">
        <f>HYPERLINK("./Results/DLO\304\Osteo_Sarco_1.png","RPT")</f>
        <v>RPT</v>
      </c>
      <c r="F2225" s="2" t="s">
        <v>87</v>
      </c>
      <c r="G2225" s="6"/>
      <c r="I2225"/>
      <c r="J2225"/>
      <c r="K2225"/>
    </row>
    <row r="2226" spans="1:11" x14ac:dyDescent="0.3">
      <c r="A2226" s="2" t="s">
        <v>1614</v>
      </c>
      <c r="B2226" s="2" t="s">
        <v>125</v>
      </c>
      <c r="C2226" s="2" t="s">
        <v>111</v>
      </c>
      <c r="D2226" s="2" t="s">
        <v>2867</v>
      </c>
      <c r="E2226" s="4" t="str">
        <f>HYPERLINK("./Results/DLO\3040\Osteo_Sarco_1.png","RPT")</f>
        <v>RPT</v>
      </c>
      <c r="F2226" s="2" t="s">
        <v>59</v>
      </c>
      <c r="G2226" s="6"/>
      <c r="H2226" s="1">
        <v>30.84</v>
      </c>
    </row>
    <row r="2227" spans="1:11" x14ac:dyDescent="0.3">
      <c r="A2227" s="2" t="s">
        <v>1634</v>
      </c>
      <c r="B2227" s="2" t="s">
        <v>143</v>
      </c>
      <c r="C2227" s="2" t="s">
        <v>111</v>
      </c>
      <c r="D2227" s="2" t="s">
        <v>2867</v>
      </c>
      <c r="E2227" s="4" t="str">
        <f>HYPERLINK("./Results/DLO\3041\Osteo_Sarco_1.png","RPT")</f>
        <v>RPT</v>
      </c>
      <c r="F2227" s="2" t="s">
        <v>51</v>
      </c>
      <c r="G2227" s="6"/>
      <c r="H2227" s="1">
        <v>22.86</v>
      </c>
    </row>
    <row r="2228" spans="1:11" x14ac:dyDescent="0.3">
      <c r="A2228" s="2" t="s">
        <v>1629</v>
      </c>
      <c r="B2228" s="2" t="s">
        <v>123</v>
      </c>
      <c r="C2228" s="2" t="s">
        <v>111</v>
      </c>
      <c r="D2228" s="2" t="s">
        <v>2131</v>
      </c>
      <c r="E2228" s="4" t="str">
        <f>HYPERLINK("./Results/DLO\3042\Osteo_Sarco_1.png","RPT")</f>
        <v>RPT</v>
      </c>
      <c r="F2228" s="2" t="s">
        <v>445</v>
      </c>
      <c r="G2228" s="6"/>
      <c r="H2228" s="1">
        <v>23.13</v>
      </c>
    </row>
    <row r="2229" spans="1:11" x14ac:dyDescent="0.3">
      <c r="A2229" s="2" t="s">
        <v>1626</v>
      </c>
      <c r="B2229" s="2" t="s">
        <v>143</v>
      </c>
      <c r="C2229" s="2" t="s">
        <v>111</v>
      </c>
      <c r="D2229" s="2" t="s">
        <v>2859</v>
      </c>
      <c r="E2229" s="4" t="str">
        <f>HYPERLINK("./Results/DLO\3043\Osteo_Sarco_1.png","RPT")</f>
        <v>RPT</v>
      </c>
      <c r="F2229" s="2" t="s">
        <v>98</v>
      </c>
      <c r="G2229" s="6"/>
      <c r="I2229"/>
      <c r="J2229"/>
      <c r="K2229"/>
    </row>
    <row r="2230" spans="1:11" x14ac:dyDescent="0.3">
      <c r="A2230" s="2" t="s">
        <v>1627</v>
      </c>
      <c r="B2230" s="2" t="s">
        <v>114</v>
      </c>
      <c r="C2230" s="2" t="s">
        <v>111</v>
      </c>
      <c r="D2230" s="2" t="s">
        <v>2859</v>
      </c>
      <c r="E2230" s="4" t="str">
        <f>HYPERLINK("./Results/DLO\3044\Osteo_Sarco_1.png","RPT")</f>
        <v>RPT</v>
      </c>
      <c r="F2230" s="2" t="s">
        <v>42</v>
      </c>
      <c r="G2230" s="6"/>
      <c r="I2230"/>
      <c r="J2230"/>
      <c r="K2230"/>
    </row>
    <row r="2231" spans="1:11" x14ac:dyDescent="0.3">
      <c r="A2231" s="2" t="s">
        <v>1621</v>
      </c>
      <c r="B2231" s="2" t="s">
        <v>138</v>
      </c>
      <c r="C2231" s="2" t="s">
        <v>119</v>
      </c>
      <c r="D2231" s="2" t="s">
        <v>2859</v>
      </c>
      <c r="E2231" s="4" t="str">
        <f>HYPERLINK("./Results/DLO\3045\Osteo_Sarco_1.png","RPT")</f>
        <v>RPT</v>
      </c>
      <c r="F2231" s="2" t="s">
        <v>125</v>
      </c>
      <c r="G2231" s="6"/>
      <c r="I2231"/>
      <c r="J2231"/>
      <c r="K2231"/>
    </row>
    <row r="2232" spans="1:11" x14ac:dyDescent="0.3">
      <c r="A2232" s="2" t="s">
        <v>1616</v>
      </c>
      <c r="B2232" s="2" t="s">
        <v>162</v>
      </c>
      <c r="C2232" s="2" t="s">
        <v>119</v>
      </c>
      <c r="D2232" s="2" t="s">
        <v>2867</v>
      </c>
      <c r="E2232" s="4" t="str">
        <f>HYPERLINK("./Results/DLO\3046\Osteo_Sarco_1.png","RPT")</f>
        <v>RPT</v>
      </c>
      <c r="F2232" s="2" t="s">
        <v>467</v>
      </c>
      <c r="G2232" s="6"/>
      <c r="I2232"/>
      <c r="J2232"/>
      <c r="K2232"/>
    </row>
    <row r="2233" spans="1:11" x14ac:dyDescent="0.3">
      <c r="A2233" s="2" t="s">
        <v>1628</v>
      </c>
      <c r="B2233" s="2" t="s">
        <v>140</v>
      </c>
      <c r="C2233" s="2" t="s">
        <v>119</v>
      </c>
      <c r="D2233" s="2" t="s">
        <v>2867</v>
      </c>
      <c r="E2233" s="4" t="str">
        <f>HYPERLINK("./Results/DLO\3047\Osteo_Sarco_1.png","RPT")</f>
        <v>RPT</v>
      </c>
      <c r="F2233" s="2" t="s">
        <v>98</v>
      </c>
      <c r="G2233" s="6"/>
      <c r="I2233"/>
      <c r="J2233"/>
      <c r="K2233"/>
    </row>
    <row r="2234" spans="1:11" x14ac:dyDescent="0.3">
      <c r="A2234" s="2" t="s">
        <v>1636</v>
      </c>
      <c r="B2234" s="2" t="s">
        <v>116</v>
      </c>
      <c r="C2234" s="2" t="s">
        <v>119</v>
      </c>
      <c r="D2234" s="2" t="s">
        <v>2859</v>
      </c>
      <c r="E2234" s="4" t="str">
        <f>HYPERLINK("./Results/DLO\3048\Osteo_Sarco_1.png","RPT")</f>
        <v>RPT</v>
      </c>
      <c r="F2234" s="2" t="s">
        <v>57</v>
      </c>
      <c r="G2234" s="6"/>
      <c r="I2234"/>
      <c r="J2234"/>
      <c r="K2234"/>
    </row>
    <row r="2235" spans="1:11" x14ac:dyDescent="0.3">
      <c r="A2235" s="2" t="s">
        <v>1630</v>
      </c>
      <c r="B2235" s="2" t="s">
        <v>587</v>
      </c>
      <c r="C2235" s="2" t="s">
        <v>111</v>
      </c>
      <c r="D2235" s="2" t="s">
        <v>2867</v>
      </c>
      <c r="E2235" s="4" t="str">
        <f>HYPERLINK("./Results/DLO\3049\Osteo_Sarco_1.png","RPT")</f>
        <v>RPT</v>
      </c>
      <c r="F2235" s="2" t="s">
        <v>455</v>
      </c>
      <c r="G2235" s="6"/>
      <c r="I2235"/>
      <c r="J2235"/>
      <c r="K2235"/>
    </row>
    <row r="2236" spans="1:11" x14ac:dyDescent="0.3">
      <c r="A2236" s="2" t="s">
        <v>1620</v>
      </c>
      <c r="B2236" s="2" t="s">
        <v>166</v>
      </c>
      <c r="C2236" s="2" t="s">
        <v>111</v>
      </c>
      <c r="D2236" s="2" t="s">
        <v>2867</v>
      </c>
      <c r="E2236" s="4" t="str">
        <f>HYPERLINK("./Results/DLO\305\Osteo_Sarco_1.png","RPT")</f>
        <v>RPT</v>
      </c>
      <c r="F2236" s="2" t="s">
        <v>20</v>
      </c>
      <c r="G2236" s="6"/>
      <c r="I2236"/>
      <c r="J2236"/>
      <c r="K2236"/>
    </row>
    <row r="2237" spans="1:11" x14ac:dyDescent="0.3">
      <c r="A2237" s="2" t="s">
        <v>1622</v>
      </c>
      <c r="B2237" s="2" t="s">
        <v>146</v>
      </c>
      <c r="C2237" s="2" t="s">
        <v>119</v>
      </c>
      <c r="D2237" s="2" t="s">
        <v>2867</v>
      </c>
      <c r="E2237" s="4" t="str">
        <f>HYPERLINK("./Results/DLO\3050\Osteo_Sarco_1.png","RPT")</f>
        <v>RPT</v>
      </c>
      <c r="F2237" s="2" t="s">
        <v>72</v>
      </c>
      <c r="G2237" s="6"/>
      <c r="I2237"/>
      <c r="J2237"/>
      <c r="K2237"/>
    </row>
    <row r="2238" spans="1:11" x14ac:dyDescent="0.3">
      <c r="A2238" s="2" t="s">
        <v>1635</v>
      </c>
      <c r="B2238" s="2" t="s">
        <v>120</v>
      </c>
      <c r="C2238" s="2" t="s">
        <v>111</v>
      </c>
      <c r="D2238" s="2" t="s">
        <v>2859</v>
      </c>
      <c r="E2238" s="4" t="str">
        <f>HYPERLINK("./Results/DLO\3051\Osteo_Sarco_1.png","RPT")</f>
        <v>RPT</v>
      </c>
      <c r="F2238" s="2" t="s">
        <v>444</v>
      </c>
      <c r="G2238" s="6"/>
      <c r="I2238"/>
      <c r="J2238"/>
      <c r="K2238"/>
    </row>
    <row r="2239" spans="1:11" x14ac:dyDescent="0.3">
      <c r="A2239" s="2" t="s">
        <v>1623</v>
      </c>
      <c r="B2239" s="2" t="s">
        <v>114</v>
      </c>
      <c r="C2239" s="2" t="s">
        <v>111</v>
      </c>
      <c r="D2239" s="2" t="s">
        <v>2859</v>
      </c>
      <c r="E2239" s="4" t="str">
        <f>HYPERLINK("./Results/DLO\3052\Osteo_Sarco_1.png","RPT")</f>
        <v>RPT</v>
      </c>
      <c r="F2239" s="2" t="s">
        <v>459</v>
      </c>
      <c r="G2239" s="6"/>
      <c r="I2239"/>
      <c r="J2239"/>
      <c r="K2239"/>
    </row>
    <row r="2240" spans="1:11" x14ac:dyDescent="0.3">
      <c r="A2240" s="2" t="s">
        <v>1615</v>
      </c>
      <c r="B2240" s="2" t="s">
        <v>123</v>
      </c>
      <c r="C2240" s="2" t="s">
        <v>119</v>
      </c>
      <c r="D2240" s="2" t="s">
        <v>2859</v>
      </c>
      <c r="E2240" s="4" t="str">
        <f>HYPERLINK("./Results/DLO\3053\Osteo_Sarco_1.png","RPT")</f>
        <v>RPT</v>
      </c>
      <c r="F2240" s="2" t="s">
        <v>90</v>
      </c>
      <c r="G2240" s="6"/>
      <c r="I2240"/>
      <c r="J2240"/>
      <c r="K2240"/>
    </row>
    <row r="2241" spans="1:11" x14ac:dyDescent="0.3">
      <c r="A2241" s="2" t="s">
        <v>1625</v>
      </c>
      <c r="B2241" s="2" t="s">
        <v>118</v>
      </c>
      <c r="C2241" s="2" t="s">
        <v>111</v>
      </c>
      <c r="D2241" s="2" t="s">
        <v>2859</v>
      </c>
      <c r="E2241" s="4" t="str">
        <f>HYPERLINK("./Results/DLO\3054\Osteo_Sarco_1.png","RPT")</f>
        <v>RPT</v>
      </c>
      <c r="F2241" s="2" t="s">
        <v>58</v>
      </c>
      <c r="G2241" s="6"/>
      <c r="H2241" s="1">
        <v>25.32</v>
      </c>
    </row>
    <row r="2242" spans="1:11" x14ac:dyDescent="0.3">
      <c r="A2242" s="2" t="s">
        <v>1632</v>
      </c>
      <c r="B2242" s="2" t="s">
        <v>116</v>
      </c>
      <c r="C2242" s="2" t="s">
        <v>119</v>
      </c>
      <c r="D2242" s="2" t="s">
        <v>2867</v>
      </c>
      <c r="E2242" s="4" t="str">
        <f>HYPERLINK("./Results/DLO\3055\Osteo_Sarco_1.png","RPT")</f>
        <v>RPT</v>
      </c>
      <c r="F2242" s="2" t="s">
        <v>87</v>
      </c>
      <c r="G2242" s="6"/>
      <c r="I2242"/>
      <c r="J2242"/>
      <c r="K2242"/>
    </row>
    <row r="2243" spans="1:11" x14ac:dyDescent="0.3">
      <c r="A2243" s="2" t="s">
        <v>1617</v>
      </c>
      <c r="B2243" s="2" t="s">
        <v>149</v>
      </c>
      <c r="C2243" s="2" t="s">
        <v>111</v>
      </c>
      <c r="D2243" s="2" t="s">
        <v>2867</v>
      </c>
      <c r="E2243" s="4" t="str">
        <f>HYPERLINK("./Results/DLO\3056\Osteo_Sarco_1.png","RPT")</f>
        <v>RPT</v>
      </c>
      <c r="F2243" s="2" t="s">
        <v>94</v>
      </c>
      <c r="G2243" s="6"/>
      <c r="I2243"/>
      <c r="J2243"/>
      <c r="K2243"/>
    </row>
    <row r="2244" spans="1:11" x14ac:dyDescent="0.3">
      <c r="A2244" s="2" t="s">
        <v>1631</v>
      </c>
      <c r="B2244" s="2" t="s">
        <v>131</v>
      </c>
      <c r="C2244" s="2" t="s">
        <v>111</v>
      </c>
      <c r="D2244" s="2" t="s">
        <v>2859</v>
      </c>
      <c r="E2244" s="4" t="str">
        <f>HYPERLINK("./Results/DLO\3057\Osteo_Sarco_1.png","RPT")</f>
        <v>RPT</v>
      </c>
      <c r="F2244" s="2" t="s">
        <v>52</v>
      </c>
      <c r="G2244" s="6"/>
      <c r="I2244"/>
      <c r="J2244"/>
      <c r="K2244"/>
    </row>
    <row r="2245" spans="1:11" x14ac:dyDescent="0.3">
      <c r="A2245" s="2" t="s">
        <v>1618</v>
      </c>
      <c r="B2245" s="2" t="s">
        <v>142</v>
      </c>
      <c r="C2245" s="2" t="s">
        <v>119</v>
      </c>
      <c r="D2245" s="2" t="s">
        <v>2867</v>
      </c>
      <c r="E2245" s="4" t="str">
        <f>HYPERLINK("./Results/DLO\3058\Osteo_Sarco_1.png","RPT")</f>
        <v>RPT</v>
      </c>
      <c r="F2245" s="2" t="s">
        <v>73</v>
      </c>
      <c r="G2245" s="6"/>
      <c r="I2245"/>
      <c r="J2245"/>
      <c r="K2245"/>
    </row>
    <row r="2246" spans="1:11" x14ac:dyDescent="0.3">
      <c r="A2246" s="2" t="s">
        <v>1619</v>
      </c>
      <c r="B2246" s="2" t="s">
        <v>161</v>
      </c>
      <c r="C2246" s="2" t="s">
        <v>111</v>
      </c>
      <c r="D2246" s="2" t="s">
        <v>2867</v>
      </c>
      <c r="E2246" s="4" t="str">
        <f>HYPERLINK("./Results/DLO\3059\Osteo_Sarco_1.png","RPT")</f>
        <v>RPT</v>
      </c>
      <c r="F2246" s="2" t="s">
        <v>155</v>
      </c>
      <c r="G2246" s="6"/>
      <c r="H2246" s="1">
        <v>27.5</v>
      </c>
    </row>
    <row r="2247" spans="1:11" x14ac:dyDescent="0.3">
      <c r="A2247" s="2" t="s">
        <v>1637</v>
      </c>
      <c r="B2247" s="2" t="s">
        <v>123</v>
      </c>
      <c r="C2247" s="2" t="s">
        <v>119</v>
      </c>
      <c r="D2247" s="2" t="s">
        <v>2859</v>
      </c>
      <c r="E2247" s="4" t="str">
        <f>HYPERLINK("./Results/DLO\306\Osteo_Sarco_1.png","RPT")</f>
        <v>RPT</v>
      </c>
      <c r="F2247" s="2" t="s">
        <v>61</v>
      </c>
      <c r="G2247" s="6"/>
      <c r="I2247"/>
      <c r="J2247"/>
      <c r="K2247"/>
    </row>
    <row r="2248" spans="1:11" x14ac:dyDescent="0.3">
      <c r="A2248" s="2" t="s">
        <v>1645</v>
      </c>
      <c r="B2248" s="2" t="s">
        <v>127</v>
      </c>
      <c r="C2248" s="2" t="s">
        <v>111</v>
      </c>
      <c r="D2248" s="2" t="s">
        <v>1957</v>
      </c>
      <c r="E2248" s="4" t="str">
        <f>HYPERLINK("./Results/DLO\3060\Osteo_Sarco_1.png","RPT")</f>
        <v>RPT</v>
      </c>
      <c r="F2248" s="2" t="s">
        <v>92</v>
      </c>
      <c r="G2248" s="6"/>
      <c r="I2248"/>
      <c r="J2248"/>
      <c r="K2248"/>
    </row>
    <row r="2249" spans="1:11" x14ac:dyDescent="0.3">
      <c r="A2249" s="2" t="s">
        <v>1652</v>
      </c>
      <c r="B2249" s="2" t="s">
        <v>142</v>
      </c>
      <c r="C2249" s="2" t="s">
        <v>119</v>
      </c>
      <c r="D2249" s="2" t="s">
        <v>2859</v>
      </c>
      <c r="E2249" s="4" t="str">
        <f>HYPERLINK("./Results/DLO\3061\Osteo_Sarco_1.png","RPT")</f>
        <v>RPT</v>
      </c>
      <c r="F2249" s="2" t="s">
        <v>60</v>
      </c>
      <c r="G2249" s="6"/>
      <c r="I2249"/>
      <c r="J2249"/>
      <c r="K2249"/>
    </row>
    <row r="2250" spans="1:11" x14ac:dyDescent="0.3">
      <c r="A2250" s="2" t="s">
        <v>1639</v>
      </c>
      <c r="B2250" s="2" t="s">
        <v>131</v>
      </c>
      <c r="C2250" s="2" t="s">
        <v>111</v>
      </c>
      <c r="D2250" s="2" t="s">
        <v>2867</v>
      </c>
      <c r="E2250" s="4" t="str">
        <f>HYPERLINK("./Results/DLO\3062\Osteo_Sarco_1.png","RPT")</f>
        <v>RPT</v>
      </c>
      <c r="F2250" s="2" t="s">
        <v>32</v>
      </c>
      <c r="G2250" s="6"/>
      <c r="I2250"/>
      <c r="J2250"/>
      <c r="K2250"/>
    </row>
    <row r="2251" spans="1:11" x14ac:dyDescent="0.3">
      <c r="A2251" s="2" t="s">
        <v>1654</v>
      </c>
      <c r="B2251" s="2" t="s">
        <v>135</v>
      </c>
      <c r="C2251" s="2" t="s">
        <v>119</v>
      </c>
      <c r="D2251" s="2" t="s">
        <v>2867</v>
      </c>
      <c r="E2251" s="4" t="str">
        <f>HYPERLINK("./Results/DLO\3063\Osteo_Sarco_1.png","RPT")</f>
        <v>RPT</v>
      </c>
      <c r="F2251" s="2" t="s">
        <v>21</v>
      </c>
      <c r="G2251" s="6"/>
      <c r="H2251" s="1">
        <v>26.64</v>
      </c>
    </row>
    <row r="2252" spans="1:11" x14ac:dyDescent="0.3">
      <c r="A2252" s="2" t="s">
        <v>1640</v>
      </c>
      <c r="B2252" s="2" t="s">
        <v>589</v>
      </c>
      <c r="C2252" s="2" t="s">
        <v>119</v>
      </c>
      <c r="D2252" s="2" t="s">
        <v>2867</v>
      </c>
      <c r="E2252" s="4" t="str">
        <f>HYPERLINK("./Results/DLO\3064\Osteo_Sarco_1.png","RPT")</f>
        <v>RPT</v>
      </c>
      <c r="F2252" s="2" t="s">
        <v>76</v>
      </c>
      <c r="G2252" s="6"/>
      <c r="I2252"/>
      <c r="J2252"/>
      <c r="K2252"/>
    </row>
    <row r="2253" spans="1:11" x14ac:dyDescent="0.3">
      <c r="A2253" s="2" t="s">
        <v>1650</v>
      </c>
      <c r="B2253" s="2" t="s">
        <v>143</v>
      </c>
      <c r="C2253" s="2" t="s">
        <v>119</v>
      </c>
      <c r="D2253" s="2" t="s">
        <v>2131</v>
      </c>
      <c r="E2253" s="4" t="str">
        <f>HYPERLINK("./Results/DLO\3065\Osteo_Sarco_1.png","RPT")</f>
        <v>RPT</v>
      </c>
      <c r="F2253" s="2" t="s">
        <v>456</v>
      </c>
      <c r="G2253" s="6"/>
      <c r="I2253"/>
      <c r="J2253"/>
      <c r="K2253"/>
    </row>
    <row r="2254" spans="1:11" x14ac:dyDescent="0.3">
      <c r="A2254" s="2" t="s">
        <v>1641</v>
      </c>
      <c r="B2254" s="2" t="s">
        <v>140</v>
      </c>
      <c r="C2254" s="2" t="s">
        <v>111</v>
      </c>
      <c r="D2254" s="2" t="s">
        <v>2867</v>
      </c>
      <c r="E2254" s="4" t="str">
        <f>HYPERLINK("./Results/DLO\3066\Osteo_Sarco_1.png","RPT")</f>
        <v>RPT</v>
      </c>
      <c r="F2254" s="2" t="s">
        <v>52</v>
      </c>
      <c r="G2254" s="6"/>
      <c r="I2254"/>
      <c r="J2254"/>
      <c r="K2254"/>
    </row>
    <row r="2255" spans="1:11" x14ac:dyDescent="0.3">
      <c r="A2255" s="2" t="s">
        <v>1642</v>
      </c>
      <c r="B2255" s="2" t="s">
        <v>573</v>
      </c>
      <c r="C2255" s="2" t="s">
        <v>119</v>
      </c>
      <c r="D2255" s="2" t="s">
        <v>2867</v>
      </c>
      <c r="E2255" s="4" t="str">
        <f>HYPERLINK("./Results/DLO\3067\Osteo_Sarco_1.png","RPT")</f>
        <v>RPT</v>
      </c>
      <c r="F2255" s="2" t="s">
        <v>56</v>
      </c>
      <c r="G2255" s="6"/>
      <c r="I2255"/>
      <c r="J2255"/>
      <c r="K2255"/>
    </row>
    <row r="2256" spans="1:11" x14ac:dyDescent="0.3">
      <c r="A2256" s="2" t="s">
        <v>1644</v>
      </c>
      <c r="B2256" s="2" t="s">
        <v>148</v>
      </c>
      <c r="C2256" s="2" t="s">
        <v>119</v>
      </c>
      <c r="D2256" s="2" t="s">
        <v>2859</v>
      </c>
      <c r="E2256" s="4" t="str">
        <f>HYPERLINK("./Results/DLO\3068\Osteo_Sarco_1.png","RPT")</f>
        <v>RPT</v>
      </c>
      <c r="F2256" s="2" t="s">
        <v>60</v>
      </c>
      <c r="G2256" s="6"/>
      <c r="H2256" s="1">
        <v>24.35</v>
      </c>
    </row>
    <row r="2257" spans="1:11" x14ac:dyDescent="0.3">
      <c r="A2257" s="2" t="s">
        <v>1653</v>
      </c>
      <c r="B2257" s="2" t="s">
        <v>113</v>
      </c>
      <c r="C2257" s="2" t="s">
        <v>111</v>
      </c>
      <c r="D2257" s="2" t="s">
        <v>2859</v>
      </c>
      <c r="E2257" s="4" t="str">
        <f>HYPERLINK("./Results/DLO\3069\Osteo_Sarco_1.png","RPT")</f>
        <v>RPT</v>
      </c>
      <c r="F2257" s="2" t="s">
        <v>65</v>
      </c>
      <c r="G2257" s="6"/>
      <c r="H2257" s="1">
        <v>22.39</v>
      </c>
    </row>
    <row r="2258" spans="1:11" x14ac:dyDescent="0.3">
      <c r="A2258" s="2" t="s">
        <v>1638</v>
      </c>
      <c r="B2258" s="2" t="s">
        <v>151</v>
      </c>
      <c r="C2258" s="2" t="s">
        <v>111</v>
      </c>
      <c r="D2258" s="2" t="s">
        <v>2859</v>
      </c>
      <c r="E2258" s="4" t="str">
        <f>HYPERLINK("./Results/DLO\307\Osteo_Sarco_1.png","RPT")</f>
        <v>RPT</v>
      </c>
      <c r="F2258" s="2" t="s">
        <v>105</v>
      </c>
      <c r="G2258" s="6"/>
      <c r="I2258"/>
      <c r="J2258"/>
      <c r="K2258"/>
    </row>
    <row r="2259" spans="1:11" x14ac:dyDescent="0.3">
      <c r="A2259" s="2" t="s">
        <v>1655</v>
      </c>
      <c r="B2259" s="2" t="s">
        <v>127</v>
      </c>
      <c r="C2259" s="2" t="s">
        <v>111</v>
      </c>
      <c r="D2259" s="2" t="s">
        <v>2867</v>
      </c>
      <c r="E2259" s="4" t="str">
        <f>HYPERLINK("./Results/DLO\3070\Osteo_Sarco_1.png","RPT")</f>
        <v>RPT</v>
      </c>
      <c r="F2259" s="2" t="s">
        <v>35</v>
      </c>
      <c r="G2259" s="6"/>
      <c r="I2259"/>
      <c r="J2259"/>
      <c r="K2259"/>
    </row>
    <row r="2260" spans="1:11" x14ac:dyDescent="0.3">
      <c r="A2260" s="2" t="s">
        <v>1656</v>
      </c>
      <c r="B2260" s="2" t="s">
        <v>126</v>
      </c>
      <c r="C2260" s="2" t="s">
        <v>111</v>
      </c>
      <c r="D2260" s="2" t="s">
        <v>2867</v>
      </c>
      <c r="E2260" s="4" t="str">
        <f>HYPERLINK("./Results/DLO\3071\Osteo_Sarco_1.png","RPT")</f>
        <v>RPT</v>
      </c>
      <c r="F2260" s="2" t="s">
        <v>58</v>
      </c>
      <c r="G2260" s="6"/>
      <c r="I2260"/>
      <c r="J2260"/>
      <c r="K2260"/>
    </row>
    <row r="2261" spans="1:11" x14ac:dyDescent="0.3">
      <c r="A2261" s="2" t="s">
        <v>1643</v>
      </c>
      <c r="B2261" s="2" t="s">
        <v>152</v>
      </c>
      <c r="C2261" s="2" t="s">
        <v>111</v>
      </c>
      <c r="D2261" s="2" t="s">
        <v>2859</v>
      </c>
      <c r="E2261" s="4" t="str">
        <f>HYPERLINK("./Results/DLO\3072\Osteo_Sarco_1.png","RPT")</f>
        <v>RPT</v>
      </c>
      <c r="F2261" s="2" t="s">
        <v>457</v>
      </c>
      <c r="G2261" s="6"/>
      <c r="I2261"/>
      <c r="J2261"/>
      <c r="K2261"/>
    </row>
    <row r="2262" spans="1:11" x14ac:dyDescent="0.3">
      <c r="A2262" s="2" t="s">
        <v>1651</v>
      </c>
      <c r="B2262" s="2" t="s">
        <v>143</v>
      </c>
      <c r="C2262" s="2" t="s">
        <v>111</v>
      </c>
      <c r="D2262" s="2" t="s">
        <v>2859</v>
      </c>
      <c r="E2262" s="4" t="str">
        <f>HYPERLINK("./Results/DLO\3073\Osteo_Sarco_1.png","RPT")</f>
        <v>RPT</v>
      </c>
      <c r="F2262" s="2" t="s">
        <v>449</v>
      </c>
      <c r="G2262" s="6"/>
      <c r="I2262"/>
      <c r="J2262"/>
      <c r="K2262"/>
    </row>
    <row r="2263" spans="1:11" x14ac:dyDescent="0.3">
      <c r="A2263" s="2" t="s">
        <v>1646</v>
      </c>
      <c r="B2263" s="2" t="s">
        <v>142</v>
      </c>
      <c r="C2263" s="2" t="s">
        <v>119</v>
      </c>
      <c r="D2263" s="2" t="s">
        <v>2867</v>
      </c>
      <c r="E2263" s="4" t="str">
        <f>HYPERLINK("./Results/DLO\3074\Osteo_Sarco_1.png","RPT")</f>
        <v>RPT</v>
      </c>
      <c r="F2263" s="2" t="s">
        <v>73</v>
      </c>
      <c r="G2263" s="6"/>
      <c r="I2263"/>
      <c r="J2263"/>
      <c r="K2263"/>
    </row>
    <row r="2264" spans="1:11" x14ac:dyDescent="0.3">
      <c r="A2264" s="2" t="s">
        <v>1657</v>
      </c>
      <c r="B2264" s="2" t="s">
        <v>160</v>
      </c>
      <c r="C2264" s="2" t="s">
        <v>111</v>
      </c>
      <c r="D2264" s="2" t="s">
        <v>2867</v>
      </c>
      <c r="E2264" s="4" t="str">
        <f>HYPERLINK("./Results/DLO\3075\Osteo_Sarco_1.png","RPT")</f>
        <v>RPT</v>
      </c>
      <c r="F2264" s="2" t="s">
        <v>55</v>
      </c>
      <c r="G2264" s="6"/>
      <c r="I2264"/>
      <c r="J2264"/>
      <c r="K2264"/>
    </row>
    <row r="2265" spans="1:11" x14ac:dyDescent="0.3">
      <c r="A2265" s="2" t="s">
        <v>1647</v>
      </c>
      <c r="B2265" s="2" t="s">
        <v>168</v>
      </c>
      <c r="C2265" s="2" t="s">
        <v>111</v>
      </c>
      <c r="D2265" s="2" t="s">
        <v>2867</v>
      </c>
      <c r="E2265" s="4" t="str">
        <f>HYPERLINK("./Results/DLO\3076\Osteo_Sarco_1.png","RPT")</f>
        <v>RPT</v>
      </c>
      <c r="F2265" s="2" t="s">
        <v>35</v>
      </c>
      <c r="G2265" s="6"/>
      <c r="H2265" s="1">
        <v>22.75</v>
      </c>
    </row>
    <row r="2266" spans="1:11" x14ac:dyDescent="0.3">
      <c r="A2266" s="2" t="s">
        <v>1648</v>
      </c>
      <c r="B2266" s="2" t="s">
        <v>131</v>
      </c>
      <c r="C2266" s="2" t="s">
        <v>119</v>
      </c>
      <c r="D2266" s="2" t="s">
        <v>2859</v>
      </c>
      <c r="E2266" s="4" t="str">
        <f>HYPERLINK("./Results/DLO\3077\Osteo_Sarco_1.png","RPT")</f>
        <v>RPT</v>
      </c>
      <c r="F2266" s="2" t="s">
        <v>74</v>
      </c>
      <c r="G2266" s="6"/>
      <c r="I2266"/>
      <c r="J2266"/>
      <c r="K2266"/>
    </row>
    <row r="2267" spans="1:11" x14ac:dyDescent="0.3">
      <c r="A2267" s="2" t="s">
        <v>1649</v>
      </c>
      <c r="B2267" s="2" t="s">
        <v>136</v>
      </c>
      <c r="C2267" s="2" t="s">
        <v>111</v>
      </c>
      <c r="D2267" s="2" t="s">
        <v>2859</v>
      </c>
      <c r="E2267" s="4" t="str">
        <f>HYPERLINK("./Results/DLO\3078\Osteo_Sarco_1.png","RPT")</f>
        <v>RPT</v>
      </c>
      <c r="F2267" s="2" t="s">
        <v>75</v>
      </c>
      <c r="G2267" s="6"/>
      <c r="I2267"/>
      <c r="J2267"/>
      <c r="K2267"/>
    </row>
    <row r="2268" spans="1:11" x14ac:dyDescent="0.3">
      <c r="A2268" s="2" t="s">
        <v>1679</v>
      </c>
      <c r="B2268" s="2" t="s">
        <v>134</v>
      </c>
      <c r="C2268" s="2" t="s">
        <v>119</v>
      </c>
      <c r="D2268" s="2" t="s">
        <v>2859</v>
      </c>
      <c r="E2268" s="4" t="str">
        <f>HYPERLINK("./Results/DLO\308\Osteo_Sarco_1.png","RPT")</f>
        <v>RPT</v>
      </c>
      <c r="F2268" s="2" t="s">
        <v>581</v>
      </c>
      <c r="G2268" s="6"/>
      <c r="H2268" s="1">
        <v>23.37</v>
      </c>
    </row>
    <row r="2269" spans="1:11" x14ac:dyDescent="0.3">
      <c r="A2269" s="2" t="s">
        <v>1674</v>
      </c>
      <c r="B2269" s="2" t="s">
        <v>133</v>
      </c>
      <c r="C2269" s="2" t="s">
        <v>111</v>
      </c>
      <c r="D2269" s="2" t="s">
        <v>2867</v>
      </c>
      <c r="E2269" s="4" t="str">
        <f>HYPERLINK("./Results/DLO\3080\Osteo_Sarco_1.png","RPT")</f>
        <v>RPT</v>
      </c>
      <c r="F2269" s="2" t="s">
        <v>96</v>
      </c>
      <c r="G2269" s="6"/>
      <c r="H2269" s="1">
        <v>24.84</v>
      </c>
    </row>
    <row r="2270" spans="1:11" x14ac:dyDescent="0.3">
      <c r="A2270" s="2" t="s">
        <v>1681</v>
      </c>
      <c r="B2270" s="2" t="s">
        <v>140</v>
      </c>
      <c r="C2270" s="2" t="s">
        <v>111</v>
      </c>
      <c r="D2270" s="2" t="s">
        <v>2867</v>
      </c>
      <c r="E2270" s="4" t="str">
        <f>HYPERLINK("./Results/DLO\3081\Osteo_Sarco_1.png","RPT")</f>
        <v>RPT</v>
      </c>
      <c r="F2270" s="2" t="s">
        <v>90</v>
      </c>
      <c r="G2270" s="6"/>
      <c r="I2270"/>
      <c r="J2270"/>
      <c r="K2270"/>
    </row>
    <row r="2271" spans="1:11" x14ac:dyDescent="0.3">
      <c r="A2271" s="2" t="s">
        <v>1658</v>
      </c>
      <c r="B2271" s="2" t="s">
        <v>146</v>
      </c>
      <c r="C2271" s="2" t="s">
        <v>119</v>
      </c>
      <c r="D2271" s="2" t="s">
        <v>2859</v>
      </c>
      <c r="E2271" s="4" t="str">
        <f>HYPERLINK("./Results/DLO\3082\Osteo_Sarco_1.png","RPT")</f>
        <v>RPT</v>
      </c>
      <c r="F2271" s="2" t="s">
        <v>96</v>
      </c>
      <c r="G2271" s="6"/>
      <c r="I2271"/>
      <c r="J2271"/>
      <c r="K2271"/>
    </row>
    <row r="2272" spans="1:11" x14ac:dyDescent="0.3">
      <c r="A2272" s="2" t="s">
        <v>1676</v>
      </c>
      <c r="B2272" s="2" t="s">
        <v>148</v>
      </c>
      <c r="C2272" s="2" t="s">
        <v>119</v>
      </c>
      <c r="D2272" s="2" t="s">
        <v>2859</v>
      </c>
      <c r="E2272" s="4" t="str">
        <f>HYPERLINK("./Results/DLO\3083\Osteo_Sarco_1.png","RPT")</f>
        <v>RPT</v>
      </c>
      <c r="F2272" s="2" t="s">
        <v>128</v>
      </c>
      <c r="G2272" s="6"/>
      <c r="I2272"/>
      <c r="J2272"/>
      <c r="K2272"/>
    </row>
    <row r="2273" spans="1:11" x14ac:dyDescent="0.3">
      <c r="A2273" s="2" t="s">
        <v>1667</v>
      </c>
      <c r="B2273" s="2" t="s">
        <v>587</v>
      </c>
      <c r="C2273" s="2" t="s">
        <v>119</v>
      </c>
      <c r="D2273" s="2" t="s">
        <v>2859</v>
      </c>
      <c r="E2273" s="4" t="str">
        <f>HYPERLINK("./Results/DLO\3084\Osteo_Sarco_1.png","RPT")</f>
        <v>RPT</v>
      </c>
      <c r="F2273" s="2" t="s">
        <v>50</v>
      </c>
      <c r="G2273" s="6"/>
      <c r="I2273"/>
      <c r="J2273"/>
      <c r="K2273"/>
    </row>
    <row r="2274" spans="1:11" x14ac:dyDescent="0.3">
      <c r="A2274" s="2" t="s">
        <v>1672</v>
      </c>
      <c r="B2274" s="2" t="s">
        <v>144</v>
      </c>
      <c r="C2274" s="2" t="s">
        <v>111</v>
      </c>
      <c r="D2274" s="2" t="s">
        <v>2859</v>
      </c>
      <c r="E2274" s="4" t="str">
        <f>HYPERLINK("./Results/DLO\3085\Osteo_Sarco_1.png","RPT")</f>
        <v>RPT</v>
      </c>
      <c r="F2274" s="2" t="s">
        <v>459</v>
      </c>
      <c r="G2274" s="6"/>
      <c r="I2274"/>
      <c r="J2274"/>
      <c r="K2274"/>
    </row>
    <row r="2275" spans="1:11" x14ac:dyDescent="0.3">
      <c r="A2275" s="2" t="s">
        <v>1664</v>
      </c>
      <c r="B2275" s="2" t="s">
        <v>149</v>
      </c>
      <c r="C2275" s="2" t="s">
        <v>119</v>
      </c>
      <c r="D2275" s="2" t="s">
        <v>2859</v>
      </c>
      <c r="E2275" s="4" t="str">
        <f>HYPERLINK("./Results/DLO\3086\Osteo_Sarco_1.png","RPT")</f>
        <v>RPT</v>
      </c>
      <c r="F2275" s="2" t="s">
        <v>72</v>
      </c>
      <c r="G2275" s="6"/>
      <c r="H2275" s="1">
        <v>25.07</v>
      </c>
    </row>
    <row r="2276" spans="1:11" x14ac:dyDescent="0.3">
      <c r="A2276" s="2" t="s">
        <v>1680</v>
      </c>
      <c r="B2276" s="2" t="s">
        <v>137</v>
      </c>
      <c r="C2276" s="2" t="s">
        <v>111</v>
      </c>
      <c r="D2276" s="2" t="s">
        <v>2867</v>
      </c>
      <c r="E2276" s="4" t="str">
        <f>HYPERLINK("./Results/DLO\3087\Osteo_Sarco_1.png","RPT")</f>
        <v>RPT</v>
      </c>
      <c r="F2276" s="2" t="s">
        <v>98</v>
      </c>
      <c r="G2276" s="6"/>
      <c r="I2276"/>
      <c r="J2276"/>
      <c r="K2276"/>
    </row>
    <row r="2277" spans="1:11" x14ac:dyDescent="0.3">
      <c r="A2277" s="2" t="s">
        <v>1665</v>
      </c>
      <c r="B2277" s="2" t="s">
        <v>136</v>
      </c>
      <c r="C2277" s="2" t="s">
        <v>111</v>
      </c>
      <c r="D2277" s="2" t="s">
        <v>2859</v>
      </c>
      <c r="E2277" s="4" t="str">
        <f>HYPERLINK("./Results/DLO\3088\Osteo_Sarco_1.png","RPT")</f>
        <v>RPT</v>
      </c>
      <c r="F2277" s="2" t="s">
        <v>105</v>
      </c>
      <c r="G2277" s="6"/>
      <c r="H2277" s="1">
        <v>20.94</v>
      </c>
    </row>
    <row r="2278" spans="1:11" x14ac:dyDescent="0.3">
      <c r="A2278" s="2" t="s">
        <v>1677</v>
      </c>
      <c r="B2278" s="2" t="s">
        <v>142</v>
      </c>
      <c r="C2278" s="2" t="s">
        <v>119</v>
      </c>
      <c r="D2278" s="2" t="s">
        <v>1935</v>
      </c>
      <c r="E2278" s="4" t="str">
        <f>HYPERLINK("./Results/DLO\3089\Osteo_Sarco_1.png","RPT")</f>
        <v>RPT</v>
      </c>
      <c r="F2278" s="2" t="s">
        <v>34</v>
      </c>
      <c r="G2278" s="6"/>
      <c r="I2278"/>
      <c r="J2278"/>
      <c r="K2278"/>
    </row>
    <row r="2279" spans="1:11" x14ac:dyDescent="0.3">
      <c r="A2279" s="2" t="s">
        <v>1666</v>
      </c>
      <c r="B2279" s="2" t="s">
        <v>162</v>
      </c>
      <c r="C2279" s="2" t="s">
        <v>119</v>
      </c>
      <c r="D2279" s="2" t="s">
        <v>2131</v>
      </c>
      <c r="E2279" s="4" t="str">
        <f>HYPERLINK("./Results/DLO\309\Osteo_Sarco_1.png","RPT")</f>
        <v>RPT</v>
      </c>
      <c r="F2279" s="2" t="s">
        <v>474</v>
      </c>
      <c r="G2279" s="6"/>
      <c r="I2279"/>
      <c r="J2279"/>
      <c r="K2279"/>
    </row>
    <row r="2280" spans="1:11" x14ac:dyDescent="0.3">
      <c r="A2280" s="2" t="s">
        <v>1678</v>
      </c>
      <c r="B2280" s="2" t="s">
        <v>162</v>
      </c>
      <c r="C2280" s="2" t="s">
        <v>111</v>
      </c>
      <c r="D2280" s="2" t="s">
        <v>2859</v>
      </c>
      <c r="E2280" s="4" t="str">
        <f>HYPERLINK("./Results/DLO\3090\Osteo_Sarco_1.png","RPT")</f>
        <v>RPT</v>
      </c>
      <c r="F2280" s="2" t="s">
        <v>53</v>
      </c>
      <c r="G2280" s="6"/>
      <c r="I2280"/>
      <c r="J2280"/>
      <c r="K2280"/>
    </row>
    <row r="2281" spans="1:11" x14ac:dyDescent="0.3">
      <c r="A2281" s="2" t="s">
        <v>1662</v>
      </c>
      <c r="B2281" s="2" t="s">
        <v>140</v>
      </c>
      <c r="C2281" s="2" t="s">
        <v>111</v>
      </c>
      <c r="D2281" s="2" t="s">
        <v>1960</v>
      </c>
      <c r="E2281" s="4" t="str">
        <f>HYPERLINK("./Results/DLO\3091\Osteo_Sarco_1.png","RPT")</f>
        <v>RPT</v>
      </c>
      <c r="F2281" s="2" t="s">
        <v>107</v>
      </c>
      <c r="G2281" s="6"/>
      <c r="H2281" s="1">
        <v>22.18</v>
      </c>
    </row>
    <row r="2282" spans="1:11" x14ac:dyDescent="0.3">
      <c r="A2282" s="2" t="s">
        <v>1670</v>
      </c>
      <c r="B2282" s="2" t="s">
        <v>129</v>
      </c>
      <c r="C2282" s="2" t="s">
        <v>119</v>
      </c>
      <c r="D2282" s="2" t="s">
        <v>2859</v>
      </c>
      <c r="E2282" s="4" t="str">
        <f>HYPERLINK("./Results/DLO\3092\Osteo_Sarco_1.png","RPT")</f>
        <v>RPT</v>
      </c>
      <c r="F2282" s="2" t="s">
        <v>77</v>
      </c>
      <c r="G2282" s="6"/>
      <c r="I2282"/>
      <c r="J2282"/>
      <c r="K2282"/>
    </row>
    <row r="2283" spans="1:11" x14ac:dyDescent="0.3">
      <c r="A2283" s="2" t="s">
        <v>1659</v>
      </c>
      <c r="B2283" s="2" t="s">
        <v>149</v>
      </c>
      <c r="C2283" s="2" t="s">
        <v>111</v>
      </c>
      <c r="D2283" s="2" t="s">
        <v>2859</v>
      </c>
      <c r="E2283" s="4" t="str">
        <f>HYPERLINK("./Results/DLO\3093\Osteo_Sarco_1.png","RPT")</f>
        <v>RPT</v>
      </c>
      <c r="F2283" s="2" t="s">
        <v>78</v>
      </c>
      <c r="G2283" s="6"/>
      <c r="I2283"/>
      <c r="J2283"/>
      <c r="K2283"/>
    </row>
    <row r="2284" spans="1:11" x14ac:dyDescent="0.3">
      <c r="A2284" s="2" t="s">
        <v>1660</v>
      </c>
      <c r="B2284" s="2" t="s">
        <v>127</v>
      </c>
      <c r="C2284" s="2" t="s">
        <v>111</v>
      </c>
      <c r="D2284" s="2" t="s">
        <v>2859</v>
      </c>
      <c r="E2284" s="4" t="str">
        <f>HYPERLINK("./Results/DLO\3094\Osteo_Sarco_1.png","RPT")</f>
        <v>RPT</v>
      </c>
      <c r="F2284" s="2" t="s">
        <v>35</v>
      </c>
      <c r="G2284" s="6"/>
      <c r="I2284"/>
      <c r="J2284"/>
      <c r="K2284"/>
    </row>
    <row r="2285" spans="1:11" x14ac:dyDescent="0.3">
      <c r="A2285" s="2" t="s">
        <v>1669</v>
      </c>
      <c r="B2285" s="2" t="s">
        <v>149</v>
      </c>
      <c r="C2285" s="2" t="s">
        <v>119</v>
      </c>
      <c r="D2285" s="2" t="s">
        <v>2859</v>
      </c>
      <c r="E2285" s="4" t="str">
        <f>HYPERLINK("./Results/DLO\3095\Osteo_Sarco_1.png","RPT")</f>
        <v>RPT</v>
      </c>
      <c r="F2285" s="2" t="s">
        <v>56</v>
      </c>
      <c r="G2285" s="6"/>
      <c r="I2285"/>
      <c r="J2285"/>
      <c r="K2285"/>
    </row>
    <row r="2286" spans="1:11" x14ac:dyDescent="0.3">
      <c r="A2286" s="2" t="s">
        <v>1661</v>
      </c>
      <c r="B2286" s="2" t="s">
        <v>125</v>
      </c>
      <c r="C2286" s="2" t="s">
        <v>111</v>
      </c>
      <c r="D2286" s="2" t="s">
        <v>1960</v>
      </c>
      <c r="E2286" s="4" t="str">
        <f>HYPERLINK("./Results/DLO\3096\Osteo_Sarco_1.png","RPT")</f>
        <v>RPT</v>
      </c>
      <c r="F2286" s="2" t="s">
        <v>69</v>
      </c>
      <c r="G2286" s="6"/>
      <c r="H2286" s="1">
        <v>27.19</v>
      </c>
    </row>
    <row r="2287" spans="1:11" x14ac:dyDescent="0.3">
      <c r="A2287" s="2" t="s">
        <v>1663</v>
      </c>
      <c r="B2287" s="2" t="s">
        <v>144</v>
      </c>
      <c r="C2287" s="2" t="s">
        <v>111</v>
      </c>
      <c r="D2287" s="2" t="s">
        <v>2859</v>
      </c>
      <c r="E2287" s="4" t="str">
        <f>HYPERLINK("./Results/DLO\3097\Osteo_Sarco_1.png","RPT")</f>
        <v>RPT</v>
      </c>
      <c r="F2287" s="2" t="s">
        <v>71</v>
      </c>
      <c r="G2287" s="6"/>
      <c r="I2287"/>
      <c r="J2287"/>
      <c r="K2287"/>
    </row>
    <row r="2288" spans="1:11" x14ac:dyDescent="0.3">
      <c r="A2288" s="2" t="s">
        <v>1668</v>
      </c>
      <c r="B2288" s="2" t="s">
        <v>126</v>
      </c>
      <c r="C2288" s="2" t="s">
        <v>119</v>
      </c>
      <c r="D2288" s="2" t="s">
        <v>2859</v>
      </c>
      <c r="E2288" s="4" t="str">
        <f>HYPERLINK("./Results/DLO\3098\Osteo_Sarco_1.png","RPT")</f>
        <v>RPT</v>
      </c>
      <c r="F2288" s="2" t="s">
        <v>45</v>
      </c>
      <c r="G2288" s="6"/>
      <c r="H2288" s="1">
        <v>22.54</v>
      </c>
    </row>
    <row r="2289" spans="1:11" x14ac:dyDescent="0.3">
      <c r="A2289" s="2" t="s">
        <v>1671</v>
      </c>
      <c r="B2289" s="2" t="s">
        <v>157</v>
      </c>
      <c r="C2289" s="2" t="s">
        <v>111</v>
      </c>
      <c r="D2289" s="2" t="s">
        <v>1960</v>
      </c>
      <c r="E2289" s="4" t="str">
        <f>HYPERLINK("./Results/DLO\3099\Osteo_Sarco_1.png","RPT")</f>
        <v>RPT</v>
      </c>
      <c r="F2289" s="2" t="s">
        <v>121</v>
      </c>
      <c r="G2289" s="6"/>
      <c r="I2289"/>
      <c r="J2289"/>
      <c r="K2289"/>
    </row>
    <row r="2290" spans="1:11" x14ac:dyDescent="0.3">
      <c r="A2290" s="2" t="s">
        <v>1673</v>
      </c>
      <c r="B2290" s="2" t="s">
        <v>116</v>
      </c>
      <c r="C2290" s="2" t="s">
        <v>119</v>
      </c>
      <c r="D2290" s="2" t="s">
        <v>2859</v>
      </c>
      <c r="E2290" s="4" t="str">
        <f>HYPERLINK("./Results/DLO\31\Osteo_Sarco_1.png","RPT")</f>
        <v>RPT</v>
      </c>
      <c r="F2290" s="2" t="s">
        <v>60</v>
      </c>
      <c r="G2290" s="6"/>
      <c r="I2290"/>
      <c r="J2290"/>
      <c r="K2290"/>
    </row>
    <row r="2291" spans="1:11" x14ac:dyDescent="0.3">
      <c r="A2291" s="2" t="s">
        <v>1675</v>
      </c>
      <c r="B2291" s="2" t="s">
        <v>142</v>
      </c>
      <c r="C2291" s="2" t="s">
        <v>111</v>
      </c>
      <c r="D2291" s="2" t="s">
        <v>2859</v>
      </c>
      <c r="E2291" s="4" t="str">
        <f>HYPERLINK("./Results/DLO\310\Osteo_Sarco_1.png","RPT")</f>
        <v>RPT</v>
      </c>
      <c r="F2291" s="2" t="s">
        <v>104</v>
      </c>
      <c r="G2291" s="6"/>
      <c r="I2291"/>
      <c r="J2291"/>
      <c r="K2291"/>
    </row>
    <row r="2292" spans="1:11" x14ac:dyDescent="0.3">
      <c r="A2292" s="2" t="s">
        <v>1687</v>
      </c>
      <c r="B2292" s="2" t="s">
        <v>587</v>
      </c>
      <c r="C2292" s="2" t="s">
        <v>111</v>
      </c>
      <c r="D2292" s="2" t="s">
        <v>2867</v>
      </c>
      <c r="E2292" s="4" t="str">
        <f>HYPERLINK("./Results/DLO\3100\Osteo_Sarco_1.png","RPT")</f>
        <v>RPT</v>
      </c>
      <c r="F2292" s="2" t="s">
        <v>34</v>
      </c>
      <c r="G2292" s="6"/>
      <c r="I2292"/>
      <c r="J2292"/>
      <c r="K2292"/>
    </row>
    <row r="2293" spans="1:11" x14ac:dyDescent="0.3">
      <c r="A2293" s="2" t="s">
        <v>1686</v>
      </c>
      <c r="B2293" s="2" t="s">
        <v>148</v>
      </c>
      <c r="C2293" s="2" t="s">
        <v>119</v>
      </c>
      <c r="D2293" s="2" t="s">
        <v>2859</v>
      </c>
      <c r="E2293" s="4" t="str">
        <f>HYPERLINK("./Results/DLO\3101\Osteo_Sarco_1.png","RPT")</f>
        <v>RPT</v>
      </c>
      <c r="F2293" s="2" t="s">
        <v>70</v>
      </c>
      <c r="G2293" s="6"/>
      <c r="I2293"/>
      <c r="J2293"/>
      <c r="K2293"/>
    </row>
    <row r="2294" spans="1:11" x14ac:dyDescent="0.3">
      <c r="A2294" s="2" t="s">
        <v>1684</v>
      </c>
      <c r="B2294" s="2" t="s">
        <v>142</v>
      </c>
      <c r="C2294" s="2" t="s">
        <v>119</v>
      </c>
      <c r="D2294" s="2" t="s">
        <v>2131</v>
      </c>
      <c r="E2294" s="4" t="str">
        <f>HYPERLINK("./Results/DLO\3102\Osteo_Sarco_1.png","RPT")</f>
        <v>RPT</v>
      </c>
      <c r="F2294" s="2" t="s">
        <v>38</v>
      </c>
      <c r="G2294" s="6"/>
      <c r="I2294"/>
      <c r="J2294"/>
      <c r="K2294"/>
    </row>
    <row r="2295" spans="1:11" x14ac:dyDescent="0.3">
      <c r="A2295" s="2" t="s">
        <v>1685</v>
      </c>
      <c r="B2295" s="2" t="s">
        <v>116</v>
      </c>
      <c r="C2295" s="2" t="s">
        <v>119</v>
      </c>
      <c r="D2295" s="2" t="s">
        <v>1957</v>
      </c>
      <c r="E2295" s="4" t="str">
        <f>HYPERLINK("./Results/DLO\3103\Osteo_Sarco_1.png","RPT")</f>
        <v>RPT</v>
      </c>
      <c r="F2295" s="2" t="s">
        <v>575</v>
      </c>
      <c r="G2295" s="6"/>
      <c r="I2295"/>
      <c r="J2295"/>
      <c r="K2295"/>
    </row>
    <row r="2296" spans="1:11" x14ac:dyDescent="0.3">
      <c r="A2296" s="2" t="s">
        <v>1693</v>
      </c>
      <c r="B2296" s="2" t="s">
        <v>592</v>
      </c>
      <c r="C2296" s="2" t="s">
        <v>111</v>
      </c>
      <c r="D2296" s="2" t="s">
        <v>2867</v>
      </c>
      <c r="E2296" s="4" t="str">
        <f>HYPERLINK("./Results/DLO\3105\Osteo_Sarco_1.png","RPT")</f>
        <v>RPT</v>
      </c>
      <c r="F2296" s="2" t="s">
        <v>465</v>
      </c>
      <c r="G2296" s="6"/>
      <c r="I2296"/>
      <c r="J2296"/>
      <c r="K2296"/>
    </row>
    <row r="2297" spans="1:11" x14ac:dyDescent="0.3">
      <c r="A2297" s="2" t="s">
        <v>1700</v>
      </c>
      <c r="B2297" s="2" t="s">
        <v>165</v>
      </c>
      <c r="C2297" s="2" t="s">
        <v>111</v>
      </c>
      <c r="D2297" s="2" t="s">
        <v>2859</v>
      </c>
      <c r="E2297" s="4" t="str">
        <f>HYPERLINK("./Results/DLO\3106\Osteo_Sarco_1.png","RPT")</f>
        <v>RPT</v>
      </c>
      <c r="F2297" s="2" t="s">
        <v>98</v>
      </c>
      <c r="G2297" s="6"/>
      <c r="H2297" s="1">
        <v>22.01</v>
      </c>
    </row>
    <row r="2298" spans="1:11" x14ac:dyDescent="0.3">
      <c r="A2298" s="2" t="s">
        <v>1688</v>
      </c>
      <c r="B2298" s="2" t="s">
        <v>148</v>
      </c>
      <c r="C2298" s="2" t="s">
        <v>111</v>
      </c>
      <c r="D2298" s="2" t="s">
        <v>2867</v>
      </c>
      <c r="E2298" s="4" t="str">
        <f>HYPERLINK("./Results/DLO\3107\Osteo_Sarco_1.png","RPT")</f>
        <v>RPT</v>
      </c>
      <c r="F2298" s="2" t="s">
        <v>58</v>
      </c>
      <c r="G2298" s="6"/>
      <c r="I2298"/>
      <c r="J2298"/>
      <c r="K2298"/>
    </row>
    <row r="2299" spans="1:11" x14ac:dyDescent="0.3">
      <c r="A2299" s="2" t="s">
        <v>1692</v>
      </c>
      <c r="B2299" s="2" t="s">
        <v>127</v>
      </c>
      <c r="C2299" s="2" t="s">
        <v>119</v>
      </c>
      <c r="D2299" s="2" t="s">
        <v>2859</v>
      </c>
      <c r="E2299" s="4" t="str">
        <f>HYPERLINK("./Results/DLO\3108\Osteo_Sarco_1.png","RPT")</f>
        <v>RPT</v>
      </c>
      <c r="F2299" s="2" t="s">
        <v>57</v>
      </c>
      <c r="G2299" s="6"/>
      <c r="I2299"/>
      <c r="J2299"/>
      <c r="K2299"/>
    </row>
    <row r="2300" spans="1:11" x14ac:dyDescent="0.3">
      <c r="A2300" s="2" t="s">
        <v>1701</v>
      </c>
      <c r="B2300" s="2" t="s">
        <v>136</v>
      </c>
      <c r="C2300" s="2" t="s">
        <v>111</v>
      </c>
      <c r="D2300" s="2" t="s">
        <v>2867</v>
      </c>
      <c r="E2300" s="4" t="str">
        <f>HYPERLINK("./Results/DLO\3109\Osteo_Sarco_1.png","RPT")</f>
        <v>RPT</v>
      </c>
      <c r="F2300" s="2" t="s">
        <v>98</v>
      </c>
      <c r="G2300" s="6"/>
      <c r="H2300" s="1">
        <v>24.97</v>
      </c>
    </row>
    <row r="2301" spans="1:11" x14ac:dyDescent="0.3">
      <c r="A2301" s="2" t="s">
        <v>1703</v>
      </c>
      <c r="B2301" s="2" t="s">
        <v>129</v>
      </c>
      <c r="C2301" s="2" t="s">
        <v>119</v>
      </c>
      <c r="D2301" s="2" t="s">
        <v>2867</v>
      </c>
      <c r="E2301" s="4" t="str">
        <f>HYPERLINK("./Results/DLO\311\Osteo_Sarco_1.png","RPT")</f>
        <v>RPT</v>
      </c>
      <c r="F2301" s="2" t="s">
        <v>98</v>
      </c>
      <c r="G2301" s="6"/>
      <c r="I2301"/>
      <c r="J2301"/>
      <c r="K2301"/>
    </row>
    <row r="2302" spans="1:11" x14ac:dyDescent="0.3">
      <c r="A2302" s="2" t="s">
        <v>1689</v>
      </c>
      <c r="B2302" s="2" t="s">
        <v>133</v>
      </c>
      <c r="C2302" s="2" t="s">
        <v>119</v>
      </c>
      <c r="D2302" s="2" t="s">
        <v>2867</v>
      </c>
      <c r="E2302" s="4" t="str">
        <f>HYPERLINK("./Results/DLO\3110\Osteo_Sarco_1.png","RPT")</f>
        <v>RPT</v>
      </c>
      <c r="F2302" s="2" t="s">
        <v>29</v>
      </c>
      <c r="G2302" s="6"/>
      <c r="I2302"/>
      <c r="J2302"/>
      <c r="K2302"/>
    </row>
    <row r="2303" spans="1:11" x14ac:dyDescent="0.3">
      <c r="A2303" s="2" t="s">
        <v>1702</v>
      </c>
      <c r="B2303" s="2" t="s">
        <v>587</v>
      </c>
      <c r="C2303" s="2" t="s">
        <v>111</v>
      </c>
      <c r="D2303" s="2" t="s">
        <v>2867</v>
      </c>
      <c r="E2303" s="4" t="str">
        <f>HYPERLINK("./Results/DLO\3112\Osteo_Sarco_1.png","RPT")</f>
        <v>RPT</v>
      </c>
      <c r="F2303" s="2" t="s">
        <v>47</v>
      </c>
      <c r="G2303" s="6"/>
      <c r="H2303" s="1">
        <v>21.64</v>
      </c>
    </row>
    <row r="2304" spans="1:11" x14ac:dyDescent="0.3">
      <c r="A2304" s="2" t="s">
        <v>1690</v>
      </c>
      <c r="B2304" s="2" t="s">
        <v>140</v>
      </c>
      <c r="C2304" s="2" t="s">
        <v>119</v>
      </c>
      <c r="D2304" s="2" t="s">
        <v>2867</v>
      </c>
      <c r="E2304" s="4" t="str">
        <f>HYPERLINK("./Results/DLO\3113\Osteo_Sarco_1.png","RPT")</f>
        <v>RPT</v>
      </c>
      <c r="F2304" s="2" t="s">
        <v>48</v>
      </c>
      <c r="G2304" s="6"/>
      <c r="H2304" s="1">
        <v>25.9</v>
      </c>
    </row>
    <row r="2305" spans="1:11" x14ac:dyDescent="0.3">
      <c r="A2305" s="2" t="s">
        <v>1698</v>
      </c>
      <c r="B2305" s="2" t="s">
        <v>168</v>
      </c>
      <c r="C2305" s="2" t="s">
        <v>111</v>
      </c>
      <c r="D2305" s="2" t="s">
        <v>2867</v>
      </c>
      <c r="E2305" s="4" t="str">
        <f>HYPERLINK("./Results/DLO\3114\Osteo_Sarco_1.png","RPT")</f>
        <v>RPT</v>
      </c>
      <c r="F2305" s="2" t="s">
        <v>464</v>
      </c>
      <c r="G2305" s="6"/>
      <c r="I2305"/>
      <c r="J2305"/>
      <c r="K2305"/>
    </row>
    <row r="2306" spans="1:11" x14ac:dyDescent="0.3">
      <c r="A2306" s="2" t="s">
        <v>1699</v>
      </c>
      <c r="B2306" s="2" t="s">
        <v>166</v>
      </c>
      <c r="C2306" s="2" t="s">
        <v>111</v>
      </c>
      <c r="D2306" s="2" t="s">
        <v>2131</v>
      </c>
      <c r="E2306" s="4" t="str">
        <f>HYPERLINK("./Results/DLO\3115\Osteo_Sarco_1.png","RPT")</f>
        <v>RPT</v>
      </c>
      <c r="F2306" s="2" t="s">
        <v>40</v>
      </c>
      <c r="G2306" s="6"/>
      <c r="I2306"/>
      <c r="J2306"/>
      <c r="K2306"/>
    </row>
    <row r="2307" spans="1:11" x14ac:dyDescent="0.3">
      <c r="A2307" s="2" t="s">
        <v>1691</v>
      </c>
      <c r="B2307" s="2" t="s">
        <v>133</v>
      </c>
      <c r="C2307" s="2" t="s">
        <v>111</v>
      </c>
      <c r="D2307" s="2" t="s">
        <v>2867</v>
      </c>
      <c r="E2307" s="4" t="str">
        <f>HYPERLINK("./Results/DLO\3116\Osteo_Sarco_1.png","RPT")</f>
        <v>RPT</v>
      </c>
      <c r="F2307" s="2" t="s">
        <v>445</v>
      </c>
      <c r="G2307" s="6"/>
      <c r="H2307" s="1">
        <v>24.65</v>
      </c>
    </row>
    <row r="2308" spans="1:11" x14ac:dyDescent="0.3">
      <c r="A2308" s="2" t="s">
        <v>1694</v>
      </c>
      <c r="B2308" s="2" t="s">
        <v>123</v>
      </c>
      <c r="C2308" s="2" t="s">
        <v>119</v>
      </c>
      <c r="D2308" s="2" t="s">
        <v>2867</v>
      </c>
      <c r="E2308" s="4" t="str">
        <f>HYPERLINK("./Results/DLO\3118\Osteo_Sarco_1.png","RPT")</f>
        <v>RPT</v>
      </c>
      <c r="F2308" s="2" t="s">
        <v>73</v>
      </c>
      <c r="G2308" s="6"/>
      <c r="I2308"/>
      <c r="J2308"/>
      <c r="K2308"/>
    </row>
    <row r="2309" spans="1:11" x14ac:dyDescent="0.3">
      <c r="A2309" s="2" t="s">
        <v>1695</v>
      </c>
      <c r="B2309" s="2" t="s">
        <v>144</v>
      </c>
      <c r="C2309" s="2" t="s">
        <v>111</v>
      </c>
      <c r="D2309" s="2" t="s">
        <v>2867</v>
      </c>
      <c r="E2309" s="4" t="str">
        <f>HYPERLINK("./Results/DLO\3119\Osteo_Sarco_1.png","RPT")</f>
        <v>RPT</v>
      </c>
      <c r="F2309" s="2" t="s">
        <v>466</v>
      </c>
      <c r="G2309" s="6"/>
      <c r="H2309" s="1">
        <v>23.39</v>
      </c>
    </row>
    <row r="2310" spans="1:11" x14ac:dyDescent="0.3">
      <c r="A2310" s="2" t="s">
        <v>1704</v>
      </c>
      <c r="B2310" s="2" t="s">
        <v>167</v>
      </c>
      <c r="C2310" s="2" t="s">
        <v>111</v>
      </c>
      <c r="D2310" s="2" t="s">
        <v>2859</v>
      </c>
      <c r="E2310" s="4" t="str">
        <f>HYPERLINK("./Results/DLO\312\Osteo_Sarco_1.png","RPT")</f>
        <v>RPT</v>
      </c>
      <c r="F2310" s="2" t="s">
        <v>52</v>
      </c>
      <c r="G2310" s="6"/>
      <c r="I2310"/>
      <c r="J2310"/>
      <c r="K2310"/>
    </row>
    <row r="2311" spans="1:11" x14ac:dyDescent="0.3">
      <c r="A2311" s="2" t="s">
        <v>1927</v>
      </c>
      <c r="B2311" s="2" t="s">
        <v>146</v>
      </c>
      <c r="C2311" s="2" t="s">
        <v>111</v>
      </c>
      <c r="D2311" s="2" t="s">
        <v>2867</v>
      </c>
      <c r="E2311" s="4" t="str">
        <f>HYPERLINK("./Results/DLO\3121\Osteo_Sarco_1.png","RPT")</f>
        <v>RPT</v>
      </c>
      <c r="F2311" s="2" t="s">
        <v>67</v>
      </c>
      <c r="G2311" s="6"/>
      <c r="I2311"/>
      <c r="J2311"/>
      <c r="K2311"/>
    </row>
    <row r="2312" spans="1:11" x14ac:dyDescent="0.3">
      <c r="A2312" s="2" t="s">
        <v>1926</v>
      </c>
      <c r="B2312" s="2" t="s">
        <v>120</v>
      </c>
      <c r="C2312" s="2" t="s">
        <v>111</v>
      </c>
      <c r="D2312" s="2" t="s">
        <v>2859</v>
      </c>
      <c r="E2312" s="4" t="str">
        <f>HYPERLINK("./Results/DLO\3122\Osteo_Sarco_1.png","RPT")</f>
        <v>RPT</v>
      </c>
      <c r="F2312" s="2" t="s">
        <v>43</v>
      </c>
      <c r="G2312" s="6"/>
      <c r="I2312"/>
      <c r="J2312"/>
      <c r="K2312"/>
    </row>
    <row r="2313" spans="1:11" x14ac:dyDescent="0.3">
      <c r="A2313" s="2" t="s">
        <v>1924</v>
      </c>
      <c r="B2313" s="2" t="s">
        <v>123</v>
      </c>
      <c r="C2313" s="2" t="s">
        <v>111</v>
      </c>
      <c r="D2313" s="2" t="s">
        <v>2867</v>
      </c>
      <c r="E2313" s="4" t="str">
        <f>HYPERLINK("./Results/DLO\3123\Osteo_Sarco_1.png","RPT")</f>
        <v>RPT</v>
      </c>
      <c r="F2313" s="2" t="s">
        <v>94</v>
      </c>
      <c r="G2313" s="6"/>
      <c r="H2313" s="1">
        <v>26.93</v>
      </c>
    </row>
    <row r="2314" spans="1:11" x14ac:dyDescent="0.3">
      <c r="A2314" s="2" t="s">
        <v>1928</v>
      </c>
      <c r="B2314" s="2" t="s">
        <v>144</v>
      </c>
      <c r="C2314" s="2" t="s">
        <v>111</v>
      </c>
      <c r="D2314" s="2" t="s">
        <v>2867</v>
      </c>
      <c r="E2314" s="4" t="str">
        <f>HYPERLINK("./Results/DLO\3124\Osteo_Sarco_1.png","RPT")</f>
        <v>RPT</v>
      </c>
      <c r="F2314" s="2" t="s">
        <v>76</v>
      </c>
      <c r="G2314" s="6"/>
      <c r="I2314"/>
      <c r="J2314"/>
      <c r="K2314"/>
    </row>
    <row r="2315" spans="1:11" x14ac:dyDescent="0.3">
      <c r="A2315" s="2" t="s">
        <v>1923</v>
      </c>
      <c r="B2315" s="2" t="s">
        <v>578</v>
      </c>
      <c r="C2315" s="2" t="s">
        <v>111</v>
      </c>
      <c r="D2315" s="2" t="s">
        <v>2016</v>
      </c>
      <c r="E2315" s="4" t="str">
        <f>HYPERLINK("./Results/DLO\3125\Osteo_Sarco_1.png","RPT")</f>
        <v>RPT</v>
      </c>
      <c r="F2315" s="2" t="s">
        <v>574</v>
      </c>
      <c r="G2315" s="6"/>
      <c r="I2315"/>
      <c r="J2315"/>
      <c r="K2315"/>
    </row>
    <row r="2316" spans="1:11" x14ac:dyDescent="0.3">
      <c r="A2316" s="2" t="s">
        <v>1929</v>
      </c>
      <c r="B2316" s="2" t="s">
        <v>131</v>
      </c>
      <c r="C2316" s="2" t="s">
        <v>119</v>
      </c>
      <c r="D2316" s="2" t="s">
        <v>2867</v>
      </c>
      <c r="E2316" s="4" t="str">
        <f>HYPERLINK("./Results/DLO\3126\Osteo_Sarco_1.png","RPT")</f>
        <v>RPT</v>
      </c>
      <c r="F2316" s="2" t="s">
        <v>87</v>
      </c>
      <c r="G2316" s="6"/>
      <c r="I2316"/>
      <c r="J2316"/>
      <c r="K2316"/>
    </row>
    <row r="2317" spans="1:11" x14ac:dyDescent="0.3">
      <c r="A2317" s="2" t="s">
        <v>1922</v>
      </c>
      <c r="B2317" s="2" t="s">
        <v>157</v>
      </c>
      <c r="C2317" s="2" t="s">
        <v>119</v>
      </c>
      <c r="D2317" s="2" t="s">
        <v>2867</v>
      </c>
      <c r="E2317" s="4" t="str">
        <f>HYPERLINK("./Results/DLO\3127\Osteo_Sarco_1.png","RPT")</f>
        <v>RPT</v>
      </c>
      <c r="F2317" s="2" t="s">
        <v>29</v>
      </c>
      <c r="G2317" s="6"/>
      <c r="I2317"/>
      <c r="J2317"/>
      <c r="K2317"/>
    </row>
    <row r="2318" spans="1:11" x14ac:dyDescent="0.3">
      <c r="A2318" s="2" t="s">
        <v>1925</v>
      </c>
      <c r="B2318" s="2" t="s">
        <v>162</v>
      </c>
      <c r="C2318" s="2" t="s">
        <v>119</v>
      </c>
      <c r="D2318" s="2" t="s">
        <v>2867</v>
      </c>
      <c r="E2318" s="4" t="str">
        <f>HYPERLINK("./Results/DLO\3128\Osteo_Sarco_1.png","RPT")</f>
        <v>RPT</v>
      </c>
      <c r="F2318" s="2" t="s">
        <v>112</v>
      </c>
      <c r="G2318" s="6"/>
      <c r="I2318"/>
      <c r="J2318"/>
      <c r="K2318"/>
    </row>
    <row r="2319" spans="1:11" x14ac:dyDescent="0.3">
      <c r="A2319" s="2" t="s">
        <v>1682</v>
      </c>
      <c r="B2319" s="2" t="s">
        <v>112</v>
      </c>
      <c r="C2319" s="2" t="s">
        <v>119</v>
      </c>
      <c r="D2319" s="2" t="s">
        <v>2859</v>
      </c>
      <c r="E2319" s="4" t="str">
        <f>HYPERLINK("./Results/DLO\3129\Osteo_Sarco_1.png","RPT")</f>
        <v>RPT</v>
      </c>
      <c r="F2319" s="2" t="s">
        <v>36</v>
      </c>
      <c r="G2319" s="6"/>
      <c r="H2319" s="1">
        <v>26.37</v>
      </c>
    </row>
    <row r="2320" spans="1:11" x14ac:dyDescent="0.3">
      <c r="A2320" s="2" t="s">
        <v>1683</v>
      </c>
      <c r="B2320" s="2" t="s">
        <v>114</v>
      </c>
      <c r="C2320" s="2" t="s">
        <v>111</v>
      </c>
      <c r="D2320" s="2" t="s">
        <v>2859</v>
      </c>
      <c r="E2320" s="4" t="str">
        <f>HYPERLINK("./Results/DLO\313\Osteo_Sarco_1.png","RPT")</f>
        <v>RPT</v>
      </c>
      <c r="F2320" s="2" t="s">
        <v>448</v>
      </c>
      <c r="G2320" s="6"/>
      <c r="I2320"/>
      <c r="J2320"/>
      <c r="K2320"/>
    </row>
    <row r="2321" spans="1:8" x14ac:dyDescent="0.3">
      <c r="A2321" s="2" t="s">
        <v>1696</v>
      </c>
      <c r="B2321" s="2" t="s">
        <v>129</v>
      </c>
      <c r="C2321" s="2" t="s">
        <v>111</v>
      </c>
      <c r="D2321" s="2" t="s">
        <v>2867</v>
      </c>
      <c r="E2321" s="4" t="str">
        <f>HYPERLINK("./Results/DLO\3130\Osteo_Sarco_1.png","RPT")</f>
        <v>RPT</v>
      </c>
      <c r="F2321" s="2" t="s">
        <v>107</v>
      </c>
      <c r="G2321" s="6"/>
      <c r="H2321" s="1">
        <v>26.82</v>
      </c>
    </row>
    <row r="2322" spans="1:8" x14ac:dyDescent="0.3">
      <c r="A2322" s="2" t="s">
        <v>1697</v>
      </c>
      <c r="B2322" s="2" t="s">
        <v>120</v>
      </c>
      <c r="C2322" s="2" t="s">
        <v>119</v>
      </c>
      <c r="D2322" s="2" t="s">
        <v>2859</v>
      </c>
      <c r="E2322" s="4" t="str">
        <f>HYPERLINK("./Results/DLO\3131\Osteo_Sarco_1.png","RPT")</f>
        <v>RPT</v>
      </c>
      <c r="F2322" s="2" t="s">
        <v>81</v>
      </c>
      <c r="G2322" s="6"/>
      <c r="H2322" s="1">
        <v>25.15</v>
      </c>
    </row>
    <row r="2323" spans="1:8" x14ac:dyDescent="0.3">
      <c r="A2323" s="2" t="s">
        <v>1711</v>
      </c>
      <c r="B2323" s="2" t="s">
        <v>585</v>
      </c>
      <c r="C2323" s="2" t="s">
        <v>119</v>
      </c>
      <c r="D2323" s="2" t="s">
        <v>2859</v>
      </c>
      <c r="E2323" s="4" t="str">
        <f>HYPERLINK("./Results/DLO\3132\Osteo_Sarco_1.png","RPT")</f>
        <v>RPT</v>
      </c>
      <c r="F2323" s="2" t="s">
        <v>98</v>
      </c>
      <c r="G2323" s="6"/>
      <c r="H2323" s="1">
        <v>23.92</v>
      </c>
    </row>
    <row r="2324" spans="1:8" x14ac:dyDescent="0.3">
      <c r="A2324" s="2" t="s">
        <v>1706</v>
      </c>
      <c r="B2324" s="2" t="s">
        <v>150</v>
      </c>
      <c r="C2324" s="2" t="s">
        <v>111</v>
      </c>
      <c r="D2324" s="2" t="s">
        <v>2859</v>
      </c>
      <c r="E2324" s="4" t="str">
        <f>HYPERLINK("./Results/DLO\3133\Osteo_Sarco_1.png","RPT")</f>
        <v>RPT</v>
      </c>
      <c r="F2324" s="2" t="s">
        <v>21</v>
      </c>
      <c r="G2324" s="6"/>
      <c r="H2324" s="1">
        <v>18.170000000000002</v>
      </c>
    </row>
    <row r="2325" spans="1:8" x14ac:dyDescent="0.3">
      <c r="A2325" s="2" t="s">
        <v>1712</v>
      </c>
      <c r="B2325" s="2" t="s">
        <v>165</v>
      </c>
      <c r="C2325" s="2" t="s">
        <v>119</v>
      </c>
      <c r="D2325" s="2" t="s">
        <v>2859</v>
      </c>
      <c r="E2325" s="4" t="str">
        <f>HYPERLINK("./Results/DLO\3134\Osteo_Sarco_1.png","RPT")</f>
        <v>RPT</v>
      </c>
      <c r="F2325" s="2" t="s">
        <v>116</v>
      </c>
      <c r="G2325" s="6"/>
      <c r="H2325" s="1">
        <v>19.71</v>
      </c>
    </row>
    <row r="2326" spans="1:8" x14ac:dyDescent="0.3">
      <c r="A2326" s="2" t="s">
        <v>1725</v>
      </c>
      <c r="B2326" s="2" t="s">
        <v>137</v>
      </c>
      <c r="C2326" s="2" t="s">
        <v>119</v>
      </c>
      <c r="D2326" s="2" t="s">
        <v>2867</v>
      </c>
      <c r="E2326" s="4" t="str">
        <f>HYPERLINK("./Results/DLO\3135\Osteo_Sarco_1.png","RPT")</f>
        <v>RPT</v>
      </c>
      <c r="F2326" s="2" t="s">
        <v>36</v>
      </c>
      <c r="G2326" s="6"/>
      <c r="H2326" s="1">
        <v>20.239999999999998</v>
      </c>
    </row>
    <row r="2327" spans="1:8" x14ac:dyDescent="0.3">
      <c r="A2327" s="2" t="s">
        <v>1721</v>
      </c>
      <c r="B2327" s="2" t="s">
        <v>148</v>
      </c>
      <c r="C2327" s="2" t="s">
        <v>119</v>
      </c>
      <c r="D2327" s="2" t="s">
        <v>2859</v>
      </c>
      <c r="E2327" s="4" t="str">
        <f>HYPERLINK("./Results/DLO\3136\Osteo_Sarco_1.png","RPT")</f>
        <v>RPT</v>
      </c>
      <c r="F2327" s="2" t="s">
        <v>61</v>
      </c>
      <c r="G2327" s="6"/>
      <c r="H2327" s="1">
        <v>22.71</v>
      </c>
    </row>
    <row r="2328" spans="1:8" x14ac:dyDescent="0.3">
      <c r="A2328" s="2" t="s">
        <v>1717</v>
      </c>
      <c r="B2328" s="2" t="s">
        <v>113</v>
      </c>
      <c r="C2328" s="2" t="s">
        <v>119</v>
      </c>
      <c r="D2328" s="2" t="s">
        <v>2859</v>
      </c>
      <c r="E2328" s="4" t="str">
        <f>HYPERLINK("./Results/DLO\3137\Osteo_Sarco_1.png","RPT")</f>
        <v>RPT</v>
      </c>
      <c r="F2328" s="2" t="s">
        <v>61</v>
      </c>
      <c r="G2328" s="6"/>
      <c r="H2328" s="1">
        <v>25.32</v>
      </c>
    </row>
    <row r="2329" spans="1:8" x14ac:dyDescent="0.3">
      <c r="A2329" s="2" t="s">
        <v>1715</v>
      </c>
      <c r="B2329" s="2" t="s">
        <v>167</v>
      </c>
      <c r="C2329" s="2" t="s">
        <v>111</v>
      </c>
      <c r="D2329" s="2" t="s">
        <v>2859</v>
      </c>
      <c r="E2329" s="4" t="str">
        <f>HYPERLINK("./Results/DLO\3138\Osteo_Sarco_1.png","RPT")</f>
        <v>RPT</v>
      </c>
      <c r="F2329" s="2" t="s">
        <v>575</v>
      </c>
      <c r="G2329" s="6"/>
      <c r="H2329" s="1">
        <v>17.920000000000002</v>
      </c>
    </row>
    <row r="2330" spans="1:8" x14ac:dyDescent="0.3">
      <c r="A2330" s="2" t="s">
        <v>1728</v>
      </c>
      <c r="B2330" s="2" t="s">
        <v>148</v>
      </c>
      <c r="C2330" s="2" t="s">
        <v>119</v>
      </c>
      <c r="D2330" s="2" t="s">
        <v>2859</v>
      </c>
      <c r="E2330" s="4" t="str">
        <f>HYPERLINK("./Results/DLO\3139\Osteo_Sarco_1.png","RPT")</f>
        <v>RPT</v>
      </c>
      <c r="F2330" s="2" t="s">
        <v>591</v>
      </c>
      <c r="G2330" s="6"/>
      <c r="H2330" s="1">
        <v>23.6</v>
      </c>
    </row>
    <row r="2331" spans="1:8" x14ac:dyDescent="0.3">
      <c r="A2331" s="2" t="s">
        <v>1716</v>
      </c>
      <c r="B2331" s="2" t="s">
        <v>136</v>
      </c>
      <c r="C2331" s="2" t="s">
        <v>119</v>
      </c>
      <c r="D2331" s="2" t="s">
        <v>2867</v>
      </c>
      <c r="E2331" s="4" t="str">
        <f>HYPERLINK("./Results/DLO\314\Osteo_Sarco_1.png","RPT")</f>
        <v>RPT</v>
      </c>
      <c r="F2331" s="2" t="s">
        <v>38</v>
      </c>
      <c r="G2331" s="6"/>
      <c r="H2331" s="1">
        <v>27.41</v>
      </c>
    </row>
    <row r="2332" spans="1:8" x14ac:dyDescent="0.3">
      <c r="A2332" s="2" t="s">
        <v>1727</v>
      </c>
      <c r="B2332" s="2" t="s">
        <v>112</v>
      </c>
      <c r="C2332" s="2" t="s">
        <v>119</v>
      </c>
      <c r="D2332" s="2" t="s">
        <v>1960</v>
      </c>
      <c r="E2332" s="4" t="str">
        <f>HYPERLINK("./Results/DLO\3140\Osteo_Sarco_1.png","RPT")</f>
        <v>RPT</v>
      </c>
      <c r="F2332" s="2" t="s">
        <v>79</v>
      </c>
      <c r="G2332" s="6"/>
      <c r="H2332" s="1">
        <v>22.16</v>
      </c>
    </row>
    <row r="2333" spans="1:8" x14ac:dyDescent="0.3">
      <c r="A2333" s="2" t="s">
        <v>1718</v>
      </c>
      <c r="B2333" s="2" t="s">
        <v>112</v>
      </c>
      <c r="C2333" s="2" t="s">
        <v>111</v>
      </c>
      <c r="D2333" s="2" t="s">
        <v>2859</v>
      </c>
      <c r="E2333" s="4" t="str">
        <f>HYPERLINK("./Results/DLO\3141\Osteo_Sarco_1.png","RPT")</f>
        <v>RPT</v>
      </c>
      <c r="F2333" s="2" t="s">
        <v>35</v>
      </c>
      <c r="G2333" s="6"/>
      <c r="H2333" s="1">
        <v>23.24</v>
      </c>
    </row>
    <row r="2334" spans="1:8" x14ac:dyDescent="0.3">
      <c r="A2334" s="2" t="s">
        <v>1720</v>
      </c>
      <c r="B2334" s="2" t="s">
        <v>113</v>
      </c>
      <c r="C2334" s="2" t="s">
        <v>119</v>
      </c>
      <c r="D2334" s="2" t="s">
        <v>1960</v>
      </c>
      <c r="E2334" s="4" t="str">
        <f>HYPERLINK("./Results/DLO\3142\Osteo_Sarco_1.png","RPT")</f>
        <v>RPT</v>
      </c>
      <c r="F2334" s="2" t="s">
        <v>61</v>
      </c>
      <c r="G2334" s="6"/>
      <c r="H2334" s="1">
        <v>25.26</v>
      </c>
    </row>
    <row r="2335" spans="1:8" x14ac:dyDescent="0.3">
      <c r="A2335" s="2" t="s">
        <v>1724</v>
      </c>
      <c r="B2335" s="2" t="s">
        <v>143</v>
      </c>
      <c r="C2335" s="2" t="s">
        <v>119</v>
      </c>
      <c r="D2335" s="2" t="s">
        <v>2867</v>
      </c>
      <c r="E2335" s="4" t="str">
        <f>HYPERLINK("./Results/DLO\3143\Osteo_Sarco_1.png","RPT")</f>
        <v>RPT</v>
      </c>
      <c r="F2335" s="2" t="s">
        <v>591</v>
      </c>
      <c r="G2335" s="6"/>
      <c r="H2335" s="1">
        <v>22.27</v>
      </c>
    </row>
    <row r="2336" spans="1:8" x14ac:dyDescent="0.3">
      <c r="A2336" s="2" t="s">
        <v>1722</v>
      </c>
      <c r="B2336" s="2" t="s">
        <v>159</v>
      </c>
      <c r="C2336" s="2" t="s">
        <v>111</v>
      </c>
      <c r="D2336" s="2" t="s">
        <v>2859</v>
      </c>
      <c r="E2336" s="4" t="str">
        <f>HYPERLINK("./Results/DLO\3144\Osteo_Sarco_1.png","RPT")</f>
        <v>RPT</v>
      </c>
      <c r="F2336" s="2" t="s">
        <v>94</v>
      </c>
      <c r="G2336" s="6"/>
      <c r="H2336" s="1">
        <v>23.01</v>
      </c>
    </row>
    <row r="2337" spans="1:11" x14ac:dyDescent="0.3">
      <c r="A2337" s="2" t="s">
        <v>1713</v>
      </c>
      <c r="B2337" s="2" t="s">
        <v>591</v>
      </c>
      <c r="C2337" s="2" t="s">
        <v>119</v>
      </c>
      <c r="D2337" s="2" t="s">
        <v>2859</v>
      </c>
      <c r="E2337" s="4" t="str">
        <f>HYPERLINK("./Results/DLO\3145\Osteo_Sarco_1.png","RPT")</f>
        <v>RPT</v>
      </c>
      <c r="F2337" s="2" t="s">
        <v>87</v>
      </c>
      <c r="G2337" s="6"/>
      <c r="H2337" s="1">
        <v>19.84</v>
      </c>
    </row>
    <row r="2338" spans="1:11" x14ac:dyDescent="0.3">
      <c r="A2338" s="2" t="s">
        <v>1710</v>
      </c>
      <c r="B2338" s="2" t="s">
        <v>112</v>
      </c>
      <c r="C2338" s="2" t="s">
        <v>119</v>
      </c>
      <c r="D2338" s="2" t="s">
        <v>2859</v>
      </c>
      <c r="E2338" s="4" t="str">
        <f>HYPERLINK("./Results/DLO\3146\Osteo_Sarco_1.png","RPT")</f>
        <v>RPT</v>
      </c>
      <c r="F2338" s="2" t="s">
        <v>585</v>
      </c>
      <c r="G2338" s="6"/>
      <c r="H2338" s="1">
        <v>26.67</v>
      </c>
    </row>
    <row r="2339" spans="1:11" x14ac:dyDescent="0.3">
      <c r="A2339" s="2" t="s">
        <v>1719</v>
      </c>
      <c r="B2339" s="2" t="s">
        <v>140</v>
      </c>
      <c r="C2339" s="2" t="s">
        <v>119</v>
      </c>
      <c r="D2339" s="2" t="s">
        <v>2867</v>
      </c>
      <c r="E2339" s="4" t="str">
        <f>HYPERLINK("./Results/DLO\3147\Osteo_Sarco_1.png","RPT")</f>
        <v>RPT</v>
      </c>
      <c r="F2339" s="2" t="s">
        <v>585</v>
      </c>
      <c r="G2339" s="6"/>
      <c r="H2339" s="1">
        <v>20.64</v>
      </c>
    </row>
    <row r="2340" spans="1:11" x14ac:dyDescent="0.3">
      <c r="A2340" s="2" t="s">
        <v>1726</v>
      </c>
      <c r="B2340" s="2" t="s">
        <v>157</v>
      </c>
      <c r="C2340" s="2" t="s">
        <v>111</v>
      </c>
      <c r="D2340" s="2" t="s">
        <v>2859</v>
      </c>
      <c r="E2340" s="4" t="str">
        <f>HYPERLINK("./Results/DLO\3148\Osteo_Sarco_1.png","RPT")</f>
        <v>RPT</v>
      </c>
      <c r="F2340" s="2" t="s">
        <v>465</v>
      </c>
      <c r="G2340" s="6"/>
      <c r="H2340" s="1">
        <v>27.81</v>
      </c>
    </row>
    <row r="2341" spans="1:11" x14ac:dyDescent="0.3">
      <c r="A2341" s="2" t="s">
        <v>1707</v>
      </c>
      <c r="B2341" s="2" t="s">
        <v>145</v>
      </c>
      <c r="C2341" s="2" t="s">
        <v>119</v>
      </c>
      <c r="D2341" s="2" t="s">
        <v>2859</v>
      </c>
      <c r="E2341" s="4" t="str">
        <f>HYPERLINK("./Results/DLO\3149\Osteo_Sarco_1.png","RPT")</f>
        <v>RPT</v>
      </c>
      <c r="F2341" s="2" t="s">
        <v>46</v>
      </c>
      <c r="G2341" s="6"/>
      <c r="H2341" s="1">
        <v>24.55</v>
      </c>
    </row>
    <row r="2342" spans="1:11" x14ac:dyDescent="0.3">
      <c r="A2342" s="2" t="s">
        <v>1708</v>
      </c>
      <c r="B2342" s="2" t="s">
        <v>129</v>
      </c>
      <c r="C2342" s="2" t="s">
        <v>111</v>
      </c>
      <c r="D2342" s="2" t="s">
        <v>2859</v>
      </c>
      <c r="E2342" s="4" t="str">
        <f>HYPERLINK("./Results/DLO\315\Osteo_Sarco_1.png","RPT")</f>
        <v>RPT</v>
      </c>
      <c r="F2342" s="2" t="s">
        <v>104</v>
      </c>
      <c r="G2342" s="6"/>
      <c r="I2342"/>
      <c r="J2342"/>
      <c r="K2342"/>
    </row>
    <row r="2343" spans="1:11" x14ac:dyDescent="0.3">
      <c r="A2343" s="2" t="s">
        <v>1723</v>
      </c>
      <c r="B2343" s="2" t="s">
        <v>138</v>
      </c>
      <c r="C2343" s="2" t="s">
        <v>111</v>
      </c>
      <c r="D2343" s="2" t="s">
        <v>2859</v>
      </c>
      <c r="E2343" s="4" t="str">
        <f>HYPERLINK("./Results/DLO\3150\Osteo_Sarco_1.png","RPT")</f>
        <v>RPT</v>
      </c>
      <c r="F2343" s="2" t="s">
        <v>58</v>
      </c>
      <c r="G2343" s="6"/>
      <c r="H2343" s="1">
        <v>27.42</v>
      </c>
    </row>
    <row r="2344" spans="1:11" x14ac:dyDescent="0.3">
      <c r="A2344" s="2" t="s">
        <v>1709</v>
      </c>
      <c r="B2344" s="2" t="s">
        <v>114</v>
      </c>
      <c r="C2344" s="2" t="s">
        <v>119</v>
      </c>
      <c r="D2344" s="2" t="s">
        <v>2859</v>
      </c>
      <c r="E2344" s="4" t="str">
        <f>HYPERLINK("./Results/DLO\3151\Osteo_Sarco_1.png","RPT")</f>
        <v>RPT</v>
      </c>
      <c r="F2344" s="2" t="s">
        <v>585</v>
      </c>
      <c r="G2344" s="6"/>
      <c r="H2344" s="1">
        <v>21.61</v>
      </c>
    </row>
    <row r="2345" spans="1:11" x14ac:dyDescent="0.3">
      <c r="A2345" s="2" t="s">
        <v>1729</v>
      </c>
      <c r="B2345" s="2" t="s">
        <v>129</v>
      </c>
      <c r="C2345" s="2" t="s">
        <v>119</v>
      </c>
      <c r="D2345" s="2" t="s">
        <v>2859</v>
      </c>
      <c r="E2345" s="4" t="str">
        <f>HYPERLINK("./Results/DLO\3152\Osteo_Sarco_1.png","RPT")</f>
        <v>RPT</v>
      </c>
      <c r="F2345" s="2" t="s">
        <v>29</v>
      </c>
      <c r="G2345" s="6"/>
      <c r="H2345" s="1">
        <v>19.760000000000002</v>
      </c>
    </row>
    <row r="2346" spans="1:11" x14ac:dyDescent="0.3">
      <c r="A2346" s="2" t="s">
        <v>1705</v>
      </c>
      <c r="B2346" s="2" t="s">
        <v>120</v>
      </c>
      <c r="C2346" s="2" t="s">
        <v>119</v>
      </c>
      <c r="D2346" s="2" t="s">
        <v>2859</v>
      </c>
      <c r="E2346" s="4" t="str">
        <f>HYPERLINK("./Results/DLO\3153\Osteo_Sarco_1.png","RPT")</f>
        <v>RPT</v>
      </c>
      <c r="F2346" s="2" t="s">
        <v>51</v>
      </c>
      <c r="G2346" s="6"/>
      <c r="H2346" s="1">
        <v>27.83</v>
      </c>
    </row>
    <row r="2347" spans="1:11" x14ac:dyDescent="0.3">
      <c r="A2347" s="2" t="s">
        <v>1714</v>
      </c>
      <c r="B2347" s="2" t="s">
        <v>150</v>
      </c>
      <c r="C2347" s="2" t="s">
        <v>119</v>
      </c>
      <c r="D2347" s="2" t="s">
        <v>2859</v>
      </c>
      <c r="E2347" s="4" t="str">
        <f>HYPERLINK("./Results/DLO\3154\Osteo_Sarco_1.png","RPT")</f>
        <v>RPT</v>
      </c>
      <c r="F2347" s="2" t="s">
        <v>21</v>
      </c>
      <c r="G2347" s="6"/>
      <c r="H2347" s="1">
        <v>30.44</v>
      </c>
    </row>
    <row r="2348" spans="1:11" x14ac:dyDescent="0.3">
      <c r="A2348" s="2" t="s">
        <v>1753</v>
      </c>
      <c r="B2348" s="2" t="s">
        <v>156</v>
      </c>
      <c r="C2348" s="2" t="s">
        <v>119</v>
      </c>
      <c r="D2348" s="2" t="s">
        <v>2859</v>
      </c>
      <c r="E2348" s="4" t="str">
        <f>HYPERLINK("./Results/DLO\3155\Osteo_Sarco_1.png","RPT")</f>
        <v>RPT</v>
      </c>
      <c r="F2348" s="2" t="s">
        <v>156</v>
      </c>
      <c r="G2348" s="6"/>
      <c r="H2348" s="1">
        <v>20.54</v>
      </c>
    </row>
    <row r="2349" spans="1:11" x14ac:dyDescent="0.3">
      <c r="A2349" s="2" t="s">
        <v>1751</v>
      </c>
      <c r="B2349" s="2" t="s">
        <v>139</v>
      </c>
      <c r="C2349" s="2" t="s">
        <v>111</v>
      </c>
      <c r="D2349" s="2" t="s">
        <v>2859</v>
      </c>
      <c r="E2349" s="4" t="str">
        <f>HYPERLINK("./Results/DLO\3156\Osteo_Sarco_1.png","RPT")</f>
        <v>RPT</v>
      </c>
      <c r="F2349" s="2" t="s">
        <v>45</v>
      </c>
      <c r="G2349" s="6"/>
      <c r="H2349" s="1">
        <v>18.45</v>
      </c>
    </row>
    <row r="2350" spans="1:11" x14ac:dyDescent="0.3">
      <c r="A2350" s="2" t="s">
        <v>1756</v>
      </c>
      <c r="B2350" s="2" t="s">
        <v>112</v>
      </c>
      <c r="C2350" s="2" t="s">
        <v>111</v>
      </c>
      <c r="D2350" s="2" t="s">
        <v>2859</v>
      </c>
      <c r="E2350" s="4" t="str">
        <f>HYPERLINK("./Results/DLO\3157\Osteo_Sarco_1.png","RPT")</f>
        <v>RPT</v>
      </c>
      <c r="F2350" s="2" t="s">
        <v>88</v>
      </c>
      <c r="G2350" s="6"/>
      <c r="H2350" s="1">
        <v>22.5</v>
      </c>
    </row>
    <row r="2351" spans="1:11" x14ac:dyDescent="0.3">
      <c r="A2351" s="2" t="s">
        <v>1739</v>
      </c>
      <c r="B2351" s="2" t="s">
        <v>135</v>
      </c>
      <c r="C2351" s="2" t="s">
        <v>119</v>
      </c>
      <c r="D2351" s="2" t="s">
        <v>2859</v>
      </c>
      <c r="E2351" s="4" t="str">
        <f>HYPERLINK("./Results/DLO\3158\Osteo_Sarco_1.png","RPT")</f>
        <v>RPT</v>
      </c>
      <c r="F2351" s="2" t="s">
        <v>51</v>
      </c>
      <c r="G2351" s="6"/>
      <c r="H2351" s="1">
        <v>20.79</v>
      </c>
    </row>
    <row r="2352" spans="1:11" x14ac:dyDescent="0.3">
      <c r="A2352" s="2" t="s">
        <v>1755</v>
      </c>
      <c r="B2352" s="2" t="s">
        <v>123</v>
      </c>
      <c r="C2352" s="2" t="s">
        <v>119</v>
      </c>
      <c r="D2352" s="2" t="s">
        <v>2867</v>
      </c>
      <c r="E2352" s="4" t="str">
        <f>HYPERLINK("./Results/DLO\3159\Osteo_Sarco_1.png","RPT")</f>
        <v>RPT</v>
      </c>
      <c r="F2352" s="2" t="s">
        <v>454</v>
      </c>
      <c r="G2352" s="6"/>
      <c r="H2352" s="1">
        <v>22.77</v>
      </c>
    </row>
    <row r="2353" spans="1:11" x14ac:dyDescent="0.3">
      <c r="A2353" s="2" t="s">
        <v>1752</v>
      </c>
      <c r="B2353" s="2" t="s">
        <v>137</v>
      </c>
      <c r="C2353" s="2" t="s">
        <v>111</v>
      </c>
      <c r="D2353" s="2" t="s">
        <v>2867</v>
      </c>
      <c r="E2353" s="4" t="str">
        <f>HYPERLINK("./Results/DLO\316\Osteo_Sarco_1.png","RPT")</f>
        <v>RPT</v>
      </c>
      <c r="F2353" s="2" t="s">
        <v>110</v>
      </c>
      <c r="G2353" s="6"/>
      <c r="I2353"/>
      <c r="J2353"/>
      <c r="K2353"/>
    </row>
    <row r="2354" spans="1:11" x14ac:dyDescent="0.3">
      <c r="A2354" s="2" t="s">
        <v>1754</v>
      </c>
      <c r="B2354" s="2" t="s">
        <v>128</v>
      </c>
      <c r="C2354" s="2" t="s">
        <v>111</v>
      </c>
      <c r="D2354" s="2" t="s">
        <v>2859</v>
      </c>
      <c r="E2354" s="4" t="str">
        <f>HYPERLINK("./Results/DLO\3160\Osteo_Sarco_1.png","RPT")</f>
        <v>RPT</v>
      </c>
      <c r="F2354" s="2" t="s">
        <v>110</v>
      </c>
      <c r="G2354" s="6"/>
      <c r="H2354" s="1">
        <v>25.57</v>
      </c>
    </row>
    <row r="2355" spans="1:11" x14ac:dyDescent="0.3">
      <c r="A2355" s="2" t="s">
        <v>1730</v>
      </c>
      <c r="B2355" s="2" t="s">
        <v>148</v>
      </c>
      <c r="C2355" s="2" t="s">
        <v>119</v>
      </c>
      <c r="D2355" s="2" t="s">
        <v>2867</v>
      </c>
      <c r="E2355" s="4" t="str">
        <f>HYPERLINK("./Results/DLO\3161\Osteo_Sarco_1.png","RPT")</f>
        <v>RPT</v>
      </c>
      <c r="F2355" s="2" t="s">
        <v>70</v>
      </c>
      <c r="G2355" s="6"/>
      <c r="H2355" s="1">
        <v>26.12</v>
      </c>
    </row>
    <row r="2356" spans="1:11" x14ac:dyDescent="0.3">
      <c r="A2356" s="2" t="s">
        <v>1742</v>
      </c>
      <c r="B2356" s="2" t="s">
        <v>140</v>
      </c>
      <c r="C2356" s="2" t="s">
        <v>119</v>
      </c>
      <c r="D2356" s="2" t="s">
        <v>2859</v>
      </c>
      <c r="E2356" s="4" t="str">
        <f>HYPERLINK("./Results/DLO\3162\Osteo_Sarco_1.png","RPT")</f>
        <v>RPT</v>
      </c>
      <c r="F2356" s="2" t="s">
        <v>45</v>
      </c>
      <c r="G2356" s="6"/>
      <c r="H2356" s="1">
        <v>29.59</v>
      </c>
    </row>
    <row r="2357" spans="1:11" x14ac:dyDescent="0.3">
      <c r="A2357" s="2" t="s">
        <v>1757</v>
      </c>
      <c r="B2357" s="2" t="s">
        <v>128</v>
      </c>
      <c r="C2357" s="2" t="s">
        <v>119</v>
      </c>
      <c r="D2357" s="2" t="s">
        <v>2859</v>
      </c>
      <c r="E2357" s="4" t="str">
        <f>HYPERLINK("./Results/DLO\3163\Osteo_Sarco_1.png","RPT")</f>
        <v>RPT</v>
      </c>
      <c r="F2357" s="2" t="s">
        <v>588</v>
      </c>
      <c r="G2357" s="6"/>
      <c r="H2357" s="1">
        <v>25.81</v>
      </c>
    </row>
    <row r="2358" spans="1:11" x14ac:dyDescent="0.3">
      <c r="A2358" s="2" t="s">
        <v>1746</v>
      </c>
      <c r="B2358" s="2" t="s">
        <v>113</v>
      </c>
      <c r="C2358" s="2" t="s">
        <v>111</v>
      </c>
      <c r="D2358" s="2" t="s">
        <v>2859</v>
      </c>
      <c r="E2358" s="4" t="str">
        <f>HYPERLINK("./Results/DLO\3164\Osteo_Sarco_1.png","RPT")</f>
        <v>RPT</v>
      </c>
      <c r="F2358" s="2" t="s">
        <v>61</v>
      </c>
      <c r="G2358" s="6"/>
      <c r="H2358" s="1">
        <v>17.77</v>
      </c>
    </row>
    <row r="2359" spans="1:11" x14ac:dyDescent="0.3">
      <c r="A2359" s="2" t="s">
        <v>1747</v>
      </c>
      <c r="B2359" s="2" t="s">
        <v>143</v>
      </c>
      <c r="C2359" s="2" t="s">
        <v>119</v>
      </c>
      <c r="D2359" s="2" t="s">
        <v>2859</v>
      </c>
      <c r="E2359" s="4" t="str">
        <f>HYPERLINK("./Results/DLO\3165\Osteo_Sarco_1.png","RPT")</f>
        <v>RPT</v>
      </c>
      <c r="F2359" s="2" t="s">
        <v>97</v>
      </c>
      <c r="G2359" s="6"/>
      <c r="H2359" s="1">
        <v>20.55</v>
      </c>
    </row>
    <row r="2360" spans="1:11" x14ac:dyDescent="0.3">
      <c r="A2360" s="2" t="s">
        <v>1733</v>
      </c>
      <c r="B2360" s="2" t="s">
        <v>151</v>
      </c>
      <c r="C2360" s="2" t="s">
        <v>119</v>
      </c>
      <c r="D2360" s="2" t="s">
        <v>2867</v>
      </c>
      <c r="E2360" s="4" t="str">
        <f>HYPERLINK("./Results/DLO\3166\Osteo_Sarco_1.png","RPT")</f>
        <v>RPT</v>
      </c>
      <c r="F2360" s="2" t="s">
        <v>456</v>
      </c>
      <c r="G2360" s="6"/>
      <c r="H2360" s="1">
        <v>19.940000000000001</v>
      </c>
    </row>
    <row r="2361" spans="1:11" x14ac:dyDescent="0.3">
      <c r="A2361" s="2" t="s">
        <v>1743</v>
      </c>
      <c r="B2361" s="2" t="s">
        <v>135</v>
      </c>
      <c r="C2361" s="2" t="s">
        <v>111</v>
      </c>
      <c r="D2361" s="2" t="s">
        <v>2859</v>
      </c>
      <c r="E2361" s="4" t="str">
        <f>HYPERLINK("./Results/DLO\3167\Osteo_Sarco_1.png","RPT")</f>
        <v>RPT</v>
      </c>
      <c r="F2361" s="2" t="s">
        <v>457</v>
      </c>
      <c r="G2361" s="6"/>
      <c r="H2361" s="1">
        <v>31.79</v>
      </c>
    </row>
    <row r="2362" spans="1:11" x14ac:dyDescent="0.3">
      <c r="A2362" s="2" t="s">
        <v>1731</v>
      </c>
      <c r="B2362" s="2" t="s">
        <v>116</v>
      </c>
      <c r="C2362" s="2" t="s">
        <v>111</v>
      </c>
      <c r="D2362" s="2" t="s">
        <v>2867</v>
      </c>
      <c r="E2362" s="4" t="str">
        <f>HYPERLINK("./Results/DLO\3168\Osteo_Sarco_1.png","RPT")</f>
        <v>RPT</v>
      </c>
      <c r="F2362" s="2" t="s">
        <v>464</v>
      </c>
      <c r="G2362" s="6"/>
      <c r="H2362" s="1">
        <v>27.26</v>
      </c>
    </row>
    <row r="2363" spans="1:11" x14ac:dyDescent="0.3">
      <c r="A2363" s="2" t="s">
        <v>1734</v>
      </c>
      <c r="B2363" s="2" t="s">
        <v>120</v>
      </c>
      <c r="C2363" s="2" t="s">
        <v>119</v>
      </c>
      <c r="D2363" s="2" t="s">
        <v>2859</v>
      </c>
      <c r="E2363" s="4" t="str">
        <f>HYPERLINK("./Results/DLO\3169\Osteo_Sarco_1.png","RPT")</f>
        <v>RPT</v>
      </c>
      <c r="F2363" s="2" t="s">
        <v>48</v>
      </c>
      <c r="G2363" s="6"/>
      <c r="H2363" s="1">
        <v>24.61</v>
      </c>
    </row>
    <row r="2364" spans="1:11" x14ac:dyDescent="0.3">
      <c r="A2364" s="2" t="s">
        <v>1737</v>
      </c>
      <c r="B2364" s="2" t="s">
        <v>140</v>
      </c>
      <c r="C2364" s="2" t="s">
        <v>119</v>
      </c>
      <c r="D2364" s="2" t="s">
        <v>2859</v>
      </c>
      <c r="E2364" s="4" t="str">
        <f>HYPERLINK("./Results/DLO\317\Osteo_Sarco_1.png","RPT")</f>
        <v>RPT</v>
      </c>
      <c r="F2364" s="2" t="s">
        <v>79</v>
      </c>
      <c r="G2364" s="6"/>
      <c r="I2364"/>
      <c r="J2364"/>
      <c r="K2364"/>
    </row>
    <row r="2365" spans="1:11" x14ac:dyDescent="0.3">
      <c r="A2365" s="2" t="s">
        <v>1732</v>
      </c>
      <c r="B2365" s="2" t="s">
        <v>125</v>
      </c>
      <c r="C2365" s="2" t="s">
        <v>119</v>
      </c>
      <c r="D2365" s="2" t="s">
        <v>2859</v>
      </c>
      <c r="E2365" s="4" t="str">
        <f>HYPERLINK("./Results/DLO\3170\Osteo_Sarco_1.png","RPT")</f>
        <v>RPT</v>
      </c>
      <c r="F2365" s="2" t="s">
        <v>118</v>
      </c>
      <c r="G2365" s="6"/>
      <c r="H2365" s="1">
        <v>21.97</v>
      </c>
    </row>
    <row r="2366" spans="1:11" x14ac:dyDescent="0.3">
      <c r="A2366" s="2" t="s">
        <v>1735</v>
      </c>
      <c r="B2366" s="2" t="s">
        <v>113</v>
      </c>
      <c r="C2366" s="2" t="s">
        <v>119</v>
      </c>
      <c r="D2366" s="2" t="s">
        <v>2859</v>
      </c>
      <c r="E2366" s="4" t="str">
        <f>HYPERLINK("./Results/DLO\3171\Osteo_Sarco_1.png","RPT")</f>
        <v>RPT</v>
      </c>
      <c r="F2366" s="2" t="s">
        <v>56</v>
      </c>
      <c r="G2366" s="6"/>
      <c r="H2366" s="1">
        <v>20.03</v>
      </c>
    </row>
    <row r="2367" spans="1:11" x14ac:dyDescent="0.3">
      <c r="A2367" s="2" t="s">
        <v>1744</v>
      </c>
      <c r="B2367" s="2" t="s">
        <v>140</v>
      </c>
      <c r="C2367" s="2" t="s">
        <v>119</v>
      </c>
      <c r="D2367" s="2" t="s">
        <v>2867</v>
      </c>
      <c r="E2367" s="4" t="str">
        <f>HYPERLINK("./Results/DLO\3172\Osteo_Sarco_1.png","RPT")</f>
        <v>RPT</v>
      </c>
      <c r="F2367" s="2" t="s">
        <v>79</v>
      </c>
      <c r="G2367" s="6"/>
      <c r="H2367" s="1">
        <v>29.44</v>
      </c>
    </row>
    <row r="2368" spans="1:11" x14ac:dyDescent="0.3">
      <c r="A2368" s="2" t="s">
        <v>1741</v>
      </c>
      <c r="B2368" s="2" t="s">
        <v>131</v>
      </c>
      <c r="C2368" s="2" t="s">
        <v>119</v>
      </c>
      <c r="D2368" s="2" t="s">
        <v>2867</v>
      </c>
      <c r="E2368" s="4" t="str">
        <f>HYPERLINK("./Results/DLO\3173\Osteo_Sarco_1.png","RPT")</f>
        <v>RPT</v>
      </c>
      <c r="F2368" s="2" t="s">
        <v>36</v>
      </c>
      <c r="G2368" s="6"/>
      <c r="H2368" s="1">
        <v>19.440000000000001</v>
      </c>
    </row>
    <row r="2369" spans="1:11" x14ac:dyDescent="0.3">
      <c r="A2369" s="2" t="s">
        <v>1736</v>
      </c>
      <c r="B2369" s="2" t="s">
        <v>151</v>
      </c>
      <c r="C2369" s="2" t="s">
        <v>119</v>
      </c>
      <c r="D2369" s="2" t="s">
        <v>2859</v>
      </c>
      <c r="E2369" s="4" t="str">
        <f>HYPERLINK("./Results/DLO\3174\Osteo_Sarco_1.png","RPT")</f>
        <v>RPT</v>
      </c>
      <c r="F2369" s="2" t="s">
        <v>45</v>
      </c>
      <c r="G2369" s="6"/>
      <c r="H2369" s="1">
        <v>19.43</v>
      </c>
    </row>
    <row r="2370" spans="1:11" x14ac:dyDescent="0.3">
      <c r="A2370" s="2" t="s">
        <v>1745</v>
      </c>
      <c r="B2370" s="2" t="s">
        <v>116</v>
      </c>
      <c r="C2370" s="2" t="s">
        <v>119</v>
      </c>
      <c r="D2370" s="2" t="s">
        <v>2859</v>
      </c>
      <c r="E2370" s="4" t="str">
        <f>HYPERLINK("./Results/DLO\3175\Osteo_Sarco_1.png","RPT")</f>
        <v>RPT</v>
      </c>
      <c r="F2370" s="2" t="s">
        <v>41</v>
      </c>
      <c r="G2370" s="6"/>
      <c r="H2370" s="1">
        <v>26.67</v>
      </c>
    </row>
    <row r="2371" spans="1:11" x14ac:dyDescent="0.3">
      <c r="A2371" s="2" t="s">
        <v>1749</v>
      </c>
      <c r="B2371" s="2" t="s">
        <v>141</v>
      </c>
      <c r="C2371" s="2" t="s">
        <v>119</v>
      </c>
      <c r="D2371" s="2" t="s">
        <v>2867</v>
      </c>
      <c r="E2371" s="4" t="str">
        <f>HYPERLINK("./Results/DLO\3176\Osteo_Sarco_1.png","RPT")</f>
        <v>RPT</v>
      </c>
      <c r="F2371" s="2" t="s">
        <v>79</v>
      </c>
      <c r="G2371" s="6"/>
      <c r="H2371" s="1">
        <v>21.36</v>
      </c>
    </row>
    <row r="2372" spans="1:11" x14ac:dyDescent="0.3">
      <c r="A2372" s="2" t="s">
        <v>1738</v>
      </c>
      <c r="B2372" s="2" t="s">
        <v>150</v>
      </c>
      <c r="C2372" s="2" t="s">
        <v>111</v>
      </c>
      <c r="D2372" s="2" t="s">
        <v>2867</v>
      </c>
      <c r="E2372" s="4" t="str">
        <f>HYPERLINK("./Results/DLO\3177\Osteo_Sarco_1.png","RPT")</f>
        <v>RPT</v>
      </c>
      <c r="F2372" s="2" t="s">
        <v>51</v>
      </c>
      <c r="G2372" s="6"/>
      <c r="H2372" s="1">
        <v>22.04</v>
      </c>
    </row>
    <row r="2373" spans="1:11" x14ac:dyDescent="0.3">
      <c r="A2373" s="2" t="s">
        <v>1740</v>
      </c>
      <c r="B2373" s="2" t="s">
        <v>125</v>
      </c>
      <c r="C2373" s="2" t="s">
        <v>111</v>
      </c>
      <c r="D2373" s="2" t="s">
        <v>2867</v>
      </c>
      <c r="E2373" s="4" t="str">
        <f>HYPERLINK("./Results/DLO\3178\Osteo_Sarco_1.png","RPT")</f>
        <v>RPT</v>
      </c>
      <c r="F2373" s="2" t="s">
        <v>449</v>
      </c>
      <c r="G2373" s="6"/>
      <c r="H2373" s="1">
        <v>21.45</v>
      </c>
    </row>
    <row r="2374" spans="1:11" x14ac:dyDescent="0.3">
      <c r="A2374" s="2" t="s">
        <v>1748</v>
      </c>
      <c r="B2374" s="2" t="s">
        <v>116</v>
      </c>
      <c r="C2374" s="2" t="s">
        <v>119</v>
      </c>
      <c r="D2374" s="2" t="s">
        <v>2859</v>
      </c>
      <c r="E2374" s="4" t="str">
        <f>HYPERLINK("./Results/DLO\3179\Osteo_Sarco_1.png","RPT")</f>
        <v>RPT</v>
      </c>
      <c r="F2374" s="2" t="s">
        <v>41</v>
      </c>
      <c r="G2374" s="6"/>
      <c r="H2374" s="1">
        <v>19.07</v>
      </c>
    </row>
    <row r="2375" spans="1:11" x14ac:dyDescent="0.3">
      <c r="A2375" s="2" t="s">
        <v>1750</v>
      </c>
      <c r="B2375" s="2" t="s">
        <v>143</v>
      </c>
      <c r="C2375" s="2" t="s">
        <v>111</v>
      </c>
      <c r="D2375" s="2" t="s">
        <v>2859</v>
      </c>
      <c r="E2375" s="4" t="str">
        <f>HYPERLINK("./Results/DLO\318\Osteo_Sarco_1.png","RPT")</f>
        <v>RPT</v>
      </c>
      <c r="F2375" s="2" t="s">
        <v>466</v>
      </c>
      <c r="G2375" s="6"/>
      <c r="I2375"/>
      <c r="J2375"/>
      <c r="K2375"/>
    </row>
    <row r="2376" spans="1:11" x14ac:dyDescent="0.3">
      <c r="A2376" s="2" t="s">
        <v>1765</v>
      </c>
      <c r="B2376" s="2" t="s">
        <v>138</v>
      </c>
      <c r="C2376" s="2" t="s">
        <v>119</v>
      </c>
      <c r="D2376" s="2" t="s">
        <v>2859</v>
      </c>
      <c r="E2376" s="4" t="str">
        <f>HYPERLINK("./Results/DLO\3180\Osteo_Sarco_1.png","RPT")</f>
        <v>RPT</v>
      </c>
      <c r="F2376" s="2" t="s">
        <v>38</v>
      </c>
      <c r="G2376" s="6"/>
      <c r="H2376" s="1">
        <v>23.64</v>
      </c>
    </row>
    <row r="2377" spans="1:11" x14ac:dyDescent="0.3">
      <c r="A2377" s="2" t="s">
        <v>1779</v>
      </c>
      <c r="B2377" s="2" t="s">
        <v>116</v>
      </c>
      <c r="C2377" s="2" t="s">
        <v>119</v>
      </c>
      <c r="D2377" s="2" t="s">
        <v>2859</v>
      </c>
      <c r="E2377" s="4" t="str">
        <f>HYPERLINK("./Results/DLO\3181\Osteo_Sarco_1.png","RPT")</f>
        <v>RPT</v>
      </c>
      <c r="F2377" s="2" t="s">
        <v>99</v>
      </c>
      <c r="G2377" s="6"/>
      <c r="H2377" s="1">
        <v>25.52</v>
      </c>
    </row>
    <row r="2378" spans="1:11" x14ac:dyDescent="0.3">
      <c r="A2378" s="2" t="s">
        <v>1772</v>
      </c>
      <c r="B2378" s="2" t="s">
        <v>118</v>
      </c>
      <c r="C2378" s="2" t="s">
        <v>119</v>
      </c>
      <c r="D2378" s="2" t="s">
        <v>2867</v>
      </c>
      <c r="E2378" s="4" t="str">
        <f>HYPERLINK("./Results/DLO\3182\Osteo_Sarco_1.png","RPT")</f>
        <v>RPT</v>
      </c>
      <c r="F2378" s="2" t="s">
        <v>74</v>
      </c>
      <c r="G2378" s="6"/>
      <c r="H2378" s="1">
        <v>23.55</v>
      </c>
    </row>
    <row r="2379" spans="1:11" x14ac:dyDescent="0.3">
      <c r="A2379" s="2" t="s">
        <v>1762</v>
      </c>
      <c r="B2379" s="2" t="s">
        <v>168</v>
      </c>
      <c r="C2379" s="2" t="s">
        <v>119</v>
      </c>
      <c r="D2379" s="2" t="s">
        <v>2859</v>
      </c>
      <c r="E2379" s="4" t="str">
        <f>HYPERLINK("./Results/DLO\3183\Osteo_Sarco_1.png","RPT")</f>
        <v>RPT</v>
      </c>
      <c r="F2379" s="2" t="s">
        <v>48</v>
      </c>
      <c r="G2379" s="6"/>
      <c r="H2379" s="1">
        <v>23.63</v>
      </c>
    </row>
    <row r="2380" spans="1:11" x14ac:dyDescent="0.3">
      <c r="A2380" s="2" t="s">
        <v>1771</v>
      </c>
      <c r="B2380" s="2" t="s">
        <v>137</v>
      </c>
      <c r="C2380" s="2" t="s">
        <v>119</v>
      </c>
      <c r="D2380" s="2" t="s">
        <v>2867</v>
      </c>
      <c r="E2380" s="4" t="str">
        <f>HYPERLINK("./Results/DLO\3184\Osteo_Sarco_1.png","RPT")</f>
        <v>RPT</v>
      </c>
      <c r="F2380" s="2" t="s">
        <v>41</v>
      </c>
      <c r="G2380" s="6"/>
      <c r="H2380" s="1">
        <v>21.83</v>
      </c>
    </row>
    <row r="2381" spans="1:11" x14ac:dyDescent="0.3">
      <c r="A2381" s="2" t="s">
        <v>1778</v>
      </c>
      <c r="B2381" s="2" t="s">
        <v>138</v>
      </c>
      <c r="C2381" s="2" t="s">
        <v>119</v>
      </c>
      <c r="D2381" s="2" t="s">
        <v>2859</v>
      </c>
      <c r="E2381" s="4" t="str">
        <f>HYPERLINK("./Results/DLO\3185\Osteo_Sarco_1.png","RPT")</f>
        <v>RPT</v>
      </c>
      <c r="F2381" s="2" t="s">
        <v>56</v>
      </c>
      <c r="G2381" s="6"/>
      <c r="H2381" s="1">
        <v>24.02</v>
      </c>
    </row>
    <row r="2382" spans="1:11" x14ac:dyDescent="0.3">
      <c r="A2382" s="2" t="s">
        <v>1759</v>
      </c>
      <c r="B2382" s="2" t="s">
        <v>129</v>
      </c>
      <c r="C2382" s="2" t="s">
        <v>119</v>
      </c>
      <c r="D2382" s="2" t="s">
        <v>2859</v>
      </c>
      <c r="E2382" s="4" t="str">
        <f>HYPERLINK("./Results/DLO\3186\Osteo_Sarco_1.png","RPT")</f>
        <v>RPT</v>
      </c>
      <c r="F2382" s="2" t="s">
        <v>70</v>
      </c>
      <c r="G2382" s="6"/>
      <c r="H2382" s="1">
        <v>26.15</v>
      </c>
    </row>
    <row r="2383" spans="1:11" x14ac:dyDescent="0.3">
      <c r="A2383" s="2" t="s">
        <v>1761</v>
      </c>
      <c r="B2383" s="2" t="s">
        <v>113</v>
      </c>
      <c r="C2383" s="2" t="s">
        <v>111</v>
      </c>
      <c r="D2383" s="2" t="s">
        <v>2867</v>
      </c>
      <c r="E2383" s="4" t="str">
        <f>HYPERLINK("./Results/DLO\3187\Osteo_Sarco_1.png","RPT")</f>
        <v>RPT</v>
      </c>
      <c r="F2383" s="2" t="s">
        <v>34</v>
      </c>
      <c r="G2383" s="6"/>
      <c r="H2383" s="1">
        <v>22.77</v>
      </c>
    </row>
    <row r="2384" spans="1:11" x14ac:dyDescent="0.3">
      <c r="A2384" s="2" t="s">
        <v>1777</v>
      </c>
      <c r="B2384" s="2" t="s">
        <v>114</v>
      </c>
      <c r="C2384" s="2" t="s">
        <v>119</v>
      </c>
      <c r="D2384" s="2" t="s">
        <v>2867</v>
      </c>
      <c r="E2384" s="4" t="str">
        <f>HYPERLINK("./Results/DLO\3188\Osteo_Sarco_1.png","RPT")</f>
        <v>RPT</v>
      </c>
      <c r="F2384" s="2" t="s">
        <v>72</v>
      </c>
      <c r="G2384" s="6"/>
      <c r="H2384" s="1">
        <v>25.02</v>
      </c>
    </row>
    <row r="2385" spans="1:11" x14ac:dyDescent="0.3">
      <c r="A2385" s="2" t="s">
        <v>1780</v>
      </c>
      <c r="B2385" s="2" t="s">
        <v>167</v>
      </c>
      <c r="C2385" s="2" t="s">
        <v>119</v>
      </c>
      <c r="D2385" s="2" t="s">
        <v>2859</v>
      </c>
      <c r="E2385" s="4" t="str">
        <f>HYPERLINK("./Results/DLO\3189\Osteo_Sarco_1.png","RPT")</f>
        <v>RPT</v>
      </c>
      <c r="F2385" s="2" t="s">
        <v>128</v>
      </c>
      <c r="G2385" s="6"/>
      <c r="H2385" s="1">
        <v>24.16</v>
      </c>
    </row>
    <row r="2386" spans="1:11" x14ac:dyDescent="0.3">
      <c r="A2386" s="2" t="s">
        <v>1773</v>
      </c>
      <c r="B2386" s="2" t="s">
        <v>159</v>
      </c>
      <c r="C2386" s="2" t="s">
        <v>119</v>
      </c>
      <c r="D2386" s="2" t="s">
        <v>2859</v>
      </c>
      <c r="E2386" s="4" t="str">
        <f>HYPERLINK("./Results/DLO\319\Osteo_Sarco_1.png","RPT")</f>
        <v>RPT</v>
      </c>
      <c r="F2386" s="2" t="s">
        <v>581</v>
      </c>
      <c r="G2386" s="6"/>
      <c r="I2386"/>
      <c r="J2386"/>
      <c r="K2386"/>
    </row>
    <row r="2387" spans="1:11" x14ac:dyDescent="0.3">
      <c r="A2387" s="2" t="s">
        <v>1785</v>
      </c>
      <c r="B2387" s="2" t="s">
        <v>139</v>
      </c>
      <c r="C2387" s="2" t="s">
        <v>111</v>
      </c>
      <c r="D2387" s="2" t="s">
        <v>2867</v>
      </c>
      <c r="E2387" s="4" t="str">
        <f>HYPERLINK("./Results/DLO\3190\Osteo_Sarco_1.png","RPT")</f>
        <v>RPT</v>
      </c>
      <c r="F2387" s="2" t="s">
        <v>40</v>
      </c>
      <c r="G2387" s="6"/>
      <c r="H2387" s="1">
        <v>29.79</v>
      </c>
    </row>
    <row r="2388" spans="1:11" x14ac:dyDescent="0.3">
      <c r="A2388" s="2" t="s">
        <v>1782</v>
      </c>
      <c r="B2388" s="2" t="s">
        <v>159</v>
      </c>
      <c r="C2388" s="2" t="s">
        <v>111</v>
      </c>
      <c r="D2388" s="2" t="s">
        <v>2859</v>
      </c>
      <c r="E2388" s="4" t="str">
        <f>HYPERLINK("./Results/DLO\3191\Osteo_Sarco_1.png","RPT")</f>
        <v>RPT</v>
      </c>
      <c r="F2388" s="2" t="s">
        <v>460</v>
      </c>
      <c r="G2388" s="6"/>
      <c r="H2388" s="1">
        <v>24.26</v>
      </c>
    </row>
    <row r="2389" spans="1:11" x14ac:dyDescent="0.3">
      <c r="A2389" s="2" t="s">
        <v>1760</v>
      </c>
      <c r="B2389" s="2" t="s">
        <v>112</v>
      </c>
      <c r="C2389" s="2" t="s">
        <v>111</v>
      </c>
      <c r="D2389" s="2" t="s">
        <v>2859</v>
      </c>
      <c r="E2389" s="4" t="str">
        <f>HYPERLINK("./Results/DLO\3193\Osteo_Sarco_1.png","RPT")</f>
        <v>RPT</v>
      </c>
      <c r="F2389" s="2" t="s">
        <v>474</v>
      </c>
      <c r="G2389" s="6"/>
      <c r="H2389" s="1">
        <v>21.44</v>
      </c>
    </row>
    <row r="2390" spans="1:11" x14ac:dyDescent="0.3">
      <c r="A2390" s="2" t="s">
        <v>1781</v>
      </c>
      <c r="B2390" s="2" t="s">
        <v>133</v>
      </c>
      <c r="C2390" s="2" t="s">
        <v>111</v>
      </c>
      <c r="D2390" s="2" t="s">
        <v>2859</v>
      </c>
      <c r="E2390" s="4" t="str">
        <f>HYPERLINK("./Results/DLO\3194\Osteo_Sarco_1.png","RPT")</f>
        <v>RPT</v>
      </c>
      <c r="F2390" s="2" t="s">
        <v>453</v>
      </c>
      <c r="G2390" s="6"/>
      <c r="H2390" s="1">
        <v>24.78</v>
      </c>
    </row>
    <row r="2391" spans="1:11" x14ac:dyDescent="0.3">
      <c r="A2391" s="2" t="s">
        <v>1769</v>
      </c>
      <c r="B2391" s="2" t="s">
        <v>120</v>
      </c>
      <c r="C2391" s="2" t="s">
        <v>119</v>
      </c>
      <c r="D2391" s="2" t="s">
        <v>2867</v>
      </c>
      <c r="E2391" s="4" t="str">
        <f>HYPERLINK("./Results/DLO\3195\Osteo_Sarco_1.png","RPT")</f>
        <v>RPT</v>
      </c>
      <c r="F2391" s="2" t="s">
        <v>467</v>
      </c>
      <c r="G2391" s="6"/>
      <c r="H2391" s="1">
        <v>22.88</v>
      </c>
    </row>
    <row r="2392" spans="1:11" x14ac:dyDescent="0.3">
      <c r="A2392" s="2" t="s">
        <v>1758</v>
      </c>
      <c r="B2392" s="2" t="s">
        <v>166</v>
      </c>
      <c r="C2392" s="2" t="s">
        <v>119</v>
      </c>
      <c r="D2392" s="2" t="s">
        <v>2859</v>
      </c>
      <c r="E2392" s="4" t="str">
        <f>HYPERLINK("./Results/DLO\3196\Osteo_Sarco_1.png","RPT")</f>
        <v>RPT</v>
      </c>
      <c r="F2392" s="2" t="s">
        <v>70</v>
      </c>
      <c r="G2392" s="6"/>
      <c r="H2392" s="1">
        <v>22.89</v>
      </c>
    </row>
    <row r="2393" spans="1:11" x14ac:dyDescent="0.3">
      <c r="A2393" s="2" t="s">
        <v>1783</v>
      </c>
      <c r="B2393" s="2" t="s">
        <v>114</v>
      </c>
      <c r="C2393" s="2" t="s">
        <v>119</v>
      </c>
      <c r="D2393" s="2" t="s">
        <v>2867</v>
      </c>
      <c r="E2393" s="4" t="str">
        <f>HYPERLINK("./Results/DLO\3197\Osteo_Sarco_1.png","RPT")</f>
        <v>RPT</v>
      </c>
      <c r="F2393" s="2" t="s">
        <v>41</v>
      </c>
      <c r="G2393" s="6"/>
      <c r="H2393" s="1">
        <v>22.41</v>
      </c>
    </row>
    <row r="2394" spans="1:11" x14ac:dyDescent="0.3">
      <c r="A2394" s="2" t="s">
        <v>1784</v>
      </c>
      <c r="B2394" s="2" t="s">
        <v>148</v>
      </c>
      <c r="C2394" s="2" t="s">
        <v>119</v>
      </c>
      <c r="D2394" s="2" t="s">
        <v>2859</v>
      </c>
      <c r="E2394" s="4" t="str">
        <f>HYPERLINK("./Results/DLO\3198\Osteo_Sarco_1.png","RPT")</f>
        <v>RPT</v>
      </c>
      <c r="F2394" s="2" t="s">
        <v>46</v>
      </c>
      <c r="G2394" s="6"/>
      <c r="H2394" s="1">
        <v>22.7</v>
      </c>
    </row>
    <row r="2395" spans="1:11" x14ac:dyDescent="0.3">
      <c r="A2395" s="2" t="s">
        <v>1774</v>
      </c>
      <c r="B2395" s="2" t="s">
        <v>123</v>
      </c>
      <c r="C2395" s="2" t="s">
        <v>111</v>
      </c>
      <c r="D2395" s="2" t="s">
        <v>2859</v>
      </c>
      <c r="E2395" s="4" t="str">
        <f>HYPERLINK("./Results/DLO\3199\Osteo_Sarco_1.png","RPT")</f>
        <v>RPT</v>
      </c>
      <c r="F2395" s="2" t="s">
        <v>454</v>
      </c>
      <c r="G2395" s="6"/>
      <c r="H2395" s="1">
        <v>22.24</v>
      </c>
    </row>
    <row r="2396" spans="1:11" x14ac:dyDescent="0.3">
      <c r="A2396" s="2" t="s">
        <v>1770</v>
      </c>
      <c r="B2396" s="2" t="s">
        <v>134</v>
      </c>
      <c r="C2396" s="2" t="s">
        <v>119</v>
      </c>
      <c r="D2396" s="2" t="s">
        <v>2859</v>
      </c>
      <c r="E2396" s="4" t="str">
        <f>HYPERLINK("./Results/DLO\32\Osteo_Sarco_1.png","RPT")</f>
        <v>RPT</v>
      </c>
      <c r="F2396" s="2" t="s">
        <v>70</v>
      </c>
      <c r="G2396" s="6"/>
      <c r="I2396"/>
      <c r="J2396"/>
      <c r="K2396"/>
    </row>
    <row r="2397" spans="1:11" x14ac:dyDescent="0.3">
      <c r="A2397" s="2" t="s">
        <v>1766</v>
      </c>
      <c r="B2397" s="2" t="s">
        <v>140</v>
      </c>
      <c r="C2397" s="2" t="s">
        <v>111</v>
      </c>
      <c r="D2397" s="2" t="s">
        <v>2859</v>
      </c>
      <c r="E2397" s="4" t="str">
        <f>HYPERLINK("./Results/DLO\320\Osteo_Sarco_1.png","RPT")</f>
        <v>RPT</v>
      </c>
      <c r="F2397" s="2" t="s">
        <v>22</v>
      </c>
      <c r="G2397" s="6"/>
      <c r="I2397"/>
      <c r="J2397"/>
      <c r="K2397"/>
    </row>
    <row r="2398" spans="1:11" x14ac:dyDescent="0.3">
      <c r="A2398" s="2" t="s">
        <v>1763</v>
      </c>
      <c r="B2398" s="2" t="s">
        <v>125</v>
      </c>
      <c r="C2398" s="2" t="s">
        <v>119</v>
      </c>
      <c r="D2398" s="2" t="s">
        <v>2867</v>
      </c>
      <c r="E2398" s="4" t="str">
        <f>HYPERLINK("./Results/DLO\3200\Osteo_Sarco_1.png","RPT")</f>
        <v>RPT</v>
      </c>
      <c r="F2398" s="2" t="s">
        <v>454</v>
      </c>
      <c r="G2398" s="6"/>
      <c r="H2398" s="1">
        <v>20.51</v>
      </c>
    </row>
    <row r="2399" spans="1:11" x14ac:dyDescent="0.3">
      <c r="A2399" s="2" t="s">
        <v>1764</v>
      </c>
      <c r="B2399" s="2" t="s">
        <v>137</v>
      </c>
      <c r="C2399" s="2" t="s">
        <v>119</v>
      </c>
      <c r="D2399" s="2" t="s">
        <v>2859</v>
      </c>
      <c r="E2399" s="4" t="str">
        <f>HYPERLINK("./Results/DLO\3201\Osteo_Sarco_1.png","RPT")</f>
        <v>RPT</v>
      </c>
      <c r="F2399" s="2" t="s">
        <v>70</v>
      </c>
      <c r="G2399" s="6"/>
      <c r="H2399" s="1">
        <v>22.99</v>
      </c>
    </row>
    <row r="2400" spans="1:11" x14ac:dyDescent="0.3">
      <c r="A2400" s="2" t="s">
        <v>1775</v>
      </c>
      <c r="B2400" s="2" t="s">
        <v>140</v>
      </c>
      <c r="C2400" s="2" t="s">
        <v>119</v>
      </c>
      <c r="D2400" s="2" t="s">
        <v>2859</v>
      </c>
      <c r="E2400" s="4" t="str">
        <f>HYPERLINK("./Results/DLO\3202\Osteo_Sarco_1.png","RPT")</f>
        <v>RPT</v>
      </c>
      <c r="F2400" s="2" t="s">
        <v>43</v>
      </c>
      <c r="G2400" s="6"/>
      <c r="H2400" s="1">
        <v>22.01</v>
      </c>
    </row>
    <row r="2401" spans="1:11" x14ac:dyDescent="0.3">
      <c r="A2401" s="2" t="s">
        <v>1776</v>
      </c>
      <c r="B2401" s="2" t="s">
        <v>137</v>
      </c>
      <c r="C2401" s="2" t="s">
        <v>119</v>
      </c>
      <c r="D2401" s="2" t="s">
        <v>2859</v>
      </c>
      <c r="E2401" s="4" t="str">
        <f>HYPERLINK("./Results/DLO\3203\Osteo_Sarco_1.png","RPT")</f>
        <v>RPT</v>
      </c>
      <c r="F2401" s="2" t="s">
        <v>34</v>
      </c>
      <c r="G2401" s="6"/>
      <c r="H2401" s="1">
        <v>20.57</v>
      </c>
    </row>
    <row r="2402" spans="1:11" x14ac:dyDescent="0.3">
      <c r="A2402" s="2" t="s">
        <v>1767</v>
      </c>
      <c r="B2402" s="2" t="s">
        <v>137</v>
      </c>
      <c r="C2402" s="2" t="s">
        <v>119</v>
      </c>
      <c r="D2402" s="2" t="s">
        <v>2859</v>
      </c>
      <c r="E2402" s="4" t="str">
        <f>HYPERLINK("./Results/DLO\3204\Osteo_Sarco_1.png","RPT")</f>
        <v>RPT</v>
      </c>
      <c r="F2402" s="2" t="s">
        <v>115</v>
      </c>
      <c r="G2402" s="6"/>
      <c r="H2402" s="1">
        <v>19.329999999999998</v>
      </c>
    </row>
    <row r="2403" spans="1:11" x14ac:dyDescent="0.3">
      <c r="A2403" s="2" t="s">
        <v>1768</v>
      </c>
      <c r="B2403" s="2" t="s">
        <v>126</v>
      </c>
      <c r="C2403" s="2" t="s">
        <v>119</v>
      </c>
      <c r="D2403" s="2" t="s">
        <v>2859</v>
      </c>
      <c r="E2403" s="4" t="str">
        <f>HYPERLINK("./Results/DLO\3205\Osteo_Sarco_1.png","RPT")</f>
        <v>RPT</v>
      </c>
      <c r="F2403" s="2" t="s">
        <v>136</v>
      </c>
      <c r="G2403" s="6"/>
      <c r="H2403" s="1">
        <v>19.45</v>
      </c>
    </row>
    <row r="2404" spans="1:11" x14ac:dyDescent="0.3">
      <c r="A2404" s="2" t="s">
        <v>1805</v>
      </c>
      <c r="B2404" s="2" t="s">
        <v>170</v>
      </c>
      <c r="C2404" s="2" t="s">
        <v>111</v>
      </c>
      <c r="D2404" s="2" t="s">
        <v>2859</v>
      </c>
      <c r="E2404" s="4" t="str">
        <f>HYPERLINK("./Results/DLO\3206\Osteo_Sarco_1.png","RPT")</f>
        <v>RPT</v>
      </c>
      <c r="F2404" s="2" t="s">
        <v>575</v>
      </c>
      <c r="G2404" s="6"/>
      <c r="H2404" s="1">
        <v>16.899999999999999</v>
      </c>
    </row>
    <row r="2405" spans="1:11" x14ac:dyDescent="0.3">
      <c r="A2405" s="2" t="s">
        <v>1807</v>
      </c>
      <c r="B2405" s="2" t="s">
        <v>112</v>
      </c>
      <c r="C2405" s="2" t="s">
        <v>119</v>
      </c>
      <c r="D2405" s="2" t="s">
        <v>2867</v>
      </c>
      <c r="E2405" s="4" t="str">
        <f>HYPERLINK("./Results/DLO\3207\Osteo_Sarco_1.png","RPT")</f>
        <v>RPT</v>
      </c>
      <c r="F2405" s="2" t="s">
        <v>454</v>
      </c>
      <c r="G2405" s="6"/>
      <c r="H2405" s="1">
        <v>21.83</v>
      </c>
    </row>
    <row r="2406" spans="1:11" x14ac:dyDescent="0.3">
      <c r="A2406" s="2" t="s">
        <v>1788</v>
      </c>
      <c r="B2406" s="2" t="s">
        <v>137</v>
      </c>
      <c r="C2406" s="2" t="s">
        <v>111</v>
      </c>
      <c r="D2406" s="2" t="s">
        <v>2867</v>
      </c>
      <c r="E2406" s="4" t="str">
        <f>HYPERLINK("./Results/DLO\3208\Osteo_Sarco_1.png","RPT")</f>
        <v>RPT</v>
      </c>
      <c r="F2406" s="2" t="s">
        <v>27</v>
      </c>
      <c r="G2406" s="6"/>
      <c r="H2406" s="1">
        <v>20.32</v>
      </c>
    </row>
    <row r="2407" spans="1:11" x14ac:dyDescent="0.3">
      <c r="A2407" s="2" t="s">
        <v>1802</v>
      </c>
      <c r="B2407" s="2" t="s">
        <v>123</v>
      </c>
      <c r="C2407" s="2" t="s">
        <v>111</v>
      </c>
      <c r="D2407" s="2" t="s">
        <v>2859</v>
      </c>
      <c r="E2407" s="4" t="str">
        <f>HYPERLINK("./Results/DLO\3209\Osteo_Sarco_1.png","RPT")</f>
        <v>RPT</v>
      </c>
      <c r="F2407" s="2" t="s">
        <v>45</v>
      </c>
      <c r="G2407" s="6"/>
      <c r="H2407" s="1">
        <v>18.2</v>
      </c>
    </row>
    <row r="2408" spans="1:11" x14ac:dyDescent="0.3">
      <c r="A2408" s="2" t="s">
        <v>1803</v>
      </c>
      <c r="B2408" s="2" t="s">
        <v>112</v>
      </c>
      <c r="C2408" s="2" t="s">
        <v>111</v>
      </c>
      <c r="D2408" s="2" t="s">
        <v>2859</v>
      </c>
      <c r="E2408" s="4" t="str">
        <f>HYPERLINK("./Results/DLO\321\Osteo_Sarco_1.png","RPT")</f>
        <v>RPT</v>
      </c>
      <c r="F2408" s="2" t="s">
        <v>61</v>
      </c>
      <c r="G2408" s="6"/>
      <c r="I2408"/>
      <c r="J2408"/>
      <c r="K2408"/>
    </row>
    <row r="2409" spans="1:11" x14ac:dyDescent="0.3">
      <c r="A2409" s="2" t="s">
        <v>1795</v>
      </c>
      <c r="B2409" s="2" t="s">
        <v>138</v>
      </c>
      <c r="C2409" s="2" t="s">
        <v>111</v>
      </c>
      <c r="D2409" s="2" t="s">
        <v>2859</v>
      </c>
      <c r="E2409" s="4" t="str">
        <f>HYPERLINK("./Results/DLO\3210\Osteo_Sarco_1.png","RPT")</f>
        <v>RPT</v>
      </c>
      <c r="F2409" s="2" t="s">
        <v>69</v>
      </c>
      <c r="G2409" s="6"/>
      <c r="H2409" s="1">
        <v>18.38</v>
      </c>
    </row>
    <row r="2410" spans="1:11" x14ac:dyDescent="0.3">
      <c r="A2410" s="2" t="s">
        <v>1796</v>
      </c>
      <c r="B2410" s="2" t="s">
        <v>138</v>
      </c>
      <c r="C2410" s="2" t="s">
        <v>111</v>
      </c>
      <c r="D2410" s="2" t="s">
        <v>2867</v>
      </c>
      <c r="E2410" s="4" t="str">
        <f>HYPERLINK("./Results/DLO\3211\Osteo_Sarco_1.png","RPT")</f>
        <v>RPT</v>
      </c>
      <c r="F2410" s="2" t="s">
        <v>475</v>
      </c>
      <c r="G2410" s="6"/>
      <c r="H2410" s="1">
        <v>27.99</v>
      </c>
    </row>
    <row r="2411" spans="1:11" x14ac:dyDescent="0.3">
      <c r="A2411" s="2" t="s">
        <v>1811</v>
      </c>
      <c r="B2411" s="2" t="s">
        <v>116</v>
      </c>
      <c r="C2411" s="2" t="s">
        <v>111</v>
      </c>
      <c r="D2411" s="2" t="s">
        <v>2859</v>
      </c>
      <c r="E2411" s="4" t="str">
        <f>HYPERLINK("./Results/DLO\3212\Osteo_Sarco_1.png","RPT")</f>
        <v>RPT</v>
      </c>
      <c r="F2411" s="2" t="s">
        <v>88</v>
      </c>
      <c r="G2411" s="6"/>
      <c r="H2411" s="1">
        <v>21.14</v>
      </c>
    </row>
    <row r="2412" spans="1:11" x14ac:dyDescent="0.3">
      <c r="A2412" s="2" t="s">
        <v>1808</v>
      </c>
      <c r="B2412" s="2" t="s">
        <v>134</v>
      </c>
      <c r="C2412" s="2" t="s">
        <v>119</v>
      </c>
      <c r="D2412" s="2" t="s">
        <v>2867</v>
      </c>
      <c r="E2412" s="4" t="str">
        <f>HYPERLINK("./Results/DLO\3213\Osteo_Sarco_1.png","RPT")</f>
        <v>RPT</v>
      </c>
      <c r="F2412" s="2" t="s">
        <v>56</v>
      </c>
      <c r="G2412" s="6"/>
      <c r="H2412" s="1">
        <v>21.53</v>
      </c>
    </row>
    <row r="2413" spans="1:11" x14ac:dyDescent="0.3">
      <c r="A2413" s="2" t="s">
        <v>1804</v>
      </c>
      <c r="B2413" s="2" t="s">
        <v>142</v>
      </c>
      <c r="C2413" s="2" t="s">
        <v>111</v>
      </c>
      <c r="D2413" s="2" t="s">
        <v>2867</v>
      </c>
      <c r="E2413" s="4" t="str">
        <f>HYPERLINK("./Results/DLO\3214\Osteo_Sarco_1.png","RPT")</f>
        <v>RPT</v>
      </c>
      <c r="F2413" s="2" t="s">
        <v>72</v>
      </c>
      <c r="G2413" s="6"/>
      <c r="H2413" s="1">
        <v>22.79</v>
      </c>
    </row>
    <row r="2414" spans="1:11" x14ac:dyDescent="0.3">
      <c r="A2414" s="2" t="s">
        <v>1791</v>
      </c>
      <c r="B2414" s="2" t="s">
        <v>585</v>
      </c>
      <c r="C2414" s="2" t="s">
        <v>111</v>
      </c>
      <c r="D2414" s="2" t="s">
        <v>2867</v>
      </c>
      <c r="E2414" s="4" t="str">
        <f>HYPERLINK("./Results/DLO\3215\Osteo_Sarco_1.png","RPT")</f>
        <v>RPT</v>
      </c>
      <c r="F2414" s="2" t="s">
        <v>164</v>
      </c>
      <c r="G2414" s="6"/>
      <c r="H2414" s="1">
        <v>19.38</v>
      </c>
    </row>
    <row r="2415" spans="1:11" x14ac:dyDescent="0.3">
      <c r="A2415" s="2" t="s">
        <v>1809</v>
      </c>
      <c r="B2415" s="2" t="s">
        <v>165</v>
      </c>
      <c r="C2415" s="2" t="s">
        <v>119</v>
      </c>
      <c r="D2415" s="2" t="s">
        <v>2859</v>
      </c>
      <c r="E2415" s="4" t="str">
        <f>HYPERLINK("./Results/DLO\3216\Osteo_Sarco_1.png","RPT")</f>
        <v>RPT</v>
      </c>
      <c r="F2415" s="2" t="s">
        <v>31</v>
      </c>
      <c r="G2415" s="6"/>
      <c r="H2415" s="1">
        <v>18.55</v>
      </c>
    </row>
    <row r="2416" spans="1:11" x14ac:dyDescent="0.3">
      <c r="A2416" s="2" t="s">
        <v>1797</v>
      </c>
      <c r="B2416" s="2" t="s">
        <v>131</v>
      </c>
      <c r="C2416" s="2" t="s">
        <v>119</v>
      </c>
      <c r="D2416" s="2" t="s">
        <v>2859</v>
      </c>
      <c r="E2416" s="4" t="str">
        <f>HYPERLINK("./Results/DLO\3217\Osteo_Sarco_1.png","RPT")</f>
        <v>RPT</v>
      </c>
      <c r="F2416" s="2" t="s">
        <v>143</v>
      </c>
      <c r="G2416" s="6"/>
      <c r="H2416" s="1">
        <v>22.27</v>
      </c>
    </row>
    <row r="2417" spans="1:11" x14ac:dyDescent="0.3">
      <c r="A2417" s="2" t="s">
        <v>1789</v>
      </c>
      <c r="B2417" s="2" t="s">
        <v>161</v>
      </c>
      <c r="C2417" s="2" t="s">
        <v>119</v>
      </c>
      <c r="D2417" s="2" t="s">
        <v>2859</v>
      </c>
      <c r="E2417" s="4" t="str">
        <f>HYPERLINK("./Results/DLO\3218\Osteo_Sarco_1.png","RPT")</f>
        <v>RPT</v>
      </c>
      <c r="F2417" s="2" t="s">
        <v>467</v>
      </c>
      <c r="G2417" s="6"/>
      <c r="H2417" s="1">
        <v>19.149999999999999</v>
      </c>
    </row>
    <row r="2418" spans="1:11" x14ac:dyDescent="0.3">
      <c r="A2418" s="2" t="s">
        <v>1801</v>
      </c>
      <c r="B2418" s="2" t="s">
        <v>150</v>
      </c>
      <c r="C2418" s="2" t="s">
        <v>119</v>
      </c>
      <c r="D2418" s="2" t="s">
        <v>2867</v>
      </c>
      <c r="E2418" s="4" t="str">
        <f>HYPERLINK("./Results/DLO\3219\Osteo_Sarco_1.png","RPT")</f>
        <v>RPT</v>
      </c>
      <c r="F2418" s="2" t="s">
        <v>61</v>
      </c>
      <c r="G2418" s="6"/>
      <c r="H2418" s="1">
        <v>28.05</v>
      </c>
    </row>
    <row r="2419" spans="1:11" x14ac:dyDescent="0.3">
      <c r="A2419" s="2" t="s">
        <v>1790</v>
      </c>
      <c r="B2419" s="2" t="s">
        <v>140</v>
      </c>
      <c r="C2419" s="2" t="s">
        <v>119</v>
      </c>
      <c r="D2419" s="2" t="s">
        <v>2867</v>
      </c>
      <c r="E2419" s="4" t="str">
        <f>HYPERLINK("./Results/DLO\322\Osteo_Sarco_1.png","RPT")</f>
        <v>RPT</v>
      </c>
      <c r="F2419" s="2" t="s">
        <v>585</v>
      </c>
      <c r="G2419" s="6"/>
      <c r="I2419"/>
      <c r="J2419"/>
      <c r="K2419"/>
    </row>
    <row r="2420" spans="1:11" x14ac:dyDescent="0.3">
      <c r="A2420" s="2" t="s">
        <v>1810</v>
      </c>
      <c r="B2420" s="2" t="s">
        <v>113</v>
      </c>
      <c r="C2420" s="2" t="s">
        <v>119</v>
      </c>
      <c r="D2420" s="2" t="s">
        <v>2859</v>
      </c>
      <c r="E2420" s="4" t="str">
        <f>HYPERLINK("./Results/DLO\3220\Osteo_Sarco_1.png","RPT")</f>
        <v>RPT</v>
      </c>
      <c r="F2420" s="2" t="s">
        <v>28</v>
      </c>
      <c r="G2420" s="6"/>
      <c r="H2420" s="1">
        <v>21.18</v>
      </c>
    </row>
    <row r="2421" spans="1:11" x14ac:dyDescent="0.3">
      <c r="A2421" s="2" t="s">
        <v>1792</v>
      </c>
      <c r="B2421" s="2" t="s">
        <v>128</v>
      </c>
      <c r="C2421" s="2" t="s">
        <v>119</v>
      </c>
      <c r="D2421" s="2" t="s">
        <v>2859</v>
      </c>
      <c r="E2421" s="4" t="str">
        <f>HYPERLINK("./Results/DLO\3221\Osteo_Sarco_1.png","RPT")</f>
        <v>RPT</v>
      </c>
      <c r="F2421" s="2" t="s">
        <v>77</v>
      </c>
      <c r="G2421" s="6"/>
      <c r="H2421" s="1">
        <v>22.21</v>
      </c>
    </row>
    <row r="2422" spans="1:11" x14ac:dyDescent="0.3">
      <c r="A2422" s="2" t="s">
        <v>1799</v>
      </c>
      <c r="B2422" s="2" t="s">
        <v>120</v>
      </c>
      <c r="C2422" s="2" t="s">
        <v>119</v>
      </c>
      <c r="D2422" s="2" t="s">
        <v>2859</v>
      </c>
      <c r="E2422" s="4" t="str">
        <f>HYPERLINK("./Results/DLO\3222\Osteo_Sarco_1.png","RPT")</f>
        <v>RPT</v>
      </c>
      <c r="F2422" s="2" t="s">
        <v>61</v>
      </c>
      <c r="G2422" s="6"/>
      <c r="H2422" s="1">
        <v>22.48</v>
      </c>
    </row>
    <row r="2423" spans="1:11" x14ac:dyDescent="0.3">
      <c r="A2423" s="2" t="s">
        <v>1798</v>
      </c>
      <c r="B2423" s="2" t="s">
        <v>123</v>
      </c>
      <c r="C2423" s="2" t="s">
        <v>111</v>
      </c>
      <c r="D2423" s="2" t="s">
        <v>2859</v>
      </c>
      <c r="E2423" s="4" t="str">
        <f>HYPERLINK("./Results/DLO\3223\Osteo_Sarco_1.png","RPT")</f>
        <v>RPT</v>
      </c>
      <c r="F2423" s="2" t="s">
        <v>64</v>
      </c>
      <c r="G2423" s="6"/>
      <c r="H2423" s="1">
        <v>27.95</v>
      </c>
    </row>
    <row r="2424" spans="1:11" x14ac:dyDescent="0.3">
      <c r="A2424" s="2" t="s">
        <v>1806</v>
      </c>
      <c r="B2424" s="2" t="s">
        <v>114</v>
      </c>
      <c r="C2424" s="2" t="s">
        <v>119</v>
      </c>
      <c r="D2424" s="2" t="s">
        <v>2859</v>
      </c>
      <c r="E2424" s="4" t="str">
        <f>HYPERLINK("./Results/DLO\3224\Osteo_Sarco_1.png","RPT")</f>
        <v>RPT</v>
      </c>
      <c r="F2424" s="2" t="s">
        <v>120</v>
      </c>
      <c r="G2424" s="6"/>
      <c r="H2424" s="1">
        <v>16.03</v>
      </c>
    </row>
    <row r="2425" spans="1:11" x14ac:dyDescent="0.3">
      <c r="A2425" s="2" t="s">
        <v>1787</v>
      </c>
      <c r="B2425" s="2" t="s">
        <v>591</v>
      </c>
      <c r="C2425" s="2" t="s">
        <v>119</v>
      </c>
      <c r="D2425" s="2" t="s">
        <v>2859</v>
      </c>
      <c r="E2425" s="4" t="str">
        <f>HYPERLINK("./Results/DLO\3225\Osteo_Sarco_1.png","RPT")</f>
        <v>RPT</v>
      </c>
      <c r="F2425" s="2" t="s">
        <v>28</v>
      </c>
      <c r="G2425" s="6"/>
      <c r="H2425" s="1">
        <v>24.27</v>
      </c>
    </row>
    <row r="2426" spans="1:11" x14ac:dyDescent="0.3">
      <c r="A2426" s="2" t="s">
        <v>1793</v>
      </c>
      <c r="B2426" s="2" t="s">
        <v>116</v>
      </c>
      <c r="C2426" s="2" t="s">
        <v>119</v>
      </c>
      <c r="D2426" s="2" t="s">
        <v>2859</v>
      </c>
      <c r="E2426" s="4" t="str">
        <f>HYPERLINK("./Results/DLO\3226\Osteo_Sarco_1.png","RPT")</f>
        <v>RPT</v>
      </c>
      <c r="F2426" s="2" t="s">
        <v>121</v>
      </c>
      <c r="G2426" s="6"/>
      <c r="H2426" s="1">
        <v>25.24</v>
      </c>
    </row>
    <row r="2427" spans="1:11" x14ac:dyDescent="0.3">
      <c r="A2427" s="2" t="s">
        <v>1800</v>
      </c>
      <c r="B2427" s="2" t="s">
        <v>161</v>
      </c>
      <c r="C2427" s="2" t="s">
        <v>111</v>
      </c>
      <c r="D2427" s="2" t="s">
        <v>2859</v>
      </c>
      <c r="E2427" s="4" t="str">
        <f>HYPERLINK("./Results/DLO\3227\Osteo_Sarco_1.png","RPT")</f>
        <v>RPT</v>
      </c>
      <c r="F2427" s="2" t="s">
        <v>2</v>
      </c>
      <c r="G2427" s="6"/>
      <c r="H2427" s="1">
        <v>28.83</v>
      </c>
    </row>
    <row r="2428" spans="1:11" x14ac:dyDescent="0.3">
      <c r="A2428" s="2" t="s">
        <v>1794</v>
      </c>
      <c r="B2428" s="2" t="s">
        <v>161</v>
      </c>
      <c r="C2428" s="2" t="s">
        <v>119</v>
      </c>
      <c r="D2428" s="2" t="s">
        <v>2859</v>
      </c>
      <c r="E2428" s="4" t="str">
        <f>HYPERLINK("./Results/DLO\323\Osteo_Sarco_1.png","RPT")</f>
        <v>RPT</v>
      </c>
      <c r="F2428" s="2" t="s">
        <v>87</v>
      </c>
      <c r="G2428" s="6"/>
      <c r="I2428"/>
      <c r="J2428"/>
      <c r="K2428"/>
    </row>
    <row r="2429" spans="1:11" x14ac:dyDescent="0.3">
      <c r="A2429" s="2" t="s">
        <v>1786</v>
      </c>
      <c r="B2429" s="2" t="s">
        <v>159</v>
      </c>
      <c r="C2429" s="2" t="s">
        <v>119</v>
      </c>
      <c r="D2429" s="2" t="s">
        <v>2859</v>
      </c>
      <c r="E2429" s="4" t="str">
        <f>HYPERLINK("./Results/DLO\324\Osteo_Sarco_1.png","RPT")</f>
        <v>RPT</v>
      </c>
      <c r="F2429" s="2" t="s">
        <v>56</v>
      </c>
      <c r="G2429" s="6"/>
      <c r="I2429"/>
      <c r="J2429"/>
      <c r="K2429"/>
    </row>
    <row r="2430" spans="1:11" x14ac:dyDescent="0.3">
      <c r="A2430" s="2" t="s">
        <v>1813</v>
      </c>
      <c r="B2430" s="2" t="s">
        <v>125</v>
      </c>
      <c r="C2430" s="2" t="s">
        <v>111</v>
      </c>
      <c r="D2430" s="2" t="s">
        <v>2859</v>
      </c>
      <c r="E2430" s="4" t="str">
        <f>HYPERLINK("./Results/DLO\325\Osteo_Sarco_1.png","RPT")</f>
        <v>RPT</v>
      </c>
      <c r="F2430" s="2" t="s">
        <v>90</v>
      </c>
      <c r="G2430" s="6"/>
      <c r="I2430"/>
      <c r="J2430"/>
      <c r="K2430"/>
    </row>
    <row r="2431" spans="1:11" x14ac:dyDescent="0.3">
      <c r="A2431" s="2" t="s">
        <v>1837</v>
      </c>
      <c r="B2431" s="2" t="s">
        <v>123</v>
      </c>
      <c r="C2431" s="2" t="s">
        <v>119</v>
      </c>
      <c r="D2431" s="2" t="s">
        <v>2867</v>
      </c>
      <c r="E2431" s="4" t="str">
        <f>HYPERLINK("./Results/DLO\326\Osteo_Sarco_1.png","RPT")</f>
        <v>RPT</v>
      </c>
      <c r="F2431" s="2" t="s">
        <v>474</v>
      </c>
      <c r="G2431" s="6"/>
      <c r="I2431"/>
      <c r="J2431"/>
      <c r="K2431"/>
    </row>
    <row r="2432" spans="1:11" x14ac:dyDescent="0.3">
      <c r="A2432" s="2" t="s">
        <v>1814</v>
      </c>
      <c r="B2432" s="2" t="s">
        <v>123</v>
      </c>
      <c r="C2432" s="2" t="s">
        <v>119</v>
      </c>
      <c r="D2432" s="2" t="s">
        <v>2867</v>
      </c>
      <c r="E2432" s="4" t="str">
        <f>HYPERLINK("./Results/DLO\327\Osteo_Sarco_1.png","RPT")</f>
        <v>RPT</v>
      </c>
      <c r="F2432" s="2" t="s">
        <v>61</v>
      </c>
      <c r="G2432" s="6"/>
      <c r="I2432"/>
      <c r="J2432"/>
      <c r="K2432"/>
    </row>
    <row r="2433" spans="1:11" x14ac:dyDescent="0.3">
      <c r="A2433" s="2" t="s">
        <v>1815</v>
      </c>
      <c r="B2433" s="2" t="s">
        <v>137</v>
      </c>
      <c r="C2433" s="2" t="s">
        <v>111</v>
      </c>
      <c r="D2433" s="2" t="s">
        <v>2867</v>
      </c>
      <c r="E2433" s="4" t="str">
        <f>HYPERLINK("./Results/DLO\328\Osteo_Sarco_1.png","RPT")</f>
        <v>RPT</v>
      </c>
      <c r="F2433" s="2" t="s">
        <v>20</v>
      </c>
      <c r="G2433" s="6"/>
      <c r="H2433" s="1">
        <v>25.35</v>
      </c>
    </row>
    <row r="2434" spans="1:11" x14ac:dyDescent="0.3">
      <c r="A2434" s="2" t="s">
        <v>1835</v>
      </c>
      <c r="B2434" s="2" t="s">
        <v>143</v>
      </c>
      <c r="C2434" s="2" t="s">
        <v>111</v>
      </c>
      <c r="D2434" s="2" t="s">
        <v>2859</v>
      </c>
      <c r="E2434" s="4" t="str">
        <f>HYPERLINK("./Results/DLO\329\Osteo_Sarco_1.png","RPT")</f>
        <v>RPT</v>
      </c>
      <c r="F2434" s="2" t="s">
        <v>446</v>
      </c>
      <c r="G2434" s="6"/>
      <c r="H2434" s="1">
        <v>27.66</v>
      </c>
    </row>
    <row r="2435" spans="1:11" x14ac:dyDescent="0.3">
      <c r="A2435" s="2" t="s">
        <v>1836</v>
      </c>
      <c r="B2435" s="2" t="s">
        <v>148</v>
      </c>
      <c r="C2435" s="2" t="s">
        <v>119</v>
      </c>
      <c r="D2435" s="2" t="s">
        <v>2859</v>
      </c>
      <c r="E2435" s="4" t="str">
        <f>HYPERLINK("./Results/DLO\33\Osteo_Sarco_1.png","RPT")</f>
        <v>RPT</v>
      </c>
      <c r="F2435" s="2" t="s">
        <v>21</v>
      </c>
      <c r="G2435" s="6"/>
      <c r="I2435"/>
      <c r="J2435"/>
      <c r="K2435"/>
    </row>
    <row r="2436" spans="1:11" x14ac:dyDescent="0.3">
      <c r="A2436" s="2" t="s">
        <v>1833</v>
      </c>
      <c r="B2436" s="2" t="s">
        <v>133</v>
      </c>
      <c r="C2436" s="2" t="s">
        <v>111</v>
      </c>
      <c r="D2436" s="2" t="s">
        <v>2859</v>
      </c>
      <c r="E2436" s="4" t="str">
        <f>HYPERLINK("./Results/DLO\330\Osteo_Sarco_1.png","RPT")</f>
        <v>RPT</v>
      </c>
      <c r="F2436" s="2" t="s">
        <v>55</v>
      </c>
      <c r="G2436" s="6"/>
      <c r="I2436"/>
      <c r="J2436"/>
      <c r="K2436"/>
    </row>
    <row r="2437" spans="1:11" x14ac:dyDescent="0.3">
      <c r="A2437" s="2" t="s">
        <v>1825</v>
      </c>
      <c r="B2437" s="2" t="s">
        <v>112</v>
      </c>
      <c r="C2437" s="2" t="s">
        <v>119</v>
      </c>
      <c r="D2437" s="2" t="s">
        <v>2859</v>
      </c>
      <c r="E2437" s="4" t="str">
        <f>HYPERLINK("./Results/DLO\331\Osteo_Sarco_1.png","RPT")</f>
        <v>RPT</v>
      </c>
      <c r="F2437" s="2" t="s">
        <v>43</v>
      </c>
      <c r="G2437" s="6"/>
      <c r="I2437"/>
      <c r="J2437"/>
      <c r="K2437"/>
    </row>
    <row r="2438" spans="1:11" x14ac:dyDescent="0.3">
      <c r="A2438" s="2" t="s">
        <v>1822</v>
      </c>
      <c r="B2438" s="2" t="s">
        <v>167</v>
      </c>
      <c r="C2438" s="2" t="s">
        <v>119</v>
      </c>
      <c r="D2438" s="2" t="s">
        <v>2859</v>
      </c>
      <c r="E2438" s="4" t="str">
        <f>HYPERLINK("./Results/DLO\333\Osteo_Sarco_1.png","RPT")</f>
        <v>RPT</v>
      </c>
      <c r="F2438" s="2" t="s">
        <v>28</v>
      </c>
      <c r="G2438" s="6"/>
      <c r="I2438"/>
      <c r="J2438"/>
      <c r="K2438"/>
    </row>
    <row r="2439" spans="1:11" x14ac:dyDescent="0.3">
      <c r="A2439" s="2" t="s">
        <v>1829</v>
      </c>
      <c r="B2439" s="2" t="s">
        <v>21</v>
      </c>
      <c r="C2439" s="2" t="s">
        <v>111</v>
      </c>
      <c r="D2439" s="2" t="s">
        <v>2859</v>
      </c>
      <c r="E2439" s="4" t="str">
        <f>HYPERLINK("./Results/DLO\334\Osteo_Sarco_1.png","RPT")</f>
        <v>RPT</v>
      </c>
      <c r="F2439" s="2" t="s">
        <v>110</v>
      </c>
      <c r="G2439" s="6"/>
      <c r="I2439"/>
      <c r="J2439"/>
      <c r="K2439"/>
    </row>
    <row r="2440" spans="1:11" x14ac:dyDescent="0.3">
      <c r="A2440" s="2" t="s">
        <v>1816</v>
      </c>
      <c r="B2440" s="2" t="s">
        <v>148</v>
      </c>
      <c r="C2440" s="2" t="s">
        <v>119</v>
      </c>
      <c r="D2440" s="2" t="s">
        <v>2867</v>
      </c>
      <c r="E2440" s="4" t="str">
        <f>HYPERLINK("./Results/DLO\335\Osteo_Sarco_1.png","RPT")</f>
        <v>RPT</v>
      </c>
      <c r="F2440" s="2" t="s">
        <v>459</v>
      </c>
      <c r="G2440" s="6"/>
      <c r="H2440" s="1">
        <v>28.84</v>
      </c>
    </row>
    <row r="2441" spans="1:11" x14ac:dyDescent="0.3">
      <c r="A2441" s="2" t="s">
        <v>1826</v>
      </c>
      <c r="B2441" s="2" t="s">
        <v>140</v>
      </c>
      <c r="C2441" s="2" t="s">
        <v>111</v>
      </c>
      <c r="D2441" s="2" t="s">
        <v>2859</v>
      </c>
      <c r="E2441" s="4" t="str">
        <f>HYPERLINK("./Results/DLO\336\Osteo_Sarco_1.png","RPT")</f>
        <v>RPT</v>
      </c>
      <c r="F2441" s="2" t="s">
        <v>448</v>
      </c>
      <c r="G2441" s="6"/>
      <c r="I2441"/>
      <c r="J2441"/>
      <c r="K2441"/>
    </row>
    <row r="2442" spans="1:11" x14ac:dyDescent="0.3">
      <c r="A2442" s="2" t="s">
        <v>1830</v>
      </c>
      <c r="B2442" s="2" t="s">
        <v>131</v>
      </c>
      <c r="C2442" s="2" t="s">
        <v>119</v>
      </c>
      <c r="D2442" s="2" t="s">
        <v>2859</v>
      </c>
      <c r="E2442" s="4" t="str">
        <f>HYPERLINK("./Results/DLO\337\Osteo_Sarco_1.png","RPT")</f>
        <v>RPT</v>
      </c>
      <c r="F2442" s="2" t="s">
        <v>87</v>
      </c>
      <c r="G2442" s="6"/>
      <c r="I2442"/>
      <c r="J2442"/>
      <c r="K2442"/>
    </row>
    <row r="2443" spans="1:11" x14ac:dyDescent="0.3">
      <c r="A2443" s="2" t="s">
        <v>1838</v>
      </c>
      <c r="B2443" s="2" t="s">
        <v>127</v>
      </c>
      <c r="C2443" s="2" t="s">
        <v>111</v>
      </c>
      <c r="D2443" s="2" t="s">
        <v>2859</v>
      </c>
      <c r="E2443" s="4" t="str">
        <f>HYPERLINK("./Results/DLO\338\Osteo_Sarco_1.png","RPT")</f>
        <v>RPT</v>
      </c>
      <c r="F2443" s="2" t="s">
        <v>20</v>
      </c>
      <c r="G2443" s="6"/>
      <c r="I2443"/>
      <c r="J2443"/>
      <c r="K2443"/>
    </row>
    <row r="2444" spans="1:11" x14ac:dyDescent="0.3">
      <c r="A2444" s="2" t="s">
        <v>1832</v>
      </c>
      <c r="B2444" s="2" t="s">
        <v>149</v>
      </c>
      <c r="C2444" s="2" t="s">
        <v>119</v>
      </c>
      <c r="D2444" s="2" t="s">
        <v>2859</v>
      </c>
      <c r="E2444" s="4" t="str">
        <f>HYPERLINK("./Results/DLO\339\Osteo_Sarco_1.png","RPT")</f>
        <v>RPT</v>
      </c>
      <c r="F2444" s="2" t="s">
        <v>48</v>
      </c>
      <c r="G2444" s="6"/>
      <c r="I2444"/>
      <c r="J2444"/>
      <c r="K2444"/>
    </row>
    <row r="2445" spans="1:11" x14ac:dyDescent="0.3">
      <c r="A2445" s="2" t="s">
        <v>1823</v>
      </c>
      <c r="B2445" s="2" t="s">
        <v>165</v>
      </c>
      <c r="C2445" s="2" t="s">
        <v>119</v>
      </c>
      <c r="D2445" s="2" t="s">
        <v>2859</v>
      </c>
      <c r="E2445" s="4" t="str">
        <f>HYPERLINK("./Results/DLO\34\Osteo_Sarco_1.png","RPT")</f>
        <v>RPT</v>
      </c>
      <c r="F2445" s="2" t="s">
        <v>48</v>
      </c>
      <c r="G2445" s="6"/>
      <c r="I2445"/>
      <c r="J2445"/>
      <c r="K2445"/>
    </row>
    <row r="2446" spans="1:11" x14ac:dyDescent="0.3">
      <c r="A2446" s="2" t="s">
        <v>1824</v>
      </c>
      <c r="B2446" s="2" t="s">
        <v>115</v>
      </c>
      <c r="C2446" s="2" t="s">
        <v>119</v>
      </c>
      <c r="D2446" s="2" t="s">
        <v>2859</v>
      </c>
      <c r="E2446" s="4" t="str">
        <f>HYPERLINK("./Results/DLO\340\Osteo_Sarco_1.png","RPT")</f>
        <v>RPT</v>
      </c>
      <c r="F2446" s="2" t="s">
        <v>50</v>
      </c>
      <c r="G2446" s="6"/>
      <c r="I2446"/>
      <c r="J2446"/>
      <c r="K2446"/>
    </row>
    <row r="2447" spans="1:11" x14ac:dyDescent="0.3">
      <c r="A2447" s="2" t="s">
        <v>1834</v>
      </c>
      <c r="B2447" s="2" t="s">
        <v>28</v>
      </c>
      <c r="C2447" s="2" t="s">
        <v>119</v>
      </c>
      <c r="D2447" s="2" t="s">
        <v>2859</v>
      </c>
      <c r="E2447" s="4" t="str">
        <f>HYPERLINK("./Results/DLO\341\Osteo_Sarco_1.png","RPT")</f>
        <v>RPT</v>
      </c>
      <c r="F2447" s="2" t="s">
        <v>144</v>
      </c>
      <c r="G2447" s="6"/>
      <c r="I2447"/>
      <c r="J2447"/>
      <c r="K2447"/>
    </row>
    <row r="2448" spans="1:11" x14ac:dyDescent="0.3">
      <c r="A2448" s="2" t="s">
        <v>1818</v>
      </c>
      <c r="B2448" s="2" t="s">
        <v>126</v>
      </c>
      <c r="C2448" s="2" t="s">
        <v>119</v>
      </c>
      <c r="D2448" s="2" t="s">
        <v>2859</v>
      </c>
      <c r="E2448" s="4" t="str">
        <f>HYPERLINK("./Results/DLO\342\Osteo_Sarco_1.png","RPT")</f>
        <v>RPT</v>
      </c>
      <c r="F2448" s="2" t="s">
        <v>46</v>
      </c>
      <c r="G2448" s="6"/>
      <c r="I2448"/>
      <c r="J2448"/>
      <c r="K2448"/>
    </row>
    <row r="2449" spans="1:11" x14ac:dyDescent="0.3">
      <c r="A2449" s="2" t="s">
        <v>1812</v>
      </c>
      <c r="B2449" s="2" t="s">
        <v>134</v>
      </c>
      <c r="C2449" s="2" t="s">
        <v>111</v>
      </c>
      <c r="D2449" s="2" t="s">
        <v>2859</v>
      </c>
      <c r="E2449" s="4" t="str">
        <f>HYPERLINK("./Results/DLO\343\Osteo_Sarco_1.png","RPT")</f>
        <v>RPT</v>
      </c>
      <c r="F2449" s="2" t="s">
        <v>57</v>
      </c>
      <c r="G2449" s="6"/>
      <c r="I2449"/>
      <c r="J2449"/>
      <c r="K2449"/>
    </row>
    <row r="2450" spans="1:11" x14ac:dyDescent="0.3">
      <c r="A2450" s="2" t="s">
        <v>1817</v>
      </c>
      <c r="B2450" s="2" t="s">
        <v>116</v>
      </c>
      <c r="C2450" s="2" t="s">
        <v>119</v>
      </c>
      <c r="D2450" s="2" t="s">
        <v>2859</v>
      </c>
      <c r="E2450" s="4" t="str">
        <f>HYPERLINK("./Results/DLO\344\Osteo_Sarco_1.png","RPT")</f>
        <v>RPT</v>
      </c>
      <c r="F2450" s="2" t="s">
        <v>79</v>
      </c>
      <c r="G2450" s="6"/>
      <c r="I2450"/>
      <c r="J2450"/>
      <c r="K2450"/>
    </row>
    <row r="2451" spans="1:11" x14ac:dyDescent="0.3">
      <c r="A2451" s="2" t="s">
        <v>1831</v>
      </c>
      <c r="B2451" s="2" t="s">
        <v>148</v>
      </c>
      <c r="C2451" s="2" t="s">
        <v>111</v>
      </c>
      <c r="D2451" s="2" t="s">
        <v>2859</v>
      </c>
      <c r="E2451" s="4" t="str">
        <f>HYPERLINK("./Results/DLO\345\Osteo_Sarco_1.png","RPT")</f>
        <v>RPT</v>
      </c>
      <c r="F2451" s="2" t="s">
        <v>25</v>
      </c>
      <c r="G2451" s="6"/>
      <c r="I2451"/>
      <c r="J2451"/>
      <c r="K2451"/>
    </row>
    <row r="2452" spans="1:11" x14ac:dyDescent="0.3">
      <c r="A2452" s="2" t="s">
        <v>1819</v>
      </c>
      <c r="B2452" s="2" t="s">
        <v>142</v>
      </c>
      <c r="C2452" s="2" t="s">
        <v>111</v>
      </c>
      <c r="D2452" s="2" t="s">
        <v>2867</v>
      </c>
      <c r="E2452" s="4" t="str">
        <f>HYPERLINK("./Results/DLO\346\Osteo_Sarco_1.png","RPT")</f>
        <v>RPT</v>
      </c>
      <c r="F2452" s="2" t="s">
        <v>121</v>
      </c>
      <c r="G2452" s="6"/>
      <c r="I2452"/>
      <c r="J2452"/>
      <c r="K2452"/>
    </row>
    <row r="2453" spans="1:11" x14ac:dyDescent="0.3">
      <c r="A2453" s="2" t="s">
        <v>1827</v>
      </c>
      <c r="B2453" s="2" t="s">
        <v>129</v>
      </c>
      <c r="C2453" s="2" t="s">
        <v>111</v>
      </c>
      <c r="D2453" s="2" t="s">
        <v>2859</v>
      </c>
      <c r="E2453" s="4" t="str">
        <f>HYPERLINK("./Results/DLO\347\Osteo_Sarco_1.png","RPT")</f>
        <v>RPT</v>
      </c>
      <c r="F2453" s="2" t="s">
        <v>34</v>
      </c>
      <c r="G2453" s="6"/>
      <c r="I2453"/>
      <c r="J2453"/>
      <c r="K2453"/>
    </row>
    <row r="2454" spans="1:11" x14ac:dyDescent="0.3">
      <c r="A2454" s="2" t="s">
        <v>1820</v>
      </c>
      <c r="B2454" s="2" t="s">
        <v>156</v>
      </c>
      <c r="C2454" s="2" t="s">
        <v>119</v>
      </c>
      <c r="D2454" s="2" t="s">
        <v>2859</v>
      </c>
      <c r="E2454" s="4" t="str">
        <f>HYPERLINK("./Results/DLO\348\Osteo_Sarco_1.png","RPT")</f>
        <v>RPT</v>
      </c>
      <c r="F2454" s="2" t="s">
        <v>121</v>
      </c>
      <c r="G2454" s="6"/>
      <c r="H2454" s="1">
        <v>21.29</v>
      </c>
    </row>
    <row r="2455" spans="1:11" x14ac:dyDescent="0.3">
      <c r="A2455" s="2" t="s">
        <v>1821</v>
      </c>
      <c r="B2455" s="2" t="s">
        <v>125</v>
      </c>
      <c r="C2455" s="2" t="s">
        <v>119</v>
      </c>
      <c r="D2455" s="2" t="s">
        <v>2859</v>
      </c>
      <c r="E2455" s="4" t="str">
        <f>HYPERLINK("./Results/DLO\349\Osteo_Sarco_1.png","RPT")</f>
        <v>RPT</v>
      </c>
      <c r="F2455" s="2" t="s">
        <v>115</v>
      </c>
      <c r="G2455" s="6"/>
      <c r="H2455" s="1">
        <v>22.89</v>
      </c>
    </row>
    <row r="2456" spans="1:11" x14ac:dyDescent="0.3">
      <c r="A2456" s="2" t="s">
        <v>1828</v>
      </c>
      <c r="B2456" s="2" t="s">
        <v>140</v>
      </c>
      <c r="C2456" s="2" t="s">
        <v>119</v>
      </c>
      <c r="D2456" s="2" t="s">
        <v>2859</v>
      </c>
      <c r="E2456" s="4" t="str">
        <f>HYPERLINK("./Results/DLO\35\Osteo_Sarco_1.png","RPT")</f>
        <v>RPT</v>
      </c>
      <c r="F2456" s="2" t="s">
        <v>21</v>
      </c>
      <c r="G2456" s="6"/>
      <c r="I2456"/>
      <c r="J2456"/>
      <c r="K2456"/>
    </row>
    <row r="2457" spans="1:11" x14ac:dyDescent="0.3">
      <c r="A2457" s="2" t="s">
        <v>1860</v>
      </c>
      <c r="B2457" s="2" t="s">
        <v>133</v>
      </c>
      <c r="C2457" s="2" t="s">
        <v>111</v>
      </c>
      <c r="D2457" s="2" t="s">
        <v>2859</v>
      </c>
      <c r="E2457" s="4" t="str">
        <f>HYPERLINK("./Results/DLO\350\Osteo_Sarco_1.png","RPT")</f>
        <v>RPT</v>
      </c>
      <c r="F2457" s="2" t="s">
        <v>455</v>
      </c>
      <c r="G2457" s="6"/>
      <c r="H2457" s="1">
        <v>23.18</v>
      </c>
    </row>
    <row r="2458" spans="1:11" x14ac:dyDescent="0.3">
      <c r="A2458" s="2" t="s">
        <v>1851</v>
      </c>
      <c r="B2458" s="2" t="s">
        <v>148</v>
      </c>
      <c r="C2458" s="2" t="s">
        <v>111</v>
      </c>
      <c r="D2458" s="2" t="s">
        <v>2859</v>
      </c>
      <c r="E2458" s="4" t="str">
        <f>HYPERLINK("./Results/DLO\351\Osteo_Sarco_1.png","RPT")</f>
        <v>RPT</v>
      </c>
      <c r="F2458" s="2" t="s">
        <v>71</v>
      </c>
      <c r="G2458" s="6"/>
      <c r="H2458" s="1">
        <v>27.25</v>
      </c>
    </row>
    <row r="2459" spans="1:11" x14ac:dyDescent="0.3">
      <c r="A2459" s="2" t="s">
        <v>1848</v>
      </c>
      <c r="B2459" s="2" t="s">
        <v>131</v>
      </c>
      <c r="C2459" s="2" t="s">
        <v>111</v>
      </c>
      <c r="D2459" s="2" t="s">
        <v>2859</v>
      </c>
      <c r="E2459" s="4" t="str">
        <f>HYPERLINK("./Results/DLO\352\Osteo_Sarco_1.png","RPT")</f>
        <v>RPT</v>
      </c>
      <c r="F2459" s="2" t="s">
        <v>473</v>
      </c>
      <c r="G2459" s="6"/>
      <c r="H2459" s="1">
        <v>29.39</v>
      </c>
    </row>
    <row r="2460" spans="1:11" x14ac:dyDescent="0.3">
      <c r="A2460" s="2" t="s">
        <v>1855</v>
      </c>
      <c r="B2460" s="2" t="s">
        <v>115</v>
      </c>
      <c r="C2460" s="2" t="s">
        <v>119</v>
      </c>
      <c r="D2460" s="2" t="s">
        <v>2859</v>
      </c>
      <c r="E2460" s="4" t="str">
        <f>HYPERLINK("./Results/DLO\353\Osteo_Sarco_1.png","RPT")</f>
        <v>RPT</v>
      </c>
      <c r="F2460" s="2" t="s">
        <v>70</v>
      </c>
      <c r="G2460" s="6"/>
      <c r="H2460" s="1">
        <v>20.89</v>
      </c>
    </row>
    <row r="2461" spans="1:11" x14ac:dyDescent="0.3">
      <c r="A2461" s="2" t="s">
        <v>1858</v>
      </c>
      <c r="B2461" s="2" t="s">
        <v>123</v>
      </c>
      <c r="C2461" s="2" t="s">
        <v>119</v>
      </c>
      <c r="D2461" s="2" t="s">
        <v>2859</v>
      </c>
      <c r="E2461" s="4" t="str">
        <f>HYPERLINK("./Results/DLO\354\Osteo_Sarco_1.png","RPT")</f>
        <v>RPT</v>
      </c>
      <c r="F2461" s="2" t="s">
        <v>48</v>
      </c>
      <c r="G2461" s="6"/>
      <c r="I2461"/>
      <c r="J2461"/>
      <c r="K2461"/>
    </row>
    <row r="2462" spans="1:11" x14ac:dyDescent="0.3">
      <c r="A2462" s="2" t="s">
        <v>1847</v>
      </c>
      <c r="B2462" s="2" t="s">
        <v>116</v>
      </c>
      <c r="C2462" s="2" t="s">
        <v>111</v>
      </c>
      <c r="D2462" s="2" t="s">
        <v>2859</v>
      </c>
      <c r="E2462" s="4" t="str">
        <f>HYPERLINK("./Results/DLO\355\Osteo_Sarco_1.png","RPT")</f>
        <v>RPT</v>
      </c>
      <c r="F2462" s="2" t="s">
        <v>54</v>
      </c>
      <c r="G2462" s="6"/>
      <c r="H2462" s="1">
        <v>26.86</v>
      </c>
    </row>
    <row r="2463" spans="1:11" x14ac:dyDescent="0.3">
      <c r="A2463" s="2" t="s">
        <v>1839</v>
      </c>
      <c r="B2463" s="2" t="s">
        <v>146</v>
      </c>
      <c r="C2463" s="2" t="s">
        <v>119</v>
      </c>
      <c r="D2463" s="2" t="s">
        <v>2867</v>
      </c>
      <c r="E2463" s="4" t="str">
        <f>HYPERLINK("./Results/DLO\356\Osteo_Sarco_1.png","RPT")</f>
        <v>RPT</v>
      </c>
      <c r="F2463" s="2" t="s">
        <v>44</v>
      </c>
      <c r="G2463" s="6"/>
      <c r="I2463"/>
      <c r="J2463"/>
      <c r="K2463"/>
    </row>
    <row r="2464" spans="1:11" x14ac:dyDescent="0.3">
      <c r="A2464" s="2" t="s">
        <v>1861</v>
      </c>
      <c r="B2464" s="2" t="s">
        <v>154</v>
      </c>
      <c r="C2464" s="2" t="s">
        <v>119</v>
      </c>
      <c r="D2464" s="2" t="s">
        <v>2859</v>
      </c>
      <c r="E2464" s="4" t="str">
        <f>HYPERLINK("./Results/DLO\357\Osteo_Sarco_1.png","RPT")</f>
        <v>RPT</v>
      </c>
      <c r="F2464" s="2" t="s">
        <v>73</v>
      </c>
      <c r="G2464" s="6"/>
      <c r="I2464"/>
      <c r="J2464"/>
      <c r="K2464"/>
    </row>
    <row r="2465" spans="1:11" x14ac:dyDescent="0.3">
      <c r="A2465" s="2" t="s">
        <v>1842</v>
      </c>
      <c r="B2465" s="2" t="s">
        <v>129</v>
      </c>
      <c r="C2465" s="2" t="s">
        <v>111</v>
      </c>
      <c r="D2465" s="2" t="s">
        <v>2859</v>
      </c>
      <c r="E2465" s="4" t="str">
        <f>HYPERLINK("./Results/DLO\358\Osteo_Sarco_1.png","RPT")</f>
        <v>RPT</v>
      </c>
      <c r="F2465" s="2" t="s">
        <v>450</v>
      </c>
      <c r="G2465" s="6"/>
      <c r="I2465"/>
      <c r="J2465"/>
      <c r="K2465"/>
    </row>
    <row r="2466" spans="1:11" x14ac:dyDescent="0.3">
      <c r="A2466" s="2" t="s">
        <v>1856</v>
      </c>
      <c r="B2466" s="2" t="s">
        <v>140</v>
      </c>
      <c r="C2466" s="2" t="s">
        <v>111</v>
      </c>
      <c r="D2466" s="2" t="s">
        <v>2867</v>
      </c>
      <c r="E2466" s="4" t="str">
        <f>HYPERLINK("./Results/DLO\359\Osteo_Sarco_1.png","RPT")</f>
        <v>RPT</v>
      </c>
      <c r="F2466" s="2" t="s">
        <v>22</v>
      </c>
      <c r="G2466" s="6"/>
      <c r="I2466"/>
      <c r="J2466"/>
      <c r="K2466"/>
    </row>
    <row r="2467" spans="1:11" x14ac:dyDescent="0.3">
      <c r="A2467" s="2" t="s">
        <v>1864</v>
      </c>
      <c r="B2467" s="2" t="s">
        <v>137</v>
      </c>
      <c r="C2467" s="2" t="s">
        <v>119</v>
      </c>
      <c r="D2467" s="2" t="s">
        <v>2859</v>
      </c>
      <c r="E2467" s="4" t="str">
        <f>HYPERLINK("./Results/DLO\36\Osteo_Sarco_1.png","RPT")</f>
        <v>RPT</v>
      </c>
      <c r="F2467" s="2" t="s">
        <v>70</v>
      </c>
      <c r="G2467" s="6"/>
      <c r="H2467" s="1">
        <v>26.24</v>
      </c>
    </row>
    <row r="2468" spans="1:11" x14ac:dyDescent="0.3">
      <c r="A2468" s="2" t="s">
        <v>1840</v>
      </c>
      <c r="B2468" s="2" t="s">
        <v>148</v>
      </c>
      <c r="C2468" s="2" t="s">
        <v>119</v>
      </c>
      <c r="D2468" s="2" t="s">
        <v>2867</v>
      </c>
      <c r="E2468" s="4" t="str">
        <f>HYPERLINK("./Results/DLO\360\Osteo_Sarco_1.png","RPT")</f>
        <v>RPT</v>
      </c>
      <c r="F2468" s="2" t="s">
        <v>72</v>
      </c>
      <c r="G2468" s="6"/>
      <c r="H2468" s="1">
        <v>20.03</v>
      </c>
    </row>
    <row r="2469" spans="1:11" x14ac:dyDescent="0.3">
      <c r="A2469" s="2" t="s">
        <v>1845</v>
      </c>
      <c r="B2469" s="2" t="s">
        <v>131</v>
      </c>
      <c r="C2469" s="2" t="s">
        <v>111</v>
      </c>
      <c r="D2469" s="2" t="s">
        <v>2859</v>
      </c>
      <c r="E2469" s="4" t="str">
        <f>HYPERLINK("./Results/DLO\361\Osteo_Sarco_1.png","RPT")</f>
        <v>RPT</v>
      </c>
      <c r="F2469" s="2" t="s">
        <v>64</v>
      </c>
      <c r="G2469" s="6"/>
      <c r="I2469"/>
      <c r="J2469"/>
      <c r="K2469"/>
    </row>
    <row r="2470" spans="1:11" x14ac:dyDescent="0.3">
      <c r="A2470" s="2" t="s">
        <v>1849</v>
      </c>
      <c r="B2470" s="2" t="s">
        <v>129</v>
      </c>
      <c r="C2470" s="2" t="s">
        <v>119</v>
      </c>
      <c r="D2470" s="2" t="s">
        <v>2859</v>
      </c>
      <c r="E2470" s="4" t="str">
        <f>HYPERLINK("./Results/DLO\362\Osteo_Sarco_1.png","RPT")</f>
        <v>RPT</v>
      </c>
      <c r="F2470" s="2" t="s">
        <v>38</v>
      </c>
      <c r="G2470" s="6"/>
      <c r="I2470"/>
      <c r="J2470"/>
      <c r="K2470"/>
    </row>
    <row r="2471" spans="1:11" x14ac:dyDescent="0.3">
      <c r="A2471" s="2" t="s">
        <v>1841</v>
      </c>
      <c r="B2471" s="2" t="s">
        <v>142</v>
      </c>
      <c r="C2471" s="2" t="s">
        <v>119</v>
      </c>
      <c r="D2471" s="2" t="s">
        <v>2867</v>
      </c>
      <c r="E2471" s="4" t="str">
        <f>HYPERLINK("./Results/DLO\363\Osteo_Sarco_1.png","RPT")</f>
        <v>RPT</v>
      </c>
      <c r="F2471" s="2" t="s">
        <v>53</v>
      </c>
      <c r="G2471" s="6"/>
      <c r="I2471"/>
      <c r="J2471"/>
      <c r="K2471"/>
    </row>
    <row r="2472" spans="1:11" x14ac:dyDescent="0.3">
      <c r="A2472" s="2" t="s">
        <v>1843</v>
      </c>
      <c r="B2472" s="2" t="s">
        <v>123</v>
      </c>
      <c r="C2472" s="2" t="s">
        <v>111</v>
      </c>
      <c r="D2472" s="2" t="s">
        <v>2859</v>
      </c>
      <c r="E2472" s="4" t="str">
        <f>HYPERLINK("./Results/DLO\364\Osteo_Sarco_1.png","RPT")</f>
        <v>RPT</v>
      </c>
      <c r="F2472" s="2" t="s">
        <v>96</v>
      </c>
      <c r="G2472" s="6"/>
      <c r="I2472"/>
      <c r="J2472"/>
      <c r="K2472"/>
    </row>
    <row r="2473" spans="1:11" x14ac:dyDescent="0.3">
      <c r="A2473" s="2" t="s">
        <v>1850</v>
      </c>
      <c r="B2473" s="2" t="s">
        <v>164</v>
      </c>
      <c r="C2473" s="2" t="s">
        <v>119</v>
      </c>
      <c r="D2473" s="2" t="s">
        <v>2859</v>
      </c>
      <c r="E2473" s="4" t="str">
        <f>HYPERLINK("./Results/DLO\365\Osteo_Sarco_1.png","RPT")</f>
        <v>RPT</v>
      </c>
      <c r="F2473" s="2" t="s">
        <v>29</v>
      </c>
      <c r="G2473" s="6"/>
      <c r="H2473" s="1">
        <v>30.9</v>
      </c>
    </row>
    <row r="2474" spans="1:11" x14ac:dyDescent="0.3">
      <c r="A2474" s="2" t="s">
        <v>1852</v>
      </c>
      <c r="B2474" s="2" t="s">
        <v>28</v>
      </c>
      <c r="C2474" s="2" t="s">
        <v>111</v>
      </c>
      <c r="D2474" s="2" t="s">
        <v>2859</v>
      </c>
      <c r="E2474" s="4" t="str">
        <f>HYPERLINK("./Results/DLO\366\Osteo_Sarco_1.png","RPT")</f>
        <v>RPT</v>
      </c>
      <c r="F2474" s="2" t="s">
        <v>27</v>
      </c>
      <c r="G2474" s="6"/>
      <c r="H2474" s="1">
        <v>26.44</v>
      </c>
    </row>
    <row r="2475" spans="1:11" x14ac:dyDescent="0.3">
      <c r="A2475" s="2" t="s">
        <v>1865</v>
      </c>
      <c r="B2475" s="2" t="s">
        <v>127</v>
      </c>
      <c r="C2475" s="2" t="s">
        <v>119</v>
      </c>
      <c r="D2475" s="2" t="s">
        <v>2859</v>
      </c>
      <c r="E2475" s="4" t="str">
        <f>HYPERLINK("./Results/DLO\367\Osteo_Sarco_1.png","RPT")</f>
        <v>RPT</v>
      </c>
      <c r="F2475" s="2" t="s">
        <v>38</v>
      </c>
      <c r="G2475" s="6"/>
      <c r="I2475"/>
      <c r="J2475"/>
      <c r="K2475"/>
    </row>
    <row r="2476" spans="1:11" x14ac:dyDescent="0.3">
      <c r="A2476" s="2" t="s">
        <v>1857</v>
      </c>
      <c r="B2476" s="2" t="s">
        <v>164</v>
      </c>
      <c r="C2476" s="2" t="s">
        <v>119</v>
      </c>
      <c r="D2476" s="2" t="s">
        <v>2859</v>
      </c>
      <c r="E2476" s="4" t="str">
        <f>HYPERLINK("./Results/DLO\368\Osteo_Sarco_1.png","RPT")</f>
        <v>RPT</v>
      </c>
      <c r="F2476" s="2" t="s">
        <v>132</v>
      </c>
      <c r="G2476" s="6"/>
      <c r="I2476"/>
      <c r="J2476"/>
      <c r="K2476"/>
    </row>
    <row r="2477" spans="1:11" x14ac:dyDescent="0.3">
      <c r="A2477" s="2" t="s">
        <v>1853</v>
      </c>
      <c r="B2477" s="2" t="s">
        <v>143</v>
      </c>
      <c r="C2477" s="2" t="s">
        <v>111</v>
      </c>
      <c r="D2477" s="2" t="s">
        <v>2859</v>
      </c>
      <c r="E2477" s="4" t="str">
        <f>HYPERLINK("./Results/DLO\369\Osteo_Sarco_1.png","RPT")</f>
        <v>RPT</v>
      </c>
      <c r="F2477" s="2" t="s">
        <v>41</v>
      </c>
      <c r="G2477" s="6"/>
      <c r="I2477"/>
      <c r="J2477"/>
      <c r="K2477"/>
    </row>
    <row r="2478" spans="1:11" x14ac:dyDescent="0.3">
      <c r="A2478" s="2" t="s">
        <v>1844</v>
      </c>
      <c r="B2478" s="2" t="s">
        <v>127</v>
      </c>
      <c r="C2478" s="2" t="s">
        <v>111</v>
      </c>
      <c r="D2478" s="2" t="s">
        <v>2867</v>
      </c>
      <c r="E2478" s="4" t="str">
        <f>HYPERLINK("./Results/DLO\37\Osteo_Sarco_1.png","RPT")</f>
        <v>RPT</v>
      </c>
      <c r="F2478" s="2" t="s">
        <v>451</v>
      </c>
      <c r="G2478" s="6"/>
      <c r="I2478"/>
      <c r="J2478"/>
      <c r="K2478"/>
    </row>
    <row r="2479" spans="1:11" x14ac:dyDescent="0.3">
      <c r="A2479" s="2" t="s">
        <v>1846</v>
      </c>
      <c r="B2479" s="2" t="s">
        <v>136</v>
      </c>
      <c r="C2479" s="2" t="s">
        <v>119</v>
      </c>
      <c r="D2479" s="2" t="s">
        <v>2859</v>
      </c>
      <c r="E2479" s="4" t="str">
        <f>HYPERLINK("./Results/DLO\370\Osteo_Sarco_1.png","RPT")</f>
        <v>RPT</v>
      </c>
      <c r="F2479" s="2" t="s">
        <v>583</v>
      </c>
      <c r="G2479" s="6"/>
      <c r="I2479"/>
      <c r="J2479"/>
      <c r="K2479"/>
    </row>
    <row r="2480" spans="1:11" x14ac:dyDescent="0.3">
      <c r="A2480" s="2" t="s">
        <v>1854</v>
      </c>
      <c r="B2480" s="2" t="s">
        <v>142</v>
      </c>
      <c r="C2480" s="2" t="s">
        <v>111</v>
      </c>
      <c r="D2480" s="2" t="s">
        <v>2859</v>
      </c>
      <c r="E2480" s="4" t="str">
        <f>HYPERLINK("./Results/DLO\371\Osteo_Sarco_1.png","RPT")</f>
        <v>RPT</v>
      </c>
      <c r="F2480" s="2" t="s">
        <v>26</v>
      </c>
      <c r="G2480" s="6"/>
      <c r="I2480"/>
      <c r="J2480"/>
      <c r="K2480"/>
    </row>
    <row r="2481" spans="1:11" x14ac:dyDescent="0.3">
      <c r="A2481" s="2" t="s">
        <v>1862</v>
      </c>
      <c r="B2481" s="2" t="s">
        <v>136</v>
      </c>
      <c r="C2481" s="2" t="s">
        <v>111</v>
      </c>
      <c r="D2481" s="2" t="s">
        <v>2859</v>
      </c>
      <c r="E2481" s="4" t="str">
        <f>HYPERLINK("./Results/DLO\372\Osteo_Sarco_1.png","RPT")</f>
        <v>RPT</v>
      </c>
      <c r="F2481" s="2" t="s">
        <v>67</v>
      </c>
      <c r="G2481" s="6"/>
      <c r="I2481"/>
      <c r="J2481"/>
      <c r="K2481"/>
    </row>
    <row r="2482" spans="1:11" x14ac:dyDescent="0.3">
      <c r="A2482" s="2" t="s">
        <v>1859</v>
      </c>
      <c r="B2482" s="2" t="s">
        <v>129</v>
      </c>
      <c r="C2482" s="2" t="s">
        <v>119</v>
      </c>
      <c r="D2482" s="2" t="s">
        <v>2859</v>
      </c>
      <c r="E2482" s="4" t="str">
        <f>HYPERLINK("./Results/DLO\373\Osteo_Sarco_1.png","RPT")</f>
        <v>RPT</v>
      </c>
      <c r="F2482" s="2" t="s">
        <v>79</v>
      </c>
      <c r="G2482" s="6"/>
      <c r="H2482" s="1">
        <v>20.100000000000001</v>
      </c>
    </row>
    <row r="2483" spans="1:11" x14ac:dyDescent="0.3">
      <c r="A2483" s="2" t="s">
        <v>1863</v>
      </c>
      <c r="B2483" s="2" t="s">
        <v>148</v>
      </c>
      <c r="C2483" s="2" t="s">
        <v>111</v>
      </c>
      <c r="D2483" s="2" t="s">
        <v>2859</v>
      </c>
      <c r="E2483" s="4" t="str">
        <f>HYPERLINK("./Results/DLO\374\Osteo_Sarco_1.png","RPT")</f>
        <v>RPT</v>
      </c>
      <c r="F2483" s="2" t="s">
        <v>55</v>
      </c>
      <c r="G2483" s="6"/>
      <c r="I2483"/>
      <c r="J2483"/>
      <c r="K2483"/>
    </row>
    <row r="2484" spans="1:11" x14ac:dyDescent="0.3">
      <c r="A2484" s="2" t="s">
        <v>1870</v>
      </c>
      <c r="B2484" s="2" t="s">
        <v>165</v>
      </c>
      <c r="C2484" s="2" t="s">
        <v>119</v>
      </c>
      <c r="D2484" s="2" t="s">
        <v>2859</v>
      </c>
      <c r="E2484" s="4" t="str">
        <f>HYPERLINK("./Results/DLO\375\Osteo_Sarco_1.png","RPT")</f>
        <v>RPT</v>
      </c>
      <c r="F2484" s="2" t="s">
        <v>97</v>
      </c>
      <c r="G2484" s="6"/>
      <c r="H2484" s="1">
        <v>21.07</v>
      </c>
    </row>
    <row r="2485" spans="1:11" x14ac:dyDescent="0.3">
      <c r="A2485" s="2" t="s">
        <v>1883</v>
      </c>
      <c r="B2485" s="2" t="s">
        <v>585</v>
      </c>
      <c r="C2485" s="2" t="s">
        <v>111</v>
      </c>
      <c r="D2485" s="2" t="s">
        <v>2867</v>
      </c>
      <c r="E2485" s="4" t="str">
        <f>HYPERLINK("./Results/DLO\376\Osteo_Sarco_1.png","RPT")</f>
        <v>RPT</v>
      </c>
      <c r="F2485" s="2" t="s">
        <v>47</v>
      </c>
      <c r="G2485" s="6"/>
      <c r="I2485"/>
      <c r="J2485"/>
      <c r="K2485"/>
    </row>
    <row r="2486" spans="1:11" x14ac:dyDescent="0.3">
      <c r="A2486" s="2" t="s">
        <v>1877</v>
      </c>
      <c r="B2486" s="2" t="s">
        <v>118</v>
      </c>
      <c r="C2486" s="2" t="s">
        <v>111</v>
      </c>
      <c r="D2486" s="2" t="s">
        <v>2859</v>
      </c>
      <c r="E2486" s="4" t="str">
        <f>HYPERLINK("./Results/DLO\377\Osteo_Sarco_1.png","RPT")</f>
        <v>RPT</v>
      </c>
      <c r="F2486" s="2" t="s">
        <v>58</v>
      </c>
      <c r="G2486" s="6"/>
      <c r="I2486"/>
      <c r="J2486"/>
      <c r="K2486"/>
    </row>
    <row r="2487" spans="1:11" x14ac:dyDescent="0.3">
      <c r="A2487" s="2" t="s">
        <v>1884</v>
      </c>
      <c r="B2487" s="2" t="s">
        <v>150</v>
      </c>
      <c r="C2487" s="2" t="s">
        <v>111</v>
      </c>
      <c r="D2487" s="2" t="s">
        <v>2867</v>
      </c>
      <c r="E2487" s="4" t="str">
        <f>HYPERLINK("./Results/DLO\378\Osteo_Sarco_1.png","RPT")</f>
        <v>RPT</v>
      </c>
      <c r="F2487" s="2" t="s">
        <v>32</v>
      </c>
      <c r="G2487" s="6"/>
      <c r="I2487"/>
      <c r="J2487"/>
      <c r="K2487"/>
    </row>
    <row r="2488" spans="1:11" x14ac:dyDescent="0.3">
      <c r="A2488" s="2" t="s">
        <v>1887</v>
      </c>
      <c r="B2488" s="2" t="s">
        <v>127</v>
      </c>
      <c r="C2488" s="2" t="s">
        <v>111</v>
      </c>
      <c r="D2488" s="2" t="s">
        <v>2859</v>
      </c>
      <c r="E2488" s="4" t="str">
        <f>HYPERLINK("./Results/DLO\379\Osteo_Sarco_1.png","RPT")</f>
        <v>RPT</v>
      </c>
      <c r="F2488" s="2" t="s">
        <v>104</v>
      </c>
      <c r="G2488" s="6"/>
      <c r="I2488"/>
      <c r="J2488"/>
      <c r="K2488"/>
    </row>
    <row r="2489" spans="1:11" x14ac:dyDescent="0.3">
      <c r="A2489" s="2" t="s">
        <v>1868</v>
      </c>
      <c r="B2489" s="2" t="s">
        <v>128</v>
      </c>
      <c r="C2489" s="2" t="s">
        <v>111</v>
      </c>
      <c r="D2489" s="2" t="s">
        <v>2859</v>
      </c>
      <c r="E2489" s="4" t="str">
        <f>HYPERLINK("./Results/DLO\38\Osteo_Sarco_1.png","RPT")</f>
        <v>RPT</v>
      </c>
      <c r="F2489" s="2" t="s">
        <v>34</v>
      </c>
      <c r="G2489" s="6"/>
      <c r="I2489"/>
      <c r="J2489"/>
      <c r="K2489"/>
    </row>
    <row r="2490" spans="1:11" x14ac:dyDescent="0.3">
      <c r="A2490" s="2" t="s">
        <v>1871</v>
      </c>
      <c r="B2490" s="2" t="s">
        <v>167</v>
      </c>
      <c r="C2490" s="2" t="s">
        <v>111</v>
      </c>
      <c r="D2490" s="2" t="s">
        <v>2859</v>
      </c>
      <c r="E2490" s="4" t="str">
        <f>HYPERLINK("./Results/DLO\380\Osteo_Sarco_1.png","RPT")</f>
        <v>RPT</v>
      </c>
      <c r="F2490" s="2" t="s">
        <v>449</v>
      </c>
      <c r="G2490" s="6"/>
      <c r="I2490"/>
      <c r="J2490"/>
      <c r="K2490"/>
    </row>
    <row r="2491" spans="1:11" x14ac:dyDescent="0.3">
      <c r="A2491" s="2" t="s">
        <v>1874</v>
      </c>
      <c r="B2491" s="2" t="s">
        <v>165</v>
      </c>
      <c r="C2491" s="2" t="s">
        <v>119</v>
      </c>
      <c r="D2491" s="2" t="s">
        <v>2859</v>
      </c>
      <c r="E2491" s="4" t="str">
        <f>HYPERLINK("./Results/DLO\381\Osteo_Sarco_1.png","RPT")</f>
        <v>RPT</v>
      </c>
      <c r="F2491" s="2" t="s">
        <v>450</v>
      </c>
      <c r="G2491" s="6"/>
      <c r="H2491" s="1">
        <v>29.29</v>
      </c>
    </row>
    <row r="2492" spans="1:11" x14ac:dyDescent="0.3">
      <c r="A2492" s="2" t="s">
        <v>1889</v>
      </c>
      <c r="B2492" s="2" t="s">
        <v>169</v>
      </c>
      <c r="C2492" s="2" t="s">
        <v>111</v>
      </c>
      <c r="D2492" s="2" t="s">
        <v>2859</v>
      </c>
      <c r="E2492" s="4" t="str">
        <f>HYPERLINK("./Results/DLO\382\Osteo_Sarco_1.png","RPT")</f>
        <v>RPT</v>
      </c>
      <c r="F2492" s="2" t="s">
        <v>79</v>
      </c>
      <c r="G2492" s="6"/>
      <c r="I2492"/>
      <c r="J2492"/>
      <c r="K2492"/>
    </row>
    <row r="2493" spans="1:11" x14ac:dyDescent="0.3">
      <c r="A2493" s="2" t="s">
        <v>1867</v>
      </c>
      <c r="B2493" s="2" t="s">
        <v>116</v>
      </c>
      <c r="C2493" s="2" t="s">
        <v>111</v>
      </c>
      <c r="D2493" s="2" t="s">
        <v>2859</v>
      </c>
      <c r="E2493" s="4" t="str">
        <f>HYPERLINK("./Results/DLO\383\Osteo_Sarco_1.png","RPT")</f>
        <v>RPT</v>
      </c>
      <c r="F2493" s="2" t="s">
        <v>105</v>
      </c>
      <c r="G2493" s="6"/>
      <c r="I2493"/>
      <c r="J2493"/>
      <c r="K2493"/>
    </row>
    <row r="2494" spans="1:11" x14ac:dyDescent="0.3">
      <c r="A2494" s="2" t="s">
        <v>1872</v>
      </c>
      <c r="B2494" s="2" t="s">
        <v>166</v>
      </c>
      <c r="C2494" s="2" t="s">
        <v>111</v>
      </c>
      <c r="D2494" s="2" t="s">
        <v>2859</v>
      </c>
      <c r="E2494" s="4" t="str">
        <f>HYPERLINK("./Results/DLO\384\Osteo_Sarco_1.png","RPT")</f>
        <v>RPT</v>
      </c>
      <c r="F2494" s="2" t="s">
        <v>58</v>
      </c>
      <c r="G2494" s="6"/>
      <c r="H2494" s="1">
        <v>27.76</v>
      </c>
    </row>
    <row r="2495" spans="1:11" x14ac:dyDescent="0.3">
      <c r="A2495" s="2" t="s">
        <v>1878</v>
      </c>
      <c r="B2495" s="2" t="s">
        <v>130</v>
      </c>
      <c r="C2495" s="2" t="s">
        <v>111</v>
      </c>
      <c r="D2495" s="2" t="s">
        <v>2859</v>
      </c>
      <c r="E2495" s="4" t="str">
        <f>HYPERLINK("./Results/DLO\385\Osteo_Sarco_1.png","RPT")</f>
        <v>RPT</v>
      </c>
      <c r="F2495" s="2" t="s">
        <v>472</v>
      </c>
      <c r="G2495" s="6"/>
      <c r="I2495"/>
      <c r="J2495"/>
      <c r="K2495"/>
    </row>
    <row r="2496" spans="1:11" x14ac:dyDescent="0.3">
      <c r="A2496" s="2" t="s">
        <v>1869</v>
      </c>
      <c r="B2496" s="2" t="s">
        <v>159</v>
      </c>
      <c r="C2496" s="2" t="s">
        <v>119</v>
      </c>
      <c r="D2496" s="2" t="s">
        <v>2859</v>
      </c>
      <c r="E2496" s="4" t="str">
        <f>HYPERLINK("./Results/DLO\386\Osteo_Sarco_1.png","RPT")</f>
        <v>RPT</v>
      </c>
      <c r="F2496" s="2" t="s">
        <v>27</v>
      </c>
      <c r="G2496" s="6"/>
      <c r="H2496" s="1">
        <v>22.63</v>
      </c>
    </row>
    <row r="2497" spans="1:11" x14ac:dyDescent="0.3">
      <c r="A2497" s="2" t="s">
        <v>1873</v>
      </c>
      <c r="B2497" s="2" t="s">
        <v>131</v>
      </c>
      <c r="C2497" s="2" t="s">
        <v>111</v>
      </c>
      <c r="D2497" s="2" t="s">
        <v>2859</v>
      </c>
      <c r="E2497" s="4" t="str">
        <f>HYPERLINK("./Results/DLO\387\Osteo_Sarco_1.png","RPT")</f>
        <v>RPT</v>
      </c>
      <c r="F2497" s="2" t="s">
        <v>474</v>
      </c>
      <c r="G2497" s="6"/>
      <c r="H2497" s="1">
        <v>20.309999999999999</v>
      </c>
    </row>
    <row r="2498" spans="1:11" x14ac:dyDescent="0.3">
      <c r="A2498" s="2" t="s">
        <v>1886</v>
      </c>
      <c r="B2498" s="2" t="s">
        <v>138</v>
      </c>
      <c r="C2498" s="2" t="s">
        <v>111</v>
      </c>
      <c r="D2498" s="2" t="s">
        <v>2867</v>
      </c>
      <c r="E2498" s="4" t="str">
        <f>HYPERLINK("./Results/DLO\388\Osteo_Sarco_1.png","RPT")</f>
        <v>RPT</v>
      </c>
      <c r="F2498" s="2" t="s">
        <v>459</v>
      </c>
      <c r="G2498" s="6"/>
      <c r="H2498" s="1">
        <v>22.38</v>
      </c>
    </row>
    <row r="2499" spans="1:11" x14ac:dyDescent="0.3">
      <c r="A2499" s="2" t="s">
        <v>1879</v>
      </c>
      <c r="B2499" s="2" t="s">
        <v>129</v>
      </c>
      <c r="C2499" s="2" t="s">
        <v>111</v>
      </c>
      <c r="D2499" s="2" t="s">
        <v>2859</v>
      </c>
      <c r="E2499" s="4" t="str">
        <f>HYPERLINK("./Results/DLO\389\Osteo_Sarco_1.png","RPT")</f>
        <v>RPT</v>
      </c>
      <c r="F2499" s="2" t="s">
        <v>57</v>
      </c>
      <c r="G2499" s="6"/>
      <c r="I2499"/>
      <c r="J2499"/>
      <c r="K2499"/>
    </row>
    <row r="2500" spans="1:11" x14ac:dyDescent="0.3">
      <c r="A2500" s="2" t="s">
        <v>1880</v>
      </c>
      <c r="B2500" s="2" t="s">
        <v>112</v>
      </c>
      <c r="C2500" s="2" t="s">
        <v>111</v>
      </c>
      <c r="D2500" s="2" t="s">
        <v>2867</v>
      </c>
      <c r="E2500" s="4" t="str">
        <f>HYPERLINK("./Results/DLO\39\Osteo_Sarco_1.png","RPT")</f>
        <v>RPT</v>
      </c>
      <c r="F2500" s="2" t="s">
        <v>63</v>
      </c>
      <c r="G2500" s="6"/>
      <c r="H2500" s="1">
        <v>25.55</v>
      </c>
    </row>
    <row r="2501" spans="1:11" x14ac:dyDescent="0.3">
      <c r="A2501" s="2" t="s">
        <v>1885</v>
      </c>
      <c r="B2501" s="2" t="s">
        <v>167</v>
      </c>
      <c r="C2501" s="2" t="s">
        <v>119</v>
      </c>
      <c r="D2501" s="2" t="s">
        <v>2859</v>
      </c>
      <c r="E2501" s="4" t="str">
        <f>HYPERLINK("./Results/DLO\390\Osteo_Sarco_1.png","RPT")</f>
        <v>RPT</v>
      </c>
      <c r="F2501" s="2" t="s">
        <v>581</v>
      </c>
      <c r="G2501" s="6"/>
      <c r="I2501"/>
      <c r="J2501"/>
      <c r="K2501"/>
    </row>
    <row r="2502" spans="1:11" x14ac:dyDescent="0.3">
      <c r="A2502" s="2" t="s">
        <v>1888</v>
      </c>
      <c r="B2502" s="2" t="s">
        <v>134</v>
      </c>
      <c r="C2502" s="2" t="s">
        <v>111</v>
      </c>
      <c r="D2502" s="2" t="s">
        <v>2867</v>
      </c>
      <c r="E2502" s="4" t="str">
        <f>HYPERLINK("./Results/DLO\391\Osteo_Sarco_1.png","RPT")</f>
        <v>RPT</v>
      </c>
      <c r="F2502" s="2" t="s">
        <v>36</v>
      </c>
      <c r="G2502" s="6"/>
      <c r="I2502"/>
      <c r="J2502"/>
      <c r="K2502"/>
    </row>
    <row r="2503" spans="1:11" x14ac:dyDescent="0.3">
      <c r="A2503" s="2" t="s">
        <v>1881</v>
      </c>
      <c r="B2503" s="2" t="s">
        <v>587</v>
      </c>
      <c r="C2503" s="2" t="s">
        <v>119</v>
      </c>
      <c r="D2503" s="2" t="s">
        <v>2859</v>
      </c>
      <c r="E2503" s="4" t="str">
        <f>HYPERLINK("./Results/DLO\392\Osteo_Sarco_1.png","RPT")</f>
        <v>RPT</v>
      </c>
      <c r="F2503" s="2" t="s">
        <v>35</v>
      </c>
      <c r="G2503" s="6"/>
      <c r="I2503"/>
      <c r="J2503"/>
      <c r="K2503"/>
    </row>
    <row r="2504" spans="1:11" x14ac:dyDescent="0.3">
      <c r="A2504" s="2" t="s">
        <v>1890</v>
      </c>
      <c r="B2504" s="2" t="s">
        <v>24</v>
      </c>
      <c r="C2504" s="2" t="s">
        <v>111</v>
      </c>
      <c r="D2504" s="2" t="s">
        <v>2859</v>
      </c>
      <c r="E2504" s="4" t="str">
        <f>HYPERLINK("./Results/DLO\393\Osteo_Sarco_1.png","RPT")</f>
        <v>RPT</v>
      </c>
      <c r="F2504" s="2" t="s">
        <v>473</v>
      </c>
      <c r="G2504" s="6"/>
      <c r="I2504"/>
      <c r="J2504"/>
      <c r="K2504"/>
    </row>
    <row r="2505" spans="1:11" x14ac:dyDescent="0.3">
      <c r="A2505" s="2" t="s">
        <v>1866</v>
      </c>
      <c r="B2505" s="2" t="s">
        <v>157</v>
      </c>
      <c r="C2505" s="2" t="s">
        <v>119</v>
      </c>
      <c r="D2505" s="2" t="s">
        <v>2859</v>
      </c>
      <c r="E2505" s="4" t="str">
        <f>HYPERLINK("./Results/DLO\394\Osteo_Sarco_1.png","RPT")</f>
        <v>RPT</v>
      </c>
      <c r="F2505" s="2" t="s">
        <v>61</v>
      </c>
      <c r="G2505" s="6"/>
      <c r="I2505"/>
      <c r="J2505"/>
      <c r="K2505"/>
    </row>
    <row r="2506" spans="1:11" x14ac:dyDescent="0.3">
      <c r="A2506" s="2" t="s">
        <v>1875</v>
      </c>
      <c r="B2506" s="2" t="s">
        <v>151</v>
      </c>
      <c r="C2506" s="2" t="s">
        <v>119</v>
      </c>
      <c r="D2506" s="2" t="s">
        <v>2859</v>
      </c>
      <c r="E2506" s="4" t="str">
        <f>HYPERLINK("./Results/DLO\395\Osteo_Sarco_1.png","RPT")</f>
        <v>RPT</v>
      </c>
      <c r="F2506" s="2" t="s">
        <v>87</v>
      </c>
      <c r="G2506" s="6"/>
      <c r="I2506"/>
      <c r="J2506"/>
      <c r="K2506"/>
    </row>
    <row r="2507" spans="1:11" x14ac:dyDescent="0.3">
      <c r="A2507" s="2" t="s">
        <v>1876</v>
      </c>
      <c r="B2507" s="2" t="s">
        <v>123</v>
      </c>
      <c r="C2507" s="2" t="s">
        <v>111</v>
      </c>
      <c r="D2507" s="2" t="s">
        <v>2859</v>
      </c>
      <c r="E2507" s="4" t="str">
        <f>HYPERLINK("./Results/DLO\396\Osteo_Sarco_1.png","RPT")</f>
        <v>RPT</v>
      </c>
      <c r="F2507" s="2" t="s">
        <v>63</v>
      </c>
      <c r="G2507" s="6"/>
      <c r="I2507"/>
      <c r="J2507"/>
      <c r="K2507"/>
    </row>
    <row r="2508" spans="1:11" x14ac:dyDescent="0.3">
      <c r="A2508" s="2" t="s">
        <v>1882</v>
      </c>
      <c r="B2508" s="2" t="s">
        <v>133</v>
      </c>
      <c r="C2508" s="2" t="s">
        <v>111</v>
      </c>
      <c r="D2508" s="2" t="s">
        <v>2867</v>
      </c>
      <c r="E2508" s="4" t="str">
        <f>HYPERLINK("./Results/DLO\397\Osteo_Sarco_1.png","RPT")</f>
        <v>RPT</v>
      </c>
      <c r="F2508" s="2" t="s">
        <v>22</v>
      </c>
      <c r="G2508" s="6"/>
      <c r="H2508" s="1">
        <v>27.42</v>
      </c>
    </row>
    <row r="2509" spans="1:11" x14ac:dyDescent="0.3">
      <c r="A2509" s="2" t="s">
        <v>1893</v>
      </c>
      <c r="B2509" s="2" t="s">
        <v>139</v>
      </c>
      <c r="C2509" s="2" t="s">
        <v>119</v>
      </c>
      <c r="D2509" s="2" t="s">
        <v>2859</v>
      </c>
      <c r="E2509" s="4" t="str">
        <f>HYPERLINK("./Results/DLO\398\Osteo_Sarco_1.png","RPT")</f>
        <v>RPT</v>
      </c>
      <c r="F2509" s="2" t="s">
        <v>87</v>
      </c>
      <c r="G2509" s="6"/>
      <c r="I2509"/>
      <c r="J2509"/>
      <c r="K2509"/>
    </row>
    <row r="2510" spans="1:11" x14ac:dyDescent="0.3">
      <c r="A2510" s="2" t="s">
        <v>1899</v>
      </c>
      <c r="B2510" s="2" t="s">
        <v>579</v>
      </c>
      <c r="C2510" s="2" t="s">
        <v>119</v>
      </c>
      <c r="D2510" s="2" t="s">
        <v>2859</v>
      </c>
      <c r="E2510" s="4" t="str">
        <f>HYPERLINK("./Results/DLO\399\Osteo_Sarco_1.png","RPT")</f>
        <v>RPT</v>
      </c>
      <c r="F2510" s="2" t="s">
        <v>581</v>
      </c>
      <c r="G2510" s="6"/>
      <c r="I2510"/>
      <c r="J2510"/>
      <c r="K2510"/>
    </row>
    <row r="2511" spans="1:11" x14ac:dyDescent="0.3">
      <c r="A2511" s="2" t="s">
        <v>1891</v>
      </c>
      <c r="B2511" s="2" t="s">
        <v>164</v>
      </c>
      <c r="C2511" s="2" t="s">
        <v>119</v>
      </c>
      <c r="D2511" s="2" t="s">
        <v>2859</v>
      </c>
      <c r="E2511" s="4" t="str">
        <f>HYPERLINK("./Results/DLO\4\Osteo_Sarco_1.png","RPT")</f>
        <v>RPT</v>
      </c>
      <c r="F2511" s="2" t="s">
        <v>61</v>
      </c>
      <c r="G2511" s="6"/>
      <c r="I2511"/>
      <c r="J2511"/>
      <c r="K2511"/>
    </row>
    <row r="2512" spans="1:11" x14ac:dyDescent="0.3">
      <c r="A2512" s="2" t="s">
        <v>1905</v>
      </c>
      <c r="B2512" s="2" t="s">
        <v>165</v>
      </c>
      <c r="C2512" s="2" t="s">
        <v>119</v>
      </c>
      <c r="D2512" s="2" t="s">
        <v>2867</v>
      </c>
      <c r="E2512" s="4" t="str">
        <f>HYPERLINK("./Results/DLO\40\Osteo_Sarco_1.png","RPT")</f>
        <v>RPT</v>
      </c>
      <c r="F2512" s="2" t="s">
        <v>50</v>
      </c>
      <c r="G2512" s="6"/>
      <c r="I2512"/>
      <c r="J2512"/>
      <c r="K2512"/>
    </row>
    <row r="2513" spans="1:11" x14ac:dyDescent="0.3">
      <c r="A2513" s="2" t="s">
        <v>1909</v>
      </c>
      <c r="B2513" s="2" t="s">
        <v>140</v>
      </c>
      <c r="C2513" s="2" t="s">
        <v>111</v>
      </c>
      <c r="D2513" s="2" t="s">
        <v>2859</v>
      </c>
      <c r="E2513" s="4" t="str">
        <f>HYPERLINK("./Results/DLO\400\Osteo_Sarco_1.png","RPT")</f>
        <v>RPT</v>
      </c>
      <c r="F2513" s="2" t="s">
        <v>107</v>
      </c>
      <c r="G2513" s="6"/>
      <c r="I2513"/>
      <c r="J2513"/>
      <c r="K2513"/>
    </row>
    <row r="2514" spans="1:11" x14ac:dyDescent="0.3">
      <c r="A2514" s="2" t="s">
        <v>1894</v>
      </c>
      <c r="B2514" s="2" t="s">
        <v>134</v>
      </c>
      <c r="C2514" s="2" t="s">
        <v>119</v>
      </c>
      <c r="D2514" s="2" t="s">
        <v>2867</v>
      </c>
      <c r="E2514" s="4" t="str">
        <f>HYPERLINK("./Results/DLO\401\Osteo_Sarco_1.png","RPT")</f>
        <v>RPT</v>
      </c>
      <c r="F2514" s="2" t="s">
        <v>575</v>
      </c>
      <c r="G2514" s="6"/>
      <c r="I2514"/>
      <c r="J2514"/>
      <c r="K2514"/>
    </row>
    <row r="2515" spans="1:11" x14ac:dyDescent="0.3">
      <c r="A2515" s="2" t="s">
        <v>1895</v>
      </c>
      <c r="B2515" s="2" t="s">
        <v>591</v>
      </c>
      <c r="C2515" s="2" t="s">
        <v>119</v>
      </c>
      <c r="D2515" s="2" t="s">
        <v>2859</v>
      </c>
      <c r="E2515" s="4" t="str">
        <f>HYPERLINK("./Results/DLO\402\Osteo_Sarco_1.png","RPT")</f>
        <v>RPT</v>
      </c>
      <c r="F2515" s="2" t="s">
        <v>164</v>
      </c>
      <c r="G2515" s="6"/>
      <c r="H2515" s="1">
        <v>22.99</v>
      </c>
    </row>
    <row r="2516" spans="1:11" x14ac:dyDescent="0.3">
      <c r="A2516" s="2" t="s">
        <v>1892</v>
      </c>
      <c r="B2516" s="2" t="s">
        <v>149</v>
      </c>
      <c r="C2516" s="2" t="s">
        <v>119</v>
      </c>
      <c r="D2516" s="2" t="s">
        <v>2867</v>
      </c>
      <c r="E2516" s="4" t="str">
        <f>HYPERLINK("./Results/DLO\403\Osteo_Sarco_1.png","RPT")</f>
        <v>RPT</v>
      </c>
      <c r="F2516" s="2" t="s">
        <v>56</v>
      </c>
      <c r="G2516" s="6"/>
      <c r="H2516" s="1">
        <v>25.88</v>
      </c>
    </row>
    <row r="2517" spans="1:11" x14ac:dyDescent="0.3">
      <c r="A2517" s="2" t="s">
        <v>1912</v>
      </c>
      <c r="B2517" s="2" t="s">
        <v>151</v>
      </c>
      <c r="C2517" s="2" t="s">
        <v>111</v>
      </c>
      <c r="D2517" s="2" t="s">
        <v>2859</v>
      </c>
      <c r="E2517" s="4" t="str">
        <f>HYPERLINK("./Results/DLO\404\Osteo_Sarco_1.png","RPT")</f>
        <v>RPT</v>
      </c>
      <c r="F2517" s="2" t="s">
        <v>55</v>
      </c>
      <c r="G2517" s="6"/>
      <c r="I2517"/>
      <c r="J2517"/>
      <c r="K2517"/>
    </row>
    <row r="2518" spans="1:11" x14ac:dyDescent="0.3">
      <c r="A2518" s="2" t="s">
        <v>1903</v>
      </c>
      <c r="B2518" s="2" t="s">
        <v>164</v>
      </c>
      <c r="C2518" s="2" t="s">
        <v>119</v>
      </c>
      <c r="D2518" s="2" t="s">
        <v>2859</v>
      </c>
      <c r="E2518" s="4" t="str">
        <f>HYPERLINK("./Results/DLO\405\Osteo_Sarco_1.png","RPT")</f>
        <v>RPT</v>
      </c>
      <c r="F2518" s="2" t="s">
        <v>60</v>
      </c>
      <c r="G2518" s="6"/>
      <c r="I2518"/>
      <c r="J2518"/>
      <c r="K2518"/>
    </row>
    <row r="2519" spans="1:11" x14ac:dyDescent="0.3">
      <c r="A2519" s="2" t="s">
        <v>1910</v>
      </c>
      <c r="B2519" s="2" t="s">
        <v>586</v>
      </c>
      <c r="C2519" s="2" t="s">
        <v>111</v>
      </c>
      <c r="D2519" s="2" t="s">
        <v>2859</v>
      </c>
      <c r="E2519" s="4" t="str">
        <f>HYPERLINK("./Results/DLO\406\Osteo_Sarco_1.png","RPT")</f>
        <v>RPT</v>
      </c>
      <c r="F2519" s="2" t="s">
        <v>466</v>
      </c>
      <c r="G2519" s="6"/>
      <c r="I2519"/>
      <c r="J2519"/>
      <c r="K2519"/>
    </row>
    <row r="2520" spans="1:11" x14ac:dyDescent="0.3">
      <c r="A2520" s="2" t="s">
        <v>1901</v>
      </c>
      <c r="B2520" s="2" t="s">
        <v>144</v>
      </c>
      <c r="C2520" s="2" t="s">
        <v>119</v>
      </c>
      <c r="D2520" s="2" t="s">
        <v>2859</v>
      </c>
      <c r="E2520" s="4" t="str">
        <f>HYPERLINK("./Results/DLO\407\Osteo_Sarco_1.png","RPT")</f>
        <v>RPT</v>
      </c>
      <c r="F2520" s="2" t="s">
        <v>73</v>
      </c>
      <c r="G2520" s="6"/>
      <c r="I2520"/>
      <c r="J2520"/>
      <c r="K2520"/>
    </row>
    <row r="2521" spans="1:11" x14ac:dyDescent="0.3">
      <c r="A2521" s="2" t="s">
        <v>1916</v>
      </c>
      <c r="B2521" s="2" t="s">
        <v>140</v>
      </c>
      <c r="C2521" s="2" t="s">
        <v>119</v>
      </c>
      <c r="D2521" s="2" t="s">
        <v>2859</v>
      </c>
      <c r="E2521" s="4" t="str">
        <f>HYPERLINK("./Results/DLO\408\Osteo_Sarco_1.png","RPT")</f>
        <v>RPT</v>
      </c>
      <c r="F2521" s="2" t="s">
        <v>41</v>
      </c>
      <c r="G2521" s="6"/>
      <c r="H2521" s="1">
        <v>25.43</v>
      </c>
    </row>
    <row r="2522" spans="1:11" x14ac:dyDescent="0.3">
      <c r="A2522" s="2" t="s">
        <v>1911</v>
      </c>
      <c r="B2522" s="2" t="s">
        <v>126</v>
      </c>
      <c r="C2522" s="2" t="s">
        <v>119</v>
      </c>
      <c r="D2522" s="2" t="s">
        <v>2859</v>
      </c>
      <c r="E2522" s="4" t="str">
        <f>HYPERLINK("./Results/DLO\409\Osteo_Sarco_1.png","RPT")</f>
        <v>RPT</v>
      </c>
      <c r="F2522" s="2" t="s">
        <v>36</v>
      </c>
      <c r="G2522" s="6"/>
      <c r="I2522"/>
      <c r="J2522"/>
      <c r="K2522"/>
    </row>
    <row r="2523" spans="1:11" x14ac:dyDescent="0.3">
      <c r="A2523" s="2" t="s">
        <v>1900</v>
      </c>
      <c r="B2523" s="2" t="s">
        <v>113</v>
      </c>
      <c r="C2523" s="2" t="s">
        <v>111</v>
      </c>
      <c r="D2523" s="2" t="s">
        <v>2859</v>
      </c>
      <c r="E2523" s="4" t="str">
        <f>HYPERLINK("./Results/DLO\41\Osteo_Sarco_1.png","RPT")</f>
        <v>RPT</v>
      </c>
      <c r="F2523" s="2" t="s">
        <v>96</v>
      </c>
      <c r="G2523" s="6"/>
      <c r="I2523"/>
      <c r="J2523"/>
      <c r="K2523"/>
    </row>
    <row r="2524" spans="1:11" x14ac:dyDescent="0.3">
      <c r="A2524" s="2" t="s">
        <v>1896</v>
      </c>
      <c r="B2524" s="2" t="s">
        <v>133</v>
      </c>
      <c r="C2524" s="2" t="s">
        <v>111</v>
      </c>
      <c r="D2524" s="2" t="s">
        <v>2859</v>
      </c>
      <c r="E2524" s="4" t="str">
        <f>HYPERLINK("./Results/DLO\410\Osteo_Sarco_1.png","RPT")</f>
        <v>RPT</v>
      </c>
      <c r="F2524" s="2" t="s">
        <v>448</v>
      </c>
      <c r="G2524" s="6"/>
      <c r="I2524"/>
      <c r="J2524"/>
      <c r="K2524"/>
    </row>
    <row r="2525" spans="1:11" x14ac:dyDescent="0.3">
      <c r="A2525" s="2" t="s">
        <v>1897</v>
      </c>
      <c r="B2525" s="2" t="s">
        <v>143</v>
      </c>
      <c r="C2525" s="2" t="s">
        <v>119</v>
      </c>
      <c r="D2525" s="2" t="s">
        <v>2859</v>
      </c>
      <c r="E2525" s="4" t="str">
        <f>HYPERLINK("./Results/DLO\411\Osteo_Sarco_1.png","RPT")</f>
        <v>RPT</v>
      </c>
      <c r="F2525" s="2" t="s">
        <v>114</v>
      </c>
      <c r="G2525" s="6"/>
      <c r="H2525" s="1">
        <v>25.36</v>
      </c>
    </row>
    <row r="2526" spans="1:11" x14ac:dyDescent="0.3">
      <c r="A2526" s="2" t="s">
        <v>1904</v>
      </c>
      <c r="B2526" s="2" t="s">
        <v>123</v>
      </c>
      <c r="C2526" s="2" t="s">
        <v>119</v>
      </c>
      <c r="D2526" s="2" t="s">
        <v>2859</v>
      </c>
      <c r="E2526" s="4" t="str">
        <f>HYPERLINK("./Results/DLO\412\Osteo_Sarco_1.png","RPT")</f>
        <v>RPT</v>
      </c>
      <c r="F2526" s="2" t="s">
        <v>88</v>
      </c>
      <c r="G2526" s="6"/>
      <c r="I2526"/>
      <c r="J2526"/>
      <c r="K2526"/>
    </row>
    <row r="2527" spans="1:11" x14ac:dyDescent="0.3">
      <c r="A2527" s="2" t="s">
        <v>1898</v>
      </c>
      <c r="B2527" s="2" t="s">
        <v>114</v>
      </c>
      <c r="C2527" s="2" t="s">
        <v>111</v>
      </c>
      <c r="D2527" s="2" t="s">
        <v>2859</v>
      </c>
      <c r="E2527" s="4" t="str">
        <f>HYPERLINK("./Results/DLO\413\Osteo_Sarco_1.png","RPT")</f>
        <v>RPT</v>
      </c>
      <c r="F2527" s="2" t="s">
        <v>66</v>
      </c>
      <c r="G2527" s="6"/>
      <c r="I2527"/>
      <c r="J2527"/>
      <c r="K2527"/>
    </row>
    <row r="2528" spans="1:11" x14ac:dyDescent="0.3">
      <c r="A2528" s="2" t="s">
        <v>1913</v>
      </c>
      <c r="B2528" s="2" t="s">
        <v>113</v>
      </c>
      <c r="C2528" s="2" t="s">
        <v>119</v>
      </c>
      <c r="D2528" s="2" t="s">
        <v>2859</v>
      </c>
      <c r="E2528" s="4" t="str">
        <f>HYPERLINK("./Results/DLO\414\Osteo_Sarco_1.png","RPT")</f>
        <v>RPT</v>
      </c>
      <c r="F2528" s="2" t="s">
        <v>588</v>
      </c>
      <c r="G2528" s="6"/>
      <c r="H2528" s="1">
        <v>19.22</v>
      </c>
    </row>
    <row r="2529" spans="1:11" x14ac:dyDescent="0.3">
      <c r="A2529" s="2" t="s">
        <v>1906</v>
      </c>
      <c r="B2529" s="2" t="s">
        <v>587</v>
      </c>
      <c r="C2529" s="2" t="s">
        <v>119</v>
      </c>
      <c r="D2529" s="2" t="s">
        <v>2867</v>
      </c>
      <c r="E2529" s="4" t="str">
        <f>HYPERLINK("./Results/DLO\415\Osteo_Sarco_1.png","RPT")</f>
        <v>RPT</v>
      </c>
      <c r="F2529" s="2" t="s">
        <v>77</v>
      </c>
      <c r="G2529" s="6"/>
      <c r="I2529"/>
      <c r="J2529"/>
      <c r="K2529"/>
    </row>
    <row r="2530" spans="1:11" x14ac:dyDescent="0.3">
      <c r="A2530" s="2" t="s">
        <v>1914</v>
      </c>
      <c r="B2530" s="2" t="s">
        <v>160</v>
      </c>
      <c r="C2530" s="2" t="s">
        <v>111</v>
      </c>
      <c r="D2530" s="2" t="s">
        <v>2867</v>
      </c>
      <c r="E2530" s="4" t="str">
        <f>HYPERLINK("./Results/DLO\416\Osteo_Sarco_1.png","RPT")</f>
        <v>RPT</v>
      </c>
      <c r="F2530" s="2" t="s">
        <v>76</v>
      </c>
      <c r="G2530" s="6"/>
      <c r="I2530"/>
      <c r="J2530"/>
      <c r="K2530"/>
    </row>
    <row r="2531" spans="1:11" x14ac:dyDescent="0.3">
      <c r="A2531" s="2" t="s">
        <v>1915</v>
      </c>
      <c r="B2531" s="2" t="s">
        <v>113</v>
      </c>
      <c r="C2531" s="2" t="s">
        <v>119</v>
      </c>
      <c r="D2531" s="2" t="s">
        <v>2859</v>
      </c>
      <c r="E2531" s="4" t="str">
        <f>HYPERLINK("./Results/DLO\417\Osteo_Sarco_1.png","RPT")</f>
        <v>RPT</v>
      </c>
      <c r="F2531" s="2" t="s">
        <v>29</v>
      </c>
      <c r="G2531" s="6"/>
      <c r="H2531" s="1">
        <v>25.88</v>
      </c>
    </row>
    <row r="2532" spans="1:11" x14ac:dyDescent="0.3">
      <c r="A2532" s="2" t="s">
        <v>1902</v>
      </c>
      <c r="B2532" s="2" t="s">
        <v>144</v>
      </c>
      <c r="C2532" s="2" t="s">
        <v>119</v>
      </c>
      <c r="D2532" s="2" t="s">
        <v>1960</v>
      </c>
      <c r="E2532" s="4" t="str">
        <f>HYPERLINK("./Results/DLO\418\Osteo_Sarco_1.png","RPT")</f>
        <v>RPT</v>
      </c>
      <c r="F2532" s="2" t="s">
        <v>72</v>
      </c>
      <c r="G2532" s="6"/>
      <c r="I2532"/>
      <c r="J2532"/>
      <c r="K2532"/>
    </row>
    <row r="2533" spans="1:11" x14ac:dyDescent="0.3">
      <c r="A2533" s="2" t="s">
        <v>1917</v>
      </c>
      <c r="B2533" s="2" t="s">
        <v>133</v>
      </c>
      <c r="C2533" s="2" t="s">
        <v>119</v>
      </c>
      <c r="D2533" s="2" t="s">
        <v>2859</v>
      </c>
      <c r="E2533" s="4" t="str">
        <f>HYPERLINK("./Results/DLO\419\Osteo_Sarco_1.png","RPT")</f>
        <v>RPT</v>
      </c>
      <c r="F2533" s="2" t="s">
        <v>27</v>
      </c>
      <c r="G2533" s="6"/>
      <c r="I2533"/>
      <c r="J2533"/>
      <c r="K2533"/>
    </row>
    <row r="2534" spans="1:11" x14ac:dyDescent="0.3">
      <c r="A2534" s="2" t="s">
        <v>1907</v>
      </c>
      <c r="B2534" s="2" t="s">
        <v>120</v>
      </c>
      <c r="C2534" s="2" t="s">
        <v>119</v>
      </c>
      <c r="D2534" s="2" t="s">
        <v>2859</v>
      </c>
      <c r="E2534" s="4" t="str">
        <f>HYPERLINK("./Results/DLO\42\Osteo_Sarco_1.png","RPT")</f>
        <v>RPT</v>
      </c>
      <c r="F2534" s="2" t="s">
        <v>81</v>
      </c>
      <c r="G2534" s="6"/>
      <c r="H2534" s="1">
        <v>23.7</v>
      </c>
    </row>
    <row r="2535" spans="1:11" x14ac:dyDescent="0.3">
      <c r="A2535" s="2" t="s">
        <v>1908</v>
      </c>
      <c r="B2535" s="2" t="s">
        <v>135</v>
      </c>
      <c r="C2535" s="2" t="s">
        <v>119</v>
      </c>
      <c r="D2535" s="2" t="s">
        <v>2867</v>
      </c>
      <c r="E2535" s="4" t="str">
        <f>HYPERLINK("./Results/DLO\420\Osteo_Sarco_1.png","RPT")</f>
        <v>RPT</v>
      </c>
      <c r="F2535" s="2" t="s">
        <v>97</v>
      </c>
      <c r="G2535" s="6"/>
      <c r="I2535"/>
      <c r="J2535"/>
      <c r="K2535"/>
    </row>
    <row r="2536" spans="1:11" x14ac:dyDescent="0.3">
      <c r="A2536" s="2" t="s">
        <v>1921</v>
      </c>
      <c r="B2536" s="2" t="s">
        <v>167</v>
      </c>
      <c r="C2536" s="2" t="s">
        <v>111</v>
      </c>
      <c r="D2536" s="2" t="s">
        <v>2859</v>
      </c>
      <c r="E2536" s="4" t="str">
        <f>HYPERLINK("./Results/DLO\422\Osteo_Sarco_1.png","RPT")</f>
        <v>RPT</v>
      </c>
      <c r="F2536" s="2" t="s">
        <v>473</v>
      </c>
      <c r="G2536" s="6"/>
      <c r="H2536" s="1">
        <v>25.21</v>
      </c>
    </row>
    <row r="2537" spans="1:11" x14ac:dyDescent="0.3">
      <c r="A2537" s="2" t="s">
        <v>1918</v>
      </c>
      <c r="B2537" s="2" t="s">
        <v>144</v>
      </c>
      <c r="C2537" s="2" t="s">
        <v>111</v>
      </c>
      <c r="D2537" s="2" t="s">
        <v>2867</v>
      </c>
      <c r="E2537" s="4" t="str">
        <f>HYPERLINK("./Results/DLO\423\Osteo_Sarco_1.png","RPT")</f>
        <v>RPT</v>
      </c>
      <c r="F2537" s="2" t="s">
        <v>67</v>
      </c>
      <c r="G2537" s="6"/>
      <c r="I2537"/>
      <c r="J2537"/>
      <c r="K2537"/>
    </row>
    <row r="2538" spans="1:11" x14ac:dyDescent="0.3">
      <c r="A2538" s="2" t="s">
        <v>1919</v>
      </c>
      <c r="B2538" s="2" t="s">
        <v>149</v>
      </c>
      <c r="C2538" s="2" t="s">
        <v>111</v>
      </c>
      <c r="D2538" s="2" t="s">
        <v>2859</v>
      </c>
      <c r="E2538" s="4" t="str">
        <f>HYPERLINK("./Results/DLO\424\Osteo_Sarco_1.png","RPT")</f>
        <v>RPT</v>
      </c>
      <c r="F2538" s="2" t="s">
        <v>449</v>
      </c>
      <c r="G2538" s="6"/>
      <c r="H2538" s="1">
        <v>29.05</v>
      </c>
    </row>
    <row r="2539" spans="1:11" x14ac:dyDescent="0.3">
      <c r="A2539" s="2" t="s">
        <v>1920</v>
      </c>
      <c r="B2539" s="2" t="s">
        <v>167</v>
      </c>
      <c r="C2539" s="2" t="s">
        <v>111</v>
      </c>
      <c r="D2539" s="2" t="s">
        <v>2859</v>
      </c>
      <c r="E2539" s="4" t="str">
        <f>HYPERLINK("./Results/DLO\425\Osteo_Sarco_1.png","RPT")</f>
        <v>RPT</v>
      </c>
      <c r="F2539" s="2" t="s">
        <v>474</v>
      </c>
      <c r="G2539" s="6"/>
      <c r="H2539" s="1">
        <v>25.35</v>
      </c>
    </row>
    <row r="2540" spans="1:11" x14ac:dyDescent="0.3">
      <c r="A2540" s="2" t="s">
        <v>1404</v>
      </c>
      <c r="B2540" s="2" t="s">
        <v>126</v>
      </c>
      <c r="C2540" s="2" t="s">
        <v>119</v>
      </c>
      <c r="D2540" s="2" t="s">
        <v>2859</v>
      </c>
      <c r="E2540" s="4" t="str">
        <f>HYPERLINK("./Results/DLO\426\Osteo_Sarco_1.png","RPT")</f>
        <v>RPT</v>
      </c>
      <c r="F2540" s="2" t="s">
        <v>43</v>
      </c>
      <c r="G2540" s="6"/>
      <c r="H2540" s="1">
        <v>17.100000000000001</v>
      </c>
    </row>
    <row r="2541" spans="1:11" x14ac:dyDescent="0.3">
      <c r="A2541" s="2" t="s">
        <v>1401</v>
      </c>
      <c r="B2541" s="2" t="s">
        <v>167</v>
      </c>
      <c r="C2541" s="2" t="s">
        <v>119</v>
      </c>
      <c r="D2541" s="2" t="s">
        <v>2867</v>
      </c>
      <c r="E2541" s="4" t="str">
        <f>HYPERLINK("./Results/DLO\427\Osteo_Sarco_1.png","RPT")</f>
        <v>RPT</v>
      </c>
      <c r="F2541" s="2" t="s">
        <v>27</v>
      </c>
      <c r="G2541" s="6"/>
      <c r="I2541"/>
      <c r="J2541"/>
      <c r="K2541"/>
    </row>
    <row r="2542" spans="1:11" x14ac:dyDescent="0.3">
      <c r="A2542" s="2" t="s">
        <v>1400</v>
      </c>
      <c r="B2542" s="2" t="s">
        <v>587</v>
      </c>
      <c r="C2542" s="2" t="s">
        <v>119</v>
      </c>
      <c r="D2542" s="2" t="s">
        <v>2859</v>
      </c>
      <c r="E2542" s="4" t="str">
        <f>HYPERLINK("./Results/DLO\428\Osteo_Sarco_1.png","RPT")</f>
        <v>RPT</v>
      </c>
      <c r="F2542" s="2" t="s">
        <v>50</v>
      </c>
      <c r="G2542" s="6"/>
      <c r="I2542"/>
      <c r="J2542"/>
      <c r="K2542"/>
    </row>
    <row r="2543" spans="1:11" x14ac:dyDescent="0.3">
      <c r="A2543" s="2" t="s">
        <v>1390</v>
      </c>
      <c r="B2543" s="2" t="s">
        <v>167</v>
      </c>
      <c r="C2543" s="2" t="s">
        <v>111</v>
      </c>
      <c r="D2543" s="2" t="s">
        <v>2867</v>
      </c>
      <c r="E2543" s="4" t="str">
        <f>HYPERLINK("./Results/DLO\429\Osteo_Sarco_1.png","RPT")</f>
        <v>RPT</v>
      </c>
      <c r="F2543" s="2" t="s">
        <v>104</v>
      </c>
      <c r="G2543" s="6"/>
      <c r="H2543" s="1">
        <v>24.09</v>
      </c>
    </row>
    <row r="2544" spans="1:11" x14ac:dyDescent="0.3">
      <c r="A2544" s="2" t="s">
        <v>1392</v>
      </c>
      <c r="B2544" s="2" t="s">
        <v>141</v>
      </c>
      <c r="C2544" s="2" t="s">
        <v>119</v>
      </c>
      <c r="D2544" s="2" t="s">
        <v>2859</v>
      </c>
      <c r="E2544" s="4" t="str">
        <f>HYPERLINK("./Results/DLO\43\Osteo_Sarco_1.png","RPT")</f>
        <v>RPT</v>
      </c>
      <c r="F2544" s="2" t="s">
        <v>465</v>
      </c>
      <c r="G2544" s="6"/>
      <c r="I2544"/>
      <c r="J2544"/>
      <c r="K2544"/>
    </row>
    <row r="2545" spans="1:11" x14ac:dyDescent="0.3">
      <c r="A2545" s="2" t="s">
        <v>1398</v>
      </c>
      <c r="B2545" s="2" t="s">
        <v>24</v>
      </c>
      <c r="C2545" s="2" t="s">
        <v>111</v>
      </c>
      <c r="D2545" s="2" t="s">
        <v>2859</v>
      </c>
      <c r="E2545" s="4" t="str">
        <f>HYPERLINK("./Results/DLO\430\Osteo_Sarco_1.png","RPT")</f>
        <v>RPT</v>
      </c>
      <c r="F2545" s="2" t="s">
        <v>466</v>
      </c>
      <c r="G2545" s="6"/>
      <c r="I2545"/>
      <c r="J2545"/>
      <c r="K2545"/>
    </row>
    <row r="2546" spans="1:11" x14ac:dyDescent="0.3">
      <c r="A2546" s="2" t="s">
        <v>1410</v>
      </c>
      <c r="B2546" s="2" t="s">
        <v>128</v>
      </c>
      <c r="C2546" s="2" t="s">
        <v>111</v>
      </c>
      <c r="D2546" s="2" t="s">
        <v>2859</v>
      </c>
      <c r="E2546" s="4" t="str">
        <f>HYPERLINK("./Results/DLO\431\Osteo_Sarco_1.png","RPT")</f>
        <v>RPT</v>
      </c>
      <c r="F2546" s="2" t="s">
        <v>21</v>
      </c>
      <c r="G2546" s="6"/>
      <c r="H2546" s="1">
        <v>26.17</v>
      </c>
    </row>
    <row r="2547" spans="1:11" x14ac:dyDescent="0.3">
      <c r="A2547" s="2" t="s">
        <v>1391</v>
      </c>
      <c r="B2547" s="2" t="s">
        <v>131</v>
      </c>
      <c r="C2547" s="2" t="s">
        <v>119</v>
      </c>
      <c r="D2547" s="2" t="s">
        <v>2859</v>
      </c>
      <c r="E2547" s="4" t="str">
        <f>HYPERLINK("./Results/DLO\432\Osteo_Sarco_1.png","RPT")</f>
        <v>RPT</v>
      </c>
      <c r="F2547" s="2" t="s">
        <v>45</v>
      </c>
      <c r="G2547" s="6"/>
      <c r="I2547"/>
      <c r="J2547"/>
      <c r="K2547"/>
    </row>
    <row r="2548" spans="1:11" x14ac:dyDescent="0.3">
      <c r="A2548" s="2" t="s">
        <v>1402</v>
      </c>
      <c r="B2548" s="2" t="s">
        <v>120</v>
      </c>
      <c r="C2548" s="2" t="s">
        <v>111</v>
      </c>
      <c r="D2548" s="2" t="s">
        <v>2859</v>
      </c>
      <c r="E2548" s="4" t="str">
        <f>HYPERLINK("./Results/DLO\433\Osteo_Sarco_1.png","RPT")</f>
        <v>RPT</v>
      </c>
      <c r="F2548" s="2" t="s">
        <v>78</v>
      </c>
      <c r="G2548" s="6"/>
      <c r="I2548"/>
      <c r="J2548"/>
      <c r="K2548"/>
    </row>
    <row r="2549" spans="1:11" x14ac:dyDescent="0.3">
      <c r="A2549" s="2" t="s">
        <v>1393</v>
      </c>
      <c r="B2549" s="2" t="s">
        <v>113</v>
      </c>
      <c r="C2549" s="2" t="s">
        <v>119</v>
      </c>
      <c r="D2549" s="2" t="s">
        <v>2867</v>
      </c>
      <c r="E2549" s="4" t="str">
        <f>HYPERLINK("./Results/DLO\434\Osteo_Sarco_1.png","RPT")</f>
        <v>RPT</v>
      </c>
      <c r="F2549" s="2" t="s">
        <v>34</v>
      </c>
      <c r="G2549" s="6"/>
      <c r="H2549" s="1">
        <v>28.12</v>
      </c>
    </row>
    <row r="2550" spans="1:11" x14ac:dyDescent="0.3">
      <c r="A2550" s="2" t="s">
        <v>1407</v>
      </c>
      <c r="B2550" s="2" t="s">
        <v>136</v>
      </c>
      <c r="C2550" s="2" t="s">
        <v>119</v>
      </c>
      <c r="D2550" s="2" t="s">
        <v>2859</v>
      </c>
      <c r="E2550" s="4" t="str">
        <f>HYPERLINK("./Results/DLO\435\Osteo_Sarco_1.png","RPT")</f>
        <v>RPT</v>
      </c>
      <c r="F2550" s="2" t="s">
        <v>77</v>
      </c>
      <c r="G2550" s="6"/>
      <c r="H2550" s="1">
        <v>31.33</v>
      </c>
    </row>
    <row r="2551" spans="1:11" x14ac:dyDescent="0.3">
      <c r="A2551" s="2" t="s">
        <v>1406</v>
      </c>
      <c r="B2551" s="2" t="s">
        <v>161</v>
      </c>
      <c r="C2551" s="2" t="s">
        <v>119</v>
      </c>
      <c r="D2551" s="2" t="s">
        <v>2859</v>
      </c>
      <c r="E2551" s="4" t="str">
        <f>HYPERLINK("./Results/DLO\437\Osteo_Sarco_1.png","RPT")</f>
        <v>RPT</v>
      </c>
      <c r="F2551" s="2" t="s">
        <v>104</v>
      </c>
      <c r="G2551" s="6"/>
      <c r="I2551"/>
      <c r="J2551"/>
      <c r="K2551"/>
    </row>
    <row r="2552" spans="1:11" x14ac:dyDescent="0.3">
      <c r="A2552" s="2" t="s">
        <v>1403</v>
      </c>
      <c r="B2552" s="2" t="s">
        <v>115</v>
      </c>
      <c r="C2552" s="2" t="s">
        <v>119</v>
      </c>
      <c r="D2552" s="2" t="s">
        <v>2867</v>
      </c>
      <c r="E2552" s="4" t="str">
        <f>HYPERLINK("./Results/DLO\438\Osteo_Sarco_1.png","RPT")</f>
        <v>RPT</v>
      </c>
      <c r="F2552" s="2" t="s">
        <v>581</v>
      </c>
      <c r="G2552" s="6"/>
      <c r="I2552"/>
      <c r="J2552"/>
      <c r="K2552"/>
    </row>
    <row r="2553" spans="1:11" x14ac:dyDescent="0.3">
      <c r="A2553" s="2" t="s">
        <v>1408</v>
      </c>
      <c r="B2553" s="2" t="s">
        <v>112</v>
      </c>
      <c r="C2553" s="2" t="s">
        <v>119</v>
      </c>
      <c r="D2553" s="2" t="s">
        <v>2859</v>
      </c>
      <c r="E2553" s="4" t="str">
        <f>HYPERLINK("./Results/DLO\439\Osteo_Sarco_1.png","RPT")</f>
        <v>RPT</v>
      </c>
      <c r="F2553" s="2" t="s">
        <v>575</v>
      </c>
      <c r="G2553" s="6"/>
      <c r="H2553" s="1">
        <v>38.33</v>
      </c>
    </row>
    <row r="2554" spans="1:11" x14ac:dyDescent="0.3">
      <c r="A2554" s="2" t="s">
        <v>1394</v>
      </c>
      <c r="B2554" s="2" t="s">
        <v>138</v>
      </c>
      <c r="C2554" s="2" t="s">
        <v>111</v>
      </c>
      <c r="D2554" s="2" t="s">
        <v>2867</v>
      </c>
      <c r="E2554" s="4" t="str">
        <f>HYPERLINK("./Results/DLO\44\Osteo_Sarco_1.png","RPT")</f>
        <v>RPT</v>
      </c>
      <c r="F2554" s="2" t="s">
        <v>71</v>
      </c>
      <c r="G2554" s="6"/>
      <c r="I2554"/>
      <c r="J2554"/>
      <c r="K2554"/>
    </row>
    <row r="2555" spans="1:11" x14ac:dyDescent="0.3">
      <c r="A2555" s="2" t="s">
        <v>1405</v>
      </c>
      <c r="B2555" s="2" t="s">
        <v>126</v>
      </c>
      <c r="C2555" s="2" t="s">
        <v>119</v>
      </c>
      <c r="D2555" s="2" t="s">
        <v>2859</v>
      </c>
      <c r="E2555" s="4" t="str">
        <f>HYPERLINK("./Results/DLO\440\Osteo_Sarco_1.png","RPT")</f>
        <v>RPT</v>
      </c>
      <c r="F2555" s="2" t="s">
        <v>36</v>
      </c>
      <c r="G2555" s="6"/>
      <c r="H2555" s="1">
        <v>20.309999999999999</v>
      </c>
    </row>
    <row r="2556" spans="1:11" x14ac:dyDescent="0.3">
      <c r="A2556" s="2" t="s">
        <v>1411</v>
      </c>
      <c r="B2556" s="2" t="s">
        <v>113</v>
      </c>
      <c r="C2556" s="2" t="s">
        <v>111</v>
      </c>
      <c r="D2556" s="2" t="s">
        <v>2859</v>
      </c>
      <c r="E2556" s="4" t="str">
        <f>HYPERLINK("./Results/DLO\441\Osteo_Sarco_1.png","RPT")</f>
        <v>RPT</v>
      </c>
      <c r="F2556" s="2" t="s">
        <v>54</v>
      </c>
      <c r="G2556" s="6"/>
      <c r="I2556"/>
      <c r="J2556"/>
      <c r="K2556"/>
    </row>
    <row r="2557" spans="1:11" x14ac:dyDescent="0.3">
      <c r="A2557" s="2" t="s">
        <v>1395</v>
      </c>
      <c r="B2557" s="2" t="s">
        <v>140</v>
      </c>
      <c r="C2557" s="2" t="s">
        <v>111</v>
      </c>
      <c r="D2557" s="2" t="s">
        <v>2859</v>
      </c>
      <c r="E2557" s="4" t="str">
        <f>HYPERLINK("./Results/DLO\442\Osteo_Sarco_1.png","RPT")</f>
        <v>RPT</v>
      </c>
      <c r="F2557" s="2" t="s">
        <v>107</v>
      </c>
      <c r="G2557" s="6"/>
      <c r="I2557"/>
      <c r="J2557"/>
      <c r="K2557"/>
    </row>
    <row r="2558" spans="1:11" x14ac:dyDescent="0.3">
      <c r="A2558" s="2" t="s">
        <v>1409</v>
      </c>
      <c r="B2558" s="2" t="s">
        <v>126</v>
      </c>
      <c r="C2558" s="2" t="s">
        <v>119</v>
      </c>
      <c r="D2558" s="2" t="s">
        <v>2859</v>
      </c>
      <c r="E2558" s="4" t="str">
        <f>HYPERLINK("./Results/DLO\443\Osteo_Sarco_1.png","RPT")</f>
        <v>RPT</v>
      </c>
      <c r="F2558" s="2" t="s">
        <v>79</v>
      </c>
      <c r="G2558" s="6"/>
      <c r="I2558"/>
      <c r="J2558"/>
      <c r="K2558"/>
    </row>
    <row r="2559" spans="1:11" x14ac:dyDescent="0.3">
      <c r="A2559" s="2" t="s">
        <v>1389</v>
      </c>
      <c r="B2559" s="2" t="s">
        <v>127</v>
      </c>
      <c r="C2559" s="2" t="s">
        <v>119</v>
      </c>
      <c r="D2559" s="2" t="s">
        <v>2859</v>
      </c>
      <c r="E2559" s="4" t="str">
        <f>HYPERLINK("./Results/DLO\444\Osteo_Sarco_1.png","RPT")</f>
        <v>RPT</v>
      </c>
      <c r="F2559" s="2" t="s">
        <v>72</v>
      </c>
      <c r="G2559" s="6"/>
      <c r="I2559"/>
      <c r="J2559"/>
      <c r="K2559"/>
    </row>
    <row r="2560" spans="1:11" x14ac:dyDescent="0.3">
      <c r="A2560" s="2" t="s">
        <v>1399</v>
      </c>
      <c r="B2560" s="2" t="s">
        <v>144</v>
      </c>
      <c r="C2560" s="2" t="s">
        <v>111</v>
      </c>
      <c r="D2560" s="2" t="s">
        <v>1935</v>
      </c>
      <c r="E2560" s="4" t="str">
        <f>HYPERLINK("./Results/DLO\445\Osteo_Sarco_1.png","RPT")</f>
        <v>RPT</v>
      </c>
      <c r="F2560" s="2" t="s">
        <v>27</v>
      </c>
      <c r="G2560" s="6"/>
      <c r="H2560" s="1">
        <v>19.57</v>
      </c>
    </row>
    <row r="2561" spans="1:11" x14ac:dyDescent="0.3">
      <c r="A2561" s="2" t="s">
        <v>1412</v>
      </c>
      <c r="B2561" s="2" t="s">
        <v>150</v>
      </c>
      <c r="C2561" s="2" t="s">
        <v>119</v>
      </c>
      <c r="D2561" s="2" t="s">
        <v>2859</v>
      </c>
      <c r="E2561" s="4" t="str">
        <f>HYPERLINK("./Results/DLO\446\Osteo_Sarco_1.png","RPT")</f>
        <v>RPT</v>
      </c>
      <c r="F2561" s="2" t="s">
        <v>21</v>
      </c>
      <c r="G2561" s="6"/>
      <c r="I2561"/>
      <c r="J2561"/>
      <c r="K2561"/>
    </row>
    <row r="2562" spans="1:11" x14ac:dyDescent="0.3">
      <c r="A2562" s="2" t="s">
        <v>1396</v>
      </c>
      <c r="B2562" s="2" t="s">
        <v>129</v>
      </c>
      <c r="C2562" s="2" t="s">
        <v>119</v>
      </c>
      <c r="D2562" s="2" t="s">
        <v>2867</v>
      </c>
      <c r="E2562" s="4" t="str">
        <f>HYPERLINK("./Results/DLO\447\Osteo_Sarco_1.png","RPT")</f>
        <v>RPT</v>
      </c>
      <c r="F2562" s="2" t="s">
        <v>43</v>
      </c>
      <c r="G2562" s="6"/>
      <c r="I2562"/>
      <c r="J2562"/>
      <c r="K2562"/>
    </row>
    <row r="2563" spans="1:11" x14ac:dyDescent="0.3">
      <c r="A2563" s="2" t="s">
        <v>1397</v>
      </c>
      <c r="B2563" s="2" t="s">
        <v>19</v>
      </c>
      <c r="C2563" s="2" t="s">
        <v>111</v>
      </c>
      <c r="D2563" s="2" t="s">
        <v>2859</v>
      </c>
      <c r="E2563" s="4" t="str">
        <f>HYPERLINK("./Results/DLO\448\Osteo_Sarco_1.png","RPT")</f>
        <v>RPT</v>
      </c>
      <c r="F2563" s="2" t="s">
        <v>65</v>
      </c>
      <c r="G2563" s="6"/>
      <c r="I2563"/>
      <c r="J2563"/>
      <c r="K2563"/>
    </row>
    <row r="2564" spans="1:11" x14ac:dyDescent="0.3">
      <c r="A2564" s="2" t="s">
        <v>1424</v>
      </c>
      <c r="B2564" s="2" t="s">
        <v>136</v>
      </c>
      <c r="C2564" s="2" t="s">
        <v>111</v>
      </c>
      <c r="D2564" s="2" t="s">
        <v>2859</v>
      </c>
      <c r="E2564" s="4" t="str">
        <f>HYPERLINK("./Results/DLO\449\Osteo_Sarco_1.png","RPT")</f>
        <v>RPT</v>
      </c>
      <c r="F2564" s="2" t="s">
        <v>76</v>
      </c>
      <c r="G2564" s="6"/>
      <c r="I2564"/>
      <c r="J2564"/>
      <c r="K2564"/>
    </row>
    <row r="2565" spans="1:11" x14ac:dyDescent="0.3">
      <c r="A2565" s="2" t="s">
        <v>1430</v>
      </c>
      <c r="B2565" s="2" t="s">
        <v>137</v>
      </c>
      <c r="C2565" s="2" t="s">
        <v>119</v>
      </c>
      <c r="D2565" s="2" t="s">
        <v>2859</v>
      </c>
      <c r="E2565" s="4" t="str">
        <f>HYPERLINK("./Results/DLO\45\Osteo_Sarco_1.png","RPT")</f>
        <v>RPT</v>
      </c>
      <c r="F2565" s="2" t="s">
        <v>60</v>
      </c>
      <c r="G2565" s="6"/>
      <c r="I2565"/>
      <c r="J2565"/>
      <c r="K2565"/>
    </row>
    <row r="2566" spans="1:11" x14ac:dyDescent="0.3">
      <c r="A2566" s="2" t="s">
        <v>1435</v>
      </c>
      <c r="B2566" s="2" t="s">
        <v>133</v>
      </c>
      <c r="C2566" s="2" t="s">
        <v>119</v>
      </c>
      <c r="D2566" s="2" t="s">
        <v>2859</v>
      </c>
      <c r="E2566" s="4" t="str">
        <f>HYPERLINK("./Results/DLO\450\Osteo_Sarco_1.png","RPT")</f>
        <v>RPT</v>
      </c>
      <c r="F2566" s="2" t="s">
        <v>99</v>
      </c>
      <c r="G2566" s="6"/>
      <c r="I2566"/>
      <c r="J2566"/>
      <c r="K2566"/>
    </row>
    <row r="2567" spans="1:11" x14ac:dyDescent="0.3">
      <c r="A2567" s="2" t="s">
        <v>1440</v>
      </c>
      <c r="B2567" s="2" t="s">
        <v>112</v>
      </c>
      <c r="C2567" s="2" t="s">
        <v>111</v>
      </c>
      <c r="D2567" s="2" t="s">
        <v>1960</v>
      </c>
      <c r="E2567" s="4" t="str">
        <f>HYPERLINK("./Results/DLO\451\Osteo_Sarco_1.png","RPT")</f>
        <v>RPT</v>
      </c>
      <c r="F2567" s="2" t="s">
        <v>78</v>
      </c>
      <c r="G2567" s="6"/>
      <c r="H2567" s="1">
        <v>28.73</v>
      </c>
    </row>
    <row r="2568" spans="1:11" x14ac:dyDescent="0.3">
      <c r="A2568" s="2" t="s">
        <v>1431</v>
      </c>
      <c r="B2568" s="2" t="s">
        <v>127</v>
      </c>
      <c r="C2568" s="2" t="s">
        <v>111</v>
      </c>
      <c r="D2568" s="2" t="s">
        <v>2859</v>
      </c>
      <c r="E2568" s="4" t="str">
        <f>HYPERLINK("./Results/DLO\452\Osteo_Sarco_1.png","RPT")</f>
        <v>RPT</v>
      </c>
      <c r="F2568" s="2" t="s">
        <v>5</v>
      </c>
      <c r="G2568" s="6"/>
      <c r="I2568"/>
      <c r="J2568"/>
      <c r="K2568"/>
    </row>
    <row r="2569" spans="1:11" x14ac:dyDescent="0.3">
      <c r="A2569" s="2" t="s">
        <v>1420</v>
      </c>
      <c r="B2569" s="2" t="s">
        <v>118</v>
      </c>
      <c r="C2569" s="2" t="s">
        <v>111</v>
      </c>
      <c r="D2569" s="2" t="s">
        <v>2867</v>
      </c>
      <c r="E2569" s="4" t="str">
        <f>HYPERLINK("./Results/DLO\453\Osteo_Sarco_1.png","RPT")</f>
        <v>RPT</v>
      </c>
      <c r="F2569" s="2" t="s">
        <v>71</v>
      </c>
      <c r="G2569" s="6"/>
      <c r="I2569"/>
      <c r="J2569"/>
      <c r="K2569"/>
    </row>
    <row r="2570" spans="1:11" x14ac:dyDescent="0.3">
      <c r="A2570" s="2" t="s">
        <v>1436</v>
      </c>
      <c r="B2570" s="2" t="s">
        <v>140</v>
      </c>
      <c r="C2570" s="2" t="s">
        <v>111</v>
      </c>
      <c r="D2570" s="2" t="s">
        <v>2859</v>
      </c>
      <c r="E2570" s="4" t="str">
        <f>HYPERLINK("./Results/DLO\454\Osteo_Sarco_1.png","RPT")</f>
        <v>RPT</v>
      </c>
      <c r="F2570" s="2" t="s">
        <v>32</v>
      </c>
      <c r="G2570" s="6"/>
      <c r="I2570"/>
      <c r="J2570"/>
      <c r="K2570"/>
    </row>
    <row r="2571" spans="1:11" x14ac:dyDescent="0.3">
      <c r="A2571" s="2" t="s">
        <v>1429</v>
      </c>
      <c r="B2571" s="2" t="s">
        <v>149</v>
      </c>
      <c r="C2571" s="2" t="s">
        <v>111</v>
      </c>
      <c r="D2571" s="2" t="s">
        <v>2859</v>
      </c>
      <c r="E2571" s="4" t="str">
        <f>HYPERLINK("./Results/DLO\456\Osteo_Sarco_1.png","RPT")</f>
        <v>RPT</v>
      </c>
      <c r="F2571" s="2" t="s">
        <v>83</v>
      </c>
      <c r="G2571" s="6"/>
      <c r="I2571"/>
      <c r="J2571"/>
      <c r="K2571"/>
    </row>
    <row r="2572" spans="1:11" x14ac:dyDescent="0.3">
      <c r="A2572" s="2" t="s">
        <v>1441</v>
      </c>
      <c r="B2572" s="2" t="s">
        <v>166</v>
      </c>
      <c r="C2572" s="2" t="s">
        <v>111</v>
      </c>
      <c r="D2572" s="2" t="s">
        <v>2867</v>
      </c>
      <c r="E2572" s="4" t="str">
        <f>HYPERLINK("./Results/DLO\457\Osteo_Sarco_1.png","RPT")</f>
        <v>RPT</v>
      </c>
      <c r="F2572" s="2" t="s">
        <v>82</v>
      </c>
      <c r="G2572" s="6"/>
      <c r="I2572"/>
      <c r="J2572"/>
      <c r="K2572"/>
    </row>
    <row r="2573" spans="1:11" x14ac:dyDescent="0.3">
      <c r="A2573" s="2" t="s">
        <v>1442</v>
      </c>
      <c r="B2573" s="2" t="s">
        <v>148</v>
      </c>
      <c r="C2573" s="2" t="s">
        <v>111</v>
      </c>
      <c r="D2573" s="2" t="s">
        <v>2867</v>
      </c>
      <c r="E2573" s="4" t="str">
        <f>HYPERLINK("./Results/DLO\458\Osteo_Sarco_1.png","RPT")</f>
        <v>RPT</v>
      </c>
      <c r="F2573" s="2" t="s">
        <v>66</v>
      </c>
      <c r="G2573" s="6"/>
      <c r="I2573"/>
      <c r="J2573"/>
      <c r="K2573"/>
    </row>
    <row r="2574" spans="1:11" x14ac:dyDescent="0.3">
      <c r="A2574" s="2" t="s">
        <v>1417</v>
      </c>
      <c r="B2574" s="2" t="s">
        <v>127</v>
      </c>
      <c r="C2574" s="2" t="s">
        <v>111</v>
      </c>
      <c r="D2574" s="2" t="s">
        <v>2859</v>
      </c>
      <c r="E2574" s="4" t="str">
        <f>HYPERLINK("./Results/DLO\459\Osteo_Sarco_1.png","RPT")</f>
        <v>RPT</v>
      </c>
      <c r="F2574" s="2" t="s">
        <v>84</v>
      </c>
      <c r="G2574" s="6"/>
      <c r="I2574"/>
      <c r="J2574"/>
      <c r="K2574"/>
    </row>
    <row r="2575" spans="1:11" x14ac:dyDescent="0.3">
      <c r="A2575" s="2" t="s">
        <v>1418</v>
      </c>
      <c r="B2575" s="2" t="s">
        <v>144</v>
      </c>
      <c r="C2575" s="2" t="s">
        <v>111</v>
      </c>
      <c r="D2575" s="2" t="s">
        <v>2859</v>
      </c>
      <c r="E2575" s="4" t="str">
        <f>HYPERLINK("./Results/DLO\46\Osteo_Sarco_1.png","RPT")</f>
        <v>RPT</v>
      </c>
      <c r="F2575" s="2" t="s">
        <v>449</v>
      </c>
      <c r="G2575" s="6"/>
      <c r="I2575"/>
      <c r="J2575"/>
      <c r="K2575"/>
    </row>
    <row r="2576" spans="1:11" x14ac:dyDescent="0.3">
      <c r="A2576" s="2" t="s">
        <v>1437</v>
      </c>
      <c r="B2576" s="2" t="s">
        <v>118</v>
      </c>
      <c r="C2576" s="2" t="s">
        <v>119</v>
      </c>
      <c r="D2576" s="2" t="s">
        <v>2859</v>
      </c>
      <c r="E2576" s="4" t="str">
        <f>HYPERLINK("./Results/DLO\460\Osteo_Sarco_1.png","RPT")</f>
        <v>RPT</v>
      </c>
      <c r="F2576" s="2" t="s">
        <v>21</v>
      </c>
      <c r="G2576" s="6"/>
      <c r="I2576"/>
      <c r="J2576"/>
      <c r="K2576"/>
    </row>
    <row r="2577" spans="1:11" x14ac:dyDescent="0.3">
      <c r="A2577" s="2" t="s">
        <v>1415</v>
      </c>
      <c r="B2577" s="2" t="s">
        <v>127</v>
      </c>
      <c r="C2577" s="2" t="s">
        <v>111</v>
      </c>
      <c r="D2577" s="2" t="s">
        <v>2859</v>
      </c>
      <c r="E2577" s="4" t="str">
        <f>HYPERLINK("./Results/DLO\461\Osteo_Sarco_1.png","RPT")</f>
        <v>RPT</v>
      </c>
      <c r="F2577" s="2" t="s">
        <v>40</v>
      </c>
      <c r="G2577" s="6"/>
      <c r="H2577" s="1">
        <v>27.18</v>
      </c>
    </row>
    <row r="2578" spans="1:11" x14ac:dyDescent="0.3">
      <c r="A2578" s="2" t="s">
        <v>1428</v>
      </c>
      <c r="B2578" s="2" t="s">
        <v>165</v>
      </c>
      <c r="C2578" s="2" t="s">
        <v>119</v>
      </c>
      <c r="D2578" s="2" t="s">
        <v>2859</v>
      </c>
      <c r="E2578" s="4" t="str">
        <f>HYPERLINK("./Results/DLO\462\Osteo_Sarco_1.png","RPT")</f>
        <v>RPT</v>
      </c>
      <c r="F2578" s="2" t="s">
        <v>53</v>
      </c>
      <c r="G2578" s="6"/>
      <c r="H2578" s="1">
        <v>26.7</v>
      </c>
    </row>
    <row r="2579" spans="1:11" x14ac:dyDescent="0.3">
      <c r="A2579" s="2" t="s">
        <v>1413</v>
      </c>
      <c r="B2579" s="2" t="s">
        <v>125</v>
      </c>
      <c r="C2579" s="2" t="s">
        <v>111</v>
      </c>
      <c r="D2579" s="2" t="s">
        <v>1935</v>
      </c>
      <c r="E2579" s="4" t="str">
        <f>HYPERLINK("./Results/DLO\463\Osteo_Sarco_1.png","RPT")</f>
        <v>RPT</v>
      </c>
      <c r="F2579" s="2" t="s">
        <v>44</v>
      </c>
      <c r="G2579" s="6"/>
      <c r="I2579"/>
      <c r="J2579"/>
      <c r="K2579"/>
    </row>
    <row r="2580" spans="1:11" x14ac:dyDescent="0.3">
      <c r="A2580" s="2" t="s">
        <v>1425</v>
      </c>
      <c r="B2580" s="2" t="s">
        <v>162</v>
      </c>
      <c r="C2580" s="2" t="s">
        <v>111</v>
      </c>
      <c r="D2580" s="2" t="s">
        <v>2859</v>
      </c>
      <c r="E2580" s="4" t="str">
        <f>HYPERLINK("./Results/DLO\464\Osteo_Sarco_1.png","RPT")</f>
        <v>RPT</v>
      </c>
      <c r="F2580" s="2" t="s">
        <v>461</v>
      </c>
      <c r="G2580" s="6"/>
      <c r="H2580" s="1">
        <v>34.64</v>
      </c>
    </row>
    <row r="2581" spans="1:11" x14ac:dyDescent="0.3">
      <c r="A2581" s="2" t="s">
        <v>1432</v>
      </c>
      <c r="B2581" s="2" t="s">
        <v>148</v>
      </c>
      <c r="C2581" s="2" t="s">
        <v>111</v>
      </c>
      <c r="D2581" s="2" t="s">
        <v>2859</v>
      </c>
      <c r="E2581" s="4" t="str">
        <f>HYPERLINK("./Results/DLO\465\Osteo_Sarco_1.png","RPT")</f>
        <v>RPT</v>
      </c>
      <c r="F2581" s="2" t="s">
        <v>76</v>
      </c>
      <c r="G2581" s="6"/>
      <c r="H2581" s="1">
        <v>19.260000000000002</v>
      </c>
    </row>
    <row r="2582" spans="1:11" x14ac:dyDescent="0.3">
      <c r="A2582" s="2" t="s">
        <v>1426</v>
      </c>
      <c r="B2582" s="2" t="s">
        <v>142</v>
      </c>
      <c r="C2582" s="2" t="s">
        <v>111</v>
      </c>
      <c r="D2582" s="2" t="s">
        <v>2859</v>
      </c>
      <c r="E2582" s="4" t="str">
        <f>HYPERLINK("./Results/DLO\466\Osteo_Sarco_1.png","RPT")</f>
        <v>RPT</v>
      </c>
      <c r="F2582" s="2" t="s">
        <v>99</v>
      </c>
      <c r="G2582" s="6"/>
      <c r="I2582"/>
      <c r="J2582"/>
      <c r="K2582"/>
    </row>
    <row r="2583" spans="1:11" x14ac:dyDescent="0.3">
      <c r="A2583" s="2" t="s">
        <v>1438</v>
      </c>
      <c r="B2583" s="2" t="s">
        <v>133</v>
      </c>
      <c r="C2583" s="2" t="s">
        <v>119</v>
      </c>
      <c r="D2583" s="2" t="s">
        <v>2859</v>
      </c>
      <c r="E2583" s="4" t="str">
        <f>HYPERLINK("./Results/DLO\467\Osteo_Sarco_1.png","RPT")</f>
        <v>RPT</v>
      </c>
      <c r="F2583" s="2" t="s">
        <v>88</v>
      </c>
      <c r="G2583" s="6"/>
      <c r="I2583"/>
      <c r="J2583"/>
      <c r="K2583"/>
    </row>
    <row r="2584" spans="1:11" x14ac:dyDescent="0.3">
      <c r="A2584" s="2" t="s">
        <v>1416</v>
      </c>
      <c r="B2584" s="2" t="s">
        <v>161</v>
      </c>
      <c r="C2584" s="2" t="s">
        <v>119</v>
      </c>
      <c r="D2584" s="2" t="s">
        <v>2867</v>
      </c>
      <c r="E2584" s="4" t="str">
        <f>HYPERLINK("./Results/DLO\468\Osteo_Sarco_1.png","RPT")</f>
        <v>RPT</v>
      </c>
      <c r="F2584" s="2" t="s">
        <v>45</v>
      </c>
      <c r="G2584" s="6"/>
      <c r="I2584"/>
      <c r="J2584"/>
      <c r="K2584"/>
    </row>
    <row r="2585" spans="1:11" x14ac:dyDescent="0.3">
      <c r="A2585" s="2" t="s">
        <v>1419</v>
      </c>
      <c r="B2585" s="2" t="s">
        <v>138</v>
      </c>
      <c r="C2585" s="2" t="s">
        <v>119</v>
      </c>
      <c r="D2585" s="2" t="s">
        <v>2859</v>
      </c>
      <c r="E2585" s="4" t="str">
        <f>HYPERLINK("./Results/DLO\469\Osteo_Sarco_1.png","RPT")</f>
        <v>RPT</v>
      </c>
      <c r="F2585" s="2" t="s">
        <v>77</v>
      </c>
      <c r="G2585" s="6"/>
      <c r="I2585"/>
      <c r="J2585"/>
      <c r="K2585"/>
    </row>
    <row r="2586" spans="1:11" x14ac:dyDescent="0.3">
      <c r="A2586" s="2" t="s">
        <v>1427</v>
      </c>
      <c r="B2586" s="2" t="s">
        <v>118</v>
      </c>
      <c r="C2586" s="2" t="s">
        <v>119</v>
      </c>
      <c r="D2586" s="2" t="s">
        <v>2867</v>
      </c>
      <c r="E2586" s="4" t="str">
        <f>HYPERLINK("./Results/DLO\47\Osteo_Sarco_1.png","RPT")</f>
        <v>RPT</v>
      </c>
      <c r="F2586" s="2" t="s">
        <v>76</v>
      </c>
      <c r="G2586" s="6"/>
      <c r="I2586"/>
      <c r="J2586"/>
      <c r="K2586"/>
    </row>
    <row r="2587" spans="1:11" x14ac:dyDescent="0.3">
      <c r="A2587" s="2" t="s">
        <v>1439</v>
      </c>
      <c r="B2587" s="2" t="s">
        <v>112</v>
      </c>
      <c r="C2587" s="2" t="s">
        <v>111</v>
      </c>
      <c r="D2587" s="2" t="s">
        <v>2859</v>
      </c>
      <c r="E2587" s="4" t="str">
        <f>HYPERLINK("./Results/DLO\470\Osteo_Sarco_1.png","RPT")</f>
        <v>RPT</v>
      </c>
      <c r="F2587" s="2" t="s">
        <v>575</v>
      </c>
      <c r="G2587" s="6"/>
      <c r="H2587" s="1">
        <v>20.96</v>
      </c>
    </row>
    <row r="2588" spans="1:11" x14ac:dyDescent="0.3">
      <c r="A2588" s="2" t="s">
        <v>1433</v>
      </c>
      <c r="B2588" s="2" t="s">
        <v>142</v>
      </c>
      <c r="C2588" s="2" t="s">
        <v>111</v>
      </c>
      <c r="D2588" s="2" t="s">
        <v>2859</v>
      </c>
      <c r="E2588" s="4" t="str">
        <f>HYPERLINK("./Results/DLO\471\Osteo_Sarco_1.png","RPT")</f>
        <v>RPT</v>
      </c>
      <c r="F2588" s="2" t="s">
        <v>56</v>
      </c>
      <c r="G2588" s="6"/>
      <c r="I2588"/>
      <c r="J2588"/>
      <c r="K2588"/>
    </row>
    <row r="2589" spans="1:11" x14ac:dyDescent="0.3">
      <c r="A2589" s="2" t="s">
        <v>1421</v>
      </c>
      <c r="B2589" s="2" t="s">
        <v>165</v>
      </c>
      <c r="C2589" s="2" t="s">
        <v>111</v>
      </c>
      <c r="D2589" s="2" t="s">
        <v>2859</v>
      </c>
      <c r="E2589" s="4" t="str">
        <f>HYPERLINK("./Results/DLO\472\Osteo_Sarco_1.png","RPT")</f>
        <v>RPT</v>
      </c>
      <c r="F2589" s="2" t="s">
        <v>102</v>
      </c>
      <c r="G2589" s="6"/>
      <c r="I2589"/>
      <c r="J2589"/>
      <c r="K2589"/>
    </row>
    <row r="2590" spans="1:11" x14ac:dyDescent="0.3">
      <c r="A2590" s="2" t="s">
        <v>1422</v>
      </c>
      <c r="B2590" s="2" t="s">
        <v>146</v>
      </c>
      <c r="C2590" s="2" t="s">
        <v>119</v>
      </c>
      <c r="D2590" s="2" t="s">
        <v>2859</v>
      </c>
      <c r="E2590" s="4" t="str">
        <f>HYPERLINK("./Results/DLO\473\Osteo_Sarco_1.png","RPT")</f>
        <v>RPT</v>
      </c>
      <c r="F2590" s="2" t="s">
        <v>79</v>
      </c>
      <c r="G2590" s="6"/>
      <c r="I2590"/>
      <c r="J2590"/>
      <c r="K2590"/>
    </row>
    <row r="2591" spans="1:11" x14ac:dyDescent="0.3">
      <c r="A2591" s="2" t="s">
        <v>1434</v>
      </c>
      <c r="B2591" s="2" t="s">
        <v>138</v>
      </c>
      <c r="C2591" s="2" t="s">
        <v>119</v>
      </c>
      <c r="D2591" s="2" t="s">
        <v>2859</v>
      </c>
      <c r="E2591" s="4" t="str">
        <f>HYPERLINK("./Results/DLO\474\Osteo_Sarco_1.png","RPT")</f>
        <v>RPT</v>
      </c>
      <c r="F2591" s="2" t="s">
        <v>87</v>
      </c>
      <c r="G2591" s="6"/>
      <c r="I2591"/>
      <c r="J2591"/>
      <c r="K2591"/>
    </row>
    <row r="2592" spans="1:11" x14ac:dyDescent="0.3">
      <c r="A2592" s="2" t="s">
        <v>1414</v>
      </c>
      <c r="B2592" s="2" t="s">
        <v>123</v>
      </c>
      <c r="C2592" s="2" t="s">
        <v>119</v>
      </c>
      <c r="D2592" s="2" t="s">
        <v>2867</v>
      </c>
      <c r="E2592" s="4" t="str">
        <f>HYPERLINK("./Results/DLO\475\Osteo_Sarco_1.png","RPT")</f>
        <v>RPT</v>
      </c>
      <c r="F2592" s="2" t="s">
        <v>77</v>
      </c>
      <c r="G2592" s="6"/>
      <c r="I2592"/>
      <c r="J2592"/>
      <c r="K2592"/>
    </row>
    <row r="2593" spans="1:11" x14ac:dyDescent="0.3">
      <c r="A2593" s="2" t="s">
        <v>1423</v>
      </c>
      <c r="B2593" s="2" t="s">
        <v>142</v>
      </c>
      <c r="C2593" s="2" t="s">
        <v>111</v>
      </c>
      <c r="D2593" s="2" t="s">
        <v>2859</v>
      </c>
      <c r="E2593" s="4" t="str">
        <f>HYPERLINK("./Results/DLO\476\Osteo_Sarco_1.png","RPT")</f>
        <v>RPT</v>
      </c>
      <c r="F2593" s="2" t="s">
        <v>463</v>
      </c>
      <c r="G2593" s="6"/>
      <c r="I2593"/>
      <c r="J2593"/>
      <c r="K2593"/>
    </row>
    <row r="2594" spans="1:11" x14ac:dyDescent="0.3">
      <c r="A2594" s="2" t="s">
        <v>1460</v>
      </c>
      <c r="B2594" s="2" t="s">
        <v>113</v>
      </c>
      <c r="C2594" s="2" t="s">
        <v>111</v>
      </c>
      <c r="D2594" s="2" t="s">
        <v>2859</v>
      </c>
      <c r="E2594" s="4" t="str">
        <f>HYPERLINK("./Results/DLO\477\Osteo_Sarco_1.png","RPT")</f>
        <v>RPT</v>
      </c>
      <c r="F2594" s="2" t="s">
        <v>459</v>
      </c>
      <c r="G2594" s="6"/>
      <c r="I2594"/>
      <c r="J2594"/>
      <c r="K2594"/>
    </row>
    <row r="2595" spans="1:11" x14ac:dyDescent="0.3">
      <c r="A2595" s="2" t="s">
        <v>1447</v>
      </c>
      <c r="B2595" s="2" t="s">
        <v>116</v>
      </c>
      <c r="C2595" s="2" t="s">
        <v>111</v>
      </c>
      <c r="D2595" s="2" t="s">
        <v>2859</v>
      </c>
      <c r="E2595" s="4" t="str">
        <f>HYPERLINK("./Results/DLO\478\Osteo_Sarco_1.png","RPT")</f>
        <v>RPT</v>
      </c>
      <c r="F2595" s="2" t="s">
        <v>52</v>
      </c>
      <c r="G2595" s="6"/>
      <c r="I2595"/>
      <c r="J2595"/>
      <c r="K2595"/>
    </row>
    <row r="2596" spans="1:11" x14ac:dyDescent="0.3">
      <c r="A2596" s="2" t="s">
        <v>1471</v>
      </c>
      <c r="B2596" s="2" t="s">
        <v>159</v>
      </c>
      <c r="C2596" s="2" t="s">
        <v>119</v>
      </c>
      <c r="D2596" s="2" t="s">
        <v>2867</v>
      </c>
      <c r="E2596" s="4" t="str">
        <f>HYPERLINK("./Results/DLO\479\Osteo_Sarco_1.png","RPT")</f>
        <v>RPT</v>
      </c>
      <c r="F2596" s="2" t="s">
        <v>34</v>
      </c>
      <c r="G2596" s="6"/>
      <c r="I2596"/>
      <c r="J2596"/>
      <c r="K2596"/>
    </row>
    <row r="2597" spans="1:11" x14ac:dyDescent="0.3">
      <c r="A2597" s="2" t="s">
        <v>1468</v>
      </c>
      <c r="B2597" s="2" t="s">
        <v>166</v>
      </c>
      <c r="C2597" s="2" t="s">
        <v>119</v>
      </c>
      <c r="D2597" s="2" t="s">
        <v>2859</v>
      </c>
      <c r="E2597" s="4" t="str">
        <f>HYPERLINK("./Results/DLO\48\Osteo_Sarco_1.png","RPT")</f>
        <v>RPT</v>
      </c>
      <c r="F2597" s="2" t="s">
        <v>583</v>
      </c>
      <c r="G2597" s="6"/>
      <c r="I2597"/>
      <c r="J2597"/>
      <c r="K2597"/>
    </row>
    <row r="2598" spans="1:11" x14ac:dyDescent="0.3">
      <c r="A2598" s="2" t="s">
        <v>1461</v>
      </c>
      <c r="B2598" s="2" t="s">
        <v>149</v>
      </c>
      <c r="C2598" s="2" t="s">
        <v>111</v>
      </c>
      <c r="D2598" s="2" t="s">
        <v>2859</v>
      </c>
      <c r="E2598" s="4" t="str">
        <f>HYPERLINK("./Results/DLO\480\Osteo_Sarco_1.png","RPT")</f>
        <v>RPT</v>
      </c>
      <c r="F2598" s="2" t="s">
        <v>475</v>
      </c>
      <c r="G2598" s="6"/>
      <c r="I2598"/>
      <c r="J2598"/>
      <c r="K2598"/>
    </row>
    <row r="2599" spans="1:11" x14ac:dyDescent="0.3">
      <c r="A2599" s="2" t="s">
        <v>1456</v>
      </c>
      <c r="B2599" s="2" t="s">
        <v>118</v>
      </c>
      <c r="C2599" s="2" t="s">
        <v>111</v>
      </c>
      <c r="D2599" s="2" t="s">
        <v>2859</v>
      </c>
      <c r="E2599" s="4" t="str">
        <f>HYPERLINK("./Results/DLO\481\Osteo_Sarco_1.png","RPT")</f>
        <v>RPT</v>
      </c>
      <c r="F2599" s="2" t="s">
        <v>449</v>
      </c>
      <c r="G2599" s="6"/>
      <c r="I2599"/>
      <c r="J2599"/>
      <c r="K2599"/>
    </row>
    <row r="2600" spans="1:11" x14ac:dyDescent="0.3">
      <c r="A2600" s="2" t="s">
        <v>1469</v>
      </c>
      <c r="B2600" s="2" t="s">
        <v>127</v>
      </c>
      <c r="C2600" s="2" t="s">
        <v>119</v>
      </c>
      <c r="D2600" s="2" t="s">
        <v>2859</v>
      </c>
      <c r="E2600" s="4" t="str">
        <f>HYPERLINK("./Results/DLO\482\Osteo_Sarco_1.png","RPT")</f>
        <v>RPT</v>
      </c>
      <c r="F2600" s="2" t="s">
        <v>70</v>
      </c>
      <c r="G2600" s="6"/>
      <c r="I2600"/>
      <c r="J2600"/>
      <c r="K2600"/>
    </row>
    <row r="2601" spans="1:11" x14ac:dyDescent="0.3">
      <c r="A2601" s="2" t="s">
        <v>1450</v>
      </c>
      <c r="B2601" s="2" t="s">
        <v>164</v>
      </c>
      <c r="C2601" s="2" t="s">
        <v>111</v>
      </c>
      <c r="D2601" s="2" t="s">
        <v>2859</v>
      </c>
      <c r="E2601" s="4" t="str">
        <f>HYPERLINK("./Results/DLO\483\Osteo_Sarco_1.png","RPT")</f>
        <v>RPT</v>
      </c>
      <c r="F2601" s="2" t="s">
        <v>51</v>
      </c>
      <c r="G2601" s="6"/>
      <c r="I2601"/>
      <c r="J2601"/>
      <c r="K2601"/>
    </row>
    <row r="2602" spans="1:11" x14ac:dyDescent="0.3">
      <c r="A2602" s="2" t="s">
        <v>1465</v>
      </c>
      <c r="B2602" s="2" t="s">
        <v>167</v>
      </c>
      <c r="C2602" s="2" t="s">
        <v>111</v>
      </c>
      <c r="D2602" s="2" t="s">
        <v>2867</v>
      </c>
      <c r="E2602" s="4" t="str">
        <f>HYPERLINK("./Results/DLO\484\Osteo_Sarco_1.png","RPT")</f>
        <v>RPT</v>
      </c>
      <c r="F2602" s="2" t="s">
        <v>474</v>
      </c>
      <c r="G2602" s="6"/>
      <c r="I2602"/>
      <c r="J2602"/>
      <c r="K2602"/>
    </row>
    <row r="2603" spans="1:11" x14ac:dyDescent="0.3">
      <c r="A2603" s="2" t="s">
        <v>1462</v>
      </c>
      <c r="B2603" s="2" t="s">
        <v>137</v>
      </c>
      <c r="C2603" s="2" t="s">
        <v>119</v>
      </c>
      <c r="D2603" s="2" t="s">
        <v>2859</v>
      </c>
      <c r="E2603" s="4" t="str">
        <f>HYPERLINK("./Results/DLO\485\Osteo_Sarco_1.png","RPT")</f>
        <v>RPT</v>
      </c>
      <c r="F2603" s="2" t="s">
        <v>581</v>
      </c>
      <c r="G2603" s="6"/>
      <c r="I2603"/>
      <c r="J2603"/>
      <c r="K2603"/>
    </row>
    <row r="2604" spans="1:11" x14ac:dyDescent="0.3">
      <c r="A2604" s="2" t="s">
        <v>1457</v>
      </c>
      <c r="B2604" s="2" t="s">
        <v>587</v>
      </c>
      <c r="C2604" s="2" t="s">
        <v>119</v>
      </c>
      <c r="D2604" s="2" t="s">
        <v>2859</v>
      </c>
      <c r="E2604" s="4" t="str">
        <f>HYPERLINK("./Results/DLO\486\Osteo_Sarco_1.png","RPT")</f>
        <v>RPT</v>
      </c>
      <c r="F2604" s="2" t="s">
        <v>43</v>
      </c>
      <c r="G2604" s="6"/>
      <c r="I2604"/>
      <c r="J2604"/>
      <c r="K2604"/>
    </row>
    <row r="2605" spans="1:11" x14ac:dyDescent="0.3">
      <c r="A2605" s="2" t="s">
        <v>1448</v>
      </c>
      <c r="B2605" s="2" t="s">
        <v>123</v>
      </c>
      <c r="C2605" s="2" t="s">
        <v>119</v>
      </c>
      <c r="D2605" s="2" t="s">
        <v>2859</v>
      </c>
      <c r="E2605" s="4" t="str">
        <f>HYPERLINK("./Results/DLO\487\Osteo_Sarco_1.png","RPT")</f>
        <v>RPT</v>
      </c>
      <c r="F2605" s="2" t="s">
        <v>70</v>
      </c>
      <c r="G2605" s="6"/>
      <c r="I2605"/>
      <c r="J2605"/>
      <c r="K2605"/>
    </row>
    <row r="2606" spans="1:11" x14ac:dyDescent="0.3">
      <c r="A2606" s="2" t="s">
        <v>1449</v>
      </c>
      <c r="B2606" s="2" t="s">
        <v>138</v>
      </c>
      <c r="C2606" s="2" t="s">
        <v>119</v>
      </c>
      <c r="D2606" s="2" t="s">
        <v>2859</v>
      </c>
      <c r="E2606" s="4" t="str">
        <f>HYPERLINK("./Results/DLO\488\Osteo_Sarco_1.png","RPT")</f>
        <v>RPT</v>
      </c>
      <c r="F2606" s="2" t="s">
        <v>29</v>
      </c>
      <c r="G2606" s="6"/>
      <c r="H2606" s="1">
        <v>21</v>
      </c>
    </row>
    <row r="2607" spans="1:11" x14ac:dyDescent="0.3">
      <c r="A2607" s="2" t="s">
        <v>1451</v>
      </c>
      <c r="B2607" s="2" t="s">
        <v>116</v>
      </c>
      <c r="C2607" s="2" t="s">
        <v>119</v>
      </c>
      <c r="D2607" s="2" t="s">
        <v>2859</v>
      </c>
      <c r="E2607" s="4" t="str">
        <f>HYPERLINK("./Results/DLO\489\Osteo_Sarco_1.png","RPT")</f>
        <v>RPT</v>
      </c>
      <c r="F2607" s="2" t="s">
        <v>70</v>
      </c>
      <c r="G2607" s="6"/>
      <c r="H2607" s="1">
        <v>22.95</v>
      </c>
    </row>
    <row r="2608" spans="1:11" x14ac:dyDescent="0.3">
      <c r="A2608" s="2" t="s">
        <v>1444</v>
      </c>
      <c r="B2608" s="2" t="s">
        <v>133</v>
      </c>
      <c r="C2608" s="2" t="s">
        <v>119</v>
      </c>
      <c r="D2608" s="2" t="s">
        <v>2859</v>
      </c>
      <c r="E2608" s="4" t="str">
        <f>HYPERLINK("./Results/DLO\49\Osteo_Sarco_1.png","RPT")</f>
        <v>RPT</v>
      </c>
      <c r="F2608" s="2" t="s">
        <v>31</v>
      </c>
      <c r="G2608" s="6"/>
      <c r="H2608" s="1">
        <v>20.350000000000001</v>
      </c>
    </row>
    <row r="2609" spans="1:11" x14ac:dyDescent="0.3">
      <c r="A2609" s="2" t="s">
        <v>1464</v>
      </c>
      <c r="B2609" s="2" t="s">
        <v>123</v>
      </c>
      <c r="C2609" s="2" t="s">
        <v>119</v>
      </c>
      <c r="D2609" s="2" t="s">
        <v>2859</v>
      </c>
      <c r="E2609" s="4" t="str">
        <f>HYPERLINK("./Results/DLO\490\Osteo_Sarco_1.png","RPT")</f>
        <v>RPT</v>
      </c>
      <c r="F2609" s="2" t="s">
        <v>53</v>
      </c>
      <c r="G2609" s="6"/>
      <c r="I2609"/>
      <c r="J2609"/>
      <c r="K2609"/>
    </row>
    <row r="2610" spans="1:11" x14ac:dyDescent="0.3">
      <c r="A2610" s="2" t="s">
        <v>1452</v>
      </c>
      <c r="B2610" s="2" t="s">
        <v>118</v>
      </c>
      <c r="C2610" s="2" t="s">
        <v>119</v>
      </c>
      <c r="D2610" s="2" t="s">
        <v>2859</v>
      </c>
      <c r="E2610" s="4" t="str">
        <f>HYPERLINK("./Results/DLO\491\Osteo_Sarco_1.png","RPT")</f>
        <v>RPT</v>
      </c>
      <c r="F2610" s="2" t="s">
        <v>591</v>
      </c>
      <c r="G2610" s="6"/>
      <c r="I2610"/>
      <c r="J2610"/>
      <c r="K2610"/>
    </row>
    <row r="2611" spans="1:11" x14ac:dyDescent="0.3">
      <c r="A2611" s="2" t="s">
        <v>1467</v>
      </c>
      <c r="B2611" s="2" t="s">
        <v>122</v>
      </c>
      <c r="C2611" s="2" t="s">
        <v>111</v>
      </c>
      <c r="D2611" s="2" t="s">
        <v>2867</v>
      </c>
      <c r="E2611" s="4" t="str">
        <f>HYPERLINK("./Results/DLO\492\Osteo_Sarco_1.png","RPT")</f>
        <v>RPT</v>
      </c>
      <c r="F2611" s="2" t="s">
        <v>47</v>
      </c>
      <c r="G2611" s="6"/>
      <c r="I2611"/>
      <c r="J2611"/>
      <c r="K2611"/>
    </row>
    <row r="2612" spans="1:11" x14ac:dyDescent="0.3">
      <c r="A2612" s="2" t="s">
        <v>1458</v>
      </c>
      <c r="B2612" s="2" t="s">
        <v>120</v>
      </c>
      <c r="C2612" s="2" t="s">
        <v>111</v>
      </c>
      <c r="D2612" s="2" t="s">
        <v>2859</v>
      </c>
      <c r="E2612" s="4" t="str">
        <f>HYPERLINK("./Results/DLO\493\Osteo_Sarco_1.png","RPT")</f>
        <v>RPT</v>
      </c>
      <c r="F2612" s="2" t="s">
        <v>104</v>
      </c>
      <c r="G2612" s="6"/>
      <c r="H2612" s="1">
        <v>22.79</v>
      </c>
    </row>
    <row r="2613" spans="1:11" x14ac:dyDescent="0.3">
      <c r="A2613" s="2" t="s">
        <v>1445</v>
      </c>
      <c r="B2613" s="2" t="s">
        <v>137</v>
      </c>
      <c r="C2613" s="2" t="s">
        <v>111</v>
      </c>
      <c r="D2613" s="2" t="s">
        <v>2859</v>
      </c>
      <c r="E2613" s="4" t="str">
        <f>HYPERLINK("./Results/DLO\494\Osteo_Sarco_1.png","RPT")</f>
        <v>RPT</v>
      </c>
      <c r="F2613" s="2" t="s">
        <v>68</v>
      </c>
      <c r="G2613" s="6"/>
      <c r="H2613" s="1">
        <v>24.07</v>
      </c>
    </row>
    <row r="2614" spans="1:11" x14ac:dyDescent="0.3">
      <c r="A2614" s="2" t="s">
        <v>1459</v>
      </c>
      <c r="B2614" s="2" t="s">
        <v>166</v>
      </c>
      <c r="C2614" s="2" t="s">
        <v>119</v>
      </c>
      <c r="D2614" s="2" t="s">
        <v>2867</v>
      </c>
      <c r="E2614" s="4" t="str">
        <f>HYPERLINK("./Results/DLO\495\Osteo_Sarco_1.png","RPT")</f>
        <v>RPT</v>
      </c>
      <c r="F2614" s="2" t="s">
        <v>60</v>
      </c>
      <c r="G2614" s="6"/>
      <c r="H2614" s="1">
        <v>23.99</v>
      </c>
    </row>
    <row r="2615" spans="1:11" x14ac:dyDescent="0.3">
      <c r="A2615" s="2" t="s">
        <v>1453</v>
      </c>
      <c r="B2615" s="2" t="s">
        <v>146</v>
      </c>
      <c r="C2615" s="2" t="s">
        <v>119</v>
      </c>
      <c r="D2615" s="2" t="s">
        <v>2859</v>
      </c>
      <c r="E2615" s="4" t="str">
        <f>HYPERLINK("./Results/DLO\496\Osteo_Sarco_1.png","RPT")</f>
        <v>RPT</v>
      </c>
      <c r="F2615" s="2" t="s">
        <v>112</v>
      </c>
      <c r="G2615" s="6"/>
      <c r="I2615"/>
      <c r="J2615"/>
      <c r="K2615"/>
    </row>
    <row r="2616" spans="1:11" x14ac:dyDescent="0.3">
      <c r="A2616" s="2" t="s">
        <v>1454</v>
      </c>
      <c r="B2616" s="2" t="s">
        <v>148</v>
      </c>
      <c r="C2616" s="2" t="s">
        <v>111</v>
      </c>
      <c r="D2616" s="2" t="s">
        <v>2859</v>
      </c>
      <c r="E2616" s="4" t="str">
        <f>HYPERLINK("./Results/DLO\497\Osteo_Sarco_1.png","RPT")</f>
        <v>RPT</v>
      </c>
      <c r="F2616" s="2" t="s">
        <v>51</v>
      </c>
      <c r="G2616" s="6"/>
      <c r="I2616"/>
      <c r="J2616"/>
      <c r="K2616"/>
    </row>
    <row r="2617" spans="1:11" x14ac:dyDescent="0.3">
      <c r="A2617" s="2" t="s">
        <v>1455</v>
      </c>
      <c r="B2617" s="2" t="s">
        <v>138</v>
      </c>
      <c r="C2617" s="2" t="s">
        <v>111</v>
      </c>
      <c r="D2617" s="2" t="s">
        <v>2859</v>
      </c>
      <c r="E2617" s="4" t="str">
        <f>HYPERLINK("./Results/DLO\498\Osteo_Sarco_1.png","RPT")</f>
        <v>RPT</v>
      </c>
      <c r="F2617" s="2" t="s">
        <v>84</v>
      </c>
      <c r="G2617" s="6"/>
      <c r="I2617"/>
      <c r="J2617"/>
      <c r="K2617"/>
    </row>
    <row r="2618" spans="1:11" x14ac:dyDescent="0.3">
      <c r="A2618" s="2" t="s">
        <v>1463</v>
      </c>
      <c r="B2618" s="2" t="s">
        <v>127</v>
      </c>
      <c r="C2618" s="2" t="s">
        <v>119</v>
      </c>
      <c r="D2618" s="2" t="s">
        <v>2867</v>
      </c>
      <c r="E2618" s="4" t="str">
        <f>HYPERLINK("./Results/DLO\499\Osteo_Sarco_1.png","RPT")</f>
        <v>RPT</v>
      </c>
      <c r="F2618" s="2" t="s">
        <v>77</v>
      </c>
      <c r="G2618" s="6"/>
      <c r="I2618"/>
      <c r="J2618"/>
      <c r="K2618"/>
    </row>
    <row r="2619" spans="1:11" x14ac:dyDescent="0.3">
      <c r="A2619" s="2" t="s">
        <v>1466</v>
      </c>
      <c r="B2619" s="2" t="s">
        <v>113</v>
      </c>
      <c r="C2619" s="2" t="s">
        <v>119</v>
      </c>
      <c r="D2619" s="2" t="s">
        <v>2859</v>
      </c>
      <c r="E2619" s="4" t="str">
        <f>HYPERLINK("./Results/DLO\5\Osteo_Sarco_1.png","RPT")</f>
        <v>RPT</v>
      </c>
      <c r="F2619" s="2" t="s">
        <v>36</v>
      </c>
      <c r="G2619" s="6"/>
      <c r="I2619"/>
      <c r="J2619"/>
      <c r="K2619"/>
    </row>
    <row r="2620" spans="1:11" x14ac:dyDescent="0.3">
      <c r="A2620" s="2" t="s">
        <v>1470</v>
      </c>
      <c r="B2620" s="2" t="s">
        <v>140</v>
      </c>
      <c r="C2620" s="2" t="s">
        <v>119</v>
      </c>
      <c r="D2620" s="2" t="s">
        <v>2867</v>
      </c>
      <c r="E2620" s="4" t="str">
        <f>HYPERLINK("./Results/DLO\50\Osteo_Sarco_1.png","RPT")</f>
        <v>RPT</v>
      </c>
      <c r="F2620" s="2" t="s">
        <v>575</v>
      </c>
      <c r="G2620" s="6"/>
      <c r="I2620"/>
      <c r="J2620"/>
      <c r="K2620"/>
    </row>
    <row r="2621" spans="1:11" x14ac:dyDescent="0.3">
      <c r="A2621" s="2" t="s">
        <v>1443</v>
      </c>
      <c r="B2621" s="2" t="s">
        <v>143</v>
      </c>
      <c r="C2621" s="2" t="s">
        <v>111</v>
      </c>
      <c r="D2621" s="2" t="s">
        <v>2859</v>
      </c>
      <c r="E2621" s="4" t="str">
        <f>HYPERLINK("./Results/DLO\500\Osteo_Sarco_1.png","RPT")</f>
        <v>RPT</v>
      </c>
      <c r="F2621" s="2" t="s">
        <v>26</v>
      </c>
      <c r="G2621" s="6"/>
      <c r="I2621"/>
      <c r="J2621"/>
      <c r="K2621"/>
    </row>
    <row r="2622" spans="1:11" x14ac:dyDescent="0.3">
      <c r="A2622" s="2" t="s">
        <v>1446</v>
      </c>
      <c r="B2622" s="2" t="s">
        <v>159</v>
      </c>
      <c r="C2622" s="2" t="s">
        <v>111</v>
      </c>
      <c r="D2622" s="2" t="s">
        <v>2859</v>
      </c>
      <c r="E2622" s="4" t="str">
        <f>HYPERLINK("./Results/DLO\501\Osteo_Sarco_1.png","RPT")</f>
        <v>RPT</v>
      </c>
      <c r="F2622" s="2" t="s">
        <v>465</v>
      </c>
      <c r="G2622" s="6"/>
      <c r="H2622" s="1">
        <v>24.84</v>
      </c>
    </row>
    <row r="2623" spans="1:11" x14ac:dyDescent="0.3">
      <c r="A2623" s="2" t="s">
        <v>2969</v>
      </c>
      <c r="B2623" s="2" t="s">
        <v>162</v>
      </c>
      <c r="C2623" s="2" t="s">
        <v>119</v>
      </c>
      <c r="D2623" s="2" t="s">
        <v>2867</v>
      </c>
      <c r="E2623" s="4" t="str">
        <f>HYPERLINK("./Results/DLO\502\Osteo_Sarco_1.png","RPT")</f>
        <v>RPT</v>
      </c>
      <c r="F2623" s="2" t="s">
        <v>70</v>
      </c>
      <c r="G2623" s="6"/>
      <c r="I2623"/>
      <c r="J2623"/>
      <c r="K2623"/>
    </row>
    <row r="2624" spans="1:11" x14ac:dyDescent="0.3">
      <c r="A2624" s="2" t="s">
        <v>878</v>
      </c>
      <c r="B2624" s="2" t="s">
        <v>579</v>
      </c>
      <c r="C2624" s="2" t="s">
        <v>119</v>
      </c>
      <c r="D2624" s="2" t="s">
        <v>2859</v>
      </c>
      <c r="E2624" s="4" t="str">
        <f>HYPERLINK("./Results/DLO\503\Osteo_Sarco_1.png","RPT")</f>
        <v>RPT</v>
      </c>
      <c r="F2624" s="2" t="s">
        <v>46</v>
      </c>
      <c r="G2624" s="6"/>
      <c r="I2624"/>
      <c r="J2624"/>
      <c r="K2624"/>
    </row>
    <row r="2625" spans="1:11" x14ac:dyDescent="0.3">
      <c r="A2625" s="2" t="s">
        <v>898</v>
      </c>
      <c r="B2625" s="2" t="s">
        <v>142</v>
      </c>
      <c r="C2625" s="2" t="s">
        <v>111</v>
      </c>
      <c r="D2625" s="2" t="s">
        <v>2859</v>
      </c>
      <c r="E2625" s="4" t="str">
        <f>HYPERLINK("./Results/DLO\504\Osteo_Sarco_1.png","RPT")</f>
        <v>RPT</v>
      </c>
      <c r="F2625" s="2" t="s">
        <v>68</v>
      </c>
      <c r="G2625" s="6"/>
      <c r="I2625"/>
      <c r="J2625"/>
      <c r="K2625"/>
    </row>
    <row r="2626" spans="1:11" x14ac:dyDescent="0.3">
      <c r="A2626" s="2" t="s">
        <v>895</v>
      </c>
      <c r="B2626" s="2" t="s">
        <v>141</v>
      </c>
      <c r="C2626" s="2" t="s">
        <v>111</v>
      </c>
      <c r="D2626" s="2" t="s">
        <v>2859</v>
      </c>
      <c r="E2626" s="4" t="str">
        <f>HYPERLINK("./Results/DLO\505\Osteo_Sarco_1.png","RPT")</f>
        <v>RPT</v>
      </c>
      <c r="F2626" s="2" t="s">
        <v>110</v>
      </c>
      <c r="G2626" s="6"/>
      <c r="I2626"/>
      <c r="J2626"/>
      <c r="K2626"/>
    </row>
    <row r="2627" spans="1:11" x14ac:dyDescent="0.3">
      <c r="A2627" s="2" t="s">
        <v>886</v>
      </c>
      <c r="B2627" s="2" t="s">
        <v>156</v>
      </c>
      <c r="C2627" s="2" t="s">
        <v>111</v>
      </c>
      <c r="D2627" s="2" t="s">
        <v>2867</v>
      </c>
      <c r="E2627" s="4" t="str">
        <f>HYPERLINK("./Results/DLO\506\Osteo_Sarco_1.png","RPT")</f>
        <v>RPT</v>
      </c>
      <c r="F2627" s="2" t="s">
        <v>466</v>
      </c>
      <c r="G2627" s="6"/>
      <c r="H2627" s="1">
        <v>23.39</v>
      </c>
    </row>
    <row r="2628" spans="1:11" x14ac:dyDescent="0.3">
      <c r="A2628" s="2" t="s">
        <v>892</v>
      </c>
      <c r="B2628" s="2" t="s">
        <v>137</v>
      </c>
      <c r="C2628" s="2" t="s">
        <v>119</v>
      </c>
      <c r="D2628" s="2" t="s">
        <v>2867</v>
      </c>
      <c r="E2628" s="4" t="str">
        <f>HYPERLINK("./Results/DLO\507\Osteo_Sarco_1.png","RPT")</f>
        <v>RPT</v>
      </c>
      <c r="F2628" s="2" t="s">
        <v>72</v>
      </c>
      <c r="G2628" s="6"/>
      <c r="I2628"/>
      <c r="J2628"/>
      <c r="K2628"/>
    </row>
    <row r="2629" spans="1:11" x14ac:dyDescent="0.3">
      <c r="A2629" s="2" t="s">
        <v>889</v>
      </c>
      <c r="B2629" s="2" t="s">
        <v>159</v>
      </c>
      <c r="C2629" s="2" t="s">
        <v>119</v>
      </c>
      <c r="D2629" s="2" t="s">
        <v>2859</v>
      </c>
      <c r="E2629" s="4" t="str">
        <f>HYPERLINK("./Results/DLO\508\Osteo_Sarco_1.png","RPT")</f>
        <v>RPT</v>
      </c>
      <c r="F2629" s="2" t="s">
        <v>99</v>
      </c>
      <c r="G2629" s="6"/>
      <c r="I2629"/>
      <c r="J2629"/>
      <c r="K2629"/>
    </row>
    <row r="2630" spans="1:11" x14ac:dyDescent="0.3">
      <c r="A2630" s="2" t="s">
        <v>899</v>
      </c>
      <c r="B2630" s="2" t="s">
        <v>574</v>
      </c>
      <c r="C2630" s="2" t="s">
        <v>119</v>
      </c>
      <c r="D2630" s="2" t="s">
        <v>2867</v>
      </c>
      <c r="E2630" s="4" t="str">
        <f>HYPERLINK("./Results/DLO\509\Osteo_Sarco_1.png","RPT")</f>
        <v>RPT</v>
      </c>
      <c r="F2630" s="2" t="s">
        <v>98</v>
      </c>
      <c r="G2630" s="6"/>
      <c r="I2630"/>
      <c r="J2630"/>
      <c r="K2630"/>
    </row>
    <row r="2631" spans="1:11" x14ac:dyDescent="0.3">
      <c r="A2631" s="2" t="s">
        <v>879</v>
      </c>
      <c r="B2631" s="2" t="s">
        <v>164</v>
      </c>
      <c r="C2631" s="2" t="s">
        <v>119</v>
      </c>
      <c r="D2631" s="2" t="s">
        <v>2859</v>
      </c>
      <c r="E2631" s="4" t="str">
        <f>HYPERLINK("./Results/DLO\51\Osteo_Sarco_1.png","RPT")</f>
        <v>RPT</v>
      </c>
      <c r="F2631" s="2" t="s">
        <v>87</v>
      </c>
      <c r="G2631" s="6"/>
      <c r="I2631"/>
      <c r="J2631"/>
      <c r="K2631"/>
    </row>
    <row r="2632" spans="1:11" x14ac:dyDescent="0.3">
      <c r="A2632" s="2" t="s">
        <v>887</v>
      </c>
      <c r="B2632" s="2" t="s">
        <v>125</v>
      </c>
      <c r="C2632" s="2" t="s">
        <v>119</v>
      </c>
      <c r="D2632" s="2" t="s">
        <v>2859</v>
      </c>
      <c r="E2632" s="4" t="str">
        <f>HYPERLINK("./Results/DLO\510\Osteo_Sarco_1.png","RPT")</f>
        <v>RPT</v>
      </c>
      <c r="F2632" s="2" t="s">
        <v>79</v>
      </c>
      <c r="G2632" s="6"/>
      <c r="I2632"/>
      <c r="J2632"/>
      <c r="K2632"/>
    </row>
    <row r="2633" spans="1:11" x14ac:dyDescent="0.3">
      <c r="A2633" s="2" t="s">
        <v>877</v>
      </c>
      <c r="B2633" s="2" t="s">
        <v>144</v>
      </c>
      <c r="C2633" s="2" t="s">
        <v>119</v>
      </c>
      <c r="D2633" s="2" t="s">
        <v>2859</v>
      </c>
      <c r="E2633" s="4" t="str">
        <f>HYPERLINK("./Results/DLO\511\Osteo_Sarco_1.png","RPT")</f>
        <v>RPT</v>
      </c>
      <c r="F2633" s="2" t="s">
        <v>112</v>
      </c>
      <c r="G2633" s="6"/>
      <c r="I2633"/>
      <c r="J2633"/>
      <c r="K2633"/>
    </row>
    <row r="2634" spans="1:11" x14ac:dyDescent="0.3">
      <c r="A2634" s="2" t="s">
        <v>894</v>
      </c>
      <c r="B2634" s="2" t="s">
        <v>157</v>
      </c>
      <c r="C2634" s="2" t="s">
        <v>119</v>
      </c>
      <c r="D2634" s="2" t="s">
        <v>2859</v>
      </c>
      <c r="E2634" s="4" t="str">
        <f>HYPERLINK("./Results/DLO\512\Osteo_Sarco_1.png","RPT")</f>
        <v>RPT</v>
      </c>
      <c r="F2634" s="2" t="s">
        <v>21</v>
      </c>
      <c r="G2634" s="6"/>
      <c r="I2634"/>
      <c r="J2634"/>
      <c r="K2634"/>
    </row>
    <row r="2635" spans="1:11" x14ac:dyDescent="0.3">
      <c r="A2635" s="2" t="s">
        <v>896</v>
      </c>
      <c r="B2635" s="2" t="s">
        <v>127</v>
      </c>
      <c r="C2635" s="2" t="s">
        <v>119</v>
      </c>
      <c r="D2635" s="2" t="s">
        <v>2867</v>
      </c>
      <c r="E2635" s="4" t="str">
        <f>HYPERLINK("./Results/DLO\513\Osteo_Sarco_1.png","RPT")</f>
        <v>RPT</v>
      </c>
      <c r="F2635" s="2" t="s">
        <v>48</v>
      </c>
      <c r="G2635" s="6"/>
      <c r="I2635"/>
      <c r="J2635"/>
      <c r="K2635"/>
    </row>
    <row r="2636" spans="1:11" x14ac:dyDescent="0.3">
      <c r="A2636" s="2" t="s">
        <v>876</v>
      </c>
      <c r="B2636" s="2" t="s">
        <v>116</v>
      </c>
      <c r="C2636" s="2" t="s">
        <v>111</v>
      </c>
      <c r="D2636" s="2" t="s">
        <v>2859</v>
      </c>
      <c r="E2636" s="4" t="str">
        <f>HYPERLINK("./Results/DLO\514\Osteo_Sarco_1.png","RPT")</f>
        <v>RPT</v>
      </c>
      <c r="F2636" s="2" t="s">
        <v>26</v>
      </c>
      <c r="G2636" s="6"/>
      <c r="H2636" s="1">
        <v>27.31</v>
      </c>
    </row>
    <row r="2637" spans="1:11" x14ac:dyDescent="0.3">
      <c r="A2637" s="2" t="s">
        <v>875</v>
      </c>
      <c r="B2637" s="2" t="s">
        <v>587</v>
      </c>
      <c r="C2637" s="2" t="s">
        <v>119</v>
      </c>
      <c r="D2637" s="2" t="s">
        <v>2859</v>
      </c>
      <c r="E2637" s="4" t="str">
        <f>HYPERLINK("./Results/DLO\515\Osteo_Sarco_1.png","RPT")</f>
        <v>RPT</v>
      </c>
      <c r="F2637" s="2" t="s">
        <v>43</v>
      </c>
      <c r="G2637" s="6"/>
      <c r="I2637"/>
      <c r="J2637"/>
      <c r="K2637"/>
    </row>
    <row r="2638" spans="1:11" x14ac:dyDescent="0.3">
      <c r="A2638" s="2" t="s">
        <v>890</v>
      </c>
      <c r="B2638" s="2" t="s">
        <v>135</v>
      </c>
      <c r="C2638" s="2" t="s">
        <v>111</v>
      </c>
      <c r="D2638" s="2" t="s">
        <v>2859</v>
      </c>
      <c r="E2638" s="4" t="str">
        <f>HYPERLINK("./Results/DLO\516\Osteo_Sarco_1.png","RPT")</f>
        <v>RPT</v>
      </c>
      <c r="F2638" s="2" t="s">
        <v>64</v>
      </c>
      <c r="G2638" s="6"/>
      <c r="I2638"/>
      <c r="J2638"/>
      <c r="K2638"/>
    </row>
    <row r="2639" spans="1:11" x14ac:dyDescent="0.3">
      <c r="A2639" s="2" t="s">
        <v>891</v>
      </c>
      <c r="B2639" s="2" t="s">
        <v>116</v>
      </c>
      <c r="C2639" s="2" t="s">
        <v>119</v>
      </c>
      <c r="D2639" s="2" t="s">
        <v>2859</v>
      </c>
      <c r="E2639" s="4" t="str">
        <f>HYPERLINK("./Results/DLO\517\Osteo_Sarco_1.png","RPT")</f>
        <v>RPT</v>
      </c>
      <c r="F2639" s="2" t="s">
        <v>56</v>
      </c>
      <c r="G2639" s="6"/>
      <c r="I2639"/>
      <c r="J2639"/>
      <c r="K2639"/>
    </row>
    <row r="2640" spans="1:11" x14ac:dyDescent="0.3">
      <c r="A2640" s="2" t="s">
        <v>888</v>
      </c>
      <c r="B2640" s="2" t="s">
        <v>154</v>
      </c>
      <c r="C2640" s="2" t="s">
        <v>119</v>
      </c>
      <c r="D2640" s="2" t="s">
        <v>2859</v>
      </c>
      <c r="E2640" s="4" t="str">
        <f>HYPERLINK("./Results/DLO\518\Osteo_Sarco_1.png","RPT")</f>
        <v>RPT</v>
      </c>
      <c r="F2640" s="2" t="s">
        <v>70</v>
      </c>
      <c r="G2640" s="6"/>
      <c r="I2640"/>
      <c r="J2640"/>
      <c r="K2640"/>
    </row>
    <row r="2641" spans="1:11" x14ac:dyDescent="0.3">
      <c r="A2641" s="2" t="s">
        <v>897</v>
      </c>
      <c r="B2641" s="2" t="s">
        <v>141</v>
      </c>
      <c r="C2641" s="2" t="s">
        <v>111</v>
      </c>
      <c r="D2641" s="2" t="s">
        <v>2859</v>
      </c>
      <c r="E2641" s="4" t="str">
        <f>HYPERLINK("./Results/DLO\519\Osteo_Sarco_1.png","RPT")</f>
        <v>RPT</v>
      </c>
      <c r="F2641" s="2" t="s">
        <v>80</v>
      </c>
      <c r="G2641" s="6"/>
      <c r="I2641"/>
      <c r="J2641"/>
      <c r="K2641"/>
    </row>
    <row r="2642" spans="1:11" x14ac:dyDescent="0.3">
      <c r="A2642" s="2" t="s">
        <v>893</v>
      </c>
      <c r="B2642" s="2" t="s">
        <v>588</v>
      </c>
      <c r="C2642" s="2" t="s">
        <v>111</v>
      </c>
      <c r="D2642" s="2" t="s">
        <v>2859</v>
      </c>
      <c r="E2642" s="4" t="str">
        <f>HYPERLINK("./Results/DLO\52\Osteo_Sarco_1.png","RPT")</f>
        <v>RPT</v>
      </c>
      <c r="F2642" s="2" t="s">
        <v>43</v>
      </c>
      <c r="G2642" s="6"/>
      <c r="H2642" s="1">
        <v>24.46</v>
      </c>
    </row>
    <row r="2643" spans="1:11" x14ac:dyDescent="0.3">
      <c r="A2643" s="2" t="s">
        <v>881</v>
      </c>
      <c r="B2643" s="2" t="s">
        <v>164</v>
      </c>
      <c r="C2643" s="2" t="s">
        <v>119</v>
      </c>
      <c r="D2643" s="2" t="s">
        <v>2859</v>
      </c>
      <c r="E2643" s="4" t="str">
        <f>HYPERLINK("./Results/DLO\520\Osteo_Sarco_1.png","RPT")</f>
        <v>RPT</v>
      </c>
      <c r="F2643" s="2" t="s">
        <v>79</v>
      </c>
      <c r="G2643" s="6"/>
      <c r="I2643"/>
      <c r="J2643"/>
      <c r="K2643"/>
    </row>
    <row r="2644" spans="1:11" x14ac:dyDescent="0.3">
      <c r="A2644" s="2" t="s">
        <v>882</v>
      </c>
      <c r="B2644" s="2" t="s">
        <v>148</v>
      </c>
      <c r="C2644" s="2" t="s">
        <v>119</v>
      </c>
      <c r="D2644" s="2" t="s">
        <v>2867</v>
      </c>
      <c r="E2644" s="4" t="str">
        <f>HYPERLINK("./Results/DLO\521\Osteo_Sarco_1.png","RPT")</f>
        <v>RPT</v>
      </c>
      <c r="F2644" s="2" t="s">
        <v>38</v>
      </c>
      <c r="G2644" s="6"/>
      <c r="I2644"/>
      <c r="J2644"/>
      <c r="K2644"/>
    </row>
    <row r="2645" spans="1:11" x14ac:dyDescent="0.3">
      <c r="A2645" s="2" t="s">
        <v>880</v>
      </c>
      <c r="B2645" s="2" t="s">
        <v>140</v>
      </c>
      <c r="C2645" s="2" t="s">
        <v>119</v>
      </c>
      <c r="D2645" s="2" t="s">
        <v>2859</v>
      </c>
      <c r="E2645" s="4" t="str">
        <f>HYPERLINK("./Results/DLO\522\Osteo_Sarco_1.png","RPT")</f>
        <v>RPT</v>
      </c>
      <c r="F2645" s="2" t="s">
        <v>56</v>
      </c>
      <c r="G2645" s="6"/>
      <c r="H2645" s="1">
        <v>32.94</v>
      </c>
    </row>
    <row r="2646" spans="1:11" x14ac:dyDescent="0.3">
      <c r="A2646" s="2" t="s">
        <v>874</v>
      </c>
      <c r="B2646" s="2" t="s">
        <v>129</v>
      </c>
      <c r="C2646" s="2" t="s">
        <v>119</v>
      </c>
      <c r="D2646" s="2" t="s">
        <v>2859</v>
      </c>
      <c r="E2646" s="4" t="str">
        <f>HYPERLINK("./Results/DLO\523\Osteo_Sarco_1.png","RPT")</f>
        <v>RPT</v>
      </c>
      <c r="F2646" s="2" t="s">
        <v>583</v>
      </c>
      <c r="G2646" s="6"/>
      <c r="I2646"/>
      <c r="J2646"/>
      <c r="K2646"/>
    </row>
    <row r="2647" spans="1:11" x14ac:dyDescent="0.3">
      <c r="A2647" s="2" t="s">
        <v>873</v>
      </c>
      <c r="B2647" s="2" t="s">
        <v>127</v>
      </c>
      <c r="C2647" s="2" t="s">
        <v>119</v>
      </c>
      <c r="D2647" s="2" t="s">
        <v>2859</v>
      </c>
      <c r="E2647" s="4" t="str">
        <f>HYPERLINK("./Results/DLO\524\Osteo_Sarco_1.png","RPT")</f>
        <v>RPT</v>
      </c>
      <c r="F2647" s="2" t="s">
        <v>29</v>
      </c>
      <c r="G2647" s="6"/>
      <c r="H2647" s="1">
        <v>23.15</v>
      </c>
    </row>
    <row r="2648" spans="1:11" x14ac:dyDescent="0.3">
      <c r="A2648" s="2" t="s">
        <v>883</v>
      </c>
      <c r="B2648" s="2" t="s">
        <v>142</v>
      </c>
      <c r="C2648" s="2" t="s">
        <v>119</v>
      </c>
      <c r="D2648" s="2" t="s">
        <v>2859</v>
      </c>
      <c r="E2648" s="4" t="str">
        <f>HYPERLINK("./Results/DLO\525\Osteo_Sarco_1.png","RPT")</f>
        <v>RPT</v>
      </c>
      <c r="F2648" s="2" t="s">
        <v>28</v>
      </c>
      <c r="G2648" s="6"/>
      <c r="I2648"/>
      <c r="J2648"/>
      <c r="K2648"/>
    </row>
    <row r="2649" spans="1:11" x14ac:dyDescent="0.3">
      <c r="A2649" s="2" t="s">
        <v>885</v>
      </c>
      <c r="B2649" s="2" t="s">
        <v>128</v>
      </c>
      <c r="C2649" s="2" t="s">
        <v>111</v>
      </c>
      <c r="D2649" s="2" t="s">
        <v>2859</v>
      </c>
      <c r="E2649" s="4" t="str">
        <f>HYPERLINK("./Results/DLO\526\Osteo_Sarco_1.png","RPT")</f>
        <v>RPT</v>
      </c>
      <c r="F2649" s="2" t="s">
        <v>115</v>
      </c>
      <c r="G2649" s="6"/>
      <c r="H2649" s="1">
        <v>28.81</v>
      </c>
    </row>
    <row r="2650" spans="1:11" x14ac:dyDescent="0.3">
      <c r="A2650" s="2" t="s">
        <v>884</v>
      </c>
      <c r="B2650" s="2" t="s">
        <v>149</v>
      </c>
      <c r="C2650" s="2" t="s">
        <v>119</v>
      </c>
      <c r="D2650" s="2" t="s">
        <v>2859</v>
      </c>
      <c r="E2650" s="4" t="str">
        <f>HYPERLINK("./Results/DLO\528\Osteo_Sarco_1.png","RPT")</f>
        <v>RPT</v>
      </c>
      <c r="F2650" s="2" t="s">
        <v>32</v>
      </c>
      <c r="G2650" s="6"/>
      <c r="H2650" s="1">
        <v>32.19</v>
      </c>
    </row>
    <row r="2651" spans="1:11" x14ac:dyDescent="0.3">
      <c r="A2651" s="2" t="s">
        <v>926</v>
      </c>
      <c r="B2651" s="2" t="s">
        <v>126</v>
      </c>
      <c r="C2651" s="2" t="s">
        <v>119</v>
      </c>
      <c r="D2651" s="2" t="s">
        <v>2859</v>
      </c>
      <c r="E2651" s="4" t="str">
        <f>HYPERLINK("./Results/DLO\529\Osteo_Sarco_1.png","RPT")</f>
        <v>RPT</v>
      </c>
      <c r="F2651" s="2" t="s">
        <v>97</v>
      </c>
      <c r="G2651" s="6"/>
      <c r="I2651"/>
      <c r="J2651"/>
      <c r="K2651"/>
    </row>
    <row r="2652" spans="1:11" x14ac:dyDescent="0.3">
      <c r="A2652" s="2" t="s">
        <v>910</v>
      </c>
      <c r="B2652" s="2" t="s">
        <v>113</v>
      </c>
      <c r="C2652" s="2" t="s">
        <v>119</v>
      </c>
      <c r="D2652" s="2" t="s">
        <v>2859</v>
      </c>
      <c r="E2652" s="4" t="str">
        <f>HYPERLINK("./Results/DLO\53\Osteo_Sarco_1.png","RPT")</f>
        <v>RPT</v>
      </c>
      <c r="F2652" s="2" t="s">
        <v>134</v>
      </c>
      <c r="G2652" s="6"/>
      <c r="H2652" s="1">
        <v>27.36</v>
      </c>
    </row>
    <row r="2653" spans="1:11" x14ac:dyDescent="0.3">
      <c r="A2653" s="2" t="s">
        <v>909</v>
      </c>
      <c r="B2653" s="2" t="s">
        <v>116</v>
      </c>
      <c r="C2653" s="2" t="s">
        <v>111</v>
      </c>
      <c r="D2653" s="2" t="s">
        <v>2859</v>
      </c>
      <c r="E2653" s="4" t="str">
        <f>HYPERLINK("./Results/DLO\530\Osteo_Sarco_1.png","RPT")</f>
        <v>RPT</v>
      </c>
      <c r="F2653" s="2" t="s">
        <v>45</v>
      </c>
      <c r="G2653" s="6"/>
      <c r="I2653"/>
      <c r="J2653"/>
      <c r="K2653"/>
    </row>
    <row r="2654" spans="1:11" x14ac:dyDescent="0.3">
      <c r="A2654" s="2" t="s">
        <v>921</v>
      </c>
      <c r="B2654" s="2" t="s">
        <v>135</v>
      </c>
      <c r="C2654" s="2" t="s">
        <v>111</v>
      </c>
      <c r="D2654" s="2" t="s">
        <v>2859</v>
      </c>
      <c r="E2654" s="4" t="str">
        <f>HYPERLINK("./Results/DLO\531\Osteo_Sarco_1.png","RPT")</f>
        <v>RPT</v>
      </c>
      <c r="F2654" s="2" t="s">
        <v>25</v>
      </c>
      <c r="G2654" s="6"/>
      <c r="H2654" s="1">
        <v>22.99</v>
      </c>
    </row>
    <row r="2655" spans="1:11" x14ac:dyDescent="0.3">
      <c r="A2655" s="2" t="s">
        <v>914</v>
      </c>
      <c r="B2655" s="2" t="s">
        <v>148</v>
      </c>
      <c r="C2655" s="2" t="s">
        <v>119</v>
      </c>
      <c r="D2655" s="2" t="s">
        <v>2867</v>
      </c>
      <c r="E2655" s="4" t="str">
        <f>HYPERLINK("./Results/DLO\532\Osteo_Sarco_1.png","RPT")</f>
        <v>RPT</v>
      </c>
      <c r="F2655" s="2" t="s">
        <v>575</v>
      </c>
      <c r="G2655" s="6"/>
      <c r="H2655" s="1">
        <v>22.86</v>
      </c>
    </row>
    <row r="2656" spans="1:11" x14ac:dyDescent="0.3">
      <c r="A2656" s="2" t="s">
        <v>911</v>
      </c>
      <c r="B2656" s="2" t="s">
        <v>128</v>
      </c>
      <c r="C2656" s="2" t="s">
        <v>111</v>
      </c>
      <c r="D2656" s="2" t="s">
        <v>2859</v>
      </c>
      <c r="E2656" s="4" t="str">
        <f>HYPERLINK("./Results/DLO\533\Osteo_Sarco_1.png","RPT")</f>
        <v>RPT</v>
      </c>
      <c r="F2656" s="2" t="s">
        <v>27</v>
      </c>
      <c r="G2656" s="6"/>
      <c r="I2656"/>
      <c r="J2656"/>
      <c r="K2656"/>
    </row>
    <row r="2657" spans="1:11" x14ac:dyDescent="0.3">
      <c r="A2657" s="2" t="s">
        <v>912</v>
      </c>
      <c r="B2657" s="2" t="s">
        <v>138</v>
      </c>
      <c r="C2657" s="2" t="s">
        <v>119</v>
      </c>
      <c r="D2657" s="2" t="s">
        <v>2859</v>
      </c>
      <c r="E2657" s="4" t="str">
        <f>HYPERLINK("./Results/DLO\534\Osteo_Sarco_1.png","RPT")</f>
        <v>RPT</v>
      </c>
      <c r="F2657" s="2" t="s">
        <v>591</v>
      </c>
      <c r="G2657" s="6"/>
      <c r="I2657"/>
      <c r="J2657"/>
      <c r="K2657"/>
    </row>
    <row r="2658" spans="1:11" x14ac:dyDescent="0.3">
      <c r="A2658" s="2" t="s">
        <v>905</v>
      </c>
      <c r="B2658" s="2" t="s">
        <v>120</v>
      </c>
      <c r="C2658" s="2" t="s">
        <v>119</v>
      </c>
      <c r="D2658" s="2" t="s">
        <v>2859</v>
      </c>
      <c r="E2658" s="4" t="str">
        <f>HYPERLINK("./Results/DLO\535\Osteo_Sarco_1.png","RPT")</f>
        <v>RPT</v>
      </c>
      <c r="F2658" s="2" t="s">
        <v>38</v>
      </c>
      <c r="G2658" s="6"/>
      <c r="I2658"/>
      <c r="J2658"/>
      <c r="K2658"/>
    </row>
    <row r="2659" spans="1:11" x14ac:dyDescent="0.3">
      <c r="A2659" s="2" t="s">
        <v>901</v>
      </c>
      <c r="B2659" s="2" t="s">
        <v>157</v>
      </c>
      <c r="C2659" s="2" t="s">
        <v>111</v>
      </c>
      <c r="D2659" s="2" t="s">
        <v>2867</v>
      </c>
      <c r="E2659" s="4" t="str">
        <f>HYPERLINK("./Results/DLO\536\Osteo_Sarco_1.png","RPT")</f>
        <v>RPT</v>
      </c>
      <c r="F2659" s="2" t="s">
        <v>49</v>
      </c>
      <c r="G2659" s="6"/>
      <c r="I2659"/>
      <c r="J2659"/>
      <c r="K2659"/>
    </row>
    <row r="2660" spans="1:11" x14ac:dyDescent="0.3">
      <c r="A2660" s="2" t="s">
        <v>906</v>
      </c>
      <c r="B2660" s="2" t="s">
        <v>138</v>
      </c>
      <c r="C2660" s="2" t="s">
        <v>119</v>
      </c>
      <c r="D2660" s="2" t="s">
        <v>2859</v>
      </c>
      <c r="E2660" s="4" t="str">
        <f>HYPERLINK("./Results/DLO\537\Osteo_Sarco_1.png","RPT")</f>
        <v>RPT</v>
      </c>
      <c r="F2660" s="2" t="s">
        <v>456</v>
      </c>
      <c r="G2660" s="6"/>
      <c r="I2660"/>
      <c r="J2660"/>
      <c r="K2660"/>
    </row>
    <row r="2661" spans="1:11" x14ac:dyDescent="0.3">
      <c r="A2661" s="2" t="s">
        <v>919</v>
      </c>
      <c r="B2661" s="2" t="s">
        <v>112</v>
      </c>
      <c r="C2661" s="2" t="s">
        <v>111</v>
      </c>
      <c r="D2661" s="2" t="s">
        <v>2859</v>
      </c>
      <c r="E2661" s="4" t="str">
        <f>HYPERLINK("./Results/DLO\538\Osteo_Sarco_1.png","RPT")</f>
        <v>RPT</v>
      </c>
      <c r="F2661" s="2" t="s">
        <v>46</v>
      </c>
      <c r="G2661" s="6"/>
      <c r="I2661"/>
      <c r="J2661"/>
      <c r="K2661"/>
    </row>
    <row r="2662" spans="1:11" x14ac:dyDescent="0.3">
      <c r="A2662" s="2" t="s">
        <v>913</v>
      </c>
      <c r="B2662" s="2" t="s">
        <v>168</v>
      </c>
      <c r="C2662" s="2" t="s">
        <v>119</v>
      </c>
      <c r="D2662" s="2" t="s">
        <v>2859</v>
      </c>
      <c r="E2662" s="4" t="str">
        <f>HYPERLINK("./Results/DLO\539\Osteo_Sarco_1.png","RPT")</f>
        <v>RPT</v>
      </c>
      <c r="F2662" s="2" t="s">
        <v>48</v>
      </c>
      <c r="G2662" s="6"/>
      <c r="I2662"/>
      <c r="J2662"/>
      <c r="K2662"/>
    </row>
    <row r="2663" spans="1:11" x14ac:dyDescent="0.3">
      <c r="A2663" s="2" t="s">
        <v>915</v>
      </c>
      <c r="B2663" s="2" t="s">
        <v>131</v>
      </c>
      <c r="C2663" s="2" t="s">
        <v>111</v>
      </c>
      <c r="D2663" s="2" t="s">
        <v>2867</v>
      </c>
      <c r="E2663" s="4" t="str">
        <f>HYPERLINK("./Results/DLO\54\Osteo_Sarco_1.png","RPT")</f>
        <v>RPT</v>
      </c>
      <c r="F2663" s="2" t="s">
        <v>83</v>
      </c>
      <c r="G2663" s="6"/>
      <c r="I2663"/>
      <c r="J2663"/>
      <c r="K2663"/>
    </row>
    <row r="2664" spans="1:11" x14ac:dyDescent="0.3">
      <c r="A2664" s="2" t="s">
        <v>918</v>
      </c>
      <c r="B2664" s="2" t="s">
        <v>138</v>
      </c>
      <c r="C2664" s="2" t="s">
        <v>111</v>
      </c>
      <c r="D2664" s="2" t="s">
        <v>2867</v>
      </c>
      <c r="E2664" s="4" t="str">
        <f>HYPERLINK("./Results/DLO\540\Osteo_Sarco_1.png","RPT")</f>
        <v>RPT</v>
      </c>
      <c r="F2664" s="2" t="s">
        <v>110</v>
      </c>
      <c r="G2664" s="6"/>
      <c r="H2664" s="1">
        <v>23.18</v>
      </c>
    </row>
    <row r="2665" spans="1:11" x14ac:dyDescent="0.3">
      <c r="A2665" s="2" t="s">
        <v>922</v>
      </c>
      <c r="B2665" s="2" t="s">
        <v>137</v>
      </c>
      <c r="C2665" s="2" t="s">
        <v>119</v>
      </c>
      <c r="D2665" s="2" t="s">
        <v>2859</v>
      </c>
      <c r="E2665" s="4" t="str">
        <f>HYPERLINK("./Results/DLO\541\Osteo_Sarco_1.png","RPT")</f>
        <v>RPT</v>
      </c>
      <c r="F2665" s="2" t="s">
        <v>41</v>
      </c>
      <c r="G2665" s="6"/>
      <c r="H2665" s="1">
        <v>27.43</v>
      </c>
    </row>
    <row r="2666" spans="1:11" x14ac:dyDescent="0.3">
      <c r="A2666" s="2" t="s">
        <v>920</v>
      </c>
      <c r="B2666" s="2" t="s">
        <v>116</v>
      </c>
      <c r="C2666" s="2" t="s">
        <v>111</v>
      </c>
      <c r="D2666" s="2" t="s">
        <v>2859</v>
      </c>
      <c r="E2666" s="4" t="str">
        <f>HYPERLINK("./Results/DLO\542\Osteo_Sarco_1.png","RPT")</f>
        <v>RPT</v>
      </c>
      <c r="F2666" s="2" t="s">
        <v>22</v>
      </c>
      <c r="G2666" s="6"/>
      <c r="I2666"/>
      <c r="J2666"/>
      <c r="K2666"/>
    </row>
    <row r="2667" spans="1:11" x14ac:dyDescent="0.3">
      <c r="A2667" s="2" t="s">
        <v>916</v>
      </c>
      <c r="B2667" s="2" t="s">
        <v>123</v>
      </c>
      <c r="C2667" s="2" t="s">
        <v>119</v>
      </c>
      <c r="D2667" s="2" t="s">
        <v>2867</v>
      </c>
      <c r="E2667" s="4" t="str">
        <f>HYPERLINK("./Results/DLO\543\Osteo_Sarco_1.png","RPT")</f>
        <v>RPT</v>
      </c>
      <c r="F2667" s="2" t="s">
        <v>454</v>
      </c>
      <c r="G2667" s="6"/>
      <c r="I2667"/>
      <c r="J2667"/>
      <c r="K2667"/>
    </row>
    <row r="2668" spans="1:11" x14ac:dyDescent="0.3">
      <c r="A2668" s="2" t="s">
        <v>917</v>
      </c>
      <c r="B2668" s="2" t="s">
        <v>144</v>
      </c>
      <c r="C2668" s="2" t="s">
        <v>119</v>
      </c>
      <c r="D2668" s="2" t="s">
        <v>2859</v>
      </c>
      <c r="E2668" s="4" t="str">
        <f>HYPERLINK("./Results/DLO\544\Osteo_Sarco_1.png","RPT")</f>
        <v>RPT</v>
      </c>
      <c r="F2668" s="2" t="s">
        <v>575</v>
      </c>
      <c r="G2668" s="6"/>
      <c r="I2668"/>
      <c r="J2668"/>
      <c r="K2668"/>
    </row>
    <row r="2669" spans="1:11" x14ac:dyDescent="0.3">
      <c r="A2669" s="2" t="s">
        <v>923</v>
      </c>
      <c r="B2669" s="2" t="s">
        <v>24</v>
      </c>
      <c r="C2669" s="2" t="s">
        <v>111</v>
      </c>
      <c r="D2669" s="2" t="s">
        <v>2859</v>
      </c>
      <c r="E2669" s="4" t="str">
        <f>HYPERLINK("./Results/DLO\545\Osteo_Sarco_1.png","RPT")</f>
        <v>RPT</v>
      </c>
      <c r="F2669" s="2" t="s">
        <v>450</v>
      </c>
      <c r="G2669" s="6"/>
      <c r="H2669" s="1">
        <v>20.170000000000002</v>
      </c>
    </row>
    <row r="2670" spans="1:11" x14ac:dyDescent="0.3">
      <c r="A2670" s="2" t="s">
        <v>924</v>
      </c>
      <c r="B2670" s="2" t="s">
        <v>123</v>
      </c>
      <c r="C2670" s="2" t="s">
        <v>119</v>
      </c>
      <c r="D2670" s="2" t="s">
        <v>2867</v>
      </c>
      <c r="E2670" s="4" t="str">
        <f>HYPERLINK("./Results/DLO\546\Osteo_Sarco_1.png","RPT")</f>
        <v>RPT</v>
      </c>
      <c r="F2670" s="2" t="s">
        <v>97</v>
      </c>
      <c r="G2670" s="6"/>
      <c r="I2670"/>
      <c r="J2670"/>
      <c r="K2670"/>
    </row>
    <row r="2671" spans="1:11" x14ac:dyDescent="0.3">
      <c r="A2671" s="2" t="s">
        <v>925</v>
      </c>
      <c r="B2671" s="2" t="s">
        <v>163</v>
      </c>
      <c r="C2671" s="2" t="s">
        <v>111</v>
      </c>
      <c r="D2671" s="2" t="s">
        <v>2859</v>
      </c>
      <c r="E2671" s="4" t="str">
        <f>HYPERLINK("./Results/DLO\547\Osteo_Sarco_1.png","RPT")</f>
        <v>RPT</v>
      </c>
      <c r="F2671" s="2" t="s">
        <v>107</v>
      </c>
      <c r="G2671" s="6"/>
      <c r="H2671" s="1">
        <v>33.82</v>
      </c>
    </row>
    <row r="2672" spans="1:11" x14ac:dyDescent="0.3">
      <c r="A2672" s="2" t="s">
        <v>900</v>
      </c>
      <c r="B2672" s="2" t="s">
        <v>165</v>
      </c>
      <c r="C2672" s="2" t="s">
        <v>119</v>
      </c>
      <c r="D2672" s="2" t="s">
        <v>2859</v>
      </c>
      <c r="E2672" s="4" t="str">
        <f>HYPERLINK("./Results/DLO\548\Osteo_Sarco_1.png","RPT")</f>
        <v>RPT</v>
      </c>
      <c r="F2672" s="2" t="s">
        <v>34</v>
      </c>
      <c r="G2672" s="6"/>
      <c r="I2672"/>
      <c r="J2672"/>
      <c r="K2672"/>
    </row>
    <row r="2673" spans="1:11" x14ac:dyDescent="0.3">
      <c r="A2673" s="2" t="s">
        <v>902</v>
      </c>
      <c r="B2673" s="2" t="s">
        <v>141</v>
      </c>
      <c r="C2673" s="2" t="s">
        <v>119</v>
      </c>
      <c r="D2673" s="2" t="s">
        <v>2859</v>
      </c>
      <c r="E2673" s="4" t="str">
        <f>HYPERLINK("./Results/DLO\549\Osteo_Sarco_1.png","RPT")</f>
        <v>RPT</v>
      </c>
      <c r="F2673" s="2" t="s">
        <v>467</v>
      </c>
      <c r="G2673" s="6"/>
      <c r="H2673" s="1">
        <v>22.19</v>
      </c>
    </row>
    <row r="2674" spans="1:11" x14ac:dyDescent="0.3">
      <c r="A2674" s="2" t="s">
        <v>903</v>
      </c>
      <c r="B2674" s="2" t="s">
        <v>127</v>
      </c>
      <c r="C2674" s="2" t="s">
        <v>111</v>
      </c>
      <c r="D2674" s="2" t="s">
        <v>2859</v>
      </c>
      <c r="E2674" s="4" t="str">
        <f>HYPERLINK("./Results/DLO\55\Osteo_Sarco_1.png","RPT")</f>
        <v>RPT</v>
      </c>
      <c r="F2674" s="2" t="s">
        <v>116</v>
      </c>
      <c r="G2674" s="6"/>
      <c r="I2674"/>
      <c r="J2674"/>
      <c r="K2674"/>
    </row>
    <row r="2675" spans="1:11" x14ac:dyDescent="0.3">
      <c r="A2675" s="2" t="s">
        <v>904</v>
      </c>
      <c r="B2675" s="2" t="s">
        <v>114</v>
      </c>
      <c r="C2675" s="2" t="s">
        <v>111</v>
      </c>
      <c r="D2675" s="2" t="s">
        <v>2859</v>
      </c>
      <c r="E2675" s="4" t="str">
        <f>HYPERLINK("./Results/DLO\550\Osteo_Sarco_1.png","RPT")</f>
        <v>RPT</v>
      </c>
      <c r="F2675" s="2" t="s">
        <v>66</v>
      </c>
      <c r="G2675" s="6"/>
      <c r="H2675" s="1">
        <v>28.84</v>
      </c>
    </row>
    <row r="2676" spans="1:11" x14ac:dyDescent="0.3">
      <c r="A2676" s="2" t="s">
        <v>907</v>
      </c>
      <c r="B2676" s="2" t="s">
        <v>131</v>
      </c>
      <c r="C2676" s="2" t="s">
        <v>111</v>
      </c>
      <c r="D2676" s="2" t="s">
        <v>2859</v>
      </c>
      <c r="E2676" s="4" t="str">
        <f>HYPERLINK("./Results/DLO\551\Osteo_Sarco_1.png","RPT")</f>
        <v>RPT</v>
      </c>
      <c r="F2676" s="2" t="s">
        <v>32</v>
      </c>
      <c r="G2676" s="6"/>
      <c r="I2676"/>
      <c r="J2676"/>
      <c r="K2676"/>
    </row>
    <row r="2677" spans="1:11" x14ac:dyDescent="0.3">
      <c r="A2677" s="2" t="s">
        <v>908</v>
      </c>
      <c r="B2677" s="2" t="s">
        <v>142</v>
      </c>
      <c r="C2677" s="2" t="s">
        <v>119</v>
      </c>
      <c r="D2677" s="2" t="s">
        <v>2859</v>
      </c>
      <c r="E2677" s="4" t="str">
        <f>HYPERLINK("./Results/DLO\552\Osteo_Sarco_1.png","RPT")</f>
        <v>RPT</v>
      </c>
      <c r="F2677" s="2" t="s">
        <v>34</v>
      </c>
      <c r="G2677" s="6"/>
      <c r="I2677"/>
      <c r="J2677"/>
      <c r="K2677"/>
    </row>
    <row r="2678" spans="1:11" x14ac:dyDescent="0.3">
      <c r="A2678" s="2" t="s">
        <v>945</v>
      </c>
      <c r="B2678" s="2" t="s">
        <v>165</v>
      </c>
      <c r="C2678" s="2" t="s">
        <v>119</v>
      </c>
      <c r="D2678" s="2" t="s">
        <v>2859</v>
      </c>
      <c r="E2678" s="4" t="str">
        <f>HYPERLINK("./Results/DLO\553\Osteo_Sarco_1.png","RPT")</f>
        <v>RPT</v>
      </c>
      <c r="F2678" s="2" t="s">
        <v>57</v>
      </c>
      <c r="G2678" s="6"/>
      <c r="I2678"/>
      <c r="J2678"/>
      <c r="K2678"/>
    </row>
    <row r="2679" spans="1:11" x14ac:dyDescent="0.3">
      <c r="A2679" s="2" t="s">
        <v>935</v>
      </c>
      <c r="B2679" s="2" t="s">
        <v>120</v>
      </c>
      <c r="C2679" s="2" t="s">
        <v>119</v>
      </c>
      <c r="D2679" s="2" t="s">
        <v>2867</v>
      </c>
      <c r="E2679" s="4" t="str">
        <f>HYPERLINK("./Results/DLO\554\Osteo_Sarco_1.png","RPT")</f>
        <v>RPT</v>
      </c>
      <c r="F2679" s="2" t="s">
        <v>588</v>
      </c>
      <c r="G2679" s="6"/>
      <c r="I2679"/>
      <c r="J2679"/>
      <c r="K2679"/>
    </row>
    <row r="2680" spans="1:11" x14ac:dyDescent="0.3">
      <c r="A2680" s="2" t="s">
        <v>934</v>
      </c>
      <c r="B2680" s="2" t="s">
        <v>167</v>
      </c>
      <c r="C2680" s="2" t="s">
        <v>111</v>
      </c>
      <c r="D2680" s="2" t="s">
        <v>2859</v>
      </c>
      <c r="E2680" s="4" t="str">
        <f>HYPERLINK("./Results/DLO\555\Osteo_Sarco_1.png","RPT")</f>
        <v>RPT</v>
      </c>
      <c r="F2680" s="2" t="s">
        <v>593</v>
      </c>
      <c r="G2680" s="6"/>
      <c r="I2680"/>
      <c r="J2680"/>
      <c r="K2680"/>
    </row>
    <row r="2681" spans="1:11" x14ac:dyDescent="0.3">
      <c r="A2681" s="2" t="s">
        <v>947</v>
      </c>
      <c r="B2681" s="2" t="s">
        <v>137</v>
      </c>
      <c r="C2681" s="2" t="s">
        <v>119</v>
      </c>
      <c r="D2681" s="2" t="s">
        <v>2859</v>
      </c>
      <c r="E2681" s="4" t="str">
        <f>HYPERLINK("./Results/DLO\556\Osteo_Sarco_1.png","RPT")</f>
        <v>RPT</v>
      </c>
      <c r="F2681" s="2" t="s">
        <v>105</v>
      </c>
      <c r="G2681" s="6"/>
      <c r="I2681"/>
      <c r="J2681"/>
      <c r="K2681"/>
    </row>
    <row r="2682" spans="1:11" x14ac:dyDescent="0.3">
      <c r="A2682" s="2" t="s">
        <v>932</v>
      </c>
      <c r="B2682" s="2" t="s">
        <v>138</v>
      </c>
      <c r="C2682" s="2" t="s">
        <v>119</v>
      </c>
      <c r="D2682" s="2" t="s">
        <v>2859</v>
      </c>
      <c r="E2682" s="4" t="str">
        <f>HYPERLINK("./Results/DLO\557\Osteo_Sarco_1.png","RPT")</f>
        <v>RPT</v>
      </c>
      <c r="F2682" s="2" t="s">
        <v>150</v>
      </c>
      <c r="G2682" s="6"/>
      <c r="I2682"/>
      <c r="J2682"/>
      <c r="K2682"/>
    </row>
    <row r="2683" spans="1:11" x14ac:dyDescent="0.3">
      <c r="A2683" s="2" t="s">
        <v>928</v>
      </c>
      <c r="B2683" s="2" t="s">
        <v>140</v>
      </c>
      <c r="C2683" s="2" t="s">
        <v>111</v>
      </c>
      <c r="D2683" s="2" t="s">
        <v>2859</v>
      </c>
      <c r="E2683" s="4" t="str">
        <f>HYPERLINK("./Results/DLO\558\Osteo_Sarco_1.png","RPT")</f>
        <v>RPT</v>
      </c>
      <c r="F2683" s="2" t="s">
        <v>20</v>
      </c>
      <c r="G2683" s="6"/>
      <c r="I2683"/>
      <c r="J2683"/>
      <c r="K2683"/>
    </row>
    <row r="2684" spans="1:11" x14ac:dyDescent="0.3">
      <c r="A2684" s="2" t="s">
        <v>948</v>
      </c>
      <c r="B2684" s="2" t="s">
        <v>161</v>
      </c>
      <c r="C2684" s="2" t="s">
        <v>119</v>
      </c>
      <c r="D2684" s="2" t="s">
        <v>2859</v>
      </c>
      <c r="E2684" s="4" t="str">
        <f>HYPERLINK("./Results/DLO\559\Osteo_Sarco_1.png","RPT")</f>
        <v>RPT</v>
      </c>
      <c r="F2684" s="2" t="s">
        <v>36</v>
      </c>
      <c r="G2684" s="6"/>
      <c r="I2684"/>
      <c r="J2684"/>
      <c r="K2684"/>
    </row>
    <row r="2685" spans="1:11" x14ac:dyDescent="0.3">
      <c r="A2685" s="2" t="s">
        <v>949</v>
      </c>
      <c r="B2685" s="2" t="s">
        <v>164</v>
      </c>
      <c r="C2685" s="2" t="s">
        <v>119</v>
      </c>
      <c r="D2685" s="2" t="s">
        <v>2859</v>
      </c>
      <c r="E2685" s="4" t="str">
        <f>HYPERLINK("./Results/DLO\56\Osteo_Sarco_1.png","RPT")</f>
        <v>RPT</v>
      </c>
      <c r="F2685" s="2" t="s">
        <v>48</v>
      </c>
      <c r="G2685" s="6"/>
      <c r="I2685"/>
      <c r="J2685"/>
      <c r="K2685"/>
    </row>
    <row r="2686" spans="1:11" x14ac:dyDescent="0.3">
      <c r="A2686" s="2" t="s">
        <v>937</v>
      </c>
      <c r="B2686" s="2" t="s">
        <v>125</v>
      </c>
      <c r="C2686" s="2" t="s">
        <v>119</v>
      </c>
      <c r="D2686" s="2" t="s">
        <v>2859</v>
      </c>
      <c r="E2686" s="4" t="str">
        <f>HYPERLINK("./Results/DLO\561\Osteo_Sarco_1.png","RPT")</f>
        <v>RPT</v>
      </c>
      <c r="F2686" s="2">
        <v>52</v>
      </c>
      <c r="G2686" s="6"/>
      <c r="H2686" s="1">
        <v>20.56</v>
      </c>
    </row>
    <row r="2687" spans="1:11" x14ac:dyDescent="0.3">
      <c r="A2687" s="2" t="s">
        <v>929</v>
      </c>
      <c r="B2687" s="2" t="s">
        <v>120</v>
      </c>
      <c r="C2687" s="2" t="s">
        <v>111</v>
      </c>
      <c r="D2687" s="2" t="s">
        <v>1935</v>
      </c>
      <c r="E2687" s="4" t="str">
        <f>HYPERLINK("./Results/DLO\562\Osteo_Sarco_1.png","RPT")</f>
        <v>RPT</v>
      </c>
      <c r="F2687" s="2" t="s">
        <v>56</v>
      </c>
      <c r="G2687" s="6"/>
      <c r="I2687"/>
      <c r="J2687"/>
      <c r="K2687"/>
    </row>
    <row r="2688" spans="1:11" x14ac:dyDescent="0.3">
      <c r="A2688" s="2" t="s">
        <v>950</v>
      </c>
      <c r="B2688" s="2" t="s">
        <v>165</v>
      </c>
      <c r="C2688" s="2" t="s">
        <v>111</v>
      </c>
      <c r="D2688" s="2" t="s">
        <v>2859</v>
      </c>
      <c r="E2688" s="4" t="str">
        <f>HYPERLINK("./Results/DLO\563\Osteo_Sarco_1.png","RPT")</f>
        <v>RPT</v>
      </c>
      <c r="F2688" s="2" t="s">
        <v>448</v>
      </c>
      <c r="G2688" s="6"/>
      <c r="H2688" s="1">
        <v>26.6</v>
      </c>
    </row>
    <row r="2689" spans="1:11" x14ac:dyDescent="0.3">
      <c r="A2689" s="2" t="s">
        <v>927</v>
      </c>
      <c r="B2689" s="2" t="s">
        <v>118</v>
      </c>
      <c r="C2689" s="2" t="s">
        <v>119</v>
      </c>
      <c r="D2689" s="2" t="s">
        <v>2867</v>
      </c>
      <c r="E2689" s="4" t="str">
        <f>HYPERLINK("./Results/DLO\564\Osteo_Sarco_1.png","RPT")</f>
        <v>RPT</v>
      </c>
      <c r="F2689" s="2" t="s">
        <v>70</v>
      </c>
      <c r="G2689" s="6"/>
      <c r="H2689" s="1">
        <v>24.1</v>
      </c>
    </row>
    <row r="2690" spans="1:11" x14ac:dyDescent="0.3">
      <c r="A2690" s="2" t="s">
        <v>940</v>
      </c>
      <c r="B2690" s="2" t="s">
        <v>139</v>
      </c>
      <c r="C2690" s="2" t="s">
        <v>111</v>
      </c>
      <c r="D2690" s="2" t="s">
        <v>2859</v>
      </c>
      <c r="E2690" s="4" t="str">
        <f>HYPERLINK("./Results/DLO\565\Osteo_Sarco_1.png","RPT")</f>
        <v>RPT</v>
      </c>
      <c r="F2690" s="2" t="s">
        <v>49</v>
      </c>
      <c r="G2690" s="6"/>
      <c r="I2690"/>
      <c r="J2690"/>
      <c r="K2690"/>
    </row>
    <row r="2691" spans="1:11" x14ac:dyDescent="0.3">
      <c r="A2691" s="2" t="s">
        <v>938</v>
      </c>
      <c r="B2691" s="2" t="s">
        <v>142</v>
      </c>
      <c r="C2691" s="2" t="s">
        <v>119</v>
      </c>
      <c r="D2691" s="2" t="s">
        <v>2859</v>
      </c>
      <c r="E2691" s="4" t="str">
        <f>HYPERLINK("./Results/DLO\566\Osteo_Sarco_1.png","RPT")</f>
        <v>RPT</v>
      </c>
      <c r="F2691" s="2" t="s">
        <v>77</v>
      </c>
      <c r="G2691" s="6"/>
      <c r="I2691"/>
      <c r="J2691"/>
      <c r="K2691"/>
    </row>
    <row r="2692" spans="1:11" x14ac:dyDescent="0.3">
      <c r="A2692" s="2" t="s">
        <v>933</v>
      </c>
      <c r="B2692" s="2" t="s">
        <v>131</v>
      </c>
      <c r="C2692" s="2" t="s">
        <v>119</v>
      </c>
      <c r="D2692" s="2" t="s">
        <v>2859</v>
      </c>
      <c r="E2692" s="4" t="str">
        <f>HYPERLINK("./Results/DLO\567\Osteo_Sarco_1.png","RPT")</f>
        <v>RPT</v>
      </c>
      <c r="F2692" s="2" t="s">
        <v>77</v>
      </c>
      <c r="G2692" s="6"/>
      <c r="I2692"/>
      <c r="J2692"/>
      <c r="K2692"/>
    </row>
    <row r="2693" spans="1:11" x14ac:dyDescent="0.3">
      <c r="A2693" s="2" t="s">
        <v>930</v>
      </c>
      <c r="B2693" s="2" t="s">
        <v>573</v>
      </c>
      <c r="C2693" s="2" t="s">
        <v>111</v>
      </c>
      <c r="D2693" s="2" t="s">
        <v>2859</v>
      </c>
      <c r="E2693" s="4" t="str">
        <f>HYPERLINK("./Results/DLO\568\Osteo_Sarco_1.png","RPT")</f>
        <v>RPT</v>
      </c>
      <c r="F2693" s="2" t="s">
        <v>110</v>
      </c>
      <c r="G2693" s="6"/>
      <c r="I2693"/>
      <c r="J2693"/>
      <c r="K2693"/>
    </row>
    <row r="2694" spans="1:11" x14ac:dyDescent="0.3">
      <c r="A2694" s="2" t="s">
        <v>931</v>
      </c>
      <c r="B2694" s="2" t="s">
        <v>115</v>
      </c>
      <c r="C2694" s="2" t="s">
        <v>119</v>
      </c>
      <c r="D2694" s="2" t="s">
        <v>2859</v>
      </c>
      <c r="E2694" s="4" t="str">
        <f>HYPERLINK("./Results/DLO\569\Osteo_Sarco_1.png","RPT")</f>
        <v>RPT</v>
      </c>
      <c r="F2694" s="2" t="s">
        <v>113</v>
      </c>
      <c r="G2694" s="6"/>
      <c r="H2694" s="1">
        <v>24.21</v>
      </c>
    </row>
    <row r="2695" spans="1:11" x14ac:dyDescent="0.3">
      <c r="A2695" s="2" t="s">
        <v>941</v>
      </c>
      <c r="B2695" s="2" t="s">
        <v>113</v>
      </c>
      <c r="C2695" s="2" t="s">
        <v>111</v>
      </c>
      <c r="D2695" s="2" t="s">
        <v>2867</v>
      </c>
      <c r="E2695" s="4" t="str">
        <f>HYPERLINK("./Results/DLO\57\Osteo_Sarco_1.png","RPT")</f>
        <v>RPT</v>
      </c>
      <c r="F2695" s="2" t="s">
        <v>80</v>
      </c>
      <c r="G2695" s="6"/>
      <c r="H2695" s="1">
        <v>26.86</v>
      </c>
    </row>
    <row r="2696" spans="1:11" x14ac:dyDescent="0.3">
      <c r="A2696" s="2" t="s">
        <v>936</v>
      </c>
      <c r="B2696" s="2" t="s">
        <v>166</v>
      </c>
      <c r="C2696" s="2" t="s">
        <v>119</v>
      </c>
      <c r="D2696" s="2" t="s">
        <v>2859</v>
      </c>
      <c r="E2696" s="4" t="str">
        <f>HYPERLINK("./Results/DLO\570\Osteo_Sarco_1.png","RPT")</f>
        <v>RPT</v>
      </c>
      <c r="F2696" s="2" t="s">
        <v>38</v>
      </c>
      <c r="G2696" s="6"/>
      <c r="I2696"/>
      <c r="J2696"/>
      <c r="K2696"/>
    </row>
    <row r="2697" spans="1:11" x14ac:dyDescent="0.3">
      <c r="A2697" s="2" t="s">
        <v>939</v>
      </c>
      <c r="B2697" s="2" t="s">
        <v>123</v>
      </c>
      <c r="C2697" s="2" t="s">
        <v>111</v>
      </c>
      <c r="D2697" s="2" t="s">
        <v>2867</v>
      </c>
      <c r="E2697" s="4" t="str">
        <f>HYPERLINK("./Results/DLO\571\Osteo_Sarco_1.png","RPT")</f>
        <v>RPT</v>
      </c>
      <c r="F2697" s="2" t="s">
        <v>20</v>
      </c>
      <c r="G2697" s="6"/>
      <c r="I2697"/>
      <c r="J2697"/>
      <c r="K2697"/>
    </row>
    <row r="2698" spans="1:11" x14ac:dyDescent="0.3">
      <c r="A2698" s="2" t="s">
        <v>942</v>
      </c>
      <c r="B2698" s="2" t="s">
        <v>164</v>
      </c>
      <c r="C2698" s="2" t="s">
        <v>119</v>
      </c>
      <c r="D2698" s="2" t="s">
        <v>2859</v>
      </c>
      <c r="E2698" s="4" t="str">
        <f>HYPERLINK("./Results/DLO\572\Osteo_Sarco_1.png","RPT")</f>
        <v>RPT</v>
      </c>
      <c r="F2698" s="2" t="s">
        <v>43</v>
      </c>
      <c r="G2698" s="6"/>
      <c r="H2698" s="1">
        <v>18.72</v>
      </c>
    </row>
    <row r="2699" spans="1:11" x14ac:dyDescent="0.3">
      <c r="A2699" s="2" t="s">
        <v>943</v>
      </c>
      <c r="B2699" s="2" t="s">
        <v>165</v>
      </c>
      <c r="C2699" s="2" t="s">
        <v>111</v>
      </c>
      <c r="D2699" s="2" t="s">
        <v>2867</v>
      </c>
      <c r="E2699" s="4" t="str">
        <f>HYPERLINK("./Results/DLO\573\Osteo_Sarco_1.png","RPT")</f>
        <v>RPT</v>
      </c>
      <c r="F2699" s="2" t="s">
        <v>465</v>
      </c>
      <c r="G2699" s="6"/>
      <c r="I2699"/>
      <c r="J2699"/>
      <c r="K2699"/>
    </row>
    <row r="2700" spans="1:11" x14ac:dyDescent="0.3">
      <c r="A2700" s="2" t="s">
        <v>944</v>
      </c>
      <c r="B2700" s="2" t="s">
        <v>149</v>
      </c>
      <c r="C2700" s="2" t="s">
        <v>111</v>
      </c>
      <c r="D2700" s="2" t="s">
        <v>2859</v>
      </c>
      <c r="E2700" s="4" t="str">
        <f>HYPERLINK("./Results/DLO\574\Osteo_Sarco_1.png","RPT")</f>
        <v>RPT</v>
      </c>
      <c r="F2700" s="2" t="s">
        <v>473</v>
      </c>
      <c r="G2700" s="6"/>
      <c r="I2700"/>
      <c r="J2700"/>
      <c r="K2700"/>
    </row>
    <row r="2701" spans="1:11" x14ac:dyDescent="0.3">
      <c r="A2701" s="2" t="s">
        <v>946</v>
      </c>
      <c r="B2701" s="2" t="s">
        <v>138</v>
      </c>
      <c r="C2701" s="2" t="s">
        <v>111</v>
      </c>
      <c r="D2701" s="2" t="s">
        <v>2859</v>
      </c>
      <c r="E2701" s="4" t="str">
        <f>HYPERLINK("./Results/DLO\575\Osteo_Sarco_1.png","RPT")</f>
        <v>RPT</v>
      </c>
      <c r="F2701" s="2" t="s">
        <v>463</v>
      </c>
      <c r="G2701" s="6"/>
      <c r="H2701" s="1">
        <v>27.77</v>
      </c>
    </row>
    <row r="2702" spans="1:11" x14ac:dyDescent="0.3">
      <c r="A2702" s="2" t="s">
        <v>963</v>
      </c>
      <c r="B2702" s="2" t="s">
        <v>587</v>
      </c>
      <c r="C2702" s="2" t="s">
        <v>119</v>
      </c>
      <c r="D2702" s="2" t="s">
        <v>2859</v>
      </c>
      <c r="E2702" s="4" t="str">
        <f>HYPERLINK("./Results/DLO\576\Osteo_Sarco_1.png","RPT")</f>
        <v>RPT</v>
      </c>
      <c r="F2702" s="2" t="s">
        <v>74</v>
      </c>
      <c r="G2702" s="6"/>
      <c r="I2702"/>
      <c r="J2702"/>
      <c r="K2702"/>
    </row>
    <row r="2703" spans="1:11" x14ac:dyDescent="0.3">
      <c r="A2703" s="2" t="s">
        <v>974</v>
      </c>
      <c r="B2703" s="2" t="s">
        <v>135</v>
      </c>
      <c r="C2703" s="2" t="s">
        <v>111</v>
      </c>
      <c r="D2703" s="2" t="s">
        <v>2867</v>
      </c>
      <c r="E2703" s="4" t="str">
        <f>HYPERLINK("./Results/DLO\577\Osteo_Sarco_1.png","RPT")</f>
        <v>RPT</v>
      </c>
      <c r="F2703" s="2" t="s">
        <v>101</v>
      </c>
      <c r="G2703" s="6"/>
      <c r="I2703"/>
      <c r="J2703"/>
      <c r="K2703"/>
    </row>
    <row r="2704" spans="1:11" x14ac:dyDescent="0.3">
      <c r="A2704" s="2" t="s">
        <v>955</v>
      </c>
      <c r="B2704" s="2" t="s">
        <v>122</v>
      </c>
      <c r="C2704" s="2" t="s">
        <v>119</v>
      </c>
      <c r="D2704" s="2" t="s">
        <v>2131</v>
      </c>
      <c r="E2704" s="4" t="str">
        <f>HYPERLINK("./Results/DLO\578\Osteo_Sarco_1.png","RPT")</f>
        <v>RPT</v>
      </c>
      <c r="F2704" s="2" t="s">
        <v>48</v>
      </c>
      <c r="G2704" s="6"/>
      <c r="I2704"/>
      <c r="J2704"/>
      <c r="K2704"/>
    </row>
    <row r="2705" spans="1:11" x14ac:dyDescent="0.3">
      <c r="A2705" s="2" t="s">
        <v>951</v>
      </c>
      <c r="B2705" s="2" t="s">
        <v>143</v>
      </c>
      <c r="C2705" s="2" t="s">
        <v>119</v>
      </c>
      <c r="D2705" s="2" t="s">
        <v>2859</v>
      </c>
      <c r="E2705" s="4" t="str">
        <f>HYPERLINK("./Results/DLO\579\Osteo_Sarco_1.png","RPT")</f>
        <v>RPT</v>
      </c>
      <c r="F2705" s="2" t="s">
        <v>42</v>
      </c>
      <c r="G2705" s="6"/>
      <c r="H2705" s="1">
        <v>26.93</v>
      </c>
    </row>
    <row r="2706" spans="1:11" x14ac:dyDescent="0.3">
      <c r="A2706" s="2" t="s">
        <v>965</v>
      </c>
      <c r="B2706" s="2" t="s">
        <v>116</v>
      </c>
      <c r="C2706" s="2" t="s">
        <v>119</v>
      </c>
      <c r="D2706" s="2" t="s">
        <v>2859</v>
      </c>
      <c r="E2706" s="4" t="str">
        <f>HYPERLINK("./Results/DLO\58\Osteo_Sarco_1.png","RPT")</f>
        <v>RPT</v>
      </c>
      <c r="F2706" s="2" t="s">
        <v>156</v>
      </c>
      <c r="G2706" s="6"/>
      <c r="H2706" s="1">
        <v>18.440000000000001</v>
      </c>
    </row>
    <row r="2707" spans="1:11" x14ac:dyDescent="0.3">
      <c r="A2707" s="2" t="s">
        <v>977</v>
      </c>
      <c r="B2707" s="2" t="s">
        <v>123</v>
      </c>
      <c r="C2707" s="2" t="s">
        <v>119</v>
      </c>
      <c r="D2707" s="2" t="s">
        <v>2859</v>
      </c>
      <c r="E2707" s="4" t="str">
        <f>HYPERLINK("./Results/DLO\580\Osteo_Sarco_1.png","RPT")</f>
        <v>RPT</v>
      </c>
      <c r="F2707" s="2" t="s">
        <v>81</v>
      </c>
      <c r="G2707" s="6"/>
      <c r="I2707"/>
      <c r="J2707"/>
      <c r="K2707"/>
    </row>
    <row r="2708" spans="1:11" x14ac:dyDescent="0.3">
      <c r="A2708" s="2" t="s">
        <v>969</v>
      </c>
      <c r="B2708" s="2" t="s">
        <v>159</v>
      </c>
      <c r="C2708" s="2" t="s">
        <v>119</v>
      </c>
      <c r="D2708" s="2" t="s">
        <v>2867</v>
      </c>
      <c r="E2708" s="4" t="str">
        <f>HYPERLINK("./Results/DLO\581\Osteo_Sarco_1.png","RPT")</f>
        <v>RPT</v>
      </c>
      <c r="F2708" s="2" t="s">
        <v>48</v>
      </c>
      <c r="G2708" s="6"/>
      <c r="H2708" s="1">
        <v>23.59</v>
      </c>
    </row>
    <row r="2709" spans="1:11" x14ac:dyDescent="0.3">
      <c r="A2709" s="2" t="s">
        <v>961</v>
      </c>
      <c r="B2709" s="2" t="s">
        <v>165</v>
      </c>
      <c r="C2709" s="2" t="s">
        <v>119</v>
      </c>
      <c r="D2709" s="2" t="s">
        <v>2859</v>
      </c>
      <c r="E2709" s="4" t="str">
        <f>HYPERLINK("./Results/DLO\582\Osteo_Sarco_1.png","RPT")</f>
        <v>RPT</v>
      </c>
      <c r="F2709" s="2" t="s">
        <v>21</v>
      </c>
      <c r="G2709" s="6"/>
      <c r="I2709"/>
      <c r="J2709"/>
      <c r="K2709"/>
    </row>
    <row r="2710" spans="1:11" x14ac:dyDescent="0.3">
      <c r="A2710" s="2" t="s">
        <v>960</v>
      </c>
      <c r="B2710" s="2" t="s">
        <v>129</v>
      </c>
      <c r="C2710" s="2" t="s">
        <v>119</v>
      </c>
      <c r="D2710" s="2" t="s">
        <v>2859</v>
      </c>
      <c r="E2710" s="4" t="str">
        <f>HYPERLINK("./Results/DLO\583\Osteo_Sarco_1.png","RPT")</f>
        <v>RPT</v>
      </c>
      <c r="F2710" s="2" t="s">
        <v>50</v>
      </c>
      <c r="G2710" s="6"/>
      <c r="I2710"/>
      <c r="J2710"/>
      <c r="K2710"/>
    </row>
    <row r="2711" spans="1:11" x14ac:dyDescent="0.3">
      <c r="A2711" s="2" t="s">
        <v>972</v>
      </c>
      <c r="B2711" s="2" t="s">
        <v>137</v>
      </c>
      <c r="C2711" s="2" t="s">
        <v>111</v>
      </c>
      <c r="D2711" s="2" t="s">
        <v>2859</v>
      </c>
      <c r="E2711" s="4" t="str">
        <f>HYPERLINK("./Results/DLO\584\Osteo_Sarco_1.png","RPT")</f>
        <v>RPT</v>
      </c>
      <c r="F2711" s="2" t="s">
        <v>32</v>
      </c>
      <c r="G2711" s="6"/>
      <c r="I2711"/>
      <c r="J2711"/>
      <c r="K2711"/>
    </row>
    <row r="2712" spans="1:11" x14ac:dyDescent="0.3">
      <c r="A2712" s="2" t="s">
        <v>959</v>
      </c>
      <c r="B2712" s="2" t="s">
        <v>131</v>
      </c>
      <c r="C2712" s="2" t="s">
        <v>111</v>
      </c>
      <c r="D2712" s="2" t="s">
        <v>2859</v>
      </c>
      <c r="E2712" s="4" t="str">
        <f>HYPERLINK("./Results/DLO\585\Osteo_Sarco_1.png","RPT")</f>
        <v>RPT</v>
      </c>
      <c r="F2712" s="2" t="s">
        <v>473</v>
      </c>
      <c r="G2712" s="6"/>
      <c r="I2712"/>
      <c r="J2712"/>
      <c r="K2712"/>
    </row>
    <row r="2713" spans="1:11" x14ac:dyDescent="0.3">
      <c r="A2713" s="2" t="s">
        <v>975</v>
      </c>
      <c r="B2713" s="2" t="s">
        <v>156</v>
      </c>
      <c r="C2713" s="2" t="s">
        <v>111</v>
      </c>
      <c r="D2713" s="2" t="s">
        <v>2867</v>
      </c>
      <c r="E2713" s="4" t="str">
        <f>HYPERLINK("./Results/DLO\586\Osteo_Sarco_1.png","RPT")</f>
        <v>RPT</v>
      </c>
      <c r="F2713" s="2" t="s">
        <v>54</v>
      </c>
      <c r="G2713" s="6"/>
      <c r="H2713" s="1">
        <v>26.71</v>
      </c>
    </row>
    <row r="2714" spans="1:11" x14ac:dyDescent="0.3">
      <c r="A2714" s="2" t="s">
        <v>952</v>
      </c>
      <c r="B2714" s="2" t="s">
        <v>170</v>
      </c>
      <c r="C2714" s="2" t="s">
        <v>111</v>
      </c>
      <c r="D2714" s="2" t="s">
        <v>2859</v>
      </c>
      <c r="E2714" s="4" t="str">
        <f>HYPERLINK("./Results/DLO\587\Osteo_Sarco_1.png","RPT")</f>
        <v>RPT</v>
      </c>
      <c r="F2714" s="2" t="s">
        <v>107</v>
      </c>
      <c r="G2714" s="6"/>
      <c r="I2714"/>
      <c r="J2714"/>
      <c r="K2714"/>
    </row>
    <row r="2715" spans="1:11" x14ac:dyDescent="0.3">
      <c r="A2715" s="2" t="s">
        <v>967</v>
      </c>
      <c r="B2715" s="2" t="s">
        <v>127</v>
      </c>
      <c r="C2715" s="2" t="s">
        <v>111</v>
      </c>
      <c r="D2715" s="2" t="s">
        <v>2859</v>
      </c>
      <c r="E2715" s="4" t="str">
        <f>HYPERLINK("./Results/DLO\588\Osteo_Sarco_1.png","RPT")</f>
        <v>RPT</v>
      </c>
      <c r="F2715" s="2" t="s">
        <v>61</v>
      </c>
      <c r="G2715" s="6"/>
      <c r="I2715"/>
      <c r="J2715"/>
      <c r="K2715"/>
    </row>
    <row r="2716" spans="1:11" x14ac:dyDescent="0.3">
      <c r="A2716" s="2" t="s">
        <v>970</v>
      </c>
      <c r="B2716" s="2" t="s">
        <v>113</v>
      </c>
      <c r="C2716" s="2" t="s">
        <v>119</v>
      </c>
      <c r="D2716" s="2" t="s">
        <v>2859</v>
      </c>
      <c r="E2716" s="4" t="str">
        <f>HYPERLINK("./Results/DLO\589\Osteo_Sarco_1.png","RPT")</f>
        <v>RPT</v>
      </c>
      <c r="F2716" s="2" t="s">
        <v>128</v>
      </c>
      <c r="G2716" s="6"/>
      <c r="I2716"/>
      <c r="J2716"/>
      <c r="K2716"/>
    </row>
    <row r="2717" spans="1:11" x14ac:dyDescent="0.3">
      <c r="A2717" s="2" t="s">
        <v>966</v>
      </c>
      <c r="B2717" s="2" t="s">
        <v>148</v>
      </c>
      <c r="C2717" s="2" t="s">
        <v>119</v>
      </c>
      <c r="D2717" s="2" t="s">
        <v>2859</v>
      </c>
      <c r="E2717" s="4" t="str">
        <f>HYPERLINK("./Results/DLO\59\Osteo_Sarco_1.png","RPT")</f>
        <v>RPT</v>
      </c>
      <c r="F2717" s="2" t="s">
        <v>48</v>
      </c>
      <c r="G2717" s="6"/>
      <c r="H2717" s="1">
        <v>30.6</v>
      </c>
    </row>
    <row r="2718" spans="1:11" x14ac:dyDescent="0.3">
      <c r="A2718" s="2" t="s">
        <v>964</v>
      </c>
      <c r="B2718" s="2" t="s">
        <v>140</v>
      </c>
      <c r="C2718" s="2" t="s">
        <v>111</v>
      </c>
      <c r="D2718" s="2" t="s">
        <v>2867</v>
      </c>
      <c r="E2718" s="4" t="str">
        <f>HYPERLINK("./Results/DLO\590\Osteo_Sarco_1.png","RPT")</f>
        <v>RPT</v>
      </c>
      <c r="F2718" s="2" t="s">
        <v>49</v>
      </c>
      <c r="G2718" s="6"/>
      <c r="H2718" s="1">
        <v>24.43</v>
      </c>
    </row>
    <row r="2719" spans="1:11" x14ac:dyDescent="0.3">
      <c r="A2719" s="2" t="s">
        <v>962</v>
      </c>
      <c r="B2719" s="2" t="s">
        <v>24</v>
      </c>
      <c r="C2719" s="2" t="s">
        <v>111</v>
      </c>
      <c r="D2719" s="2" t="s">
        <v>2859</v>
      </c>
      <c r="E2719" s="4" t="str">
        <f>HYPERLINK("./Results/DLO\591\Osteo_Sarco_1.png","RPT")</f>
        <v>RPT</v>
      </c>
      <c r="F2719" s="2" t="s">
        <v>68</v>
      </c>
      <c r="G2719" s="6"/>
      <c r="I2719"/>
      <c r="J2719"/>
      <c r="K2719"/>
    </row>
    <row r="2720" spans="1:11" x14ac:dyDescent="0.3">
      <c r="A2720" s="2" t="s">
        <v>953</v>
      </c>
      <c r="B2720" s="2" t="s">
        <v>145</v>
      </c>
      <c r="C2720" s="2" t="s">
        <v>111</v>
      </c>
      <c r="D2720" s="2" t="s">
        <v>2859</v>
      </c>
      <c r="E2720" s="4" t="str">
        <f>HYPERLINK("./Results/DLO\592\Osteo_Sarco_1.png","RPT")</f>
        <v>RPT</v>
      </c>
      <c r="F2720" s="2" t="s">
        <v>124</v>
      </c>
      <c r="G2720" s="6"/>
      <c r="I2720"/>
      <c r="J2720"/>
      <c r="K2720"/>
    </row>
    <row r="2721" spans="1:11" x14ac:dyDescent="0.3">
      <c r="A2721" s="2" t="s">
        <v>954</v>
      </c>
      <c r="B2721" s="2" t="s">
        <v>114</v>
      </c>
      <c r="C2721" s="2" t="s">
        <v>111</v>
      </c>
      <c r="D2721" s="2" t="s">
        <v>2867</v>
      </c>
      <c r="E2721" s="4" t="str">
        <f>HYPERLINK("./Results/DLO\593\Osteo_Sarco_1.png","RPT")</f>
        <v>RPT</v>
      </c>
      <c r="F2721" s="2" t="s">
        <v>101</v>
      </c>
      <c r="G2721" s="6"/>
      <c r="I2721"/>
      <c r="J2721"/>
      <c r="K2721"/>
    </row>
    <row r="2722" spans="1:11" x14ac:dyDescent="0.3">
      <c r="A2722" s="2" t="s">
        <v>956</v>
      </c>
      <c r="B2722" s="2" t="s">
        <v>157</v>
      </c>
      <c r="C2722" s="2" t="s">
        <v>111</v>
      </c>
      <c r="D2722" s="2" t="s">
        <v>2859</v>
      </c>
      <c r="E2722" s="4" t="str">
        <f>HYPERLINK("./Results/DLO\594\Osteo_Sarco_1.png","RPT")</f>
        <v>RPT</v>
      </c>
      <c r="F2722" s="2" t="s">
        <v>52</v>
      </c>
      <c r="G2722" s="6"/>
      <c r="I2722"/>
      <c r="J2722"/>
      <c r="K2722"/>
    </row>
    <row r="2723" spans="1:11" x14ac:dyDescent="0.3">
      <c r="A2723" s="2" t="s">
        <v>971</v>
      </c>
      <c r="B2723" s="2" t="s">
        <v>136</v>
      </c>
      <c r="C2723" s="2" t="s">
        <v>111</v>
      </c>
      <c r="D2723" s="2" t="s">
        <v>2859</v>
      </c>
      <c r="E2723" s="4" t="str">
        <f>HYPERLINK("./Results/DLO\595\Osteo_Sarco_1.png","RPT")</f>
        <v>RPT</v>
      </c>
      <c r="F2723" s="2" t="s">
        <v>106</v>
      </c>
      <c r="G2723" s="6"/>
      <c r="H2723" s="1">
        <v>23.95</v>
      </c>
    </row>
    <row r="2724" spans="1:11" x14ac:dyDescent="0.3">
      <c r="A2724" s="2" t="s">
        <v>968</v>
      </c>
      <c r="B2724" s="2" t="s">
        <v>159</v>
      </c>
      <c r="C2724" s="2" t="s">
        <v>111</v>
      </c>
      <c r="D2724" s="2" t="s">
        <v>2859</v>
      </c>
      <c r="E2724" s="4" t="str">
        <f>HYPERLINK("./Results/DLO\596\Osteo_Sarco_1.png","RPT")</f>
        <v>RPT</v>
      </c>
      <c r="F2724" s="2" t="s">
        <v>453</v>
      </c>
      <c r="G2724" s="6"/>
      <c r="I2724"/>
      <c r="J2724"/>
      <c r="K2724"/>
    </row>
    <row r="2725" spans="1:11" x14ac:dyDescent="0.3">
      <c r="A2725" s="2" t="s">
        <v>976</v>
      </c>
      <c r="B2725" s="2" t="s">
        <v>146</v>
      </c>
      <c r="C2725" s="2" t="s">
        <v>111</v>
      </c>
      <c r="D2725" s="2" t="s">
        <v>2867</v>
      </c>
      <c r="E2725" s="4" t="str">
        <f>HYPERLINK("./Results/DLO\597\Osteo_Sarco_1.png","RPT")</f>
        <v>RPT</v>
      </c>
      <c r="F2725" s="2" t="s">
        <v>26</v>
      </c>
      <c r="G2725" s="6"/>
      <c r="H2725" s="1">
        <v>21.53</v>
      </c>
    </row>
    <row r="2726" spans="1:11" x14ac:dyDescent="0.3">
      <c r="A2726" s="2" t="s">
        <v>973</v>
      </c>
      <c r="B2726" s="2" t="s">
        <v>154</v>
      </c>
      <c r="C2726" s="2" t="s">
        <v>111</v>
      </c>
      <c r="D2726" s="2" t="s">
        <v>2859</v>
      </c>
      <c r="E2726" s="4" t="str">
        <f>HYPERLINK("./Results/DLO\598\Osteo_Sarco_1.png","RPT")</f>
        <v>RPT</v>
      </c>
      <c r="F2726" s="2" t="s">
        <v>110</v>
      </c>
      <c r="G2726" s="6"/>
      <c r="I2726"/>
      <c r="J2726"/>
      <c r="K2726"/>
    </row>
    <row r="2727" spans="1:11" x14ac:dyDescent="0.3">
      <c r="A2727" s="2" t="s">
        <v>957</v>
      </c>
      <c r="B2727" s="2" t="s">
        <v>144</v>
      </c>
      <c r="C2727" s="2" t="s">
        <v>119</v>
      </c>
      <c r="D2727" s="2" t="s">
        <v>2859</v>
      </c>
      <c r="E2727" s="4" t="str">
        <f>HYPERLINK("./Results/DLO\599\Osteo_Sarco_1.png","RPT")</f>
        <v>RPT</v>
      </c>
      <c r="F2727" s="2" t="s">
        <v>28</v>
      </c>
      <c r="G2727" s="6"/>
      <c r="I2727"/>
      <c r="J2727"/>
      <c r="K2727"/>
    </row>
    <row r="2728" spans="1:11" x14ac:dyDescent="0.3">
      <c r="A2728" s="2" t="s">
        <v>958</v>
      </c>
      <c r="B2728" s="2" t="s">
        <v>591</v>
      </c>
      <c r="C2728" s="2" t="s">
        <v>119</v>
      </c>
      <c r="D2728" s="2" t="s">
        <v>2867</v>
      </c>
      <c r="E2728" s="4" t="str">
        <f>HYPERLINK("./Results/DLO\6\Osteo_Sarco_1.png","RPT")</f>
        <v>RPT</v>
      </c>
      <c r="F2728" s="2" t="s">
        <v>43</v>
      </c>
      <c r="G2728" s="6"/>
      <c r="H2728" s="1">
        <v>23.81</v>
      </c>
    </row>
    <row r="2729" spans="1:11" x14ac:dyDescent="0.3">
      <c r="A2729" s="2" t="s">
        <v>998</v>
      </c>
      <c r="B2729" s="2" t="s">
        <v>148</v>
      </c>
      <c r="C2729" s="2" t="s">
        <v>119</v>
      </c>
      <c r="D2729" s="2" t="s">
        <v>2859</v>
      </c>
      <c r="E2729" s="4" t="str">
        <f>HYPERLINK("./Results/DLO\60\Osteo_Sarco_1.png","RPT")</f>
        <v>RPT</v>
      </c>
      <c r="F2729" s="2" t="s">
        <v>36</v>
      </c>
      <c r="G2729" s="6"/>
      <c r="I2729"/>
      <c r="J2729"/>
      <c r="K2729"/>
    </row>
    <row r="2730" spans="1:11" x14ac:dyDescent="0.3">
      <c r="A2730" s="2" t="s">
        <v>996</v>
      </c>
      <c r="B2730" s="2" t="s">
        <v>165</v>
      </c>
      <c r="C2730" s="2" t="s">
        <v>119</v>
      </c>
      <c r="D2730" s="2" t="s">
        <v>2859</v>
      </c>
      <c r="E2730" s="4" t="str">
        <f>HYPERLINK("./Results/DLO\600\Osteo_Sarco_1.png","RPT")</f>
        <v>RPT</v>
      </c>
      <c r="F2730" s="2" t="s">
        <v>28</v>
      </c>
      <c r="G2730" s="6"/>
      <c r="I2730"/>
      <c r="J2730"/>
      <c r="K2730"/>
    </row>
    <row r="2731" spans="1:11" x14ac:dyDescent="0.3">
      <c r="A2731" s="2" t="s">
        <v>991</v>
      </c>
      <c r="B2731" s="2" t="s">
        <v>127</v>
      </c>
      <c r="C2731" s="2" t="s">
        <v>119</v>
      </c>
      <c r="D2731" s="2" t="s">
        <v>2859</v>
      </c>
      <c r="E2731" s="4" t="str">
        <f>HYPERLINK("./Results/DLO\601\Osteo_Sarco_1.png","RPT")</f>
        <v>RPT</v>
      </c>
      <c r="F2731" s="2" t="s">
        <v>97</v>
      </c>
      <c r="G2731" s="6"/>
      <c r="I2731"/>
      <c r="J2731"/>
      <c r="K2731"/>
    </row>
    <row r="2732" spans="1:11" x14ac:dyDescent="0.3">
      <c r="A2732" s="2" t="s">
        <v>999</v>
      </c>
      <c r="B2732" s="2" t="s">
        <v>164</v>
      </c>
      <c r="C2732" s="2" t="s">
        <v>119</v>
      </c>
      <c r="D2732" s="2" t="s">
        <v>2859</v>
      </c>
      <c r="E2732" s="4" t="str">
        <f>HYPERLINK("./Results/DLO\602\Osteo_Sarco_1.png","RPT")</f>
        <v>RPT</v>
      </c>
      <c r="F2732" s="2" t="s">
        <v>459</v>
      </c>
      <c r="G2732" s="6"/>
      <c r="I2732"/>
      <c r="J2732"/>
      <c r="K2732"/>
    </row>
    <row r="2733" spans="1:11" x14ac:dyDescent="0.3">
      <c r="A2733" s="2" t="s">
        <v>986</v>
      </c>
      <c r="B2733" s="2" t="s">
        <v>143</v>
      </c>
      <c r="C2733" s="2" t="s">
        <v>111</v>
      </c>
      <c r="D2733" s="2" t="s">
        <v>2867</v>
      </c>
      <c r="E2733" s="4" t="str">
        <f>HYPERLINK("./Results/DLO\603\Osteo_Sarco_1.png","RPT")</f>
        <v>RPT</v>
      </c>
      <c r="F2733" s="2" t="s">
        <v>88</v>
      </c>
      <c r="G2733" s="6"/>
      <c r="H2733" s="1">
        <v>20.010000000000002</v>
      </c>
    </row>
    <row r="2734" spans="1:11" x14ac:dyDescent="0.3">
      <c r="A2734" s="2" t="s">
        <v>992</v>
      </c>
      <c r="B2734" s="2" t="s">
        <v>157</v>
      </c>
      <c r="C2734" s="2" t="s">
        <v>111</v>
      </c>
      <c r="D2734" s="2" t="s">
        <v>2859</v>
      </c>
      <c r="E2734" s="4" t="str">
        <f>HYPERLINK("./Results/DLO\604\Osteo_Sarco_1.png","RPT")</f>
        <v>RPT</v>
      </c>
      <c r="F2734" s="2" t="s">
        <v>57</v>
      </c>
      <c r="G2734" s="6"/>
      <c r="H2734" s="1">
        <v>18.14</v>
      </c>
    </row>
    <row r="2735" spans="1:11" x14ac:dyDescent="0.3">
      <c r="A2735" s="2" t="s">
        <v>1000</v>
      </c>
      <c r="B2735" s="2" t="s">
        <v>136</v>
      </c>
      <c r="C2735" s="2" t="s">
        <v>111</v>
      </c>
      <c r="D2735" s="2" t="s">
        <v>2867</v>
      </c>
      <c r="E2735" s="4" t="str">
        <f>HYPERLINK("./Results/DLO\605\Osteo_Sarco_1.png","RPT")</f>
        <v>RPT</v>
      </c>
      <c r="F2735" s="2" t="s">
        <v>47</v>
      </c>
      <c r="G2735" s="6"/>
      <c r="I2735"/>
      <c r="J2735"/>
      <c r="K2735"/>
    </row>
    <row r="2736" spans="1:11" x14ac:dyDescent="0.3">
      <c r="A2736" s="2" t="s">
        <v>978</v>
      </c>
      <c r="B2736" s="2" t="s">
        <v>157</v>
      </c>
      <c r="C2736" s="2" t="s">
        <v>119</v>
      </c>
      <c r="D2736" s="2" t="s">
        <v>2859</v>
      </c>
      <c r="E2736" s="4" t="str">
        <f>HYPERLINK("./Results/DLO\606\Osteo_Sarco_1.png","RPT")</f>
        <v>RPT</v>
      </c>
      <c r="F2736" s="2" t="s">
        <v>70</v>
      </c>
      <c r="G2736" s="6"/>
      <c r="H2736" s="1">
        <v>23.95</v>
      </c>
    </row>
    <row r="2737" spans="1:11" x14ac:dyDescent="0.3">
      <c r="A2737" s="2" t="s">
        <v>993</v>
      </c>
      <c r="B2737" s="2" t="s">
        <v>120</v>
      </c>
      <c r="C2737" s="2" t="s">
        <v>119</v>
      </c>
      <c r="D2737" s="2" t="s">
        <v>2859</v>
      </c>
      <c r="E2737" s="4" t="str">
        <f>HYPERLINK("./Results/DLO\607\Osteo_Sarco_1.png","RPT")</f>
        <v>RPT</v>
      </c>
      <c r="F2737" s="2" t="s">
        <v>456</v>
      </c>
      <c r="G2737" s="6"/>
      <c r="I2737"/>
      <c r="J2737"/>
      <c r="K2737"/>
    </row>
    <row r="2738" spans="1:11" x14ac:dyDescent="0.3">
      <c r="A2738" s="2" t="s">
        <v>997</v>
      </c>
      <c r="B2738" s="2" t="s">
        <v>165</v>
      </c>
      <c r="C2738" s="2" t="s">
        <v>111</v>
      </c>
      <c r="D2738" s="2" t="s">
        <v>2859</v>
      </c>
      <c r="E2738" s="4" t="str">
        <f>HYPERLINK("./Results/DLO\608\Osteo_Sarco_1.png","RPT")</f>
        <v>RPT</v>
      </c>
      <c r="F2738" s="2" t="s">
        <v>69</v>
      </c>
      <c r="G2738" s="6"/>
      <c r="I2738"/>
      <c r="J2738"/>
      <c r="K2738"/>
    </row>
    <row r="2739" spans="1:11" x14ac:dyDescent="0.3">
      <c r="A2739" s="2" t="s">
        <v>994</v>
      </c>
      <c r="B2739" s="2" t="s">
        <v>134</v>
      </c>
      <c r="C2739" s="2" t="s">
        <v>119</v>
      </c>
      <c r="D2739" s="2" t="s">
        <v>2859</v>
      </c>
      <c r="E2739" s="4" t="str">
        <f>HYPERLINK("./Results/DLO\609\Osteo_Sarco_1.png","RPT")</f>
        <v>RPT</v>
      </c>
      <c r="F2739" s="2" t="s">
        <v>70</v>
      </c>
      <c r="G2739" s="6"/>
      <c r="I2739"/>
      <c r="J2739"/>
      <c r="K2739"/>
    </row>
    <row r="2740" spans="1:11" x14ac:dyDescent="0.3">
      <c r="A2740" s="2" t="s">
        <v>982</v>
      </c>
      <c r="B2740" s="2" t="s">
        <v>120</v>
      </c>
      <c r="C2740" s="2" t="s">
        <v>119</v>
      </c>
      <c r="D2740" s="2" t="s">
        <v>2859</v>
      </c>
      <c r="E2740" s="4" t="str">
        <f>HYPERLINK("./Results/DLO\61\Osteo_Sarco_1.png","RPT")</f>
        <v>RPT</v>
      </c>
      <c r="F2740" s="2" t="s">
        <v>43</v>
      </c>
      <c r="G2740" s="6"/>
      <c r="I2740"/>
      <c r="J2740"/>
      <c r="K2740"/>
    </row>
    <row r="2741" spans="1:11" x14ac:dyDescent="0.3">
      <c r="A2741" s="2" t="s">
        <v>983</v>
      </c>
      <c r="B2741" s="2" t="s">
        <v>114</v>
      </c>
      <c r="C2741" s="2" t="s">
        <v>111</v>
      </c>
      <c r="D2741" s="2" t="s">
        <v>2859</v>
      </c>
      <c r="E2741" s="4" t="str">
        <f>HYPERLINK("./Results/DLO\610\Osteo_Sarco_1.png","RPT")</f>
        <v>RPT</v>
      </c>
      <c r="F2741" s="2" t="s">
        <v>473</v>
      </c>
      <c r="G2741" s="6"/>
      <c r="I2741"/>
      <c r="J2741"/>
      <c r="K2741"/>
    </row>
    <row r="2742" spans="1:11" x14ac:dyDescent="0.3">
      <c r="A2742" s="2" t="s">
        <v>990</v>
      </c>
      <c r="B2742" s="2" t="s">
        <v>118</v>
      </c>
      <c r="C2742" s="2" t="s">
        <v>111</v>
      </c>
      <c r="D2742" s="2" t="s">
        <v>2859</v>
      </c>
      <c r="E2742" s="4" t="str">
        <f>HYPERLINK("./Results/DLO\612\Osteo_Sarco_1.png","RPT")</f>
        <v>RPT</v>
      </c>
      <c r="F2742" s="2" t="s">
        <v>121</v>
      </c>
      <c r="G2742" s="6"/>
      <c r="I2742"/>
      <c r="J2742"/>
      <c r="K2742"/>
    </row>
    <row r="2743" spans="1:11" x14ac:dyDescent="0.3">
      <c r="A2743" s="2" t="s">
        <v>987</v>
      </c>
      <c r="B2743" s="2" t="s">
        <v>142</v>
      </c>
      <c r="C2743" s="2" t="s">
        <v>111</v>
      </c>
      <c r="D2743" s="2" t="s">
        <v>2859</v>
      </c>
      <c r="E2743" s="4" t="str">
        <f>HYPERLINK("./Results/DLO\613\Osteo_Sarco_1.png","RPT")</f>
        <v>RPT</v>
      </c>
      <c r="F2743" s="2" t="s">
        <v>54</v>
      </c>
      <c r="G2743" s="6"/>
      <c r="H2743" s="1">
        <v>20.53</v>
      </c>
    </row>
    <row r="2744" spans="1:11" x14ac:dyDescent="0.3">
      <c r="A2744" s="2" t="s">
        <v>1001</v>
      </c>
      <c r="B2744" s="2" t="s">
        <v>123</v>
      </c>
      <c r="C2744" s="2" t="s">
        <v>119</v>
      </c>
      <c r="D2744" s="2" t="s">
        <v>2859</v>
      </c>
      <c r="E2744" s="4" t="str">
        <f>HYPERLINK("./Results/DLO\614\Osteo_Sarco_1.png","RPT")</f>
        <v>RPT</v>
      </c>
      <c r="F2744" s="2" t="s">
        <v>69</v>
      </c>
      <c r="G2744" s="6"/>
      <c r="H2744" s="1">
        <v>26.35</v>
      </c>
    </row>
    <row r="2745" spans="1:11" x14ac:dyDescent="0.3">
      <c r="A2745" s="2" t="s">
        <v>1002</v>
      </c>
      <c r="B2745" s="2" t="s">
        <v>167</v>
      </c>
      <c r="C2745" s="2" t="s">
        <v>119</v>
      </c>
      <c r="D2745" s="2" t="s">
        <v>2859</v>
      </c>
      <c r="E2745" s="4" t="str">
        <f>HYPERLINK("./Results/DLO\615\Osteo_Sarco_1.png","RPT")</f>
        <v>RPT</v>
      </c>
      <c r="F2745" s="2" t="s">
        <v>81</v>
      </c>
      <c r="G2745" s="6"/>
      <c r="H2745" s="1">
        <v>21.13</v>
      </c>
    </row>
    <row r="2746" spans="1:11" x14ac:dyDescent="0.3">
      <c r="A2746" s="2" t="s">
        <v>995</v>
      </c>
      <c r="B2746" s="2" t="s">
        <v>23</v>
      </c>
      <c r="C2746" s="2" t="s">
        <v>111</v>
      </c>
      <c r="D2746" s="2" t="s">
        <v>2859</v>
      </c>
      <c r="E2746" s="4" t="str">
        <f>HYPERLINK("./Results/DLO\616\Osteo_Sarco_1.png","RPT")</f>
        <v>RPT</v>
      </c>
      <c r="F2746" s="2" t="s">
        <v>585</v>
      </c>
      <c r="G2746" s="6"/>
      <c r="I2746"/>
      <c r="J2746"/>
      <c r="K2746"/>
    </row>
    <row r="2747" spans="1:11" x14ac:dyDescent="0.3">
      <c r="A2747" s="2" t="s">
        <v>984</v>
      </c>
      <c r="B2747" s="2" t="s">
        <v>135</v>
      </c>
      <c r="C2747" s="2" t="s">
        <v>119</v>
      </c>
      <c r="D2747" s="2" t="s">
        <v>2859</v>
      </c>
      <c r="E2747" s="4" t="str">
        <f>HYPERLINK("./Results/DLO\617\Osteo_Sarco_1.png","RPT")</f>
        <v>RPT</v>
      </c>
      <c r="F2747" s="2" t="s">
        <v>150</v>
      </c>
      <c r="G2747" s="6"/>
      <c r="H2747" s="1">
        <v>25.54</v>
      </c>
    </row>
    <row r="2748" spans="1:11" x14ac:dyDescent="0.3">
      <c r="A2748" s="2" t="s">
        <v>1003</v>
      </c>
      <c r="B2748" s="2" t="s">
        <v>151</v>
      </c>
      <c r="C2748" s="2" t="s">
        <v>111</v>
      </c>
      <c r="D2748" s="2" t="s">
        <v>2867</v>
      </c>
      <c r="E2748" s="4" t="str">
        <f>HYPERLINK("./Results/DLO\618\Osteo_Sarco_1.png","RPT")</f>
        <v>RPT</v>
      </c>
      <c r="F2748" s="2" t="s">
        <v>71</v>
      </c>
      <c r="G2748" s="6"/>
      <c r="I2748"/>
      <c r="J2748"/>
      <c r="K2748"/>
    </row>
    <row r="2749" spans="1:11" x14ac:dyDescent="0.3">
      <c r="A2749" s="2" t="s">
        <v>985</v>
      </c>
      <c r="B2749" s="2" t="s">
        <v>167</v>
      </c>
      <c r="C2749" s="2" t="s">
        <v>111</v>
      </c>
      <c r="D2749" s="2" t="s">
        <v>2867</v>
      </c>
      <c r="E2749" s="4" t="str">
        <f>HYPERLINK("./Results/DLO\619\Osteo_Sarco_1.png","RPT")</f>
        <v>RPT</v>
      </c>
      <c r="F2749" s="2" t="s">
        <v>463</v>
      </c>
      <c r="G2749" s="6"/>
      <c r="H2749" s="1">
        <v>26.23</v>
      </c>
    </row>
    <row r="2750" spans="1:11" x14ac:dyDescent="0.3">
      <c r="A2750" s="2" t="s">
        <v>979</v>
      </c>
      <c r="B2750" s="2" t="s">
        <v>167</v>
      </c>
      <c r="C2750" s="2" t="s">
        <v>119</v>
      </c>
      <c r="D2750" s="2" t="s">
        <v>2859</v>
      </c>
      <c r="E2750" s="4" t="str">
        <f>HYPERLINK("./Results/DLO\62\Osteo_Sarco_1.png","RPT")</f>
        <v>RPT</v>
      </c>
      <c r="F2750" s="2" t="s">
        <v>77</v>
      </c>
      <c r="G2750" s="6"/>
      <c r="I2750"/>
      <c r="J2750"/>
      <c r="K2750"/>
    </row>
    <row r="2751" spans="1:11" x14ac:dyDescent="0.3">
      <c r="A2751" s="2" t="s">
        <v>1004</v>
      </c>
      <c r="B2751" s="2" t="s">
        <v>113</v>
      </c>
      <c r="C2751" s="2" t="s">
        <v>111</v>
      </c>
      <c r="D2751" s="2" t="s">
        <v>2859</v>
      </c>
      <c r="E2751" s="4" t="str">
        <f>HYPERLINK("./Results/DLO\620\Osteo_Sarco_1.png","RPT")</f>
        <v>RPT</v>
      </c>
      <c r="F2751" s="2" t="s">
        <v>105</v>
      </c>
      <c r="G2751" s="6"/>
      <c r="I2751"/>
      <c r="J2751"/>
      <c r="K2751"/>
    </row>
    <row r="2752" spans="1:11" x14ac:dyDescent="0.3">
      <c r="A2752" s="2" t="s">
        <v>980</v>
      </c>
      <c r="B2752" s="2" t="s">
        <v>591</v>
      </c>
      <c r="C2752" s="2" t="s">
        <v>111</v>
      </c>
      <c r="D2752" s="2" t="s">
        <v>2859</v>
      </c>
      <c r="E2752" s="4" t="str">
        <f>HYPERLINK("./Results/DLO\621\Osteo_Sarco_1.png","RPT")</f>
        <v>RPT</v>
      </c>
      <c r="F2752" s="2" t="s">
        <v>32</v>
      </c>
      <c r="G2752" s="6"/>
      <c r="H2752" s="1">
        <v>22.23</v>
      </c>
    </row>
    <row r="2753" spans="1:11" x14ac:dyDescent="0.3">
      <c r="A2753" s="2" t="s">
        <v>981</v>
      </c>
      <c r="B2753" s="2" t="s">
        <v>156</v>
      </c>
      <c r="C2753" s="2" t="s">
        <v>111</v>
      </c>
      <c r="D2753" s="2" t="s">
        <v>2859</v>
      </c>
      <c r="E2753" s="4" t="str">
        <f>HYPERLINK("./Results/DLO\622\Osteo_Sarco_1.png","RPT")</f>
        <v>RPT</v>
      </c>
      <c r="F2753" s="2" t="s">
        <v>72</v>
      </c>
      <c r="G2753" s="6"/>
      <c r="I2753"/>
      <c r="J2753"/>
      <c r="K2753"/>
    </row>
    <row r="2754" spans="1:11" x14ac:dyDescent="0.3">
      <c r="A2754" s="2" t="s">
        <v>988</v>
      </c>
      <c r="B2754" s="2" t="s">
        <v>135</v>
      </c>
      <c r="C2754" s="2" t="s">
        <v>111</v>
      </c>
      <c r="D2754" s="2" t="s">
        <v>2859</v>
      </c>
      <c r="E2754" s="4" t="str">
        <f>HYPERLINK("./Results/DLO\623\Osteo_Sarco_1.png","RPT")</f>
        <v>RPT</v>
      </c>
      <c r="F2754" s="2" t="s">
        <v>474</v>
      </c>
      <c r="G2754" s="6"/>
      <c r="I2754"/>
      <c r="J2754"/>
      <c r="K2754"/>
    </row>
    <row r="2755" spans="1:11" x14ac:dyDescent="0.3">
      <c r="A2755" s="2" t="s">
        <v>989</v>
      </c>
      <c r="B2755" s="2" t="s">
        <v>159</v>
      </c>
      <c r="C2755" s="2" t="s">
        <v>119</v>
      </c>
      <c r="D2755" s="2" t="s">
        <v>2859</v>
      </c>
      <c r="E2755" s="4" t="str">
        <f>HYPERLINK("./Results/DLO\624\Osteo_Sarco_1.png","RPT")</f>
        <v>RPT</v>
      </c>
      <c r="F2755" s="2" t="s">
        <v>90</v>
      </c>
      <c r="G2755" s="6"/>
      <c r="H2755" s="1">
        <v>25.36</v>
      </c>
    </row>
    <row r="2756" spans="1:11" x14ac:dyDescent="0.3">
      <c r="A2756" s="2" t="s">
        <v>1006</v>
      </c>
      <c r="B2756" s="2" t="s">
        <v>587</v>
      </c>
      <c r="C2756" s="2" t="s">
        <v>119</v>
      </c>
      <c r="D2756" s="2" t="s">
        <v>2859</v>
      </c>
      <c r="E2756" s="4" t="str">
        <f>HYPERLINK("./Results/DLO\625\Osteo_Sarco_1.png","RPT")</f>
        <v>RPT</v>
      </c>
      <c r="F2756" s="2" t="s">
        <v>456</v>
      </c>
      <c r="G2756" s="6"/>
      <c r="I2756"/>
      <c r="J2756"/>
      <c r="K2756"/>
    </row>
    <row r="2757" spans="1:11" x14ac:dyDescent="0.3">
      <c r="A2757" s="2" t="s">
        <v>1012</v>
      </c>
      <c r="B2757" s="2" t="s">
        <v>585</v>
      </c>
      <c r="C2757" s="2" t="s">
        <v>111</v>
      </c>
      <c r="D2757" s="2" t="s">
        <v>2859</v>
      </c>
      <c r="E2757" s="4" t="str">
        <f>HYPERLINK("./Results/DLO\626\Osteo_Sarco_1.png","RPT")</f>
        <v>RPT</v>
      </c>
      <c r="F2757" s="2" t="s">
        <v>27</v>
      </c>
      <c r="G2757" s="6"/>
      <c r="I2757"/>
      <c r="J2757"/>
      <c r="K2757"/>
    </row>
    <row r="2758" spans="1:11" x14ac:dyDescent="0.3">
      <c r="A2758" s="2" t="s">
        <v>1008</v>
      </c>
      <c r="B2758" s="2" t="s">
        <v>140</v>
      </c>
      <c r="C2758" s="2" t="s">
        <v>119</v>
      </c>
      <c r="D2758" s="2" t="s">
        <v>2859</v>
      </c>
      <c r="E2758" s="4" t="str">
        <f>HYPERLINK("./Results/DLO\627\Osteo_Sarco_1.png","RPT")</f>
        <v>RPT</v>
      </c>
      <c r="F2758" s="2" t="s">
        <v>34</v>
      </c>
      <c r="G2758" s="6"/>
      <c r="I2758"/>
      <c r="J2758"/>
      <c r="K2758"/>
    </row>
    <row r="2759" spans="1:11" x14ac:dyDescent="0.3">
      <c r="A2759" s="2" t="s">
        <v>1013</v>
      </c>
      <c r="B2759" s="2" t="s">
        <v>142</v>
      </c>
      <c r="C2759" s="2" t="s">
        <v>111</v>
      </c>
      <c r="D2759" s="2" t="s">
        <v>2867</v>
      </c>
      <c r="E2759" s="4" t="str">
        <f>HYPERLINK("./Results/DLO\628\Osteo_Sarco_1.png","RPT")</f>
        <v>RPT</v>
      </c>
      <c r="F2759" s="2" t="s">
        <v>108</v>
      </c>
      <c r="G2759" s="6"/>
      <c r="H2759" s="1">
        <v>28.2</v>
      </c>
    </row>
    <row r="2760" spans="1:11" x14ac:dyDescent="0.3">
      <c r="A2760" s="2" t="s">
        <v>1017</v>
      </c>
      <c r="B2760" s="2" t="s">
        <v>166</v>
      </c>
      <c r="C2760" s="2" t="s">
        <v>119</v>
      </c>
      <c r="D2760" s="2" t="s">
        <v>2859</v>
      </c>
      <c r="E2760" s="4" t="str">
        <f>HYPERLINK("./Results/DLO\629\Osteo_Sarco_1.png","RPT")</f>
        <v>RPT</v>
      </c>
      <c r="F2760" s="2" t="s">
        <v>45</v>
      </c>
      <c r="G2760" s="6"/>
      <c r="I2760"/>
      <c r="J2760"/>
      <c r="K2760"/>
    </row>
    <row r="2761" spans="1:11" x14ac:dyDescent="0.3">
      <c r="A2761" s="2" t="s">
        <v>1023</v>
      </c>
      <c r="B2761" s="2" t="s">
        <v>125</v>
      </c>
      <c r="C2761" s="2" t="s">
        <v>111</v>
      </c>
      <c r="D2761" s="2" t="s">
        <v>2859</v>
      </c>
      <c r="E2761" s="4" t="str">
        <f>HYPERLINK("./Results/DLO\63\Osteo_Sarco_1.png","RPT")</f>
        <v>RPT</v>
      </c>
      <c r="F2761" s="2" t="s">
        <v>6</v>
      </c>
      <c r="G2761" s="6"/>
      <c r="H2761" s="1">
        <v>23.41</v>
      </c>
    </row>
    <row r="2762" spans="1:11" x14ac:dyDescent="0.3">
      <c r="A2762" s="2" t="s">
        <v>1015</v>
      </c>
      <c r="B2762" s="2" t="s">
        <v>140</v>
      </c>
      <c r="C2762" s="2" t="s">
        <v>119</v>
      </c>
      <c r="D2762" s="2" t="s">
        <v>2859</v>
      </c>
      <c r="E2762" s="4" t="str">
        <f>HYPERLINK("./Results/DLO\630\Osteo_Sarco_1.png","RPT")</f>
        <v>RPT</v>
      </c>
      <c r="F2762" s="2" t="s">
        <v>36</v>
      </c>
      <c r="G2762" s="6"/>
      <c r="I2762"/>
      <c r="J2762"/>
      <c r="K2762"/>
    </row>
    <row r="2763" spans="1:11" x14ac:dyDescent="0.3">
      <c r="A2763" s="2" t="s">
        <v>1020</v>
      </c>
      <c r="B2763" s="2" t="s">
        <v>159</v>
      </c>
      <c r="C2763" s="2" t="s">
        <v>119</v>
      </c>
      <c r="D2763" s="2" t="s">
        <v>2859</v>
      </c>
      <c r="E2763" s="4" t="str">
        <f>HYPERLINK("./Results/DLO\631\Osteo_Sarco_1.png","RPT")</f>
        <v>RPT</v>
      </c>
      <c r="F2763" s="2" t="s">
        <v>68</v>
      </c>
      <c r="G2763" s="6"/>
      <c r="I2763"/>
      <c r="J2763"/>
      <c r="K2763"/>
    </row>
    <row r="2764" spans="1:11" x14ac:dyDescent="0.3">
      <c r="A2764" s="2" t="s">
        <v>1016</v>
      </c>
      <c r="B2764" s="2" t="s">
        <v>164</v>
      </c>
      <c r="C2764" s="2" t="s">
        <v>111</v>
      </c>
      <c r="D2764" s="2" t="s">
        <v>2859</v>
      </c>
      <c r="E2764" s="4" t="str">
        <f>HYPERLINK("./Results/DLO\632\Osteo_Sarco_1.png","RPT")</f>
        <v>RPT</v>
      </c>
      <c r="F2764" s="2" t="s">
        <v>110</v>
      </c>
      <c r="G2764" s="6"/>
      <c r="H2764" s="1">
        <v>24.35</v>
      </c>
    </row>
    <row r="2765" spans="1:11" x14ac:dyDescent="0.3">
      <c r="A2765" s="2" t="s">
        <v>1028</v>
      </c>
      <c r="B2765" s="2" t="s">
        <v>150</v>
      </c>
      <c r="C2765" s="2" t="s">
        <v>111</v>
      </c>
      <c r="D2765" s="2" t="s">
        <v>2859</v>
      </c>
      <c r="E2765" s="4" t="str">
        <f>HYPERLINK("./Results/DLO\633\Osteo_Sarco_1.png","RPT")</f>
        <v>RPT</v>
      </c>
      <c r="F2765" s="2" t="s">
        <v>448</v>
      </c>
      <c r="G2765" s="6"/>
      <c r="I2765"/>
      <c r="J2765"/>
      <c r="K2765"/>
    </row>
    <row r="2766" spans="1:11" x14ac:dyDescent="0.3">
      <c r="A2766" s="2" t="s">
        <v>1009</v>
      </c>
      <c r="B2766" s="2" t="s">
        <v>139</v>
      </c>
      <c r="C2766" s="2" t="s">
        <v>111</v>
      </c>
      <c r="D2766" s="2" t="s">
        <v>2859</v>
      </c>
      <c r="E2766" s="4" t="str">
        <f>HYPERLINK("./Results/DLO\634\Osteo_Sarco_1.png","RPT")</f>
        <v>RPT</v>
      </c>
      <c r="F2766" s="2" t="s">
        <v>101</v>
      </c>
      <c r="G2766" s="6"/>
      <c r="H2766" s="1">
        <v>29.25</v>
      </c>
    </row>
    <row r="2767" spans="1:11" x14ac:dyDescent="0.3">
      <c r="A2767" s="2" t="s">
        <v>1021</v>
      </c>
      <c r="B2767" s="2" t="s">
        <v>136</v>
      </c>
      <c r="C2767" s="2" t="s">
        <v>119</v>
      </c>
      <c r="D2767" s="2" t="s">
        <v>2859</v>
      </c>
      <c r="E2767" s="4" t="str">
        <f>HYPERLINK("./Results/DLO\635\Osteo_Sarco_1.png","RPT")</f>
        <v>RPT</v>
      </c>
      <c r="F2767" s="2" t="s">
        <v>125</v>
      </c>
      <c r="G2767" s="6"/>
      <c r="H2767" s="1">
        <v>20.079999999999998</v>
      </c>
    </row>
    <row r="2768" spans="1:11" x14ac:dyDescent="0.3">
      <c r="A2768" s="2" t="s">
        <v>1025</v>
      </c>
      <c r="B2768" s="2" t="s">
        <v>148</v>
      </c>
      <c r="C2768" s="2" t="s">
        <v>111</v>
      </c>
      <c r="D2768" s="2" t="s">
        <v>2859</v>
      </c>
      <c r="E2768" s="4" t="str">
        <f>HYPERLINK("./Results/DLO\636\Osteo_Sarco_1.png","RPT")</f>
        <v>RPT</v>
      </c>
      <c r="F2768" s="2" t="s">
        <v>55</v>
      </c>
      <c r="G2768" s="6"/>
      <c r="H2768" s="1">
        <v>28.58</v>
      </c>
    </row>
    <row r="2769" spans="1:11" x14ac:dyDescent="0.3">
      <c r="A2769" s="2" t="s">
        <v>1024</v>
      </c>
      <c r="B2769" s="2" t="s">
        <v>123</v>
      </c>
      <c r="C2769" s="2" t="s">
        <v>119</v>
      </c>
      <c r="D2769" s="2" t="s">
        <v>2859</v>
      </c>
      <c r="E2769" s="4" t="str">
        <f>HYPERLINK("./Results/DLO\637\Osteo_Sarco_1.png","RPT")</f>
        <v>RPT</v>
      </c>
      <c r="F2769" s="2" t="s">
        <v>45</v>
      </c>
      <c r="G2769" s="6"/>
      <c r="H2769" s="1">
        <v>20.48</v>
      </c>
    </row>
    <row r="2770" spans="1:11" x14ac:dyDescent="0.3">
      <c r="A2770" s="2" t="s">
        <v>1018</v>
      </c>
      <c r="B2770" s="2" t="s">
        <v>131</v>
      </c>
      <c r="C2770" s="2" t="s">
        <v>111</v>
      </c>
      <c r="D2770" s="2" t="s">
        <v>2859</v>
      </c>
      <c r="E2770" s="4" t="str">
        <f>HYPERLINK("./Results/DLO\638\Osteo_Sarco_1.png","RPT")</f>
        <v>RPT</v>
      </c>
      <c r="F2770" s="2" t="s">
        <v>5</v>
      </c>
      <c r="G2770" s="6"/>
      <c r="H2770" s="1">
        <v>22.68</v>
      </c>
    </row>
    <row r="2771" spans="1:11" x14ac:dyDescent="0.3">
      <c r="A2771" s="2" t="s">
        <v>1029</v>
      </c>
      <c r="B2771" s="2" t="s">
        <v>116</v>
      </c>
      <c r="C2771" s="2" t="s">
        <v>111</v>
      </c>
      <c r="D2771" s="2" t="s">
        <v>2859</v>
      </c>
      <c r="E2771" s="4" t="str">
        <f>HYPERLINK("./Results/DLO\639\Osteo_Sarco_1.png","RPT")</f>
        <v>RPT</v>
      </c>
      <c r="F2771" s="2" t="s">
        <v>466</v>
      </c>
      <c r="G2771" s="6"/>
      <c r="I2771"/>
      <c r="J2771"/>
      <c r="K2771"/>
    </row>
    <row r="2772" spans="1:11" x14ac:dyDescent="0.3">
      <c r="A2772" s="2" t="s">
        <v>1019</v>
      </c>
      <c r="B2772" s="2" t="s">
        <v>120</v>
      </c>
      <c r="C2772" s="2" t="s">
        <v>111</v>
      </c>
      <c r="D2772" s="2" t="s">
        <v>2859</v>
      </c>
      <c r="E2772" s="4" t="str">
        <f>HYPERLINK("./Results/DLO\64\Osteo_Sarco_1.png","RPT")</f>
        <v>RPT</v>
      </c>
      <c r="F2772" s="2" t="s">
        <v>42</v>
      </c>
      <c r="G2772" s="6"/>
      <c r="I2772"/>
      <c r="J2772"/>
      <c r="K2772"/>
    </row>
    <row r="2773" spans="1:11" x14ac:dyDescent="0.3">
      <c r="A2773" s="2" t="s">
        <v>1026</v>
      </c>
      <c r="B2773" s="2" t="s">
        <v>126</v>
      </c>
      <c r="C2773" s="2" t="s">
        <v>119</v>
      </c>
      <c r="D2773" s="2" t="s">
        <v>2859</v>
      </c>
      <c r="E2773" s="4" t="str">
        <f>HYPERLINK("./Results/DLO\640\Osteo_Sarco_1.png","RPT")</f>
        <v>RPT</v>
      </c>
      <c r="F2773" s="2" t="s">
        <v>57</v>
      </c>
      <c r="G2773" s="6"/>
      <c r="I2773"/>
      <c r="J2773"/>
      <c r="K2773"/>
    </row>
    <row r="2774" spans="1:11" x14ac:dyDescent="0.3">
      <c r="A2774" s="2" t="s">
        <v>1027</v>
      </c>
      <c r="B2774" s="2" t="s">
        <v>133</v>
      </c>
      <c r="C2774" s="2" t="s">
        <v>119</v>
      </c>
      <c r="D2774" s="2" t="s">
        <v>2859</v>
      </c>
      <c r="E2774" s="4" t="str">
        <f>HYPERLINK("./Results/DLO\641\Osteo_Sarco_1.png","RPT")</f>
        <v>RPT</v>
      </c>
      <c r="F2774" s="2" t="s">
        <v>21</v>
      </c>
      <c r="G2774" s="6"/>
      <c r="I2774"/>
      <c r="J2774"/>
      <c r="K2774"/>
    </row>
    <row r="2775" spans="1:11" x14ac:dyDescent="0.3">
      <c r="A2775" s="2" t="s">
        <v>1010</v>
      </c>
      <c r="B2775" s="2" t="s">
        <v>125</v>
      </c>
      <c r="C2775" s="2" t="s">
        <v>111</v>
      </c>
      <c r="D2775" s="2" t="s">
        <v>2859</v>
      </c>
      <c r="E2775" s="4" t="str">
        <f>HYPERLINK("./Results/DLO\642\Osteo_Sarco_1.png","RPT")</f>
        <v>RPT</v>
      </c>
      <c r="F2775" s="2" t="s">
        <v>110</v>
      </c>
      <c r="G2775" s="6"/>
      <c r="I2775"/>
      <c r="J2775"/>
      <c r="K2775"/>
    </row>
    <row r="2776" spans="1:11" x14ac:dyDescent="0.3">
      <c r="A2776" s="2" t="s">
        <v>1011</v>
      </c>
      <c r="B2776" s="2" t="s">
        <v>148</v>
      </c>
      <c r="C2776" s="2" t="s">
        <v>111</v>
      </c>
      <c r="D2776" s="2" t="s">
        <v>2859</v>
      </c>
      <c r="E2776" s="4" t="str">
        <f>HYPERLINK("./Results/DLO\643\Osteo_Sarco_1.png","RPT")</f>
        <v>RPT</v>
      </c>
      <c r="F2776" s="2" t="s">
        <v>37</v>
      </c>
      <c r="G2776" s="6"/>
      <c r="I2776"/>
      <c r="J2776"/>
      <c r="K2776"/>
    </row>
    <row r="2777" spans="1:11" x14ac:dyDescent="0.3">
      <c r="A2777" s="2" t="s">
        <v>1014</v>
      </c>
      <c r="B2777" s="2" t="s">
        <v>127</v>
      </c>
      <c r="C2777" s="2" t="s">
        <v>119</v>
      </c>
      <c r="D2777" s="2" t="s">
        <v>2867</v>
      </c>
      <c r="E2777" s="4" t="str">
        <f>HYPERLINK("./Results/DLO\644\Osteo_Sarco_1.png","RPT")</f>
        <v>RPT</v>
      </c>
      <c r="F2777" s="2" t="s">
        <v>57</v>
      </c>
      <c r="G2777" s="6"/>
      <c r="I2777"/>
      <c r="J2777"/>
      <c r="K2777"/>
    </row>
    <row r="2778" spans="1:11" x14ac:dyDescent="0.3">
      <c r="A2778" s="2" t="s">
        <v>1022</v>
      </c>
      <c r="B2778" s="2" t="s">
        <v>127</v>
      </c>
      <c r="C2778" s="2" t="s">
        <v>119</v>
      </c>
      <c r="D2778" s="2" t="s">
        <v>2867</v>
      </c>
      <c r="E2778" s="4" t="str">
        <f>HYPERLINK("./Results/DLO\645\Osteo_Sarco_1.png","RPT")</f>
        <v>RPT</v>
      </c>
      <c r="F2778" s="2" t="s">
        <v>46</v>
      </c>
      <c r="G2778" s="6"/>
      <c r="I2778"/>
      <c r="J2778"/>
      <c r="K2778"/>
    </row>
    <row r="2779" spans="1:11" x14ac:dyDescent="0.3">
      <c r="A2779" s="2" t="s">
        <v>1030</v>
      </c>
      <c r="B2779" s="2" t="s">
        <v>140</v>
      </c>
      <c r="C2779" s="2" t="s">
        <v>119</v>
      </c>
      <c r="D2779" s="2" t="s">
        <v>2859</v>
      </c>
      <c r="E2779" s="4" t="str">
        <f>HYPERLINK("./Results/DLO\646\Osteo_Sarco_1.png","RPT")</f>
        <v>RPT</v>
      </c>
      <c r="F2779" s="2" t="s">
        <v>46</v>
      </c>
      <c r="G2779" s="6"/>
      <c r="H2779" s="1">
        <v>27.91</v>
      </c>
    </row>
    <row r="2780" spans="1:11" x14ac:dyDescent="0.3">
      <c r="A2780" s="2" t="s">
        <v>1031</v>
      </c>
      <c r="B2780" s="2" t="s">
        <v>591</v>
      </c>
      <c r="C2780" s="2" t="s">
        <v>111</v>
      </c>
      <c r="D2780" s="2" t="s">
        <v>1960</v>
      </c>
      <c r="E2780" s="4" t="str">
        <f>HYPERLINK("./Results/DLO\647\Osteo_Sarco_1.png","RPT")</f>
        <v>RPT</v>
      </c>
      <c r="F2780" s="2" t="s">
        <v>60</v>
      </c>
      <c r="G2780" s="6"/>
      <c r="H2780" s="1">
        <v>20.9</v>
      </c>
    </row>
    <row r="2781" spans="1:11" x14ac:dyDescent="0.3">
      <c r="A2781" s="2" t="s">
        <v>1005</v>
      </c>
      <c r="B2781" s="2" t="s">
        <v>163</v>
      </c>
      <c r="C2781" s="2" t="s">
        <v>119</v>
      </c>
      <c r="D2781" s="2" t="s">
        <v>2859</v>
      </c>
      <c r="E2781" s="4" t="str">
        <f>HYPERLINK("./Results/DLO\648\Osteo_Sarco_1.png","RPT")</f>
        <v>RPT</v>
      </c>
      <c r="F2781" s="2" t="s">
        <v>70</v>
      </c>
      <c r="G2781" s="6"/>
      <c r="I2781"/>
      <c r="J2781"/>
      <c r="K2781"/>
    </row>
    <row r="2782" spans="1:11" x14ac:dyDescent="0.3">
      <c r="A2782" s="2" t="s">
        <v>1007</v>
      </c>
      <c r="B2782" s="2" t="s">
        <v>587</v>
      </c>
      <c r="C2782" s="2" t="s">
        <v>119</v>
      </c>
      <c r="D2782" s="2" t="s">
        <v>2859</v>
      </c>
      <c r="E2782" s="4" t="str">
        <f>HYPERLINK("./Results/DLO\649\Osteo_Sarco_1.png","RPT")</f>
        <v>RPT</v>
      </c>
      <c r="F2782" s="2" t="s">
        <v>81</v>
      </c>
      <c r="G2782" s="6"/>
      <c r="I2782"/>
      <c r="J2782"/>
      <c r="K2782"/>
    </row>
    <row r="2783" spans="1:11" x14ac:dyDescent="0.3">
      <c r="A2783" s="2" t="s">
        <v>1036</v>
      </c>
      <c r="B2783" s="2" t="s">
        <v>133</v>
      </c>
      <c r="C2783" s="2" t="s">
        <v>111</v>
      </c>
      <c r="D2783" s="2" t="s">
        <v>2859</v>
      </c>
      <c r="E2783" s="4" t="str">
        <f>HYPERLINK("./Results/DLO\65\Osteo_Sarco_1.png","RPT")</f>
        <v>RPT</v>
      </c>
      <c r="F2783" s="2" t="s">
        <v>55</v>
      </c>
      <c r="G2783" s="6"/>
      <c r="I2783"/>
      <c r="J2783"/>
      <c r="K2783"/>
    </row>
    <row r="2784" spans="1:11" x14ac:dyDescent="0.3">
      <c r="A2784" s="2" t="s">
        <v>1037</v>
      </c>
      <c r="B2784" s="2" t="s">
        <v>120</v>
      </c>
      <c r="C2784" s="2" t="s">
        <v>111</v>
      </c>
      <c r="D2784" s="2" t="s">
        <v>2859</v>
      </c>
      <c r="E2784" s="4" t="str">
        <f>HYPERLINK("./Results/DLO\650\Osteo_Sarco_1.png","RPT")</f>
        <v>RPT</v>
      </c>
      <c r="F2784" s="2" t="s">
        <v>48</v>
      </c>
      <c r="G2784" s="6"/>
      <c r="I2784"/>
      <c r="J2784"/>
      <c r="K2784"/>
    </row>
    <row r="2785" spans="1:11" x14ac:dyDescent="0.3">
      <c r="A2785" s="2" t="s">
        <v>1047</v>
      </c>
      <c r="B2785" s="2" t="s">
        <v>139</v>
      </c>
      <c r="C2785" s="2" t="s">
        <v>119</v>
      </c>
      <c r="D2785" s="2" t="s">
        <v>2859</v>
      </c>
      <c r="E2785" s="4" t="str">
        <f>HYPERLINK("./Results/DLO\651\Osteo_Sarco_1.png","RPT")</f>
        <v>RPT</v>
      </c>
      <c r="F2785" s="2" t="s">
        <v>143</v>
      </c>
      <c r="G2785" s="6"/>
      <c r="I2785"/>
      <c r="J2785"/>
      <c r="K2785"/>
    </row>
    <row r="2786" spans="1:11" x14ac:dyDescent="0.3">
      <c r="A2786" s="2" t="s">
        <v>1038</v>
      </c>
      <c r="B2786" s="2" t="s">
        <v>158</v>
      </c>
      <c r="C2786" s="2" t="s">
        <v>111</v>
      </c>
      <c r="D2786" s="2" t="s">
        <v>1935</v>
      </c>
      <c r="E2786" s="4" t="str">
        <f>HYPERLINK("./Results/DLO\652\Osteo_Sarco_1.png","RPT")</f>
        <v>RPT</v>
      </c>
      <c r="F2786" s="2" t="s">
        <v>38</v>
      </c>
      <c r="G2786" s="6"/>
      <c r="I2786"/>
      <c r="J2786"/>
      <c r="K2786"/>
    </row>
    <row r="2787" spans="1:11" x14ac:dyDescent="0.3">
      <c r="A2787" s="2" t="s">
        <v>1044</v>
      </c>
      <c r="B2787" s="2" t="s">
        <v>137</v>
      </c>
      <c r="C2787" s="2" t="s">
        <v>111</v>
      </c>
      <c r="D2787" s="2" t="s">
        <v>2859</v>
      </c>
      <c r="E2787" s="4" t="str">
        <f>HYPERLINK("./Results/DLO\653\Osteo_Sarco_1.png","RPT")</f>
        <v>RPT</v>
      </c>
      <c r="F2787" s="2" t="s">
        <v>84</v>
      </c>
      <c r="G2787" s="6"/>
      <c r="H2787" s="1">
        <v>31.49</v>
      </c>
    </row>
    <row r="2788" spans="1:11" x14ac:dyDescent="0.3">
      <c r="A2788" s="2" t="s">
        <v>1053</v>
      </c>
      <c r="B2788" s="2" t="s">
        <v>127</v>
      </c>
      <c r="C2788" s="2" t="s">
        <v>111</v>
      </c>
      <c r="D2788" s="2" t="s">
        <v>2859</v>
      </c>
      <c r="E2788" s="4" t="str">
        <f>HYPERLINK("./Results/DLO\654\Osteo_Sarco_1.png","RPT")</f>
        <v>RPT</v>
      </c>
      <c r="F2788" s="2" t="s">
        <v>459</v>
      </c>
      <c r="G2788" s="6"/>
      <c r="I2788"/>
      <c r="J2788"/>
      <c r="K2788"/>
    </row>
    <row r="2789" spans="1:11" x14ac:dyDescent="0.3">
      <c r="A2789" s="2" t="s">
        <v>1045</v>
      </c>
      <c r="B2789" s="2" t="s">
        <v>140</v>
      </c>
      <c r="C2789" s="2" t="s">
        <v>111</v>
      </c>
      <c r="D2789" s="2" t="s">
        <v>2859</v>
      </c>
      <c r="E2789" s="4" t="str">
        <f>HYPERLINK("./Results/DLO\656\Osteo_Sarco_1.png","RPT")</f>
        <v>RPT</v>
      </c>
      <c r="F2789" s="2" t="s">
        <v>78</v>
      </c>
      <c r="G2789" s="6"/>
      <c r="I2789"/>
      <c r="J2789"/>
      <c r="K2789"/>
    </row>
    <row r="2790" spans="1:11" x14ac:dyDescent="0.3">
      <c r="A2790" s="2" t="s">
        <v>1043</v>
      </c>
      <c r="B2790" s="2" t="s">
        <v>170</v>
      </c>
      <c r="C2790" s="2" t="s">
        <v>119</v>
      </c>
      <c r="D2790" s="2" t="s">
        <v>2859</v>
      </c>
      <c r="E2790" s="4" t="str">
        <f>HYPERLINK("./Results/DLO\657\Osteo_Sarco_1.png","RPT")</f>
        <v>RPT</v>
      </c>
      <c r="F2790" s="2" t="s">
        <v>34</v>
      </c>
      <c r="G2790" s="6"/>
      <c r="I2790"/>
      <c r="J2790"/>
      <c r="K2790"/>
    </row>
    <row r="2791" spans="1:11" x14ac:dyDescent="0.3">
      <c r="A2791" s="2" t="s">
        <v>1035</v>
      </c>
      <c r="B2791" s="2" t="s">
        <v>123</v>
      </c>
      <c r="C2791" s="2" t="s">
        <v>119</v>
      </c>
      <c r="D2791" s="2" t="s">
        <v>2859</v>
      </c>
      <c r="E2791" s="4" t="str">
        <f>HYPERLINK("./Results/DLO\658\Osteo_Sarco_1.png","RPT")</f>
        <v>RPT</v>
      </c>
      <c r="F2791" s="2" t="s">
        <v>44</v>
      </c>
      <c r="G2791" s="6"/>
      <c r="I2791"/>
      <c r="J2791"/>
      <c r="K2791"/>
    </row>
    <row r="2792" spans="1:11" x14ac:dyDescent="0.3">
      <c r="A2792" s="2" t="s">
        <v>1049</v>
      </c>
      <c r="B2792" s="2" t="s">
        <v>150</v>
      </c>
      <c r="C2792" s="2" t="s">
        <v>111</v>
      </c>
      <c r="D2792" s="2" t="s">
        <v>2859</v>
      </c>
      <c r="E2792" s="4" t="str">
        <f>HYPERLINK("./Results/DLO\659\Osteo_Sarco_1.png","RPT")</f>
        <v>RPT</v>
      </c>
      <c r="F2792" s="2" t="s">
        <v>32</v>
      </c>
      <c r="G2792" s="6"/>
      <c r="I2792"/>
      <c r="J2792"/>
      <c r="K2792"/>
    </row>
    <row r="2793" spans="1:11" x14ac:dyDescent="0.3">
      <c r="A2793" s="2" t="s">
        <v>1050</v>
      </c>
      <c r="B2793" s="2" t="s">
        <v>129</v>
      </c>
      <c r="C2793" s="2" t="s">
        <v>111</v>
      </c>
      <c r="D2793" s="2" t="s">
        <v>2859</v>
      </c>
      <c r="E2793" s="4" t="str">
        <f>HYPERLINK("./Results/DLO\66\Osteo_Sarco_1.png","RPT")</f>
        <v>RPT</v>
      </c>
      <c r="F2793" s="2" t="s">
        <v>34</v>
      </c>
      <c r="G2793" s="6"/>
      <c r="H2793" s="1">
        <v>20.8</v>
      </c>
    </row>
    <row r="2794" spans="1:11" x14ac:dyDescent="0.3">
      <c r="A2794" s="2" t="s">
        <v>1033</v>
      </c>
      <c r="B2794" s="2" t="s">
        <v>165</v>
      </c>
      <c r="C2794" s="2" t="s">
        <v>119</v>
      </c>
      <c r="D2794" s="2" t="s">
        <v>2859</v>
      </c>
      <c r="E2794" s="4" t="str">
        <f>HYPERLINK("./Results/DLO\660\Osteo_Sarco_1.png","RPT")</f>
        <v>RPT</v>
      </c>
      <c r="F2794" s="2" t="s">
        <v>128</v>
      </c>
      <c r="G2794" s="6"/>
      <c r="H2794" s="1">
        <v>24.59</v>
      </c>
    </row>
    <row r="2795" spans="1:11" x14ac:dyDescent="0.3">
      <c r="A2795" s="2" t="s">
        <v>1032</v>
      </c>
      <c r="B2795" s="2" t="s">
        <v>112</v>
      </c>
      <c r="C2795" s="2" t="s">
        <v>111</v>
      </c>
      <c r="D2795" s="2" t="s">
        <v>2859</v>
      </c>
      <c r="E2795" s="4" t="str">
        <f>HYPERLINK("./Results/DLO\661\Osteo_Sarco_1.png","RPT")</f>
        <v>RPT</v>
      </c>
      <c r="F2795" s="2" t="s">
        <v>76</v>
      </c>
      <c r="G2795" s="6"/>
      <c r="I2795"/>
      <c r="J2795"/>
      <c r="K2795"/>
    </row>
    <row r="2796" spans="1:11" x14ac:dyDescent="0.3">
      <c r="A2796" s="2" t="s">
        <v>1054</v>
      </c>
      <c r="B2796" s="2" t="s">
        <v>167</v>
      </c>
      <c r="C2796" s="2" t="s">
        <v>111</v>
      </c>
      <c r="D2796" s="2" t="s">
        <v>2859</v>
      </c>
      <c r="E2796" s="4" t="str">
        <f>HYPERLINK("./Results/DLO\662\Osteo_Sarco_1.png","RPT")</f>
        <v>RPT</v>
      </c>
      <c r="F2796" s="2" t="s">
        <v>453</v>
      </c>
      <c r="G2796" s="6"/>
      <c r="I2796"/>
      <c r="J2796"/>
      <c r="K2796"/>
    </row>
    <row r="2797" spans="1:11" x14ac:dyDescent="0.3">
      <c r="A2797" s="2" t="s">
        <v>1046</v>
      </c>
      <c r="B2797" s="2" t="s">
        <v>132</v>
      </c>
      <c r="C2797" s="2" t="s">
        <v>111</v>
      </c>
      <c r="D2797" s="2" t="s">
        <v>2131</v>
      </c>
      <c r="E2797" s="4" t="str">
        <f>HYPERLINK("./Results/DLO\663\Osteo_Sarco_1.png","RPT")</f>
        <v>RPT</v>
      </c>
      <c r="F2797" s="2" t="s">
        <v>101</v>
      </c>
      <c r="G2797" s="6"/>
      <c r="I2797"/>
      <c r="J2797"/>
      <c r="K2797"/>
    </row>
    <row r="2798" spans="1:11" x14ac:dyDescent="0.3">
      <c r="A2798" s="2" t="s">
        <v>1048</v>
      </c>
      <c r="B2798" s="2" t="s">
        <v>166</v>
      </c>
      <c r="C2798" s="2" t="s">
        <v>119</v>
      </c>
      <c r="D2798" s="2" t="s">
        <v>2867</v>
      </c>
      <c r="E2798" s="4" t="str">
        <f>HYPERLINK("./Results/DLO\664\Osteo_Sarco_1.png","RPT")</f>
        <v>RPT</v>
      </c>
      <c r="F2798" s="2" t="s">
        <v>97</v>
      </c>
      <c r="G2798" s="6"/>
      <c r="H2798" s="1">
        <v>25.23</v>
      </c>
    </row>
    <row r="2799" spans="1:11" x14ac:dyDescent="0.3">
      <c r="A2799" s="2" t="s">
        <v>1051</v>
      </c>
      <c r="B2799" s="2" t="s">
        <v>149</v>
      </c>
      <c r="C2799" s="2" t="s">
        <v>119</v>
      </c>
      <c r="D2799" s="2" t="s">
        <v>2859</v>
      </c>
      <c r="E2799" s="4" t="str">
        <f>HYPERLINK("./Results/DLO\665\Osteo_Sarco_1.png","RPT")</f>
        <v>RPT</v>
      </c>
      <c r="F2799" s="2" t="s">
        <v>581</v>
      </c>
      <c r="G2799" s="6"/>
      <c r="I2799"/>
      <c r="J2799"/>
      <c r="K2799"/>
    </row>
    <row r="2800" spans="1:11" x14ac:dyDescent="0.3">
      <c r="A2800" s="2" t="s">
        <v>1039</v>
      </c>
      <c r="B2800" s="2" t="s">
        <v>120</v>
      </c>
      <c r="C2800" s="2" t="s">
        <v>119</v>
      </c>
      <c r="D2800" s="2" t="s">
        <v>2867</v>
      </c>
      <c r="E2800" s="4" t="str">
        <f>HYPERLINK("./Results/DLO\666\Osteo_Sarco_1.png","RPT")</f>
        <v>RPT</v>
      </c>
      <c r="F2800" s="2" t="s">
        <v>61</v>
      </c>
      <c r="G2800" s="6"/>
      <c r="H2800" s="1">
        <v>23.74</v>
      </c>
    </row>
    <row r="2801" spans="1:11" x14ac:dyDescent="0.3">
      <c r="A2801" s="2" t="s">
        <v>1034</v>
      </c>
      <c r="B2801" s="2" t="s">
        <v>165</v>
      </c>
      <c r="C2801" s="2" t="s">
        <v>111</v>
      </c>
      <c r="D2801" s="2" t="s">
        <v>2859</v>
      </c>
      <c r="E2801" s="4" t="str">
        <f>HYPERLINK("./Results/DLO\668\Osteo_Sarco_1.png","RPT")</f>
        <v>RPT</v>
      </c>
      <c r="F2801" s="2" t="s">
        <v>46</v>
      </c>
      <c r="G2801" s="6"/>
      <c r="I2801"/>
      <c r="J2801"/>
      <c r="K2801"/>
    </row>
    <row r="2802" spans="1:11" x14ac:dyDescent="0.3">
      <c r="A2802" s="2" t="s">
        <v>1055</v>
      </c>
      <c r="B2802" s="2" t="s">
        <v>151</v>
      </c>
      <c r="C2802" s="2" t="s">
        <v>111</v>
      </c>
      <c r="D2802" s="2" t="s">
        <v>2859</v>
      </c>
      <c r="E2802" s="4" t="str">
        <f>HYPERLINK("./Results/DLO\669\Osteo_Sarco_1.png","RPT")</f>
        <v>RPT</v>
      </c>
      <c r="F2802" s="2" t="s">
        <v>22</v>
      </c>
      <c r="G2802" s="6"/>
      <c r="I2802"/>
      <c r="J2802"/>
      <c r="K2802"/>
    </row>
    <row r="2803" spans="1:11" x14ac:dyDescent="0.3">
      <c r="A2803" s="2" t="s">
        <v>1056</v>
      </c>
      <c r="B2803" s="2" t="s">
        <v>127</v>
      </c>
      <c r="C2803" s="2" t="s">
        <v>111</v>
      </c>
      <c r="D2803" s="2" t="s">
        <v>2859</v>
      </c>
      <c r="E2803" s="4" t="str">
        <f>HYPERLINK("./Results/DLO\67\Osteo_Sarco_1.png","RPT")</f>
        <v>RPT</v>
      </c>
      <c r="F2803" s="2" t="s">
        <v>42</v>
      </c>
      <c r="G2803" s="6"/>
      <c r="I2803"/>
      <c r="J2803"/>
      <c r="K2803"/>
    </row>
    <row r="2804" spans="1:11" x14ac:dyDescent="0.3">
      <c r="A2804" s="2" t="s">
        <v>1052</v>
      </c>
      <c r="B2804" s="2" t="s">
        <v>116</v>
      </c>
      <c r="C2804" s="2" t="s">
        <v>119</v>
      </c>
      <c r="D2804" s="2" t="s">
        <v>2859</v>
      </c>
      <c r="E2804" s="4" t="str">
        <f>HYPERLINK("./Results/DLO\670\Osteo_Sarco_1.png","RPT")</f>
        <v>RPT</v>
      </c>
      <c r="F2804" s="2" t="s">
        <v>41</v>
      </c>
      <c r="G2804" s="6"/>
      <c r="I2804"/>
      <c r="J2804"/>
      <c r="K2804"/>
    </row>
    <row r="2805" spans="1:11" x14ac:dyDescent="0.3">
      <c r="A2805" s="2" t="s">
        <v>1057</v>
      </c>
      <c r="B2805" s="2" t="s">
        <v>134</v>
      </c>
      <c r="C2805" s="2" t="s">
        <v>119</v>
      </c>
      <c r="D2805" s="2" t="s">
        <v>1960</v>
      </c>
      <c r="E2805" s="4" t="str">
        <f>HYPERLINK("./Results/DLO\671\Osteo_Sarco_1.png","RPT")</f>
        <v>RPT</v>
      </c>
      <c r="F2805" s="2" t="s">
        <v>585</v>
      </c>
      <c r="G2805" s="6"/>
      <c r="H2805" s="1">
        <v>24.53</v>
      </c>
    </row>
    <row r="2806" spans="1:11" x14ac:dyDescent="0.3">
      <c r="A2806" s="2" t="s">
        <v>1040</v>
      </c>
      <c r="B2806" s="2" t="s">
        <v>159</v>
      </c>
      <c r="C2806" s="2" t="s">
        <v>119</v>
      </c>
      <c r="D2806" s="2" t="s">
        <v>2859</v>
      </c>
      <c r="E2806" s="4" t="str">
        <f>HYPERLINK("./Results/DLO\672\Osteo_Sarco_1.png","RPT")</f>
        <v>RPT</v>
      </c>
      <c r="F2806" s="2" t="s">
        <v>456</v>
      </c>
      <c r="G2806" s="6"/>
      <c r="I2806"/>
      <c r="J2806"/>
      <c r="K2806"/>
    </row>
    <row r="2807" spans="1:11" x14ac:dyDescent="0.3">
      <c r="A2807" s="2" t="s">
        <v>1041</v>
      </c>
      <c r="B2807" s="2" t="s">
        <v>163</v>
      </c>
      <c r="C2807" s="2" t="s">
        <v>119</v>
      </c>
      <c r="D2807" s="2" t="s">
        <v>2859</v>
      </c>
      <c r="E2807" s="4" t="str">
        <f>HYPERLINK("./Results/DLO\673\Osteo_Sarco_1.png","RPT")</f>
        <v>RPT</v>
      </c>
      <c r="F2807" s="2" t="s">
        <v>54</v>
      </c>
      <c r="G2807" s="6"/>
      <c r="I2807"/>
      <c r="J2807"/>
      <c r="K2807"/>
    </row>
    <row r="2808" spans="1:11" x14ac:dyDescent="0.3">
      <c r="A2808" s="2" t="s">
        <v>1042</v>
      </c>
      <c r="B2808" s="2" t="s">
        <v>162</v>
      </c>
      <c r="C2808" s="2" t="s">
        <v>119</v>
      </c>
      <c r="D2808" s="2" t="s">
        <v>2867</v>
      </c>
      <c r="E2808" s="4" t="str">
        <f>HYPERLINK("./Results/DLO\674\Osteo_Sarco_1.png","RPT")</f>
        <v>RPT</v>
      </c>
      <c r="F2808" s="2" t="s">
        <v>44</v>
      </c>
      <c r="G2808" s="6"/>
      <c r="I2808"/>
      <c r="J2808"/>
      <c r="K2808"/>
    </row>
    <row r="2809" spans="1:11" x14ac:dyDescent="0.3">
      <c r="A2809" s="2" t="s">
        <v>1066</v>
      </c>
      <c r="B2809" s="2" t="s">
        <v>149</v>
      </c>
      <c r="C2809" s="2" t="s">
        <v>111</v>
      </c>
      <c r="D2809" s="2" t="s">
        <v>2859</v>
      </c>
      <c r="E2809" s="4" t="str">
        <f>HYPERLINK("./Results/DLO\675\Osteo_Sarco_1.png","RPT")</f>
        <v>RPT</v>
      </c>
      <c r="F2809" s="2" t="s">
        <v>458</v>
      </c>
      <c r="G2809" s="6"/>
      <c r="H2809" s="1">
        <v>23.71</v>
      </c>
    </row>
    <row r="2810" spans="1:11" x14ac:dyDescent="0.3">
      <c r="A2810" s="2" t="s">
        <v>1067</v>
      </c>
      <c r="B2810" s="2" t="s">
        <v>132</v>
      </c>
      <c r="C2810" s="2" t="s">
        <v>111</v>
      </c>
      <c r="D2810" s="2" t="s">
        <v>2859</v>
      </c>
      <c r="E2810" s="4" t="str">
        <f>HYPERLINK("./Results/DLO\676\Osteo_Sarco_1.png","RPT")</f>
        <v>RPT</v>
      </c>
      <c r="F2810" s="2" t="s">
        <v>46</v>
      </c>
      <c r="G2810" s="6"/>
      <c r="I2810"/>
      <c r="J2810"/>
      <c r="K2810"/>
    </row>
    <row r="2811" spans="1:11" x14ac:dyDescent="0.3">
      <c r="A2811" s="2" t="s">
        <v>1073</v>
      </c>
      <c r="B2811" s="2" t="s">
        <v>140</v>
      </c>
      <c r="C2811" s="2" t="s">
        <v>111</v>
      </c>
      <c r="D2811" s="2" t="s">
        <v>2867</v>
      </c>
      <c r="E2811" s="4" t="str">
        <f>HYPERLINK("./Results/DLO\677\Osteo_Sarco_1.png","RPT")</f>
        <v>RPT</v>
      </c>
      <c r="F2811" s="2" t="s">
        <v>121</v>
      </c>
      <c r="G2811" s="6"/>
      <c r="I2811"/>
      <c r="J2811"/>
      <c r="K2811"/>
    </row>
    <row r="2812" spans="1:11" x14ac:dyDescent="0.3">
      <c r="A2812" s="2" t="s">
        <v>1064</v>
      </c>
      <c r="B2812" s="2" t="s">
        <v>131</v>
      </c>
      <c r="C2812" s="2" t="s">
        <v>119</v>
      </c>
      <c r="D2812" s="2" t="s">
        <v>2859</v>
      </c>
      <c r="E2812" s="4" t="str">
        <f>HYPERLINK("./Results/DLO\678\Osteo_Sarco_1.png","RPT")</f>
        <v>RPT</v>
      </c>
      <c r="F2812" s="2" t="s">
        <v>48</v>
      </c>
      <c r="G2812" s="6"/>
      <c r="I2812"/>
      <c r="J2812"/>
      <c r="K2812"/>
    </row>
    <row r="2813" spans="1:11" x14ac:dyDescent="0.3">
      <c r="A2813" s="2" t="s">
        <v>1068</v>
      </c>
      <c r="B2813" s="2" t="s">
        <v>140</v>
      </c>
      <c r="C2813" s="2" t="s">
        <v>119</v>
      </c>
      <c r="D2813" s="2" t="s">
        <v>2859</v>
      </c>
      <c r="E2813" s="4" t="str">
        <f>HYPERLINK("./Results/DLO\679\Osteo_Sarco_1.png","RPT")</f>
        <v>RPT</v>
      </c>
      <c r="F2813" s="2" t="s">
        <v>87</v>
      </c>
      <c r="G2813" s="6"/>
      <c r="I2813"/>
      <c r="J2813"/>
      <c r="K2813"/>
    </row>
    <row r="2814" spans="1:11" x14ac:dyDescent="0.3">
      <c r="A2814" s="2" t="s">
        <v>1079</v>
      </c>
      <c r="B2814" s="2" t="s">
        <v>28</v>
      </c>
      <c r="C2814" s="2" t="s">
        <v>119</v>
      </c>
      <c r="D2814" s="2" t="s">
        <v>2859</v>
      </c>
      <c r="E2814" s="4" t="str">
        <f>HYPERLINK("./Results/DLO\68\Osteo_Sarco_1.png","RPT")</f>
        <v>RPT</v>
      </c>
      <c r="F2814" s="2" t="s">
        <v>156</v>
      </c>
      <c r="G2814" s="6"/>
      <c r="H2814" s="1">
        <v>24.03</v>
      </c>
    </row>
    <row r="2815" spans="1:11" x14ac:dyDescent="0.3">
      <c r="A2815" s="2" t="s">
        <v>1060</v>
      </c>
      <c r="B2815" s="2" t="s">
        <v>148</v>
      </c>
      <c r="C2815" s="2" t="s">
        <v>119</v>
      </c>
      <c r="D2815" s="2" t="s">
        <v>2859</v>
      </c>
      <c r="E2815" s="4" t="str">
        <f>HYPERLINK("./Results/DLO\680\Osteo_Sarco_1.png","RPT")</f>
        <v>RPT</v>
      </c>
      <c r="F2815" s="2" t="s">
        <v>48</v>
      </c>
      <c r="G2815" s="6"/>
      <c r="H2815" s="1">
        <v>25.81</v>
      </c>
    </row>
    <row r="2816" spans="1:11" x14ac:dyDescent="0.3">
      <c r="A2816" s="2" t="s">
        <v>1072</v>
      </c>
      <c r="B2816" s="2" t="s">
        <v>157</v>
      </c>
      <c r="C2816" s="2" t="s">
        <v>119</v>
      </c>
      <c r="D2816" s="2" t="s">
        <v>2859</v>
      </c>
      <c r="E2816" s="4" t="str">
        <f>HYPERLINK("./Results/DLO\681\Osteo_Sarco_1.png","RPT")</f>
        <v>RPT</v>
      </c>
      <c r="F2816" s="2" t="s">
        <v>70</v>
      </c>
      <c r="G2816" s="6"/>
      <c r="I2816"/>
      <c r="J2816"/>
      <c r="K2816"/>
    </row>
    <row r="2817" spans="1:11" x14ac:dyDescent="0.3">
      <c r="A2817" s="2" t="s">
        <v>1076</v>
      </c>
      <c r="B2817" s="2" t="s">
        <v>129</v>
      </c>
      <c r="C2817" s="2" t="s">
        <v>111</v>
      </c>
      <c r="D2817" s="2" t="s">
        <v>2867</v>
      </c>
      <c r="E2817" s="4" t="str">
        <f>HYPERLINK("./Results/DLO\682\Osteo_Sarco_1.png","RPT")</f>
        <v>RPT</v>
      </c>
      <c r="F2817" s="2" t="s">
        <v>51</v>
      </c>
      <c r="G2817" s="6"/>
      <c r="H2817" s="1">
        <v>23.93</v>
      </c>
    </row>
    <row r="2818" spans="1:11" x14ac:dyDescent="0.3">
      <c r="A2818" s="2" t="s">
        <v>1074</v>
      </c>
      <c r="B2818" s="2" t="s">
        <v>118</v>
      </c>
      <c r="C2818" s="2" t="s">
        <v>119</v>
      </c>
      <c r="D2818" s="2" t="s">
        <v>2859</v>
      </c>
      <c r="E2818" s="4" t="str">
        <f>HYPERLINK("./Results/DLO\683\Osteo_Sarco_1.png","RPT")</f>
        <v>RPT</v>
      </c>
      <c r="F2818" s="2" t="s">
        <v>575</v>
      </c>
      <c r="G2818" s="6"/>
      <c r="I2818"/>
      <c r="J2818"/>
      <c r="K2818"/>
    </row>
    <row r="2819" spans="1:11" x14ac:dyDescent="0.3">
      <c r="A2819" s="2" t="s">
        <v>1065</v>
      </c>
      <c r="B2819" s="2" t="s">
        <v>170</v>
      </c>
      <c r="C2819" s="2" t="s">
        <v>111</v>
      </c>
      <c r="D2819" s="2" t="s">
        <v>2859</v>
      </c>
      <c r="E2819" s="4" t="str">
        <f>HYPERLINK("./Results/DLO\684\Osteo_Sarco_1.png","RPT")</f>
        <v>RPT</v>
      </c>
      <c r="F2819" s="2" t="s">
        <v>31</v>
      </c>
      <c r="G2819" s="6"/>
      <c r="H2819" s="1">
        <v>23.18</v>
      </c>
    </row>
    <row r="2820" spans="1:11" x14ac:dyDescent="0.3">
      <c r="A2820" s="2" t="s">
        <v>1063</v>
      </c>
      <c r="B2820" s="2" t="s">
        <v>142</v>
      </c>
      <c r="C2820" s="2" t="s">
        <v>119</v>
      </c>
      <c r="D2820" s="2" t="s">
        <v>2859</v>
      </c>
      <c r="E2820" s="4" t="str">
        <f>HYPERLINK("./Results/DLO\685\Osteo_Sarco_1.png","RPT")</f>
        <v>RPT</v>
      </c>
      <c r="F2820" s="2" t="s">
        <v>34</v>
      </c>
      <c r="G2820" s="6"/>
      <c r="I2820"/>
      <c r="J2820"/>
      <c r="K2820"/>
    </row>
    <row r="2821" spans="1:11" x14ac:dyDescent="0.3">
      <c r="A2821" s="2" t="s">
        <v>1069</v>
      </c>
      <c r="B2821" s="2" t="s">
        <v>120</v>
      </c>
      <c r="C2821" s="2" t="s">
        <v>111</v>
      </c>
      <c r="D2821" s="2" t="s">
        <v>1935</v>
      </c>
      <c r="E2821" s="4" t="str">
        <f>HYPERLINK("./Results/DLO\686\Osteo_Sarco_1.png","RPT")</f>
        <v>RPT</v>
      </c>
      <c r="F2821" s="2" t="s">
        <v>121</v>
      </c>
      <c r="G2821" s="6"/>
      <c r="I2821"/>
      <c r="J2821"/>
      <c r="K2821"/>
    </row>
    <row r="2822" spans="1:11" x14ac:dyDescent="0.3">
      <c r="A2822" s="2" t="s">
        <v>1061</v>
      </c>
      <c r="B2822" s="2" t="s">
        <v>136</v>
      </c>
      <c r="C2822" s="2" t="s">
        <v>111</v>
      </c>
      <c r="D2822" s="2" t="s">
        <v>2867</v>
      </c>
      <c r="E2822" s="4" t="str">
        <f>HYPERLINK("./Results/DLO\687\Osteo_Sarco_1.png","RPT")</f>
        <v>RPT</v>
      </c>
      <c r="F2822" s="2" t="s">
        <v>58</v>
      </c>
      <c r="G2822" s="6"/>
      <c r="H2822" s="1">
        <v>27.82</v>
      </c>
    </row>
    <row r="2823" spans="1:11" x14ac:dyDescent="0.3">
      <c r="A2823" s="2" t="s">
        <v>1082</v>
      </c>
      <c r="B2823" s="2" t="s">
        <v>127</v>
      </c>
      <c r="C2823" s="2" t="s">
        <v>111</v>
      </c>
      <c r="D2823" s="2" t="s">
        <v>2859</v>
      </c>
      <c r="E2823" s="4" t="str">
        <f>HYPERLINK("./Results/DLO\688\Osteo_Sarco_1.png","RPT")</f>
        <v>RPT</v>
      </c>
      <c r="F2823" s="2" t="s">
        <v>68</v>
      </c>
      <c r="G2823" s="6"/>
      <c r="I2823"/>
      <c r="J2823"/>
      <c r="K2823"/>
    </row>
    <row r="2824" spans="1:11" x14ac:dyDescent="0.3">
      <c r="A2824" s="2" t="s">
        <v>1075</v>
      </c>
      <c r="B2824" s="2" t="s">
        <v>118</v>
      </c>
      <c r="C2824" s="2" t="s">
        <v>111</v>
      </c>
      <c r="D2824" s="2" t="s">
        <v>2867</v>
      </c>
      <c r="E2824" s="4" t="str">
        <f>HYPERLINK("./Results/DLO\689\Osteo_Sarco_1.png","RPT")</f>
        <v>RPT</v>
      </c>
      <c r="F2824" s="2" t="s">
        <v>32</v>
      </c>
      <c r="G2824" s="6"/>
      <c r="H2824" s="1">
        <v>18.649999999999999</v>
      </c>
    </row>
    <row r="2825" spans="1:11" x14ac:dyDescent="0.3">
      <c r="A2825" s="2" t="s">
        <v>1080</v>
      </c>
      <c r="B2825" s="2" t="s">
        <v>159</v>
      </c>
      <c r="C2825" s="2" t="s">
        <v>111</v>
      </c>
      <c r="D2825" s="2" t="s">
        <v>2859</v>
      </c>
      <c r="E2825" s="4" t="str">
        <f>HYPERLINK("./Results/DLO\69\Osteo_Sarco_1.png","RPT")</f>
        <v>RPT</v>
      </c>
      <c r="F2825" s="2" t="s">
        <v>59</v>
      </c>
      <c r="G2825" s="6"/>
      <c r="I2825"/>
      <c r="J2825"/>
      <c r="K2825"/>
    </row>
    <row r="2826" spans="1:11" x14ac:dyDescent="0.3">
      <c r="A2826" s="2" t="s">
        <v>1062</v>
      </c>
      <c r="B2826" s="2" t="s">
        <v>136</v>
      </c>
      <c r="C2826" s="2" t="s">
        <v>111</v>
      </c>
      <c r="D2826" s="2" t="s">
        <v>2859</v>
      </c>
      <c r="E2826" s="4" t="str">
        <f>HYPERLINK("./Results/DLO\690\Osteo_Sarco_1.png","RPT")</f>
        <v>RPT</v>
      </c>
      <c r="F2826" s="2" t="s">
        <v>42</v>
      </c>
      <c r="G2826" s="6"/>
      <c r="H2826" s="1">
        <v>23.81</v>
      </c>
    </row>
    <row r="2827" spans="1:11" x14ac:dyDescent="0.3">
      <c r="A2827" s="2" t="s">
        <v>1070</v>
      </c>
      <c r="B2827" s="2" t="s">
        <v>134</v>
      </c>
      <c r="C2827" s="2" t="s">
        <v>111</v>
      </c>
      <c r="D2827" s="2" t="s">
        <v>2859</v>
      </c>
      <c r="E2827" s="4" t="str">
        <f>HYPERLINK("./Results/DLO\691\Osteo_Sarco_1.png","RPT")</f>
        <v>RPT</v>
      </c>
      <c r="F2827" s="2" t="s">
        <v>104</v>
      </c>
      <c r="G2827" s="6"/>
      <c r="H2827" s="1">
        <v>22.62</v>
      </c>
    </row>
    <row r="2828" spans="1:11" x14ac:dyDescent="0.3">
      <c r="A2828" s="2" t="s">
        <v>1077</v>
      </c>
      <c r="B2828" s="2" t="s">
        <v>166</v>
      </c>
      <c r="C2828" s="2" t="s">
        <v>119</v>
      </c>
      <c r="D2828" s="2" t="s">
        <v>2867</v>
      </c>
      <c r="E2828" s="4" t="str">
        <f>HYPERLINK("./Results/DLO\692\Osteo_Sarco_1.png","RPT")</f>
        <v>RPT</v>
      </c>
      <c r="F2828" s="2" t="s">
        <v>581</v>
      </c>
      <c r="G2828" s="6"/>
      <c r="I2828"/>
      <c r="J2828"/>
      <c r="K2828"/>
    </row>
    <row r="2829" spans="1:11" x14ac:dyDescent="0.3">
      <c r="A2829" s="2" t="s">
        <v>1078</v>
      </c>
      <c r="B2829" s="2" t="s">
        <v>113</v>
      </c>
      <c r="C2829" s="2" t="s">
        <v>111</v>
      </c>
      <c r="D2829" s="2" t="s">
        <v>2859</v>
      </c>
      <c r="E2829" s="4" t="str">
        <f>HYPERLINK("./Results/DLO\693\Osteo_Sarco_1.png","RPT")</f>
        <v>RPT</v>
      </c>
      <c r="F2829" s="2" t="s">
        <v>109</v>
      </c>
      <c r="G2829" s="6"/>
      <c r="I2829"/>
      <c r="J2829"/>
      <c r="K2829"/>
    </row>
    <row r="2830" spans="1:11" x14ac:dyDescent="0.3">
      <c r="A2830" s="2" t="s">
        <v>1071</v>
      </c>
      <c r="B2830" s="2" t="s">
        <v>120</v>
      </c>
      <c r="C2830" s="2" t="s">
        <v>111</v>
      </c>
      <c r="D2830" s="2" t="s">
        <v>2859</v>
      </c>
      <c r="E2830" s="4" t="str">
        <f>HYPERLINK("./Results/DLO\694\Osteo_Sarco_1.png","RPT")</f>
        <v>RPT</v>
      </c>
      <c r="F2830" s="2" t="s">
        <v>27</v>
      </c>
      <c r="G2830" s="6"/>
      <c r="I2830"/>
      <c r="J2830"/>
      <c r="K2830"/>
    </row>
    <row r="2831" spans="1:11" x14ac:dyDescent="0.3">
      <c r="A2831" s="2" t="s">
        <v>1081</v>
      </c>
      <c r="B2831" s="2" t="s">
        <v>112</v>
      </c>
      <c r="C2831" s="2" t="s">
        <v>111</v>
      </c>
      <c r="D2831" s="2" t="s">
        <v>2859</v>
      </c>
      <c r="E2831" s="4" t="str">
        <f>HYPERLINK("./Results/DLO\695\Osteo_Sarco_1.png","RPT")</f>
        <v>RPT</v>
      </c>
      <c r="F2831" s="2" t="s">
        <v>453</v>
      </c>
      <c r="G2831" s="6"/>
      <c r="I2831"/>
      <c r="J2831"/>
      <c r="K2831"/>
    </row>
    <row r="2832" spans="1:11" x14ac:dyDescent="0.3">
      <c r="A2832" s="2" t="s">
        <v>1083</v>
      </c>
      <c r="B2832" s="2" t="s">
        <v>165</v>
      </c>
      <c r="C2832" s="2" t="s">
        <v>111</v>
      </c>
      <c r="D2832" s="2" t="s">
        <v>2859</v>
      </c>
      <c r="E2832" s="4" t="str">
        <f>HYPERLINK("./Results/DLO\696\Osteo_Sarco_1.png","RPT")</f>
        <v>RPT</v>
      </c>
      <c r="F2832" s="2" t="s">
        <v>95</v>
      </c>
      <c r="G2832" s="6"/>
      <c r="H2832" s="1">
        <v>25.66</v>
      </c>
    </row>
    <row r="2833" spans="1:11" x14ac:dyDescent="0.3">
      <c r="A2833" s="2" t="s">
        <v>1058</v>
      </c>
      <c r="B2833" s="2" t="s">
        <v>136</v>
      </c>
      <c r="C2833" s="2" t="s">
        <v>119</v>
      </c>
      <c r="D2833" s="2" t="s">
        <v>2859</v>
      </c>
      <c r="E2833" s="4" t="str">
        <f>HYPERLINK("./Results/DLO\697\Osteo_Sarco_1.png","RPT")</f>
        <v>RPT</v>
      </c>
      <c r="F2833" s="2" t="s">
        <v>581</v>
      </c>
      <c r="G2833" s="6"/>
      <c r="H2833" s="1">
        <v>19.23</v>
      </c>
    </row>
    <row r="2834" spans="1:11" x14ac:dyDescent="0.3">
      <c r="A2834" s="2" t="s">
        <v>1059</v>
      </c>
      <c r="B2834" s="2" t="s">
        <v>31</v>
      </c>
      <c r="C2834" s="2" t="s">
        <v>111</v>
      </c>
      <c r="D2834" s="2" t="s">
        <v>2867</v>
      </c>
      <c r="E2834" s="4" t="str">
        <f>HYPERLINK("./Results/DLO\698\Osteo_Sarco_1.png","RPT")</f>
        <v>RPT</v>
      </c>
      <c r="F2834" s="2" t="s">
        <v>94</v>
      </c>
      <c r="G2834" s="6"/>
      <c r="I2834"/>
      <c r="J2834"/>
      <c r="K2834"/>
    </row>
    <row r="2835" spans="1:11" x14ac:dyDescent="0.3">
      <c r="A2835" s="2" t="s">
        <v>1106</v>
      </c>
      <c r="B2835" s="2" t="s">
        <v>156</v>
      </c>
      <c r="C2835" s="2" t="s">
        <v>119</v>
      </c>
      <c r="D2835" s="2" t="s">
        <v>2859</v>
      </c>
      <c r="E2835" s="4" t="str">
        <f>HYPERLINK("./Results/DLO\699\Osteo_Sarco_1.png","RPT")</f>
        <v>RPT</v>
      </c>
      <c r="F2835" s="2" t="s">
        <v>74</v>
      </c>
      <c r="G2835" s="6"/>
      <c r="H2835" s="1">
        <v>24.12</v>
      </c>
    </row>
    <row r="2836" spans="1:11" x14ac:dyDescent="0.3">
      <c r="A2836" s="2" t="s">
        <v>1086</v>
      </c>
      <c r="B2836" s="2" t="s">
        <v>137</v>
      </c>
      <c r="C2836" s="2" t="s">
        <v>111</v>
      </c>
      <c r="D2836" s="2" t="s">
        <v>2859</v>
      </c>
      <c r="E2836" s="4" t="str">
        <f>HYPERLINK("./Results/DLO\7\Osteo_Sarco_1.png","RPT")</f>
        <v>RPT</v>
      </c>
      <c r="F2836" s="2" t="s">
        <v>56</v>
      </c>
      <c r="G2836" s="6"/>
      <c r="H2836" s="1">
        <v>21.45</v>
      </c>
    </row>
    <row r="2837" spans="1:11" x14ac:dyDescent="0.3">
      <c r="A2837" s="2" t="s">
        <v>1095</v>
      </c>
      <c r="B2837" s="2" t="s">
        <v>146</v>
      </c>
      <c r="C2837" s="2" t="s">
        <v>119</v>
      </c>
      <c r="D2837" s="2" t="s">
        <v>2859</v>
      </c>
      <c r="E2837" s="4" t="str">
        <f>HYPERLINK("./Results/DLO\70\Osteo_Sarco_1.png","RPT")</f>
        <v>RPT</v>
      </c>
      <c r="F2837" s="2" t="s">
        <v>450</v>
      </c>
      <c r="G2837" s="6"/>
      <c r="I2837"/>
      <c r="J2837"/>
      <c r="K2837"/>
    </row>
    <row r="2838" spans="1:11" x14ac:dyDescent="0.3">
      <c r="A2838" s="2" t="s">
        <v>1084</v>
      </c>
      <c r="B2838" s="2" t="s">
        <v>129</v>
      </c>
      <c r="C2838" s="2" t="s">
        <v>111</v>
      </c>
      <c r="D2838" s="2" t="s">
        <v>2867</v>
      </c>
      <c r="E2838" s="4" t="str">
        <f>HYPERLINK("./Results/DLO\700\Osteo_Sarco_1.png","RPT")</f>
        <v>RPT</v>
      </c>
      <c r="F2838" s="2" t="s">
        <v>58</v>
      </c>
      <c r="G2838" s="6"/>
      <c r="I2838"/>
      <c r="J2838"/>
      <c r="K2838"/>
    </row>
    <row r="2839" spans="1:11" x14ac:dyDescent="0.3">
      <c r="A2839" s="2" t="s">
        <v>1096</v>
      </c>
      <c r="B2839" s="2" t="s">
        <v>159</v>
      </c>
      <c r="C2839" s="2" t="s">
        <v>111</v>
      </c>
      <c r="D2839" s="2" t="s">
        <v>2867</v>
      </c>
      <c r="E2839" s="4" t="str">
        <f>HYPERLINK("./Results/DLO\701\Osteo_Sarco_1.png","RPT")</f>
        <v>RPT</v>
      </c>
      <c r="F2839" s="2" t="s">
        <v>6</v>
      </c>
      <c r="G2839" s="6"/>
      <c r="H2839" s="1">
        <v>28.5</v>
      </c>
    </row>
    <row r="2840" spans="1:11" x14ac:dyDescent="0.3">
      <c r="A2840" s="2" t="s">
        <v>1111</v>
      </c>
      <c r="B2840" s="2" t="s">
        <v>122</v>
      </c>
      <c r="C2840" s="2" t="s">
        <v>119</v>
      </c>
      <c r="D2840" s="2" t="s">
        <v>2859</v>
      </c>
      <c r="E2840" s="4" t="str">
        <f>HYPERLINK("./Results/DLO\702\Osteo_Sarco_1.png","RPT")</f>
        <v>RPT</v>
      </c>
      <c r="F2840" s="2" t="s">
        <v>97</v>
      </c>
      <c r="G2840" s="6"/>
      <c r="I2840"/>
      <c r="J2840"/>
      <c r="K2840"/>
    </row>
    <row r="2841" spans="1:11" x14ac:dyDescent="0.3">
      <c r="A2841" s="2" t="s">
        <v>1101</v>
      </c>
      <c r="B2841" s="2" t="s">
        <v>142</v>
      </c>
      <c r="C2841" s="2" t="s">
        <v>111</v>
      </c>
      <c r="D2841" s="2" t="s">
        <v>2867</v>
      </c>
      <c r="E2841" s="4" t="str">
        <f>HYPERLINK("./Results/DLO\703\Osteo_Sarco_1.png","RPT")</f>
        <v>RPT</v>
      </c>
      <c r="F2841" s="2" t="s">
        <v>95</v>
      </c>
      <c r="G2841" s="6"/>
      <c r="I2841"/>
      <c r="J2841"/>
      <c r="K2841"/>
    </row>
    <row r="2842" spans="1:11" x14ac:dyDescent="0.3">
      <c r="A2842" s="2" t="s">
        <v>1094</v>
      </c>
      <c r="B2842" s="2" t="s">
        <v>127</v>
      </c>
      <c r="C2842" s="2" t="s">
        <v>119</v>
      </c>
      <c r="D2842" s="2" t="s">
        <v>2859</v>
      </c>
      <c r="E2842" s="4" t="str">
        <f>HYPERLINK("./Results/DLO\704\Osteo_Sarco_1.png","RPT")</f>
        <v>RPT</v>
      </c>
      <c r="F2842" s="2" t="s">
        <v>38</v>
      </c>
      <c r="G2842" s="6"/>
      <c r="I2842"/>
      <c r="J2842"/>
      <c r="K2842"/>
    </row>
    <row r="2843" spans="1:11" x14ac:dyDescent="0.3">
      <c r="A2843" s="2" t="s">
        <v>1108</v>
      </c>
      <c r="B2843" s="2" t="s">
        <v>149</v>
      </c>
      <c r="C2843" s="2" t="s">
        <v>119</v>
      </c>
      <c r="D2843" s="2" t="s">
        <v>2859</v>
      </c>
      <c r="E2843" s="4" t="str">
        <f>HYPERLINK("./Results/DLO\705\Osteo_Sarco_1.png","RPT")</f>
        <v>RPT</v>
      </c>
      <c r="F2843" s="2" t="s">
        <v>50</v>
      </c>
      <c r="G2843" s="6"/>
      <c r="I2843"/>
      <c r="J2843"/>
      <c r="K2843"/>
    </row>
    <row r="2844" spans="1:11" x14ac:dyDescent="0.3">
      <c r="A2844" s="2" t="s">
        <v>1103</v>
      </c>
      <c r="B2844" s="2" t="s">
        <v>114</v>
      </c>
      <c r="C2844" s="2" t="s">
        <v>111</v>
      </c>
      <c r="D2844" s="2" t="s">
        <v>2867</v>
      </c>
      <c r="E2844" s="4" t="str">
        <f>HYPERLINK("./Results/DLO\706\Osteo_Sarco_1.png","RPT")</f>
        <v>RPT</v>
      </c>
      <c r="F2844" s="2" t="s">
        <v>102</v>
      </c>
      <c r="G2844" s="6"/>
      <c r="I2844"/>
      <c r="J2844"/>
      <c r="K2844"/>
    </row>
    <row r="2845" spans="1:11" x14ac:dyDescent="0.3">
      <c r="A2845" s="2" t="s">
        <v>1097</v>
      </c>
      <c r="B2845" s="2" t="s">
        <v>133</v>
      </c>
      <c r="C2845" s="2" t="s">
        <v>111</v>
      </c>
      <c r="D2845" s="2" t="s">
        <v>2859</v>
      </c>
      <c r="E2845" s="4" t="str">
        <f>HYPERLINK("./Results/DLO\707\Osteo_Sarco_1.png","RPT")</f>
        <v>RPT</v>
      </c>
      <c r="F2845" s="2" t="s">
        <v>63</v>
      </c>
      <c r="G2845" s="6"/>
      <c r="I2845"/>
      <c r="J2845"/>
      <c r="K2845"/>
    </row>
    <row r="2846" spans="1:11" x14ac:dyDescent="0.3">
      <c r="A2846" s="2" t="s">
        <v>1107</v>
      </c>
      <c r="B2846" s="2" t="s">
        <v>112</v>
      </c>
      <c r="C2846" s="2" t="s">
        <v>119</v>
      </c>
      <c r="D2846" s="2" t="s">
        <v>2867</v>
      </c>
      <c r="E2846" s="4" t="str">
        <f>HYPERLINK("./Results/DLO\708\Osteo_Sarco_1.png","RPT")</f>
        <v>RPT</v>
      </c>
      <c r="F2846" s="2" t="s">
        <v>27</v>
      </c>
      <c r="G2846" s="6"/>
      <c r="I2846"/>
      <c r="J2846"/>
      <c r="K2846"/>
    </row>
    <row r="2847" spans="1:11" x14ac:dyDescent="0.3">
      <c r="A2847" s="2" t="s">
        <v>1105</v>
      </c>
      <c r="B2847" s="2" t="s">
        <v>113</v>
      </c>
      <c r="C2847" s="2" t="s">
        <v>119</v>
      </c>
      <c r="D2847" s="2" t="s">
        <v>2859</v>
      </c>
      <c r="E2847" s="4" t="str">
        <f>HYPERLINK("./Results/DLO\709\Osteo_Sarco_1.png","RPT")</f>
        <v>RPT</v>
      </c>
      <c r="F2847" s="2" t="s">
        <v>121</v>
      </c>
      <c r="G2847" s="6"/>
      <c r="H2847" s="1">
        <v>48</v>
      </c>
    </row>
    <row r="2848" spans="1:11" x14ac:dyDescent="0.3">
      <c r="A2848" s="2" t="s">
        <v>1104</v>
      </c>
      <c r="B2848" s="2" t="s">
        <v>116</v>
      </c>
      <c r="C2848" s="2" t="s">
        <v>119</v>
      </c>
      <c r="D2848" s="2" t="s">
        <v>2859</v>
      </c>
      <c r="E2848" s="4" t="str">
        <f>HYPERLINK("./Results/DLO\71\Osteo_Sarco_1.png","RPT")</f>
        <v>RPT</v>
      </c>
      <c r="F2848" s="2" t="s">
        <v>467</v>
      </c>
      <c r="G2848" s="6"/>
      <c r="I2848"/>
      <c r="J2848"/>
      <c r="K2848"/>
    </row>
    <row r="2849" spans="1:11" x14ac:dyDescent="0.3">
      <c r="A2849" s="2" t="s">
        <v>1085</v>
      </c>
      <c r="B2849" s="2" t="s">
        <v>140</v>
      </c>
      <c r="C2849" s="2" t="s">
        <v>111</v>
      </c>
      <c r="D2849" s="2" t="s">
        <v>1960</v>
      </c>
      <c r="E2849" s="4" t="str">
        <f>HYPERLINK("./Results/DLO\710\Osteo_Sarco_1.png","RPT")</f>
        <v>RPT</v>
      </c>
      <c r="F2849" s="2" t="s">
        <v>465</v>
      </c>
      <c r="G2849" s="6"/>
      <c r="I2849"/>
      <c r="J2849"/>
      <c r="K2849"/>
    </row>
    <row r="2850" spans="1:11" x14ac:dyDescent="0.3">
      <c r="A2850" s="2" t="s">
        <v>1087</v>
      </c>
      <c r="B2850" s="2" t="s">
        <v>114</v>
      </c>
      <c r="C2850" s="2" t="s">
        <v>111</v>
      </c>
      <c r="D2850" s="2" t="s">
        <v>2867</v>
      </c>
      <c r="E2850" s="4" t="str">
        <f>HYPERLINK("./Results/DLO\711\Osteo_Sarco_1.png","RPT")</f>
        <v>RPT</v>
      </c>
      <c r="F2850" s="2" t="s">
        <v>101</v>
      </c>
      <c r="G2850" s="6"/>
      <c r="I2850"/>
      <c r="J2850"/>
      <c r="K2850"/>
    </row>
    <row r="2851" spans="1:11" x14ac:dyDescent="0.3">
      <c r="A2851" s="2" t="s">
        <v>1098</v>
      </c>
      <c r="B2851" s="2" t="s">
        <v>140</v>
      </c>
      <c r="C2851" s="2" t="s">
        <v>119</v>
      </c>
      <c r="D2851" s="2" t="s">
        <v>2859</v>
      </c>
      <c r="E2851" s="4" t="str">
        <f>HYPERLINK("./Results/DLO\712\Osteo_Sarco_1.png","RPT")</f>
        <v>RPT</v>
      </c>
      <c r="F2851" s="2" t="s">
        <v>28</v>
      </c>
      <c r="G2851" s="6"/>
      <c r="I2851"/>
      <c r="J2851"/>
      <c r="K2851"/>
    </row>
    <row r="2852" spans="1:11" x14ac:dyDescent="0.3">
      <c r="A2852" s="2" t="s">
        <v>1102</v>
      </c>
      <c r="B2852" s="2" t="s">
        <v>114</v>
      </c>
      <c r="C2852" s="2" t="s">
        <v>119</v>
      </c>
      <c r="D2852" s="2" t="s">
        <v>2859</v>
      </c>
      <c r="E2852" s="4" t="str">
        <f>HYPERLINK("./Results/DLO\713\Osteo_Sarco_1.png","RPT")</f>
        <v>RPT</v>
      </c>
      <c r="F2852" s="2" t="s">
        <v>585</v>
      </c>
      <c r="G2852" s="6"/>
      <c r="I2852"/>
      <c r="J2852"/>
      <c r="K2852"/>
    </row>
    <row r="2853" spans="1:11" x14ac:dyDescent="0.3">
      <c r="A2853" s="2" t="s">
        <v>1109</v>
      </c>
      <c r="B2853" s="2" t="s">
        <v>136</v>
      </c>
      <c r="C2853" s="2" t="s">
        <v>119</v>
      </c>
      <c r="D2853" s="2" t="s">
        <v>2867</v>
      </c>
      <c r="E2853" s="4" t="str">
        <f>HYPERLINK("./Results/DLO\714\Osteo_Sarco_1.png","RPT")</f>
        <v>RPT</v>
      </c>
      <c r="F2853" s="2" t="s">
        <v>121</v>
      </c>
      <c r="G2853" s="6"/>
      <c r="I2853"/>
      <c r="J2853"/>
      <c r="K2853"/>
    </row>
    <row r="2854" spans="1:11" x14ac:dyDescent="0.3">
      <c r="A2854" s="2" t="s">
        <v>1110</v>
      </c>
      <c r="B2854" s="2" t="s">
        <v>170</v>
      </c>
      <c r="C2854" s="2" t="s">
        <v>111</v>
      </c>
      <c r="D2854" s="2" t="s">
        <v>2859</v>
      </c>
      <c r="E2854" s="4" t="str">
        <f>HYPERLINK("./Results/DLO\715\Osteo_Sarco_1.png","RPT")</f>
        <v>RPT</v>
      </c>
      <c r="F2854" s="2" t="s">
        <v>96</v>
      </c>
      <c r="G2854" s="6"/>
      <c r="I2854"/>
      <c r="J2854"/>
      <c r="K2854"/>
    </row>
    <row r="2855" spans="1:11" x14ac:dyDescent="0.3">
      <c r="A2855" s="2" t="s">
        <v>1099</v>
      </c>
      <c r="B2855" s="2" t="s">
        <v>116</v>
      </c>
      <c r="C2855" s="2" t="s">
        <v>119</v>
      </c>
      <c r="D2855" s="2" t="s">
        <v>2867</v>
      </c>
      <c r="E2855" s="4" t="str">
        <f>HYPERLINK("./Results/DLO\716\Osteo_Sarco_1.png","RPT")</f>
        <v>RPT</v>
      </c>
      <c r="F2855" s="2" t="s">
        <v>61</v>
      </c>
      <c r="G2855" s="6"/>
      <c r="I2855"/>
      <c r="J2855"/>
      <c r="K2855"/>
    </row>
    <row r="2856" spans="1:11" x14ac:dyDescent="0.3">
      <c r="A2856" s="2" t="s">
        <v>1088</v>
      </c>
      <c r="B2856" s="2" t="s">
        <v>150</v>
      </c>
      <c r="C2856" s="2" t="s">
        <v>111</v>
      </c>
      <c r="D2856" s="2" t="s">
        <v>2859</v>
      </c>
      <c r="E2856" s="4" t="str">
        <f>HYPERLINK("./Results/DLO\717\Osteo_Sarco_1.png","RPT")</f>
        <v>RPT</v>
      </c>
      <c r="F2856" s="2" t="s">
        <v>38</v>
      </c>
      <c r="G2856" s="6"/>
      <c r="H2856" s="1">
        <v>23.55</v>
      </c>
    </row>
    <row r="2857" spans="1:11" x14ac:dyDescent="0.3">
      <c r="A2857" s="2" t="s">
        <v>1089</v>
      </c>
      <c r="B2857" s="2" t="s">
        <v>127</v>
      </c>
      <c r="C2857" s="2" t="s">
        <v>111</v>
      </c>
      <c r="D2857" s="2" t="s">
        <v>2859</v>
      </c>
      <c r="E2857" s="4" t="str">
        <f>HYPERLINK("./Results/DLO\718\Osteo_Sarco_1.png","RPT")</f>
        <v>RPT</v>
      </c>
      <c r="F2857" s="2" t="s">
        <v>453</v>
      </c>
      <c r="G2857" s="6"/>
      <c r="I2857"/>
      <c r="J2857"/>
      <c r="K2857"/>
    </row>
    <row r="2858" spans="1:11" x14ac:dyDescent="0.3">
      <c r="A2858" s="2" t="s">
        <v>1100</v>
      </c>
      <c r="B2858" s="2" t="s">
        <v>143</v>
      </c>
      <c r="C2858" s="2" t="s">
        <v>111</v>
      </c>
      <c r="D2858" s="2" t="s">
        <v>2859</v>
      </c>
      <c r="E2858" s="4" t="str">
        <f>HYPERLINK("./Results/DLO\719\Osteo_Sarco_1.png","RPT")</f>
        <v>RPT</v>
      </c>
      <c r="F2858" s="2" t="s">
        <v>466</v>
      </c>
      <c r="G2858" s="6"/>
      <c r="H2858" s="1">
        <v>26.27</v>
      </c>
    </row>
    <row r="2859" spans="1:11" x14ac:dyDescent="0.3">
      <c r="A2859" s="2" t="s">
        <v>1092</v>
      </c>
      <c r="B2859" s="2" t="s">
        <v>133</v>
      </c>
      <c r="C2859" s="2" t="s">
        <v>111</v>
      </c>
      <c r="D2859" s="2" t="s">
        <v>2859</v>
      </c>
      <c r="E2859" s="4" t="str">
        <f>HYPERLINK("./Results/DLO\72\Osteo_Sarco_1.png","RPT")</f>
        <v>RPT</v>
      </c>
      <c r="F2859" s="2" t="s">
        <v>63</v>
      </c>
      <c r="G2859" s="6"/>
      <c r="I2859"/>
      <c r="J2859"/>
      <c r="K2859"/>
    </row>
    <row r="2860" spans="1:11" x14ac:dyDescent="0.3">
      <c r="A2860" s="2" t="s">
        <v>1091</v>
      </c>
      <c r="B2860" s="2" t="s">
        <v>120</v>
      </c>
      <c r="C2860" s="2" t="s">
        <v>119</v>
      </c>
      <c r="D2860" s="2" t="s">
        <v>2859</v>
      </c>
      <c r="E2860" s="4" t="str">
        <f>HYPERLINK("./Results/DLO\720\Osteo_Sarco_1.png","RPT")</f>
        <v>RPT</v>
      </c>
      <c r="F2860" s="2" t="s">
        <v>44</v>
      </c>
      <c r="G2860" s="6"/>
      <c r="I2860"/>
      <c r="J2860"/>
      <c r="K2860"/>
    </row>
    <row r="2861" spans="1:11" x14ac:dyDescent="0.3">
      <c r="A2861" s="2" t="s">
        <v>1112</v>
      </c>
      <c r="B2861" s="2" t="s">
        <v>167</v>
      </c>
      <c r="C2861" s="2" t="s">
        <v>111</v>
      </c>
      <c r="D2861" s="2" t="s">
        <v>2867</v>
      </c>
      <c r="E2861" s="4" t="str">
        <f>HYPERLINK("./Results/DLO\721\Osteo_Sarco_1.png","RPT")</f>
        <v>RPT</v>
      </c>
      <c r="F2861" s="2" t="s">
        <v>52</v>
      </c>
      <c r="G2861" s="6"/>
      <c r="H2861" s="1">
        <v>26.37</v>
      </c>
    </row>
    <row r="2862" spans="1:11" x14ac:dyDescent="0.3">
      <c r="A2862" s="2" t="s">
        <v>1090</v>
      </c>
      <c r="B2862" s="2" t="s">
        <v>116</v>
      </c>
      <c r="C2862" s="2" t="s">
        <v>111</v>
      </c>
      <c r="D2862" s="2" t="s">
        <v>2867</v>
      </c>
      <c r="E2862" s="4" t="str">
        <f>HYPERLINK("./Results/DLO\722\Osteo_Sarco_1.png","RPT")</f>
        <v>RPT</v>
      </c>
      <c r="F2862" s="2" t="s">
        <v>471</v>
      </c>
      <c r="G2862" s="6"/>
      <c r="H2862" s="1">
        <v>25.59</v>
      </c>
    </row>
    <row r="2863" spans="1:11" x14ac:dyDescent="0.3">
      <c r="A2863" s="2" t="s">
        <v>1093</v>
      </c>
      <c r="B2863" s="2" t="s">
        <v>140</v>
      </c>
      <c r="C2863" s="2" t="s">
        <v>119</v>
      </c>
      <c r="D2863" s="2" t="s">
        <v>2859</v>
      </c>
      <c r="E2863" s="4" t="str">
        <f>HYPERLINK("./Results/DLO\723\Osteo_Sarco_1.png","RPT")</f>
        <v>RPT</v>
      </c>
      <c r="F2863" s="2" t="s">
        <v>76</v>
      </c>
      <c r="G2863" s="6"/>
      <c r="I2863"/>
      <c r="J2863"/>
      <c r="K2863"/>
    </row>
    <row r="2864" spans="1:11" x14ac:dyDescent="0.3">
      <c r="A2864" s="2" t="s">
        <v>1118</v>
      </c>
      <c r="B2864" s="2" t="s">
        <v>127</v>
      </c>
      <c r="C2864" s="2" t="s">
        <v>111</v>
      </c>
      <c r="D2864" s="2" t="s">
        <v>2859</v>
      </c>
      <c r="E2864" s="4" t="str">
        <f>HYPERLINK("./Results/DLO\724\Osteo_Sarco_1.png","RPT")</f>
        <v>RPT</v>
      </c>
      <c r="F2864" s="2" t="s">
        <v>459</v>
      </c>
      <c r="G2864" s="6"/>
      <c r="I2864"/>
      <c r="J2864"/>
      <c r="K2864"/>
    </row>
    <row r="2865" spans="1:11" x14ac:dyDescent="0.3">
      <c r="A2865" s="2" t="s">
        <v>1121</v>
      </c>
      <c r="B2865" s="2" t="s">
        <v>146</v>
      </c>
      <c r="C2865" s="2" t="s">
        <v>111</v>
      </c>
      <c r="D2865" s="2" t="s">
        <v>2859</v>
      </c>
      <c r="E2865" s="4" t="str">
        <f>HYPERLINK("./Results/DLO\725\Osteo_Sarco_1.png","RPT")</f>
        <v>RPT</v>
      </c>
      <c r="F2865" s="2" t="s">
        <v>54</v>
      </c>
      <c r="G2865" s="6"/>
      <c r="I2865"/>
      <c r="J2865"/>
      <c r="K2865"/>
    </row>
    <row r="2866" spans="1:11" x14ac:dyDescent="0.3">
      <c r="A2866" s="2" t="s">
        <v>1122</v>
      </c>
      <c r="B2866" s="2" t="s">
        <v>116</v>
      </c>
      <c r="C2866" s="2" t="s">
        <v>119</v>
      </c>
      <c r="D2866" s="2" t="s">
        <v>2859</v>
      </c>
      <c r="E2866" s="4" t="str">
        <f>HYPERLINK("./Results/DLO\726\Osteo_Sarco_1.png","RPT")</f>
        <v>RPT</v>
      </c>
      <c r="F2866" s="2" t="s">
        <v>29</v>
      </c>
      <c r="G2866" s="6"/>
      <c r="I2866"/>
      <c r="J2866"/>
      <c r="K2866"/>
    </row>
    <row r="2867" spans="1:11" x14ac:dyDescent="0.3">
      <c r="A2867" s="2" t="s">
        <v>1136</v>
      </c>
      <c r="B2867" s="2" t="s">
        <v>113</v>
      </c>
      <c r="C2867" s="2" t="s">
        <v>111</v>
      </c>
      <c r="D2867" s="2" t="s">
        <v>2867</v>
      </c>
      <c r="E2867" s="4" t="str">
        <f>HYPERLINK("./Results/DLO\727\Osteo_Sarco_1.png","RPT")</f>
        <v>RPT</v>
      </c>
      <c r="F2867" s="2" t="s">
        <v>51</v>
      </c>
      <c r="G2867" s="6"/>
      <c r="H2867" s="1">
        <v>22.59</v>
      </c>
    </row>
    <row r="2868" spans="1:11" x14ac:dyDescent="0.3">
      <c r="A2868" s="2" t="s">
        <v>1137</v>
      </c>
      <c r="B2868" s="2" t="s">
        <v>129</v>
      </c>
      <c r="C2868" s="2" t="s">
        <v>111</v>
      </c>
      <c r="D2868" s="2" t="s">
        <v>2859</v>
      </c>
      <c r="E2868" s="4" t="str">
        <f>HYPERLINK("./Results/DLO\728\Osteo_Sarco_1.png","RPT")</f>
        <v>RPT</v>
      </c>
      <c r="F2868" s="2" t="s">
        <v>458</v>
      </c>
      <c r="G2868" s="6"/>
      <c r="I2868"/>
      <c r="J2868"/>
      <c r="K2868"/>
    </row>
    <row r="2869" spans="1:11" x14ac:dyDescent="0.3">
      <c r="A2869" s="2" t="s">
        <v>1119</v>
      </c>
      <c r="B2869" s="2" t="s">
        <v>131</v>
      </c>
      <c r="C2869" s="2" t="s">
        <v>119</v>
      </c>
      <c r="D2869" s="2" t="s">
        <v>2859</v>
      </c>
      <c r="E2869" s="4" t="str">
        <f>HYPERLINK("./Results/DLO\729\Osteo_Sarco_1.png","RPT")</f>
        <v>RPT</v>
      </c>
      <c r="F2869" s="2" t="s">
        <v>456</v>
      </c>
      <c r="G2869" s="6"/>
      <c r="I2869"/>
      <c r="J2869"/>
      <c r="K2869"/>
    </row>
    <row r="2870" spans="1:11" x14ac:dyDescent="0.3">
      <c r="A2870" s="2" t="s">
        <v>1123</v>
      </c>
      <c r="B2870" s="2" t="s">
        <v>126</v>
      </c>
      <c r="C2870" s="2" t="s">
        <v>119</v>
      </c>
      <c r="D2870" s="2" t="s">
        <v>2859</v>
      </c>
      <c r="E2870" s="4" t="str">
        <f>HYPERLINK("./Results/DLO\73\Osteo_Sarco_1.png","RPT")</f>
        <v>RPT</v>
      </c>
      <c r="F2870" s="2" t="s">
        <v>74</v>
      </c>
      <c r="G2870" s="6"/>
      <c r="H2870" s="1">
        <v>22.22</v>
      </c>
    </row>
    <row r="2871" spans="1:11" x14ac:dyDescent="0.3">
      <c r="A2871" s="2" t="s">
        <v>1140</v>
      </c>
      <c r="B2871" s="2" t="s">
        <v>136</v>
      </c>
      <c r="C2871" s="2" t="s">
        <v>111</v>
      </c>
      <c r="D2871" s="2" t="s">
        <v>2859</v>
      </c>
      <c r="E2871" s="4" t="str">
        <f>HYPERLINK("./Results/DLO\730\Osteo_Sarco_1.png","RPT")</f>
        <v>RPT</v>
      </c>
      <c r="F2871" s="2" t="s">
        <v>453</v>
      </c>
      <c r="G2871" s="6"/>
      <c r="I2871"/>
      <c r="J2871"/>
      <c r="K2871"/>
    </row>
    <row r="2872" spans="1:11" x14ac:dyDescent="0.3">
      <c r="A2872" s="2" t="s">
        <v>1138</v>
      </c>
      <c r="B2872" s="2" t="s">
        <v>136</v>
      </c>
      <c r="C2872" s="2" t="s">
        <v>119</v>
      </c>
      <c r="D2872" s="2" t="s">
        <v>2867</v>
      </c>
      <c r="E2872" s="4" t="str">
        <f>HYPERLINK("./Results/DLO\731\Osteo_Sarco_1.png","RPT")</f>
        <v>RPT</v>
      </c>
      <c r="F2872" s="2" t="s">
        <v>25</v>
      </c>
      <c r="G2872" s="6"/>
      <c r="H2872" s="1">
        <v>24.35</v>
      </c>
    </row>
    <row r="2873" spans="1:11" x14ac:dyDescent="0.3">
      <c r="A2873" s="2" t="s">
        <v>1117</v>
      </c>
      <c r="B2873" s="2" t="s">
        <v>148</v>
      </c>
      <c r="C2873" s="2" t="s">
        <v>111</v>
      </c>
      <c r="D2873" s="2" t="s">
        <v>2859</v>
      </c>
      <c r="E2873" s="4" t="str">
        <f>HYPERLINK("./Results/DLO\732\Osteo_Sarco_1.png","RPT")</f>
        <v>RPT</v>
      </c>
      <c r="F2873" s="2" t="s">
        <v>57</v>
      </c>
      <c r="G2873" s="6"/>
      <c r="I2873"/>
      <c r="J2873"/>
      <c r="K2873"/>
    </row>
    <row r="2874" spans="1:11" x14ac:dyDescent="0.3">
      <c r="A2874" s="2" t="s">
        <v>1124</v>
      </c>
      <c r="B2874" s="2" t="s">
        <v>152</v>
      </c>
      <c r="C2874" s="2" t="s">
        <v>119</v>
      </c>
      <c r="D2874" s="2" t="s">
        <v>2859</v>
      </c>
      <c r="E2874" s="4" t="str">
        <f>HYPERLINK("./Results/DLO\733\Osteo_Sarco_1.png","RPT")</f>
        <v>RPT</v>
      </c>
      <c r="F2874" s="2" t="s">
        <v>57</v>
      </c>
      <c r="G2874" s="6"/>
      <c r="I2874"/>
      <c r="J2874"/>
      <c r="K2874"/>
    </row>
    <row r="2875" spans="1:11" x14ac:dyDescent="0.3">
      <c r="A2875" s="2" t="s">
        <v>1139</v>
      </c>
      <c r="B2875" s="2" t="s">
        <v>136</v>
      </c>
      <c r="C2875" s="2" t="s">
        <v>119</v>
      </c>
      <c r="D2875" s="2" t="s">
        <v>2859</v>
      </c>
      <c r="E2875" s="4" t="str">
        <f>HYPERLINK("./Results/DLO\734\Osteo_Sarco_1.png","RPT")</f>
        <v>RPT</v>
      </c>
      <c r="F2875" s="2" t="s">
        <v>46</v>
      </c>
      <c r="G2875" s="6"/>
      <c r="I2875"/>
      <c r="J2875"/>
      <c r="K2875"/>
    </row>
    <row r="2876" spans="1:11" x14ac:dyDescent="0.3">
      <c r="A2876" s="2" t="s">
        <v>1135</v>
      </c>
      <c r="B2876" s="2" t="s">
        <v>129</v>
      </c>
      <c r="C2876" s="2" t="s">
        <v>119</v>
      </c>
      <c r="D2876" s="2" t="s">
        <v>2859</v>
      </c>
      <c r="E2876" s="4" t="str">
        <f>HYPERLINK("./Results/DLO\735\Osteo_Sarco_1.png","RPT")</f>
        <v>RPT</v>
      </c>
      <c r="F2876" s="2" t="s">
        <v>77</v>
      </c>
      <c r="G2876" s="6"/>
      <c r="H2876" s="1">
        <v>26.22</v>
      </c>
    </row>
    <row r="2877" spans="1:11" x14ac:dyDescent="0.3">
      <c r="A2877" s="2" t="s">
        <v>1120</v>
      </c>
      <c r="B2877" s="2" t="s">
        <v>159</v>
      </c>
      <c r="C2877" s="2" t="s">
        <v>111</v>
      </c>
      <c r="D2877" s="2" t="s">
        <v>2859</v>
      </c>
      <c r="E2877" s="4" t="str">
        <f>HYPERLINK("./Results/DLO\736\Osteo_Sarco_1.png","RPT")</f>
        <v>RPT</v>
      </c>
      <c r="F2877" s="2" t="s">
        <v>80</v>
      </c>
      <c r="G2877" s="6"/>
      <c r="I2877"/>
      <c r="J2877"/>
      <c r="K2877"/>
    </row>
    <row r="2878" spans="1:11" x14ac:dyDescent="0.3">
      <c r="A2878" s="2" t="s">
        <v>1127</v>
      </c>
      <c r="B2878" s="2" t="s">
        <v>166</v>
      </c>
      <c r="C2878" s="2" t="s">
        <v>111</v>
      </c>
      <c r="D2878" s="2" t="s">
        <v>2859</v>
      </c>
      <c r="E2878" s="4" t="str">
        <f>HYPERLINK("./Results/DLO\737\Osteo_Sarco_1.png","RPT")</f>
        <v>RPT</v>
      </c>
      <c r="F2878" s="2" t="s">
        <v>102</v>
      </c>
      <c r="G2878" s="6"/>
      <c r="I2878"/>
      <c r="J2878"/>
      <c r="K2878"/>
    </row>
    <row r="2879" spans="1:11" x14ac:dyDescent="0.3">
      <c r="A2879" s="2" t="s">
        <v>1113</v>
      </c>
      <c r="B2879" s="2" t="s">
        <v>116</v>
      </c>
      <c r="C2879" s="2" t="s">
        <v>119</v>
      </c>
      <c r="D2879" s="2" t="s">
        <v>2859</v>
      </c>
      <c r="E2879" s="4" t="str">
        <f>HYPERLINK("./Results/DLO\738\Osteo_Sarco_1.png","RPT")</f>
        <v>RPT</v>
      </c>
      <c r="F2879" s="2" t="s">
        <v>52</v>
      </c>
      <c r="G2879" s="6"/>
      <c r="H2879" s="1">
        <v>28.48</v>
      </c>
    </row>
    <row r="2880" spans="1:11" x14ac:dyDescent="0.3">
      <c r="A2880" s="2" t="s">
        <v>1125</v>
      </c>
      <c r="B2880" s="2" t="s">
        <v>118</v>
      </c>
      <c r="C2880" s="2" t="s">
        <v>111</v>
      </c>
      <c r="D2880" s="2" t="s">
        <v>1957</v>
      </c>
      <c r="E2880" s="4" t="str">
        <f>HYPERLINK("./Results/DLO\739\Osteo_Sarco_1.png","RPT")</f>
        <v>RPT</v>
      </c>
      <c r="F2880" s="2" t="s">
        <v>54</v>
      </c>
      <c r="G2880" s="6"/>
      <c r="I2880"/>
      <c r="J2880"/>
      <c r="K2880"/>
    </row>
    <row r="2881" spans="1:11" x14ac:dyDescent="0.3">
      <c r="A2881" s="2" t="s">
        <v>1114</v>
      </c>
      <c r="B2881" s="2" t="s">
        <v>164</v>
      </c>
      <c r="C2881" s="2" t="s">
        <v>111</v>
      </c>
      <c r="D2881" s="2" t="s">
        <v>2859</v>
      </c>
      <c r="E2881" s="4" t="str">
        <f>HYPERLINK("./Results/DLO\74\Osteo_Sarco_1.png","RPT")</f>
        <v>RPT</v>
      </c>
      <c r="F2881" s="2" t="s">
        <v>45</v>
      </c>
      <c r="G2881" s="6"/>
      <c r="H2881" s="1">
        <v>23.03</v>
      </c>
    </row>
    <row r="2882" spans="1:11" x14ac:dyDescent="0.3">
      <c r="A2882" s="2" t="s">
        <v>1126</v>
      </c>
      <c r="B2882" s="2" t="s">
        <v>114</v>
      </c>
      <c r="C2882" s="2" t="s">
        <v>119</v>
      </c>
      <c r="D2882" s="2" t="s">
        <v>2859</v>
      </c>
      <c r="E2882" s="4" t="str">
        <f>HYPERLINK("./Results/DLO\740\Osteo_Sarco_1.png","RPT")</f>
        <v>RPT</v>
      </c>
      <c r="F2882" s="2" t="s">
        <v>97</v>
      </c>
      <c r="G2882" s="6"/>
      <c r="I2882"/>
      <c r="J2882"/>
      <c r="K2882"/>
    </row>
    <row r="2883" spans="1:11" x14ac:dyDescent="0.3">
      <c r="A2883" s="2" t="s">
        <v>1133</v>
      </c>
      <c r="B2883" s="2" t="s">
        <v>131</v>
      </c>
      <c r="C2883" s="2" t="s">
        <v>111</v>
      </c>
      <c r="D2883" s="2" t="s">
        <v>2867</v>
      </c>
      <c r="E2883" s="4" t="str">
        <f>HYPERLINK("./Results/DLO\741\Osteo_Sarco_1.png","RPT")</f>
        <v>RPT</v>
      </c>
      <c r="F2883" s="2" t="s">
        <v>468</v>
      </c>
      <c r="G2883" s="6"/>
      <c r="I2883"/>
      <c r="J2883"/>
      <c r="K2883"/>
    </row>
    <row r="2884" spans="1:11" x14ac:dyDescent="0.3">
      <c r="A2884" s="2" t="s">
        <v>1115</v>
      </c>
      <c r="B2884" s="2" t="s">
        <v>125</v>
      </c>
      <c r="C2884" s="2" t="s">
        <v>119</v>
      </c>
      <c r="D2884" s="2" t="s">
        <v>2859</v>
      </c>
      <c r="E2884" s="4" t="str">
        <f>HYPERLINK("./Results/DLO\742\Osteo_Sarco_1.png","RPT")</f>
        <v>RPT</v>
      </c>
      <c r="F2884" s="2" t="s">
        <v>121</v>
      </c>
      <c r="G2884" s="6"/>
      <c r="I2884"/>
      <c r="J2884"/>
      <c r="K2884"/>
    </row>
    <row r="2885" spans="1:11" x14ac:dyDescent="0.3">
      <c r="A2885" s="2" t="s">
        <v>1116</v>
      </c>
      <c r="B2885" s="2" t="s">
        <v>125</v>
      </c>
      <c r="C2885" s="2" t="s">
        <v>119</v>
      </c>
      <c r="D2885" s="2" t="s">
        <v>2859</v>
      </c>
      <c r="E2885" s="4" t="str">
        <f>HYPERLINK("./Results/DLO\743\Osteo_Sarco_1.png","RPT")</f>
        <v>RPT</v>
      </c>
      <c r="F2885" s="2" t="s">
        <v>449</v>
      </c>
      <c r="G2885" s="6"/>
      <c r="H2885" s="1">
        <v>34.770000000000003</v>
      </c>
    </row>
    <row r="2886" spans="1:11" x14ac:dyDescent="0.3">
      <c r="A2886" s="2" t="s">
        <v>1128</v>
      </c>
      <c r="B2886" s="2" t="s">
        <v>118</v>
      </c>
      <c r="C2886" s="2" t="s">
        <v>111</v>
      </c>
      <c r="D2886" s="2" t="s">
        <v>2859</v>
      </c>
      <c r="E2886" s="4" t="str">
        <f>HYPERLINK("./Results/DLO\744\Osteo_Sarco_1.png","RPT")</f>
        <v>RPT</v>
      </c>
      <c r="F2886" s="2" t="s">
        <v>51</v>
      </c>
      <c r="G2886" s="6"/>
      <c r="H2886" s="1">
        <v>22.62</v>
      </c>
    </row>
    <row r="2887" spans="1:11" x14ac:dyDescent="0.3">
      <c r="A2887" s="2" t="s">
        <v>1129</v>
      </c>
      <c r="B2887" s="2" t="s">
        <v>144</v>
      </c>
      <c r="C2887" s="2" t="s">
        <v>111</v>
      </c>
      <c r="D2887" s="2" t="s">
        <v>2859</v>
      </c>
      <c r="E2887" s="4" t="str">
        <f>HYPERLINK("./Results/DLO\745\Osteo_Sarco_1.png","RPT")</f>
        <v>RPT</v>
      </c>
      <c r="F2887" s="2" t="s">
        <v>453</v>
      </c>
      <c r="G2887" s="6"/>
      <c r="I2887"/>
      <c r="J2887"/>
      <c r="K2887"/>
    </row>
    <row r="2888" spans="1:11" x14ac:dyDescent="0.3">
      <c r="A2888" s="2" t="s">
        <v>1130</v>
      </c>
      <c r="B2888" s="2" t="s">
        <v>134</v>
      </c>
      <c r="C2888" s="2" t="s">
        <v>119</v>
      </c>
      <c r="D2888" s="2" t="s">
        <v>2859</v>
      </c>
      <c r="E2888" s="4" t="str">
        <f>HYPERLINK("./Results/DLO\746\Osteo_Sarco_1.png","RPT")</f>
        <v>RPT</v>
      </c>
      <c r="F2888" s="2" t="s">
        <v>60</v>
      </c>
      <c r="G2888" s="6"/>
      <c r="I2888"/>
      <c r="J2888"/>
      <c r="K2888"/>
    </row>
    <row r="2889" spans="1:11" x14ac:dyDescent="0.3">
      <c r="A2889" s="2" t="s">
        <v>1131</v>
      </c>
      <c r="B2889" s="2" t="s">
        <v>131</v>
      </c>
      <c r="C2889" s="2" t="s">
        <v>111</v>
      </c>
      <c r="D2889" s="2" t="s">
        <v>2859</v>
      </c>
      <c r="E2889" s="4" t="str">
        <f>HYPERLINK("./Results/DLO\747\Osteo_Sarco_1.png","RPT")</f>
        <v>RPT</v>
      </c>
      <c r="F2889" s="2" t="s">
        <v>95</v>
      </c>
      <c r="G2889" s="6"/>
      <c r="I2889"/>
      <c r="J2889"/>
      <c r="K2889"/>
    </row>
    <row r="2890" spans="1:11" x14ac:dyDescent="0.3">
      <c r="A2890" s="2" t="s">
        <v>1132</v>
      </c>
      <c r="B2890" s="2" t="s">
        <v>149</v>
      </c>
      <c r="C2890" s="2" t="s">
        <v>119</v>
      </c>
      <c r="D2890" s="2" t="s">
        <v>2859</v>
      </c>
      <c r="E2890" s="4" t="str">
        <f>HYPERLINK("./Results/DLO\748\Osteo_Sarco_1.png","RPT")</f>
        <v>RPT</v>
      </c>
      <c r="F2890" s="2" t="s">
        <v>76</v>
      </c>
      <c r="G2890" s="6"/>
      <c r="I2890"/>
      <c r="J2890"/>
      <c r="K2890"/>
    </row>
    <row r="2891" spans="1:11" x14ac:dyDescent="0.3">
      <c r="A2891" s="2" t="s">
        <v>1134</v>
      </c>
      <c r="B2891" s="2" t="s">
        <v>123</v>
      </c>
      <c r="C2891" s="2" t="s">
        <v>111</v>
      </c>
      <c r="D2891" s="2" t="s">
        <v>1960</v>
      </c>
      <c r="E2891" s="4" t="str">
        <f>HYPERLINK("./Results/DLO\749\Osteo_Sarco_1.png","RPT")</f>
        <v>RPT</v>
      </c>
      <c r="F2891" s="2" t="s">
        <v>93</v>
      </c>
      <c r="G2891" s="6"/>
      <c r="H2891" s="1">
        <v>25.83</v>
      </c>
    </row>
    <row r="2892" spans="1:11" x14ac:dyDescent="0.3">
      <c r="A2892" s="2" t="s">
        <v>1141</v>
      </c>
      <c r="B2892" s="2" t="s">
        <v>159</v>
      </c>
      <c r="C2892" s="2" t="s">
        <v>111</v>
      </c>
      <c r="D2892" s="2" t="s">
        <v>2859</v>
      </c>
      <c r="E2892" s="4" t="str">
        <f>HYPERLINK("./Results/DLO\75\Osteo_Sarco_1.png","RPT")</f>
        <v>RPT</v>
      </c>
      <c r="F2892" s="2" t="s">
        <v>459</v>
      </c>
      <c r="G2892" s="6"/>
      <c r="I2892"/>
      <c r="J2892"/>
      <c r="K2892"/>
    </row>
    <row r="2893" spans="1:11" x14ac:dyDescent="0.3">
      <c r="A2893" s="2" t="s">
        <v>1160</v>
      </c>
      <c r="B2893" s="2" t="s">
        <v>114</v>
      </c>
      <c r="C2893" s="2" t="s">
        <v>111</v>
      </c>
      <c r="D2893" s="2" t="s">
        <v>2867</v>
      </c>
      <c r="E2893" s="4" t="str">
        <f>HYPERLINK("./Results/DLO\750\Osteo_Sarco_1.png","RPT")</f>
        <v>RPT</v>
      </c>
      <c r="F2893" s="2" t="s">
        <v>102</v>
      </c>
      <c r="G2893" s="6"/>
      <c r="I2893"/>
      <c r="J2893"/>
      <c r="K2893"/>
    </row>
    <row r="2894" spans="1:11" x14ac:dyDescent="0.3">
      <c r="A2894" s="2" t="s">
        <v>1142</v>
      </c>
      <c r="B2894" s="2" t="s">
        <v>126</v>
      </c>
      <c r="C2894" s="2" t="s">
        <v>111</v>
      </c>
      <c r="D2894" s="2" t="s">
        <v>2859</v>
      </c>
      <c r="E2894" s="4" t="str">
        <f>HYPERLINK("./Results/DLO\751\Osteo_Sarco_1.png","RPT")</f>
        <v>RPT</v>
      </c>
      <c r="F2894" s="2" t="s">
        <v>457</v>
      </c>
      <c r="G2894" s="6"/>
      <c r="I2894"/>
      <c r="J2894"/>
      <c r="K2894"/>
    </row>
    <row r="2895" spans="1:11" x14ac:dyDescent="0.3">
      <c r="A2895" s="2" t="s">
        <v>1152</v>
      </c>
      <c r="B2895" s="2" t="s">
        <v>149</v>
      </c>
      <c r="C2895" s="2" t="s">
        <v>111</v>
      </c>
      <c r="D2895" s="2" t="s">
        <v>2867</v>
      </c>
      <c r="E2895" s="4" t="str">
        <f>HYPERLINK("./Results/DLO\752\Osteo_Sarco_1.png","RPT")</f>
        <v>RPT</v>
      </c>
      <c r="F2895" s="2" t="s">
        <v>58</v>
      </c>
      <c r="G2895" s="6"/>
      <c r="I2895"/>
      <c r="J2895"/>
      <c r="K2895"/>
    </row>
    <row r="2896" spans="1:11" x14ac:dyDescent="0.3">
      <c r="A2896" s="2" t="s">
        <v>1163</v>
      </c>
      <c r="B2896" s="2" t="s">
        <v>143</v>
      </c>
      <c r="C2896" s="2" t="s">
        <v>119</v>
      </c>
      <c r="D2896" s="2" t="s">
        <v>2867</v>
      </c>
      <c r="E2896" s="4" t="str">
        <f>HYPERLINK("./Results/DLO\753\Osteo_Sarco_1.png","RPT")</f>
        <v>RPT</v>
      </c>
      <c r="F2896" s="2" t="s">
        <v>29</v>
      </c>
      <c r="G2896" s="6"/>
      <c r="H2896" s="1">
        <v>23.97</v>
      </c>
    </row>
    <row r="2897" spans="1:11" x14ac:dyDescent="0.3">
      <c r="A2897" s="2" t="s">
        <v>1157</v>
      </c>
      <c r="B2897" s="2" t="s">
        <v>131</v>
      </c>
      <c r="C2897" s="2" t="s">
        <v>111</v>
      </c>
      <c r="D2897" s="2" t="s">
        <v>2859</v>
      </c>
      <c r="E2897" s="4" t="str">
        <f>HYPERLINK("./Results/DLO\754\Osteo_Sarco_1.png","RPT")</f>
        <v>RPT</v>
      </c>
      <c r="F2897" s="2" t="s">
        <v>99</v>
      </c>
      <c r="G2897" s="6"/>
      <c r="I2897"/>
      <c r="J2897"/>
      <c r="K2897"/>
    </row>
    <row r="2898" spans="1:11" x14ac:dyDescent="0.3">
      <c r="A2898" s="2" t="s">
        <v>1158</v>
      </c>
      <c r="B2898" s="2" t="s">
        <v>149</v>
      </c>
      <c r="C2898" s="2" t="s">
        <v>119</v>
      </c>
      <c r="D2898" s="2" t="s">
        <v>2859</v>
      </c>
      <c r="E2898" s="4" t="str">
        <f>HYPERLINK("./Results/DLO\755\Osteo_Sarco_1.png","RPT")</f>
        <v>RPT</v>
      </c>
      <c r="F2898" s="2" t="s">
        <v>57</v>
      </c>
      <c r="G2898" s="6"/>
      <c r="I2898"/>
      <c r="J2898"/>
      <c r="K2898"/>
    </row>
    <row r="2899" spans="1:11" x14ac:dyDescent="0.3">
      <c r="A2899" s="2" t="s">
        <v>1153</v>
      </c>
      <c r="B2899" s="2" t="s">
        <v>133</v>
      </c>
      <c r="C2899" s="2" t="s">
        <v>111</v>
      </c>
      <c r="D2899" s="2" t="s">
        <v>2867</v>
      </c>
      <c r="E2899" s="4" t="str">
        <f>HYPERLINK("./Results/DLO\757\Osteo_Sarco_1.png","RPT")</f>
        <v>RPT</v>
      </c>
      <c r="F2899" s="2" t="s">
        <v>107</v>
      </c>
      <c r="G2899" s="6"/>
      <c r="I2899"/>
      <c r="J2899"/>
      <c r="K2899"/>
    </row>
    <row r="2900" spans="1:11" x14ac:dyDescent="0.3">
      <c r="A2900" s="2" t="s">
        <v>1164</v>
      </c>
      <c r="B2900" s="2" t="s">
        <v>129</v>
      </c>
      <c r="C2900" s="2" t="s">
        <v>111</v>
      </c>
      <c r="D2900" s="2" t="s">
        <v>2859</v>
      </c>
      <c r="E2900" s="4" t="str">
        <f>HYPERLINK("./Results/DLO\758\Osteo_Sarco_1.png","RPT")</f>
        <v>RPT</v>
      </c>
      <c r="F2900" s="2" t="s">
        <v>453</v>
      </c>
      <c r="G2900" s="6"/>
      <c r="I2900"/>
      <c r="J2900"/>
      <c r="K2900"/>
    </row>
    <row r="2901" spans="1:11" x14ac:dyDescent="0.3">
      <c r="A2901" s="2" t="s">
        <v>1146</v>
      </c>
      <c r="B2901" s="2" t="s">
        <v>118</v>
      </c>
      <c r="C2901" s="2" t="s">
        <v>119</v>
      </c>
      <c r="D2901" s="2" t="s">
        <v>2859</v>
      </c>
      <c r="E2901" s="4" t="str">
        <f>HYPERLINK("./Results/DLO\759\Osteo_Sarco_1.png","RPT")</f>
        <v>RPT</v>
      </c>
      <c r="F2901" s="2" t="s">
        <v>98</v>
      </c>
      <c r="G2901" s="6"/>
      <c r="I2901"/>
      <c r="J2901"/>
      <c r="K2901"/>
    </row>
    <row r="2902" spans="1:11" x14ac:dyDescent="0.3">
      <c r="A2902" s="2" t="s">
        <v>1144</v>
      </c>
      <c r="B2902" s="2" t="s">
        <v>140</v>
      </c>
      <c r="C2902" s="2" t="s">
        <v>119</v>
      </c>
      <c r="D2902" s="2" t="s">
        <v>2859</v>
      </c>
      <c r="E2902" s="4" t="str">
        <f>HYPERLINK("./Results/DLO\76\Osteo_Sarco_1.png","RPT")</f>
        <v>RPT</v>
      </c>
      <c r="F2902" s="2" t="s">
        <v>115</v>
      </c>
      <c r="G2902" s="6"/>
      <c r="H2902" s="1">
        <v>21.66</v>
      </c>
    </row>
    <row r="2903" spans="1:11" x14ac:dyDescent="0.3">
      <c r="A2903" s="2" t="s">
        <v>1143</v>
      </c>
      <c r="B2903" s="2" t="s">
        <v>142</v>
      </c>
      <c r="C2903" s="2" t="s">
        <v>119</v>
      </c>
      <c r="D2903" s="2" t="s">
        <v>2859</v>
      </c>
      <c r="E2903" s="4" t="str">
        <f>HYPERLINK("./Results/DLO\760\Osteo_Sarco_1.png","RPT")</f>
        <v>RPT</v>
      </c>
      <c r="F2903" s="2" t="s">
        <v>48</v>
      </c>
      <c r="G2903" s="6"/>
      <c r="I2903"/>
      <c r="J2903"/>
      <c r="K2903"/>
    </row>
    <row r="2904" spans="1:11" x14ac:dyDescent="0.3">
      <c r="A2904" s="2" t="s">
        <v>1161</v>
      </c>
      <c r="B2904" s="2" t="s">
        <v>148</v>
      </c>
      <c r="C2904" s="2" t="s">
        <v>119</v>
      </c>
      <c r="D2904" s="2" t="s">
        <v>2859</v>
      </c>
      <c r="E2904" s="4" t="str">
        <f>HYPERLINK("./Results/DLO\761\Osteo_Sarco_1.png","RPT")</f>
        <v>RPT</v>
      </c>
      <c r="F2904" s="2" t="s">
        <v>73</v>
      </c>
      <c r="G2904" s="6"/>
      <c r="I2904"/>
      <c r="J2904"/>
      <c r="K2904"/>
    </row>
    <row r="2905" spans="1:11" x14ac:dyDescent="0.3">
      <c r="A2905" s="2" t="s">
        <v>1154</v>
      </c>
      <c r="B2905" s="2" t="s">
        <v>116</v>
      </c>
      <c r="C2905" s="2" t="s">
        <v>119</v>
      </c>
      <c r="D2905" s="2" t="s">
        <v>2859</v>
      </c>
      <c r="E2905" s="4" t="str">
        <f>HYPERLINK("./Results/DLO\762\Osteo_Sarco_1.png","RPT")</f>
        <v>RPT</v>
      </c>
      <c r="F2905" s="2" t="s">
        <v>29</v>
      </c>
      <c r="G2905" s="6"/>
      <c r="H2905" s="1">
        <v>24.46</v>
      </c>
    </row>
    <row r="2906" spans="1:11" x14ac:dyDescent="0.3">
      <c r="A2906" s="2" t="s">
        <v>1145</v>
      </c>
      <c r="B2906" s="2" t="s">
        <v>127</v>
      </c>
      <c r="C2906" s="2" t="s">
        <v>119</v>
      </c>
      <c r="D2906" s="2" t="s">
        <v>2859</v>
      </c>
      <c r="E2906" s="4" t="str">
        <f>HYPERLINK("./Results/DLO\763\Osteo_Sarco_1.png","RPT")</f>
        <v>RPT</v>
      </c>
      <c r="F2906" s="2" t="s">
        <v>29</v>
      </c>
      <c r="G2906" s="6"/>
      <c r="I2906"/>
      <c r="J2906"/>
      <c r="K2906"/>
    </row>
    <row r="2907" spans="1:11" x14ac:dyDescent="0.3">
      <c r="A2907" s="2" t="s">
        <v>1147</v>
      </c>
      <c r="B2907" s="2" t="s">
        <v>143</v>
      </c>
      <c r="C2907" s="2" t="s">
        <v>119</v>
      </c>
      <c r="D2907" s="2" t="s">
        <v>2859</v>
      </c>
      <c r="E2907" s="4" t="str">
        <f>HYPERLINK("./Results/DLO\764\Osteo_Sarco_1.png","RPT")</f>
        <v>RPT</v>
      </c>
      <c r="F2907" s="2" t="s">
        <v>34</v>
      </c>
      <c r="G2907" s="6"/>
      <c r="H2907" s="1">
        <v>24.03</v>
      </c>
    </row>
    <row r="2908" spans="1:11" x14ac:dyDescent="0.3">
      <c r="A2908" s="2" t="s">
        <v>1148</v>
      </c>
      <c r="B2908" s="2" t="s">
        <v>162</v>
      </c>
      <c r="C2908" s="2" t="s">
        <v>119</v>
      </c>
      <c r="D2908" s="2" t="s">
        <v>2859</v>
      </c>
      <c r="E2908" s="4" t="str">
        <f>HYPERLINK("./Results/DLO\765\Osteo_Sarco_1.png","RPT")</f>
        <v>RPT</v>
      </c>
      <c r="F2908" s="2" t="s">
        <v>454</v>
      </c>
      <c r="G2908" s="6"/>
      <c r="I2908"/>
      <c r="J2908"/>
      <c r="K2908"/>
    </row>
    <row r="2909" spans="1:11" x14ac:dyDescent="0.3">
      <c r="A2909" s="2" t="s">
        <v>1149</v>
      </c>
      <c r="B2909" s="2" t="s">
        <v>141</v>
      </c>
      <c r="C2909" s="2" t="s">
        <v>111</v>
      </c>
      <c r="D2909" s="2" t="s">
        <v>2859</v>
      </c>
      <c r="E2909" s="4" t="str">
        <f>HYPERLINK("./Results/DLO\766\Osteo_Sarco_1.png","RPT")</f>
        <v>RPT</v>
      </c>
      <c r="F2909" s="2" t="s">
        <v>468</v>
      </c>
      <c r="G2909" s="6"/>
      <c r="H2909" s="1">
        <v>25.46</v>
      </c>
    </row>
    <row r="2910" spans="1:11" x14ac:dyDescent="0.3">
      <c r="A2910" s="2" t="s">
        <v>1156</v>
      </c>
      <c r="B2910" s="2" t="s">
        <v>134</v>
      </c>
      <c r="C2910" s="2" t="s">
        <v>119</v>
      </c>
      <c r="D2910" s="2" t="s">
        <v>2859</v>
      </c>
      <c r="E2910" s="4" t="str">
        <f>HYPERLINK("./Results/DLO\767\Osteo_Sarco_1.png","RPT")</f>
        <v>RPT</v>
      </c>
      <c r="F2910" s="2" t="s">
        <v>44</v>
      </c>
      <c r="G2910" s="6"/>
      <c r="H2910" s="1">
        <v>27.33</v>
      </c>
    </row>
    <row r="2911" spans="1:11" x14ac:dyDescent="0.3">
      <c r="A2911" s="2" t="s">
        <v>1155</v>
      </c>
      <c r="B2911" s="2" t="s">
        <v>164</v>
      </c>
      <c r="C2911" s="2" t="s">
        <v>119</v>
      </c>
      <c r="D2911" s="2" t="s">
        <v>2867</v>
      </c>
      <c r="E2911" s="4" t="str">
        <f>HYPERLINK("./Results/DLO\768\Osteo_Sarco_1.png","RPT")</f>
        <v>RPT</v>
      </c>
      <c r="F2911" s="2" t="s">
        <v>164</v>
      </c>
      <c r="G2911" s="6"/>
      <c r="H2911" s="1">
        <v>18.53</v>
      </c>
    </row>
    <row r="2912" spans="1:11" x14ac:dyDescent="0.3">
      <c r="A2912" s="2" t="s">
        <v>1162</v>
      </c>
      <c r="B2912" s="2" t="s">
        <v>129</v>
      </c>
      <c r="C2912" s="2" t="s">
        <v>119</v>
      </c>
      <c r="D2912" s="2" t="s">
        <v>2867</v>
      </c>
      <c r="E2912" s="4" t="str">
        <f>HYPERLINK("./Results/DLO\769\Osteo_Sarco_1.png","RPT")</f>
        <v>RPT</v>
      </c>
      <c r="F2912" s="2" t="s">
        <v>43</v>
      </c>
      <c r="G2912" s="6"/>
      <c r="I2912"/>
      <c r="J2912"/>
      <c r="K2912"/>
    </row>
    <row r="2913" spans="1:11" x14ac:dyDescent="0.3">
      <c r="A2913" s="2" t="s">
        <v>1150</v>
      </c>
      <c r="B2913" s="2" t="s">
        <v>166</v>
      </c>
      <c r="C2913" s="2" t="s">
        <v>111</v>
      </c>
      <c r="D2913" s="2" t="s">
        <v>2859</v>
      </c>
      <c r="E2913" s="4" t="str">
        <f>HYPERLINK("./Results/DLO\77\Osteo_Sarco_1.png","RPT")</f>
        <v>RPT</v>
      </c>
      <c r="F2913" s="2" t="s">
        <v>455</v>
      </c>
      <c r="G2913" s="6"/>
      <c r="I2913"/>
      <c r="J2913"/>
      <c r="K2913"/>
    </row>
    <row r="2914" spans="1:11" x14ac:dyDescent="0.3">
      <c r="A2914" s="2" t="s">
        <v>1151</v>
      </c>
      <c r="B2914" s="2" t="s">
        <v>149</v>
      </c>
      <c r="C2914" s="2" t="s">
        <v>119</v>
      </c>
      <c r="D2914" s="2" t="s">
        <v>2859</v>
      </c>
      <c r="E2914" s="4" t="str">
        <f>HYPERLINK("./Results/DLO\770\Osteo_Sarco_1.png","RPT")</f>
        <v>RPT</v>
      </c>
      <c r="F2914" s="2" t="s">
        <v>77</v>
      </c>
      <c r="G2914" s="6"/>
      <c r="H2914" s="1">
        <v>22.16</v>
      </c>
    </row>
    <row r="2915" spans="1:11" x14ac:dyDescent="0.3">
      <c r="A2915" s="2" t="s">
        <v>1159</v>
      </c>
      <c r="B2915" s="2" t="s">
        <v>166</v>
      </c>
      <c r="C2915" s="2" t="s">
        <v>111</v>
      </c>
      <c r="D2915" s="2" t="s">
        <v>2859</v>
      </c>
      <c r="E2915" s="4" t="str">
        <f>HYPERLINK("./Results/DLO\771\Osteo_Sarco_1.png","RPT")</f>
        <v>RPT</v>
      </c>
      <c r="F2915" s="2" t="s">
        <v>62</v>
      </c>
      <c r="G2915" s="6"/>
      <c r="H2915" s="1">
        <v>25.62</v>
      </c>
    </row>
    <row r="2916" spans="1:11" x14ac:dyDescent="0.3">
      <c r="A2916" s="2" t="s">
        <v>1187</v>
      </c>
      <c r="B2916" s="2" t="s">
        <v>168</v>
      </c>
      <c r="C2916" s="2" t="s">
        <v>111</v>
      </c>
      <c r="D2916" s="2" t="s">
        <v>2859</v>
      </c>
      <c r="E2916" s="4" t="str">
        <f>HYPERLINK("./Results/DLO\772\Osteo_Sarco_1.png","RPT")</f>
        <v>RPT</v>
      </c>
      <c r="F2916" s="2" t="s">
        <v>107</v>
      </c>
      <c r="G2916" s="6"/>
      <c r="I2916"/>
      <c r="J2916"/>
      <c r="K2916"/>
    </row>
    <row r="2917" spans="1:11" x14ac:dyDescent="0.3">
      <c r="A2917" s="2" t="s">
        <v>1188</v>
      </c>
      <c r="B2917" s="2" t="s">
        <v>120</v>
      </c>
      <c r="C2917" s="2" t="s">
        <v>119</v>
      </c>
      <c r="D2917" s="2" t="s">
        <v>2859</v>
      </c>
      <c r="E2917" s="4" t="str">
        <f>HYPERLINK("./Results/DLO\773\Osteo_Sarco_1.png","RPT")</f>
        <v>RPT</v>
      </c>
      <c r="F2917" s="2" t="s">
        <v>69</v>
      </c>
      <c r="G2917" s="6"/>
      <c r="H2917" s="1">
        <v>33.22</v>
      </c>
    </row>
    <row r="2918" spans="1:11" x14ac:dyDescent="0.3">
      <c r="A2918" s="2" t="s">
        <v>1167</v>
      </c>
      <c r="B2918" s="2" t="s">
        <v>164</v>
      </c>
      <c r="C2918" s="2" t="s">
        <v>119</v>
      </c>
      <c r="D2918" s="2" t="s">
        <v>2867</v>
      </c>
      <c r="E2918" s="4" t="str">
        <f>HYPERLINK("./Results/DLO\774\Osteo_Sarco_1.png","RPT")</f>
        <v>RPT</v>
      </c>
      <c r="F2918" s="2" t="s">
        <v>588</v>
      </c>
      <c r="G2918" s="6"/>
      <c r="I2918"/>
      <c r="J2918"/>
      <c r="K2918"/>
    </row>
    <row r="2919" spans="1:11" x14ac:dyDescent="0.3">
      <c r="A2919" s="2" t="s">
        <v>1186</v>
      </c>
      <c r="B2919" s="2" t="s">
        <v>136</v>
      </c>
      <c r="C2919" s="2" t="s">
        <v>111</v>
      </c>
      <c r="D2919" s="2" t="s">
        <v>2867</v>
      </c>
      <c r="E2919" s="4" t="str">
        <f>HYPERLINK("./Results/DLO\775\Osteo_Sarco_1.png","RPT")</f>
        <v>RPT</v>
      </c>
      <c r="F2919" s="2" t="s">
        <v>26</v>
      </c>
      <c r="G2919" s="6"/>
      <c r="I2919"/>
      <c r="J2919"/>
      <c r="K2919"/>
    </row>
    <row r="2920" spans="1:11" x14ac:dyDescent="0.3">
      <c r="A2920" s="2" t="s">
        <v>1191</v>
      </c>
      <c r="B2920" s="2" t="s">
        <v>165</v>
      </c>
      <c r="C2920" s="2" t="s">
        <v>111</v>
      </c>
      <c r="D2920" s="2" t="s">
        <v>2859</v>
      </c>
      <c r="E2920" s="4" t="str">
        <f>HYPERLINK("./Results/DLO\776\Osteo_Sarco_1.png","RPT")</f>
        <v>RPT</v>
      </c>
      <c r="F2920" s="2" t="s">
        <v>6</v>
      </c>
      <c r="G2920" s="6"/>
      <c r="I2920"/>
      <c r="J2920"/>
      <c r="K2920"/>
    </row>
    <row r="2921" spans="1:11" x14ac:dyDescent="0.3">
      <c r="A2921" s="2" t="s">
        <v>1189</v>
      </c>
      <c r="B2921" s="2" t="s">
        <v>148</v>
      </c>
      <c r="C2921" s="2" t="s">
        <v>111</v>
      </c>
      <c r="D2921" s="2" t="s">
        <v>2859</v>
      </c>
      <c r="E2921" s="4" t="str">
        <f>HYPERLINK("./Results/DLO\777\Osteo_Sarco_1.png","RPT")</f>
        <v>RPT</v>
      </c>
      <c r="F2921" s="2" t="s">
        <v>57</v>
      </c>
      <c r="G2921" s="6"/>
      <c r="H2921" s="1">
        <v>19.53</v>
      </c>
    </row>
    <row r="2922" spans="1:11" x14ac:dyDescent="0.3">
      <c r="A2922" s="2" t="s">
        <v>1192</v>
      </c>
      <c r="B2922" s="2" t="s">
        <v>133</v>
      </c>
      <c r="C2922" s="2" t="s">
        <v>111</v>
      </c>
      <c r="D2922" s="2" t="s">
        <v>2867</v>
      </c>
      <c r="E2922" s="4" t="str">
        <f>HYPERLINK("./Results/DLO\778\Osteo_Sarco_1.png","RPT")</f>
        <v>RPT</v>
      </c>
      <c r="F2922" s="2" t="s">
        <v>63</v>
      </c>
      <c r="G2922" s="6"/>
      <c r="I2922"/>
      <c r="J2922"/>
      <c r="K2922"/>
    </row>
    <row r="2923" spans="1:11" x14ac:dyDescent="0.3">
      <c r="A2923" s="2" t="s">
        <v>1165</v>
      </c>
      <c r="B2923" s="2" t="s">
        <v>127</v>
      </c>
      <c r="C2923" s="2" t="s">
        <v>119</v>
      </c>
      <c r="D2923" s="2" t="s">
        <v>2859</v>
      </c>
      <c r="E2923" s="4" t="str">
        <f>HYPERLINK("./Results/DLO\779\Osteo_Sarco_1.png","RPT")</f>
        <v>RPT</v>
      </c>
      <c r="F2923" s="2" t="s">
        <v>27</v>
      </c>
      <c r="G2923" s="6"/>
      <c r="I2923"/>
      <c r="J2923"/>
      <c r="K2923"/>
    </row>
    <row r="2924" spans="1:11" x14ac:dyDescent="0.3">
      <c r="A2924" s="2" t="s">
        <v>1176</v>
      </c>
      <c r="B2924" s="2" t="s">
        <v>150</v>
      </c>
      <c r="C2924" s="2" t="s">
        <v>111</v>
      </c>
      <c r="D2924" s="2" t="s">
        <v>2867</v>
      </c>
      <c r="E2924" s="4" t="str">
        <f>HYPERLINK("./Results/DLO\78\Osteo_Sarco_1.png","RPT")</f>
        <v>RPT</v>
      </c>
      <c r="F2924" s="2" t="s">
        <v>90</v>
      </c>
      <c r="G2924" s="6"/>
      <c r="H2924" s="1">
        <v>21.19</v>
      </c>
    </row>
    <row r="2925" spans="1:11" x14ac:dyDescent="0.3">
      <c r="A2925" s="2" t="s">
        <v>1166</v>
      </c>
      <c r="B2925" s="2" t="s">
        <v>118</v>
      </c>
      <c r="C2925" s="2" t="s">
        <v>111</v>
      </c>
      <c r="D2925" s="2" t="s">
        <v>2859</v>
      </c>
      <c r="E2925" s="4" t="str">
        <f>HYPERLINK("./Results/DLO\780\Osteo_Sarco_1.png","RPT")</f>
        <v>RPT</v>
      </c>
      <c r="F2925" s="2" t="s">
        <v>467</v>
      </c>
      <c r="G2925" s="6"/>
      <c r="I2925"/>
      <c r="J2925"/>
      <c r="K2925"/>
    </row>
    <row r="2926" spans="1:11" x14ac:dyDescent="0.3">
      <c r="A2926" s="2" t="s">
        <v>1177</v>
      </c>
      <c r="B2926" s="2" t="s">
        <v>148</v>
      </c>
      <c r="C2926" s="2" t="s">
        <v>119</v>
      </c>
      <c r="D2926" s="2" t="s">
        <v>2867</v>
      </c>
      <c r="E2926" s="4" t="str">
        <f>HYPERLINK("./Results/DLO\781\Osteo_Sarco_1.png","RPT")</f>
        <v>RPT</v>
      </c>
      <c r="F2926" s="2" t="s">
        <v>50</v>
      </c>
      <c r="G2926" s="6"/>
      <c r="I2926"/>
      <c r="J2926"/>
      <c r="K2926"/>
    </row>
    <row r="2927" spans="1:11" x14ac:dyDescent="0.3">
      <c r="A2927" s="2" t="s">
        <v>1168</v>
      </c>
      <c r="B2927" s="2" t="s">
        <v>118</v>
      </c>
      <c r="C2927" s="2" t="s">
        <v>111</v>
      </c>
      <c r="D2927" s="2" t="s">
        <v>2859</v>
      </c>
      <c r="E2927" s="4" t="str">
        <f>HYPERLINK("./Results/DLO\782\Osteo_Sarco_1.png","RPT")</f>
        <v>RPT</v>
      </c>
      <c r="F2927" s="2" t="s">
        <v>445</v>
      </c>
      <c r="G2927" s="6"/>
      <c r="H2927" s="1">
        <v>22.05</v>
      </c>
    </row>
    <row r="2928" spans="1:11" x14ac:dyDescent="0.3">
      <c r="A2928" s="2" t="s">
        <v>1190</v>
      </c>
      <c r="B2928" s="2" t="s">
        <v>133</v>
      </c>
      <c r="C2928" s="2" t="s">
        <v>111</v>
      </c>
      <c r="D2928" s="2" t="s">
        <v>2867</v>
      </c>
      <c r="E2928" s="4" t="str">
        <f>HYPERLINK("./Results/DLO\783\Osteo_Sarco_1.png","RPT")</f>
        <v>RPT</v>
      </c>
      <c r="F2928" s="2" t="s">
        <v>475</v>
      </c>
      <c r="G2928" s="6"/>
      <c r="H2928" s="1">
        <v>20.94</v>
      </c>
    </row>
    <row r="2929" spans="1:11" x14ac:dyDescent="0.3">
      <c r="A2929" s="2" t="s">
        <v>1169</v>
      </c>
      <c r="B2929" s="2" t="s">
        <v>138</v>
      </c>
      <c r="C2929" s="2" t="s">
        <v>119</v>
      </c>
      <c r="D2929" s="2" t="s">
        <v>2859</v>
      </c>
      <c r="E2929" s="4" t="str">
        <f>HYPERLINK("./Results/DLO\784\Osteo_Sarco_1.png","RPT")</f>
        <v>RPT</v>
      </c>
      <c r="F2929" s="2" t="s">
        <v>583</v>
      </c>
      <c r="G2929" s="6"/>
      <c r="H2929" s="1">
        <v>20.93</v>
      </c>
    </row>
    <row r="2930" spans="1:11" x14ac:dyDescent="0.3">
      <c r="A2930" s="2" t="s">
        <v>1170</v>
      </c>
      <c r="B2930" s="2" t="s">
        <v>112</v>
      </c>
      <c r="C2930" s="2" t="s">
        <v>119</v>
      </c>
      <c r="D2930" s="2" t="s">
        <v>2867</v>
      </c>
      <c r="E2930" s="4" t="str">
        <f>HYPERLINK("./Results/DLO\785\Osteo_Sarco_1.png","RPT")</f>
        <v>RPT</v>
      </c>
      <c r="F2930" s="2" t="s">
        <v>61</v>
      </c>
      <c r="G2930" s="6"/>
      <c r="I2930"/>
      <c r="J2930"/>
      <c r="K2930"/>
    </row>
    <row r="2931" spans="1:11" x14ac:dyDescent="0.3">
      <c r="A2931" s="2" t="s">
        <v>1178</v>
      </c>
      <c r="B2931" s="2" t="s">
        <v>165</v>
      </c>
      <c r="C2931" s="2" t="s">
        <v>119</v>
      </c>
      <c r="D2931" s="2" t="s">
        <v>2867</v>
      </c>
      <c r="E2931" s="4" t="str">
        <f>HYPERLINK("./Results/DLO\786\Osteo_Sarco_1.png","RPT")</f>
        <v>RPT</v>
      </c>
      <c r="F2931" s="2" t="s">
        <v>585</v>
      </c>
      <c r="G2931" s="6"/>
      <c r="I2931"/>
      <c r="J2931"/>
      <c r="K2931"/>
    </row>
    <row r="2932" spans="1:11" x14ac:dyDescent="0.3">
      <c r="A2932" s="2" t="s">
        <v>1171</v>
      </c>
      <c r="B2932" s="2" t="s">
        <v>166</v>
      </c>
      <c r="C2932" s="2" t="s">
        <v>119</v>
      </c>
      <c r="D2932" s="2" t="s">
        <v>2859</v>
      </c>
      <c r="E2932" s="4" t="str">
        <f>HYPERLINK("./Results/DLO\787\Osteo_Sarco_1.png","RPT")</f>
        <v>RPT</v>
      </c>
      <c r="F2932" s="2" t="s">
        <v>28</v>
      </c>
      <c r="G2932" s="6"/>
      <c r="I2932"/>
      <c r="J2932"/>
      <c r="K2932"/>
    </row>
    <row r="2933" spans="1:11" x14ac:dyDescent="0.3">
      <c r="A2933" s="2" t="s">
        <v>1172</v>
      </c>
      <c r="B2933" s="2" t="s">
        <v>137</v>
      </c>
      <c r="C2933" s="2" t="s">
        <v>111</v>
      </c>
      <c r="D2933" s="2" t="s">
        <v>2859</v>
      </c>
      <c r="E2933" s="4" t="str">
        <f>HYPERLINK("./Results/DLO\788\Osteo_Sarco_1.png","RPT")</f>
        <v>RPT</v>
      </c>
      <c r="F2933" s="2" t="s">
        <v>474</v>
      </c>
      <c r="G2933" s="6"/>
      <c r="I2933"/>
      <c r="J2933"/>
      <c r="K2933"/>
    </row>
    <row r="2934" spans="1:11" x14ac:dyDescent="0.3">
      <c r="A2934" s="2" t="s">
        <v>1184</v>
      </c>
      <c r="B2934" s="2" t="s">
        <v>146</v>
      </c>
      <c r="C2934" s="2" t="s">
        <v>111</v>
      </c>
      <c r="D2934" s="2" t="s">
        <v>2859</v>
      </c>
      <c r="E2934" s="4" t="str">
        <f>HYPERLINK("./Results/DLO\79\Osteo_Sarco_1.png","RPT")</f>
        <v>RPT</v>
      </c>
      <c r="F2934" s="2" t="s">
        <v>475</v>
      </c>
      <c r="G2934" s="6"/>
      <c r="I2934"/>
      <c r="J2934"/>
      <c r="K2934"/>
    </row>
    <row r="2935" spans="1:11" x14ac:dyDescent="0.3">
      <c r="A2935" s="2" t="s">
        <v>1173</v>
      </c>
      <c r="B2935" s="2" t="s">
        <v>120</v>
      </c>
      <c r="C2935" s="2" t="s">
        <v>111</v>
      </c>
      <c r="D2935" s="2" t="s">
        <v>2859</v>
      </c>
      <c r="E2935" s="4" t="str">
        <f>HYPERLINK("./Results/DLO\790\Osteo_Sarco_1.png","RPT")</f>
        <v>RPT</v>
      </c>
      <c r="F2935" s="2" t="s">
        <v>108</v>
      </c>
      <c r="G2935" s="6"/>
      <c r="H2935" s="1">
        <v>22.86</v>
      </c>
    </row>
    <row r="2936" spans="1:11" x14ac:dyDescent="0.3">
      <c r="A2936" s="2" t="s">
        <v>1174</v>
      </c>
      <c r="B2936" s="2" t="s">
        <v>148</v>
      </c>
      <c r="C2936" s="2" t="s">
        <v>111</v>
      </c>
      <c r="D2936" s="2" t="s">
        <v>2867</v>
      </c>
      <c r="E2936" s="4" t="str">
        <f>HYPERLINK("./Results/DLO\791\Osteo_Sarco_1.png","RPT")</f>
        <v>RPT</v>
      </c>
      <c r="F2936" s="2" t="s">
        <v>64</v>
      </c>
      <c r="G2936" s="6"/>
      <c r="H2936" s="1">
        <v>25.16</v>
      </c>
    </row>
    <row r="2937" spans="1:11" x14ac:dyDescent="0.3">
      <c r="A2937" s="2" t="s">
        <v>1175</v>
      </c>
      <c r="B2937" s="2" t="s">
        <v>137</v>
      </c>
      <c r="C2937" s="2" t="s">
        <v>119</v>
      </c>
      <c r="D2937" s="2" t="s">
        <v>2867</v>
      </c>
      <c r="E2937" s="4" t="str">
        <f>HYPERLINK("./Results/DLO\792\Osteo_Sarco_1.png","RPT")</f>
        <v>RPT</v>
      </c>
      <c r="F2937" s="2" t="s">
        <v>121</v>
      </c>
      <c r="G2937" s="6"/>
      <c r="I2937"/>
      <c r="J2937"/>
      <c r="K2937"/>
    </row>
    <row r="2938" spans="1:11" x14ac:dyDescent="0.3">
      <c r="A2938" s="2" t="s">
        <v>1179</v>
      </c>
      <c r="B2938" s="2" t="s">
        <v>157</v>
      </c>
      <c r="C2938" s="2" t="s">
        <v>119</v>
      </c>
      <c r="D2938" s="2" t="s">
        <v>2859</v>
      </c>
      <c r="E2938" s="4" t="str">
        <f>HYPERLINK("./Results/DLO\794\Osteo_Sarco_1.png","RPT")</f>
        <v>RPT</v>
      </c>
      <c r="F2938" s="2" t="s">
        <v>43</v>
      </c>
      <c r="G2938" s="6"/>
      <c r="I2938"/>
      <c r="J2938"/>
      <c r="K2938"/>
    </row>
    <row r="2939" spans="1:11" x14ac:dyDescent="0.3">
      <c r="A2939" s="2" t="s">
        <v>1180</v>
      </c>
      <c r="B2939" s="2" t="s">
        <v>163</v>
      </c>
      <c r="C2939" s="2" t="s">
        <v>111</v>
      </c>
      <c r="D2939" s="2" t="s">
        <v>2859</v>
      </c>
      <c r="E2939" s="4" t="str">
        <f>HYPERLINK("./Results/DLO\795\Osteo_Sarco_1.png","RPT")</f>
        <v>RPT</v>
      </c>
      <c r="F2939" s="2" t="s">
        <v>106</v>
      </c>
      <c r="G2939" s="6"/>
      <c r="I2939"/>
      <c r="J2939"/>
      <c r="K2939"/>
    </row>
    <row r="2940" spans="1:11" x14ac:dyDescent="0.3">
      <c r="A2940" s="2" t="s">
        <v>1185</v>
      </c>
      <c r="B2940" s="2" t="s">
        <v>151</v>
      </c>
      <c r="C2940" s="2" t="s">
        <v>111</v>
      </c>
      <c r="D2940" s="2" t="s">
        <v>2859</v>
      </c>
      <c r="E2940" s="4" t="str">
        <f>HYPERLINK("./Results/DLO\796\Osteo_Sarco_1.png","RPT")</f>
        <v>RPT</v>
      </c>
      <c r="F2940" s="2" t="s">
        <v>450</v>
      </c>
      <c r="G2940" s="6"/>
      <c r="I2940"/>
      <c r="J2940"/>
      <c r="K2940"/>
    </row>
    <row r="2941" spans="1:11" x14ac:dyDescent="0.3">
      <c r="A2941" s="2" t="s">
        <v>1181</v>
      </c>
      <c r="B2941" s="2" t="s">
        <v>164</v>
      </c>
      <c r="C2941" s="2" t="s">
        <v>111</v>
      </c>
      <c r="D2941" s="2" t="s">
        <v>2859</v>
      </c>
      <c r="E2941" s="4" t="str">
        <f>HYPERLINK("./Results/DLO\797\Osteo_Sarco_1.png","RPT")</f>
        <v>RPT</v>
      </c>
      <c r="F2941" s="2" t="s">
        <v>84</v>
      </c>
      <c r="G2941" s="6"/>
      <c r="H2941" s="1">
        <v>24.31</v>
      </c>
    </row>
    <row r="2942" spans="1:11" x14ac:dyDescent="0.3">
      <c r="A2942" s="2" t="s">
        <v>1182</v>
      </c>
      <c r="B2942" s="2" t="s">
        <v>582</v>
      </c>
      <c r="C2942" s="2" t="s">
        <v>119</v>
      </c>
      <c r="D2942" s="2" t="s">
        <v>2859</v>
      </c>
      <c r="E2942" s="4" t="str">
        <f>HYPERLINK("./Results/DLO\798\Osteo_Sarco_1.png","RPT")</f>
        <v>RPT</v>
      </c>
      <c r="F2942" s="2" t="s">
        <v>74</v>
      </c>
      <c r="G2942" s="6"/>
      <c r="I2942"/>
      <c r="J2942"/>
      <c r="K2942"/>
    </row>
    <row r="2943" spans="1:11" x14ac:dyDescent="0.3">
      <c r="A2943" s="2" t="s">
        <v>1183</v>
      </c>
      <c r="B2943" s="2" t="s">
        <v>161</v>
      </c>
      <c r="C2943" s="2" t="s">
        <v>111</v>
      </c>
      <c r="D2943" s="2" t="s">
        <v>2859</v>
      </c>
      <c r="E2943" s="4" t="str">
        <f>HYPERLINK("./Results/DLO\799\Osteo_Sarco_1.png","RPT")</f>
        <v>RPT</v>
      </c>
      <c r="F2943" s="2" t="s">
        <v>21</v>
      </c>
      <c r="G2943" s="6"/>
      <c r="H2943" s="1">
        <v>17.68</v>
      </c>
    </row>
    <row r="2944" spans="1:11" x14ac:dyDescent="0.3">
      <c r="A2944" s="2" t="s">
        <v>1208</v>
      </c>
      <c r="B2944" s="2" t="s">
        <v>139</v>
      </c>
      <c r="C2944" s="2" t="s">
        <v>119</v>
      </c>
      <c r="D2944" s="2" t="s">
        <v>2867</v>
      </c>
      <c r="E2944" s="4" t="str">
        <f>HYPERLINK("./Results/DLO\8\Osteo_Sarco_1.png","RPT")</f>
        <v>RPT</v>
      </c>
      <c r="F2944" s="2" t="s">
        <v>88</v>
      </c>
      <c r="G2944" s="6"/>
      <c r="I2944"/>
      <c r="J2944"/>
      <c r="K2944"/>
    </row>
    <row r="2945" spans="1:11" x14ac:dyDescent="0.3">
      <c r="A2945" s="2" t="s">
        <v>1199</v>
      </c>
      <c r="B2945" s="2" t="s">
        <v>120</v>
      </c>
      <c r="C2945" s="2" t="s">
        <v>111</v>
      </c>
      <c r="D2945" s="2" t="s">
        <v>2859</v>
      </c>
      <c r="E2945" s="4" t="str">
        <f>HYPERLINK("./Results/DLO\80\Osteo_Sarco_1.png","RPT")</f>
        <v>RPT</v>
      </c>
      <c r="F2945" s="2" t="s">
        <v>466</v>
      </c>
      <c r="G2945" s="6"/>
      <c r="I2945"/>
      <c r="J2945"/>
      <c r="K2945"/>
    </row>
    <row r="2946" spans="1:11" x14ac:dyDescent="0.3">
      <c r="A2946" s="2" t="s">
        <v>1215</v>
      </c>
      <c r="B2946" s="2" t="s">
        <v>168</v>
      </c>
      <c r="C2946" s="2" t="s">
        <v>111</v>
      </c>
      <c r="D2946" s="2" t="s">
        <v>2859</v>
      </c>
      <c r="E2946" s="4" t="str">
        <f>HYPERLINK("./Results/DLO\800\Osteo_Sarco_1.png","RPT")</f>
        <v>RPT</v>
      </c>
      <c r="F2946" s="2" t="s">
        <v>461</v>
      </c>
      <c r="G2946" s="6"/>
      <c r="I2946"/>
      <c r="J2946"/>
      <c r="K2946"/>
    </row>
    <row r="2947" spans="1:11" x14ac:dyDescent="0.3">
      <c r="A2947" s="2" t="s">
        <v>1193</v>
      </c>
      <c r="B2947" s="2" t="s">
        <v>165</v>
      </c>
      <c r="C2947" s="2" t="s">
        <v>119</v>
      </c>
      <c r="D2947" s="2" t="s">
        <v>2859</v>
      </c>
      <c r="E2947" s="4" t="str">
        <f>HYPERLINK("./Results/DLO\801\Osteo_Sarco_1.png","RPT")</f>
        <v>RPT</v>
      </c>
      <c r="F2947" s="2" t="s">
        <v>77</v>
      </c>
      <c r="G2947" s="6"/>
      <c r="I2947"/>
      <c r="J2947"/>
      <c r="K2947"/>
    </row>
    <row r="2948" spans="1:11" x14ac:dyDescent="0.3">
      <c r="A2948" s="2" t="s">
        <v>1205</v>
      </c>
      <c r="B2948" s="2" t="s">
        <v>164</v>
      </c>
      <c r="C2948" s="2" t="s">
        <v>119</v>
      </c>
      <c r="D2948" s="2" t="s">
        <v>2859</v>
      </c>
      <c r="E2948" s="4" t="str">
        <f>HYPERLINK("./Results/DLO\802\Osteo_Sarco_1.png","RPT")</f>
        <v>RPT</v>
      </c>
      <c r="F2948" s="2" t="s">
        <v>60</v>
      </c>
      <c r="G2948" s="6"/>
      <c r="H2948" s="1">
        <v>25.51</v>
      </c>
    </row>
    <row r="2949" spans="1:11" x14ac:dyDescent="0.3">
      <c r="A2949" s="2" t="s">
        <v>1210</v>
      </c>
      <c r="B2949" s="2" t="s">
        <v>123</v>
      </c>
      <c r="C2949" s="2" t="s">
        <v>119</v>
      </c>
      <c r="D2949" s="2" t="s">
        <v>2867</v>
      </c>
      <c r="E2949" s="4" t="str">
        <f>HYPERLINK("./Results/DLO\803\Osteo_Sarco_1.png","RPT")</f>
        <v>RPT</v>
      </c>
      <c r="F2949" s="2" t="s">
        <v>87</v>
      </c>
      <c r="G2949" s="6"/>
      <c r="I2949"/>
      <c r="J2949"/>
      <c r="K2949"/>
    </row>
    <row r="2950" spans="1:11" x14ac:dyDescent="0.3">
      <c r="A2950" s="2" t="s">
        <v>1206</v>
      </c>
      <c r="B2950" s="2" t="s">
        <v>168</v>
      </c>
      <c r="C2950" s="2" t="s">
        <v>119</v>
      </c>
      <c r="D2950" s="2" t="s">
        <v>2859</v>
      </c>
      <c r="E2950" s="4" t="str">
        <f>HYPERLINK("./Results/DLO\804\Osteo_Sarco_1.png","RPT")</f>
        <v>RPT</v>
      </c>
      <c r="F2950" s="2" t="s">
        <v>57</v>
      </c>
      <c r="G2950" s="6"/>
      <c r="I2950"/>
      <c r="J2950"/>
      <c r="K2950"/>
    </row>
    <row r="2951" spans="1:11" x14ac:dyDescent="0.3">
      <c r="A2951" s="2" t="s">
        <v>1203</v>
      </c>
      <c r="B2951" s="2" t="s">
        <v>134</v>
      </c>
      <c r="C2951" s="2" t="s">
        <v>111</v>
      </c>
      <c r="D2951" s="2" t="s">
        <v>2859</v>
      </c>
      <c r="E2951" s="4" t="str">
        <f>HYPERLINK("./Results/DLO\805\Osteo_Sarco_1.png","RPT")</f>
        <v>RPT</v>
      </c>
      <c r="F2951" s="2" t="s">
        <v>42</v>
      </c>
      <c r="G2951" s="6"/>
      <c r="I2951"/>
      <c r="J2951"/>
      <c r="K2951"/>
    </row>
    <row r="2952" spans="1:11" x14ac:dyDescent="0.3">
      <c r="A2952" s="2" t="s">
        <v>1200</v>
      </c>
      <c r="B2952" s="2" t="s">
        <v>591</v>
      </c>
      <c r="C2952" s="2" t="s">
        <v>111</v>
      </c>
      <c r="D2952" s="2" t="s">
        <v>2859</v>
      </c>
      <c r="E2952" s="4" t="str">
        <f>HYPERLINK("./Results/DLO\806\Osteo_Sarco_1.png","RPT")</f>
        <v>RPT</v>
      </c>
      <c r="F2952" s="2" t="s">
        <v>449</v>
      </c>
      <c r="G2952" s="6"/>
      <c r="H2952" s="1">
        <v>26.7</v>
      </c>
    </row>
    <row r="2953" spans="1:11" x14ac:dyDescent="0.3">
      <c r="A2953" s="2" t="s">
        <v>1195</v>
      </c>
      <c r="B2953" s="2" t="s">
        <v>149</v>
      </c>
      <c r="C2953" s="2" t="s">
        <v>119</v>
      </c>
      <c r="D2953" s="2" t="s">
        <v>2867</v>
      </c>
      <c r="E2953" s="4" t="str">
        <f>HYPERLINK("./Results/DLO\807\Osteo_Sarco_1.png","RPT")</f>
        <v>RPT</v>
      </c>
      <c r="F2953" s="2" t="s">
        <v>70</v>
      </c>
      <c r="G2953" s="6"/>
      <c r="I2953"/>
      <c r="J2953"/>
      <c r="K2953"/>
    </row>
    <row r="2954" spans="1:11" x14ac:dyDescent="0.3">
      <c r="A2954" s="2" t="s">
        <v>1196</v>
      </c>
      <c r="B2954" s="2" t="s">
        <v>123</v>
      </c>
      <c r="C2954" s="2" t="s">
        <v>119</v>
      </c>
      <c r="D2954" s="2" t="s">
        <v>2859</v>
      </c>
      <c r="E2954" s="4" t="str">
        <f>HYPERLINK("./Results/DLO\808\Osteo_Sarco_1.png","RPT")</f>
        <v>RPT</v>
      </c>
      <c r="F2954" s="2" t="s">
        <v>21</v>
      </c>
      <c r="G2954" s="6"/>
      <c r="H2954" s="1">
        <v>21.18</v>
      </c>
    </row>
    <row r="2955" spans="1:11" x14ac:dyDescent="0.3">
      <c r="A2955" s="2" t="s">
        <v>1207</v>
      </c>
      <c r="B2955" s="2" t="s">
        <v>137</v>
      </c>
      <c r="C2955" s="2" t="s">
        <v>111</v>
      </c>
      <c r="D2955" s="2" t="s">
        <v>2859</v>
      </c>
      <c r="E2955" s="4" t="str">
        <f>HYPERLINK("./Results/DLO\809\Osteo_Sarco_1.png","RPT")</f>
        <v>RPT</v>
      </c>
      <c r="F2955" s="2" t="s">
        <v>42</v>
      </c>
      <c r="G2955" s="6"/>
      <c r="I2955"/>
      <c r="J2955"/>
      <c r="K2955"/>
    </row>
    <row r="2956" spans="1:11" x14ac:dyDescent="0.3">
      <c r="A2956" s="2" t="s">
        <v>1194</v>
      </c>
      <c r="B2956" s="2" t="s">
        <v>114</v>
      </c>
      <c r="C2956" s="2" t="s">
        <v>119</v>
      </c>
      <c r="D2956" s="2" t="s">
        <v>2859</v>
      </c>
      <c r="E2956" s="4" t="str">
        <f>HYPERLINK("./Results/DLO\81\Osteo_Sarco_1.png","RPT")</f>
        <v>RPT</v>
      </c>
      <c r="F2956" s="2" t="s">
        <v>61</v>
      </c>
      <c r="G2956" s="6"/>
      <c r="I2956"/>
      <c r="J2956"/>
      <c r="K2956"/>
    </row>
    <row r="2957" spans="1:11" x14ac:dyDescent="0.3">
      <c r="A2957" s="2" t="s">
        <v>1211</v>
      </c>
      <c r="B2957" s="2" t="s">
        <v>133</v>
      </c>
      <c r="C2957" s="2" t="s">
        <v>111</v>
      </c>
      <c r="D2957" s="2" t="s">
        <v>2859</v>
      </c>
      <c r="E2957" s="4" t="str">
        <f>HYPERLINK("./Results/DLO\810\Osteo_Sarco_1.png","RPT")</f>
        <v>RPT</v>
      </c>
      <c r="F2957" s="2" t="s">
        <v>475</v>
      </c>
      <c r="G2957" s="6"/>
      <c r="H2957" s="1">
        <v>26.12</v>
      </c>
    </row>
    <row r="2958" spans="1:11" x14ac:dyDescent="0.3">
      <c r="A2958" s="2" t="s">
        <v>1198</v>
      </c>
      <c r="B2958" s="2" t="s">
        <v>138</v>
      </c>
      <c r="C2958" s="2" t="s">
        <v>111</v>
      </c>
      <c r="D2958" s="2" t="s">
        <v>2867</v>
      </c>
      <c r="E2958" s="4" t="str">
        <f>HYPERLINK("./Results/DLO\811\Osteo_Sarco_1.png","RPT")</f>
        <v>RPT</v>
      </c>
      <c r="F2958" s="2" t="s">
        <v>457</v>
      </c>
      <c r="G2958" s="6"/>
      <c r="H2958" s="1">
        <v>24.11</v>
      </c>
    </row>
    <row r="2959" spans="1:11" x14ac:dyDescent="0.3">
      <c r="A2959" s="2" t="s">
        <v>1197</v>
      </c>
      <c r="B2959" s="2" t="s">
        <v>133</v>
      </c>
      <c r="C2959" s="2" t="s">
        <v>119</v>
      </c>
      <c r="D2959" s="2" t="s">
        <v>2859</v>
      </c>
      <c r="E2959" s="4" t="str">
        <f>HYPERLINK("./Results/DLO\812\Osteo_Sarco_1.png","RPT")</f>
        <v>RPT</v>
      </c>
      <c r="F2959" s="2" t="s">
        <v>79</v>
      </c>
      <c r="G2959" s="6"/>
      <c r="I2959"/>
      <c r="J2959"/>
      <c r="K2959"/>
    </row>
    <row r="2960" spans="1:11" x14ac:dyDescent="0.3">
      <c r="A2960" s="2" t="s">
        <v>1209</v>
      </c>
      <c r="B2960" s="2" t="s">
        <v>140</v>
      </c>
      <c r="C2960" s="2" t="s">
        <v>119</v>
      </c>
      <c r="D2960" s="2" t="s">
        <v>2867</v>
      </c>
      <c r="E2960" s="4" t="str">
        <f>HYPERLINK("./Results/DLO\813\Osteo_Sarco_1.png","RPT")</f>
        <v>RPT</v>
      </c>
      <c r="F2960" s="2" t="s">
        <v>38</v>
      </c>
      <c r="G2960" s="6"/>
      <c r="I2960"/>
      <c r="J2960"/>
      <c r="K2960"/>
    </row>
    <row r="2961" spans="1:11" x14ac:dyDescent="0.3">
      <c r="A2961" s="2" t="s">
        <v>1201</v>
      </c>
      <c r="B2961" s="2" t="s">
        <v>135</v>
      </c>
      <c r="C2961" s="2" t="s">
        <v>119</v>
      </c>
      <c r="D2961" s="2" t="s">
        <v>2859</v>
      </c>
      <c r="E2961" s="4" t="str">
        <f>HYPERLINK("./Results/DLO\814\Osteo_Sarco_1.png","RPT")</f>
        <v>RPT</v>
      </c>
      <c r="F2961" s="2" t="s">
        <v>69</v>
      </c>
      <c r="G2961" s="6"/>
      <c r="H2961" s="1">
        <v>28.35</v>
      </c>
    </row>
    <row r="2962" spans="1:11" x14ac:dyDescent="0.3">
      <c r="A2962" s="2" t="s">
        <v>1212</v>
      </c>
      <c r="B2962" s="2" t="s">
        <v>123</v>
      </c>
      <c r="C2962" s="2" t="s">
        <v>119</v>
      </c>
      <c r="D2962" s="2" t="s">
        <v>1960</v>
      </c>
      <c r="E2962" s="4" t="str">
        <f>HYPERLINK("./Results/DLO\815\Osteo_Sarco_1.png","RPT")</f>
        <v>RPT</v>
      </c>
      <c r="F2962" s="2" t="s">
        <v>45</v>
      </c>
      <c r="G2962" s="6"/>
      <c r="I2962"/>
      <c r="J2962"/>
      <c r="K2962"/>
    </row>
    <row r="2963" spans="1:11" x14ac:dyDescent="0.3">
      <c r="A2963" s="2" t="s">
        <v>1213</v>
      </c>
      <c r="B2963" s="2" t="s">
        <v>148</v>
      </c>
      <c r="C2963" s="2" t="s">
        <v>119</v>
      </c>
      <c r="D2963" s="2" t="s">
        <v>2859</v>
      </c>
      <c r="E2963" s="4" t="str">
        <f>HYPERLINK("./Results/DLO\816\Osteo_Sarco_1.png","RPT")</f>
        <v>RPT</v>
      </c>
      <c r="F2963" s="2" t="s">
        <v>74</v>
      </c>
      <c r="G2963" s="6"/>
      <c r="H2963" s="1">
        <v>23.03</v>
      </c>
    </row>
    <row r="2964" spans="1:11" x14ac:dyDescent="0.3">
      <c r="A2964" s="2" t="s">
        <v>1214</v>
      </c>
      <c r="B2964" s="2" t="s">
        <v>573</v>
      </c>
      <c r="C2964" s="2" t="s">
        <v>119</v>
      </c>
      <c r="D2964" s="2" t="s">
        <v>2859</v>
      </c>
      <c r="E2964" s="4" t="str">
        <f>HYPERLINK("./Results/DLO\817\Osteo_Sarco_1.png","RPT")</f>
        <v>RPT</v>
      </c>
      <c r="F2964" s="2" t="s">
        <v>57</v>
      </c>
      <c r="G2964" s="6"/>
      <c r="I2964"/>
      <c r="J2964"/>
      <c r="K2964"/>
    </row>
    <row r="2965" spans="1:11" x14ac:dyDescent="0.3">
      <c r="A2965" s="2" t="s">
        <v>1216</v>
      </c>
      <c r="B2965" s="2" t="s">
        <v>142</v>
      </c>
      <c r="C2965" s="2" t="s">
        <v>111</v>
      </c>
      <c r="D2965" s="2" t="s">
        <v>2867</v>
      </c>
      <c r="E2965" s="4" t="str">
        <f>HYPERLINK("./Results/DLO\818\Osteo_Sarco_1.png","RPT")</f>
        <v>RPT</v>
      </c>
      <c r="F2965" s="2" t="s">
        <v>62</v>
      </c>
      <c r="G2965" s="6"/>
      <c r="I2965"/>
      <c r="J2965"/>
      <c r="K2965"/>
    </row>
    <row r="2966" spans="1:11" x14ac:dyDescent="0.3">
      <c r="A2966" s="2" t="s">
        <v>1217</v>
      </c>
      <c r="B2966" s="2" t="s">
        <v>122</v>
      </c>
      <c r="C2966" s="2" t="s">
        <v>111</v>
      </c>
      <c r="D2966" s="2" t="s">
        <v>2859</v>
      </c>
      <c r="E2966" s="4" t="str">
        <f>HYPERLINK("./Results/DLO\819\Osteo_Sarco_1.png","RPT")</f>
        <v>RPT</v>
      </c>
      <c r="F2966" s="2" t="s">
        <v>96</v>
      </c>
      <c r="G2966" s="6"/>
      <c r="I2966"/>
      <c r="J2966"/>
      <c r="K2966"/>
    </row>
    <row r="2967" spans="1:11" x14ac:dyDescent="0.3">
      <c r="A2967" s="2" t="s">
        <v>1202</v>
      </c>
      <c r="B2967" s="2" t="s">
        <v>142</v>
      </c>
      <c r="C2967" s="2" t="s">
        <v>111</v>
      </c>
      <c r="D2967" s="2" t="s">
        <v>2859</v>
      </c>
      <c r="E2967" s="4" t="str">
        <f>HYPERLINK("./Results/DLO\82\Osteo_Sarco_1.png","RPT")</f>
        <v>RPT</v>
      </c>
      <c r="F2967" s="2" t="s">
        <v>63</v>
      </c>
      <c r="G2967" s="6"/>
      <c r="I2967"/>
      <c r="J2967"/>
      <c r="K2967"/>
    </row>
    <row r="2968" spans="1:11" x14ac:dyDescent="0.3">
      <c r="A2968" s="2" t="s">
        <v>1218</v>
      </c>
      <c r="B2968" s="2" t="s">
        <v>118</v>
      </c>
      <c r="C2968" s="2" t="s">
        <v>111</v>
      </c>
      <c r="D2968" s="2" t="s">
        <v>2859</v>
      </c>
      <c r="E2968" s="4" t="str">
        <f>HYPERLINK("./Results/DLO\820\Osteo_Sarco_1.png","RPT")</f>
        <v>RPT</v>
      </c>
      <c r="F2968" s="2" t="s">
        <v>467</v>
      </c>
      <c r="G2968" s="6"/>
      <c r="I2968"/>
      <c r="J2968"/>
      <c r="K2968"/>
    </row>
    <row r="2969" spans="1:11" x14ac:dyDescent="0.3">
      <c r="A2969" s="2" t="s">
        <v>1204</v>
      </c>
      <c r="B2969" s="2" t="s">
        <v>167</v>
      </c>
      <c r="C2969" s="2" t="s">
        <v>111</v>
      </c>
      <c r="D2969" s="2" t="s">
        <v>2859</v>
      </c>
      <c r="E2969" s="4" t="str">
        <f>HYPERLINK("./Results/DLO\821\Osteo_Sarco_1.png","RPT")</f>
        <v>RPT</v>
      </c>
      <c r="F2969" s="2" t="s">
        <v>38</v>
      </c>
      <c r="G2969" s="6"/>
      <c r="I2969"/>
      <c r="J2969"/>
      <c r="K2969"/>
    </row>
    <row r="2970" spans="1:11" x14ac:dyDescent="0.3">
      <c r="A2970" s="2" t="s">
        <v>1219</v>
      </c>
      <c r="B2970" s="2" t="s">
        <v>135</v>
      </c>
      <c r="C2970" s="2" t="s">
        <v>119</v>
      </c>
      <c r="D2970" s="2" t="s">
        <v>2859</v>
      </c>
      <c r="E2970" s="4" t="str">
        <f>HYPERLINK("./Results/DLO\822\Osteo_Sarco_1.png","RPT")</f>
        <v>RPT</v>
      </c>
      <c r="F2970" s="2" t="s">
        <v>28</v>
      </c>
      <c r="G2970" s="6"/>
      <c r="H2970" s="1">
        <v>23.68</v>
      </c>
    </row>
    <row r="2971" spans="1:11" x14ac:dyDescent="0.3">
      <c r="A2971" s="2" t="s">
        <v>1226</v>
      </c>
      <c r="B2971" s="2" t="s">
        <v>164</v>
      </c>
      <c r="C2971" s="2" t="s">
        <v>111</v>
      </c>
      <c r="D2971" s="2" t="s">
        <v>2859</v>
      </c>
      <c r="E2971" s="4" t="str">
        <f>HYPERLINK("./Results/DLO\823\Osteo_Sarco_1.png","RPT")</f>
        <v>RPT</v>
      </c>
      <c r="F2971" s="2" t="s">
        <v>450</v>
      </c>
      <c r="G2971" s="6"/>
      <c r="H2971" s="1">
        <v>27.03</v>
      </c>
    </row>
    <row r="2972" spans="1:11" x14ac:dyDescent="0.3">
      <c r="A2972" s="2" t="s">
        <v>1243</v>
      </c>
      <c r="B2972" s="2" t="s">
        <v>112</v>
      </c>
      <c r="C2972" s="2" t="s">
        <v>111</v>
      </c>
      <c r="D2972" s="2" t="s">
        <v>2867</v>
      </c>
      <c r="E2972" s="4" t="str">
        <f>HYPERLINK("./Results/DLO\824\Osteo_Sarco_1.png","RPT")</f>
        <v>RPT</v>
      </c>
      <c r="F2972" s="2" t="s">
        <v>35</v>
      </c>
      <c r="G2972" s="6"/>
      <c r="H2972" s="1">
        <v>22.89</v>
      </c>
    </row>
    <row r="2973" spans="1:11" x14ac:dyDescent="0.3">
      <c r="A2973" s="2" t="s">
        <v>1227</v>
      </c>
      <c r="B2973" s="2" t="s">
        <v>127</v>
      </c>
      <c r="C2973" s="2" t="s">
        <v>111</v>
      </c>
      <c r="D2973" s="2" t="s">
        <v>2859</v>
      </c>
      <c r="E2973" s="4" t="str">
        <f>HYPERLINK("./Results/DLO\825\Osteo_Sarco_1.png","RPT")</f>
        <v>RPT</v>
      </c>
      <c r="F2973" s="2" t="s">
        <v>110</v>
      </c>
      <c r="G2973" s="6"/>
      <c r="I2973"/>
      <c r="J2973"/>
      <c r="K2973"/>
    </row>
    <row r="2974" spans="1:11" x14ac:dyDescent="0.3">
      <c r="A2974" s="2" t="s">
        <v>1233</v>
      </c>
      <c r="B2974" s="2" t="s">
        <v>152</v>
      </c>
      <c r="C2974" s="2" t="s">
        <v>119</v>
      </c>
      <c r="D2974" s="2" t="s">
        <v>2859</v>
      </c>
      <c r="E2974" s="4" t="str">
        <f>HYPERLINK("./Results/DLO\826\Osteo_Sarco_1.png","RPT")</f>
        <v>RPT</v>
      </c>
      <c r="F2974" s="2" t="s">
        <v>38</v>
      </c>
      <c r="G2974" s="6"/>
      <c r="I2974"/>
      <c r="J2974"/>
      <c r="K2974"/>
    </row>
    <row r="2975" spans="1:11" x14ac:dyDescent="0.3">
      <c r="A2975" s="2" t="s">
        <v>1225</v>
      </c>
      <c r="B2975" s="2" t="s">
        <v>129</v>
      </c>
      <c r="C2975" s="2" t="s">
        <v>111</v>
      </c>
      <c r="D2975" s="2" t="s">
        <v>2867</v>
      </c>
      <c r="E2975" s="4" t="str">
        <f>HYPERLINK("./Results/DLO\827\Osteo_Sarco_1.png","RPT")</f>
        <v>RPT</v>
      </c>
      <c r="F2975" s="2" t="s">
        <v>20</v>
      </c>
      <c r="G2975" s="6"/>
      <c r="I2975"/>
      <c r="J2975"/>
      <c r="K2975"/>
    </row>
    <row r="2976" spans="1:11" x14ac:dyDescent="0.3">
      <c r="A2976" s="2" t="s">
        <v>1235</v>
      </c>
      <c r="B2976" s="2" t="s">
        <v>125</v>
      </c>
      <c r="C2976" s="2" t="s">
        <v>111</v>
      </c>
      <c r="D2976" s="2" t="s">
        <v>2859</v>
      </c>
      <c r="E2976" s="4" t="str">
        <f>HYPERLINK("./Results/DLO\828\Osteo_Sarco_1.png","RPT")</f>
        <v>RPT</v>
      </c>
      <c r="F2976" s="2" t="s">
        <v>54</v>
      </c>
      <c r="G2976" s="6"/>
      <c r="I2976"/>
      <c r="J2976"/>
      <c r="K2976"/>
    </row>
    <row r="2977" spans="1:11" x14ac:dyDescent="0.3">
      <c r="A2977" s="2" t="s">
        <v>1230</v>
      </c>
      <c r="B2977" s="2" t="s">
        <v>116</v>
      </c>
      <c r="C2977" s="2" t="s">
        <v>111</v>
      </c>
      <c r="D2977" s="2" t="s">
        <v>2859</v>
      </c>
      <c r="E2977" s="4" t="str">
        <f>HYPERLINK("./Results/DLO\829\Osteo_Sarco_1.png","RPT")</f>
        <v>RPT</v>
      </c>
      <c r="F2977" s="2" t="s">
        <v>34</v>
      </c>
      <c r="G2977" s="6"/>
      <c r="I2977"/>
      <c r="J2977"/>
      <c r="K2977"/>
    </row>
    <row r="2978" spans="1:11" x14ac:dyDescent="0.3">
      <c r="A2978" s="2" t="s">
        <v>1234</v>
      </c>
      <c r="B2978" s="2" t="s">
        <v>137</v>
      </c>
      <c r="C2978" s="2" t="s">
        <v>111</v>
      </c>
      <c r="D2978" s="2" t="s">
        <v>2859</v>
      </c>
      <c r="E2978" s="4" t="str">
        <f>HYPERLINK("./Results/DLO\83\Osteo_Sarco_1.png","RPT")</f>
        <v>RPT</v>
      </c>
      <c r="F2978" s="2" t="s">
        <v>95</v>
      </c>
      <c r="G2978" s="6"/>
      <c r="H2978" s="1">
        <v>25.2</v>
      </c>
    </row>
    <row r="2979" spans="1:11" x14ac:dyDescent="0.3">
      <c r="A2979" s="2" t="s">
        <v>1228</v>
      </c>
      <c r="B2979" s="2" t="s">
        <v>122</v>
      </c>
      <c r="C2979" s="2" t="s">
        <v>111</v>
      </c>
      <c r="D2979" s="2" t="s">
        <v>2859</v>
      </c>
      <c r="E2979" s="4" t="str">
        <f>HYPERLINK("./Results/DLO\830\Osteo_Sarco_1.png","RPT")</f>
        <v>RPT</v>
      </c>
      <c r="F2979" s="2" t="s">
        <v>466</v>
      </c>
      <c r="G2979" s="6"/>
      <c r="I2979"/>
      <c r="J2979"/>
      <c r="K2979"/>
    </row>
    <row r="2980" spans="1:11" x14ac:dyDescent="0.3">
      <c r="A2980" s="2" t="s">
        <v>1229</v>
      </c>
      <c r="B2980" s="2" t="s">
        <v>167</v>
      </c>
      <c r="C2980" s="2" t="s">
        <v>111</v>
      </c>
      <c r="D2980" s="2" t="s">
        <v>2867</v>
      </c>
      <c r="E2980" s="4" t="str">
        <f>HYPERLINK("./Results/DLO\831\Osteo_Sarco_1.png","RPT")</f>
        <v>RPT</v>
      </c>
      <c r="F2980" s="2" t="s">
        <v>449</v>
      </c>
      <c r="G2980" s="6"/>
      <c r="I2980"/>
      <c r="J2980"/>
      <c r="K2980"/>
    </row>
    <row r="2981" spans="1:11" x14ac:dyDescent="0.3">
      <c r="A2981" s="2" t="s">
        <v>1246</v>
      </c>
      <c r="B2981" s="2" t="s">
        <v>131</v>
      </c>
      <c r="C2981" s="2" t="s">
        <v>111</v>
      </c>
      <c r="D2981" s="2" t="s">
        <v>2859</v>
      </c>
      <c r="E2981" s="4" t="str">
        <f>HYPERLINK("./Results/DLO\832\Osteo_Sarco_1.png","RPT")</f>
        <v>RPT</v>
      </c>
      <c r="F2981" s="2" t="s">
        <v>54</v>
      </c>
      <c r="G2981" s="6"/>
      <c r="I2981"/>
      <c r="J2981"/>
      <c r="K2981"/>
    </row>
    <row r="2982" spans="1:11" x14ac:dyDescent="0.3">
      <c r="A2982" s="2" t="s">
        <v>1236</v>
      </c>
      <c r="B2982" s="2" t="s">
        <v>139</v>
      </c>
      <c r="C2982" s="2" t="s">
        <v>111</v>
      </c>
      <c r="D2982" s="2" t="s">
        <v>2859</v>
      </c>
      <c r="E2982" s="4" t="str">
        <f>HYPERLINK("./Results/DLO\833\Osteo_Sarco_1.png","RPT")</f>
        <v>RPT</v>
      </c>
      <c r="F2982" s="2" t="s">
        <v>71</v>
      </c>
      <c r="G2982" s="6"/>
      <c r="I2982"/>
      <c r="J2982"/>
      <c r="K2982"/>
    </row>
    <row r="2983" spans="1:11" x14ac:dyDescent="0.3">
      <c r="A2983" s="2" t="s">
        <v>1237</v>
      </c>
      <c r="B2983" s="2" t="s">
        <v>116</v>
      </c>
      <c r="C2983" s="2" t="s">
        <v>111</v>
      </c>
      <c r="D2983" s="2" t="s">
        <v>2859</v>
      </c>
      <c r="E2983" s="4" t="str">
        <f>HYPERLINK("./Results/DLO\834\Osteo_Sarco_1.png","RPT")</f>
        <v>RPT</v>
      </c>
      <c r="F2983" s="2" t="s">
        <v>457</v>
      </c>
      <c r="G2983" s="6"/>
      <c r="I2983"/>
      <c r="J2983"/>
      <c r="K2983"/>
    </row>
    <row r="2984" spans="1:11" x14ac:dyDescent="0.3">
      <c r="A2984" s="2" t="s">
        <v>1241</v>
      </c>
      <c r="B2984" s="2" t="s">
        <v>150</v>
      </c>
      <c r="C2984" s="2" t="s">
        <v>111</v>
      </c>
      <c r="D2984" s="2" t="s">
        <v>2859</v>
      </c>
      <c r="E2984" s="4" t="str">
        <f>HYPERLINK("./Results/DLO\835\Osteo_Sarco_1.png","RPT")</f>
        <v>RPT</v>
      </c>
      <c r="F2984" s="2" t="s">
        <v>64</v>
      </c>
      <c r="G2984" s="6"/>
      <c r="H2984" s="1">
        <v>21.01</v>
      </c>
    </row>
    <row r="2985" spans="1:11" x14ac:dyDescent="0.3">
      <c r="A2985" s="2" t="s">
        <v>1238</v>
      </c>
      <c r="B2985" s="2" t="s">
        <v>151</v>
      </c>
      <c r="C2985" s="2" t="s">
        <v>119</v>
      </c>
      <c r="D2985" s="2" t="s">
        <v>2859</v>
      </c>
      <c r="E2985" s="4" t="str">
        <f>HYPERLINK("./Results/DLO\836\Osteo_Sarco_1.png","RPT")</f>
        <v>RPT</v>
      </c>
      <c r="F2985" s="2" t="s">
        <v>128</v>
      </c>
      <c r="G2985" s="6"/>
      <c r="I2985"/>
      <c r="J2985"/>
      <c r="K2985"/>
    </row>
    <row r="2986" spans="1:11" x14ac:dyDescent="0.3">
      <c r="A2986" s="2" t="s">
        <v>1247</v>
      </c>
      <c r="B2986" s="2" t="s">
        <v>112</v>
      </c>
      <c r="C2986" s="2" t="s">
        <v>111</v>
      </c>
      <c r="D2986" s="2" t="s">
        <v>2859</v>
      </c>
      <c r="E2986" s="4" t="str">
        <f>HYPERLINK("./Results/DLO\837\Osteo_Sarco_1.png","RPT")</f>
        <v>RPT</v>
      </c>
      <c r="F2986" s="2" t="s">
        <v>448</v>
      </c>
      <c r="G2986" s="6"/>
      <c r="I2986"/>
      <c r="J2986"/>
      <c r="K2986"/>
    </row>
    <row r="2987" spans="1:11" x14ac:dyDescent="0.3">
      <c r="A2987" s="2" t="s">
        <v>1248</v>
      </c>
      <c r="B2987" s="2" t="s">
        <v>131</v>
      </c>
      <c r="C2987" s="2" t="s">
        <v>119</v>
      </c>
      <c r="D2987" s="2" t="s">
        <v>2859</v>
      </c>
      <c r="E2987" s="4" t="str">
        <f>HYPERLINK("./Results/DLO\838\Osteo_Sarco_1.png","RPT")</f>
        <v>RPT</v>
      </c>
      <c r="F2987" s="2" t="s">
        <v>56</v>
      </c>
      <c r="G2987" s="6"/>
      <c r="I2987"/>
      <c r="J2987"/>
      <c r="K2987"/>
    </row>
    <row r="2988" spans="1:11" x14ac:dyDescent="0.3">
      <c r="A2988" s="2" t="s">
        <v>1231</v>
      </c>
      <c r="B2988" s="2" t="s">
        <v>143</v>
      </c>
      <c r="C2988" s="2" t="s">
        <v>111</v>
      </c>
      <c r="D2988" s="2" t="s">
        <v>2867</v>
      </c>
      <c r="E2988" s="4" t="str">
        <f>HYPERLINK("./Results/DLO\839\Osteo_Sarco_1.png","RPT")</f>
        <v>RPT</v>
      </c>
      <c r="F2988" s="2" t="s">
        <v>57</v>
      </c>
      <c r="G2988" s="6"/>
      <c r="I2988"/>
      <c r="J2988"/>
      <c r="K2988"/>
    </row>
    <row r="2989" spans="1:11" x14ac:dyDescent="0.3">
      <c r="A2989" s="2" t="s">
        <v>1224</v>
      </c>
      <c r="B2989" s="2" t="s">
        <v>131</v>
      </c>
      <c r="C2989" s="2" t="s">
        <v>119</v>
      </c>
      <c r="D2989" s="2" t="s">
        <v>2867</v>
      </c>
      <c r="E2989" s="4" t="str">
        <f>HYPERLINK("./Results/DLO\84\Osteo_Sarco_1.png","RPT")</f>
        <v>RPT</v>
      </c>
      <c r="F2989" s="2" t="s">
        <v>73</v>
      </c>
      <c r="G2989" s="6"/>
      <c r="I2989"/>
      <c r="J2989"/>
      <c r="K2989"/>
    </row>
    <row r="2990" spans="1:11" x14ac:dyDescent="0.3">
      <c r="A2990" s="2" t="s">
        <v>1242</v>
      </c>
      <c r="B2990" s="2" t="s">
        <v>151</v>
      </c>
      <c r="C2990" s="2" t="s">
        <v>119</v>
      </c>
      <c r="D2990" s="2" t="s">
        <v>2859</v>
      </c>
      <c r="E2990" s="4" t="str">
        <f>HYPERLINK("./Results/DLO\840\Osteo_Sarco_1.png","RPT")</f>
        <v>RPT</v>
      </c>
      <c r="F2990" s="2" t="s">
        <v>60</v>
      </c>
      <c r="G2990" s="6"/>
      <c r="I2990"/>
      <c r="J2990"/>
      <c r="K2990"/>
    </row>
    <row r="2991" spans="1:11" x14ac:dyDescent="0.3">
      <c r="A2991" s="2" t="s">
        <v>1222</v>
      </c>
      <c r="B2991" s="2" t="s">
        <v>151</v>
      </c>
      <c r="C2991" s="2" t="s">
        <v>111</v>
      </c>
      <c r="D2991" s="2" t="s">
        <v>2859</v>
      </c>
      <c r="E2991" s="4" t="str">
        <f>HYPERLINK("./Results/DLO\841\Osteo_Sarco_1.png","RPT")</f>
        <v>RPT</v>
      </c>
      <c r="F2991" s="2" t="s">
        <v>102</v>
      </c>
      <c r="G2991" s="6"/>
      <c r="H2991" s="1">
        <v>23.66</v>
      </c>
    </row>
    <row r="2992" spans="1:11" x14ac:dyDescent="0.3">
      <c r="A2992" s="2" t="s">
        <v>1239</v>
      </c>
      <c r="B2992" s="2" t="s">
        <v>149</v>
      </c>
      <c r="C2992" s="2" t="s">
        <v>111</v>
      </c>
      <c r="D2992" s="2" t="s">
        <v>2859</v>
      </c>
      <c r="E2992" s="4" t="str">
        <f>HYPERLINK("./Results/DLO\842\Osteo_Sarco_1.png","RPT")</f>
        <v>RPT</v>
      </c>
      <c r="F2992" s="2" t="s">
        <v>51</v>
      </c>
      <c r="G2992" s="6"/>
      <c r="I2992"/>
      <c r="J2992"/>
      <c r="K2992"/>
    </row>
    <row r="2993" spans="1:11" x14ac:dyDescent="0.3">
      <c r="A2993" s="2" t="s">
        <v>1245</v>
      </c>
      <c r="B2993" s="2" t="s">
        <v>140</v>
      </c>
      <c r="C2993" s="2" t="s">
        <v>119</v>
      </c>
      <c r="D2993" s="2" t="s">
        <v>2859</v>
      </c>
      <c r="E2993" s="4" t="str">
        <f>HYPERLINK("./Results/DLO\843\Osteo_Sarco_1.png","RPT")</f>
        <v>RPT</v>
      </c>
      <c r="F2993" s="2" t="s">
        <v>38</v>
      </c>
      <c r="G2993" s="6"/>
      <c r="H2993" s="1">
        <v>26.07</v>
      </c>
    </row>
    <row r="2994" spans="1:11" x14ac:dyDescent="0.3">
      <c r="A2994" s="2" t="s">
        <v>1232</v>
      </c>
      <c r="B2994" s="2" t="s">
        <v>164</v>
      </c>
      <c r="C2994" s="2" t="s">
        <v>111</v>
      </c>
      <c r="D2994" s="2" t="s">
        <v>2859</v>
      </c>
      <c r="E2994" s="4" t="str">
        <f>HYPERLINK("./Results/DLO\844\Osteo_Sarco_1.png","RPT")</f>
        <v>RPT</v>
      </c>
      <c r="F2994" s="2" t="s">
        <v>76</v>
      </c>
      <c r="G2994" s="6"/>
      <c r="H2994" s="1">
        <v>23.53</v>
      </c>
    </row>
    <row r="2995" spans="1:11" x14ac:dyDescent="0.3">
      <c r="A2995" s="2" t="s">
        <v>1240</v>
      </c>
      <c r="B2995" s="2" t="s">
        <v>148</v>
      </c>
      <c r="C2995" s="2" t="s">
        <v>119</v>
      </c>
      <c r="D2995" s="2" t="s">
        <v>2867</v>
      </c>
      <c r="E2995" s="4" t="str">
        <f>HYPERLINK("./Results/DLO\845\Osteo_Sarco_1.png","RPT")</f>
        <v>RPT</v>
      </c>
      <c r="F2995" s="2" t="s">
        <v>87</v>
      </c>
      <c r="G2995" s="6"/>
      <c r="I2995"/>
      <c r="J2995"/>
      <c r="K2995"/>
    </row>
    <row r="2996" spans="1:11" x14ac:dyDescent="0.3">
      <c r="A2996" s="2" t="s">
        <v>1244</v>
      </c>
      <c r="B2996" s="2" t="s">
        <v>144</v>
      </c>
      <c r="C2996" s="2" t="s">
        <v>119</v>
      </c>
      <c r="D2996" s="2" t="s">
        <v>2859</v>
      </c>
      <c r="E2996" s="4" t="str">
        <f>HYPERLINK("./Results/DLO\846\Osteo_Sarco_1.png","RPT")</f>
        <v>RPT</v>
      </c>
      <c r="F2996" s="2" t="s">
        <v>76</v>
      </c>
      <c r="G2996" s="6"/>
      <c r="H2996" s="1">
        <v>27.82</v>
      </c>
    </row>
    <row r="2997" spans="1:11" x14ac:dyDescent="0.3">
      <c r="A2997" s="2" t="s">
        <v>1223</v>
      </c>
      <c r="B2997" s="2" t="s">
        <v>137</v>
      </c>
      <c r="C2997" s="2" t="s">
        <v>111</v>
      </c>
      <c r="D2997" s="2" t="s">
        <v>2859</v>
      </c>
      <c r="E2997" s="4" t="str">
        <f>HYPERLINK("./Results/DLO\847\Osteo_Sarco_1.png","RPT")</f>
        <v>RPT</v>
      </c>
      <c r="F2997" s="2" t="s">
        <v>25</v>
      </c>
      <c r="G2997" s="6"/>
      <c r="H2997" s="1">
        <v>18.68</v>
      </c>
    </row>
    <row r="2998" spans="1:11" x14ac:dyDescent="0.3">
      <c r="A2998" s="2" t="s">
        <v>1249</v>
      </c>
      <c r="B2998" s="2" t="s">
        <v>140</v>
      </c>
      <c r="C2998" s="2" t="s">
        <v>111</v>
      </c>
      <c r="D2998" s="2" t="s">
        <v>2859</v>
      </c>
      <c r="E2998" s="4" t="str">
        <f>HYPERLINK("./Results/DLO\848\Osteo_Sarco_1.png","RPT")</f>
        <v>RPT</v>
      </c>
      <c r="F2998" s="2" t="s">
        <v>84</v>
      </c>
      <c r="G2998" s="6"/>
      <c r="I2998"/>
      <c r="J2998"/>
      <c r="K2998"/>
    </row>
    <row r="2999" spans="1:11" x14ac:dyDescent="0.3">
      <c r="A2999" s="2" t="s">
        <v>1220</v>
      </c>
      <c r="B2999" s="2" t="s">
        <v>574</v>
      </c>
      <c r="C2999" s="2" t="s">
        <v>119</v>
      </c>
      <c r="D2999" s="2" t="s">
        <v>2859</v>
      </c>
      <c r="E2999" s="4" t="str">
        <f>HYPERLINK("./Results/DLO\849\Osteo_Sarco_1.png","RPT")</f>
        <v>RPT</v>
      </c>
      <c r="F2999" s="2" t="s">
        <v>96</v>
      </c>
      <c r="G2999" s="6"/>
      <c r="H2999" s="1">
        <v>27.43</v>
      </c>
    </row>
    <row r="3000" spans="1:11" x14ac:dyDescent="0.3">
      <c r="A3000" s="2" t="s">
        <v>1221</v>
      </c>
      <c r="B3000" s="2" t="s">
        <v>148</v>
      </c>
      <c r="C3000" s="2" t="s">
        <v>119</v>
      </c>
      <c r="D3000" s="2" t="s">
        <v>2859</v>
      </c>
      <c r="E3000" s="4" t="str">
        <f>HYPERLINK("./Results/DLO\85\Osteo_Sarco_1.png","RPT")</f>
        <v>RPT</v>
      </c>
      <c r="F3000" s="2" t="s">
        <v>474</v>
      </c>
      <c r="G3000" s="6"/>
      <c r="I3000"/>
      <c r="J3000"/>
      <c r="K3000"/>
    </row>
    <row r="3001" spans="1:11" x14ac:dyDescent="0.3">
      <c r="A3001" s="2" t="s">
        <v>1266</v>
      </c>
      <c r="B3001" s="2" t="s">
        <v>116</v>
      </c>
      <c r="C3001" s="2" t="s">
        <v>119</v>
      </c>
      <c r="D3001" s="2" t="s">
        <v>1960</v>
      </c>
      <c r="E3001" s="4" t="str">
        <f>HYPERLINK("./Results/DLO\850\Osteo_Sarco_1.png","RPT")</f>
        <v>RPT</v>
      </c>
      <c r="F3001" s="2" t="s">
        <v>56</v>
      </c>
      <c r="G3001" s="6"/>
      <c r="I3001"/>
      <c r="J3001"/>
      <c r="K3001"/>
    </row>
    <row r="3002" spans="1:11" x14ac:dyDescent="0.3">
      <c r="A3002" s="2" t="s">
        <v>1271</v>
      </c>
      <c r="B3002" s="2" t="s">
        <v>164</v>
      </c>
      <c r="C3002" s="2" t="s">
        <v>111</v>
      </c>
      <c r="D3002" s="2" t="s">
        <v>2867</v>
      </c>
      <c r="E3002" s="4" t="str">
        <f>HYPERLINK("./Results/DLO\851\Osteo_Sarco_1.png","RPT")</f>
        <v>RPT</v>
      </c>
      <c r="F3002" s="2" t="s">
        <v>53</v>
      </c>
      <c r="G3002" s="6"/>
      <c r="H3002" s="1">
        <v>22.63</v>
      </c>
    </row>
    <row r="3003" spans="1:11" x14ac:dyDescent="0.3">
      <c r="A3003" s="2" t="s">
        <v>1262</v>
      </c>
      <c r="B3003" s="2" t="s">
        <v>139</v>
      </c>
      <c r="C3003" s="2" t="s">
        <v>119</v>
      </c>
      <c r="D3003" s="2" t="s">
        <v>2859</v>
      </c>
      <c r="E3003" s="4" t="str">
        <f>HYPERLINK("./Results/DLO\852\Osteo_Sarco_1.png","RPT")</f>
        <v>RPT</v>
      </c>
      <c r="F3003" s="2" t="s">
        <v>28</v>
      </c>
      <c r="G3003" s="6"/>
      <c r="I3003"/>
      <c r="J3003"/>
      <c r="K3003"/>
    </row>
    <row r="3004" spans="1:11" x14ac:dyDescent="0.3">
      <c r="A3004" s="2" t="s">
        <v>1260</v>
      </c>
      <c r="B3004" s="2" t="s">
        <v>164</v>
      </c>
      <c r="C3004" s="2" t="s">
        <v>111</v>
      </c>
      <c r="D3004" s="2" t="s">
        <v>2859</v>
      </c>
      <c r="E3004" s="4" t="str">
        <f>HYPERLINK("./Results/DLO\853\Osteo_Sarco_1.png","RPT")</f>
        <v>RPT</v>
      </c>
      <c r="F3004" s="2" t="s">
        <v>467</v>
      </c>
      <c r="G3004" s="6"/>
      <c r="I3004"/>
      <c r="J3004"/>
      <c r="K3004"/>
    </row>
    <row r="3005" spans="1:11" x14ac:dyDescent="0.3">
      <c r="A3005" s="2" t="s">
        <v>1253</v>
      </c>
      <c r="B3005" s="2" t="s">
        <v>137</v>
      </c>
      <c r="C3005" s="2" t="s">
        <v>111</v>
      </c>
      <c r="D3005" s="2" t="s">
        <v>2859</v>
      </c>
      <c r="E3005" s="4" t="str">
        <f>HYPERLINK("./Results/DLO\854\Osteo_Sarco_1.png","RPT")</f>
        <v>RPT</v>
      </c>
      <c r="F3005" s="2" t="s">
        <v>99</v>
      </c>
      <c r="G3005" s="6"/>
      <c r="I3005"/>
      <c r="J3005"/>
      <c r="K3005"/>
    </row>
    <row r="3006" spans="1:11" x14ac:dyDescent="0.3">
      <c r="A3006" s="2" t="s">
        <v>1261</v>
      </c>
      <c r="B3006" s="2" t="s">
        <v>162</v>
      </c>
      <c r="C3006" s="2" t="s">
        <v>111</v>
      </c>
      <c r="D3006" s="2" t="s">
        <v>2859</v>
      </c>
      <c r="E3006" s="4" t="str">
        <f>HYPERLINK("./Results/DLO\855\Osteo_Sarco_1.png","RPT")</f>
        <v>RPT</v>
      </c>
      <c r="F3006" s="2" t="s">
        <v>26</v>
      </c>
      <c r="G3006" s="6"/>
      <c r="I3006"/>
      <c r="J3006"/>
      <c r="K3006"/>
    </row>
    <row r="3007" spans="1:11" x14ac:dyDescent="0.3">
      <c r="A3007" s="2" t="s">
        <v>1254</v>
      </c>
      <c r="B3007" s="2" t="s">
        <v>120</v>
      </c>
      <c r="C3007" s="2" t="s">
        <v>119</v>
      </c>
      <c r="D3007" s="2" t="s">
        <v>2859</v>
      </c>
      <c r="E3007" s="4" t="str">
        <f>HYPERLINK("./Results/DLO\856\Osteo_Sarco_1.png","RPT")</f>
        <v>RPT</v>
      </c>
      <c r="F3007" s="2" t="s">
        <v>81</v>
      </c>
      <c r="G3007" s="6"/>
      <c r="H3007" s="1">
        <v>23.11</v>
      </c>
    </row>
    <row r="3008" spans="1:11" x14ac:dyDescent="0.3">
      <c r="A3008" s="2" t="s">
        <v>1267</v>
      </c>
      <c r="B3008" s="2" t="s">
        <v>157</v>
      </c>
      <c r="C3008" s="2" t="s">
        <v>119</v>
      </c>
      <c r="D3008" s="2" t="s">
        <v>2859</v>
      </c>
      <c r="E3008" s="4" t="str">
        <f>HYPERLINK("./Results/DLO\858\Osteo_Sarco_1.png","RPT")</f>
        <v>RPT</v>
      </c>
      <c r="F3008" s="2" t="s">
        <v>34</v>
      </c>
      <c r="G3008" s="6"/>
      <c r="I3008"/>
      <c r="J3008"/>
      <c r="K3008"/>
    </row>
    <row r="3009" spans="1:11" x14ac:dyDescent="0.3">
      <c r="A3009" s="2" t="s">
        <v>1263</v>
      </c>
      <c r="B3009" s="2" t="s">
        <v>144</v>
      </c>
      <c r="C3009" s="2" t="s">
        <v>119</v>
      </c>
      <c r="D3009" s="2" t="s">
        <v>2859</v>
      </c>
      <c r="E3009" s="4" t="str">
        <f>HYPERLINK("./Results/DLO\859\Osteo_Sarco_1.png","RPT")</f>
        <v>RPT</v>
      </c>
      <c r="F3009" s="2" t="s">
        <v>20</v>
      </c>
      <c r="G3009" s="6"/>
      <c r="I3009"/>
      <c r="J3009"/>
      <c r="K3009"/>
    </row>
    <row r="3010" spans="1:11" x14ac:dyDescent="0.3">
      <c r="A3010" s="2" t="s">
        <v>1264</v>
      </c>
      <c r="B3010" s="2" t="s">
        <v>165</v>
      </c>
      <c r="C3010" s="2" t="s">
        <v>119</v>
      </c>
      <c r="D3010" s="2" t="s">
        <v>1960</v>
      </c>
      <c r="E3010" s="4" t="str">
        <f>HYPERLINK("./Results/DLO\86\Osteo_Sarco_1.png","RPT")</f>
        <v>RPT</v>
      </c>
      <c r="F3010" s="2" t="s">
        <v>29</v>
      </c>
      <c r="G3010" s="6"/>
      <c r="I3010"/>
      <c r="J3010"/>
      <c r="K3010"/>
    </row>
    <row r="3011" spans="1:11" x14ac:dyDescent="0.3">
      <c r="A3011" s="2" t="s">
        <v>1277</v>
      </c>
      <c r="B3011" s="2" t="s">
        <v>165</v>
      </c>
      <c r="C3011" s="2" t="s">
        <v>119</v>
      </c>
      <c r="D3011" s="2" t="s">
        <v>2867</v>
      </c>
      <c r="E3011" s="4" t="str">
        <f>HYPERLINK("./Results/DLO\860\Osteo_Sarco_1.png","RPT")</f>
        <v>RPT</v>
      </c>
      <c r="F3011" s="2" t="s">
        <v>41</v>
      </c>
      <c r="G3011" s="6"/>
      <c r="H3011" s="1">
        <v>27.35</v>
      </c>
    </row>
    <row r="3012" spans="1:11" x14ac:dyDescent="0.3">
      <c r="A3012" s="2" t="s">
        <v>1269</v>
      </c>
      <c r="B3012" s="2" t="s">
        <v>134</v>
      </c>
      <c r="C3012" s="2" t="s">
        <v>111</v>
      </c>
      <c r="D3012" s="2" t="s">
        <v>2859</v>
      </c>
      <c r="E3012" s="4" t="str">
        <f>HYPERLINK("./Results/DLO\861\Osteo_Sarco_1.png","RPT")</f>
        <v>RPT</v>
      </c>
      <c r="F3012" s="2" t="s">
        <v>150</v>
      </c>
      <c r="G3012" s="6"/>
      <c r="H3012" s="1">
        <v>21.33</v>
      </c>
    </row>
    <row r="3013" spans="1:11" x14ac:dyDescent="0.3">
      <c r="A3013" s="2" t="s">
        <v>1258</v>
      </c>
      <c r="B3013" s="2" t="s">
        <v>143</v>
      </c>
      <c r="C3013" s="2" t="s">
        <v>111</v>
      </c>
      <c r="D3013" s="2" t="s">
        <v>2859</v>
      </c>
      <c r="E3013" s="4" t="str">
        <f>HYPERLINK("./Results/DLO\862\Osteo_Sarco_1.png","RPT")</f>
        <v>RPT</v>
      </c>
      <c r="F3013" s="2" t="s">
        <v>448</v>
      </c>
      <c r="G3013" s="6"/>
      <c r="I3013"/>
      <c r="J3013"/>
      <c r="K3013"/>
    </row>
    <row r="3014" spans="1:11" x14ac:dyDescent="0.3">
      <c r="A3014" s="2" t="s">
        <v>1259</v>
      </c>
      <c r="B3014" s="2" t="s">
        <v>148</v>
      </c>
      <c r="C3014" s="2" t="s">
        <v>119</v>
      </c>
      <c r="D3014" s="2" t="s">
        <v>2859</v>
      </c>
      <c r="E3014" s="4" t="str">
        <f>HYPERLINK("./Results/DLO\863\Osteo_Sarco_1.png","RPT")</f>
        <v>RPT</v>
      </c>
      <c r="F3014" s="2" t="s">
        <v>81</v>
      </c>
      <c r="G3014" s="6"/>
      <c r="I3014"/>
      <c r="J3014"/>
      <c r="K3014"/>
    </row>
    <row r="3015" spans="1:11" x14ac:dyDescent="0.3">
      <c r="A3015" s="2" t="s">
        <v>1251</v>
      </c>
      <c r="B3015" s="2" t="s">
        <v>127</v>
      </c>
      <c r="C3015" s="2" t="s">
        <v>119</v>
      </c>
      <c r="D3015" s="2" t="s">
        <v>2859</v>
      </c>
      <c r="E3015" s="4" t="str">
        <f>HYPERLINK("./Results/DLO\864\Osteo_Sarco_1.png","RPT")</f>
        <v>RPT</v>
      </c>
      <c r="F3015" s="2" t="s">
        <v>56</v>
      </c>
      <c r="G3015" s="6"/>
      <c r="I3015"/>
      <c r="J3015"/>
      <c r="K3015"/>
    </row>
    <row r="3016" spans="1:11" x14ac:dyDescent="0.3">
      <c r="A3016" s="2" t="s">
        <v>1257</v>
      </c>
      <c r="B3016" s="2" t="s">
        <v>127</v>
      </c>
      <c r="C3016" s="2" t="s">
        <v>119</v>
      </c>
      <c r="D3016" s="2" t="s">
        <v>2859</v>
      </c>
      <c r="E3016" s="4" t="str">
        <f>HYPERLINK("./Results/DLO\865\Osteo_Sarco_1.png","RPT")</f>
        <v>RPT</v>
      </c>
      <c r="F3016" s="2" t="s">
        <v>87</v>
      </c>
      <c r="G3016" s="6"/>
      <c r="I3016"/>
      <c r="J3016"/>
      <c r="K3016"/>
    </row>
    <row r="3017" spans="1:11" x14ac:dyDescent="0.3">
      <c r="A3017" s="2" t="s">
        <v>1272</v>
      </c>
      <c r="B3017" s="2" t="s">
        <v>123</v>
      </c>
      <c r="C3017" s="2" t="s">
        <v>111</v>
      </c>
      <c r="D3017" s="2" t="s">
        <v>2859</v>
      </c>
      <c r="E3017" s="4" t="str">
        <f>HYPERLINK("./Results/DLO\866\Osteo_Sarco_1.png","RPT")</f>
        <v>RPT</v>
      </c>
      <c r="F3017" s="2" t="s">
        <v>449</v>
      </c>
      <c r="G3017" s="6"/>
      <c r="I3017"/>
      <c r="J3017"/>
      <c r="K3017"/>
    </row>
    <row r="3018" spans="1:11" x14ac:dyDescent="0.3">
      <c r="A3018" s="2" t="s">
        <v>1265</v>
      </c>
      <c r="B3018" s="2" t="s">
        <v>123</v>
      </c>
      <c r="C3018" s="2" t="s">
        <v>119</v>
      </c>
      <c r="D3018" s="2" t="s">
        <v>1960</v>
      </c>
      <c r="E3018" s="4" t="str">
        <f>HYPERLINK("./Results/DLO\867\Osteo_Sarco_1.png","RPT")</f>
        <v>RPT</v>
      </c>
      <c r="F3018" s="2" t="s">
        <v>43</v>
      </c>
      <c r="G3018" s="6"/>
      <c r="I3018"/>
      <c r="J3018"/>
      <c r="K3018"/>
    </row>
    <row r="3019" spans="1:11" x14ac:dyDescent="0.3">
      <c r="A3019" s="2" t="s">
        <v>1268</v>
      </c>
      <c r="B3019" s="2" t="s">
        <v>137</v>
      </c>
      <c r="C3019" s="2" t="s">
        <v>111</v>
      </c>
      <c r="D3019" s="2" t="s">
        <v>2867</v>
      </c>
      <c r="E3019" s="4" t="str">
        <f>HYPERLINK("./Results/DLO\868\Osteo_Sarco_1.png","RPT")</f>
        <v>RPT</v>
      </c>
      <c r="F3019" s="2" t="s">
        <v>44</v>
      </c>
      <c r="G3019" s="6"/>
      <c r="I3019"/>
      <c r="J3019"/>
      <c r="K3019"/>
    </row>
    <row r="3020" spans="1:11" x14ac:dyDescent="0.3">
      <c r="A3020" s="2" t="s">
        <v>1270</v>
      </c>
      <c r="B3020" s="2" t="s">
        <v>113</v>
      </c>
      <c r="C3020" s="2" t="s">
        <v>119</v>
      </c>
      <c r="D3020" s="2" t="s">
        <v>2859</v>
      </c>
      <c r="E3020" s="4" t="str">
        <f>HYPERLINK("./Results/DLO\869\Osteo_Sarco_1.png","RPT")</f>
        <v>RPT</v>
      </c>
      <c r="F3020" s="2" t="s">
        <v>99</v>
      </c>
      <c r="G3020" s="6"/>
      <c r="H3020" s="1">
        <v>29.43</v>
      </c>
    </row>
    <row r="3021" spans="1:11" x14ac:dyDescent="0.3">
      <c r="A3021" s="2" t="s">
        <v>1252</v>
      </c>
      <c r="B3021" s="2" t="s">
        <v>120</v>
      </c>
      <c r="C3021" s="2" t="s">
        <v>119</v>
      </c>
      <c r="D3021" s="2" t="s">
        <v>2859</v>
      </c>
      <c r="E3021" s="4" t="str">
        <f>HYPERLINK("./Results/DLO\87\Osteo_Sarco_1.png","RPT")</f>
        <v>RPT</v>
      </c>
      <c r="F3021" s="2" t="s">
        <v>56</v>
      </c>
      <c r="G3021" s="6"/>
      <c r="H3021" s="1">
        <v>26.43</v>
      </c>
    </row>
    <row r="3022" spans="1:11" x14ac:dyDescent="0.3">
      <c r="A3022" s="2" t="s">
        <v>1275</v>
      </c>
      <c r="B3022" s="2" t="s">
        <v>122</v>
      </c>
      <c r="C3022" s="2" t="s">
        <v>119</v>
      </c>
      <c r="D3022" s="2" t="s">
        <v>2859</v>
      </c>
      <c r="E3022" s="4" t="str">
        <f>HYPERLINK("./Results/DLO\870\Osteo_Sarco_1.png","RPT")</f>
        <v>RPT</v>
      </c>
      <c r="F3022" s="2" t="s">
        <v>88</v>
      </c>
      <c r="G3022" s="6"/>
      <c r="I3022"/>
      <c r="J3022"/>
      <c r="K3022"/>
    </row>
    <row r="3023" spans="1:11" x14ac:dyDescent="0.3">
      <c r="A3023" s="2" t="s">
        <v>1273</v>
      </c>
      <c r="B3023" s="2" t="s">
        <v>143</v>
      </c>
      <c r="C3023" s="2" t="s">
        <v>111</v>
      </c>
      <c r="D3023" s="2" t="s">
        <v>2859</v>
      </c>
      <c r="E3023" s="4" t="str">
        <f>HYPERLINK("./Results/DLO\871\Osteo_Sarco_1.png","RPT")</f>
        <v>RPT</v>
      </c>
      <c r="F3023" s="2" t="s">
        <v>94</v>
      </c>
      <c r="G3023" s="6"/>
      <c r="H3023" s="1">
        <v>25.46</v>
      </c>
    </row>
    <row r="3024" spans="1:11" x14ac:dyDescent="0.3">
      <c r="A3024" s="2" t="s">
        <v>1274</v>
      </c>
      <c r="B3024" s="2" t="s">
        <v>167</v>
      </c>
      <c r="C3024" s="2" t="s">
        <v>111</v>
      </c>
      <c r="D3024" s="2" t="s">
        <v>2859</v>
      </c>
      <c r="E3024" s="4" t="str">
        <f>HYPERLINK("./Results/DLO\872\Osteo_Sarco_1.png","RPT")</f>
        <v>RPT</v>
      </c>
      <c r="F3024" s="2" t="s">
        <v>466</v>
      </c>
      <c r="G3024" s="6"/>
      <c r="I3024"/>
      <c r="J3024"/>
      <c r="K3024"/>
    </row>
    <row r="3025" spans="1:11" x14ac:dyDescent="0.3">
      <c r="A3025" s="2" t="s">
        <v>1255</v>
      </c>
      <c r="B3025" s="2" t="s">
        <v>142</v>
      </c>
      <c r="C3025" s="2" t="s">
        <v>119</v>
      </c>
      <c r="D3025" s="2" t="s">
        <v>2859</v>
      </c>
      <c r="E3025" s="4" t="str">
        <f>HYPERLINK("./Results/DLO\873\Osteo_Sarco_1.png","RPT")</f>
        <v>RPT</v>
      </c>
      <c r="F3025" s="2" t="s">
        <v>456</v>
      </c>
      <c r="G3025" s="6"/>
      <c r="I3025"/>
      <c r="J3025"/>
      <c r="K3025"/>
    </row>
    <row r="3026" spans="1:11" x14ac:dyDescent="0.3">
      <c r="A3026" s="2" t="s">
        <v>1256</v>
      </c>
      <c r="B3026" s="2" t="s">
        <v>31</v>
      </c>
      <c r="C3026" s="2" t="s">
        <v>119</v>
      </c>
      <c r="D3026" s="2" t="s">
        <v>2859</v>
      </c>
      <c r="E3026" s="4" t="str">
        <f>HYPERLINK("./Results/DLO\874\Osteo_Sarco_1.png","RPT")</f>
        <v>RPT</v>
      </c>
      <c r="F3026" s="2" t="s">
        <v>70</v>
      </c>
      <c r="G3026" s="6"/>
      <c r="H3026" s="1">
        <v>23.95</v>
      </c>
    </row>
    <row r="3027" spans="1:11" x14ac:dyDescent="0.3">
      <c r="A3027" s="2" t="s">
        <v>1276</v>
      </c>
      <c r="B3027" s="2" t="s">
        <v>159</v>
      </c>
      <c r="C3027" s="2" t="s">
        <v>119</v>
      </c>
      <c r="D3027" s="2" t="s">
        <v>2867</v>
      </c>
      <c r="E3027" s="4" t="str">
        <f>HYPERLINK("./Results/DLO\875\Osteo_Sarco_1.png","RPT")</f>
        <v>RPT</v>
      </c>
      <c r="F3027" s="2" t="s">
        <v>50</v>
      </c>
      <c r="G3027" s="6"/>
      <c r="I3027"/>
      <c r="J3027"/>
      <c r="K3027"/>
    </row>
    <row r="3028" spans="1:11" x14ac:dyDescent="0.3">
      <c r="A3028" s="2" t="s">
        <v>1250</v>
      </c>
      <c r="B3028" s="2" t="s">
        <v>148</v>
      </c>
      <c r="C3028" s="2" t="s">
        <v>119</v>
      </c>
      <c r="D3028" s="2" t="s">
        <v>2859</v>
      </c>
      <c r="E3028" s="4" t="str">
        <f>HYPERLINK("./Results/DLO\876\Osteo_Sarco_1.png","RPT")</f>
        <v>RPT</v>
      </c>
      <c r="F3028" s="2" t="s">
        <v>56</v>
      </c>
      <c r="G3028" s="6"/>
      <c r="I3028"/>
      <c r="J3028"/>
      <c r="K3028"/>
    </row>
    <row r="3029" spans="1:11" x14ac:dyDescent="0.3">
      <c r="A3029" s="2" t="s">
        <v>1287</v>
      </c>
      <c r="B3029" s="2" t="s">
        <v>133</v>
      </c>
      <c r="C3029" s="2" t="s">
        <v>119</v>
      </c>
      <c r="D3029" s="2" t="s">
        <v>2859</v>
      </c>
      <c r="E3029" s="4" t="str">
        <f>HYPERLINK("./Results/DLO\877\Osteo_Sarco_1.png","RPT")</f>
        <v>RPT</v>
      </c>
      <c r="F3029" s="2" t="s">
        <v>79</v>
      </c>
      <c r="G3029" s="6"/>
      <c r="I3029"/>
      <c r="J3029"/>
      <c r="K3029"/>
    </row>
    <row r="3030" spans="1:11" x14ac:dyDescent="0.3">
      <c r="A3030" s="2" t="s">
        <v>1284</v>
      </c>
      <c r="B3030" s="2" t="s">
        <v>146</v>
      </c>
      <c r="C3030" s="2" t="s">
        <v>119</v>
      </c>
      <c r="D3030" s="2" t="s">
        <v>2859</v>
      </c>
      <c r="E3030" s="4" t="str">
        <f>HYPERLINK("./Results/DLO\878\Osteo_Sarco_1.png","RPT")</f>
        <v>RPT</v>
      </c>
      <c r="F3030" s="2" t="s">
        <v>34</v>
      </c>
      <c r="G3030" s="6"/>
      <c r="I3030"/>
      <c r="J3030"/>
      <c r="K3030"/>
    </row>
    <row r="3031" spans="1:11" x14ac:dyDescent="0.3">
      <c r="A3031" s="2" t="s">
        <v>1280</v>
      </c>
      <c r="B3031" s="2" t="s">
        <v>127</v>
      </c>
      <c r="C3031" s="2" t="s">
        <v>111</v>
      </c>
      <c r="D3031" s="2" t="s">
        <v>2859</v>
      </c>
      <c r="E3031" s="4" t="str">
        <f>HYPERLINK("./Results/DLO\879\Osteo_Sarco_1.png","RPT")</f>
        <v>RPT</v>
      </c>
      <c r="F3031" s="2" t="s">
        <v>69</v>
      </c>
      <c r="G3031" s="6"/>
      <c r="I3031"/>
      <c r="J3031"/>
      <c r="K3031"/>
    </row>
    <row r="3032" spans="1:11" x14ac:dyDescent="0.3">
      <c r="A3032" s="2" t="s">
        <v>1281</v>
      </c>
      <c r="B3032" s="2" t="s">
        <v>128</v>
      </c>
      <c r="C3032" s="2" t="s">
        <v>119</v>
      </c>
      <c r="D3032" s="2" t="s">
        <v>2867</v>
      </c>
      <c r="E3032" s="4" t="str">
        <f>HYPERLINK("./Results/DLO\88\Osteo_Sarco_1.png","RPT")</f>
        <v>RPT</v>
      </c>
      <c r="F3032" s="2" t="s">
        <v>29</v>
      </c>
      <c r="G3032" s="6"/>
      <c r="H3032" s="1">
        <v>22.48</v>
      </c>
    </row>
    <row r="3033" spans="1:11" x14ac:dyDescent="0.3">
      <c r="A3033" s="2" t="s">
        <v>1290</v>
      </c>
      <c r="B3033" s="2" t="s">
        <v>116</v>
      </c>
      <c r="C3033" s="2" t="s">
        <v>111</v>
      </c>
      <c r="D3033" s="2" t="s">
        <v>2859</v>
      </c>
      <c r="E3033" s="4" t="str">
        <f>HYPERLINK("./Results/DLO\880\Osteo_Sarco_1.png","RPT")</f>
        <v>RPT</v>
      </c>
      <c r="F3033" s="2" t="s">
        <v>104</v>
      </c>
      <c r="G3033" s="6"/>
      <c r="I3033"/>
      <c r="J3033"/>
      <c r="K3033"/>
    </row>
    <row r="3034" spans="1:11" x14ac:dyDescent="0.3">
      <c r="A3034" s="2" t="s">
        <v>1278</v>
      </c>
      <c r="B3034" s="2" t="s">
        <v>136</v>
      </c>
      <c r="C3034" s="2" t="s">
        <v>119</v>
      </c>
      <c r="D3034" s="2" t="s">
        <v>2859</v>
      </c>
      <c r="E3034" s="4" t="str">
        <f>HYPERLINK("./Results/DLO\881\Osteo_Sarco_1.png","RPT")</f>
        <v>RPT</v>
      </c>
      <c r="F3034" s="2" t="s">
        <v>56</v>
      </c>
      <c r="G3034" s="6"/>
      <c r="I3034"/>
      <c r="J3034"/>
      <c r="K3034"/>
    </row>
    <row r="3035" spans="1:11" x14ac:dyDescent="0.3">
      <c r="A3035" s="2" t="s">
        <v>1302</v>
      </c>
      <c r="B3035" s="2" t="s">
        <v>159</v>
      </c>
      <c r="C3035" s="2" t="s">
        <v>111</v>
      </c>
      <c r="D3035" s="2" t="s">
        <v>2867</v>
      </c>
      <c r="E3035" s="4" t="str">
        <f>HYPERLINK("./Results/DLO\882\Osteo_Sarco_1.png","RPT")</f>
        <v>RPT</v>
      </c>
      <c r="F3035" s="2" t="s">
        <v>101</v>
      </c>
      <c r="G3035" s="6"/>
      <c r="I3035"/>
      <c r="J3035"/>
      <c r="K3035"/>
    </row>
    <row r="3036" spans="1:11" x14ac:dyDescent="0.3">
      <c r="A3036" s="2" t="s">
        <v>1298</v>
      </c>
      <c r="B3036" s="2" t="s">
        <v>159</v>
      </c>
      <c r="C3036" s="2" t="s">
        <v>111</v>
      </c>
      <c r="D3036" s="2" t="s">
        <v>2859</v>
      </c>
      <c r="E3036" s="4" t="str">
        <f>HYPERLINK("./Results/DLO\883\Osteo_Sarco_1.png","RPT")</f>
        <v>RPT</v>
      </c>
      <c r="F3036" s="2" t="s">
        <v>20</v>
      </c>
      <c r="G3036" s="6"/>
      <c r="I3036"/>
      <c r="J3036"/>
      <c r="K3036"/>
    </row>
    <row r="3037" spans="1:11" x14ac:dyDescent="0.3">
      <c r="A3037" s="2" t="s">
        <v>1296</v>
      </c>
      <c r="B3037" s="2" t="s">
        <v>140</v>
      </c>
      <c r="C3037" s="2" t="s">
        <v>119</v>
      </c>
      <c r="D3037" s="2" t="s">
        <v>2859</v>
      </c>
      <c r="E3037" s="4" t="str">
        <f>HYPERLINK("./Results/DLO\884\Osteo_Sarco_1.png","RPT")</f>
        <v>RPT</v>
      </c>
      <c r="F3037" s="2" t="s">
        <v>88</v>
      </c>
      <c r="G3037" s="6"/>
      <c r="H3037" s="1">
        <v>22.94</v>
      </c>
    </row>
    <row r="3038" spans="1:11" x14ac:dyDescent="0.3">
      <c r="A3038" s="2" t="s">
        <v>1282</v>
      </c>
      <c r="B3038" s="2" t="s">
        <v>120</v>
      </c>
      <c r="C3038" s="2" t="s">
        <v>119</v>
      </c>
      <c r="D3038" s="2" t="s">
        <v>2859</v>
      </c>
      <c r="E3038" s="4" t="str">
        <f>HYPERLINK("./Results/DLO\885\Osteo_Sarco_1.png","RPT")</f>
        <v>RPT</v>
      </c>
      <c r="F3038" s="2" t="s">
        <v>96</v>
      </c>
      <c r="G3038" s="6"/>
      <c r="I3038"/>
      <c r="J3038"/>
      <c r="K3038"/>
    </row>
    <row r="3039" spans="1:11" x14ac:dyDescent="0.3">
      <c r="A3039" s="2" t="s">
        <v>1289</v>
      </c>
      <c r="B3039" s="2" t="s">
        <v>129</v>
      </c>
      <c r="C3039" s="2" t="s">
        <v>119</v>
      </c>
      <c r="D3039" s="2" t="s">
        <v>2859</v>
      </c>
      <c r="E3039" s="4" t="str">
        <f>HYPERLINK("./Results/DLO\886\Osteo_Sarco_1.png","RPT")</f>
        <v>RPT</v>
      </c>
      <c r="F3039" s="2" t="s">
        <v>38</v>
      </c>
      <c r="G3039" s="6"/>
      <c r="I3039"/>
      <c r="J3039"/>
      <c r="K3039"/>
    </row>
    <row r="3040" spans="1:11" x14ac:dyDescent="0.3">
      <c r="A3040" s="2" t="s">
        <v>1304</v>
      </c>
      <c r="B3040" s="2" t="s">
        <v>149</v>
      </c>
      <c r="C3040" s="2" t="s">
        <v>111</v>
      </c>
      <c r="D3040" s="2" t="s">
        <v>2859</v>
      </c>
      <c r="E3040" s="4" t="str">
        <f>HYPERLINK("./Results/DLO\887\Osteo_Sarco_1.png","RPT")</f>
        <v>RPT</v>
      </c>
      <c r="F3040" s="2" t="s">
        <v>475</v>
      </c>
      <c r="G3040" s="6"/>
      <c r="I3040"/>
      <c r="J3040"/>
      <c r="K3040"/>
    </row>
    <row r="3041" spans="1:11" x14ac:dyDescent="0.3">
      <c r="A3041" s="2" t="s">
        <v>1300</v>
      </c>
      <c r="B3041" s="2" t="s">
        <v>159</v>
      </c>
      <c r="C3041" s="2" t="s">
        <v>111</v>
      </c>
      <c r="D3041" s="2" t="s">
        <v>2859</v>
      </c>
      <c r="E3041" s="4" t="str">
        <f>HYPERLINK("./Results/DLO\889\Osteo_Sarco_1.png","RPT")</f>
        <v>RPT</v>
      </c>
      <c r="F3041" s="2" t="s">
        <v>69</v>
      </c>
      <c r="G3041" s="6"/>
      <c r="I3041"/>
      <c r="J3041"/>
      <c r="K3041"/>
    </row>
    <row r="3042" spans="1:11" x14ac:dyDescent="0.3">
      <c r="A3042" s="2" t="s">
        <v>1283</v>
      </c>
      <c r="B3042" s="2" t="s">
        <v>112</v>
      </c>
      <c r="C3042" s="2" t="s">
        <v>111</v>
      </c>
      <c r="D3042" s="2" t="s">
        <v>1960</v>
      </c>
      <c r="E3042" s="4" t="str">
        <f>HYPERLINK("./Results/DLO\89\Osteo_Sarco_1.png","RPT")</f>
        <v>RPT</v>
      </c>
      <c r="F3042" s="2" t="s">
        <v>90</v>
      </c>
      <c r="G3042" s="6"/>
      <c r="H3042" s="1">
        <v>20.55</v>
      </c>
    </row>
    <row r="3043" spans="1:11" x14ac:dyDescent="0.3">
      <c r="A3043" s="2" t="s">
        <v>1285</v>
      </c>
      <c r="B3043" s="2" t="s">
        <v>148</v>
      </c>
      <c r="C3043" s="2" t="s">
        <v>119</v>
      </c>
      <c r="D3043" s="2" t="s">
        <v>2859</v>
      </c>
      <c r="E3043" s="4" t="str">
        <f>HYPERLINK("./Results/DLO\890\Osteo_Sarco_1.png","RPT")</f>
        <v>RPT</v>
      </c>
      <c r="F3043" s="2" t="s">
        <v>137</v>
      </c>
      <c r="G3043" s="6"/>
      <c r="H3043" s="1">
        <v>17.739999999999998</v>
      </c>
    </row>
    <row r="3044" spans="1:11" x14ac:dyDescent="0.3">
      <c r="A3044" s="2" t="s">
        <v>1295</v>
      </c>
      <c r="B3044" s="2" t="s">
        <v>159</v>
      </c>
      <c r="C3044" s="2" t="s">
        <v>119</v>
      </c>
      <c r="D3044" s="2" t="s">
        <v>2867</v>
      </c>
      <c r="E3044" s="4" t="str">
        <f>HYPERLINK("./Results/DLO\891\Osteo_Sarco_1.png","RPT")</f>
        <v>RPT</v>
      </c>
      <c r="F3044" s="2" t="s">
        <v>588</v>
      </c>
      <c r="G3044" s="6"/>
      <c r="I3044"/>
      <c r="J3044"/>
      <c r="K3044"/>
    </row>
    <row r="3045" spans="1:11" x14ac:dyDescent="0.3">
      <c r="A3045" s="2" t="s">
        <v>1303</v>
      </c>
      <c r="B3045" s="2" t="s">
        <v>168</v>
      </c>
      <c r="C3045" s="2" t="s">
        <v>119</v>
      </c>
      <c r="D3045" s="2" t="s">
        <v>2859</v>
      </c>
      <c r="E3045" s="4" t="str">
        <f>HYPERLINK("./Results/DLO\892\Osteo_Sarco_1.png","RPT")</f>
        <v>RPT</v>
      </c>
      <c r="F3045" s="2" t="s">
        <v>88</v>
      </c>
      <c r="G3045" s="6"/>
      <c r="I3045"/>
      <c r="J3045"/>
      <c r="K3045"/>
    </row>
    <row r="3046" spans="1:11" x14ac:dyDescent="0.3">
      <c r="A3046" s="2" t="s">
        <v>1279</v>
      </c>
      <c r="B3046" s="2" t="s">
        <v>154</v>
      </c>
      <c r="C3046" s="2" t="s">
        <v>119</v>
      </c>
      <c r="D3046" s="2" t="s">
        <v>2859</v>
      </c>
      <c r="E3046" s="4" t="str">
        <f>HYPERLINK("./Results/DLO\893\Osteo_Sarco_1.png","RPT")</f>
        <v>RPT</v>
      </c>
      <c r="F3046" s="2" t="s">
        <v>61</v>
      </c>
      <c r="G3046" s="6"/>
      <c r="I3046"/>
      <c r="J3046"/>
      <c r="K3046"/>
    </row>
    <row r="3047" spans="1:11" x14ac:dyDescent="0.3">
      <c r="A3047" s="2" t="s">
        <v>1286</v>
      </c>
      <c r="B3047" s="2" t="s">
        <v>165</v>
      </c>
      <c r="C3047" s="2" t="s">
        <v>111</v>
      </c>
      <c r="D3047" s="2" t="s">
        <v>2859</v>
      </c>
      <c r="E3047" s="4" t="str">
        <f>HYPERLINK("./Results/DLO\894\Osteo_Sarco_1.png","RPT")</f>
        <v>RPT</v>
      </c>
      <c r="F3047" s="2" t="s">
        <v>463</v>
      </c>
      <c r="G3047" s="6"/>
      <c r="I3047"/>
      <c r="J3047"/>
      <c r="K3047"/>
    </row>
    <row r="3048" spans="1:11" x14ac:dyDescent="0.3">
      <c r="A3048" s="2" t="s">
        <v>1288</v>
      </c>
      <c r="B3048" s="2" t="s">
        <v>137</v>
      </c>
      <c r="C3048" s="2" t="s">
        <v>119</v>
      </c>
      <c r="D3048" s="2" t="s">
        <v>2859</v>
      </c>
      <c r="E3048" s="4" t="str">
        <f>HYPERLINK("./Results/DLO\895\Osteo_Sarco_1.png","RPT")</f>
        <v>RPT</v>
      </c>
      <c r="F3048" s="2" t="s">
        <v>121</v>
      </c>
      <c r="G3048" s="6"/>
      <c r="H3048" s="1">
        <v>21.37</v>
      </c>
    </row>
    <row r="3049" spans="1:11" x14ac:dyDescent="0.3">
      <c r="A3049" s="2" t="s">
        <v>1299</v>
      </c>
      <c r="B3049" s="2" t="s">
        <v>135</v>
      </c>
      <c r="C3049" s="2" t="s">
        <v>111</v>
      </c>
      <c r="D3049" s="2" t="s">
        <v>2859</v>
      </c>
      <c r="E3049" s="4" t="str">
        <f>HYPERLINK("./Results/DLO\896\Osteo_Sarco_1.png","RPT")</f>
        <v>RPT</v>
      </c>
      <c r="F3049" s="2" t="s">
        <v>96</v>
      </c>
      <c r="G3049" s="6"/>
      <c r="I3049"/>
      <c r="J3049"/>
      <c r="K3049"/>
    </row>
    <row r="3050" spans="1:11" x14ac:dyDescent="0.3">
      <c r="A3050" s="2" t="s">
        <v>1291</v>
      </c>
      <c r="B3050" s="2" t="s">
        <v>163</v>
      </c>
      <c r="C3050" s="2" t="s">
        <v>119</v>
      </c>
      <c r="D3050" s="2" t="s">
        <v>2859</v>
      </c>
      <c r="E3050" s="4" t="str">
        <f>HYPERLINK("./Results/DLO\897\Osteo_Sarco_1.png","RPT")</f>
        <v>RPT</v>
      </c>
      <c r="F3050" s="2" t="s">
        <v>43</v>
      </c>
      <c r="G3050" s="6"/>
      <c r="I3050"/>
      <c r="J3050"/>
      <c r="K3050"/>
    </row>
    <row r="3051" spans="1:11" x14ac:dyDescent="0.3">
      <c r="A3051" s="2" t="s">
        <v>1297</v>
      </c>
      <c r="B3051" s="2" t="s">
        <v>162</v>
      </c>
      <c r="C3051" s="2" t="s">
        <v>111</v>
      </c>
      <c r="D3051" s="2" t="s">
        <v>2859</v>
      </c>
      <c r="E3051" s="4" t="str">
        <f>HYPERLINK("./Results/DLO\898\Osteo_Sarco_1.png","RPT")</f>
        <v>RPT</v>
      </c>
      <c r="F3051" s="2" t="s">
        <v>101</v>
      </c>
      <c r="G3051" s="6"/>
      <c r="I3051"/>
      <c r="J3051"/>
      <c r="K3051"/>
    </row>
    <row r="3052" spans="1:11" x14ac:dyDescent="0.3">
      <c r="A3052" s="2" t="s">
        <v>1292</v>
      </c>
      <c r="B3052" s="2" t="s">
        <v>140</v>
      </c>
      <c r="C3052" s="2" t="s">
        <v>119</v>
      </c>
      <c r="D3052" s="2" t="s">
        <v>2859</v>
      </c>
      <c r="E3052" s="4" t="str">
        <f>HYPERLINK("./Results/DLO\899\Osteo_Sarco_1.png","RPT")</f>
        <v>RPT</v>
      </c>
      <c r="F3052" s="2" t="s">
        <v>42</v>
      </c>
      <c r="G3052" s="6"/>
      <c r="H3052" s="1">
        <v>35.119999999999997</v>
      </c>
    </row>
    <row r="3053" spans="1:11" x14ac:dyDescent="0.3">
      <c r="A3053" s="2" t="s">
        <v>1293</v>
      </c>
      <c r="B3053" s="2" t="s">
        <v>143</v>
      </c>
      <c r="C3053" s="2" t="s">
        <v>119</v>
      </c>
      <c r="D3053" s="2" t="s">
        <v>2867</v>
      </c>
      <c r="E3053" s="4" t="str">
        <f>HYPERLINK("./Results/DLO\9\Osteo_Sarco_1.png","RPT")</f>
        <v>RPT</v>
      </c>
      <c r="F3053" s="2" t="s">
        <v>29</v>
      </c>
      <c r="G3053" s="6"/>
      <c r="H3053" s="1">
        <v>29.75</v>
      </c>
    </row>
    <row r="3054" spans="1:11" x14ac:dyDescent="0.3">
      <c r="A3054" s="2" t="s">
        <v>1301</v>
      </c>
      <c r="B3054" s="2" t="s">
        <v>135</v>
      </c>
      <c r="C3054" s="2" t="s">
        <v>119</v>
      </c>
      <c r="D3054" s="2" t="s">
        <v>2859</v>
      </c>
      <c r="E3054" s="4" t="str">
        <f>HYPERLINK("./Results/DLO\90\Osteo_Sarco_1.png","RPT")</f>
        <v>RPT</v>
      </c>
      <c r="F3054" s="2" t="s">
        <v>70</v>
      </c>
      <c r="G3054" s="6"/>
      <c r="I3054"/>
      <c r="J3054"/>
      <c r="K3054"/>
    </row>
    <row r="3055" spans="1:11" x14ac:dyDescent="0.3">
      <c r="A3055" s="2" t="s">
        <v>1294</v>
      </c>
      <c r="B3055" s="2" t="s">
        <v>129</v>
      </c>
      <c r="C3055" s="2" t="s">
        <v>111</v>
      </c>
      <c r="D3055" s="2" t="s">
        <v>2867</v>
      </c>
      <c r="E3055" s="4" t="str">
        <f>HYPERLINK("./Results/DLO\900\Osteo_Sarco_1.png","RPT")</f>
        <v>RPT</v>
      </c>
      <c r="F3055" s="2" t="s">
        <v>105</v>
      </c>
      <c r="G3055" s="6"/>
      <c r="I3055"/>
      <c r="J3055"/>
      <c r="K3055"/>
    </row>
    <row r="3056" spans="1:11" x14ac:dyDescent="0.3">
      <c r="A3056" s="2" t="s">
        <v>1314</v>
      </c>
      <c r="B3056" s="2" t="s">
        <v>142</v>
      </c>
      <c r="C3056" s="2" t="s">
        <v>111</v>
      </c>
      <c r="D3056" s="2" t="s">
        <v>2859</v>
      </c>
      <c r="E3056" s="4" t="str">
        <f>HYPERLINK("./Results/DLO\901\Osteo_Sarco_1.png","RPT")</f>
        <v>RPT</v>
      </c>
      <c r="F3056" s="2" t="s">
        <v>108</v>
      </c>
      <c r="G3056" s="6"/>
      <c r="I3056"/>
      <c r="J3056"/>
      <c r="K3056"/>
    </row>
    <row r="3057" spans="1:11" x14ac:dyDescent="0.3">
      <c r="A3057" s="2" t="s">
        <v>1305</v>
      </c>
      <c r="B3057" s="2" t="s">
        <v>134</v>
      </c>
      <c r="C3057" s="2" t="s">
        <v>119</v>
      </c>
      <c r="D3057" s="2" t="s">
        <v>2867</v>
      </c>
      <c r="E3057" s="4" t="str">
        <f>HYPERLINK("./Results/DLO\902\Osteo_Sarco_1.png","RPT")</f>
        <v>RPT</v>
      </c>
      <c r="F3057" s="2" t="s">
        <v>115</v>
      </c>
      <c r="G3057" s="6"/>
      <c r="H3057" s="1">
        <v>21.65</v>
      </c>
    </row>
    <row r="3058" spans="1:11" x14ac:dyDescent="0.3">
      <c r="A3058" s="2" t="s">
        <v>1329</v>
      </c>
      <c r="B3058" s="2" t="s">
        <v>161</v>
      </c>
      <c r="C3058" s="2" t="s">
        <v>119</v>
      </c>
      <c r="D3058" s="2" t="s">
        <v>2859</v>
      </c>
      <c r="E3058" s="4" t="str">
        <f>HYPERLINK("./Results/DLO\903\Osteo_Sarco_1.png","RPT")</f>
        <v>RPT</v>
      </c>
      <c r="F3058" s="2" t="s">
        <v>36</v>
      </c>
      <c r="G3058" s="6"/>
      <c r="I3058"/>
      <c r="J3058"/>
      <c r="K3058"/>
    </row>
    <row r="3059" spans="1:11" x14ac:dyDescent="0.3">
      <c r="A3059" s="2" t="s">
        <v>1322</v>
      </c>
      <c r="B3059" s="2" t="s">
        <v>140</v>
      </c>
      <c r="C3059" s="2" t="s">
        <v>111</v>
      </c>
      <c r="D3059" s="2" t="s">
        <v>2859</v>
      </c>
      <c r="E3059" s="4" t="str">
        <f>HYPERLINK("./Results/DLO\904\Osteo_Sarco_1.png","RPT")</f>
        <v>RPT</v>
      </c>
      <c r="F3059" s="2" t="s">
        <v>55</v>
      </c>
      <c r="G3059" s="6"/>
      <c r="H3059" s="1">
        <v>21.63</v>
      </c>
    </row>
    <row r="3060" spans="1:11" x14ac:dyDescent="0.3">
      <c r="A3060" s="2" t="s">
        <v>1323</v>
      </c>
      <c r="B3060" s="2" t="s">
        <v>138</v>
      </c>
      <c r="C3060" s="2" t="s">
        <v>119</v>
      </c>
      <c r="D3060" s="2" t="s">
        <v>2859</v>
      </c>
      <c r="E3060" s="4" t="str">
        <f>HYPERLINK("./Results/DLO\905\Osteo_Sarco_1.png","RPT")</f>
        <v>RPT</v>
      </c>
      <c r="F3060" s="2" t="s">
        <v>136</v>
      </c>
      <c r="G3060" s="6"/>
      <c r="I3060"/>
      <c r="J3060"/>
      <c r="K3060"/>
    </row>
    <row r="3061" spans="1:11" x14ac:dyDescent="0.3">
      <c r="A3061" s="2" t="s">
        <v>1317</v>
      </c>
      <c r="B3061" s="2" t="s">
        <v>167</v>
      </c>
      <c r="C3061" s="2" t="s">
        <v>119</v>
      </c>
      <c r="D3061" s="2" t="s">
        <v>2859</v>
      </c>
      <c r="E3061" s="4" t="str">
        <f>HYPERLINK("./Results/DLO\906\Osteo_Sarco_1.png","RPT")</f>
        <v>RPT</v>
      </c>
      <c r="F3061" s="2" t="s">
        <v>57</v>
      </c>
      <c r="G3061" s="6"/>
      <c r="H3061" s="1">
        <v>32.04</v>
      </c>
    </row>
    <row r="3062" spans="1:11" x14ac:dyDescent="0.3">
      <c r="A3062" s="2" t="s">
        <v>1324</v>
      </c>
      <c r="B3062" s="2" t="s">
        <v>141</v>
      </c>
      <c r="C3062" s="2" t="s">
        <v>111</v>
      </c>
      <c r="D3062" s="2" t="s">
        <v>2867</v>
      </c>
      <c r="E3062" s="4" t="str">
        <f>HYPERLINK("./Results/DLO\907\Osteo_Sarco_1.png","RPT")</f>
        <v>RPT</v>
      </c>
      <c r="F3062" s="2" t="s">
        <v>446</v>
      </c>
      <c r="G3062" s="6"/>
      <c r="I3062"/>
      <c r="J3062"/>
      <c r="K3062"/>
    </row>
    <row r="3063" spans="1:11" x14ac:dyDescent="0.3">
      <c r="A3063" s="2" t="s">
        <v>1326</v>
      </c>
      <c r="B3063" s="2" t="s">
        <v>132</v>
      </c>
      <c r="C3063" s="2" t="s">
        <v>119</v>
      </c>
      <c r="D3063" s="2" t="s">
        <v>2867</v>
      </c>
      <c r="E3063" s="4" t="str">
        <f>HYPERLINK("./Results/DLO\908\Osteo_Sarco_1.png","RPT")</f>
        <v>RPT</v>
      </c>
      <c r="F3063" s="2" t="s">
        <v>27</v>
      </c>
      <c r="G3063" s="6"/>
      <c r="I3063"/>
      <c r="J3063"/>
      <c r="K3063"/>
    </row>
    <row r="3064" spans="1:11" x14ac:dyDescent="0.3">
      <c r="A3064" s="2" t="s">
        <v>1307</v>
      </c>
      <c r="B3064" s="2" t="s">
        <v>30</v>
      </c>
      <c r="C3064" s="2" t="s">
        <v>111</v>
      </c>
      <c r="D3064" s="2" t="s">
        <v>1935</v>
      </c>
      <c r="E3064" s="4" t="str">
        <f>HYPERLINK("./Results/DLO\909\Osteo_Sarco_1.png","RPT")</f>
        <v>RPT</v>
      </c>
      <c r="F3064" s="2">
        <v>55</v>
      </c>
      <c r="G3064" s="6"/>
      <c r="H3064" s="1">
        <v>13.02</v>
      </c>
    </row>
    <row r="3065" spans="1:11" x14ac:dyDescent="0.3">
      <c r="A3065" s="2" t="s">
        <v>1315</v>
      </c>
      <c r="B3065" s="2" t="s">
        <v>120</v>
      </c>
      <c r="C3065" s="2" t="s">
        <v>111</v>
      </c>
      <c r="D3065" s="2" t="s">
        <v>2859</v>
      </c>
      <c r="E3065" s="4" t="str">
        <f>HYPERLINK("./Results/DLO\91\Osteo_Sarco_1.png","RPT")</f>
        <v>RPT</v>
      </c>
      <c r="F3065" s="2" t="s">
        <v>68</v>
      </c>
      <c r="G3065" s="6"/>
      <c r="I3065"/>
      <c r="J3065"/>
      <c r="K3065"/>
    </row>
    <row r="3066" spans="1:11" x14ac:dyDescent="0.3">
      <c r="A3066" s="2" t="s">
        <v>1325</v>
      </c>
      <c r="B3066" s="2" t="s">
        <v>120</v>
      </c>
      <c r="C3066" s="2" t="s">
        <v>111</v>
      </c>
      <c r="D3066" s="2" t="s">
        <v>2859</v>
      </c>
      <c r="E3066" s="4" t="str">
        <f>HYPERLINK("./Results/DLO\910\Osteo_Sarco_1.png","RPT")</f>
        <v>RPT</v>
      </c>
      <c r="F3066" s="2" t="s">
        <v>467</v>
      </c>
      <c r="G3066" s="6"/>
      <c r="H3066" s="1">
        <v>17.899999999999999</v>
      </c>
    </row>
    <row r="3067" spans="1:11" x14ac:dyDescent="0.3">
      <c r="A3067" s="2" t="s">
        <v>1312</v>
      </c>
      <c r="B3067" s="2" t="s">
        <v>138</v>
      </c>
      <c r="C3067" s="2" t="s">
        <v>119</v>
      </c>
      <c r="D3067" s="2" t="s">
        <v>2867</v>
      </c>
      <c r="E3067" s="4" t="str">
        <f>HYPERLINK("./Results/DLO\911\Osteo_Sarco_1.png","RPT")</f>
        <v>RPT</v>
      </c>
      <c r="F3067" s="2" t="s">
        <v>69</v>
      </c>
      <c r="G3067" s="6"/>
      <c r="H3067" s="1">
        <v>29.21</v>
      </c>
    </row>
    <row r="3068" spans="1:11" x14ac:dyDescent="0.3">
      <c r="A3068" s="2" t="s">
        <v>1327</v>
      </c>
      <c r="B3068" s="2" t="s">
        <v>579</v>
      </c>
      <c r="C3068" s="2" t="s">
        <v>119</v>
      </c>
      <c r="D3068" s="2" t="s">
        <v>2859</v>
      </c>
      <c r="E3068" s="4" t="str">
        <f>HYPERLINK("./Results/DLO\912\Osteo_Sarco_1.png","RPT")</f>
        <v>RPT</v>
      </c>
      <c r="F3068" s="2" t="s">
        <v>73</v>
      </c>
      <c r="G3068" s="6"/>
      <c r="I3068"/>
      <c r="J3068"/>
      <c r="K3068"/>
    </row>
    <row r="3069" spans="1:11" x14ac:dyDescent="0.3">
      <c r="A3069" s="2" t="s">
        <v>1316</v>
      </c>
      <c r="B3069" s="2" t="s">
        <v>116</v>
      </c>
      <c r="C3069" s="2" t="s">
        <v>119</v>
      </c>
      <c r="D3069" s="2" t="s">
        <v>2859</v>
      </c>
      <c r="E3069" s="4" t="str">
        <f>HYPERLINK("./Results/DLO\913\Osteo_Sarco_1.png","RPT")</f>
        <v>RPT</v>
      </c>
      <c r="F3069" s="2" t="s">
        <v>77</v>
      </c>
      <c r="G3069" s="6"/>
      <c r="I3069"/>
      <c r="J3069"/>
      <c r="K3069"/>
    </row>
    <row r="3070" spans="1:11" x14ac:dyDescent="0.3">
      <c r="A3070" s="2" t="s">
        <v>1328</v>
      </c>
      <c r="B3070" s="2" t="s">
        <v>138</v>
      </c>
      <c r="C3070" s="2" t="s">
        <v>119</v>
      </c>
      <c r="D3070" s="2" t="s">
        <v>2859</v>
      </c>
      <c r="E3070" s="4" t="str">
        <f>HYPERLINK("./Results/DLO\914\Osteo_Sarco_1.png","RPT")</f>
        <v>RPT</v>
      </c>
      <c r="F3070" s="2" t="s">
        <v>36</v>
      </c>
      <c r="G3070" s="6"/>
      <c r="I3070"/>
      <c r="J3070"/>
      <c r="K3070"/>
    </row>
    <row r="3071" spans="1:11" x14ac:dyDescent="0.3">
      <c r="A3071" s="2" t="s">
        <v>1306</v>
      </c>
      <c r="B3071" s="2" t="s">
        <v>118</v>
      </c>
      <c r="C3071" s="2" t="s">
        <v>119</v>
      </c>
      <c r="D3071" s="2" t="s">
        <v>2859</v>
      </c>
      <c r="E3071" s="4" t="str">
        <f>HYPERLINK("./Results/DLO\915\Osteo_Sarco_1.png","RPT")</f>
        <v>RPT</v>
      </c>
      <c r="F3071" s="2" t="s">
        <v>88</v>
      </c>
      <c r="G3071" s="6"/>
      <c r="I3071"/>
      <c r="J3071"/>
      <c r="K3071"/>
    </row>
    <row r="3072" spans="1:11" x14ac:dyDescent="0.3">
      <c r="A3072" s="2" t="s">
        <v>1308</v>
      </c>
      <c r="B3072" s="2" t="s">
        <v>149</v>
      </c>
      <c r="C3072" s="2" t="s">
        <v>111</v>
      </c>
      <c r="D3072" s="2" t="s">
        <v>2859</v>
      </c>
      <c r="E3072" s="4" t="str">
        <f>HYPERLINK("./Results/DLO\916\Osteo_Sarco_1.png","RPT")</f>
        <v>RPT</v>
      </c>
      <c r="F3072" s="2" t="s">
        <v>51</v>
      </c>
      <c r="G3072" s="6"/>
      <c r="I3072"/>
      <c r="J3072"/>
      <c r="K3072"/>
    </row>
    <row r="3073" spans="1:11" x14ac:dyDescent="0.3">
      <c r="A3073" s="2" t="s">
        <v>1318</v>
      </c>
      <c r="B3073" s="2" t="s">
        <v>140</v>
      </c>
      <c r="C3073" s="2" t="s">
        <v>119</v>
      </c>
      <c r="D3073" s="2" t="s">
        <v>2859</v>
      </c>
      <c r="E3073" s="4" t="str">
        <f>HYPERLINK("./Results/DLO\917\Osteo_Sarco_1.png","RPT")</f>
        <v>RPT</v>
      </c>
      <c r="F3073" s="2" t="s">
        <v>21</v>
      </c>
      <c r="G3073" s="6"/>
      <c r="H3073" s="1">
        <v>26.07</v>
      </c>
    </row>
    <row r="3074" spans="1:11" x14ac:dyDescent="0.3">
      <c r="A3074" s="2" t="s">
        <v>1309</v>
      </c>
      <c r="B3074" s="2" t="s">
        <v>134</v>
      </c>
      <c r="C3074" s="2" t="s">
        <v>111</v>
      </c>
      <c r="D3074" s="2" t="s">
        <v>2859</v>
      </c>
      <c r="E3074" s="4" t="str">
        <f>HYPERLINK("./Results/DLO\918\Osteo_Sarco_1.png","RPT")</f>
        <v>RPT</v>
      </c>
      <c r="F3074" s="2" t="s">
        <v>52</v>
      </c>
      <c r="G3074" s="6"/>
      <c r="I3074"/>
      <c r="J3074"/>
      <c r="K3074"/>
    </row>
    <row r="3075" spans="1:11" x14ac:dyDescent="0.3">
      <c r="A3075" s="2" t="s">
        <v>1310</v>
      </c>
      <c r="B3075" s="2" t="s">
        <v>142</v>
      </c>
      <c r="C3075" s="2" t="s">
        <v>119</v>
      </c>
      <c r="D3075" s="2" t="s">
        <v>2859</v>
      </c>
      <c r="E3075" s="4" t="str">
        <f>HYPERLINK("./Results/DLO\919\Osteo_Sarco_1.png","RPT")</f>
        <v>RPT</v>
      </c>
      <c r="F3075" s="2" t="s">
        <v>467</v>
      </c>
      <c r="G3075" s="6"/>
      <c r="H3075" s="1">
        <v>23.92</v>
      </c>
    </row>
    <row r="3076" spans="1:11" x14ac:dyDescent="0.3">
      <c r="A3076" s="2" t="s">
        <v>1320</v>
      </c>
      <c r="B3076" s="2" t="s">
        <v>115</v>
      </c>
      <c r="C3076" s="2" t="s">
        <v>111</v>
      </c>
      <c r="D3076" s="2" t="s">
        <v>2867</v>
      </c>
      <c r="E3076" s="4" t="str">
        <f>HYPERLINK("./Results/DLO\92\Osteo_Sarco_1.png","RPT")</f>
        <v>RPT</v>
      </c>
      <c r="F3076" s="2" t="s">
        <v>94</v>
      </c>
      <c r="G3076" s="6"/>
      <c r="I3076"/>
      <c r="J3076"/>
      <c r="K3076"/>
    </row>
    <row r="3077" spans="1:11" x14ac:dyDescent="0.3">
      <c r="A3077" s="2" t="s">
        <v>1319</v>
      </c>
      <c r="B3077" s="2" t="s">
        <v>118</v>
      </c>
      <c r="C3077" s="2" t="s">
        <v>111</v>
      </c>
      <c r="D3077" s="2" t="s">
        <v>2859</v>
      </c>
      <c r="E3077" s="4" t="str">
        <f>HYPERLINK("./Results/DLO\920\Osteo_Sarco_1.png","RPT")</f>
        <v>RPT</v>
      </c>
      <c r="F3077" s="2" t="s">
        <v>58</v>
      </c>
      <c r="G3077" s="6"/>
      <c r="H3077" s="1">
        <v>24.56</v>
      </c>
    </row>
    <row r="3078" spans="1:11" x14ac:dyDescent="0.3">
      <c r="A3078" s="2" t="s">
        <v>1311</v>
      </c>
      <c r="B3078" s="2" t="s">
        <v>146</v>
      </c>
      <c r="C3078" s="2" t="s">
        <v>119</v>
      </c>
      <c r="D3078" s="2" t="s">
        <v>2859</v>
      </c>
      <c r="E3078" s="4" t="str">
        <f>HYPERLINK("./Results/DLO\921\Osteo_Sarco_1.png","RPT")</f>
        <v>RPT</v>
      </c>
      <c r="F3078" s="2" t="s">
        <v>112</v>
      </c>
      <c r="G3078" s="6"/>
      <c r="I3078"/>
      <c r="J3078"/>
      <c r="K3078"/>
    </row>
    <row r="3079" spans="1:11" x14ac:dyDescent="0.3">
      <c r="A3079" s="2" t="s">
        <v>1321</v>
      </c>
      <c r="B3079" s="2" t="s">
        <v>116</v>
      </c>
      <c r="C3079" s="2" t="s">
        <v>119</v>
      </c>
      <c r="D3079" s="2" t="s">
        <v>2867</v>
      </c>
      <c r="E3079" s="4" t="str">
        <f>HYPERLINK("./Results/DLO\922\Osteo_Sarco_1.png","RPT")</f>
        <v>RPT</v>
      </c>
      <c r="F3079" s="2" t="s">
        <v>77</v>
      </c>
      <c r="G3079" s="6"/>
      <c r="I3079"/>
      <c r="J3079"/>
      <c r="K3079"/>
    </row>
    <row r="3080" spans="1:11" x14ac:dyDescent="0.3">
      <c r="A3080" s="2" t="s">
        <v>1313</v>
      </c>
      <c r="B3080" s="2" t="s">
        <v>133</v>
      </c>
      <c r="C3080" s="2" t="s">
        <v>111</v>
      </c>
      <c r="D3080" s="2" t="s">
        <v>2859</v>
      </c>
      <c r="E3080" s="4" t="str">
        <f>HYPERLINK("./Results/DLO\923\Osteo_Sarco_1.png","RPT")</f>
        <v>RPT</v>
      </c>
      <c r="F3080" s="2" t="s">
        <v>80</v>
      </c>
      <c r="G3080" s="6"/>
      <c r="I3080"/>
      <c r="J3080"/>
      <c r="K3080"/>
    </row>
    <row r="3081" spans="1:11" x14ac:dyDescent="0.3">
      <c r="A3081" s="2" t="s">
        <v>1351</v>
      </c>
      <c r="B3081" s="2" t="s">
        <v>113</v>
      </c>
      <c r="C3081" s="2" t="s">
        <v>119</v>
      </c>
      <c r="D3081" s="2" t="s">
        <v>2867</v>
      </c>
      <c r="E3081" s="4" t="str">
        <f>HYPERLINK("./Results/DLO\924\Osteo_Sarco_1.png","RPT")</f>
        <v>RPT</v>
      </c>
      <c r="F3081" s="2" t="s">
        <v>583</v>
      </c>
      <c r="G3081" s="6"/>
      <c r="H3081" s="1">
        <v>24.92</v>
      </c>
    </row>
    <row r="3082" spans="1:11" x14ac:dyDescent="0.3">
      <c r="A3082" s="2" t="s">
        <v>1350</v>
      </c>
      <c r="B3082" s="2" t="s">
        <v>577</v>
      </c>
      <c r="C3082" s="2" t="s">
        <v>119</v>
      </c>
      <c r="D3082" s="2" t="s">
        <v>2867</v>
      </c>
      <c r="E3082" s="4" t="str">
        <f>HYPERLINK("./Results/DLO\925\Osteo_Sarco_1.png","RPT")</f>
        <v>RPT</v>
      </c>
      <c r="F3082" s="2" t="s">
        <v>72</v>
      </c>
      <c r="G3082" s="6"/>
      <c r="I3082"/>
      <c r="J3082"/>
      <c r="K3082"/>
    </row>
    <row r="3083" spans="1:11" x14ac:dyDescent="0.3">
      <c r="A3083" s="2" t="s">
        <v>1331</v>
      </c>
      <c r="B3083" s="2" t="s">
        <v>142</v>
      </c>
      <c r="C3083" s="2" t="s">
        <v>119</v>
      </c>
      <c r="D3083" s="2" t="s">
        <v>2867</v>
      </c>
      <c r="E3083" s="4" t="str">
        <f>HYPERLINK("./Results/DLO\926\Osteo_Sarco_1.png","RPT")</f>
        <v>RPT</v>
      </c>
      <c r="F3083" s="2" t="s">
        <v>98</v>
      </c>
      <c r="G3083" s="6"/>
      <c r="I3083"/>
      <c r="J3083"/>
      <c r="K3083"/>
    </row>
    <row r="3084" spans="1:11" x14ac:dyDescent="0.3">
      <c r="A3084" s="2" t="s">
        <v>1352</v>
      </c>
      <c r="B3084" s="2" t="s">
        <v>576</v>
      </c>
      <c r="C3084" s="2" t="s">
        <v>111</v>
      </c>
      <c r="D3084" s="2" t="s">
        <v>2859</v>
      </c>
      <c r="E3084" s="4" t="str">
        <f>HYPERLINK("./Results/DLO\927\Osteo_Sarco_1.png","RPT")</f>
        <v>RPT</v>
      </c>
      <c r="F3084" s="2" t="s">
        <v>92</v>
      </c>
      <c r="G3084" s="6"/>
      <c r="I3084"/>
      <c r="J3084"/>
      <c r="K3084"/>
    </row>
    <row r="3085" spans="1:11" x14ac:dyDescent="0.3">
      <c r="A3085" s="2" t="s">
        <v>1336</v>
      </c>
      <c r="B3085" s="2" t="s">
        <v>113</v>
      </c>
      <c r="C3085" s="2" t="s">
        <v>111</v>
      </c>
      <c r="D3085" s="2" t="s">
        <v>2859</v>
      </c>
      <c r="E3085" s="4" t="str">
        <f>HYPERLINK("./Results/DLO\928\Osteo_Sarco_1.png","RPT")</f>
        <v>RPT</v>
      </c>
      <c r="F3085" s="2" t="s">
        <v>458</v>
      </c>
      <c r="G3085" s="6"/>
      <c r="H3085" s="1">
        <v>26.02</v>
      </c>
    </row>
    <row r="3086" spans="1:11" x14ac:dyDescent="0.3">
      <c r="A3086" s="2" t="s">
        <v>1356</v>
      </c>
      <c r="B3086" s="2" t="s">
        <v>139</v>
      </c>
      <c r="C3086" s="2" t="s">
        <v>119</v>
      </c>
      <c r="D3086" s="2" t="s">
        <v>2867</v>
      </c>
      <c r="E3086" s="4" t="str">
        <f>HYPERLINK("./Results/DLO\929\Osteo_Sarco_1.png","RPT")</f>
        <v>RPT</v>
      </c>
      <c r="F3086" s="2" t="s">
        <v>34</v>
      </c>
      <c r="G3086" s="6"/>
      <c r="I3086"/>
      <c r="J3086"/>
      <c r="K3086"/>
    </row>
    <row r="3087" spans="1:11" x14ac:dyDescent="0.3">
      <c r="A3087" s="2" t="s">
        <v>1340</v>
      </c>
      <c r="B3087" s="2" t="s">
        <v>591</v>
      </c>
      <c r="C3087" s="2" t="s">
        <v>111</v>
      </c>
      <c r="D3087" s="2" t="s">
        <v>2867</v>
      </c>
      <c r="E3087" s="4" t="str">
        <f>HYPERLINK("./Results/DLO\93\Osteo_Sarco_1.png","RPT")</f>
        <v>RPT</v>
      </c>
      <c r="F3087" s="2" t="s">
        <v>449</v>
      </c>
      <c r="G3087" s="6"/>
      <c r="I3087"/>
      <c r="J3087"/>
      <c r="K3087"/>
    </row>
    <row r="3088" spans="1:11" x14ac:dyDescent="0.3">
      <c r="A3088" s="2" t="s">
        <v>1333</v>
      </c>
      <c r="B3088" s="2" t="s">
        <v>123</v>
      </c>
      <c r="C3088" s="2" t="s">
        <v>119</v>
      </c>
      <c r="D3088" s="2" t="s">
        <v>2859</v>
      </c>
      <c r="E3088" s="4" t="str">
        <f>HYPERLINK("./Results/DLO\930\Osteo_Sarco_1.png","RPT")</f>
        <v>RPT</v>
      </c>
      <c r="F3088" s="2" t="s">
        <v>46</v>
      </c>
      <c r="G3088" s="6"/>
      <c r="I3088"/>
      <c r="J3088"/>
      <c r="K3088"/>
    </row>
    <row r="3089" spans="1:11" x14ac:dyDescent="0.3">
      <c r="A3089" s="2" t="s">
        <v>1335</v>
      </c>
      <c r="B3089" s="2" t="s">
        <v>118</v>
      </c>
      <c r="C3089" s="2" t="s">
        <v>111</v>
      </c>
      <c r="D3089" s="2" t="s">
        <v>2859</v>
      </c>
      <c r="E3089" s="4" t="str">
        <f>HYPERLINK("./Results/DLO\931\Osteo_Sarco_1.png","RPT")</f>
        <v>RPT</v>
      </c>
      <c r="F3089" s="2" t="s">
        <v>104</v>
      </c>
      <c r="G3089" s="6"/>
      <c r="I3089"/>
      <c r="J3089"/>
      <c r="K3089"/>
    </row>
    <row r="3090" spans="1:11" x14ac:dyDescent="0.3">
      <c r="A3090" s="2" t="s">
        <v>1341</v>
      </c>
      <c r="B3090" s="2" t="s">
        <v>134</v>
      </c>
      <c r="C3090" s="2" t="s">
        <v>111</v>
      </c>
      <c r="D3090" s="2" t="s">
        <v>2859</v>
      </c>
      <c r="E3090" s="4" t="str">
        <f>HYPERLINK("./Results/DLO\932\Osteo_Sarco_1.png","RPT")</f>
        <v>RPT</v>
      </c>
      <c r="F3090" s="2" t="s">
        <v>38</v>
      </c>
      <c r="G3090" s="6"/>
      <c r="H3090" s="1">
        <v>19.47</v>
      </c>
    </row>
    <row r="3091" spans="1:11" x14ac:dyDescent="0.3">
      <c r="A3091" s="2" t="s">
        <v>1354</v>
      </c>
      <c r="B3091" s="2" t="s">
        <v>159</v>
      </c>
      <c r="C3091" s="2" t="s">
        <v>119</v>
      </c>
      <c r="D3091" s="2" t="s">
        <v>2859</v>
      </c>
      <c r="E3091" s="4" t="str">
        <f>HYPERLINK("./Results/DLO\933\Osteo_Sarco_1.png","RPT")</f>
        <v>RPT</v>
      </c>
      <c r="F3091" s="2" t="s">
        <v>29</v>
      </c>
      <c r="G3091" s="6"/>
      <c r="H3091" s="1">
        <v>21.5</v>
      </c>
    </row>
    <row r="3092" spans="1:11" x14ac:dyDescent="0.3">
      <c r="A3092" s="2" t="s">
        <v>1334</v>
      </c>
      <c r="B3092" s="2" t="s">
        <v>123</v>
      </c>
      <c r="C3092" s="2" t="s">
        <v>119</v>
      </c>
      <c r="D3092" s="2" t="s">
        <v>2859</v>
      </c>
      <c r="E3092" s="4" t="str">
        <f>HYPERLINK("./Results/DLO\934\Osteo_Sarco_1.png","RPT")</f>
        <v>RPT</v>
      </c>
      <c r="F3092" s="2" t="s">
        <v>29</v>
      </c>
      <c r="G3092" s="6"/>
      <c r="I3092"/>
      <c r="J3092"/>
      <c r="K3092"/>
    </row>
    <row r="3093" spans="1:11" x14ac:dyDescent="0.3">
      <c r="A3093" s="2" t="s">
        <v>1353</v>
      </c>
      <c r="B3093" s="2" t="s">
        <v>135</v>
      </c>
      <c r="C3093" s="2" t="s">
        <v>111</v>
      </c>
      <c r="D3093" s="2" t="s">
        <v>2859</v>
      </c>
      <c r="E3093" s="4" t="str">
        <f>HYPERLINK("./Results/DLO\935\Osteo_Sarco_1.png","RPT")</f>
        <v>RPT</v>
      </c>
      <c r="F3093" s="2" t="s">
        <v>32</v>
      </c>
      <c r="G3093" s="6"/>
      <c r="H3093" s="1">
        <v>25.5</v>
      </c>
    </row>
    <row r="3094" spans="1:11" x14ac:dyDescent="0.3">
      <c r="A3094" s="2" t="s">
        <v>1358</v>
      </c>
      <c r="B3094" s="2" t="s">
        <v>148</v>
      </c>
      <c r="C3094" s="2" t="s">
        <v>119</v>
      </c>
      <c r="D3094" s="2" t="s">
        <v>2859</v>
      </c>
      <c r="E3094" s="4" t="str">
        <f>HYPERLINK("./Results/DLO\936\Osteo_Sarco_1.png","RPT")</f>
        <v>RPT</v>
      </c>
      <c r="F3094" s="2" t="s">
        <v>60</v>
      </c>
      <c r="G3094" s="6"/>
      <c r="I3094"/>
      <c r="J3094"/>
      <c r="K3094"/>
    </row>
    <row r="3095" spans="1:11" x14ac:dyDescent="0.3">
      <c r="A3095" s="2" t="s">
        <v>1332</v>
      </c>
      <c r="B3095" s="2" t="s">
        <v>123</v>
      </c>
      <c r="C3095" s="2" t="s">
        <v>119</v>
      </c>
      <c r="D3095" s="2" t="s">
        <v>2859</v>
      </c>
      <c r="E3095" s="4" t="str">
        <f>HYPERLINK("./Results/DLO\937\Osteo_Sarco_1.png","RPT")</f>
        <v>RPT</v>
      </c>
      <c r="F3095" s="2" t="s">
        <v>98</v>
      </c>
      <c r="G3095" s="6"/>
      <c r="I3095"/>
      <c r="J3095"/>
      <c r="K3095"/>
    </row>
    <row r="3096" spans="1:11" x14ac:dyDescent="0.3">
      <c r="A3096" s="2" t="s">
        <v>1337</v>
      </c>
      <c r="B3096" s="2" t="s">
        <v>142</v>
      </c>
      <c r="C3096" s="2" t="s">
        <v>119</v>
      </c>
      <c r="D3096" s="2" t="s">
        <v>2867</v>
      </c>
      <c r="E3096" s="4" t="str">
        <f>HYPERLINK("./Results/DLO\938\Osteo_Sarco_1.png","RPT")</f>
        <v>RPT</v>
      </c>
      <c r="F3096" s="2" t="s">
        <v>35</v>
      </c>
      <c r="G3096" s="6"/>
      <c r="I3096"/>
      <c r="J3096"/>
      <c r="K3096"/>
    </row>
    <row r="3097" spans="1:11" x14ac:dyDescent="0.3">
      <c r="A3097" s="2" t="s">
        <v>1343</v>
      </c>
      <c r="B3097" s="2" t="s">
        <v>161</v>
      </c>
      <c r="C3097" s="2" t="s">
        <v>119</v>
      </c>
      <c r="D3097" s="2" t="s">
        <v>2859</v>
      </c>
      <c r="E3097" s="4" t="str">
        <f>HYPERLINK("./Results/DLO\939\Osteo_Sarco_1.png","RPT")</f>
        <v>RPT</v>
      </c>
      <c r="F3097" s="2" t="s">
        <v>46</v>
      </c>
      <c r="G3097" s="6"/>
      <c r="I3097"/>
      <c r="J3097"/>
      <c r="K3097"/>
    </row>
    <row r="3098" spans="1:11" x14ac:dyDescent="0.3">
      <c r="A3098" s="2" t="s">
        <v>1338</v>
      </c>
      <c r="B3098" s="2" t="s">
        <v>166</v>
      </c>
      <c r="C3098" s="2" t="s">
        <v>111</v>
      </c>
      <c r="D3098" s="2" t="s">
        <v>2859</v>
      </c>
      <c r="E3098" s="4" t="str">
        <f>HYPERLINK("./Results/DLO\94\Osteo_Sarco_1.png","RPT")</f>
        <v>RPT</v>
      </c>
      <c r="F3098" s="2" t="s">
        <v>458</v>
      </c>
      <c r="G3098" s="6"/>
      <c r="I3098"/>
      <c r="J3098"/>
      <c r="K3098"/>
    </row>
    <row r="3099" spans="1:11" x14ac:dyDescent="0.3">
      <c r="A3099" s="2" t="s">
        <v>1355</v>
      </c>
      <c r="B3099" s="2" t="s">
        <v>118</v>
      </c>
      <c r="C3099" s="2" t="s">
        <v>119</v>
      </c>
      <c r="D3099" s="2" t="s">
        <v>2859</v>
      </c>
      <c r="E3099" s="4" t="str">
        <f>HYPERLINK("./Results/DLO\940\Osteo_Sarco_1.png","RPT")</f>
        <v>RPT</v>
      </c>
      <c r="F3099" s="2" t="s">
        <v>74</v>
      </c>
      <c r="G3099" s="6"/>
      <c r="I3099"/>
      <c r="J3099"/>
      <c r="K3099"/>
    </row>
    <row r="3100" spans="1:11" x14ac:dyDescent="0.3">
      <c r="A3100" s="2" t="s">
        <v>1339</v>
      </c>
      <c r="B3100" s="2" t="s">
        <v>166</v>
      </c>
      <c r="C3100" s="2" t="s">
        <v>119</v>
      </c>
      <c r="D3100" s="2" t="s">
        <v>2859</v>
      </c>
      <c r="E3100" s="4" t="str">
        <f>HYPERLINK("./Results/DLO\941\Osteo_Sarco_1.png","RPT")</f>
        <v>RPT</v>
      </c>
      <c r="F3100" s="2" t="s">
        <v>53</v>
      </c>
      <c r="G3100" s="6"/>
      <c r="I3100"/>
      <c r="J3100"/>
      <c r="K3100"/>
    </row>
    <row r="3101" spans="1:11" x14ac:dyDescent="0.3">
      <c r="A3101" s="2" t="s">
        <v>1345</v>
      </c>
      <c r="B3101" s="2" t="s">
        <v>137</v>
      </c>
      <c r="C3101" s="2" t="s">
        <v>111</v>
      </c>
      <c r="D3101" s="2" t="s">
        <v>2859</v>
      </c>
      <c r="E3101" s="4" t="str">
        <f>HYPERLINK("./Results/DLO\942\Osteo_Sarco_1.png","RPT")</f>
        <v>RPT</v>
      </c>
      <c r="F3101" s="2" t="s">
        <v>94</v>
      </c>
      <c r="G3101" s="6"/>
      <c r="I3101"/>
      <c r="J3101"/>
      <c r="K3101"/>
    </row>
    <row r="3102" spans="1:11" x14ac:dyDescent="0.3">
      <c r="A3102" s="2" t="s">
        <v>1357</v>
      </c>
      <c r="B3102" s="2" t="s">
        <v>127</v>
      </c>
      <c r="C3102" s="2" t="s">
        <v>111</v>
      </c>
      <c r="D3102" s="2" t="s">
        <v>2859</v>
      </c>
      <c r="E3102" s="4" t="str">
        <f>HYPERLINK("./Results/DLO\943\Osteo_Sarco_1.png","RPT")</f>
        <v>RPT</v>
      </c>
      <c r="F3102" s="2" t="s">
        <v>27</v>
      </c>
      <c r="G3102" s="6"/>
      <c r="I3102"/>
      <c r="J3102"/>
      <c r="K3102"/>
    </row>
    <row r="3103" spans="1:11" x14ac:dyDescent="0.3">
      <c r="A3103" s="2" t="s">
        <v>1342</v>
      </c>
      <c r="B3103" s="2" t="s">
        <v>129</v>
      </c>
      <c r="C3103" s="2" t="s">
        <v>111</v>
      </c>
      <c r="D3103" s="2" t="s">
        <v>2859</v>
      </c>
      <c r="E3103" s="4" t="str">
        <f>HYPERLINK("./Results/DLO\944\Osteo_Sarco_1.png","RPT")</f>
        <v>RPT</v>
      </c>
      <c r="F3103" s="2" t="s">
        <v>96</v>
      </c>
      <c r="G3103" s="6"/>
      <c r="I3103"/>
      <c r="J3103"/>
      <c r="K3103"/>
    </row>
    <row r="3104" spans="1:11" x14ac:dyDescent="0.3">
      <c r="A3104" s="2" t="s">
        <v>1344</v>
      </c>
      <c r="B3104" s="2" t="s">
        <v>135</v>
      </c>
      <c r="C3104" s="2" t="s">
        <v>119</v>
      </c>
      <c r="D3104" s="2" t="s">
        <v>2859</v>
      </c>
      <c r="E3104" s="4" t="str">
        <f>HYPERLINK("./Results/DLO\945\Osteo_Sarco_1.png","RPT")</f>
        <v>RPT</v>
      </c>
      <c r="F3104" s="2" t="s">
        <v>46</v>
      </c>
      <c r="G3104" s="6"/>
      <c r="H3104" s="1">
        <v>25.55</v>
      </c>
    </row>
    <row r="3105" spans="1:11" x14ac:dyDescent="0.3">
      <c r="A3105" s="2" t="s">
        <v>1330</v>
      </c>
      <c r="B3105" s="2" t="s">
        <v>140</v>
      </c>
      <c r="C3105" s="2" t="s">
        <v>119</v>
      </c>
      <c r="D3105" s="2" t="s">
        <v>2859</v>
      </c>
      <c r="E3105" s="4" t="str">
        <f>HYPERLINK("./Results/DLO\946\Osteo_Sarco_1.png","RPT")</f>
        <v>RPT</v>
      </c>
      <c r="F3105" s="2" t="s">
        <v>98</v>
      </c>
      <c r="G3105" s="6"/>
      <c r="I3105"/>
      <c r="J3105"/>
      <c r="K3105"/>
    </row>
    <row r="3106" spans="1:11" x14ac:dyDescent="0.3">
      <c r="A3106" s="2" t="s">
        <v>1360</v>
      </c>
      <c r="B3106" s="2" t="s">
        <v>127</v>
      </c>
      <c r="C3106" s="2" t="s">
        <v>111</v>
      </c>
      <c r="D3106" s="2" t="s">
        <v>2867</v>
      </c>
      <c r="E3106" s="4" t="str">
        <f>HYPERLINK("./Results/DLO\947\Osteo_Sarco_1.png","RPT")</f>
        <v>RPT</v>
      </c>
      <c r="F3106" s="2" t="s">
        <v>41</v>
      </c>
      <c r="G3106" s="6"/>
      <c r="I3106"/>
      <c r="J3106"/>
      <c r="K3106"/>
    </row>
    <row r="3107" spans="1:11" x14ac:dyDescent="0.3">
      <c r="A3107" s="2" t="s">
        <v>1359</v>
      </c>
      <c r="B3107" s="2" t="s">
        <v>120</v>
      </c>
      <c r="C3107" s="2" t="s">
        <v>119</v>
      </c>
      <c r="D3107" s="2" t="s">
        <v>2859</v>
      </c>
      <c r="E3107" s="4" t="str">
        <f>HYPERLINK("./Results/DLO\948\Osteo_Sarco_1.png","RPT")</f>
        <v>RPT</v>
      </c>
      <c r="F3107" s="2" t="s">
        <v>79</v>
      </c>
      <c r="G3107" s="6"/>
      <c r="I3107"/>
      <c r="J3107"/>
      <c r="K3107"/>
    </row>
    <row r="3108" spans="1:11" x14ac:dyDescent="0.3">
      <c r="A3108" s="2" t="s">
        <v>1348</v>
      </c>
      <c r="B3108" s="2" t="s">
        <v>123</v>
      </c>
      <c r="C3108" s="2" t="s">
        <v>111</v>
      </c>
      <c r="D3108" s="2" t="s">
        <v>2859</v>
      </c>
      <c r="E3108" s="4" t="str">
        <f>HYPERLINK("./Results/DLO\949\Osteo_Sarco_1.png","RPT")</f>
        <v>RPT</v>
      </c>
      <c r="F3108" s="2" t="s">
        <v>26</v>
      </c>
      <c r="G3108" s="6"/>
      <c r="H3108" s="1">
        <v>19.690000000000001</v>
      </c>
    </row>
    <row r="3109" spans="1:11" x14ac:dyDescent="0.3">
      <c r="A3109" s="2" t="s">
        <v>1346</v>
      </c>
      <c r="B3109" s="2" t="s">
        <v>146</v>
      </c>
      <c r="C3109" s="2" t="s">
        <v>111</v>
      </c>
      <c r="D3109" s="2" t="s">
        <v>2859</v>
      </c>
      <c r="E3109" s="4" t="str">
        <f>HYPERLINK("./Results/DLO\95\Osteo_Sarco_1.png","RPT")</f>
        <v>RPT</v>
      </c>
      <c r="F3109" s="2" t="s">
        <v>39</v>
      </c>
      <c r="G3109" s="6"/>
      <c r="H3109" s="1">
        <v>29.6</v>
      </c>
    </row>
    <row r="3110" spans="1:11" x14ac:dyDescent="0.3">
      <c r="A3110" s="2" t="s">
        <v>1347</v>
      </c>
      <c r="B3110" s="2" t="s">
        <v>137</v>
      </c>
      <c r="C3110" s="2" t="s">
        <v>119</v>
      </c>
      <c r="D3110" s="2" t="s">
        <v>2867</v>
      </c>
      <c r="E3110" s="4" t="str">
        <f>HYPERLINK("./Results/DLO\950\Osteo_Sarco_1.png","RPT")</f>
        <v>RPT</v>
      </c>
      <c r="F3110" s="2" t="s">
        <v>77</v>
      </c>
      <c r="G3110" s="6"/>
      <c r="I3110"/>
      <c r="J3110"/>
      <c r="K3110"/>
    </row>
    <row r="3111" spans="1:11" x14ac:dyDescent="0.3">
      <c r="A3111" s="2" t="s">
        <v>1349</v>
      </c>
      <c r="B3111" s="2" t="s">
        <v>137</v>
      </c>
      <c r="C3111" s="2" t="s">
        <v>119</v>
      </c>
      <c r="D3111" s="2" t="s">
        <v>2867</v>
      </c>
      <c r="E3111" s="4" t="str">
        <f>HYPERLINK("./Results/DLO\951\Osteo_Sarco_1.png","RPT")</f>
        <v>RPT</v>
      </c>
      <c r="F3111" s="2" t="s">
        <v>41</v>
      </c>
      <c r="G3111" s="6"/>
      <c r="I3111"/>
      <c r="J3111"/>
      <c r="K3111"/>
    </row>
    <row r="3112" spans="1:11" x14ac:dyDescent="0.3">
      <c r="A3112" s="2" t="s">
        <v>1373</v>
      </c>
      <c r="B3112" s="2" t="s">
        <v>112</v>
      </c>
      <c r="C3112" s="2" t="s">
        <v>119</v>
      </c>
      <c r="D3112" s="2" t="s">
        <v>2859</v>
      </c>
      <c r="E3112" s="4" t="str">
        <f>HYPERLINK("./Results/DLO\952\Osteo_Sarco_1.png","RPT")</f>
        <v>RPT</v>
      </c>
      <c r="F3112" s="2" t="s">
        <v>74</v>
      </c>
      <c r="G3112" s="6"/>
      <c r="I3112"/>
      <c r="J3112"/>
      <c r="K3112"/>
    </row>
    <row r="3113" spans="1:11" x14ac:dyDescent="0.3">
      <c r="A3113" s="2" t="s">
        <v>1384</v>
      </c>
      <c r="B3113" s="2" t="s">
        <v>587</v>
      </c>
      <c r="C3113" s="2" t="s">
        <v>119</v>
      </c>
      <c r="D3113" s="2" t="s">
        <v>2859</v>
      </c>
      <c r="E3113" s="4" t="str">
        <f>HYPERLINK("./Results/DLO\953\Osteo_Sarco_1.png","RPT")</f>
        <v>RPT</v>
      </c>
      <c r="F3113" s="2" t="s">
        <v>96</v>
      </c>
      <c r="G3113" s="6"/>
      <c r="I3113"/>
      <c r="J3113"/>
      <c r="K3113"/>
    </row>
    <row r="3114" spans="1:11" x14ac:dyDescent="0.3">
      <c r="A3114" s="2" t="s">
        <v>1361</v>
      </c>
      <c r="B3114" s="2" t="s">
        <v>144</v>
      </c>
      <c r="C3114" s="2" t="s">
        <v>119</v>
      </c>
      <c r="D3114" s="2" t="s">
        <v>2867</v>
      </c>
      <c r="E3114" s="4" t="str">
        <f>HYPERLINK("./Results/DLO\954\Osteo_Sarco_1.png","RPT")</f>
        <v>RPT</v>
      </c>
      <c r="F3114" s="2" t="s">
        <v>70</v>
      </c>
      <c r="G3114" s="6"/>
      <c r="I3114"/>
      <c r="J3114"/>
      <c r="K3114"/>
    </row>
    <row r="3115" spans="1:11" x14ac:dyDescent="0.3">
      <c r="A3115" s="2" t="s">
        <v>1366</v>
      </c>
      <c r="B3115" s="2" t="s">
        <v>123</v>
      </c>
      <c r="C3115" s="2" t="s">
        <v>119</v>
      </c>
      <c r="D3115" s="2" t="s">
        <v>2867</v>
      </c>
      <c r="E3115" s="4" t="str">
        <f>HYPERLINK("./Results/DLO\955\Osteo_Sarco_1.png","RPT")</f>
        <v>RPT</v>
      </c>
      <c r="F3115" s="2" t="s">
        <v>81</v>
      </c>
      <c r="G3115" s="6"/>
      <c r="I3115"/>
      <c r="J3115"/>
      <c r="K3115"/>
    </row>
    <row r="3116" spans="1:11" x14ac:dyDescent="0.3">
      <c r="A3116" s="2" t="s">
        <v>1380</v>
      </c>
      <c r="B3116" s="2" t="s">
        <v>136</v>
      </c>
      <c r="C3116" s="2" t="s">
        <v>111</v>
      </c>
      <c r="D3116" s="2" t="s">
        <v>2859</v>
      </c>
      <c r="E3116" s="4" t="str">
        <f>HYPERLINK("./Results/DLO\956\Osteo_Sarco_1.png","RPT")</f>
        <v>RPT</v>
      </c>
      <c r="F3116" s="2" t="s">
        <v>20</v>
      </c>
      <c r="G3116" s="6"/>
      <c r="I3116"/>
      <c r="J3116"/>
      <c r="K3116"/>
    </row>
    <row r="3117" spans="1:11" x14ac:dyDescent="0.3">
      <c r="A3117" s="2" t="s">
        <v>1362</v>
      </c>
      <c r="B3117" s="2" t="s">
        <v>159</v>
      </c>
      <c r="C3117" s="2" t="s">
        <v>111</v>
      </c>
      <c r="D3117" s="2" t="s">
        <v>2859</v>
      </c>
      <c r="E3117" s="4" t="str">
        <f>HYPERLINK("./Results/DLO\957\Osteo_Sarco_1.png","RPT")</f>
        <v>RPT</v>
      </c>
      <c r="F3117" s="2" t="s">
        <v>108</v>
      </c>
      <c r="G3117" s="6"/>
      <c r="H3117" s="1">
        <v>27.16</v>
      </c>
    </row>
    <row r="3118" spans="1:11" x14ac:dyDescent="0.3">
      <c r="A3118" s="2" t="s">
        <v>1367</v>
      </c>
      <c r="B3118" s="2" t="s">
        <v>131</v>
      </c>
      <c r="C3118" s="2" t="s">
        <v>111</v>
      </c>
      <c r="D3118" s="2" t="s">
        <v>2131</v>
      </c>
      <c r="E3118" s="4" t="str">
        <f>HYPERLINK("./Results/DLO\958\Osteo_Sarco_1.png","RPT")</f>
        <v>RPT</v>
      </c>
      <c r="F3118" s="2" t="s">
        <v>155</v>
      </c>
      <c r="G3118" s="6"/>
      <c r="H3118" s="1">
        <v>31.14</v>
      </c>
    </row>
    <row r="3119" spans="1:11" x14ac:dyDescent="0.3">
      <c r="A3119" s="2" t="s">
        <v>1368</v>
      </c>
      <c r="B3119" s="2" t="s">
        <v>573</v>
      </c>
      <c r="C3119" s="2" t="s">
        <v>119</v>
      </c>
      <c r="D3119" s="2" t="s">
        <v>2859</v>
      </c>
      <c r="E3119" s="4" t="str">
        <f>HYPERLINK("./Results/DLO\959\Osteo_Sarco_1.png","RPT")</f>
        <v>RPT</v>
      </c>
      <c r="F3119" s="2" t="s">
        <v>76</v>
      </c>
      <c r="G3119" s="6"/>
      <c r="I3119"/>
      <c r="J3119"/>
      <c r="K3119"/>
    </row>
    <row r="3120" spans="1:11" x14ac:dyDescent="0.3">
      <c r="A3120" s="2" t="s">
        <v>1381</v>
      </c>
      <c r="B3120" s="2" t="s">
        <v>128</v>
      </c>
      <c r="C3120" s="2" t="s">
        <v>119</v>
      </c>
      <c r="D3120" s="2" t="s">
        <v>2859</v>
      </c>
      <c r="E3120" s="4" t="str">
        <f>HYPERLINK("./Results/DLO\96\Osteo_Sarco_1.png","RPT")</f>
        <v>RPT</v>
      </c>
      <c r="F3120" s="2" t="s">
        <v>57</v>
      </c>
      <c r="G3120" s="6"/>
      <c r="I3120"/>
      <c r="J3120"/>
      <c r="K3120"/>
    </row>
    <row r="3121" spans="1:11" x14ac:dyDescent="0.3">
      <c r="A3121" s="2" t="s">
        <v>1382</v>
      </c>
      <c r="B3121" s="2" t="s">
        <v>146</v>
      </c>
      <c r="C3121" s="2" t="s">
        <v>111</v>
      </c>
      <c r="D3121" s="2" t="s">
        <v>2859</v>
      </c>
      <c r="E3121" s="4" t="str">
        <f>HYPERLINK("./Results/DLO\960\Osteo_Sarco_1.png","RPT")</f>
        <v>RPT</v>
      </c>
      <c r="F3121" s="2" t="s">
        <v>84</v>
      </c>
      <c r="G3121" s="6"/>
      <c r="H3121" s="1">
        <v>25.62</v>
      </c>
    </row>
    <row r="3122" spans="1:11" x14ac:dyDescent="0.3">
      <c r="A3122" s="2" t="s">
        <v>1364</v>
      </c>
      <c r="B3122" s="2" t="s">
        <v>148</v>
      </c>
      <c r="C3122" s="2" t="s">
        <v>119</v>
      </c>
      <c r="D3122" s="2" t="s">
        <v>2859</v>
      </c>
      <c r="E3122" s="4" t="str">
        <f>HYPERLINK("./Results/DLO\961\Osteo_Sarco_1.png","RPT")</f>
        <v>RPT</v>
      </c>
      <c r="F3122" s="2" t="s">
        <v>56</v>
      </c>
      <c r="G3122" s="6"/>
      <c r="I3122"/>
      <c r="J3122"/>
      <c r="K3122"/>
    </row>
    <row r="3123" spans="1:11" x14ac:dyDescent="0.3">
      <c r="A3123" s="2" t="s">
        <v>1369</v>
      </c>
      <c r="B3123" s="2" t="s">
        <v>127</v>
      </c>
      <c r="C3123" s="2" t="s">
        <v>119</v>
      </c>
      <c r="D3123" s="2" t="s">
        <v>2867</v>
      </c>
      <c r="E3123" s="4" t="str">
        <f>HYPERLINK("./Results/DLO\962\Osteo_Sarco_1.png","RPT")</f>
        <v>RPT</v>
      </c>
      <c r="F3123" s="2" t="s">
        <v>77</v>
      </c>
      <c r="G3123" s="6"/>
      <c r="I3123"/>
      <c r="J3123"/>
      <c r="K3123"/>
    </row>
    <row r="3124" spans="1:11" x14ac:dyDescent="0.3">
      <c r="A3124" s="2" t="s">
        <v>1379</v>
      </c>
      <c r="B3124" s="2" t="s">
        <v>120</v>
      </c>
      <c r="C3124" s="2" t="s">
        <v>119</v>
      </c>
      <c r="D3124" s="2" t="s">
        <v>2867</v>
      </c>
      <c r="E3124" s="4" t="str">
        <f>HYPERLINK("./Results/DLO\963\Osteo_Sarco_1.png","RPT")</f>
        <v>RPT</v>
      </c>
      <c r="F3124" s="2" t="s">
        <v>87</v>
      </c>
      <c r="G3124" s="6"/>
      <c r="I3124"/>
      <c r="J3124"/>
      <c r="K3124"/>
    </row>
    <row r="3125" spans="1:11" x14ac:dyDescent="0.3">
      <c r="A3125" s="2" t="s">
        <v>1378</v>
      </c>
      <c r="B3125" s="2" t="s">
        <v>576</v>
      </c>
      <c r="C3125" s="2" t="s">
        <v>119</v>
      </c>
      <c r="D3125" s="2" t="s">
        <v>2867</v>
      </c>
      <c r="E3125" s="4" t="str">
        <f>HYPERLINK("./Results/DLO\964\Osteo_Sarco_1.png","RPT")</f>
        <v>RPT</v>
      </c>
      <c r="F3125" s="2" t="s">
        <v>110</v>
      </c>
      <c r="G3125" s="6"/>
      <c r="H3125" s="1">
        <v>34.909999999999997</v>
      </c>
    </row>
    <row r="3126" spans="1:11" x14ac:dyDescent="0.3">
      <c r="A3126" s="2" t="s">
        <v>1370</v>
      </c>
      <c r="B3126" s="2" t="s">
        <v>140</v>
      </c>
      <c r="C3126" s="2" t="s">
        <v>119</v>
      </c>
      <c r="D3126" s="2" t="s">
        <v>2859</v>
      </c>
      <c r="E3126" s="4" t="str">
        <f>HYPERLINK("./Results/DLO\965\Osteo_Sarco_1.png","RPT")</f>
        <v>RPT</v>
      </c>
      <c r="F3126" s="2" t="s">
        <v>79</v>
      </c>
      <c r="G3126" s="6"/>
      <c r="I3126"/>
      <c r="J3126"/>
      <c r="K3126"/>
    </row>
    <row r="3127" spans="1:11" x14ac:dyDescent="0.3">
      <c r="A3127" s="2" t="s">
        <v>1374</v>
      </c>
      <c r="B3127" s="2" t="s">
        <v>149</v>
      </c>
      <c r="C3127" s="2" t="s">
        <v>111</v>
      </c>
      <c r="D3127" s="2" t="s">
        <v>2867</v>
      </c>
      <c r="E3127" s="4" t="str">
        <f>HYPERLINK("./Results/DLO\966\Osteo_Sarco_1.png","RPT")</f>
        <v>RPT</v>
      </c>
      <c r="F3127" s="2" t="s">
        <v>453</v>
      </c>
      <c r="G3127" s="6"/>
      <c r="I3127"/>
      <c r="J3127"/>
      <c r="K3127"/>
    </row>
    <row r="3128" spans="1:11" x14ac:dyDescent="0.3">
      <c r="A3128" s="2" t="s">
        <v>1371</v>
      </c>
      <c r="B3128" s="2" t="s">
        <v>126</v>
      </c>
      <c r="C3128" s="2" t="s">
        <v>111</v>
      </c>
      <c r="D3128" s="2" t="s">
        <v>2859</v>
      </c>
      <c r="E3128" s="4" t="str">
        <f>HYPERLINK("./Results/DLO\967\Osteo_Sarco_1.png","RPT")</f>
        <v>RPT</v>
      </c>
      <c r="F3128" s="2" t="s">
        <v>450</v>
      </c>
      <c r="G3128" s="6"/>
      <c r="I3128"/>
      <c r="J3128"/>
      <c r="K3128"/>
    </row>
    <row r="3129" spans="1:11" x14ac:dyDescent="0.3">
      <c r="A3129" s="2" t="s">
        <v>1376</v>
      </c>
      <c r="B3129" s="2" t="s">
        <v>120</v>
      </c>
      <c r="C3129" s="2" t="s">
        <v>111</v>
      </c>
      <c r="D3129" s="2" t="s">
        <v>2859</v>
      </c>
      <c r="E3129" s="4" t="str">
        <f>HYPERLINK("./Results/DLO\968\Osteo_Sarco_1.png","RPT")</f>
        <v>RPT</v>
      </c>
      <c r="F3129" s="2" t="s">
        <v>26</v>
      </c>
      <c r="G3129" s="6"/>
      <c r="I3129"/>
      <c r="J3129"/>
      <c r="K3129"/>
    </row>
    <row r="3130" spans="1:11" x14ac:dyDescent="0.3">
      <c r="A3130" s="2" t="s">
        <v>1363</v>
      </c>
      <c r="B3130" s="2" t="s">
        <v>123</v>
      </c>
      <c r="C3130" s="2" t="s">
        <v>119</v>
      </c>
      <c r="D3130" s="2" t="s">
        <v>2859</v>
      </c>
      <c r="E3130" s="4" t="str">
        <f>HYPERLINK("./Results/DLO\969\Osteo_Sarco_1.png","RPT")</f>
        <v>RPT</v>
      </c>
      <c r="F3130" s="2" t="s">
        <v>54</v>
      </c>
      <c r="G3130" s="6"/>
      <c r="H3130" s="1">
        <v>23.87</v>
      </c>
    </row>
    <row r="3131" spans="1:11" x14ac:dyDescent="0.3">
      <c r="A3131" s="2" t="s">
        <v>1383</v>
      </c>
      <c r="B3131" s="2" t="s">
        <v>160</v>
      </c>
      <c r="C3131" s="2" t="s">
        <v>119</v>
      </c>
      <c r="D3131" s="2" t="s">
        <v>2859</v>
      </c>
      <c r="E3131" s="4" t="str">
        <f>HYPERLINK("./Results/DLO\97\Osteo_Sarco_1.png","RPT")</f>
        <v>RPT</v>
      </c>
      <c r="F3131" s="2" t="s">
        <v>28</v>
      </c>
      <c r="G3131" s="6"/>
      <c r="I3131"/>
      <c r="J3131"/>
      <c r="K3131"/>
    </row>
    <row r="3132" spans="1:11" x14ac:dyDescent="0.3">
      <c r="A3132" s="2" t="s">
        <v>1372</v>
      </c>
      <c r="B3132" s="2" t="s">
        <v>151</v>
      </c>
      <c r="C3132" s="2" t="s">
        <v>119</v>
      </c>
      <c r="D3132" s="2" t="s">
        <v>2859</v>
      </c>
      <c r="E3132" s="4" t="str">
        <f>HYPERLINK("./Results/DLO\970\Osteo_Sarco_1.png","RPT")</f>
        <v>RPT</v>
      </c>
      <c r="F3132" s="2" t="s">
        <v>53</v>
      </c>
      <c r="G3132" s="6"/>
      <c r="H3132" s="1">
        <v>27.02</v>
      </c>
    </row>
    <row r="3133" spans="1:11" x14ac:dyDescent="0.3">
      <c r="A3133" s="2" t="s">
        <v>1377</v>
      </c>
      <c r="B3133" s="2" t="s">
        <v>116</v>
      </c>
      <c r="C3133" s="2" t="s">
        <v>111</v>
      </c>
      <c r="D3133" s="2" t="s">
        <v>2867</v>
      </c>
      <c r="E3133" s="4" t="str">
        <f>HYPERLINK("./Results/DLO\971\Osteo_Sarco_1.png","RPT")</f>
        <v>RPT</v>
      </c>
      <c r="F3133" s="2" t="s">
        <v>34</v>
      </c>
      <c r="G3133" s="6"/>
      <c r="I3133"/>
      <c r="J3133"/>
      <c r="K3133"/>
    </row>
    <row r="3134" spans="1:11" x14ac:dyDescent="0.3">
      <c r="A3134" s="2" t="s">
        <v>1375</v>
      </c>
      <c r="B3134" s="2" t="s">
        <v>166</v>
      </c>
      <c r="C3134" s="2" t="s">
        <v>111</v>
      </c>
      <c r="D3134" s="2" t="s">
        <v>2867</v>
      </c>
      <c r="E3134" s="4" t="str">
        <f>HYPERLINK("./Results/DLO\972\Osteo_Sarco_1.png","RPT")</f>
        <v>RPT</v>
      </c>
      <c r="F3134" s="2" t="s">
        <v>32</v>
      </c>
      <c r="G3134" s="6"/>
      <c r="I3134"/>
      <c r="J3134"/>
      <c r="K3134"/>
    </row>
    <row r="3135" spans="1:11" x14ac:dyDescent="0.3">
      <c r="A3135" s="2" t="s">
        <v>1385</v>
      </c>
      <c r="B3135" s="2" t="s">
        <v>152</v>
      </c>
      <c r="C3135" s="2" t="s">
        <v>119</v>
      </c>
      <c r="D3135" s="2" t="s">
        <v>2867</v>
      </c>
      <c r="E3135" s="4" t="str">
        <f>HYPERLINK("./Results/DLO\973\Osteo_Sarco_1.png","RPT")</f>
        <v>RPT</v>
      </c>
      <c r="F3135" s="2" t="s">
        <v>449</v>
      </c>
      <c r="G3135" s="6"/>
      <c r="I3135"/>
      <c r="J3135"/>
      <c r="K3135"/>
    </row>
    <row r="3136" spans="1:11" x14ac:dyDescent="0.3">
      <c r="A3136" s="2" t="s">
        <v>1365</v>
      </c>
      <c r="B3136" s="2" t="s">
        <v>141</v>
      </c>
      <c r="C3136" s="2" t="s">
        <v>111</v>
      </c>
      <c r="D3136" s="2" t="s">
        <v>2859</v>
      </c>
      <c r="E3136" s="4" t="str">
        <f>HYPERLINK("./Results/DLO\974\Osteo_Sarco_1.png","RPT")</f>
        <v>RPT</v>
      </c>
      <c r="F3136" s="2" t="s">
        <v>82</v>
      </c>
      <c r="G3136" s="6"/>
      <c r="I3136"/>
      <c r="J3136"/>
      <c r="K3136"/>
    </row>
    <row r="3137" spans="1:11" x14ac:dyDescent="0.3">
      <c r="A3137" s="2" t="s">
        <v>1388</v>
      </c>
      <c r="B3137" s="2" t="s">
        <v>128</v>
      </c>
      <c r="C3137" s="2" t="s">
        <v>111</v>
      </c>
      <c r="D3137" s="2" t="s">
        <v>2859</v>
      </c>
      <c r="E3137" s="4" t="str">
        <f>HYPERLINK("./Results/DLO\975\Osteo_Sarco_1.png","RPT")</f>
        <v>RPT</v>
      </c>
      <c r="F3137" s="2" t="s">
        <v>20</v>
      </c>
      <c r="G3137" s="6"/>
      <c r="I3137"/>
      <c r="J3137"/>
      <c r="K3137"/>
    </row>
    <row r="3138" spans="1:11" x14ac:dyDescent="0.3">
      <c r="A3138" s="2" t="s">
        <v>1386</v>
      </c>
      <c r="B3138" s="2" t="s">
        <v>129</v>
      </c>
      <c r="C3138" s="2" t="s">
        <v>111</v>
      </c>
      <c r="D3138" s="2" t="s">
        <v>2859</v>
      </c>
      <c r="E3138" s="4" t="str">
        <f>HYPERLINK("./Results/DLO\976\Osteo_Sarco_1.png","RPT")</f>
        <v>RPT</v>
      </c>
      <c r="F3138" s="2" t="s">
        <v>47</v>
      </c>
      <c r="G3138" s="6"/>
      <c r="I3138"/>
      <c r="J3138"/>
      <c r="K3138"/>
    </row>
    <row r="3139" spans="1:11" x14ac:dyDescent="0.3">
      <c r="A3139" s="2" t="s">
        <v>1387</v>
      </c>
      <c r="B3139" s="2" t="s">
        <v>127</v>
      </c>
      <c r="C3139" s="2" t="s">
        <v>119</v>
      </c>
      <c r="D3139" s="2" t="s">
        <v>2859</v>
      </c>
      <c r="E3139" s="4" t="str">
        <f>HYPERLINK("./Results/DLO\977\Osteo_Sarco_1.png","RPT")</f>
        <v>RPT</v>
      </c>
      <c r="F3139" s="2" t="s">
        <v>61</v>
      </c>
      <c r="G3139" s="6"/>
      <c r="H3139" s="1">
        <v>22.96</v>
      </c>
    </row>
    <row r="3140" spans="1:11" x14ac:dyDescent="0.3">
      <c r="A3140" s="2" t="s">
        <v>870</v>
      </c>
      <c r="B3140" s="2" t="s">
        <v>129</v>
      </c>
      <c r="C3140" s="2" t="s">
        <v>111</v>
      </c>
      <c r="D3140" s="2" t="s">
        <v>2859</v>
      </c>
      <c r="E3140" s="4" t="str">
        <f>HYPERLINK("./Results/DLO\978\Osteo_Sarco_1.png","RPT")</f>
        <v>RPT</v>
      </c>
      <c r="F3140" s="2" t="s">
        <v>41</v>
      </c>
      <c r="G3140" s="6"/>
      <c r="I3140"/>
      <c r="J3140"/>
      <c r="K3140"/>
    </row>
    <row r="3141" spans="1:11" x14ac:dyDescent="0.3">
      <c r="A3141" s="2" t="s">
        <v>858</v>
      </c>
      <c r="B3141" s="2" t="s">
        <v>149</v>
      </c>
      <c r="C3141" s="2" t="s">
        <v>119</v>
      </c>
      <c r="D3141" s="2" t="s">
        <v>2859</v>
      </c>
      <c r="E3141" s="4" t="str">
        <f>HYPERLINK("./Results/DLO\979\Osteo_Sarco_1.png","RPT")</f>
        <v>RPT</v>
      </c>
      <c r="F3141" s="2" t="s">
        <v>50</v>
      </c>
      <c r="G3141" s="6"/>
      <c r="I3141"/>
      <c r="J3141"/>
      <c r="K3141"/>
    </row>
    <row r="3142" spans="1:11" x14ac:dyDescent="0.3">
      <c r="A3142" s="2" t="s">
        <v>865</v>
      </c>
      <c r="B3142" s="2" t="s">
        <v>149</v>
      </c>
      <c r="C3142" s="2" t="s">
        <v>111</v>
      </c>
      <c r="D3142" s="2" t="s">
        <v>2867</v>
      </c>
      <c r="E3142" s="4" t="str">
        <f>HYPERLINK("./Results/DLO\98\Osteo_Sarco_1.png","RPT")</f>
        <v>RPT</v>
      </c>
      <c r="F3142" s="2" t="s">
        <v>22</v>
      </c>
      <c r="G3142" s="6"/>
      <c r="I3142"/>
      <c r="J3142"/>
      <c r="K3142"/>
    </row>
    <row r="3143" spans="1:11" x14ac:dyDescent="0.3">
      <c r="A3143" s="2" t="s">
        <v>871</v>
      </c>
      <c r="B3143" s="2" t="s">
        <v>152</v>
      </c>
      <c r="C3143" s="2" t="s">
        <v>111</v>
      </c>
      <c r="D3143" s="2" t="s">
        <v>2859</v>
      </c>
      <c r="E3143" s="4" t="str">
        <f>HYPERLINK("./Results/DLO\980\Osteo_Sarco_1.png","RPT")</f>
        <v>RPT</v>
      </c>
      <c r="F3143" s="2" t="s">
        <v>47</v>
      </c>
      <c r="G3143" s="6"/>
      <c r="I3143"/>
      <c r="J3143"/>
      <c r="K3143"/>
    </row>
    <row r="3144" spans="1:11" x14ac:dyDescent="0.3">
      <c r="A3144" s="2" t="s">
        <v>855</v>
      </c>
      <c r="B3144" s="2" t="s">
        <v>144</v>
      </c>
      <c r="C3144" s="2" t="s">
        <v>119</v>
      </c>
      <c r="D3144" s="2" t="s">
        <v>2859</v>
      </c>
      <c r="E3144" s="4" t="str">
        <f>HYPERLINK("./Results/DLO\981\Osteo_Sarco_1.png","RPT")</f>
        <v>RPT</v>
      </c>
      <c r="F3144" s="2" t="s">
        <v>87</v>
      </c>
      <c r="G3144" s="6"/>
      <c r="I3144"/>
      <c r="J3144"/>
      <c r="K3144"/>
    </row>
    <row r="3145" spans="1:11" x14ac:dyDescent="0.3">
      <c r="A3145" s="2" t="s">
        <v>852</v>
      </c>
      <c r="B3145" s="2" t="s">
        <v>143</v>
      </c>
      <c r="C3145" s="2" t="s">
        <v>111</v>
      </c>
      <c r="D3145" s="2" t="s">
        <v>2867</v>
      </c>
      <c r="E3145" s="4" t="str">
        <f>HYPERLINK("./Results/DLO\982\Osteo_Sarco_1.png","RPT")</f>
        <v>RPT</v>
      </c>
      <c r="F3145" s="2" t="s">
        <v>53</v>
      </c>
      <c r="G3145" s="6"/>
      <c r="I3145"/>
      <c r="J3145"/>
      <c r="K3145"/>
    </row>
    <row r="3146" spans="1:11" x14ac:dyDescent="0.3">
      <c r="A3146" s="2" t="s">
        <v>867</v>
      </c>
      <c r="B3146" s="2" t="s">
        <v>149</v>
      </c>
      <c r="C3146" s="2" t="s">
        <v>111</v>
      </c>
      <c r="D3146" s="2" t="s">
        <v>2867</v>
      </c>
      <c r="E3146" s="4" t="str">
        <f>HYPERLINK("./Results/DLO\983\Osteo_Sarco_1.png","RPT")</f>
        <v>RPT</v>
      </c>
      <c r="F3146" s="2" t="s">
        <v>62</v>
      </c>
      <c r="G3146" s="6"/>
      <c r="I3146"/>
      <c r="J3146"/>
      <c r="K3146"/>
    </row>
    <row r="3147" spans="1:11" x14ac:dyDescent="0.3">
      <c r="A3147" s="2" t="s">
        <v>849</v>
      </c>
      <c r="B3147" s="2" t="s">
        <v>131</v>
      </c>
      <c r="C3147" s="2" t="s">
        <v>111</v>
      </c>
      <c r="D3147" s="2" t="s">
        <v>2867</v>
      </c>
      <c r="E3147" s="4" t="str">
        <f>HYPERLINK("./Results/DLO\984\Osteo_Sarco_1.png","RPT")</f>
        <v>RPT</v>
      </c>
      <c r="F3147" s="2" t="s">
        <v>462</v>
      </c>
      <c r="G3147" s="6"/>
      <c r="I3147"/>
      <c r="J3147"/>
      <c r="K3147"/>
    </row>
    <row r="3148" spans="1:11" x14ac:dyDescent="0.3">
      <c r="A3148" s="2" t="s">
        <v>859</v>
      </c>
      <c r="B3148" s="2" t="s">
        <v>583</v>
      </c>
      <c r="C3148" s="2" t="s">
        <v>111</v>
      </c>
      <c r="D3148" s="2" t="s">
        <v>1960</v>
      </c>
      <c r="E3148" s="4" t="str">
        <f>HYPERLINK("./Results/DLO\985\Osteo_Sarco_1.png","RPT")</f>
        <v>RPT</v>
      </c>
      <c r="F3148" s="2" t="s">
        <v>467</v>
      </c>
      <c r="G3148" s="6"/>
      <c r="I3148"/>
      <c r="J3148"/>
      <c r="K3148"/>
    </row>
    <row r="3149" spans="1:11" x14ac:dyDescent="0.3">
      <c r="A3149" s="2" t="s">
        <v>860</v>
      </c>
      <c r="B3149" s="2" t="s">
        <v>159</v>
      </c>
      <c r="C3149" s="2" t="s">
        <v>119</v>
      </c>
      <c r="D3149" s="2" t="s">
        <v>2859</v>
      </c>
      <c r="E3149" s="4" t="str">
        <f>HYPERLINK("./Results/DLO\986\Osteo_Sarco_1.png","RPT")</f>
        <v>RPT</v>
      </c>
      <c r="F3149" s="2" t="s">
        <v>38</v>
      </c>
      <c r="G3149" s="6"/>
      <c r="H3149" s="1">
        <v>26.06</v>
      </c>
    </row>
    <row r="3150" spans="1:11" x14ac:dyDescent="0.3">
      <c r="A3150" s="2" t="s">
        <v>853</v>
      </c>
      <c r="B3150" s="2" t="s">
        <v>164</v>
      </c>
      <c r="C3150" s="2" t="s">
        <v>119</v>
      </c>
      <c r="D3150" s="2" t="s">
        <v>2867</v>
      </c>
      <c r="E3150" s="4" t="str">
        <f>HYPERLINK("./Results/DLO\987\Osteo_Sarco_1.png","RPT")</f>
        <v>RPT</v>
      </c>
      <c r="F3150" s="2" t="s">
        <v>57</v>
      </c>
      <c r="G3150" s="6"/>
      <c r="I3150"/>
      <c r="J3150"/>
      <c r="K3150"/>
    </row>
    <row r="3151" spans="1:11" x14ac:dyDescent="0.3">
      <c r="A3151" s="2" t="s">
        <v>868</v>
      </c>
      <c r="B3151" s="2" t="s">
        <v>165</v>
      </c>
      <c r="C3151" s="2" t="s">
        <v>111</v>
      </c>
      <c r="D3151" s="2" t="s">
        <v>2859</v>
      </c>
      <c r="E3151" s="4" t="str">
        <f>HYPERLINK("./Results/DLO\988\Osteo_Sarco_1.png","RPT")</f>
        <v>RPT</v>
      </c>
      <c r="F3151" s="2" t="s">
        <v>76</v>
      </c>
      <c r="G3151" s="6"/>
      <c r="I3151"/>
      <c r="J3151"/>
      <c r="K3151"/>
    </row>
    <row r="3152" spans="1:11" x14ac:dyDescent="0.3">
      <c r="A3152" s="2" t="s">
        <v>872</v>
      </c>
      <c r="B3152" s="2" t="s">
        <v>140</v>
      </c>
      <c r="C3152" s="2" t="s">
        <v>119</v>
      </c>
      <c r="D3152" s="2" t="s">
        <v>2867</v>
      </c>
      <c r="E3152" s="4" t="str">
        <f>HYPERLINK("./Results/DLO\989\Osteo_Sarco_1.png","RPT")</f>
        <v>RPT</v>
      </c>
      <c r="F3152" s="2" t="s">
        <v>588</v>
      </c>
      <c r="G3152" s="6"/>
      <c r="I3152"/>
      <c r="J3152"/>
      <c r="K3152"/>
    </row>
    <row r="3153" spans="1:11" x14ac:dyDescent="0.3">
      <c r="A3153" s="2" t="s">
        <v>850</v>
      </c>
      <c r="B3153" s="2" t="s">
        <v>123</v>
      </c>
      <c r="C3153" s="2" t="s">
        <v>119</v>
      </c>
      <c r="D3153" s="2" t="s">
        <v>2859</v>
      </c>
      <c r="E3153" s="4" t="str">
        <f>HYPERLINK("./Results/DLO\99\Osteo_Sarco_1.png","RPT")</f>
        <v>RPT</v>
      </c>
      <c r="F3153" s="2" t="s">
        <v>56</v>
      </c>
      <c r="G3153" s="6"/>
      <c r="H3153" s="1">
        <v>23.51</v>
      </c>
    </row>
    <row r="3154" spans="1:11" x14ac:dyDescent="0.3">
      <c r="A3154" s="2" t="s">
        <v>861</v>
      </c>
      <c r="B3154" s="2" t="s">
        <v>154</v>
      </c>
      <c r="C3154" s="2" t="s">
        <v>119</v>
      </c>
      <c r="D3154" s="2" t="s">
        <v>2859</v>
      </c>
      <c r="E3154" s="4" t="str">
        <f>HYPERLINK("./Results/DLO\990\Osteo_Sarco_1.png","RPT")</f>
        <v>RPT</v>
      </c>
      <c r="F3154" s="2" t="s">
        <v>38</v>
      </c>
      <c r="G3154" s="6"/>
      <c r="I3154"/>
      <c r="J3154"/>
      <c r="K3154"/>
    </row>
    <row r="3155" spans="1:11" x14ac:dyDescent="0.3">
      <c r="A3155" s="2" t="s">
        <v>851</v>
      </c>
      <c r="B3155" s="2" t="s">
        <v>159</v>
      </c>
      <c r="C3155" s="2" t="s">
        <v>119</v>
      </c>
      <c r="D3155" s="2" t="s">
        <v>2859</v>
      </c>
      <c r="E3155" s="4" t="str">
        <f>HYPERLINK("./Results/DLO\991\Osteo_Sarco_1.png","RPT")</f>
        <v>RPT</v>
      </c>
      <c r="F3155" s="2" t="s">
        <v>97</v>
      </c>
      <c r="G3155" s="6"/>
      <c r="I3155"/>
      <c r="J3155"/>
      <c r="K3155"/>
    </row>
    <row r="3156" spans="1:11" x14ac:dyDescent="0.3">
      <c r="A3156" s="2" t="s">
        <v>854</v>
      </c>
      <c r="B3156" s="2" t="s">
        <v>154</v>
      </c>
      <c r="C3156" s="2" t="s">
        <v>119</v>
      </c>
      <c r="D3156" s="2" t="s">
        <v>2859</v>
      </c>
      <c r="E3156" s="4" t="str">
        <f>HYPERLINK("./Results/DLO\992\Osteo_Sarco_1.png","RPT")</f>
        <v>RPT</v>
      </c>
      <c r="F3156" s="2" t="s">
        <v>44</v>
      </c>
      <c r="G3156" s="6"/>
      <c r="I3156"/>
      <c r="J3156"/>
      <c r="K3156"/>
    </row>
    <row r="3157" spans="1:11" x14ac:dyDescent="0.3">
      <c r="A3157" s="2" t="s">
        <v>862</v>
      </c>
      <c r="B3157" s="2" t="s">
        <v>133</v>
      </c>
      <c r="C3157" s="2" t="s">
        <v>111</v>
      </c>
      <c r="D3157" s="2" t="s">
        <v>2859</v>
      </c>
      <c r="E3157" s="4" t="str">
        <f>HYPERLINK("./Results/DLO\993\Osteo_Sarco_1.png","RPT")</f>
        <v>RPT</v>
      </c>
      <c r="F3157" s="2" t="s">
        <v>80</v>
      </c>
      <c r="G3157" s="6"/>
      <c r="I3157"/>
      <c r="J3157"/>
      <c r="K3157"/>
    </row>
    <row r="3158" spans="1:11" x14ac:dyDescent="0.3">
      <c r="A3158" s="2" t="s">
        <v>856</v>
      </c>
      <c r="B3158" s="2" t="s">
        <v>139</v>
      </c>
      <c r="C3158" s="2" t="s">
        <v>111</v>
      </c>
      <c r="D3158" s="2" t="s">
        <v>2859</v>
      </c>
      <c r="E3158" s="4" t="str">
        <f>HYPERLINK("./Results/DLO\994\Osteo_Sarco_1.png","RPT")</f>
        <v>RPT</v>
      </c>
      <c r="F3158" s="2" t="s">
        <v>450</v>
      </c>
      <c r="G3158" s="6"/>
      <c r="I3158"/>
      <c r="J3158"/>
      <c r="K3158"/>
    </row>
    <row r="3159" spans="1:11" x14ac:dyDescent="0.3">
      <c r="A3159" s="2" t="s">
        <v>866</v>
      </c>
      <c r="B3159" s="2" t="s">
        <v>138</v>
      </c>
      <c r="C3159" s="2" t="s">
        <v>111</v>
      </c>
      <c r="D3159" s="2" t="s">
        <v>2859</v>
      </c>
      <c r="E3159" s="4" t="str">
        <f>HYPERLINK("./Results/DLO\995\Osteo_Sarco_1.png","RPT")</f>
        <v>RPT</v>
      </c>
      <c r="F3159" s="2" t="s">
        <v>91</v>
      </c>
      <c r="G3159" s="6"/>
      <c r="I3159"/>
      <c r="J3159"/>
      <c r="K3159"/>
    </row>
    <row r="3160" spans="1:11" x14ac:dyDescent="0.3">
      <c r="A3160" s="2" t="s">
        <v>869</v>
      </c>
      <c r="B3160" s="2" t="s">
        <v>113</v>
      </c>
      <c r="C3160" s="2" t="s">
        <v>119</v>
      </c>
      <c r="D3160" s="2" t="s">
        <v>2867</v>
      </c>
      <c r="E3160" s="4" t="str">
        <f>HYPERLINK("./Results/DLO\996\Osteo_Sarco_1.png","RPT")</f>
        <v>RPT</v>
      </c>
      <c r="F3160" s="2" t="s">
        <v>29</v>
      </c>
      <c r="G3160" s="6"/>
      <c r="I3160"/>
      <c r="J3160"/>
      <c r="K3160"/>
    </row>
    <row r="3161" spans="1:11" x14ac:dyDescent="0.3">
      <c r="A3161" s="2" t="s">
        <v>863</v>
      </c>
      <c r="B3161" s="2" t="s">
        <v>144</v>
      </c>
      <c r="C3161" s="2" t="s">
        <v>111</v>
      </c>
      <c r="D3161" s="2" t="s">
        <v>2867</v>
      </c>
      <c r="E3161" s="4" t="str">
        <f>HYPERLINK("./Results/DLO\997\Osteo_Sarco_1.png","RPT")</f>
        <v>RPT</v>
      </c>
      <c r="F3161" s="2" t="s">
        <v>6</v>
      </c>
      <c r="G3161" s="6"/>
      <c r="I3161"/>
      <c r="J3161"/>
      <c r="K3161"/>
    </row>
    <row r="3162" spans="1:11" x14ac:dyDescent="0.3">
      <c r="A3162" s="2" t="s">
        <v>857</v>
      </c>
      <c r="B3162" s="2" t="s">
        <v>116</v>
      </c>
      <c r="C3162" s="2" t="s">
        <v>119</v>
      </c>
      <c r="D3162" s="2" t="s">
        <v>2859</v>
      </c>
      <c r="E3162" s="4" t="str">
        <f>HYPERLINK("./Results/DLO\998\Osteo_Sarco_1.png","RPT")</f>
        <v>RPT</v>
      </c>
      <c r="F3162" s="2" t="s">
        <v>575</v>
      </c>
      <c r="G3162" s="6"/>
      <c r="I3162"/>
      <c r="J3162"/>
      <c r="K3162"/>
    </row>
    <row r="3163" spans="1:11" x14ac:dyDescent="0.3">
      <c r="A3163" s="2" t="s">
        <v>864</v>
      </c>
      <c r="B3163" s="2" t="s">
        <v>170</v>
      </c>
      <c r="C3163" s="2" t="s">
        <v>119</v>
      </c>
      <c r="D3163" s="2" t="s">
        <v>2859</v>
      </c>
      <c r="E3163" s="4" t="str">
        <f>HYPERLINK("./Results/DLO\999\Osteo_Sarco_1.png","RPT")</f>
        <v>RPT</v>
      </c>
      <c r="F3163" s="2" t="s">
        <v>48</v>
      </c>
      <c r="G3163" s="6"/>
      <c r="I3163"/>
      <c r="J3163"/>
      <c r="K3163"/>
    </row>
  </sheetData>
  <autoFilter ref="A1:H3163" xr:uid="{00000000-0009-0000-0000-000000000000}"/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1</cp:revision>
  <dcterms:created xsi:type="dcterms:W3CDTF">2026-01-08T05:15:11Z</dcterms:created>
  <dcterms:modified xsi:type="dcterms:W3CDTF">2026-06-19T09:55:11Z</dcterms:modified>
  <cp:version>1000.0100.01</cp:version>
</cp:coreProperties>
</file>