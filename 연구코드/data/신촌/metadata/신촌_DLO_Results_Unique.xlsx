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2130" yWindow="3645" windowWidth="24075" windowHeight="1129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'Sheet1'!$A$1:$H$3163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color rgb="FF000000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FF"/>
      <sz val="11"/>
      <u val="single"/>
    </font>
    <font>
      <name val="돋움"/>
      <charset val="129"/>
      <family val="3"/>
      <sz val="8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M2258"/>
  <sheetViews>
    <sheetView tabSelected="1" zoomScaleNormal="100" zoomScaleSheetLayoutView="75" workbookViewId="0">
      <pane ySplit="1" topLeftCell="A2" activePane="bottomLeft" state="frozen"/>
      <selection pane="bottomLeft" activeCell="G1" sqref="G1:G1048576"/>
    </sheetView>
  </sheetViews>
  <sheetFormatPr baseColWidth="8" defaultColWidth="8.875" defaultRowHeight="16.5" outlineLevelCol="0"/>
  <cols>
    <col width="13.625" customWidth="1" style="1" min="1" max="3"/>
    <col width="13.625" customWidth="1" style="1" min="5" max="7"/>
    <col width="10.375" customWidth="1" style="6" min="9" max="9"/>
    <col width="11" customWidth="1" style="6" min="10" max="10"/>
    <col width="10.375" customWidth="1" style="6" min="11" max="11"/>
  </cols>
  <sheetData>
    <row r="1">
      <c r="A1" s="3" t="inlineStr">
        <is>
          <t>PatientID</t>
        </is>
      </c>
      <c r="B1" s="3" t="inlineStr">
        <is>
          <t>PatientAge</t>
        </is>
      </c>
      <c r="C1" s="3" t="inlineStr">
        <is>
          <t>PatientSex</t>
        </is>
      </c>
      <c r="D1" s="3" t="inlineStr">
        <is>
          <t>kVp</t>
        </is>
      </c>
      <c r="E1" s="3" t="inlineStr">
        <is>
          <t>SRC_Report</t>
        </is>
      </c>
      <c r="F1" s="3" t="inlineStr">
        <is>
          <t>TAMA</t>
        </is>
      </c>
      <c r="G1" s="3" t="inlineStr">
        <is>
          <t>IMATA</t>
        </is>
      </c>
      <c r="H1" s="3" t="inlineStr">
        <is>
          <t>BMI</t>
        </is>
      </c>
      <c r="L1" t="inlineStr">
        <is>
          <t>ManufacturerModelName</t>
        </is>
      </c>
      <c r="M1" t="inlineStr">
        <is>
          <t>SeriesDescription</t>
        </is>
      </c>
    </row>
    <row r="2">
      <c r="A2" s="2" t="n">
        <v>3782555</v>
      </c>
      <c r="B2" s="2" t="inlineStr">
        <is>
          <t>82</t>
        </is>
      </c>
      <c r="C2" s="2" t="inlineStr">
        <is>
          <t>M</t>
        </is>
      </c>
      <c r="D2" s="2" t="inlineStr">
        <is>
          <t>100.0</t>
        </is>
      </c>
      <c r="E2" s="4">
        <f>HYPERLINK("./Results/DLO\0\Osteo_Sarco_1.png","RPT")</f>
        <v/>
      </c>
      <c r="F2" s="2" t="n">
        <v>141</v>
      </c>
      <c r="G2" s="6" t="n">
        <v>16</v>
      </c>
      <c r="I2" s="0" t="n"/>
      <c r="J2" s="0" t="n"/>
      <c r="K2" s="0" t="n"/>
      <c r="L2" t="inlineStr">
        <is>
          <t>SOMATOM Definition...</t>
        </is>
      </c>
      <c r="M2" t="inlineStr">
        <is>
          <t>Pre 3mm</t>
        </is>
      </c>
    </row>
    <row r="3">
      <c r="A3" s="2" t="n">
        <v>2752958</v>
      </c>
      <c r="B3" s="2" t="inlineStr">
        <is>
          <t>77</t>
        </is>
      </c>
      <c r="C3" s="2" t="inlineStr">
        <is>
          <t>M</t>
        </is>
      </c>
      <c r="D3" s="2" t="inlineStr">
        <is>
          <t>100.0</t>
        </is>
      </c>
      <c r="E3" s="4">
        <f>HYPERLINK("./Results/DLO\1\Osteo_Sarco_1.png","RPT")</f>
        <v/>
      </c>
      <c r="F3" s="2" t="n">
        <v>163</v>
      </c>
      <c r="G3" s="6" t="n">
        <v>13</v>
      </c>
      <c r="I3" s="0" t="n"/>
      <c r="J3" s="0" t="n"/>
      <c r="K3" s="0" t="n"/>
      <c r="L3" t="inlineStr">
        <is>
          <t>Revolution CT</t>
        </is>
      </c>
      <c r="M3" t="inlineStr">
        <is>
          <t>HVP 3mm-pacs(73kg/146cc/3cc/r...</t>
        </is>
      </c>
    </row>
    <row r="4">
      <c r="A4" s="2" t="n">
        <v>3413774</v>
      </c>
      <c r="B4" s="2" t="inlineStr">
        <is>
          <t>76</t>
        </is>
      </c>
      <c r="C4" s="2" t="inlineStr">
        <is>
          <t>M</t>
        </is>
      </c>
      <c r="D4" s="2" t="inlineStr">
        <is>
          <t>100.0</t>
        </is>
      </c>
      <c r="E4" s="4">
        <f>HYPERLINK("./Results/DLO\10\Osteo_Sarco_1.png","RPT")</f>
        <v/>
      </c>
      <c r="F4" s="2" t="n">
        <v>136</v>
      </c>
      <c r="G4" s="6" t="n">
        <v>16</v>
      </c>
      <c r="I4" s="0" t="n"/>
      <c r="J4" s="0" t="n"/>
      <c r="K4" s="0" t="n"/>
      <c r="L4" t="inlineStr">
        <is>
          <t>Revolution EVO</t>
        </is>
      </c>
      <c r="M4" t="inlineStr">
        <is>
          <t>PRE</t>
        </is>
      </c>
    </row>
    <row r="5">
      <c r="A5" s="2" t="n">
        <v>2495446</v>
      </c>
      <c r="B5" s="2" t="inlineStr">
        <is>
          <t>53</t>
        </is>
      </c>
      <c r="C5" s="2" t="inlineStr">
        <is>
          <t>M</t>
        </is>
      </c>
      <c r="D5" s="2" t="inlineStr">
        <is>
          <t>100.0</t>
        </is>
      </c>
      <c r="E5" s="4">
        <f>HYPERLINK("./Results/DLO\100\Osteo_Sarco_1.png","RPT")</f>
        <v/>
      </c>
      <c r="F5" s="2" t="n">
        <v>144</v>
      </c>
      <c r="G5" s="6" t="n">
        <v>7</v>
      </c>
      <c r="I5" s="0" t="n"/>
      <c r="J5" s="0" t="n"/>
      <c r="K5" s="0" t="n"/>
      <c r="L5" t="inlineStr">
        <is>
          <t>SOMATOM Force</t>
        </is>
      </c>
      <c r="M5" t="inlineStr">
        <is>
          <t>Pre 3.0 Br40</t>
        </is>
      </c>
    </row>
    <row r="6">
      <c r="A6" s="2" t="n">
        <v>1679020</v>
      </c>
      <c r="B6" s="2" t="inlineStr">
        <is>
          <t>64</t>
        </is>
      </c>
      <c r="C6" s="2" t="inlineStr">
        <is>
          <t>F</t>
        </is>
      </c>
      <c r="D6" s="2" t="inlineStr">
        <is>
          <t>120.0</t>
        </is>
      </c>
      <c r="E6" s="4">
        <f>HYPERLINK("./Results/DLO\1000\Osteo_Sarco_1.png","RPT")</f>
        <v/>
      </c>
      <c r="F6" s="2" t="n">
        <v>102</v>
      </c>
      <c r="G6" s="6" t="n">
        <v>8</v>
      </c>
      <c r="I6" s="0" t="n"/>
      <c r="J6" s="0" t="n"/>
      <c r="K6" s="0" t="n"/>
      <c r="L6" t="inlineStr">
        <is>
          <t>iCT 256</t>
        </is>
      </c>
      <c r="M6" t="inlineStr">
        <is>
          <t>HVP 3/3mm, iDose (3)</t>
        </is>
      </c>
    </row>
    <row r="7">
      <c r="A7" s="2" t="n">
        <v>3260249</v>
      </c>
      <c r="B7" s="2" t="inlineStr">
        <is>
          <t>65</t>
        </is>
      </c>
      <c r="C7" s="2" t="inlineStr">
        <is>
          <t>M</t>
        </is>
      </c>
      <c r="D7" s="2" t="inlineStr">
        <is>
          <t>100.0</t>
        </is>
      </c>
      <c r="E7" s="4">
        <f>HYPERLINK("./Results/DLO\1001\Osteo_Sarco_1.png","RPT")</f>
        <v/>
      </c>
      <c r="F7" s="2" t="n">
        <v>143</v>
      </c>
      <c r="G7" s="6" t="n">
        <v>13</v>
      </c>
      <c r="I7" s="0" t="n"/>
      <c r="J7" s="0" t="n"/>
      <c r="K7" s="0" t="n"/>
      <c r="L7" t="inlineStr">
        <is>
          <t>Revolution EVO</t>
        </is>
      </c>
      <c r="M7" t="inlineStr">
        <is>
          <t>PRE</t>
        </is>
      </c>
    </row>
    <row r="8">
      <c r="A8" s="2" t="n">
        <v>2962461</v>
      </c>
      <c r="B8" s="2" t="inlineStr">
        <is>
          <t>59</t>
        </is>
      </c>
      <c r="C8" s="2" t="inlineStr">
        <is>
          <t>F</t>
        </is>
      </c>
      <c r="D8" s="2" t="inlineStr">
        <is>
          <t>100.0</t>
        </is>
      </c>
      <c r="E8" s="4">
        <f>HYPERLINK("./Results/DLO\1002\Osteo_Sarco_1.png","RPT")</f>
        <v/>
      </c>
      <c r="F8" s="2" t="n">
        <v>119</v>
      </c>
      <c r="G8" s="6" t="n">
        <v>16</v>
      </c>
      <c r="I8" s="0" t="n"/>
      <c r="J8" s="0" t="n"/>
      <c r="K8" s="0" t="n"/>
      <c r="L8" t="inlineStr">
        <is>
          <t>Revolution CT</t>
        </is>
      </c>
      <c r="M8" t="inlineStr">
        <is>
          <t>LAP 3mm(67kg/134cc/3.0cc/HEXO)</t>
        </is>
      </c>
    </row>
    <row r="9">
      <c r="A9" s="2" t="n">
        <v>1823239</v>
      </c>
      <c r="B9" s="2" t="inlineStr">
        <is>
          <t>60</t>
        </is>
      </c>
      <c r="C9" s="2" t="inlineStr">
        <is>
          <t>M</t>
        </is>
      </c>
      <c r="D9" s="2" t="inlineStr">
        <is>
          <t>100.0</t>
        </is>
      </c>
      <c r="E9" s="4">
        <f>HYPERLINK("./Results/DLO\1003\Osteo_Sarco_1.png","RPT")</f>
        <v/>
      </c>
      <c r="F9" s="2" t="n">
        <v>164</v>
      </c>
      <c r="G9" s="6" t="n">
        <v>8</v>
      </c>
      <c r="I9" s="0" t="n"/>
      <c r="J9" s="0" t="n"/>
      <c r="K9" s="0" t="n"/>
      <c r="L9" t="inlineStr">
        <is>
          <t>LightSpeed VCT</t>
        </is>
      </c>
      <c r="M9" t="inlineStr">
        <is>
          <t>PRE 3mm</t>
        </is>
      </c>
    </row>
    <row r="10">
      <c r="A10" s="2" t="n">
        <v>2836899</v>
      </c>
      <c r="B10" s="2" t="inlineStr">
        <is>
          <t>61</t>
        </is>
      </c>
      <c r="C10" s="2" t="inlineStr">
        <is>
          <t>F</t>
        </is>
      </c>
      <c r="D10" s="2" t="inlineStr">
        <is>
          <t>100.0</t>
        </is>
      </c>
      <c r="E10" s="4">
        <f>HYPERLINK("./Results/DLO\1004\Osteo_Sarco_1.png","RPT")</f>
        <v/>
      </c>
      <c r="F10" s="2" t="n">
        <v>99</v>
      </c>
      <c r="G10" s="6" t="n">
        <v>7</v>
      </c>
      <c r="I10" s="0" t="n"/>
      <c r="J10" s="0" t="n"/>
      <c r="K10" s="0" t="n"/>
      <c r="L10" t="inlineStr">
        <is>
          <t>LightSpeed VCT</t>
        </is>
      </c>
      <c r="M10" t="inlineStr">
        <is>
          <t>PRE 3mm</t>
        </is>
      </c>
    </row>
    <row r="11">
      <c r="A11" s="2" t="n">
        <v>2034146</v>
      </c>
      <c r="B11" s="2" t="inlineStr">
        <is>
          <t>64</t>
        </is>
      </c>
      <c r="C11" s="2" t="inlineStr">
        <is>
          <t>F</t>
        </is>
      </c>
      <c r="D11" s="2" t="inlineStr">
        <is>
          <t>100.0</t>
        </is>
      </c>
      <c r="E11" s="4">
        <f>HYPERLINK("./Results/DLO\1005\Osteo_Sarco_1.png","RPT")</f>
        <v/>
      </c>
      <c r="F11" s="2" t="n">
        <v>115</v>
      </c>
      <c r="G11" s="6" t="n">
        <v>19</v>
      </c>
      <c r="I11" s="0" t="n"/>
      <c r="J11" s="0" t="n"/>
      <c r="K11" s="0" t="n"/>
      <c r="L11" t="inlineStr">
        <is>
          <t>SOMATOM Definition...</t>
        </is>
      </c>
      <c r="M11" t="inlineStr">
        <is>
          <t>HVP 2 3mm(63kg/126cc/3cc/xene)</t>
        </is>
      </c>
    </row>
    <row r="12">
      <c r="A12" s="2" t="n">
        <v>1705289</v>
      </c>
      <c r="B12" s="2" t="inlineStr">
        <is>
          <t>45</t>
        </is>
      </c>
      <c r="C12" s="2" t="inlineStr">
        <is>
          <t>F</t>
        </is>
      </c>
      <c r="D12" s="2" t="inlineStr">
        <is>
          <t>100.0</t>
        </is>
      </c>
      <c r="E12" s="4">
        <f>HYPERLINK("./Results/DLO\1006\Osteo_Sarco_1.png","RPT")</f>
        <v/>
      </c>
      <c r="F12" s="2" t="n">
        <v>117</v>
      </c>
      <c r="G12" s="6" t="n">
        <v>8</v>
      </c>
      <c r="I12" s="0" t="n"/>
      <c r="J12" s="0" t="n"/>
      <c r="K12" s="0" t="n"/>
      <c r="L12" t="inlineStr">
        <is>
          <t>SOMATOM Definition...</t>
        </is>
      </c>
      <c r="M12" t="inlineStr">
        <is>
          <t>HVP 2 3mm (60kg/120cc/2.5cc...</t>
        </is>
      </c>
    </row>
    <row r="13">
      <c r="A13" s="2" t="n">
        <v>4790309</v>
      </c>
      <c r="B13" s="2" t="inlineStr">
        <is>
          <t>77</t>
        </is>
      </c>
      <c r="C13" s="2" t="inlineStr">
        <is>
          <t>M</t>
        </is>
      </c>
      <c r="D13" s="2" t="inlineStr">
        <is>
          <t>100.0</t>
        </is>
      </c>
      <c r="E13" s="4">
        <f>HYPERLINK("./Results/DLO\1007\Osteo_Sarco_1.png","RPT")</f>
        <v/>
      </c>
      <c r="F13" s="2" t="n">
        <v>113</v>
      </c>
      <c r="G13" s="6" t="n">
        <v>24</v>
      </c>
      <c r="I13" s="0" t="n"/>
      <c r="J13" s="0" t="n"/>
      <c r="K13" s="0" t="n"/>
      <c r="L13" t="inlineStr">
        <is>
          <t>SOMATOM Definition...</t>
        </is>
      </c>
      <c r="M13" t="inlineStr">
        <is>
          <t>Kidney_Delay 3.0 B30f</t>
        </is>
      </c>
    </row>
    <row r="14">
      <c r="A14" s="2" t="n">
        <v>3460683</v>
      </c>
      <c r="B14" s="2" t="inlineStr">
        <is>
          <t>74</t>
        </is>
      </c>
      <c r="C14" s="2" t="inlineStr">
        <is>
          <t>M</t>
        </is>
      </c>
      <c r="D14" s="2" t="inlineStr">
        <is>
          <t>100.0</t>
        </is>
      </c>
      <c r="E14" s="4">
        <f>HYPERLINK("./Results/DLO\1008\Osteo_Sarco_1.png","RPT")</f>
        <v/>
      </c>
      <c r="F14" s="2" t="n">
        <v>163</v>
      </c>
      <c r="G14" s="6" t="n">
        <v>11</v>
      </c>
      <c r="I14" s="0" t="n"/>
      <c r="J14" s="0" t="n"/>
      <c r="K14" s="0" t="n"/>
      <c r="L14" t="inlineStr">
        <is>
          <t>SOMATOM Force</t>
        </is>
      </c>
      <c r="M14" t="inlineStr">
        <is>
          <t>Pre 3.0 Br32</t>
        </is>
      </c>
    </row>
    <row r="15">
      <c r="A15" s="2" t="n">
        <v>4116327</v>
      </c>
      <c r="B15" s="2" t="inlineStr">
        <is>
          <t>47</t>
        </is>
      </c>
      <c r="C15" s="2" t="inlineStr">
        <is>
          <t>F</t>
        </is>
      </c>
      <c r="D15" s="2" t="inlineStr">
        <is>
          <t>100.0</t>
        </is>
      </c>
      <c r="E15" s="4">
        <f>HYPERLINK("./Results/DLO\1009\Osteo_Sarco_1.png","RPT")</f>
        <v/>
      </c>
      <c r="F15" s="2" t="n">
        <v>78</v>
      </c>
      <c r="G15" s="6" t="n">
        <v>4</v>
      </c>
      <c r="I15" s="0" t="n"/>
      <c r="J15" s="0" t="n"/>
      <c r="K15" s="0" t="n"/>
      <c r="L15" t="inlineStr">
        <is>
          <t>LightSpeed VCT</t>
        </is>
      </c>
      <c r="M15" t="inlineStr">
        <is>
          <t>PRE 3mm</t>
        </is>
      </c>
    </row>
    <row r="16">
      <c r="A16" s="2" t="n">
        <v>2391293</v>
      </c>
      <c r="B16" s="2" t="inlineStr">
        <is>
          <t>52</t>
        </is>
      </c>
      <c r="C16" s="2" t="inlineStr">
        <is>
          <t>F</t>
        </is>
      </c>
      <c r="D16" s="2" t="inlineStr">
        <is>
          <t>100.0</t>
        </is>
      </c>
      <c r="E16" s="4">
        <f>HYPERLINK("./Results/DLO\101\Osteo_Sarco_1.png","RPT")</f>
        <v/>
      </c>
      <c r="F16" s="2" t="n">
        <v>119</v>
      </c>
      <c r="G16" s="6" t="n">
        <v>15</v>
      </c>
      <c r="I16" s="0" t="n"/>
      <c r="J16" s="0" t="n"/>
      <c r="K16" s="0" t="n"/>
      <c r="L16" t="inlineStr">
        <is>
          <t>Revolution CT</t>
        </is>
      </c>
      <c r="M16" t="inlineStr">
        <is>
          <t>Pre Axial 3mm</t>
        </is>
      </c>
    </row>
    <row r="17">
      <c r="A17" s="2" t="n">
        <v>4881112</v>
      </c>
      <c r="B17" s="2" t="inlineStr">
        <is>
          <t>67</t>
        </is>
      </c>
      <c r="C17" s="2" t="inlineStr">
        <is>
          <t>M</t>
        </is>
      </c>
      <c r="D17" s="2" t="inlineStr">
        <is>
          <t>100.0</t>
        </is>
      </c>
      <c r="E17" s="4">
        <f>HYPERLINK("./Results/DLO\1011\Osteo_Sarco_1.png","RPT")</f>
        <v/>
      </c>
      <c r="F17" s="2" t="n">
        <v>197</v>
      </c>
      <c r="G17" s="6" t="n">
        <v>16</v>
      </c>
      <c r="H17" t="n">
        <v>25.99</v>
      </c>
      <c r="L17" t="inlineStr">
        <is>
          <t>SOMATOM Definition...</t>
        </is>
      </c>
      <c r="M17" t="inlineStr">
        <is>
          <t>Pre 3mm</t>
        </is>
      </c>
    </row>
    <row r="18">
      <c r="A18" s="2" t="n">
        <v>2062411</v>
      </c>
      <c r="B18" s="2" t="inlineStr">
        <is>
          <t>33</t>
        </is>
      </c>
      <c r="C18" s="2" t="inlineStr">
        <is>
          <t>F</t>
        </is>
      </c>
      <c r="D18" s="2" t="inlineStr">
        <is>
          <t>100.0</t>
        </is>
      </c>
      <c r="E18" s="4">
        <f>HYPERLINK("./Results/DLO\1012\Osteo_Sarco_1.png","RPT")</f>
        <v/>
      </c>
      <c r="F18" s="2" t="n">
        <v>113</v>
      </c>
      <c r="G18" s="6" t="n">
        <v>6</v>
      </c>
      <c r="I18" s="0" t="n"/>
      <c r="J18" s="0" t="n"/>
      <c r="K18" s="0" t="n"/>
      <c r="L18" t="inlineStr">
        <is>
          <t>Revolution EVO</t>
        </is>
      </c>
      <c r="M18" t="inlineStr">
        <is>
          <t>PRE</t>
        </is>
      </c>
    </row>
    <row r="19">
      <c r="A19" s="2" t="n">
        <v>4710624</v>
      </c>
      <c r="B19" s="2" t="inlineStr">
        <is>
          <t>67</t>
        </is>
      </c>
      <c r="C19" s="2" t="inlineStr">
        <is>
          <t>M</t>
        </is>
      </c>
      <c r="D19" s="2" t="inlineStr">
        <is>
          <t>100.0</t>
        </is>
      </c>
      <c r="E19" s="4">
        <f>HYPERLINK("./Results/DLO\1013\Osteo_Sarco_1.png","RPT")</f>
        <v/>
      </c>
      <c r="F19" s="2" t="n">
        <v>148</v>
      </c>
      <c r="G19" s="6" t="n">
        <v>8</v>
      </c>
      <c r="H19" t="n">
        <v>22.09</v>
      </c>
      <c r="L19" t="inlineStr">
        <is>
          <t>LightSpeed VCT</t>
        </is>
      </c>
      <c r="M19" t="inlineStr">
        <is>
          <t>Pre 3mm</t>
        </is>
      </c>
    </row>
    <row r="20">
      <c r="A20" s="2" t="n">
        <v>2771809</v>
      </c>
      <c r="B20" s="2" t="inlineStr">
        <is>
          <t>64</t>
        </is>
      </c>
      <c r="C20" s="2" t="inlineStr">
        <is>
          <t>M</t>
        </is>
      </c>
      <c r="D20" s="2" t="inlineStr">
        <is>
          <t>120.0</t>
        </is>
      </c>
      <c r="E20" s="4">
        <f>HYPERLINK("./Results/DLO\1014\Osteo_Sarco_1.png","RPT")</f>
        <v/>
      </c>
      <c r="F20" s="2" t="n">
        <v>146</v>
      </c>
      <c r="G20" s="6" t="n">
        <v>8</v>
      </c>
      <c r="H20" t="n">
        <v>23.81</v>
      </c>
      <c r="L20" t="inlineStr">
        <is>
          <t>SOMATOM Definition...</t>
        </is>
      </c>
      <c r="M20" t="inlineStr">
        <is>
          <t>Pre 3.0 I40f 2</t>
        </is>
      </c>
    </row>
    <row r="21">
      <c r="A21" s="2" t="n">
        <v>1619148</v>
      </c>
      <c r="B21" s="2" t="inlineStr">
        <is>
          <t>31</t>
        </is>
      </c>
      <c r="C21" s="2" t="inlineStr">
        <is>
          <t>F</t>
        </is>
      </c>
      <c r="D21" s="2" t="inlineStr">
        <is>
          <t>100.0</t>
        </is>
      </c>
      <c r="E21" s="4">
        <f>HYPERLINK("./Results/DLO\1015\Osteo_Sarco_1.png","RPT")</f>
        <v/>
      </c>
      <c r="F21" s="2" t="n">
        <v>109</v>
      </c>
      <c r="G21" s="6" t="n">
        <v>8</v>
      </c>
      <c r="I21" s="0" t="n"/>
      <c r="J21" s="0" t="n"/>
      <c r="K21" s="0" t="n"/>
      <c r="L21" t="inlineStr">
        <is>
          <t>Revolution EVO</t>
        </is>
      </c>
      <c r="M21" t="inlineStr">
        <is>
          <t>Abdomen Pre 2.5mm</t>
        </is>
      </c>
    </row>
    <row r="22">
      <c r="A22" s="2" t="n">
        <v>2342403</v>
      </c>
      <c r="B22" s="2" t="inlineStr">
        <is>
          <t>75</t>
        </is>
      </c>
      <c r="C22" s="2" t="inlineStr">
        <is>
          <t>M</t>
        </is>
      </c>
      <c r="D22" s="2" t="inlineStr">
        <is>
          <t>100.0</t>
        </is>
      </c>
      <c r="E22" s="4">
        <f>HYPERLINK("./Results/DLO\1016\Osteo_Sarco_1.png","RPT")</f>
        <v/>
      </c>
      <c r="F22" s="2" t="n">
        <v>144</v>
      </c>
      <c r="G22" s="6" t="n">
        <v>11</v>
      </c>
      <c r="H22" t="n">
        <v>23.95</v>
      </c>
      <c r="L22" t="inlineStr">
        <is>
          <t>Revolution EVO</t>
        </is>
      </c>
      <c r="M22" t="inlineStr">
        <is>
          <t>Pre 2.5mm</t>
        </is>
      </c>
    </row>
    <row r="23">
      <c r="A23" s="2" t="n">
        <v>2196654</v>
      </c>
      <c r="B23" s="2" t="inlineStr">
        <is>
          <t>58</t>
        </is>
      </c>
      <c r="C23" s="2" t="inlineStr">
        <is>
          <t>M</t>
        </is>
      </c>
      <c r="D23" s="2" t="inlineStr">
        <is>
          <t>120.0</t>
        </is>
      </c>
      <c r="E23" s="4">
        <f>HYPERLINK("./Results/DLO\1017\Osteo_Sarco_1.png","RPT")</f>
        <v/>
      </c>
      <c r="F23" s="2" t="n">
        <v>187</v>
      </c>
      <c r="G23" s="6" t="n">
        <v>10</v>
      </c>
      <c r="H23" t="n">
        <v>30.4</v>
      </c>
      <c r="L23" t="inlineStr">
        <is>
          <t>Revolution EVO</t>
        </is>
      </c>
      <c r="M23" t="inlineStr">
        <is>
          <t>HVP 3mm</t>
        </is>
      </c>
    </row>
    <row r="24">
      <c r="A24" s="2" t="n">
        <v>2761476</v>
      </c>
      <c r="B24" s="2" t="inlineStr">
        <is>
          <t>69</t>
        </is>
      </c>
      <c r="C24" s="2" t="inlineStr">
        <is>
          <t>M</t>
        </is>
      </c>
      <c r="D24" s="2" t="inlineStr">
        <is>
          <t>120.0</t>
        </is>
      </c>
      <c r="E24" s="4">
        <f>HYPERLINK("./Results/DLO\1018\Osteo_Sarco_1.png","RPT")</f>
        <v/>
      </c>
      <c r="F24" s="2" t="n">
        <v>111</v>
      </c>
      <c r="G24" s="6" t="n">
        <v>8</v>
      </c>
      <c r="I24" s="0" t="n"/>
      <c r="J24" s="0" t="n"/>
      <c r="K24" s="0" t="n"/>
      <c r="L24" t="inlineStr">
        <is>
          <t>iCT 256</t>
        </is>
      </c>
      <c r="M24" t="inlineStr">
        <is>
          <t>HVP 3/3mm, iDose (4)</t>
        </is>
      </c>
    </row>
    <row r="25">
      <c r="A25" s="2" t="n">
        <v>4817911</v>
      </c>
      <c r="B25" s="2" t="inlineStr">
        <is>
          <t>47</t>
        </is>
      </c>
      <c r="C25" s="2" t="inlineStr">
        <is>
          <t>M</t>
        </is>
      </c>
      <c r="D25" s="2" t="inlineStr">
        <is>
          <t>100.0</t>
        </is>
      </c>
      <c r="E25" s="4">
        <f>HYPERLINK("./Results/DLO\1019\Osteo_Sarco_1.png","RPT")</f>
        <v/>
      </c>
      <c r="F25" s="2" t="n">
        <v>128</v>
      </c>
      <c r="G25" s="6" t="n">
        <v>3</v>
      </c>
      <c r="I25" s="0" t="n"/>
      <c r="J25" s="0" t="n"/>
      <c r="K25" s="0" t="n"/>
      <c r="L25" t="inlineStr">
        <is>
          <t>Revolution CT</t>
        </is>
      </c>
      <c r="M25" t="inlineStr">
        <is>
          <t>Pre Axial 3mm</t>
        </is>
      </c>
    </row>
    <row r="26">
      <c r="A26" s="2" t="n">
        <v>3577192</v>
      </c>
      <c r="B26" s="2" t="inlineStr">
        <is>
          <t>54</t>
        </is>
      </c>
      <c r="C26" s="2" t="inlineStr">
        <is>
          <t>F</t>
        </is>
      </c>
      <c r="D26" s="2" t="inlineStr">
        <is>
          <t>100.0</t>
        </is>
      </c>
      <c r="E26" s="4">
        <f>HYPERLINK("./Results/DLO\102\Osteo_Sarco_1.png","RPT")</f>
        <v/>
      </c>
      <c r="F26" s="2" t="n">
        <v>95</v>
      </c>
      <c r="G26" s="6" t="n">
        <v>8</v>
      </c>
      <c r="H26" t="n">
        <v>21.69</v>
      </c>
      <c r="L26" t="inlineStr">
        <is>
          <t>LightSpeed VCT</t>
        </is>
      </c>
      <c r="M26" t="inlineStr">
        <is>
          <t>PRE 3mm</t>
        </is>
      </c>
    </row>
    <row r="27">
      <c r="A27" s="2" t="n">
        <v>4097480</v>
      </c>
      <c r="B27" s="2" t="inlineStr">
        <is>
          <t>67</t>
        </is>
      </c>
      <c r="C27" s="2" t="inlineStr">
        <is>
          <t>F</t>
        </is>
      </c>
      <c r="D27" s="2" t="inlineStr">
        <is>
          <t>120.0</t>
        </is>
      </c>
      <c r="E27" s="4">
        <f>HYPERLINK("./Results/DLO\1020\Osteo_Sarco_1.png","RPT")</f>
        <v/>
      </c>
      <c r="F27" s="2" t="n">
        <v>113</v>
      </c>
      <c r="G27" s="6" t="n">
        <v>14</v>
      </c>
      <c r="I27" s="0" t="n"/>
      <c r="J27" s="0" t="n"/>
      <c r="K27" s="0" t="n"/>
      <c r="L27" t="inlineStr">
        <is>
          <t>Discovery CT750 HD</t>
        </is>
      </c>
      <c r="M27" t="inlineStr">
        <is>
          <t>HVP 3mm</t>
        </is>
      </c>
    </row>
    <row r="28">
      <c r="A28" s="2" t="n">
        <v>4360690</v>
      </c>
      <c r="B28" s="2" t="inlineStr">
        <is>
          <t>64</t>
        </is>
      </c>
      <c r="C28" s="2" t="inlineStr">
        <is>
          <t>F</t>
        </is>
      </c>
      <c r="D28" s="2" t="inlineStr">
        <is>
          <t>100.0</t>
        </is>
      </c>
      <c r="E28" s="4">
        <f>HYPERLINK("./Results/DLO\1021\Osteo_Sarco_1.png","RPT")</f>
        <v/>
      </c>
      <c r="F28" s="2" t="n">
        <v>104</v>
      </c>
      <c r="G28" s="6" t="n">
        <v>8</v>
      </c>
      <c r="I28" s="0" t="n"/>
      <c r="J28" s="0" t="n"/>
      <c r="K28" s="0" t="n"/>
      <c r="L28" t="inlineStr">
        <is>
          <t>SOMATOM Force</t>
        </is>
      </c>
      <c r="M28" t="inlineStr">
        <is>
          <t>Pre 3.0 Br40 2</t>
        </is>
      </c>
    </row>
    <row r="29">
      <c r="A29" s="2" t="n">
        <v>2195333</v>
      </c>
      <c r="B29" s="2" t="inlineStr">
        <is>
          <t>64</t>
        </is>
      </c>
      <c r="C29" s="2" t="inlineStr">
        <is>
          <t>F</t>
        </is>
      </c>
      <c r="D29" s="2" t="inlineStr">
        <is>
          <t>100.0</t>
        </is>
      </c>
      <c r="E29" s="4">
        <f>HYPERLINK("./Results/DLO\1022\Osteo_Sarco_1.png","RPT")</f>
        <v/>
      </c>
      <c r="F29" s="2" t="n">
        <v>107</v>
      </c>
      <c r="G29" s="6" t="n">
        <v>11</v>
      </c>
      <c r="I29" s="0" t="n"/>
      <c r="J29" s="0" t="n"/>
      <c r="K29" s="0" t="n"/>
      <c r="L29" t="inlineStr">
        <is>
          <t>Revolution EVO</t>
        </is>
      </c>
      <c r="M29" t="inlineStr">
        <is>
          <t>PRE</t>
        </is>
      </c>
    </row>
    <row r="30">
      <c r="A30" s="2" t="n">
        <v>3964416</v>
      </c>
      <c r="B30" s="2" t="inlineStr">
        <is>
          <t>69</t>
        </is>
      </c>
      <c r="C30" s="2" t="inlineStr">
        <is>
          <t>M</t>
        </is>
      </c>
      <c r="D30" s="2" t="inlineStr">
        <is>
          <t>120.0</t>
        </is>
      </c>
      <c r="E30" s="4">
        <f>HYPERLINK("./Results/DLO\1023\Osteo_Sarco_1.png","RPT")</f>
        <v/>
      </c>
      <c r="F30" s="2" t="n">
        <v>123</v>
      </c>
      <c r="G30" s="6" t="n">
        <v>5</v>
      </c>
      <c r="I30" s="0" t="n"/>
      <c r="J30" s="0" t="n"/>
      <c r="K30" s="0" t="n"/>
      <c r="L30" t="inlineStr">
        <is>
          <t>LightSpeed VCT</t>
        </is>
      </c>
      <c r="M30" t="inlineStr">
        <is>
          <t>HVP 55sec 3mm</t>
        </is>
      </c>
    </row>
    <row r="31">
      <c r="A31" s="2" t="n">
        <v>4840898</v>
      </c>
      <c r="B31" s="2" t="inlineStr">
        <is>
          <t>72</t>
        </is>
      </c>
      <c r="C31" s="2" t="inlineStr">
        <is>
          <t>M</t>
        </is>
      </c>
      <c r="D31" s="2" t="inlineStr">
        <is>
          <t>120.0</t>
        </is>
      </c>
      <c r="E31" s="4">
        <f>HYPERLINK("./Results/DLO\1024\Osteo_Sarco_1.png","RPT")</f>
        <v/>
      </c>
      <c r="F31" s="2" t="n">
        <v>173</v>
      </c>
      <c r="G31" s="6" t="n">
        <v>11</v>
      </c>
      <c r="I31" s="0" t="n"/>
      <c r="J31" s="0" t="n"/>
      <c r="K31" s="0" t="n"/>
      <c r="L31" t="inlineStr">
        <is>
          <t>Discovery CT750 HD</t>
        </is>
      </c>
      <c r="M31" t="inlineStr">
        <is>
          <t>HVP 3mm</t>
        </is>
      </c>
    </row>
    <row r="32">
      <c r="A32" s="2" t="n">
        <v>3495989</v>
      </c>
      <c r="B32" s="2" t="inlineStr">
        <is>
          <t>30</t>
        </is>
      </c>
      <c r="C32" s="2" t="inlineStr">
        <is>
          <t>F</t>
        </is>
      </c>
      <c r="D32" s="2" t="inlineStr">
        <is>
          <t>100.0</t>
        </is>
      </c>
      <c r="E32" s="4">
        <f>HYPERLINK("./Results/DLO\1025\Osteo_Sarco_1.png","RPT")</f>
        <v/>
      </c>
      <c r="F32" s="2" t="n">
        <v>105</v>
      </c>
      <c r="G32" s="6" t="n">
        <v>4</v>
      </c>
      <c r="I32" s="0" t="n"/>
      <c r="J32" s="0" t="n"/>
      <c r="K32" s="0" t="n"/>
      <c r="L32" t="inlineStr">
        <is>
          <t>SOMATOM Force</t>
        </is>
      </c>
      <c r="M32" t="inlineStr">
        <is>
          <t>Pre 3.0 Br40 1</t>
        </is>
      </c>
    </row>
    <row r="33">
      <c r="A33" s="2" t="n">
        <v>1830326</v>
      </c>
      <c r="B33" s="2" t="inlineStr">
        <is>
          <t>79</t>
        </is>
      </c>
      <c r="C33" s="2" t="inlineStr">
        <is>
          <t>M</t>
        </is>
      </c>
      <c r="D33" s="2" t="inlineStr">
        <is>
          <t>100.0</t>
        </is>
      </c>
      <c r="E33" s="4">
        <f>HYPERLINK("./Results/DLO\1026\Osteo_Sarco_1.png","RPT")</f>
        <v/>
      </c>
      <c r="F33" s="2" t="n">
        <v>126</v>
      </c>
      <c r="G33" s="6" t="n">
        <v>6</v>
      </c>
      <c r="H33" t="n">
        <v>21.45</v>
      </c>
      <c r="L33" t="inlineStr">
        <is>
          <t>Revolution EVO</t>
        </is>
      </c>
      <c r="M33" t="inlineStr">
        <is>
          <t>Pre 2.5mm</t>
        </is>
      </c>
    </row>
    <row r="34">
      <c r="A34" s="2" t="n">
        <v>2316858</v>
      </c>
      <c r="B34" s="2" t="inlineStr">
        <is>
          <t>63</t>
        </is>
      </c>
      <c r="C34" s="2" t="inlineStr">
        <is>
          <t>F</t>
        </is>
      </c>
      <c r="D34" s="2" t="inlineStr">
        <is>
          <t>100.0</t>
        </is>
      </c>
      <c r="E34" s="4">
        <f>HYPERLINK("./Results/DLO\1027\Osteo_Sarco_1.png","RPT")</f>
        <v/>
      </c>
      <c r="F34" s="2" t="n">
        <v>130</v>
      </c>
      <c r="G34" s="6" t="n">
        <v>11</v>
      </c>
      <c r="I34" s="0" t="n"/>
      <c r="J34" s="0" t="n"/>
      <c r="K34" s="0" t="n"/>
      <c r="L34" t="inlineStr">
        <is>
          <t>SOMATOM Definition...</t>
        </is>
      </c>
      <c r="M34" t="inlineStr">
        <is>
          <t>HVP 2 3mm(73kg/ 146cc/ 3cc/...</t>
        </is>
      </c>
    </row>
    <row r="35">
      <c r="A35" s="2" t="n">
        <v>2440245</v>
      </c>
      <c r="B35" s="2" t="inlineStr">
        <is>
          <t>30</t>
        </is>
      </c>
      <c r="C35" s="2" t="inlineStr">
        <is>
          <t>F</t>
        </is>
      </c>
      <c r="D35" s="2" t="inlineStr">
        <is>
          <t>80.0</t>
        </is>
      </c>
      <c r="E35" s="4">
        <f>HYPERLINK("./Results/DLO\1028\Osteo_Sarco_1.png","RPT")</f>
        <v/>
      </c>
      <c r="F35" s="2" t="n">
        <v>97</v>
      </c>
      <c r="G35" s="6" t="n">
        <v>7</v>
      </c>
      <c r="I35" s="0" t="n"/>
      <c r="J35" s="0" t="n"/>
      <c r="K35" s="0" t="n"/>
      <c r="L35" t="inlineStr">
        <is>
          <t>SOMATOM Definition...</t>
        </is>
      </c>
      <c r="M35" t="inlineStr">
        <is>
          <t>GU Pre 3mm</t>
        </is>
      </c>
    </row>
    <row r="36">
      <c r="A36" s="2" t="n">
        <v>2006986</v>
      </c>
      <c r="B36" s="2" t="inlineStr">
        <is>
          <t>52</t>
        </is>
      </c>
      <c r="C36" s="2" t="inlineStr">
        <is>
          <t>F</t>
        </is>
      </c>
      <c r="D36" s="2" t="inlineStr">
        <is>
          <t>100.0</t>
        </is>
      </c>
      <c r="E36" s="4">
        <f>HYPERLINK("./Results/DLO\1029\Osteo_Sarco_1.png","RPT")</f>
        <v/>
      </c>
      <c r="F36" s="2" t="n">
        <v>100</v>
      </c>
      <c r="G36" s="6" t="n">
        <v>9</v>
      </c>
      <c r="I36" s="0" t="n"/>
      <c r="J36" s="0" t="n"/>
      <c r="K36" s="0" t="n"/>
      <c r="L36" t="inlineStr">
        <is>
          <t>SOMATOM Definition...</t>
        </is>
      </c>
      <c r="M36" t="inlineStr">
        <is>
          <t>HVP 2 3mm (57kg/114cc/3cc/bono)</t>
        </is>
      </c>
    </row>
    <row r="37">
      <c r="A37" s="2" t="n">
        <v>3084824</v>
      </c>
      <c r="B37" s="2" t="inlineStr">
        <is>
          <t>38</t>
        </is>
      </c>
      <c r="C37" s="2" t="inlineStr">
        <is>
          <t>F</t>
        </is>
      </c>
      <c r="D37" s="2" t="inlineStr">
        <is>
          <t>100.0</t>
        </is>
      </c>
      <c r="E37" s="4">
        <f>HYPERLINK("./Results/DLO\103\Osteo_Sarco_1.png","RPT")</f>
        <v/>
      </c>
      <c r="F37" s="2" t="n">
        <v>94</v>
      </c>
      <c r="G37" s="6" t="n">
        <v>7</v>
      </c>
      <c r="I37" s="0" t="n"/>
      <c r="J37" s="0" t="n"/>
      <c r="K37" s="0" t="n"/>
      <c r="L37" t="inlineStr">
        <is>
          <t>SOMATOM Definition...</t>
        </is>
      </c>
      <c r="M37" t="inlineStr">
        <is>
          <t>HVP 2 3mm(50kg/100cc/3cc/xene)</t>
        </is>
      </c>
    </row>
    <row r="38">
      <c r="A38" s="2" t="n">
        <v>2581744</v>
      </c>
      <c r="B38" s="2" t="inlineStr">
        <is>
          <t>57</t>
        </is>
      </c>
      <c r="C38" s="2" t="inlineStr">
        <is>
          <t>F</t>
        </is>
      </c>
      <c r="D38" s="2" t="inlineStr">
        <is>
          <t>100.0</t>
        </is>
      </c>
      <c r="E38" s="4">
        <f>HYPERLINK("./Results/DLO\1030\Osteo_Sarco_1.png","RPT")</f>
        <v/>
      </c>
      <c r="F38" s="2" t="n">
        <v>111</v>
      </c>
      <c r="G38" s="6" t="n">
        <v>13</v>
      </c>
      <c r="I38" s="0" t="n"/>
      <c r="J38" s="0" t="n"/>
      <c r="K38" s="0" t="n"/>
      <c r="L38" t="inlineStr">
        <is>
          <t>LightSpeed VCT</t>
        </is>
      </c>
      <c r="M38" t="inlineStr">
        <is>
          <t>PRE 3mm</t>
        </is>
      </c>
    </row>
    <row r="39">
      <c r="A39" s="2" t="n">
        <v>2314379</v>
      </c>
      <c r="B39" s="2" t="inlineStr">
        <is>
          <t>69</t>
        </is>
      </c>
      <c r="C39" s="2" t="inlineStr">
        <is>
          <t>F</t>
        </is>
      </c>
      <c r="D39" s="2" t="inlineStr">
        <is>
          <t>100.0</t>
        </is>
      </c>
      <c r="E39" s="4">
        <f>HYPERLINK("./Results/DLO\1031\Osteo_Sarco_1.png","RPT")</f>
        <v/>
      </c>
      <c r="F39" s="2" t="n">
        <v>82</v>
      </c>
      <c r="G39" s="6" t="n">
        <v>14</v>
      </c>
      <c r="I39" s="0" t="n"/>
      <c r="J39" s="0" t="n"/>
      <c r="K39" s="0" t="n"/>
      <c r="L39" t="inlineStr">
        <is>
          <t>Revolution CT</t>
        </is>
      </c>
      <c r="M39" t="inlineStr">
        <is>
          <t>HVP 3mm-pacs(45kg/90cc/3cc/om...</t>
        </is>
      </c>
    </row>
    <row r="40">
      <c r="A40" s="2" t="n">
        <v>4844095</v>
      </c>
      <c r="B40" s="2" t="inlineStr">
        <is>
          <t>59</t>
        </is>
      </c>
      <c r="C40" s="2" t="inlineStr">
        <is>
          <t>M</t>
        </is>
      </c>
      <c r="D40" s="2" t="inlineStr">
        <is>
          <t>120.0</t>
        </is>
      </c>
      <c r="E40" s="4">
        <f>HYPERLINK("./Results/DLO\1032\Osteo_Sarco_1.png","RPT")</f>
        <v/>
      </c>
      <c r="F40" s="2" t="n">
        <v>134</v>
      </c>
      <c r="G40" s="6" t="n">
        <v>6</v>
      </c>
      <c r="I40" s="0" t="n"/>
      <c r="J40" s="0" t="n"/>
      <c r="K40" s="0" t="n"/>
      <c r="L40" t="inlineStr">
        <is>
          <t>iCT 256</t>
        </is>
      </c>
      <c r="M40" t="inlineStr">
        <is>
          <t>HVP 3/3mm, iDose (3)</t>
        </is>
      </c>
    </row>
    <row r="41">
      <c r="A41" s="2" t="n">
        <v>3399532</v>
      </c>
      <c r="B41" s="2" t="inlineStr">
        <is>
          <t>45</t>
        </is>
      </c>
      <c r="C41" s="2" t="inlineStr">
        <is>
          <t>F</t>
        </is>
      </c>
      <c r="D41" s="2" t="inlineStr">
        <is>
          <t>100.0</t>
        </is>
      </c>
      <c r="E41" s="4">
        <f>HYPERLINK("./Results/DLO\1033\Osteo_Sarco_1.png","RPT")</f>
        <v/>
      </c>
      <c r="F41" s="2" t="n">
        <v>97</v>
      </c>
      <c r="G41" s="6" t="n">
        <v>9</v>
      </c>
      <c r="I41" s="0" t="n"/>
      <c r="J41" s="0" t="n"/>
      <c r="K41" s="0" t="n"/>
      <c r="L41" t="inlineStr">
        <is>
          <t>Revolution EVO</t>
        </is>
      </c>
      <c r="M41" t="inlineStr">
        <is>
          <t>PRE (CP angle~Pubic)</t>
        </is>
      </c>
    </row>
    <row r="42">
      <c r="A42" s="2" t="n">
        <v>1986573</v>
      </c>
      <c r="B42" s="2" t="inlineStr">
        <is>
          <t>66</t>
        </is>
      </c>
      <c r="C42" s="2" t="inlineStr">
        <is>
          <t>M</t>
        </is>
      </c>
      <c r="D42" s="2" t="inlineStr">
        <is>
          <t>100.0</t>
        </is>
      </c>
      <c r="E42" s="4">
        <f>HYPERLINK("./Results/DLO\1034\Osteo_Sarco_1.png","RPT")</f>
        <v/>
      </c>
      <c r="F42" s="2" t="n">
        <v>161</v>
      </c>
      <c r="G42" s="6" t="n">
        <v>6</v>
      </c>
      <c r="H42" t="n">
        <v>23.39</v>
      </c>
      <c r="L42" t="inlineStr">
        <is>
          <t>Revolution CT</t>
        </is>
      </c>
      <c r="M42" t="inlineStr">
        <is>
          <t>HVP 3mm-pacs(73kg/146cc/hexol)</t>
        </is>
      </c>
    </row>
    <row r="43">
      <c r="A43" s="2" t="n">
        <v>2549531</v>
      </c>
      <c r="B43" s="2" t="inlineStr">
        <is>
          <t>69</t>
        </is>
      </c>
      <c r="C43" s="2" t="inlineStr">
        <is>
          <t>M</t>
        </is>
      </c>
      <c r="D43" s="2" t="inlineStr">
        <is>
          <t>120.0</t>
        </is>
      </c>
      <c r="E43" s="4">
        <f>HYPERLINK("./Results/DLO\1035\Osteo_Sarco_1.png","RPT")</f>
        <v/>
      </c>
      <c r="F43" s="2" t="n">
        <v>161</v>
      </c>
      <c r="G43" s="6" t="n">
        <v>5</v>
      </c>
      <c r="H43" t="n">
        <v>22.8</v>
      </c>
      <c r="L43" t="inlineStr">
        <is>
          <t>LightSpeed VCT</t>
        </is>
      </c>
      <c r="M43" t="inlineStr">
        <is>
          <t>HVP 55sec 3mm</t>
        </is>
      </c>
    </row>
    <row r="44">
      <c r="A44" s="2" t="n">
        <v>3266480</v>
      </c>
      <c r="B44" s="2" t="inlineStr">
        <is>
          <t>60</t>
        </is>
      </c>
      <c r="C44" s="2" t="inlineStr">
        <is>
          <t>M</t>
        </is>
      </c>
      <c r="D44" s="2" t="inlineStr">
        <is>
          <t>100.0</t>
        </is>
      </c>
      <c r="E44" s="4">
        <f>HYPERLINK("./Results/DLO\1036\Osteo_Sarco_1.png","RPT")</f>
        <v/>
      </c>
      <c r="F44" s="2" t="n">
        <v>188</v>
      </c>
      <c r="G44" s="6" t="n">
        <v>10</v>
      </c>
      <c r="I44" s="0" t="n"/>
      <c r="J44" s="0" t="n"/>
      <c r="K44" s="0" t="n"/>
      <c r="L44" t="inlineStr">
        <is>
          <t>Sensation 64</t>
        </is>
      </c>
      <c r="M44" t="inlineStr">
        <is>
          <t>Non Abdomen 3/3mm</t>
        </is>
      </c>
    </row>
    <row r="45">
      <c r="A45" s="2" t="n">
        <v>3164928</v>
      </c>
      <c r="B45" s="2" t="inlineStr">
        <is>
          <t>59</t>
        </is>
      </c>
      <c r="C45" s="2" t="inlineStr">
        <is>
          <t>F</t>
        </is>
      </c>
      <c r="D45" s="2" t="inlineStr">
        <is>
          <t>100.0</t>
        </is>
      </c>
      <c r="E45" s="4">
        <f>HYPERLINK("./Results/DLO\1037\Osteo_Sarco_1.png","RPT")</f>
        <v/>
      </c>
      <c r="F45" s="2" t="n">
        <v>113</v>
      </c>
      <c r="G45" s="6" t="n">
        <v>10</v>
      </c>
      <c r="I45" s="0" t="n"/>
      <c r="J45" s="0" t="n"/>
      <c r="K45" s="0" t="n"/>
      <c r="L45" t="inlineStr">
        <is>
          <t>Discovery CT750 HD</t>
        </is>
      </c>
      <c r="M45" t="inlineStr">
        <is>
          <t>pre 3mm</t>
        </is>
      </c>
    </row>
    <row r="46">
      <c r="A46" s="2" t="n">
        <v>4278459</v>
      </c>
      <c r="B46" s="2" t="inlineStr">
        <is>
          <t>52</t>
        </is>
      </c>
      <c r="C46" s="2" t="inlineStr">
        <is>
          <t>F</t>
        </is>
      </c>
      <c r="D46" s="2" t="inlineStr">
        <is>
          <t>100.0</t>
        </is>
      </c>
      <c r="E46" s="4">
        <f>HYPERLINK("./Results/DLO\1038\Osteo_Sarco_1.png","RPT")</f>
        <v/>
      </c>
      <c r="F46" s="2" t="n">
        <v>104</v>
      </c>
      <c r="G46" s="6" t="n">
        <v>11</v>
      </c>
      <c r="I46" s="0" t="n"/>
      <c r="J46" s="0" t="n"/>
      <c r="K46" s="0" t="n"/>
      <c r="L46" t="inlineStr">
        <is>
          <t>Revolution EVO</t>
        </is>
      </c>
      <c r="M46" t="inlineStr">
        <is>
          <t>PRE</t>
        </is>
      </c>
    </row>
    <row r="47">
      <c r="A47" s="2" t="n">
        <v>4108572</v>
      </c>
      <c r="B47" s="2" t="inlineStr">
        <is>
          <t>63</t>
        </is>
      </c>
      <c r="C47" s="2" t="inlineStr">
        <is>
          <t>F</t>
        </is>
      </c>
      <c r="D47" s="2" t="inlineStr">
        <is>
          <t>100.0</t>
        </is>
      </c>
      <c r="E47" s="4">
        <f>HYPERLINK("./Results/DLO\1039\Osteo_Sarco_1.png","RPT")</f>
        <v/>
      </c>
      <c r="F47" s="2" t="n">
        <v>99</v>
      </c>
      <c r="G47" s="6" t="n">
        <v>14</v>
      </c>
      <c r="I47" s="0" t="n"/>
      <c r="J47" s="0" t="n"/>
      <c r="K47" s="0" t="n"/>
      <c r="L47" t="inlineStr">
        <is>
          <t>LightSpeed VCT</t>
        </is>
      </c>
      <c r="M47" t="inlineStr">
        <is>
          <t>PRE 3mm</t>
        </is>
      </c>
    </row>
    <row r="48">
      <c r="A48" s="2" t="n">
        <v>4077538</v>
      </c>
      <c r="B48" s="2" t="inlineStr">
        <is>
          <t>78</t>
        </is>
      </c>
      <c r="C48" s="2" t="inlineStr">
        <is>
          <t>M</t>
        </is>
      </c>
      <c r="D48" s="2" t="inlineStr">
        <is>
          <t>100.0</t>
        </is>
      </c>
      <c r="E48" s="4">
        <f>HYPERLINK("./Results/DLO\104\Osteo_Sarco_1.png","RPT")</f>
        <v/>
      </c>
      <c r="F48" s="2" t="n">
        <v>129</v>
      </c>
      <c r="G48" s="6" t="n">
        <v>20</v>
      </c>
      <c r="I48" s="0" t="n"/>
      <c r="J48" s="0" t="n"/>
      <c r="K48" s="0" t="n"/>
      <c r="L48" t="inlineStr">
        <is>
          <t>SOMATOM Force</t>
        </is>
      </c>
      <c r="M48" t="inlineStr">
        <is>
          <t>Pre 3.0 Br32 1</t>
        </is>
      </c>
    </row>
    <row r="49">
      <c r="A49" s="2" t="n">
        <v>3371911</v>
      </c>
      <c r="B49" s="2" t="inlineStr">
        <is>
          <t>63</t>
        </is>
      </c>
      <c r="C49" s="2" t="inlineStr">
        <is>
          <t>M</t>
        </is>
      </c>
      <c r="D49" s="2" t="inlineStr">
        <is>
          <t>100.0</t>
        </is>
      </c>
      <c r="E49" s="4">
        <f>HYPERLINK("./Results/DLO\1040\Osteo_Sarco_1.png","RPT")</f>
        <v/>
      </c>
      <c r="F49" s="2" t="n">
        <v>149</v>
      </c>
      <c r="G49" s="6" t="n">
        <v>10</v>
      </c>
      <c r="H49" t="n">
        <v>25.7</v>
      </c>
      <c r="L49" t="inlineStr">
        <is>
          <t>SOMATOM Definition...</t>
        </is>
      </c>
      <c r="M49" t="inlineStr">
        <is>
          <t>HVP 2 3mm (75kg/140cc/3cc/O...</t>
        </is>
      </c>
    </row>
    <row r="50">
      <c r="A50" s="2" t="n">
        <v>1936087</v>
      </c>
      <c r="B50" s="2" t="inlineStr">
        <is>
          <t>39</t>
        </is>
      </c>
      <c r="C50" s="2" t="inlineStr">
        <is>
          <t>M</t>
        </is>
      </c>
      <c r="D50" s="2" t="inlineStr">
        <is>
          <t>120.0</t>
        </is>
      </c>
      <c r="E50" s="4">
        <f>HYPERLINK("./Results/DLO\1041\Osteo_Sarco_1.png","RPT")</f>
        <v/>
      </c>
      <c r="F50" s="2" t="n">
        <v>138</v>
      </c>
      <c r="G50" s="6" t="n">
        <v>3</v>
      </c>
      <c r="I50" s="0" t="n"/>
      <c r="J50" s="0" t="n"/>
      <c r="K50" s="0" t="n"/>
      <c r="L50" t="inlineStr">
        <is>
          <t>Discovery CT750 HD</t>
        </is>
      </c>
      <c r="M50" t="inlineStr">
        <is>
          <t>5mm 75s Stnd 50</t>
        </is>
      </c>
    </row>
    <row r="51">
      <c r="A51" s="2" t="n">
        <v>4210227</v>
      </c>
      <c r="B51" s="2" t="inlineStr">
        <is>
          <t>63</t>
        </is>
      </c>
      <c r="C51" s="2" t="inlineStr">
        <is>
          <t>F</t>
        </is>
      </c>
      <c r="D51" s="2" t="inlineStr">
        <is>
          <t>100.0</t>
        </is>
      </c>
      <c r="E51" s="4">
        <f>HYPERLINK("./Results/DLO\1042\Osteo_Sarco_1.png","RPT")</f>
        <v/>
      </c>
      <c r="F51" s="2" t="n">
        <v>87</v>
      </c>
      <c r="G51" s="6" t="n">
        <v>7</v>
      </c>
      <c r="I51" s="0" t="n"/>
      <c r="J51" s="0" t="n"/>
      <c r="K51" s="0" t="n"/>
      <c r="L51" t="inlineStr">
        <is>
          <t>SOMATOM Definition...</t>
        </is>
      </c>
      <c r="M51" t="inlineStr">
        <is>
          <t>Pre(cp~pubic ) 3.0 B30f</t>
        </is>
      </c>
    </row>
    <row r="52">
      <c r="A52" s="2" t="n">
        <v>3584387</v>
      </c>
      <c r="B52" s="2" t="inlineStr">
        <is>
          <t>38</t>
        </is>
      </c>
      <c r="C52" s="2" t="inlineStr">
        <is>
          <t>M</t>
        </is>
      </c>
      <c r="D52" s="2" t="inlineStr">
        <is>
          <t>100.0</t>
        </is>
      </c>
      <c r="E52" s="4">
        <f>HYPERLINK("./Results/DLO\1043\Osteo_Sarco_1.png","RPT")</f>
        <v/>
      </c>
      <c r="F52" s="2" t="n">
        <v>185</v>
      </c>
      <c r="G52" s="6" t="n">
        <v>5</v>
      </c>
      <c r="I52" s="0" t="n"/>
      <c r="J52" s="0" t="n"/>
      <c r="K52" s="0" t="n"/>
      <c r="L52" t="inlineStr">
        <is>
          <t>SOMATOM Force</t>
        </is>
      </c>
      <c r="M52" t="inlineStr">
        <is>
          <t>Pre(GU) 3.0 Br32</t>
        </is>
      </c>
    </row>
    <row r="53">
      <c r="A53" s="2" t="n">
        <v>2107379</v>
      </c>
      <c r="B53" s="2" t="inlineStr">
        <is>
          <t>71</t>
        </is>
      </c>
      <c r="C53" s="2" t="inlineStr">
        <is>
          <t>M</t>
        </is>
      </c>
      <c r="D53" s="2" t="inlineStr">
        <is>
          <t>120.0</t>
        </is>
      </c>
      <c r="E53" s="4">
        <f>HYPERLINK("./Results/DLO\1044\Osteo_Sarco_1.png","RPT")</f>
        <v/>
      </c>
      <c r="F53" s="2" t="n">
        <v>157</v>
      </c>
      <c r="G53" s="6" t="n">
        <v>9</v>
      </c>
      <c r="H53" t="n">
        <v>28.23</v>
      </c>
      <c r="L53" t="inlineStr">
        <is>
          <t>LightSpeed VCT</t>
        </is>
      </c>
      <c r="M53" t="inlineStr">
        <is>
          <t>HVP 55sec 3mm</t>
        </is>
      </c>
    </row>
    <row r="54">
      <c r="A54" s="2" t="n">
        <v>2787909</v>
      </c>
      <c r="B54" s="2" t="inlineStr">
        <is>
          <t>56</t>
        </is>
      </c>
      <c r="C54" s="2" t="inlineStr">
        <is>
          <t>F</t>
        </is>
      </c>
      <c r="D54" s="2" t="inlineStr">
        <is>
          <t>100.0</t>
        </is>
      </c>
      <c r="E54" s="4">
        <f>HYPERLINK("./Results/DLO\1045\Osteo_Sarco_1.png","RPT")</f>
        <v/>
      </c>
      <c r="F54" s="2" t="n">
        <v>103</v>
      </c>
      <c r="G54" s="6" t="n">
        <v>7</v>
      </c>
      <c r="H54" t="n">
        <v>22.22</v>
      </c>
      <c r="L54" t="inlineStr">
        <is>
          <t>Discovery CT750 HD</t>
        </is>
      </c>
      <c r="M54" t="inlineStr">
        <is>
          <t>CE 2.5mm(ASIR30%)</t>
        </is>
      </c>
    </row>
    <row r="55">
      <c r="A55" s="2" t="n">
        <v>3973376</v>
      </c>
      <c r="B55" s="2" t="inlineStr">
        <is>
          <t>76</t>
        </is>
      </c>
      <c r="C55" s="2" t="inlineStr">
        <is>
          <t>F</t>
        </is>
      </c>
      <c r="D55" s="2" t="inlineStr">
        <is>
          <t>100.0</t>
        </is>
      </c>
      <c r="E55" s="4">
        <f>HYPERLINK("./Results/DLO\1046\Osteo_Sarco_1.png","RPT")</f>
        <v/>
      </c>
      <c r="F55" s="2" t="n">
        <v>105</v>
      </c>
      <c r="G55" s="6" t="n">
        <v>14</v>
      </c>
      <c r="I55" s="0" t="n"/>
      <c r="J55" s="0" t="n"/>
      <c r="K55" s="0" t="n"/>
      <c r="L55" t="inlineStr">
        <is>
          <t>Revolution CT</t>
        </is>
      </c>
      <c r="M55" t="inlineStr">
        <is>
          <t>HVP 3mm(65kg/130cc/3cc/omni)</t>
        </is>
      </c>
    </row>
    <row r="56">
      <c r="A56" s="2" t="n">
        <v>3310664</v>
      </c>
      <c r="B56" s="2" t="inlineStr">
        <is>
          <t>53</t>
        </is>
      </c>
      <c r="C56" s="2" t="inlineStr">
        <is>
          <t>M</t>
        </is>
      </c>
      <c r="D56" s="2" t="inlineStr">
        <is>
          <t>120.0</t>
        </is>
      </c>
      <c r="E56" s="4">
        <f>HYPERLINK("./Results/DLO\1047\Osteo_Sarco_1.png","RPT")</f>
        <v/>
      </c>
      <c r="F56" s="2" t="n">
        <v>163</v>
      </c>
      <c r="G56" s="6" t="n">
        <v>8</v>
      </c>
      <c r="I56" s="0" t="n"/>
      <c r="J56" s="0" t="n"/>
      <c r="K56" s="0" t="n"/>
      <c r="L56" t="inlineStr">
        <is>
          <t>LightSpeed VCT</t>
        </is>
      </c>
      <c r="M56" t="inlineStr">
        <is>
          <t>HVP 55sec 3mm</t>
        </is>
      </c>
    </row>
    <row r="57">
      <c r="A57" s="2" t="n">
        <v>3888370</v>
      </c>
      <c r="B57" s="2" t="inlineStr">
        <is>
          <t>57</t>
        </is>
      </c>
      <c r="C57" s="2" t="inlineStr">
        <is>
          <t>M</t>
        </is>
      </c>
      <c r="D57" s="2" t="inlineStr">
        <is>
          <t>100.0</t>
        </is>
      </c>
      <c r="E57" s="4">
        <f>HYPERLINK("./Results/DLO\1048\Osteo_Sarco_1.png","RPT")</f>
        <v/>
      </c>
      <c r="F57" s="2" t="n">
        <v>174</v>
      </c>
      <c r="G57" s="6" t="n">
        <v>8</v>
      </c>
      <c r="I57" s="0" t="n"/>
      <c r="J57" s="0" t="n"/>
      <c r="K57" s="0" t="n"/>
      <c r="L57" t="inlineStr">
        <is>
          <t>SOMATOM Definition...</t>
        </is>
      </c>
      <c r="M57" t="inlineStr">
        <is>
          <t>Pre 3mm</t>
        </is>
      </c>
    </row>
    <row r="58">
      <c r="A58" s="2" t="n">
        <v>4815518</v>
      </c>
      <c r="B58" s="2" t="inlineStr">
        <is>
          <t>51</t>
        </is>
      </c>
      <c r="C58" s="2" t="inlineStr">
        <is>
          <t>F</t>
        </is>
      </c>
      <c r="D58" s="2" t="inlineStr">
        <is>
          <t>100.0</t>
        </is>
      </c>
      <c r="E58" s="4">
        <f>HYPERLINK("./Results/DLO\1049\Osteo_Sarco_1.png","RPT")</f>
        <v/>
      </c>
      <c r="F58" s="2" t="n">
        <v>94</v>
      </c>
      <c r="G58" s="6" t="n">
        <v>7</v>
      </c>
      <c r="I58" s="0" t="n"/>
      <c r="J58" s="0" t="n"/>
      <c r="K58" s="0" t="n"/>
      <c r="L58" t="inlineStr">
        <is>
          <t>Revolution EVO</t>
        </is>
      </c>
      <c r="M58" t="inlineStr">
        <is>
          <t>PRE</t>
        </is>
      </c>
    </row>
    <row r="59">
      <c r="A59" s="2" t="n">
        <v>4882144</v>
      </c>
      <c r="B59" s="2" t="inlineStr">
        <is>
          <t>63</t>
        </is>
      </c>
      <c r="C59" s="2" t="inlineStr">
        <is>
          <t>F</t>
        </is>
      </c>
      <c r="D59" s="2" t="inlineStr">
        <is>
          <t>100.0</t>
        </is>
      </c>
      <c r="E59" s="4">
        <f>HYPERLINK("./Results/DLO\105\Osteo_Sarco_1.png","RPT")</f>
        <v/>
      </c>
      <c r="F59" s="2" t="n">
        <v>171</v>
      </c>
      <c r="G59" s="6" t="n">
        <v>24</v>
      </c>
      <c r="I59" s="0" t="n"/>
      <c r="J59" s="0" t="n"/>
      <c r="K59" s="0" t="n"/>
      <c r="L59" t="inlineStr">
        <is>
          <t>SOMATOM Definition...</t>
        </is>
      </c>
      <c r="M59" t="inlineStr">
        <is>
          <t>PRE 3mm (100Kvp 100mAs)</t>
        </is>
      </c>
    </row>
    <row r="60">
      <c r="A60" s="2" t="n">
        <v>3006694</v>
      </c>
      <c r="B60" s="2" t="inlineStr">
        <is>
          <t>62</t>
        </is>
      </c>
      <c r="C60" s="2" t="inlineStr">
        <is>
          <t>F</t>
        </is>
      </c>
      <c r="D60" s="2" t="inlineStr">
        <is>
          <t>100.0</t>
        </is>
      </c>
      <c r="E60" s="4">
        <f>HYPERLINK("./Results/DLO\1050\Osteo_Sarco_1.png","RPT")</f>
        <v/>
      </c>
      <c r="F60" s="2" t="n">
        <v>98</v>
      </c>
      <c r="G60" s="6" t="n">
        <v>9</v>
      </c>
      <c r="I60" s="0" t="n"/>
      <c r="J60" s="0" t="n"/>
      <c r="K60" s="0" t="n"/>
      <c r="L60" t="inlineStr">
        <is>
          <t>Discovery CT750 HD</t>
        </is>
      </c>
      <c r="M60" t="inlineStr">
        <is>
          <t>Pre 3mm</t>
        </is>
      </c>
    </row>
    <row r="61">
      <c r="A61" s="2" t="n">
        <v>2155669</v>
      </c>
      <c r="B61" s="2" t="inlineStr">
        <is>
          <t>56</t>
        </is>
      </c>
      <c r="C61" s="2" t="inlineStr">
        <is>
          <t>F</t>
        </is>
      </c>
      <c r="D61" s="2" t="inlineStr">
        <is>
          <t>100.0</t>
        </is>
      </c>
      <c r="E61" s="4">
        <f>HYPERLINK("./Results/DLO\1051\Osteo_Sarco_1.png","RPT")</f>
        <v/>
      </c>
      <c r="F61" s="2" t="n">
        <v>108</v>
      </c>
      <c r="G61" s="6" t="n">
        <v>13</v>
      </c>
      <c r="I61" s="0" t="n"/>
      <c r="J61" s="0" t="n"/>
      <c r="K61" s="0" t="n"/>
      <c r="L61" t="inlineStr">
        <is>
          <t>Revolution CT</t>
        </is>
      </c>
      <c r="M61" t="inlineStr">
        <is>
          <t>Pre Axial 3mm</t>
        </is>
      </c>
    </row>
    <row r="62">
      <c r="A62" s="2" t="n">
        <v>1995116</v>
      </c>
      <c r="B62" s="2" t="inlineStr">
        <is>
          <t>51</t>
        </is>
      </c>
      <c r="C62" s="2" t="inlineStr">
        <is>
          <t>F</t>
        </is>
      </c>
      <c r="D62" s="2" t="inlineStr">
        <is>
          <t>100.0</t>
        </is>
      </c>
      <c r="E62" s="4">
        <f>HYPERLINK("./Results/DLO\1053\Osteo_Sarco_1.png","RPT")</f>
        <v/>
      </c>
      <c r="F62" s="2" t="n">
        <v>76</v>
      </c>
      <c r="G62" s="6" t="n">
        <v>8</v>
      </c>
      <c r="I62" s="0" t="n"/>
      <c r="J62" s="0" t="n"/>
      <c r="K62" s="0" t="n"/>
      <c r="L62" t="inlineStr">
        <is>
          <t>SOMATOM Force</t>
        </is>
      </c>
      <c r="M62" t="inlineStr">
        <is>
          <t>Pre 3.0 Br40 2</t>
        </is>
      </c>
    </row>
    <row r="63">
      <c r="A63" s="2" t="n">
        <v>2645254</v>
      </c>
      <c r="B63" s="2" t="inlineStr">
        <is>
          <t>71</t>
        </is>
      </c>
      <c r="C63" s="2" t="inlineStr">
        <is>
          <t>F</t>
        </is>
      </c>
      <c r="D63" s="2" t="inlineStr">
        <is>
          <t>110.0</t>
        </is>
      </c>
      <c r="E63" s="4">
        <f>HYPERLINK("./Results/DLO\1054\Osteo_Sarco_1.png","RPT")</f>
        <v/>
      </c>
      <c r="F63" s="2" t="n">
        <v>80</v>
      </c>
      <c r="G63" s="6" t="n">
        <v>9</v>
      </c>
      <c r="H63" t="n">
        <v>20.17</v>
      </c>
      <c r="L63" t="inlineStr">
        <is>
          <t>SOMATOM Perspective</t>
        </is>
      </c>
      <c r="M63" t="inlineStr">
        <is>
          <t>Abdmen pre 3.0 140s 2</t>
        </is>
      </c>
    </row>
    <row r="64">
      <c r="A64" s="2" t="n">
        <v>2993229</v>
      </c>
      <c r="B64" s="2" t="inlineStr">
        <is>
          <t>48</t>
        </is>
      </c>
      <c r="C64" s="2" t="inlineStr">
        <is>
          <t>F</t>
        </is>
      </c>
      <c r="D64" s="2" t="inlineStr">
        <is>
          <t>100.0</t>
        </is>
      </c>
      <c r="E64" s="4">
        <f>HYPERLINK("./Results/DLO\1055\Osteo_Sarco_1.png","RPT")</f>
        <v/>
      </c>
      <c r="F64" s="2" t="n">
        <v>123</v>
      </c>
      <c r="G64" s="6" t="n">
        <v>16</v>
      </c>
      <c r="I64" s="0" t="n"/>
      <c r="J64" s="0" t="n"/>
      <c r="K64" s="0" t="n"/>
      <c r="L64" t="inlineStr">
        <is>
          <t>SOMATOM Definition...</t>
        </is>
      </c>
      <c r="M64" t="inlineStr">
        <is>
          <t>CE 3mm (70kg/140cc/3cc/ultra)</t>
        </is>
      </c>
    </row>
    <row r="65">
      <c r="A65" s="2" t="n">
        <v>3042483</v>
      </c>
      <c r="B65" s="2" t="inlineStr">
        <is>
          <t>59</t>
        </is>
      </c>
      <c r="C65" s="2" t="inlineStr">
        <is>
          <t>F</t>
        </is>
      </c>
      <c r="D65" s="2" t="inlineStr">
        <is>
          <t>100.0</t>
        </is>
      </c>
      <c r="E65" s="4">
        <f>HYPERLINK("./Results/DLO\1056\Osteo_Sarco_1.png","RPT")</f>
        <v/>
      </c>
      <c r="F65" s="2" t="n">
        <v>93</v>
      </c>
      <c r="G65" s="6" t="n">
        <v>13</v>
      </c>
      <c r="I65" s="0" t="n"/>
      <c r="J65" s="0" t="n"/>
      <c r="K65" s="0" t="n"/>
      <c r="L65" t="inlineStr">
        <is>
          <t>LightSpeed VCT</t>
        </is>
      </c>
      <c r="M65" t="inlineStr">
        <is>
          <t>PRE 3mm</t>
        </is>
      </c>
    </row>
    <row r="66">
      <c r="A66" s="2" t="n">
        <v>2195366</v>
      </c>
      <c r="B66" s="2" t="inlineStr">
        <is>
          <t>61</t>
        </is>
      </c>
      <c r="C66" s="2" t="inlineStr">
        <is>
          <t>M</t>
        </is>
      </c>
      <c r="D66" s="2" t="inlineStr">
        <is>
          <t>90.0</t>
        </is>
      </c>
      <c r="E66" s="4">
        <f>HYPERLINK("./Results/DLO\1057\Osteo_Sarco_1.png","RPT")</f>
        <v/>
      </c>
      <c r="F66" s="2" t="n">
        <v>170</v>
      </c>
      <c r="G66" s="6" t="n">
        <v>13</v>
      </c>
      <c r="H66" t="n">
        <v>30.02</v>
      </c>
      <c r="L66" t="inlineStr">
        <is>
          <t>SOMATOM Force</t>
        </is>
      </c>
      <c r="M66" t="inlineStr">
        <is>
          <t>Pre 3.0 Br32</t>
        </is>
      </c>
    </row>
    <row r="67">
      <c r="A67" s="2" t="n">
        <v>3893499</v>
      </c>
      <c r="B67" s="2" t="inlineStr">
        <is>
          <t>56</t>
        </is>
      </c>
      <c r="C67" s="2" t="inlineStr">
        <is>
          <t>F</t>
        </is>
      </c>
      <c r="D67" s="2" t="inlineStr">
        <is>
          <t>100.0</t>
        </is>
      </c>
      <c r="E67" s="4">
        <f>HYPERLINK("./Results/DLO\1058\Osteo_Sarco_1.png","RPT")</f>
        <v/>
      </c>
      <c r="F67" s="2" t="n">
        <v>101</v>
      </c>
      <c r="G67" s="6" t="n">
        <v>13</v>
      </c>
      <c r="H67" t="n">
        <v>28.68</v>
      </c>
      <c r="L67" t="inlineStr">
        <is>
          <t>Sensation 64</t>
        </is>
      </c>
      <c r="M67" t="inlineStr">
        <is>
          <t>PRE 3mm</t>
        </is>
      </c>
    </row>
    <row r="68">
      <c r="A68" s="2" t="n">
        <v>3735789</v>
      </c>
      <c r="B68" s="2" t="inlineStr">
        <is>
          <t>69</t>
        </is>
      </c>
      <c r="C68" s="2" t="inlineStr">
        <is>
          <t>F</t>
        </is>
      </c>
      <c r="D68" s="2" t="inlineStr">
        <is>
          <t>100.0</t>
        </is>
      </c>
      <c r="E68" s="4">
        <f>HYPERLINK("./Results/DLO\1059\Osteo_Sarco_1.png","RPT")</f>
        <v/>
      </c>
      <c r="F68" s="2" t="n">
        <v>82</v>
      </c>
      <c r="G68" s="6" t="n">
        <v>22</v>
      </c>
      <c r="H68" t="n">
        <v>28</v>
      </c>
      <c r="L68" t="inlineStr">
        <is>
          <t>LightSpeed VCT</t>
        </is>
      </c>
      <c r="M68" t="inlineStr">
        <is>
          <t>AXL 3mm</t>
        </is>
      </c>
    </row>
    <row r="69">
      <c r="A69" s="2" t="n">
        <v>3091921</v>
      </c>
      <c r="B69" s="2" t="inlineStr">
        <is>
          <t>58</t>
        </is>
      </c>
      <c r="C69" s="2" t="inlineStr">
        <is>
          <t>F</t>
        </is>
      </c>
      <c r="D69" s="2" t="inlineStr">
        <is>
          <t>100.0</t>
        </is>
      </c>
      <c r="E69" s="4">
        <f>HYPERLINK("./Results/DLO\106\Osteo_Sarco_1.png","RPT")</f>
        <v/>
      </c>
      <c r="F69" s="2" t="n">
        <v>84</v>
      </c>
      <c r="G69" s="6" t="n">
        <v>8</v>
      </c>
      <c r="I69" s="0" t="n"/>
      <c r="J69" s="0" t="n"/>
      <c r="K69" s="0" t="n"/>
      <c r="L69" t="inlineStr">
        <is>
          <t>SOMATOM Definition...</t>
        </is>
      </c>
      <c r="M69" t="inlineStr">
        <is>
          <t>PRE 3mm</t>
        </is>
      </c>
    </row>
    <row r="70">
      <c r="A70" s="2" t="n">
        <v>3502125</v>
      </c>
      <c r="B70" s="2" t="inlineStr">
        <is>
          <t>66</t>
        </is>
      </c>
      <c r="C70" s="2" t="inlineStr">
        <is>
          <t>M</t>
        </is>
      </c>
      <c r="D70" s="2" t="inlineStr">
        <is>
          <t>100.0</t>
        </is>
      </c>
      <c r="E70" s="4">
        <f>HYPERLINK("./Results/DLO\1060\Osteo_Sarco_1.png","RPT")</f>
        <v/>
      </c>
      <c r="F70" s="2" t="n">
        <v>154</v>
      </c>
      <c r="G70" s="6" t="n">
        <v>9</v>
      </c>
      <c r="H70" t="n">
        <v>23.66</v>
      </c>
      <c r="L70" t="inlineStr">
        <is>
          <t>SOMATOM Definition...</t>
        </is>
      </c>
      <c r="M70" t="inlineStr">
        <is>
          <t>Pre 3mm</t>
        </is>
      </c>
    </row>
    <row r="71">
      <c r="A71" s="2" t="n">
        <v>4660005</v>
      </c>
      <c r="B71" s="2" t="inlineStr">
        <is>
          <t>61</t>
        </is>
      </c>
      <c r="C71" s="2" t="inlineStr">
        <is>
          <t>F</t>
        </is>
      </c>
      <c r="D71" s="2" t="inlineStr">
        <is>
          <t>100.0</t>
        </is>
      </c>
      <c r="E71" s="4">
        <f>HYPERLINK("./Results/DLO\1061\Osteo_Sarco_1.png","RPT")</f>
        <v/>
      </c>
      <c r="F71" s="2" t="n">
        <v>124</v>
      </c>
      <c r="G71" s="6" t="n">
        <v>11</v>
      </c>
      <c r="I71" s="0" t="n"/>
      <c r="J71" s="0" t="n"/>
      <c r="K71" s="0" t="n"/>
      <c r="L71" t="inlineStr">
        <is>
          <t>SOMATOM Definition...</t>
        </is>
      </c>
      <c r="M71" t="inlineStr">
        <is>
          <t>HVP 2 3mm(63kg/126cc/3cc/xene)</t>
        </is>
      </c>
    </row>
    <row r="72">
      <c r="A72" s="2" t="n">
        <v>1757444</v>
      </c>
      <c r="B72" s="2" t="inlineStr">
        <is>
          <t>60</t>
        </is>
      </c>
      <c r="C72" s="2" t="inlineStr">
        <is>
          <t>F</t>
        </is>
      </c>
      <c r="D72" s="2" t="inlineStr">
        <is>
          <t>120.0</t>
        </is>
      </c>
      <c r="E72" s="4">
        <f>HYPERLINK("./Results/DLO\1062\Osteo_Sarco_1.png","RPT")</f>
        <v/>
      </c>
      <c r="F72" s="2" t="n">
        <v>113</v>
      </c>
      <c r="G72" s="6" t="n">
        <v>8</v>
      </c>
      <c r="I72" s="0" t="n"/>
      <c r="J72" s="0" t="n"/>
      <c r="K72" s="0" t="n"/>
      <c r="L72" t="inlineStr">
        <is>
          <t>iCT 256</t>
        </is>
      </c>
      <c r="M72" t="inlineStr">
        <is>
          <t>HVP 3/3mm, iDose (3)</t>
        </is>
      </c>
    </row>
    <row r="73">
      <c r="A73" s="2" t="n">
        <v>4892191</v>
      </c>
      <c r="B73" s="2" t="inlineStr">
        <is>
          <t>67</t>
        </is>
      </c>
      <c r="C73" s="2" t="inlineStr">
        <is>
          <t>F</t>
        </is>
      </c>
      <c r="D73" s="2" t="inlineStr">
        <is>
          <t>100.0</t>
        </is>
      </c>
      <c r="E73" s="4">
        <f>HYPERLINK("./Results/DLO\1063\Osteo_Sarco_1.png","RPT")</f>
        <v/>
      </c>
      <c r="F73" s="2" t="n">
        <v>92</v>
      </c>
      <c r="G73" s="6" t="n">
        <v>7</v>
      </c>
      <c r="I73" s="0" t="n"/>
      <c r="J73" s="0" t="n"/>
      <c r="K73" s="0" t="n"/>
      <c r="L73" t="inlineStr">
        <is>
          <t>Revolution EVO</t>
        </is>
      </c>
      <c r="M73" t="inlineStr">
        <is>
          <t>Pre 2.5mm</t>
        </is>
      </c>
    </row>
    <row r="74">
      <c r="A74" s="2" t="n">
        <v>2746086</v>
      </c>
      <c r="B74" s="2" t="inlineStr">
        <is>
          <t>70</t>
        </is>
      </c>
      <c r="C74" s="2" t="inlineStr">
        <is>
          <t>M</t>
        </is>
      </c>
      <c r="D74" s="2" t="inlineStr">
        <is>
          <t>120.0</t>
        </is>
      </c>
      <c r="E74" s="4">
        <f>HYPERLINK("./Results/DLO\1064\Osteo_Sarco_1.png","RPT")</f>
        <v/>
      </c>
      <c r="F74" s="2" t="n">
        <v>174</v>
      </c>
      <c r="G74" s="6" t="n">
        <v>14</v>
      </c>
      <c r="I74" s="0" t="n"/>
      <c r="J74" s="0" t="n"/>
      <c r="K74" s="0" t="n"/>
      <c r="L74" t="inlineStr">
        <is>
          <t>LightSpeed VCT</t>
        </is>
      </c>
      <c r="M74" t="inlineStr">
        <is>
          <t>HVP 55sec 3mm</t>
        </is>
      </c>
    </row>
    <row r="75">
      <c r="A75" s="2" t="n">
        <v>3267308</v>
      </c>
      <c r="B75" s="2" t="inlineStr">
        <is>
          <t>65</t>
        </is>
      </c>
      <c r="C75" s="2" t="inlineStr">
        <is>
          <t>F</t>
        </is>
      </c>
      <c r="D75" s="2" t="inlineStr">
        <is>
          <t>120.0</t>
        </is>
      </c>
      <c r="E75" s="4">
        <f>HYPERLINK("./Results/DLO\1065\Osteo_Sarco_1.png","RPT")</f>
        <v/>
      </c>
      <c r="F75" s="2" t="n">
        <v>98</v>
      </c>
      <c r="G75" s="6" t="n">
        <v>11</v>
      </c>
      <c r="I75" s="0" t="n"/>
      <c r="J75" s="0" t="n"/>
      <c r="K75" s="0" t="n"/>
      <c r="L75" t="inlineStr">
        <is>
          <t>LightSpeed VCT</t>
        </is>
      </c>
      <c r="M75" t="inlineStr">
        <is>
          <t>HVP 55sec 3mm</t>
        </is>
      </c>
    </row>
    <row r="76">
      <c r="A76" s="2" t="n">
        <v>2808354</v>
      </c>
      <c r="B76" s="2" t="inlineStr">
        <is>
          <t>47</t>
        </is>
      </c>
      <c r="C76" s="2" t="inlineStr">
        <is>
          <t>F</t>
        </is>
      </c>
      <c r="D76" s="2" t="inlineStr">
        <is>
          <t>100.0</t>
        </is>
      </c>
      <c r="E76" s="4">
        <f>HYPERLINK("./Results/DLO\1066\Osteo_Sarco_1.png","RPT")</f>
        <v/>
      </c>
      <c r="F76" s="2" t="n">
        <v>108</v>
      </c>
      <c r="G76" s="6" t="n">
        <v>7</v>
      </c>
      <c r="I76" s="0" t="n"/>
      <c r="J76" s="0" t="n"/>
      <c r="K76" s="0" t="n"/>
      <c r="L76" t="inlineStr">
        <is>
          <t>Revolution EVO</t>
        </is>
      </c>
      <c r="M76" t="inlineStr">
        <is>
          <t>Pre 2.5mm</t>
        </is>
      </c>
    </row>
    <row r="77">
      <c r="A77" s="2" t="n">
        <v>4851918</v>
      </c>
      <c r="B77" s="2" t="inlineStr">
        <is>
          <t>68</t>
        </is>
      </c>
      <c r="C77" s="2" t="inlineStr">
        <is>
          <t>M</t>
        </is>
      </c>
      <c r="D77" s="2" t="inlineStr">
        <is>
          <t>100.0</t>
        </is>
      </c>
      <c r="E77" s="4">
        <f>HYPERLINK("./Results/DLO\1067\Osteo_Sarco_1.png","RPT")</f>
        <v/>
      </c>
      <c r="F77" s="2" t="n">
        <v>115</v>
      </c>
      <c r="G77" s="6" t="n">
        <v>5</v>
      </c>
      <c r="H77" t="n">
        <v>23.12</v>
      </c>
      <c r="L77" t="inlineStr">
        <is>
          <t>iCT 256</t>
        </is>
      </c>
      <c r="M77" t="inlineStr">
        <is>
          <t>HVP 3/3mm, iDose (3)</t>
        </is>
      </c>
    </row>
    <row r="78">
      <c r="A78" s="2" t="n">
        <v>2338738</v>
      </c>
      <c r="B78" s="2" t="inlineStr">
        <is>
          <t>81</t>
        </is>
      </c>
      <c r="C78" s="2" t="inlineStr">
        <is>
          <t>M</t>
        </is>
      </c>
      <c r="D78" s="2" t="inlineStr">
        <is>
          <t>100.0</t>
        </is>
      </c>
      <c r="E78" s="4">
        <f>HYPERLINK("./Results/DLO\1068\Osteo_Sarco_1.png","RPT")</f>
        <v/>
      </c>
      <c r="F78" s="2" t="n">
        <v>125</v>
      </c>
      <c r="G78" s="6" t="n">
        <v>15</v>
      </c>
      <c r="H78" t="n">
        <v>20.66</v>
      </c>
      <c r="L78" t="inlineStr">
        <is>
          <t>iCT 256</t>
        </is>
      </c>
      <c r="M78" t="inlineStr">
        <is>
          <t>HVP 3/3mm, iDose (3)</t>
        </is>
      </c>
    </row>
    <row r="79">
      <c r="A79" s="2" t="n">
        <v>3982598</v>
      </c>
      <c r="B79" s="2" t="inlineStr">
        <is>
          <t>59</t>
        </is>
      </c>
      <c r="C79" s="2" t="inlineStr">
        <is>
          <t>F</t>
        </is>
      </c>
      <c r="D79" s="2" t="inlineStr">
        <is>
          <t>100.0</t>
        </is>
      </c>
      <c r="E79" s="4">
        <f>HYPERLINK("./Results/DLO\107\Osteo_Sarco_1.png","RPT")</f>
        <v/>
      </c>
      <c r="F79" s="2" t="n">
        <v>102</v>
      </c>
      <c r="G79" s="6" t="n">
        <v>15</v>
      </c>
      <c r="I79" s="0" t="n"/>
      <c r="J79" s="0" t="n"/>
      <c r="K79" s="0" t="n"/>
      <c r="L79" t="inlineStr">
        <is>
          <t>Revolution CT</t>
        </is>
      </c>
      <c r="M79" t="inlineStr">
        <is>
          <t>HVP 3mm-pacs(58kg/116cc/3cc/x...</t>
        </is>
      </c>
    </row>
    <row r="80">
      <c r="A80" s="2" t="n">
        <v>2660553</v>
      </c>
      <c r="B80" s="2" t="inlineStr">
        <is>
          <t>61</t>
        </is>
      </c>
      <c r="C80" s="2" t="inlineStr">
        <is>
          <t>M</t>
        </is>
      </c>
      <c r="D80" s="2" t="inlineStr">
        <is>
          <t>100.0</t>
        </is>
      </c>
      <c r="E80" s="4">
        <f>HYPERLINK("./Results/DLO\1070\Osteo_Sarco_1.png","RPT")</f>
        <v/>
      </c>
      <c r="F80" s="2" t="n">
        <v>153</v>
      </c>
      <c r="G80" s="6" t="n">
        <v>9</v>
      </c>
      <c r="I80" s="0" t="n"/>
      <c r="J80" s="0" t="n"/>
      <c r="K80" s="0" t="n"/>
      <c r="L80" t="inlineStr">
        <is>
          <t>Revolution EVO</t>
        </is>
      </c>
      <c r="M80" t="inlineStr">
        <is>
          <t>PRE</t>
        </is>
      </c>
    </row>
    <row r="81">
      <c r="A81" s="2" t="n">
        <v>2472295</v>
      </c>
      <c r="B81" s="2" t="inlineStr">
        <is>
          <t>62</t>
        </is>
      </c>
      <c r="C81" s="2" t="inlineStr">
        <is>
          <t>M</t>
        </is>
      </c>
      <c r="D81" s="2" t="inlineStr">
        <is>
          <t>100.0</t>
        </is>
      </c>
      <c r="E81" s="4">
        <f>HYPERLINK("./Results/DLO\1071\Osteo_Sarco_1.png","RPT")</f>
        <v/>
      </c>
      <c r="F81" s="2" t="n">
        <v>171</v>
      </c>
      <c r="G81" s="6" t="n">
        <v>15</v>
      </c>
      <c r="I81" s="0" t="n"/>
      <c r="J81" s="0" t="n"/>
      <c r="K81" s="0" t="n"/>
      <c r="L81" t="inlineStr">
        <is>
          <t>SOMATOM Definition...</t>
        </is>
      </c>
      <c r="M81" t="inlineStr">
        <is>
          <t>Pre(cp~pubic ) 3.0 B30f</t>
        </is>
      </c>
    </row>
    <row r="82">
      <c r="A82" s="2" t="n">
        <v>3163507</v>
      </c>
      <c r="B82" s="2" t="inlineStr">
        <is>
          <t>61</t>
        </is>
      </c>
      <c r="C82" s="2" t="inlineStr">
        <is>
          <t>M</t>
        </is>
      </c>
      <c r="D82" s="2" t="inlineStr">
        <is>
          <t>100.0</t>
        </is>
      </c>
      <c r="E82" s="4">
        <f>HYPERLINK("./Results/DLO\1072\Osteo_Sarco_1.png","RPT")</f>
        <v/>
      </c>
      <c r="F82" s="2" t="n">
        <v>139</v>
      </c>
      <c r="G82" s="6" t="n">
        <v>8</v>
      </c>
      <c r="H82" t="n">
        <v>26.93</v>
      </c>
      <c r="L82" t="inlineStr">
        <is>
          <t>SOMATOM Force</t>
        </is>
      </c>
      <c r="M82" t="inlineStr">
        <is>
          <t>LAP 3.0 Br40 2 (76kg/150kg...</t>
        </is>
      </c>
    </row>
    <row r="83">
      <c r="A83" s="2" t="n">
        <v>3662431</v>
      </c>
      <c r="B83" s="2" t="inlineStr">
        <is>
          <t>55</t>
        </is>
      </c>
      <c r="C83" s="2" t="inlineStr">
        <is>
          <t>F</t>
        </is>
      </c>
      <c r="D83" s="2" t="inlineStr">
        <is>
          <t>100.0</t>
        </is>
      </c>
      <c r="E83" s="4">
        <f>HYPERLINK("./Results/DLO\1073\Osteo_Sarco_1.png","RPT")</f>
        <v/>
      </c>
      <c r="F83" s="2" t="n">
        <v>106</v>
      </c>
      <c r="G83" s="6" t="n">
        <v>7</v>
      </c>
      <c r="I83" s="0" t="n"/>
      <c r="J83" s="0" t="n"/>
      <c r="K83" s="0" t="n"/>
      <c r="L83" t="inlineStr">
        <is>
          <t>SOMATOM Force</t>
        </is>
      </c>
      <c r="M83" t="inlineStr">
        <is>
          <t>Pre 3.0 Br40 1</t>
        </is>
      </c>
    </row>
    <row r="84">
      <c r="A84" s="2" t="n">
        <v>1647864</v>
      </c>
      <c r="B84" s="2" t="inlineStr">
        <is>
          <t>67</t>
        </is>
      </c>
      <c r="C84" s="2" t="inlineStr">
        <is>
          <t>M</t>
        </is>
      </c>
      <c r="D84" s="2" t="inlineStr">
        <is>
          <t>100.0</t>
        </is>
      </c>
      <c r="E84" s="4">
        <f>HYPERLINK("./Results/DLO\1074\Osteo_Sarco_1.png","RPT")</f>
        <v/>
      </c>
      <c r="F84" s="2" t="n">
        <v>150</v>
      </c>
      <c r="G84" s="6" t="n">
        <v>10</v>
      </c>
      <c r="I84" s="0" t="n"/>
      <c r="J84" s="0" t="n"/>
      <c r="K84" s="0" t="n"/>
      <c r="L84" t="inlineStr">
        <is>
          <t>SOMATOM Definition...</t>
        </is>
      </c>
      <c r="M84" t="inlineStr">
        <is>
          <t>Pre 3mm</t>
        </is>
      </c>
    </row>
    <row r="85">
      <c r="A85" s="2" t="n">
        <v>4382915</v>
      </c>
      <c r="B85" s="2" t="inlineStr">
        <is>
          <t>69</t>
        </is>
      </c>
      <c r="C85" s="2" t="inlineStr">
        <is>
          <t>F</t>
        </is>
      </c>
      <c r="D85" s="2" t="inlineStr">
        <is>
          <t>100.0</t>
        </is>
      </c>
      <c r="E85" s="4">
        <f>HYPERLINK("./Results/DLO\1075\Osteo_Sarco_1.png","RPT")</f>
        <v/>
      </c>
      <c r="F85" s="2" t="n">
        <v>114</v>
      </c>
      <c r="G85" s="6" t="n">
        <v>11</v>
      </c>
      <c r="I85" s="0" t="n"/>
      <c r="J85" s="0" t="n"/>
      <c r="K85" s="0" t="n"/>
      <c r="L85" t="inlineStr">
        <is>
          <t>Revolution EVO</t>
        </is>
      </c>
      <c r="M85" t="inlineStr">
        <is>
          <t>PRE</t>
        </is>
      </c>
    </row>
    <row r="86">
      <c r="A86" s="2" t="n">
        <v>4356673</v>
      </c>
      <c r="B86" s="2" t="inlineStr">
        <is>
          <t>56</t>
        </is>
      </c>
      <c r="C86" s="2" t="inlineStr">
        <is>
          <t>F</t>
        </is>
      </c>
      <c r="D86" s="2" t="inlineStr">
        <is>
          <t>100.0</t>
        </is>
      </c>
      <c r="E86" s="4">
        <f>HYPERLINK("./Results/DLO\1076\Osteo_Sarco_1.png","RPT")</f>
        <v/>
      </c>
      <c r="F86" s="2" t="n">
        <v>108</v>
      </c>
      <c r="G86" s="6" t="n">
        <v>7</v>
      </c>
      <c r="I86" s="0" t="n"/>
      <c r="J86" s="0" t="n"/>
      <c r="K86" s="0" t="n"/>
      <c r="L86" t="inlineStr">
        <is>
          <t>Revolution CT</t>
        </is>
      </c>
      <c r="M86" t="inlineStr">
        <is>
          <t>15min delay</t>
        </is>
      </c>
    </row>
    <row r="87">
      <c r="A87" s="2" t="n">
        <v>3657839</v>
      </c>
      <c r="B87" s="2" t="inlineStr">
        <is>
          <t>61</t>
        </is>
      </c>
      <c r="C87" s="2" t="inlineStr">
        <is>
          <t>F</t>
        </is>
      </c>
      <c r="D87" s="2" t="inlineStr">
        <is>
          <t>100.0</t>
        </is>
      </c>
      <c r="E87" s="4">
        <f>HYPERLINK("./Results/DLO\1077\Osteo_Sarco_1.png","RPT")</f>
        <v/>
      </c>
      <c r="F87" s="2" t="n">
        <v>96</v>
      </c>
      <c r="G87" s="6" t="n">
        <v>11</v>
      </c>
      <c r="I87" s="0" t="n"/>
      <c r="J87" s="0" t="n"/>
      <c r="K87" s="0" t="n"/>
      <c r="L87" t="inlineStr">
        <is>
          <t>iCT 256</t>
        </is>
      </c>
      <c r="M87" t="inlineStr">
        <is>
          <t>HVP 3/3mm, iDose (3)</t>
        </is>
      </c>
    </row>
    <row r="88">
      <c r="A88" s="2" t="n">
        <v>3337691</v>
      </c>
      <c r="B88" s="2" t="inlineStr">
        <is>
          <t>62</t>
        </is>
      </c>
      <c r="C88" s="2" t="inlineStr">
        <is>
          <t>M</t>
        </is>
      </c>
      <c r="D88" s="2" t="inlineStr">
        <is>
          <t>100.0</t>
        </is>
      </c>
      <c r="E88" s="4">
        <f>HYPERLINK("./Results/DLO\1078\Osteo_Sarco_1.png","RPT")</f>
        <v/>
      </c>
      <c r="F88" s="2" t="n">
        <v>135</v>
      </c>
      <c r="G88" s="6" t="n">
        <v>6</v>
      </c>
      <c r="I88" s="0" t="n"/>
      <c r="J88" s="0" t="n"/>
      <c r="K88" s="0" t="n"/>
      <c r="L88" t="inlineStr">
        <is>
          <t>Revolution CT</t>
        </is>
      </c>
      <c r="M88" t="inlineStr">
        <is>
          <t>GU Pre 3mm pacs</t>
        </is>
      </c>
    </row>
    <row r="89">
      <c r="A89" s="2" t="n">
        <v>3545173</v>
      </c>
      <c r="B89" s="2" t="inlineStr">
        <is>
          <t>53</t>
        </is>
      </c>
      <c r="C89" s="2" t="inlineStr">
        <is>
          <t>M</t>
        </is>
      </c>
      <c r="D89" s="2" t="inlineStr">
        <is>
          <t>100.0</t>
        </is>
      </c>
      <c r="E89" s="4">
        <f>HYPERLINK("./Results/DLO\1079\Osteo_Sarco_1.png","RPT")</f>
        <v/>
      </c>
      <c r="F89" s="2" t="n">
        <v>182</v>
      </c>
      <c r="G89" s="6" t="n">
        <v>13</v>
      </c>
      <c r="I89" s="0" t="n"/>
      <c r="J89" s="0" t="n"/>
      <c r="K89" s="0" t="n"/>
      <c r="L89" t="inlineStr">
        <is>
          <t>SOMATOM Force</t>
        </is>
      </c>
      <c r="M89" t="inlineStr">
        <is>
          <t>100kVp100mAs 3.0 Br40</t>
        </is>
      </c>
    </row>
    <row r="90">
      <c r="A90" s="2" t="n">
        <v>279918</v>
      </c>
      <c r="B90" s="2" t="inlineStr">
        <is>
          <t>56</t>
        </is>
      </c>
      <c r="C90" s="2" t="inlineStr">
        <is>
          <t>F</t>
        </is>
      </c>
      <c r="D90" s="2" t="inlineStr">
        <is>
          <t>100.0</t>
        </is>
      </c>
      <c r="E90" s="4">
        <f>HYPERLINK("./Results/DLO\108\Osteo_Sarco_1.png","RPT")</f>
        <v/>
      </c>
      <c r="F90" s="2" t="n">
        <v>109</v>
      </c>
      <c r="G90" s="6" t="n">
        <v>23</v>
      </c>
      <c r="H90" t="n">
        <v>23.31</v>
      </c>
      <c r="L90" t="inlineStr">
        <is>
          <t>SOMATOM Definition...</t>
        </is>
      </c>
      <c r="M90" t="inlineStr">
        <is>
          <t>PRE 3mm</t>
        </is>
      </c>
    </row>
    <row r="91">
      <c r="A91" s="2" t="n">
        <v>4929246</v>
      </c>
      <c r="B91" s="2" t="inlineStr">
        <is>
          <t>48</t>
        </is>
      </c>
      <c r="C91" s="2" t="inlineStr">
        <is>
          <t>F</t>
        </is>
      </c>
      <c r="D91" s="2" t="inlineStr">
        <is>
          <t>100.0</t>
        </is>
      </c>
      <c r="E91" s="4">
        <f>HYPERLINK("./Results/DLO\1080\Osteo_Sarco_1.png","RPT")</f>
        <v/>
      </c>
      <c r="F91" s="2" t="n">
        <v>100</v>
      </c>
      <c r="G91" s="6" t="n">
        <v>16</v>
      </c>
      <c r="I91" s="0" t="n"/>
      <c r="J91" s="0" t="n"/>
      <c r="K91" s="0" t="n"/>
      <c r="L91" t="inlineStr">
        <is>
          <t>Sensation 64</t>
        </is>
      </c>
      <c r="M91" t="inlineStr">
        <is>
          <t>CE 3mm 55kg/110cc/3cc/pami</t>
        </is>
      </c>
    </row>
    <row r="92">
      <c r="A92" s="2" t="n">
        <v>4572203</v>
      </c>
      <c r="B92" s="2" t="inlineStr">
        <is>
          <t>52</t>
        </is>
      </c>
      <c r="C92" s="2" t="inlineStr">
        <is>
          <t>F</t>
        </is>
      </c>
      <c r="D92" s="2" t="inlineStr">
        <is>
          <t>120.0</t>
        </is>
      </c>
      <c r="E92" s="4">
        <f>HYPERLINK("./Results/DLO\1081\Osteo_Sarco_1.png","RPT")</f>
        <v/>
      </c>
      <c r="F92" s="2" t="n">
        <v>109</v>
      </c>
      <c r="G92" s="6" t="n">
        <v>8</v>
      </c>
      <c r="I92" s="0" t="n"/>
      <c r="J92" s="0" t="n"/>
      <c r="K92" s="0" t="n"/>
      <c r="L92" t="inlineStr">
        <is>
          <t>LightSpeed VCT</t>
        </is>
      </c>
      <c r="M92" t="inlineStr">
        <is>
          <t>HVP 55sec 3mm</t>
        </is>
      </c>
    </row>
    <row r="93">
      <c r="A93" s="2" t="n">
        <v>2639150</v>
      </c>
      <c r="B93" s="2" t="inlineStr">
        <is>
          <t>14</t>
        </is>
      </c>
      <c r="C93" s="2" t="inlineStr">
        <is>
          <t>F</t>
        </is>
      </c>
      <c r="D93" s="2" t="inlineStr">
        <is>
          <t>80.0</t>
        </is>
      </c>
      <c r="E93" s="4">
        <f>HYPERLINK("./Results/DLO\1082\Osteo_Sarco_1.png","RPT")</f>
        <v/>
      </c>
      <c r="F93" s="2" t="n">
        <v>59</v>
      </c>
      <c r="G93" s="6" t="n">
        <v>6</v>
      </c>
      <c r="I93" s="0" t="n"/>
      <c r="J93" s="0" t="n"/>
      <c r="K93" s="0" t="n"/>
      <c r="L93" t="inlineStr">
        <is>
          <t>iCT 256</t>
        </is>
      </c>
      <c r="M93" t="inlineStr">
        <is>
          <t>HVP 3mm CTDI 1.2, iDose (2)</t>
        </is>
      </c>
    </row>
    <row r="94">
      <c r="A94" s="2" t="n">
        <v>3468435</v>
      </c>
      <c r="B94" s="2" t="inlineStr">
        <is>
          <t>66</t>
        </is>
      </c>
      <c r="C94" s="2" t="inlineStr">
        <is>
          <t>F</t>
        </is>
      </c>
      <c r="D94" s="2" t="inlineStr">
        <is>
          <t>100.0</t>
        </is>
      </c>
      <c r="E94" s="4">
        <f>HYPERLINK("./Results/DLO\1083\Osteo_Sarco_1.png","RPT")</f>
        <v/>
      </c>
      <c r="F94" s="2" t="n">
        <v>97</v>
      </c>
      <c r="G94" s="6" t="n">
        <v>11</v>
      </c>
      <c r="H94" t="n">
        <v>23.19</v>
      </c>
      <c r="L94" t="inlineStr">
        <is>
          <t>SOMATOM Definition...</t>
        </is>
      </c>
      <c r="M94" t="inlineStr">
        <is>
          <t>Pre 3mm</t>
        </is>
      </c>
    </row>
    <row r="95">
      <c r="A95" s="2" t="n">
        <v>4255403</v>
      </c>
      <c r="B95" s="2" t="inlineStr">
        <is>
          <t>64</t>
        </is>
      </c>
      <c r="C95" s="2" t="inlineStr">
        <is>
          <t>F</t>
        </is>
      </c>
      <c r="D95" s="2" t="inlineStr">
        <is>
          <t>100.0</t>
        </is>
      </c>
      <c r="E95" s="4">
        <f>HYPERLINK("./Results/DLO\1084\Osteo_Sarco_1.png","RPT")</f>
        <v/>
      </c>
      <c r="F95" s="2" t="n">
        <v>102</v>
      </c>
      <c r="G95" s="6" t="n">
        <v>11</v>
      </c>
      <c r="I95" s="0" t="n"/>
      <c r="J95" s="0" t="n"/>
      <c r="K95" s="0" t="n"/>
      <c r="L95" t="inlineStr">
        <is>
          <t>SOMATOM Force</t>
        </is>
      </c>
      <c r="M95" t="inlineStr">
        <is>
          <t>Pre 3.0 Br40 1</t>
        </is>
      </c>
    </row>
    <row r="96">
      <c r="A96" s="2" t="n">
        <v>3563157</v>
      </c>
      <c r="B96" s="2" t="inlineStr">
        <is>
          <t>79</t>
        </is>
      </c>
      <c r="C96" s="2" t="inlineStr">
        <is>
          <t>M</t>
        </is>
      </c>
      <c r="D96" s="2" t="inlineStr">
        <is>
          <t>110.0</t>
        </is>
      </c>
      <c r="E96" s="4">
        <f>HYPERLINK("./Results/DLO\1085\Osteo_Sarco_1.png","RPT")</f>
        <v/>
      </c>
      <c r="F96" s="2" t="n">
        <v>143</v>
      </c>
      <c r="G96" s="6" t="n">
        <v>16</v>
      </c>
      <c r="H96" t="n">
        <v>23.88</v>
      </c>
      <c r="L96" t="inlineStr">
        <is>
          <t>SOMATOM Force</t>
        </is>
      </c>
      <c r="M96" t="inlineStr">
        <is>
          <t>Pre 3.0 Br32</t>
        </is>
      </c>
    </row>
    <row r="97">
      <c r="A97" s="2" t="n">
        <v>3466752</v>
      </c>
      <c r="B97" s="2" t="inlineStr">
        <is>
          <t>69</t>
        </is>
      </c>
      <c r="C97" s="2" t="inlineStr">
        <is>
          <t>F</t>
        </is>
      </c>
      <c r="D97" s="2" t="inlineStr">
        <is>
          <t>100.0</t>
        </is>
      </c>
      <c r="E97" s="4">
        <f>HYPERLINK("./Results/DLO\1086\Osteo_Sarco_1.png","RPT")</f>
        <v/>
      </c>
      <c r="F97" s="2" t="n">
        <v>99</v>
      </c>
      <c r="G97" s="6" t="n">
        <v>9</v>
      </c>
      <c r="I97" s="0" t="n"/>
      <c r="J97" s="0" t="n"/>
      <c r="K97" s="0" t="n"/>
      <c r="L97" t="inlineStr">
        <is>
          <t>SOMATOM Definition...</t>
        </is>
      </c>
      <c r="M97" t="inlineStr">
        <is>
          <t>HVP 2 3mm (60kg/ 120cc/ 3c...</t>
        </is>
      </c>
    </row>
    <row r="98">
      <c r="A98" s="2" t="n">
        <v>3196713</v>
      </c>
      <c r="B98" s="2" t="inlineStr">
        <is>
          <t>52</t>
        </is>
      </c>
      <c r="C98" s="2" t="inlineStr">
        <is>
          <t>F</t>
        </is>
      </c>
      <c r="D98" s="2" t="inlineStr">
        <is>
          <t>120.0</t>
        </is>
      </c>
      <c r="E98" s="4">
        <f>HYPERLINK("./Results/DLO\1087\Osteo_Sarco_1.png","RPT")</f>
        <v/>
      </c>
      <c r="F98" s="2" t="n">
        <v>107</v>
      </c>
      <c r="G98" s="6" t="n">
        <v>11</v>
      </c>
      <c r="H98" t="n">
        <v>24.56</v>
      </c>
      <c r="L98" t="inlineStr">
        <is>
          <t>Discovery CT750 HD</t>
        </is>
      </c>
      <c r="M98" t="inlineStr">
        <is>
          <t>HVP 3mm</t>
        </is>
      </c>
    </row>
    <row r="99">
      <c r="A99" s="2" t="n">
        <v>1655737</v>
      </c>
      <c r="B99" s="2" t="inlineStr">
        <is>
          <t>65</t>
        </is>
      </c>
      <c r="C99" s="2" t="inlineStr">
        <is>
          <t>M</t>
        </is>
      </c>
      <c r="D99" s="2" t="inlineStr">
        <is>
          <t>100.0</t>
        </is>
      </c>
      <c r="E99" s="4">
        <f>HYPERLINK("./Results/DLO\1088\Osteo_Sarco_1.png","RPT")</f>
        <v/>
      </c>
      <c r="F99" s="2" t="n">
        <v>119</v>
      </c>
      <c r="G99" s="6" t="n">
        <v>4</v>
      </c>
      <c r="I99" s="0" t="n"/>
      <c r="J99" s="0" t="n"/>
      <c r="K99" s="0" t="n"/>
      <c r="L99" t="inlineStr">
        <is>
          <t>Revolution CT</t>
        </is>
      </c>
      <c r="M99" t="inlineStr">
        <is>
          <t>Pre Axial 3mm</t>
        </is>
      </c>
    </row>
    <row r="100">
      <c r="A100" s="2" t="n">
        <v>4717560</v>
      </c>
      <c r="B100" s="2" t="inlineStr">
        <is>
          <t>62</t>
        </is>
      </c>
      <c r="C100" s="2" t="inlineStr">
        <is>
          <t>F</t>
        </is>
      </c>
      <c r="D100" s="2" t="inlineStr">
        <is>
          <t>100.0</t>
        </is>
      </c>
      <c r="E100" s="4">
        <f>HYPERLINK("./Results/DLO\1089\Osteo_Sarco_1.png","RPT")</f>
        <v/>
      </c>
      <c r="F100" s="2" t="n">
        <v>101</v>
      </c>
      <c r="G100" s="6" t="n">
        <v>9</v>
      </c>
      <c r="I100" s="0" t="n"/>
      <c r="J100" s="0" t="n"/>
      <c r="K100" s="0" t="n"/>
      <c r="L100" t="inlineStr">
        <is>
          <t>SOMATOM Definition...</t>
        </is>
      </c>
      <c r="M100" t="inlineStr">
        <is>
          <t>Pre 3mm</t>
        </is>
      </c>
    </row>
    <row r="101">
      <c r="A101" s="2" t="n">
        <v>416182</v>
      </c>
      <c r="B101" s="2" t="inlineStr">
        <is>
          <t>74</t>
        </is>
      </c>
      <c r="C101" s="2" t="inlineStr">
        <is>
          <t>M</t>
        </is>
      </c>
      <c r="D101" s="2" t="inlineStr">
        <is>
          <t>120.0</t>
        </is>
      </c>
      <c r="E101" s="4">
        <f>HYPERLINK("./Results/DLO\109\Osteo_Sarco_1.png","RPT")</f>
        <v/>
      </c>
      <c r="F101" s="2" t="n">
        <v>127</v>
      </c>
      <c r="G101" s="6" t="n">
        <v>16</v>
      </c>
      <c r="I101" s="0" t="n"/>
      <c r="J101" s="0" t="n"/>
      <c r="K101" s="0" t="n"/>
      <c r="L101" t="inlineStr">
        <is>
          <t>SOMATOM Definition...</t>
        </is>
      </c>
      <c r="M101" t="inlineStr">
        <is>
          <t>Abd+pel PRE 3.0 I30f</t>
        </is>
      </c>
    </row>
    <row r="102">
      <c r="A102" s="2" t="n">
        <v>4310946</v>
      </c>
      <c r="B102" s="2" t="inlineStr">
        <is>
          <t>65</t>
        </is>
      </c>
      <c r="C102" s="2" t="inlineStr">
        <is>
          <t>M</t>
        </is>
      </c>
      <c r="D102" s="2" t="inlineStr">
        <is>
          <t>100.0</t>
        </is>
      </c>
      <c r="E102" s="4">
        <f>HYPERLINK("./Results/DLO\1090\Osteo_Sarco_1.png","RPT")</f>
        <v/>
      </c>
      <c r="F102" s="2" t="n">
        <v>149</v>
      </c>
      <c r="G102" s="6" t="n">
        <v>16</v>
      </c>
      <c r="H102" t="n">
        <v>25.92</v>
      </c>
      <c r="L102" t="inlineStr">
        <is>
          <t>SOMATOM Definition...</t>
        </is>
      </c>
      <c r="M102" t="inlineStr">
        <is>
          <t>PRE 3mm</t>
        </is>
      </c>
    </row>
    <row r="103">
      <c r="A103" s="2" t="n">
        <v>2992923</v>
      </c>
      <c r="B103" s="2" t="inlineStr">
        <is>
          <t>43</t>
        </is>
      </c>
      <c r="C103" s="2" t="inlineStr">
        <is>
          <t>F</t>
        </is>
      </c>
      <c r="D103" s="2" t="inlineStr">
        <is>
          <t>100.0</t>
        </is>
      </c>
      <c r="E103" s="4">
        <f>HYPERLINK("./Results/DLO\1092\Osteo_Sarco_1.png","RPT")</f>
        <v/>
      </c>
      <c r="F103" s="2" t="n">
        <v>112</v>
      </c>
      <c r="G103" s="6" t="n">
        <v>9</v>
      </c>
      <c r="I103" s="0" t="n"/>
      <c r="J103" s="0" t="n"/>
      <c r="K103" s="0" t="n"/>
      <c r="L103" t="inlineStr">
        <is>
          <t>SOMATOM Force</t>
        </is>
      </c>
      <c r="M103" t="inlineStr">
        <is>
          <t>Pre 3.0 Br40 1</t>
        </is>
      </c>
    </row>
    <row r="104">
      <c r="A104" s="2" t="n">
        <v>3284217</v>
      </c>
      <c r="B104" s="2" t="inlineStr">
        <is>
          <t>71</t>
        </is>
      </c>
      <c r="C104" s="2" t="inlineStr">
        <is>
          <t>F</t>
        </is>
      </c>
      <c r="D104" s="2" t="inlineStr">
        <is>
          <t>100.0</t>
        </is>
      </c>
      <c r="E104" s="4">
        <f>HYPERLINK("./Results/DLO\1093\Osteo_Sarco_1.png","RPT")</f>
        <v/>
      </c>
      <c r="F104" s="2" t="n">
        <v>99</v>
      </c>
      <c r="G104" s="6" t="n">
        <v>14</v>
      </c>
      <c r="I104" s="0" t="n"/>
      <c r="J104" s="0" t="n"/>
      <c r="K104" s="0" t="n"/>
      <c r="L104" t="inlineStr">
        <is>
          <t>Revolution CT</t>
        </is>
      </c>
      <c r="M104" t="inlineStr">
        <is>
          <t>Pre 3mm pacs</t>
        </is>
      </c>
    </row>
    <row r="105">
      <c r="A105" s="2" t="n">
        <v>4255410</v>
      </c>
      <c r="B105" s="2" t="inlineStr">
        <is>
          <t>35</t>
        </is>
      </c>
      <c r="C105" s="2" t="inlineStr">
        <is>
          <t>F</t>
        </is>
      </c>
      <c r="D105" s="2" t="inlineStr">
        <is>
          <t>100.0</t>
        </is>
      </c>
      <c r="E105" s="4">
        <f>HYPERLINK("./Results/DLO\1094\Osteo_Sarco_1.png","RPT")</f>
        <v/>
      </c>
      <c r="F105" s="2" t="n">
        <v>103</v>
      </c>
      <c r="G105" s="6" t="n">
        <v>4</v>
      </c>
      <c r="H105" t="n">
        <v>22.55</v>
      </c>
      <c r="L105" t="inlineStr">
        <is>
          <t>Revolution CT</t>
        </is>
      </c>
      <c r="M105" t="inlineStr">
        <is>
          <t>HVP 3mm(62kg/124cc/3cc/omni)</t>
        </is>
      </c>
    </row>
    <row r="106">
      <c r="A106" s="2" t="n">
        <v>2077825</v>
      </c>
      <c r="B106" s="2" t="inlineStr">
        <is>
          <t>62</t>
        </is>
      </c>
      <c r="C106" s="2" t="inlineStr">
        <is>
          <t>M</t>
        </is>
      </c>
      <c r="D106" s="2" t="inlineStr">
        <is>
          <t>100.0</t>
        </is>
      </c>
      <c r="E106" s="4">
        <f>HYPERLINK("./Results/DLO\1095\Osteo_Sarco_1.png","RPT")</f>
        <v/>
      </c>
      <c r="F106" s="2" t="n">
        <v>149</v>
      </c>
      <c r="G106" s="6" t="n">
        <v>10</v>
      </c>
      <c r="I106" s="0" t="n"/>
      <c r="J106" s="0" t="n"/>
      <c r="K106" s="0" t="n"/>
      <c r="L106" t="inlineStr">
        <is>
          <t>LightSpeed VCT</t>
        </is>
      </c>
      <c r="M106" t="inlineStr">
        <is>
          <t>PRE 3mm</t>
        </is>
      </c>
    </row>
    <row r="107">
      <c r="A107" s="2" t="n">
        <v>3863978</v>
      </c>
      <c r="B107" s="2" t="inlineStr">
        <is>
          <t>58</t>
        </is>
      </c>
      <c r="C107" s="2" t="inlineStr">
        <is>
          <t>F</t>
        </is>
      </c>
      <c r="D107" s="2" t="inlineStr">
        <is>
          <t>100.0</t>
        </is>
      </c>
      <c r="E107" s="4">
        <f>HYPERLINK("./Results/DLO\1096\Osteo_Sarco_1.png","RPT")</f>
        <v/>
      </c>
      <c r="F107" s="2" t="n">
        <v>99</v>
      </c>
      <c r="G107" s="6" t="n">
        <v>7</v>
      </c>
      <c r="I107" s="0" t="n"/>
      <c r="J107" s="0" t="n"/>
      <c r="K107" s="0" t="n"/>
      <c r="L107" t="inlineStr">
        <is>
          <t>SOMATOM Definition AS</t>
        </is>
      </c>
      <c r="M107" t="inlineStr">
        <is>
          <t>Delay 5.0 I40f 2</t>
        </is>
      </c>
    </row>
    <row r="108">
      <c r="A108" s="2" t="n">
        <v>2833766</v>
      </c>
      <c r="B108" s="2" t="inlineStr">
        <is>
          <t>75</t>
        </is>
      </c>
      <c r="C108" s="2" t="inlineStr">
        <is>
          <t>F</t>
        </is>
      </c>
      <c r="D108" s="2" t="inlineStr">
        <is>
          <t>100.0</t>
        </is>
      </c>
      <c r="E108" s="4">
        <f>HYPERLINK("./Results/DLO\1098\Osteo_Sarco_1.png","RPT")</f>
        <v/>
      </c>
      <c r="F108" s="2" t="n">
        <v>121</v>
      </c>
      <c r="G108" s="6" t="n">
        <v>16</v>
      </c>
      <c r="I108" s="0" t="n"/>
      <c r="J108" s="0" t="n"/>
      <c r="K108" s="0" t="n"/>
      <c r="L108" t="inlineStr">
        <is>
          <t>Sensation 64</t>
        </is>
      </c>
      <c r="M108" t="inlineStr">
        <is>
          <t>Pre 3/3mm</t>
        </is>
      </c>
    </row>
    <row r="109">
      <c r="A109" s="2" t="n">
        <v>4192476</v>
      </c>
      <c r="B109" s="2" t="inlineStr">
        <is>
          <t>61</t>
        </is>
      </c>
      <c r="C109" s="2" t="inlineStr">
        <is>
          <t>M</t>
        </is>
      </c>
      <c r="D109" s="2" t="inlineStr">
        <is>
          <t>120.0</t>
        </is>
      </c>
      <c r="E109" s="4">
        <f>HYPERLINK("./Results/DLO\1099\Osteo_Sarco_1.png","RPT")</f>
        <v/>
      </c>
      <c r="F109" s="2" t="n">
        <v>140</v>
      </c>
      <c r="G109" s="6" t="n">
        <v>6</v>
      </c>
      <c r="I109" s="0" t="n"/>
      <c r="J109" s="0" t="n"/>
      <c r="K109" s="0" t="n"/>
      <c r="L109" t="inlineStr">
        <is>
          <t>iCT 256</t>
        </is>
      </c>
      <c r="M109" t="inlineStr">
        <is>
          <t>Pre 3/3mm, iDose (3)</t>
        </is>
      </c>
    </row>
    <row r="110">
      <c r="A110" s="2" t="n">
        <v>3125076</v>
      </c>
      <c r="B110" s="2" t="inlineStr">
        <is>
          <t>47</t>
        </is>
      </c>
      <c r="C110" s="2" t="inlineStr">
        <is>
          <t>M</t>
        </is>
      </c>
      <c r="D110" s="2" t="inlineStr">
        <is>
          <t>120.0</t>
        </is>
      </c>
      <c r="E110" s="4">
        <f>HYPERLINK("./Results/DLO\11\Osteo_Sarco_1.png","RPT")</f>
        <v/>
      </c>
      <c r="F110" s="2" t="n">
        <v>200</v>
      </c>
      <c r="G110" s="6" t="n">
        <v>6</v>
      </c>
      <c r="I110" s="0" t="n"/>
      <c r="J110" s="0" t="n"/>
      <c r="K110" s="0" t="n"/>
      <c r="L110" t="inlineStr">
        <is>
          <t>LightSpeed VCT</t>
        </is>
      </c>
      <c r="M110" t="inlineStr">
        <is>
          <t>HVP 3mm</t>
        </is>
      </c>
    </row>
    <row r="111">
      <c r="A111" s="2" t="n">
        <v>4892249</v>
      </c>
      <c r="B111" s="2" t="inlineStr">
        <is>
          <t>42</t>
        </is>
      </c>
      <c r="C111" s="2" t="inlineStr">
        <is>
          <t>M</t>
        </is>
      </c>
      <c r="D111" s="2" t="inlineStr">
        <is>
          <t>100.0</t>
        </is>
      </c>
      <c r="E111" s="4">
        <f>HYPERLINK("./Results/DLO\110\Osteo_Sarco_1.png","RPT")</f>
        <v/>
      </c>
      <c r="F111" s="2" t="n">
        <v>100</v>
      </c>
      <c r="G111" s="6" t="n">
        <v>7</v>
      </c>
      <c r="I111" s="0" t="n"/>
      <c r="J111" s="0" t="n"/>
      <c r="K111" s="0" t="n"/>
      <c r="L111" t="inlineStr">
        <is>
          <t>Revolution CT</t>
        </is>
      </c>
      <c r="M111" t="inlineStr">
        <is>
          <t>Pre Axial 3mm</t>
        </is>
      </c>
    </row>
    <row r="112">
      <c r="A112" s="2" t="n">
        <v>3705345</v>
      </c>
      <c r="B112" s="2" t="inlineStr">
        <is>
          <t>52</t>
        </is>
      </c>
      <c r="C112" s="2" t="inlineStr">
        <is>
          <t>F</t>
        </is>
      </c>
      <c r="D112" s="2" t="inlineStr">
        <is>
          <t>100.0</t>
        </is>
      </c>
      <c r="E112" s="4">
        <f>HYPERLINK("./Results/DLO\1100\Osteo_Sarco_1.png","RPT")</f>
        <v/>
      </c>
      <c r="F112" s="2" t="n">
        <v>108</v>
      </c>
      <c r="G112" s="6" t="n">
        <v>6</v>
      </c>
      <c r="I112" s="0" t="n"/>
      <c r="J112" s="0" t="n"/>
      <c r="K112" s="0" t="n"/>
      <c r="L112" t="inlineStr">
        <is>
          <t>Discovery CT750 HD</t>
        </is>
      </c>
      <c r="M112" t="inlineStr">
        <is>
          <t>CE 2.5mm(ASIR30%)</t>
        </is>
      </c>
    </row>
    <row r="113">
      <c r="A113" s="2" t="n">
        <v>5200445</v>
      </c>
      <c r="B113" s="2" t="inlineStr">
        <is>
          <t>45</t>
        </is>
      </c>
      <c r="C113" s="2" t="inlineStr">
        <is>
          <t>M</t>
        </is>
      </c>
      <c r="D113" s="2" t="inlineStr">
        <is>
          <t>100.0</t>
        </is>
      </c>
      <c r="E113" s="4">
        <f>HYPERLINK("./Results/DLO\1101\Osteo_Sarco_1.png","RPT")</f>
        <v/>
      </c>
      <c r="F113" s="2" t="n">
        <v>160</v>
      </c>
      <c r="G113" s="6" t="n">
        <v>11</v>
      </c>
      <c r="H113" t="n">
        <v>26.64</v>
      </c>
      <c r="L113" t="inlineStr">
        <is>
          <t>Aquilion ONE</t>
        </is>
      </c>
      <c r="M113" t="inlineStr">
        <is>
          <t>Body 3.0 FC18 AIDR 3D</t>
        </is>
      </c>
    </row>
    <row r="114">
      <c r="A114" s="2" t="n">
        <v>4434556</v>
      </c>
      <c r="B114" s="2" t="inlineStr">
        <is>
          <t>47</t>
        </is>
      </c>
      <c r="C114" s="2" t="inlineStr">
        <is>
          <t>M</t>
        </is>
      </c>
      <c r="D114" s="2" t="inlineStr">
        <is>
          <t>100.0</t>
        </is>
      </c>
      <c r="E114" s="4">
        <f>HYPERLINK("./Results/DLO\1102\Osteo_Sarco_1.png","RPT")</f>
        <v/>
      </c>
      <c r="F114" s="2" t="n">
        <v>173</v>
      </c>
      <c r="G114" s="6" t="n">
        <v>12</v>
      </c>
      <c r="I114" s="0" t="n"/>
      <c r="J114" s="0" t="n"/>
      <c r="K114" s="0" t="n"/>
      <c r="L114" t="inlineStr">
        <is>
          <t>SOMATOM Force</t>
        </is>
      </c>
      <c r="M114" t="inlineStr">
        <is>
          <t>HVP 3.0 Br40 2 (96kg/150cc...</t>
        </is>
      </c>
    </row>
    <row r="115">
      <c r="A115" s="2" t="n">
        <v>4934231</v>
      </c>
      <c r="B115" s="2" t="inlineStr">
        <is>
          <t>68</t>
        </is>
      </c>
      <c r="C115" s="2" t="inlineStr">
        <is>
          <t>M</t>
        </is>
      </c>
      <c r="D115" s="2" t="inlineStr">
        <is>
          <t>100.0</t>
        </is>
      </c>
      <c r="E115" s="4">
        <f>HYPERLINK("./Results/DLO\1103\Osteo_Sarco_1.png","RPT")</f>
        <v/>
      </c>
      <c r="F115" s="2" t="n">
        <v>154</v>
      </c>
      <c r="G115" s="6" t="n">
        <v>11</v>
      </c>
      <c r="I115" s="0" t="n"/>
      <c r="J115" s="0" t="n"/>
      <c r="K115" s="0" t="n"/>
      <c r="L115" t="inlineStr">
        <is>
          <t>SOMATOM Definition...</t>
        </is>
      </c>
      <c r="M115" t="inlineStr">
        <is>
          <t>Pre 3mm</t>
        </is>
      </c>
    </row>
    <row r="116">
      <c r="A116" s="2" t="n">
        <v>2085340</v>
      </c>
      <c r="B116" s="2" t="inlineStr">
        <is>
          <t>46</t>
        </is>
      </c>
      <c r="C116" s="2" t="inlineStr">
        <is>
          <t>M</t>
        </is>
      </c>
      <c r="D116" s="2" t="inlineStr">
        <is>
          <t>100.0</t>
        </is>
      </c>
      <c r="E116" s="4">
        <f>HYPERLINK("./Results/DLO\1104\Osteo_Sarco_1.png","RPT")</f>
        <v/>
      </c>
      <c r="F116" s="2" t="n">
        <v>188</v>
      </c>
      <c r="G116" s="6" t="n">
        <v>9</v>
      </c>
      <c r="I116" s="0" t="n"/>
      <c r="J116" s="0" t="n"/>
      <c r="K116" s="0" t="n"/>
      <c r="L116" t="inlineStr">
        <is>
          <t>LightSpeed VCT</t>
        </is>
      </c>
      <c r="M116" t="inlineStr">
        <is>
          <t>PRE (CP angle~Pubic)</t>
        </is>
      </c>
    </row>
    <row r="117">
      <c r="A117" s="2" t="n">
        <v>4867883</v>
      </c>
      <c r="B117" s="2" t="inlineStr">
        <is>
          <t>49</t>
        </is>
      </c>
      <c r="C117" s="2" t="inlineStr">
        <is>
          <t>M</t>
        </is>
      </c>
      <c r="D117" s="2" t="inlineStr">
        <is>
          <t>120.0</t>
        </is>
      </c>
      <c r="E117" s="4">
        <f>HYPERLINK("./Results/DLO\1105\Osteo_Sarco_1.png","RPT")</f>
        <v/>
      </c>
      <c r="F117" s="2" t="n">
        <v>164</v>
      </c>
      <c r="G117" s="6" t="n">
        <v>8</v>
      </c>
      <c r="I117" s="0" t="n"/>
      <c r="J117" s="0" t="n"/>
      <c r="K117" s="0" t="n"/>
      <c r="L117" t="inlineStr">
        <is>
          <t>iCT 256</t>
        </is>
      </c>
      <c r="M117" t="inlineStr">
        <is>
          <t>HVP 3/3mm, iDose (3)</t>
        </is>
      </c>
    </row>
    <row r="118">
      <c r="A118" s="2" t="n">
        <v>2211683</v>
      </c>
      <c r="B118" s="2" t="inlineStr">
        <is>
          <t>78</t>
        </is>
      </c>
      <c r="C118" s="2" t="inlineStr">
        <is>
          <t>F</t>
        </is>
      </c>
      <c r="D118" s="2" t="inlineStr">
        <is>
          <t>100.0</t>
        </is>
      </c>
      <c r="E118" s="4">
        <f>HYPERLINK("./Results/DLO\1106\Osteo_Sarco_1.png","RPT")</f>
        <v/>
      </c>
      <c r="F118" s="2" t="n">
        <v>83</v>
      </c>
      <c r="G118" s="6" t="n">
        <v>20</v>
      </c>
      <c r="H118" t="n">
        <v>21.36</v>
      </c>
      <c r="L118" t="inlineStr">
        <is>
          <t>LightSpeed VCT</t>
        </is>
      </c>
      <c r="M118" t="inlineStr">
        <is>
          <t>PRE 3mm axial</t>
        </is>
      </c>
    </row>
    <row r="119">
      <c r="A119" s="2" t="n">
        <v>3220475</v>
      </c>
      <c r="B119" s="2" t="inlineStr">
        <is>
          <t>48</t>
        </is>
      </c>
      <c r="C119" s="2" t="inlineStr">
        <is>
          <t>F</t>
        </is>
      </c>
      <c r="D119" s="2" t="inlineStr">
        <is>
          <t>100.0</t>
        </is>
      </c>
      <c r="E119" s="4">
        <f>HYPERLINK("./Results/DLO\1107\Osteo_Sarco_1.png","RPT")</f>
        <v/>
      </c>
      <c r="F119" s="2" t="n">
        <v>122</v>
      </c>
      <c r="G119" s="6" t="n">
        <v>8</v>
      </c>
      <c r="I119" s="0" t="n"/>
      <c r="J119" s="0" t="n"/>
      <c r="K119" s="0" t="n"/>
      <c r="L119" t="inlineStr">
        <is>
          <t>SOMATOM Definition...</t>
        </is>
      </c>
      <c r="M119" t="inlineStr">
        <is>
          <t>HVP 2 3mm (56kg/112cc/3cc/hexo)</t>
        </is>
      </c>
    </row>
    <row r="120">
      <c r="A120" s="2" t="n">
        <v>4278400</v>
      </c>
      <c r="B120" s="2" t="inlineStr">
        <is>
          <t>51</t>
        </is>
      </c>
      <c r="C120" s="2" t="inlineStr">
        <is>
          <t>M</t>
        </is>
      </c>
      <c r="D120" s="2" t="inlineStr">
        <is>
          <t>120.0</t>
        </is>
      </c>
      <c r="E120" s="4">
        <f>HYPERLINK("./Results/DLO\1108\Osteo_Sarco_1.png","RPT")</f>
        <v/>
      </c>
      <c r="F120" s="2" t="n">
        <v>186</v>
      </c>
      <c r="G120" s="6" t="n">
        <v>7</v>
      </c>
      <c r="I120" s="0" t="n"/>
      <c r="J120" s="0" t="n"/>
      <c r="K120" s="0" t="n"/>
      <c r="L120" t="inlineStr">
        <is>
          <t>LightSpeed VCT</t>
        </is>
      </c>
      <c r="M120" t="inlineStr">
        <is>
          <t>HVP 55sec 3mm</t>
        </is>
      </c>
    </row>
    <row r="121">
      <c r="A121" s="2" t="n">
        <v>2135467</v>
      </c>
      <c r="B121" s="2" t="inlineStr">
        <is>
          <t>50</t>
        </is>
      </c>
      <c r="C121" s="2" t="inlineStr">
        <is>
          <t>F</t>
        </is>
      </c>
      <c r="D121" s="2" t="inlineStr">
        <is>
          <t>100.0</t>
        </is>
      </c>
      <c r="E121" s="4">
        <f>HYPERLINK("./Results/DLO\1109\Osteo_Sarco_1.png","RPT")</f>
        <v/>
      </c>
      <c r="F121" s="2" t="n">
        <v>101</v>
      </c>
      <c r="G121" s="6" t="n">
        <v>19</v>
      </c>
      <c r="I121" s="0" t="n"/>
      <c r="J121" s="0" t="n"/>
      <c r="K121" s="0" t="n"/>
      <c r="L121" t="inlineStr">
        <is>
          <t>SOMATOM Definition...</t>
        </is>
      </c>
      <c r="M121" t="inlineStr">
        <is>
          <t>Pre 3mm</t>
        </is>
      </c>
    </row>
    <row r="122">
      <c r="A122" s="2" t="n">
        <v>2485358</v>
      </c>
      <c r="B122" s="2" t="inlineStr">
        <is>
          <t>61</t>
        </is>
      </c>
      <c r="C122" s="2" t="inlineStr">
        <is>
          <t>M</t>
        </is>
      </c>
      <c r="D122" s="2" t="inlineStr">
        <is>
          <t>100.0</t>
        </is>
      </c>
      <c r="E122" s="4">
        <f>HYPERLINK("./Results/DLO\111\Osteo_Sarco_1.png","RPT")</f>
        <v/>
      </c>
      <c r="F122" s="2" t="n">
        <v>154</v>
      </c>
      <c r="G122" s="6" t="n">
        <v>7</v>
      </c>
      <c r="H122" t="n">
        <v>25.61</v>
      </c>
      <c r="L122" t="inlineStr">
        <is>
          <t>SOMATOM Force</t>
        </is>
      </c>
      <c r="M122" t="inlineStr">
        <is>
          <t>100kVp100mAs 3.0 Br40</t>
        </is>
      </c>
    </row>
    <row r="123">
      <c r="A123" s="2" t="n">
        <v>1934492</v>
      </c>
      <c r="B123" s="2" t="inlineStr">
        <is>
          <t>74</t>
        </is>
      </c>
      <c r="C123" s="2" t="inlineStr">
        <is>
          <t>M</t>
        </is>
      </c>
      <c r="D123" s="2" t="inlineStr">
        <is>
          <t>100.0</t>
        </is>
      </c>
      <c r="E123" s="4">
        <f>HYPERLINK("./Results/DLO\1110\Osteo_Sarco_1.png","RPT")</f>
        <v/>
      </c>
      <c r="F123" s="2" t="n">
        <v>116</v>
      </c>
      <c r="G123" s="6" t="n">
        <v>3</v>
      </c>
      <c r="I123" s="0" t="n"/>
      <c r="J123" s="0" t="n"/>
      <c r="K123" s="0" t="n"/>
      <c r="L123" t="inlineStr">
        <is>
          <t>SOMATOM Definition...</t>
        </is>
      </c>
      <c r="M123" t="inlineStr">
        <is>
          <t>HVP 2 3mm (68kg/136cc/3.3cc...</t>
        </is>
      </c>
    </row>
    <row r="124">
      <c r="A124" s="2" t="n">
        <v>5976660</v>
      </c>
      <c r="B124" s="2" t="inlineStr">
        <is>
          <t>64</t>
        </is>
      </c>
      <c r="C124" s="2" t="inlineStr">
        <is>
          <t>F</t>
        </is>
      </c>
      <c r="D124" s="2" t="inlineStr">
        <is>
          <t>100.0</t>
        </is>
      </c>
      <c r="E124" s="4">
        <f>HYPERLINK("./Results/DLO\1111\Osteo_Sarco_1.png","RPT")</f>
        <v/>
      </c>
      <c r="F124" s="2" t="n">
        <v>109</v>
      </c>
      <c r="G124" s="6" t="n">
        <v>12</v>
      </c>
      <c r="I124" s="0" t="n"/>
      <c r="J124" s="0" t="n"/>
      <c r="K124" s="0" t="n"/>
      <c r="L124" t="inlineStr">
        <is>
          <t>LightSpeed VCT</t>
        </is>
      </c>
      <c r="M124" t="inlineStr">
        <is>
          <t>PRE 3mm</t>
        </is>
      </c>
    </row>
    <row r="125">
      <c r="A125" s="2" t="n">
        <v>1975131</v>
      </c>
      <c r="B125" s="2" t="inlineStr">
        <is>
          <t>36</t>
        </is>
      </c>
      <c r="C125" s="2" t="inlineStr">
        <is>
          <t>F</t>
        </is>
      </c>
      <c r="D125" s="2" t="inlineStr">
        <is>
          <t>100.0</t>
        </is>
      </c>
      <c r="E125" s="4">
        <f>HYPERLINK("./Results/DLO\1112\Osteo_Sarco_1.png","RPT")</f>
        <v/>
      </c>
      <c r="F125" s="2" t="n">
        <v>126</v>
      </c>
      <c r="G125" s="6" t="n">
        <v>7</v>
      </c>
      <c r="I125" s="0" t="n"/>
      <c r="J125" s="0" t="n"/>
      <c r="K125" s="0" t="n"/>
      <c r="L125" t="inlineStr">
        <is>
          <t>Revolution CT</t>
        </is>
      </c>
      <c r="M125" t="inlineStr">
        <is>
          <t>Pre Axial 3mm</t>
        </is>
      </c>
    </row>
    <row r="126">
      <c r="A126" s="2" t="n">
        <v>2664782</v>
      </c>
      <c r="B126" s="2" t="inlineStr">
        <is>
          <t>52</t>
        </is>
      </c>
      <c r="C126" s="2" t="inlineStr">
        <is>
          <t>F</t>
        </is>
      </c>
      <c r="D126" s="2" t="inlineStr">
        <is>
          <t>140.0</t>
        </is>
      </c>
      <c r="E126" s="4">
        <f>HYPERLINK("./Results/DLO\1113\Osteo_Sarco_1.png","RPT")</f>
        <v/>
      </c>
      <c r="F126" s="2" t="n">
        <v>99</v>
      </c>
      <c r="G126" s="6" t="n">
        <v>8</v>
      </c>
      <c r="I126" s="0" t="n"/>
      <c r="J126" s="0" t="n"/>
      <c r="K126" s="0" t="n"/>
      <c r="L126" t="inlineStr">
        <is>
          <t>Revolution CT</t>
        </is>
      </c>
      <c r="M126" t="inlineStr">
        <is>
          <t>POST 2.5mm 64KeV</t>
        </is>
      </c>
    </row>
    <row r="127">
      <c r="A127" s="2" t="n">
        <v>6017145</v>
      </c>
      <c r="B127" s="2" t="inlineStr">
        <is>
          <t>57</t>
        </is>
      </c>
      <c r="C127" s="2" t="inlineStr">
        <is>
          <t>F</t>
        </is>
      </c>
      <c r="D127" s="2" t="inlineStr">
        <is>
          <t>120.0</t>
        </is>
      </c>
      <c r="E127" s="4">
        <f>HYPERLINK("./Results/DLO\1114\Osteo_Sarco_1.png","RPT")</f>
        <v/>
      </c>
      <c r="F127" s="2" t="n">
        <v>94</v>
      </c>
      <c r="G127" s="6" t="n">
        <v>11</v>
      </c>
      <c r="I127" s="0" t="n"/>
      <c r="J127" s="0" t="n"/>
      <c r="K127" s="0" t="n"/>
      <c r="L127" t="inlineStr">
        <is>
          <t>Sensation 64</t>
        </is>
      </c>
      <c r="M127" t="inlineStr">
        <is>
          <t>CE 4.0 B40f</t>
        </is>
      </c>
    </row>
    <row r="128">
      <c r="A128" s="2" t="n">
        <v>3887414</v>
      </c>
      <c r="B128" s="2" t="inlineStr">
        <is>
          <t>69</t>
        </is>
      </c>
      <c r="C128" s="2" t="inlineStr">
        <is>
          <t>M</t>
        </is>
      </c>
      <c r="D128" s="2" t="inlineStr">
        <is>
          <t>110.0</t>
        </is>
      </c>
      <c r="E128" s="4">
        <f>HYPERLINK("./Results/DLO\1115\Osteo_Sarco_1.png","RPT")</f>
        <v/>
      </c>
      <c r="F128" s="2" t="n">
        <v>169</v>
      </c>
      <c r="G128" s="6" t="n">
        <v>23</v>
      </c>
      <c r="I128" s="0" t="n"/>
      <c r="J128" s="0" t="n"/>
      <c r="K128" s="0" t="n"/>
      <c r="L128" t="inlineStr">
        <is>
          <t>SOMATOM Force</t>
        </is>
      </c>
      <c r="M128" t="inlineStr">
        <is>
          <t>Pre 3.0 Br40 2</t>
        </is>
      </c>
    </row>
    <row r="129">
      <c r="A129" s="2" t="n">
        <v>2643286</v>
      </c>
      <c r="B129" s="2" t="inlineStr">
        <is>
          <t>45</t>
        </is>
      </c>
      <c r="C129" s="2" t="inlineStr">
        <is>
          <t>M</t>
        </is>
      </c>
      <c r="D129" s="2" t="inlineStr">
        <is>
          <t>100.0</t>
        </is>
      </c>
      <c r="E129" s="4">
        <f>HYPERLINK("./Results/DLO\1116\Osteo_Sarco_1.png","RPT")</f>
        <v/>
      </c>
      <c r="F129" s="2" t="n">
        <v>198</v>
      </c>
      <c r="G129" s="6" t="n">
        <v>12</v>
      </c>
      <c r="I129" s="0" t="n"/>
      <c r="J129" s="0" t="n"/>
      <c r="K129" s="0" t="n"/>
      <c r="L129" t="inlineStr">
        <is>
          <t>SOMATOM Force</t>
        </is>
      </c>
      <c r="M129" t="inlineStr">
        <is>
          <t>HVP 3.0 Br40 1(98kg/150cc/....</t>
        </is>
      </c>
    </row>
    <row r="130">
      <c r="A130" s="2" t="n">
        <v>4878182</v>
      </c>
      <c r="B130" s="2" t="inlineStr">
        <is>
          <t>53</t>
        </is>
      </c>
      <c r="C130" s="2" t="inlineStr">
        <is>
          <t>F</t>
        </is>
      </c>
      <c r="D130" s="2" t="inlineStr">
        <is>
          <t>100.0</t>
        </is>
      </c>
      <c r="E130" s="4">
        <f>HYPERLINK("./Results/DLO\1117\Osteo_Sarco_1.png","RPT")</f>
        <v/>
      </c>
      <c r="F130" s="2" t="n">
        <v>93</v>
      </c>
      <c r="G130" s="6" t="n">
        <v>5</v>
      </c>
      <c r="I130" s="0" t="n"/>
      <c r="J130" s="0" t="n"/>
      <c r="K130" s="0" t="n"/>
      <c r="L130" t="inlineStr">
        <is>
          <t>SOMATOM Force</t>
        </is>
      </c>
      <c r="M130" t="inlineStr">
        <is>
          <t>HVP 3.0 Br40 2 (96kg/150cc...</t>
        </is>
      </c>
    </row>
    <row r="131">
      <c r="A131" s="2" t="n">
        <v>4889254</v>
      </c>
      <c r="B131" s="2" t="inlineStr">
        <is>
          <t>69</t>
        </is>
      </c>
      <c r="C131" s="2" t="inlineStr">
        <is>
          <t>F</t>
        </is>
      </c>
      <c r="D131" s="2" t="inlineStr">
        <is>
          <t>120.0</t>
        </is>
      </c>
      <c r="E131" s="4">
        <f>HYPERLINK("./Results/DLO\1118\Osteo_Sarco_1.png","RPT")</f>
        <v/>
      </c>
      <c r="F131" s="2" t="n">
        <v>99</v>
      </c>
      <c r="G131" s="6" t="n">
        <v>9</v>
      </c>
      <c r="H131" t="n">
        <v>25.27</v>
      </c>
      <c r="L131" t="inlineStr">
        <is>
          <t>iCT 256</t>
        </is>
      </c>
      <c r="M131" t="inlineStr">
        <is>
          <t>Pre 3/3mm, iDose (3)</t>
        </is>
      </c>
    </row>
    <row r="132">
      <c r="A132" s="2" t="n">
        <v>4061887</v>
      </c>
      <c r="B132" s="2" t="inlineStr">
        <is>
          <t>60</t>
        </is>
      </c>
      <c r="C132" s="2" t="inlineStr">
        <is>
          <t>M</t>
        </is>
      </c>
      <c r="D132" s="2" t="inlineStr">
        <is>
          <t>120.0</t>
        </is>
      </c>
      <c r="E132" s="4">
        <f>HYPERLINK("./Results/DLO\1119\Osteo_Sarco_1.png","RPT")</f>
        <v/>
      </c>
      <c r="F132" s="2" t="n">
        <v>184</v>
      </c>
      <c r="G132" s="6" t="n">
        <v>14</v>
      </c>
      <c r="I132" s="0" t="n"/>
      <c r="J132" s="0" t="n"/>
      <c r="K132" s="0" t="n"/>
      <c r="L132" t="inlineStr">
        <is>
          <t>LightSpeed VCT</t>
        </is>
      </c>
      <c r="M132" t="inlineStr">
        <is>
          <t>HVP 55sec 3mm</t>
        </is>
      </c>
    </row>
    <row r="133">
      <c r="A133" s="2" t="n">
        <v>2654966</v>
      </c>
      <c r="B133" s="2" t="inlineStr">
        <is>
          <t>80</t>
        </is>
      </c>
      <c r="C133" s="2" t="inlineStr">
        <is>
          <t>M</t>
        </is>
      </c>
      <c r="D133" s="2" t="inlineStr">
        <is>
          <t>100.0</t>
        </is>
      </c>
      <c r="E133" s="4">
        <f>HYPERLINK("./Results/DLO\112\Osteo_Sarco_1.png","RPT")</f>
        <v/>
      </c>
      <c r="F133" s="2" t="n">
        <v>136</v>
      </c>
      <c r="G133" s="6" t="n">
        <v>22</v>
      </c>
      <c r="H133" t="n">
        <v>25.64</v>
      </c>
      <c r="L133" t="inlineStr">
        <is>
          <t>Revolution EVO</t>
        </is>
      </c>
      <c r="M133" t="inlineStr">
        <is>
          <t>PRE</t>
        </is>
      </c>
    </row>
    <row r="134">
      <c r="A134" s="2" t="n">
        <v>3575531</v>
      </c>
      <c r="B134" s="2" t="inlineStr">
        <is>
          <t>64</t>
        </is>
      </c>
      <c r="C134" s="2" t="inlineStr">
        <is>
          <t>M</t>
        </is>
      </c>
      <c r="D134" s="2" t="inlineStr">
        <is>
          <t>100.0</t>
        </is>
      </c>
      <c r="E134" s="4">
        <f>HYPERLINK("./Results/DLO\1120\Osteo_Sarco_1.png","RPT")</f>
        <v/>
      </c>
      <c r="F134" s="2" t="n">
        <v>155</v>
      </c>
      <c r="G134" s="6" t="n">
        <v>13</v>
      </c>
      <c r="I134" s="0" t="n"/>
      <c r="J134" s="0" t="n"/>
      <c r="K134" s="0" t="n"/>
      <c r="L134" t="inlineStr">
        <is>
          <t>LightSpeed VCT</t>
        </is>
      </c>
      <c r="M134" t="inlineStr">
        <is>
          <t>PRE 3mm</t>
        </is>
      </c>
    </row>
    <row r="135">
      <c r="A135" s="2" t="n">
        <v>6148990</v>
      </c>
      <c r="B135" s="2" t="inlineStr">
        <is>
          <t>64</t>
        </is>
      </c>
      <c r="C135" s="2" t="inlineStr">
        <is>
          <t>F</t>
        </is>
      </c>
      <c r="D135" s="2" t="inlineStr">
        <is>
          <t>120.0</t>
        </is>
      </c>
      <c r="E135" s="4">
        <f>HYPERLINK("./Results/DLO\1121\Osteo_Sarco_1.png","RPT")</f>
        <v/>
      </c>
      <c r="F135" s="2" t="n">
        <v>116</v>
      </c>
      <c r="G135" s="6" t="n">
        <v>6</v>
      </c>
      <c r="H135" t="n">
        <v>22.94</v>
      </c>
      <c r="L135" t="inlineStr">
        <is>
          <t>Brilliance 40</t>
        </is>
      </c>
      <c r="M135" t="inlineStr">
        <is>
          <t>pre contrast</t>
        </is>
      </c>
    </row>
    <row r="136">
      <c r="A136" s="2" t="n">
        <v>4664689</v>
      </c>
      <c r="B136" s="2" t="inlineStr">
        <is>
          <t>58</t>
        </is>
      </c>
      <c r="C136" s="2" t="inlineStr">
        <is>
          <t>M</t>
        </is>
      </c>
      <c r="D136" s="2" t="inlineStr">
        <is>
          <t>120.0</t>
        </is>
      </c>
      <c r="E136" s="4">
        <f>HYPERLINK("./Results/DLO\1122\Osteo_Sarco_1.png","RPT")</f>
        <v/>
      </c>
      <c r="F136" s="2" t="n">
        <v>186</v>
      </c>
      <c r="G136" s="6" t="n">
        <v>9</v>
      </c>
      <c r="I136" s="0" t="n"/>
      <c r="J136" s="0" t="n"/>
      <c r="K136" s="0" t="n"/>
      <c r="L136" t="inlineStr">
        <is>
          <t>SOMATOM Definition...</t>
        </is>
      </c>
      <c r="M136" t="inlineStr">
        <is>
          <t>PRE 3mm (120Kvp 60mAs)</t>
        </is>
      </c>
    </row>
    <row r="137">
      <c r="A137" s="2" t="n">
        <v>4976728</v>
      </c>
      <c r="B137" s="2" t="inlineStr">
        <is>
          <t>62</t>
        </is>
      </c>
      <c r="C137" s="2" t="inlineStr">
        <is>
          <t>M</t>
        </is>
      </c>
      <c r="D137" s="2" t="inlineStr">
        <is>
          <t>120.0</t>
        </is>
      </c>
      <c r="E137" s="4">
        <f>HYPERLINK("./Results/DLO\1123\Osteo_Sarco_1.png","RPT")</f>
        <v/>
      </c>
      <c r="F137" s="2" t="n">
        <v>186</v>
      </c>
      <c r="G137" s="6" t="n">
        <v>6</v>
      </c>
      <c r="I137" s="0" t="n"/>
      <c r="J137" s="0" t="n"/>
      <c r="K137" s="0" t="n"/>
      <c r="L137" t="inlineStr">
        <is>
          <t>Brilliance 64</t>
        </is>
      </c>
      <c r="M137" t="inlineStr">
        <is>
          <t>PRE</t>
        </is>
      </c>
    </row>
    <row r="138">
      <c r="A138" s="2" t="n">
        <v>4460731</v>
      </c>
      <c r="B138" s="2" t="inlineStr">
        <is>
          <t>64</t>
        </is>
      </c>
      <c r="C138" s="2" t="inlineStr">
        <is>
          <t>F</t>
        </is>
      </c>
      <c r="D138" s="2" t="inlineStr">
        <is>
          <t>120.0</t>
        </is>
      </c>
      <c r="E138" s="4">
        <f>HYPERLINK("./Results/DLO\1124\Osteo_Sarco_1.png","RPT")</f>
        <v/>
      </c>
      <c r="F138" s="2" t="n">
        <v>100</v>
      </c>
      <c r="G138" s="6" t="n">
        <v>14</v>
      </c>
      <c r="H138" t="n">
        <v>27.63</v>
      </c>
      <c r="L138" t="inlineStr">
        <is>
          <t>Aquilion</t>
        </is>
      </c>
      <c r="M138" t="inlineStr">
        <is>
          <t>Chest Pre Body 5.0</t>
        </is>
      </c>
    </row>
    <row r="139">
      <c r="A139" s="2" t="n">
        <v>1702350</v>
      </c>
      <c r="B139" s="2" t="inlineStr">
        <is>
          <t>35</t>
        </is>
      </c>
      <c r="C139" s="2" t="inlineStr">
        <is>
          <t>F</t>
        </is>
      </c>
      <c r="D139" s="2" t="inlineStr">
        <is>
          <t>100.0</t>
        </is>
      </c>
      <c r="E139" s="4">
        <f>HYPERLINK("./Results/DLO\1125\Osteo_Sarco_1.png","RPT")</f>
        <v/>
      </c>
      <c r="F139" s="2" t="n">
        <v>107</v>
      </c>
      <c r="G139" s="6" t="n">
        <v>5</v>
      </c>
      <c r="I139" s="0" t="n"/>
      <c r="J139" s="0" t="n"/>
      <c r="K139" s="0" t="n"/>
      <c r="L139" t="inlineStr">
        <is>
          <t>Revolution CT</t>
        </is>
      </c>
      <c r="M139" t="inlineStr">
        <is>
          <t>LAP 3mm(55kg/110cc/3.0cc/bono)</t>
        </is>
      </c>
    </row>
    <row r="140">
      <c r="A140" s="2" t="n">
        <v>3953617</v>
      </c>
      <c r="B140" s="2" t="inlineStr">
        <is>
          <t>48</t>
        </is>
      </c>
      <c r="C140" s="2" t="inlineStr">
        <is>
          <t>M</t>
        </is>
      </c>
      <c r="D140" s="2" t="inlineStr">
        <is>
          <t>100.0</t>
        </is>
      </c>
      <c r="E140" s="4">
        <f>HYPERLINK("./Results/DLO\1126\Osteo_Sarco_1.png","RPT")</f>
        <v/>
      </c>
      <c r="F140" s="2" t="n">
        <v>139</v>
      </c>
      <c r="G140" s="6" t="n">
        <v>8</v>
      </c>
      <c r="I140" s="0" t="n"/>
      <c r="J140" s="0" t="n"/>
      <c r="K140" s="0" t="n"/>
      <c r="L140" t="inlineStr">
        <is>
          <t>Revolution CT</t>
        </is>
      </c>
      <c r="M140" t="inlineStr">
        <is>
          <t>Pre 3mm</t>
        </is>
      </c>
    </row>
    <row r="141">
      <c r="A141" s="2" t="n">
        <v>2110501</v>
      </c>
      <c r="B141" s="2" t="inlineStr">
        <is>
          <t>58</t>
        </is>
      </c>
      <c r="C141" s="2" t="inlineStr">
        <is>
          <t>F</t>
        </is>
      </c>
      <c r="D141" s="2" t="inlineStr">
        <is>
          <t>100.0</t>
        </is>
      </c>
      <c r="E141" s="4">
        <f>HYPERLINK("./Results/DLO\1127\Osteo_Sarco_1.png","RPT")</f>
        <v/>
      </c>
      <c r="F141" s="2" t="n">
        <v>113</v>
      </c>
      <c r="G141" s="6" t="n">
        <v>11</v>
      </c>
      <c r="I141" s="0" t="n"/>
      <c r="J141" s="0" t="n"/>
      <c r="K141" s="0" t="n"/>
      <c r="L141" t="inlineStr">
        <is>
          <t>SOMATOM Force</t>
        </is>
      </c>
      <c r="M141" t="inlineStr">
        <is>
          <t>Pre 3.0 Br40 2</t>
        </is>
      </c>
    </row>
    <row r="142">
      <c r="A142" s="2" t="n">
        <v>4559071</v>
      </c>
      <c r="B142" s="2" t="inlineStr">
        <is>
          <t>56</t>
        </is>
      </c>
      <c r="C142" s="2" t="inlineStr">
        <is>
          <t>F</t>
        </is>
      </c>
      <c r="D142" s="2" t="inlineStr">
        <is>
          <t>100.0</t>
        </is>
      </c>
      <c r="E142" s="4">
        <f>HYPERLINK("./Results/DLO\1128\Osteo_Sarco_1.png","RPT")</f>
        <v/>
      </c>
      <c r="F142" s="2" t="n">
        <v>100</v>
      </c>
      <c r="G142" s="6" t="n">
        <v>14</v>
      </c>
      <c r="I142" s="0" t="n"/>
      <c r="J142" s="0" t="n"/>
      <c r="K142" s="0" t="n"/>
      <c r="L142" t="inlineStr">
        <is>
          <t>Revolution EVO</t>
        </is>
      </c>
      <c r="M142" t="inlineStr">
        <is>
          <t>Pre(CP~Pelvic)</t>
        </is>
      </c>
    </row>
    <row r="143">
      <c r="A143" s="2" t="n">
        <v>3811164</v>
      </c>
      <c r="B143" s="2" t="inlineStr">
        <is>
          <t>60</t>
        </is>
      </c>
      <c r="C143" s="2" t="inlineStr">
        <is>
          <t>M</t>
        </is>
      </c>
      <c r="D143" s="2" t="inlineStr">
        <is>
          <t>100.0</t>
        </is>
      </c>
      <c r="E143" s="4">
        <f>HYPERLINK("./Results/DLO\1129\Osteo_Sarco_1.png","RPT")</f>
        <v/>
      </c>
      <c r="F143" s="2" t="n">
        <v>189</v>
      </c>
      <c r="G143" s="6" t="n">
        <v>11</v>
      </c>
      <c r="I143" s="0" t="n"/>
      <c r="J143" s="0" t="n"/>
      <c r="K143" s="0" t="n"/>
      <c r="L143" t="inlineStr">
        <is>
          <t>SOMATOM Definition...</t>
        </is>
      </c>
      <c r="M143" t="inlineStr">
        <is>
          <t>HVP 2 3mm(71Kg/140ml/3ml/ra...</t>
        </is>
      </c>
    </row>
    <row r="144">
      <c r="A144" s="2" t="n">
        <v>4523988</v>
      </c>
      <c r="B144" s="2" t="inlineStr">
        <is>
          <t>72</t>
        </is>
      </c>
      <c r="C144" s="2" t="inlineStr">
        <is>
          <t>F</t>
        </is>
      </c>
      <c r="D144" s="2" t="inlineStr">
        <is>
          <t>100.0</t>
        </is>
      </c>
      <c r="E144" s="4">
        <f>HYPERLINK("./Results/DLO\113\Osteo_Sarco_1.png","RPT")</f>
        <v/>
      </c>
      <c r="F144" s="2" t="n">
        <v>115</v>
      </c>
      <c r="G144" s="6" t="n">
        <v>16</v>
      </c>
      <c r="H144" t="n">
        <v>21.89</v>
      </c>
      <c r="L144" t="inlineStr">
        <is>
          <t>LightSpeed VCT</t>
        </is>
      </c>
      <c r="M144" t="inlineStr">
        <is>
          <t>PRE (CP angle~Pubic)</t>
        </is>
      </c>
    </row>
    <row r="145">
      <c r="A145" s="2" t="n">
        <v>2790029</v>
      </c>
      <c r="B145" s="2" t="inlineStr">
        <is>
          <t>57</t>
        </is>
      </c>
      <c r="C145" s="2" t="inlineStr">
        <is>
          <t>M</t>
        </is>
      </c>
      <c r="D145" s="2" t="inlineStr">
        <is>
          <t>120.0</t>
        </is>
      </c>
      <c r="E145" s="4">
        <f>HYPERLINK("./Results/DLO\1130\Osteo_Sarco_1.png","RPT")</f>
        <v/>
      </c>
      <c r="F145" s="2" t="n">
        <v>134</v>
      </c>
      <c r="G145" s="6" t="n">
        <v>4</v>
      </c>
      <c r="I145" s="0" t="n"/>
      <c r="J145" s="0" t="n"/>
      <c r="K145" s="0" t="n"/>
      <c r="L145" t="inlineStr">
        <is>
          <t>LightSpeed VCT</t>
        </is>
      </c>
      <c r="M145" t="inlineStr">
        <is>
          <t>HVP 55sec 3mm</t>
        </is>
      </c>
    </row>
    <row r="146">
      <c r="A146" s="2" t="n">
        <v>3835596</v>
      </c>
      <c r="B146" s="2" t="inlineStr">
        <is>
          <t>55</t>
        </is>
      </c>
      <c r="C146" s="2" t="inlineStr">
        <is>
          <t>M</t>
        </is>
      </c>
      <c r="D146" s="2" t="inlineStr">
        <is>
          <t>100.0</t>
        </is>
      </c>
      <c r="E146" s="4">
        <f>HYPERLINK("./Results/DLO\1131\Osteo_Sarco_1.png","RPT")</f>
        <v/>
      </c>
      <c r="F146" s="2" t="n">
        <v>178</v>
      </c>
      <c r="G146" s="6" t="n">
        <v>17</v>
      </c>
      <c r="I146" s="0" t="n"/>
      <c r="J146" s="0" t="n"/>
      <c r="K146" s="0" t="n"/>
      <c r="L146" t="inlineStr">
        <is>
          <t>SOMATOM Definition...</t>
        </is>
      </c>
      <c r="M146" t="inlineStr">
        <is>
          <t>NP 2 3mm</t>
        </is>
      </c>
    </row>
    <row r="147">
      <c r="A147" s="2" t="n">
        <v>5028481</v>
      </c>
      <c r="B147" s="2" t="inlineStr">
        <is>
          <t>38</t>
        </is>
      </c>
      <c r="C147" s="2" t="inlineStr">
        <is>
          <t>F</t>
        </is>
      </c>
      <c r="D147" s="2" t="inlineStr">
        <is>
          <t>100.0</t>
        </is>
      </c>
      <c r="E147" s="4">
        <f>HYPERLINK("./Results/DLO\1132\Osteo_Sarco_1.png","RPT")</f>
        <v/>
      </c>
      <c r="F147" s="2" t="n">
        <v>99</v>
      </c>
      <c r="G147" s="6" t="n">
        <v>4</v>
      </c>
      <c r="I147" s="0" t="n"/>
      <c r="J147" s="0" t="n"/>
      <c r="K147" s="0" t="n"/>
      <c r="L147" t="inlineStr">
        <is>
          <t>LightSpeed VCT</t>
        </is>
      </c>
      <c r="M147" t="inlineStr">
        <is>
          <t>PRE 3mm</t>
        </is>
      </c>
    </row>
    <row r="148">
      <c r="A148" s="2" t="n">
        <v>8704796</v>
      </c>
      <c r="B148" s="2" t="inlineStr">
        <is>
          <t>69</t>
        </is>
      </c>
      <c r="C148" s="2" t="inlineStr">
        <is>
          <t>F</t>
        </is>
      </c>
      <c r="D148" s="2" t="inlineStr">
        <is>
          <t>90.0</t>
        </is>
      </c>
      <c r="E148" s="4">
        <f>HYPERLINK("./Results/DLO\1133\Osteo_Sarco_1.png","RPT")</f>
        <v/>
      </c>
      <c r="F148" s="2" t="n">
        <v>103</v>
      </c>
      <c r="G148" s="6" t="n">
        <v>11</v>
      </c>
      <c r="I148" s="0" t="n"/>
      <c r="J148" s="0" t="n"/>
      <c r="K148" s="0" t="n"/>
      <c r="L148" t="inlineStr">
        <is>
          <t>SOMATOM Force</t>
        </is>
      </c>
      <c r="M148" t="inlineStr">
        <is>
          <t>#PP DE_Dia~Pel.7M 5.0 Qrd4o...</t>
        </is>
      </c>
    </row>
    <row r="149">
      <c r="A149" s="2" t="n">
        <v>3420411</v>
      </c>
      <c r="B149" s="2" t="inlineStr">
        <is>
          <t>61</t>
        </is>
      </c>
      <c r="C149" s="2" t="inlineStr">
        <is>
          <t>M</t>
        </is>
      </c>
      <c r="D149" s="2" t="inlineStr">
        <is>
          <t>100.0</t>
        </is>
      </c>
      <c r="E149" s="4">
        <f>HYPERLINK("./Results/DLO\1134\Osteo_Sarco_1.png","RPT")</f>
        <v/>
      </c>
      <c r="F149" s="2" t="n">
        <v>78</v>
      </c>
      <c r="G149" s="6" t="n">
        <v>8</v>
      </c>
      <c r="I149" s="0" t="n"/>
      <c r="J149" s="0" t="n"/>
      <c r="K149" s="0" t="n"/>
      <c r="L149" t="inlineStr">
        <is>
          <t>Revolution EVO</t>
        </is>
      </c>
      <c r="M149" t="inlineStr">
        <is>
          <t>PRE</t>
        </is>
      </c>
    </row>
    <row r="150">
      <c r="A150" s="2" t="n">
        <v>1800399</v>
      </c>
      <c r="B150" s="2" t="inlineStr">
        <is>
          <t>74</t>
        </is>
      </c>
      <c r="C150" s="2" t="inlineStr">
        <is>
          <t>M</t>
        </is>
      </c>
      <c r="D150" s="2" t="inlineStr">
        <is>
          <t>100.0</t>
        </is>
      </c>
      <c r="E150" s="4">
        <f>HYPERLINK("./Results/DLO\1135\Osteo_Sarco_1.png","RPT")</f>
        <v/>
      </c>
      <c r="F150" s="2" t="n">
        <v>159</v>
      </c>
      <c r="G150" s="6" t="n">
        <v>13</v>
      </c>
      <c r="I150" s="0" t="n"/>
      <c r="J150" s="0" t="n"/>
      <c r="K150" s="0" t="n"/>
      <c r="L150" t="inlineStr">
        <is>
          <t>Revolution CT</t>
        </is>
      </c>
      <c r="M150" t="inlineStr">
        <is>
          <t>Pre Axial 3mm</t>
        </is>
      </c>
    </row>
    <row r="151">
      <c r="A151" s="2" t="n">
        <v>4031278</v>
      </c>
      <c r="B151" s="2" t="inlineStr">
        <is>
          <t>65</t>
        </is>
      </c>
      <c r="C151" s="2" t="inlineStr">
        <is>
          <t>F</t>
        </is>
      </c>
      <c r="D151" s="2" t="inlineStr">
        <is>
          <t>100.0</t>
        </is>
      </c>
      <c r="E151" s="4">
        <f>HYPERLINK("./Results/DLO\1136\Osteo_Sarco_1.png","RPT")</f>
        <v/>
      </c>
      <c r="F151" s="2" t="n">
        <v>95</v>
      </c>
      <c r="G151" s="6" t="n">
        <v>5</v>
      </c>
      <c r="H151" t="n">
        <v>22.56</v>
      </c>
      <c r="L151" t="inlineStr">
        <is>
          <t>SOMATOM Definition...</t>
        </is>
      </c>
      <c r="M151" t="inlineStr">
        <is>
          <t>Pre 3mm</t>
        </is>
      </c>
    </row>
    <row r="152">
      <c r="A152" s="2" t="n">
        <v>8530821</v>
      </c>
      <c r="B152" s="2" t="inlineStr">
        <is>
          <t>62</t>
        </is>
      </c>
      <c r="C152" s="2" t="inlineStr">
        <is>
          <t>F</t>
        </is>
      </c>
      <c r="D152" s="2" t="inlineStr">
        <is>
          <t>100.0</t>
        </is>
      </c>
      <c r="E152" s="4">
        <f>HYPERLINK("./Results/DLO\1137\Osteo_Sarco_1.png","RPT")</f>
        <v/>
      </c>
      <c r="F152" s="2" t="n">
        <v>100</v>
      </c>
      <c r="G152" s="6" t="n">
        <v>10</v>
      </c>
      <c r="H152" t="n">
        <v>21.02</v>
      </c>
      <c r="L152" t="inlineStr">
        <is>
          <t>SOMATOM Force</t>
        </is>
      </c>
      <c r="M152" t="inlineStr">
        <is>
          <t>Pre 3.0 Br32 1</t>
        </is>
      </c>
    </row>
    <row r="153">
      <c r="A153" s="2" t="n">
        <v>2909991</v>
      </c>
      <c r="B153" s="2" t="inlineStr">
        <is>
          <t>73</t>
        </is>
      </c>
      <c r="C153" s="2" t="inlineStr">
        <is>
          <t>M</t>
        </is>
      </c>
      <c r="D153" s="2" t="inlineStr">
        <is>
          <t>100.0</t>
        </is>
      </c>
      <c r="E153" s="4">
        <f>HYPERLINK("./Results/DLO\1138\Osteo_Sarco_1.png","RPT")</f>
        <v/>
      </c>
      <c r="F153" s="2" t="n">
        <v>146</v>
      </c>
      <c r="G153" s="6" t="n">
        <v>16</v>
      </c>
      <c r="H153" t="n">
        <v>24.51</v>
      </c>
      <c r="L153" t="inlineStr">
        <is>
          <t>SOMATOM Definition...</t>
        </is>
      </c>
      <c r="M153" t="inlineStr">
        <is>
          <t>Pre(CP~pubic) 3mm</t>
        </is>
      </c>
    </row>
    <row r="154">
      <c r="A154" s="2" t="n">
        <v>1627504</v>
      </c>
      <c r="B154" s="2" t="inlineStr">
        <is>
          <t>63</t>
        </is>
      </c>
      <c r="C154" s="2" t="inlineStr">
        <is>
          <t>M</t>
        </is>
      </c>
      <c r="D154" s="2" t="inlineStr">
        <is>
          <t>100.0</t>
        </is>
      </c>
      <c r="E154" s="4">
        <f>HYPERLINK("./Results/DLO\1139\Osteo_Sarco_1.png","RPT")</f>
        <v/>
      </c>
      <c r="F154" s="2" t="n">
        <v>156</v>
      </c>
      <c r="G154" s="6" t="n">
        <v>5</v>
      </c>
      <c r="I154" s="0" t="n"/>
      <c r="J154" s="0" t="n"/>
      <c r="K154" s="0" t="n"/>
      <c r="L154" t="inlineStr">
        <is>
          <t>SOMATOM Definition...</t>
        </is>
      </c>
      <c r="M154" t="inlineStr">
        <is>
          <t>HVP 2 3mm(64kg/128cc/3cc/xene)</t>
        </is>
      </c>
    </row>
    <row r="155">
      <c r="A155" s="2" t="n">
        <v>298673</v>
      </c>
      <c r="B155" s="2" t="inlineStr">
        <is>
          <t>81</t>
        </is>
      </c>
      <c r="C155" s="2" t="inlineStr">
        <is>
          <t>M</t>
        </is>
      </c>
      <c r="D155" s="2" t="inlineStr">
        <is>
          <t>100.0</t>
        </is>
      </c>
      <c r="E155" s="4">
        <f>HYPERLINK("./Results/DLO\114\Osteo_Sarco_1.png","RPT")</f>
        <v/>
      </c>
      <c r="F155" s="2" t="n">
        <v>135</v>
      </c>
      <c r="G155" s="6" t="n">
        <v>12</v>
      </c>
      <c r="H155" t="n">
        <v>26.03</v>
      </c>
      <c r="L155" t="inlineStr">
        <is>
          <t>Revolution CT</t>
        </is>
      </c>
      <c r="M155" t="inlineStr">
        <is>
          <t>PRE 3mm</t>
        </is>
      </c>
    </row>
    <row r="156">
      <c r="A156" s="2" t="n">
        <v>2125116</v>
      </c>
      <c r="B156" s="2" t="inlineStr">
        <is>
          <t>65</t>
        </is>
      </c>
      <c r="C156" s="2" t="inlineStr">
        <is>
          <t>M</t>
        </is>
      </c>
      <c r="D156" s="2" t="inlineStr">
        <is>
          <t>100.0</t>
        </is>
      </c>
      <c r="E156" s="4">
        <f>HYPERLINK("./Results/DLO\1141\Osteo_Sarco_1.png","RPT")</f>
        <v/>
      </c>
      <c r="F156" s="2" t="n">
        <v>172</v>
      </c>
      <c r="G156" s="6" t="n">
        <v>9</v>
      </c>
      <c r="I156" s="0" t="n"/>
      <c r="J156" s="0" t="n"/>
      <c r="K156" s="0" t="n"/>
      <c r="L156" t="inlineStr">
        <is>
          <t>SOMATOM Definition...</t>
        </is>
      </c>
      <c r="M156" t="inlineStr">
        <is>
          <t>HVP 2 3mm(68Kg/136ml/3ml/xe...</t>
        </is>
      </c>
    </row>
    <row r="157">
      <c r="A157" s="2" t="n">
        <v>8913235</v>
      </c>
      <c r="B157" s="2" t="inlineStr">
        <is>
          <t>47</t>
        </is>
      </c>
      <c r="C157" s="2" t="inlineStr">
        <is>
          <t>F</t>
        </is>
      </c>
      <c r="D157" s="2" t="inlineStr">
        <is>
          <t>100.0</t>
        </is>
      </c>
      <c r="E157" s="4">
        <f>HYPERLINK("./Results/DLO\1142\Osteo_Sarco_1.png","RPT")</f>
        <v/>
      </c>
      <c r="F157" s="2" t="n">
        <v>92</v>
      </c>
      <c r="G157" s="6" t="n">
        <v>9</v>
      </c>
      <c r="I157" s="0" t="n"/>
      <c r="J157" s="0" t="n"/>
      <c r="K157" s="0" t="n"/>
      <c r="L157" t="inlineStr">
        <is>
          <t>LightSpeed VCT</t>
        </is>
      </c>
      <c r="M157" t="inlineStr">
        <is>
          <t>PRE 3mm</t>
        </is>
      </c>
    </row>
    <row r="158">
      <c r="A158" s="2" t="n">
        <v>8717066</v>
      </c>
      <c r="B158" s="2" t="inlineStr">
        <is>
          <t>61</t>
        </is>
      </c>
      <c r="C158" s="2" t="inlineStr">
        <is>
          <t>M</t>
        </is>
      </c>
      <c r="D158" s="2" t="inlineStr">
        <is>
          <t>120.0</t>
        </is>
      </c>
      <c r="E158" s="4">
        <f>HYPERLINK("./Results/DLO\1143\Osteo_Sarco_1.png","RPT")</f>
        <v/>
      </c>
      <c r="F158" s="2" t="n">
        <v>167</v>
      </c>
      <c r="G158" s="6" t="n">
        <v>7</v>
      </c>
      <c r="H158" t="n">
        <v>29.62</v>
      </c>
      <c r="L158" t="inlineStr">
        <is>
          <t>Discovery CT750 HD</t>
        </is>
      </c>
      <c r="M158" t="inlineStr">
        <is>
          <t>LAP 3mm</t>
        </is>
      </c>
    </row>
    <row r="159">
      <c r="A159" s="2" t="n">
        <v>2568533</v>
      </c>
      <c r="B159" s="2" t="inlineStr">
        <is>
          <t>40</t>
        </is>
      </c>
      <c r="C159" s="2" t="inlineStr">
        <is>
          <t>M</t>
        </is>
      </c>
      <c r="D159" s="2" t="inlineStr">
        <is>
          <t>120.0</t>
        </is>
      </c>
      <c r="E159" s="4">
        <f>HYPERLINK("./Results/DLO\1144\Osteo_Sarco_1.png","RPT")</f>
        <v/>
      </c>
      <c r="F159" s="2" t="n">
        <v>160</v>
      </c>
      <c r="G159" s="6" t="n">
        <v>6</v>
      </c>
      <c r="I159" s="0" t="n"/>
      <c r="J159" s="0" t="n"/>
      <c r="K159" s="0" t="n"/>
      <c r="L159" t="inlineStr">
        <is>
          <t>iCT 256</t>
        </is>
      </c>
      <c r="M159" t="inlineStr">
        <is>
          <t>HVP 3/3mm, iDose (3)</t>
        </is>
      </c>
    </row>
    <row r="160">
      <c r="A160" s="2" t="n">
        <v>1891885</v>
      </c>
      <c r="B160" s="2" t="inlineStr">
        <is>
          <t>55</t>
        </is>
      </c>
      <c r="C160" s="2" t="inlineStr">
        <is>
          <t>M</t>
        </is>
      </c>
      <c r="D160" s="2" t="inlineStr">
        <is>
          <t>120.0</t>
        </is>
      </c>
      <c r="E160" s="4">
        <f>HYPERLINK("./Results/DLO\1145\Osteo_Sarco_1.png","RPT")</f>
        <v/>
      </c>
      <c r="F160" s="2" t="n">
        <v>203</v>
      </c>
      <c r="G160" s="6" t="n">
        <v>9</v>
      </c>
      <c r="H160" t="n">
        <v>26.73</v>
      </c>
      <c r="L160" t="inlineStr">
        <is>
          <t>LightSpeed VCT</t>
        </is>
      </c>
      <c r="M160" t="inlineStr">
        <is>
          <t>HVP 55sec 3mm</t>
        </is>
      </c>
    </row>
    <row r="161">
      <c r="A161" s="2" t="n">
        <v>3184131</v>
      </c>
      <c r="B161" s="2" t="inlineStr">
        <is>
          <t>30</t>
        </is>
      </c>
      <c r="C161" s="2" t="inlineStr">
        <is>
          <t>M</t>
        </is>
      </c>
      <c r="D161" s="2" t="inlineStr">
        <is>
          <t>100.0</t>
        </is>
      </c>
      <c r="E161" s="4">
        <f>HYPERLINK("./Results/DLO\1146\Osteo_Sarco_1.png","RPT")</f>
        <v/>
      </c>
      <c r="F161" s="2" t="n">
        <v>174</v>
      </c>
      <c r="G161" s="6" t="n">
        <v>4</v>
      </c>
      <c r="I161" s="0" t="n"/>
      <c r="J161" s="0" t="n"/>
      <c r="K161" s="0" t="n"/>
      <c r="L161" t="inlineStr">
        <is>
          <t>LightSpeed VCT</t>
        </is>
      </c>
      <c r="M161" t="inlineStr">
        <is>
          <t>PRE 3mm</t>
        </is>
      </c>
    </row>
    <row r="162">
      <c r="A162" s="2" t="n">
        <v>2295106</v>
      </c>
      <c r="B162" s="2" t="inlineStr">
        <is>
          <t>66</t>
        </is>
      </c>
      <c r="C162" s="2" t="inlineStr">
        <is>
          <t>F</t>
        </is>
      </c>
      <c r="D162" s="2" t="inlineStr">
        <is>
          <t>100.0</t>
        </is>
      </c>
      <c r="E162" s="4">
        <f>HYPERLINK("./Results/DLO\1147\Osteo_Sarco_1.png","RPT")</f>
        <v/>
      </c>
      <c r="F162" s="2" t="n">
        <v>113</v>
      </c>
      <c r="G162" s="6" t="n">
        <v>14</v>
      </c>
      <c r="H162" t="n">
        <v>27.85</v>
      </c>
      <c r="L162" t="inlineStr">
        <is>
          <t>Revolution EVO</t>
        </is>
      </c>
      <c r="M162" t="inlineStr">
        <is>
          <t>PRE</t>
        </is>
      </c>
    </row>
    <row r="163">
      <c r="A163" s="2" t="n">
        <v>2846816</v>
      </c>
      <c r="B163" s="2" t="inlineStr">
        <is>
          <t>58</t>
        </is>
      </c>
      <c r="C163" s="2" t="inlineStr">
        <is>
          <t>F</t>
        </is>
      </c>
      <c r="D163" s="2" t="inlineStr">
        <is>
          <t>120.0</t>
        </is>
      </c>
      <c r="E163" s="4">
        <f>HYPERLINK("./Results/DLO\1148\Osteo_Sarco_1.png","RPT")</f>
        <v/>
      </c>
      <c r="F163" s="2" t="n">
        <v>121</v>
      </c>
      <c r="G163" s="6" t="n">
        <v>18</v>
      </c>
      <c r="I163" s="0" t="n"/>
      <c r="J163" s="0" t="n"/>
      <c r="K163" s="0" t="n"/>
      <c r="L163" t="inlineStr">
        <is>
          <t>Aquilion/LB</t>
        </is>
      </c>
      <c r="M163" t="inlineStr">
        <is>
          <t>Full bladder Body 3.0</t>
        </is>
      </c>
    </row>
    <row r="164">
      <c r="A164" s="2" t="n">
        <v>4949624</v>
      </c>
      <c r="B164" s="2" t="inlineStr">
        <is>
          <t>64</t>
        </is>
      </c>
      <c r="C164" s="2" t="inlineStr">
        <is>
          <t>M</t>
        </is>
      </c>
      <c r="D164" s="2" t="inlineStr">
        <is>
          <t>120.0</t>
        </is>
      </c>
      <c r="E164" s="4">
        <f>HYPERLINK("./Results/DLO\115\Osteo_Sarco_1.png","RPT")</f>
        <v/>
      </c>
      <c r="F164" s="2" t="n">
        <v>109</v>
      </c>
      <c r="G164" s="6" t="n">
        <v>9</v>
      </c>
      <c r="I164" s="0" t="n"/>
      <c r="J164" s="0" t="n"/>
      <c r="K164" s="0" t="n"/>
      <c r="L164" t="inlineStr">
        <is>
          <t>LightSpeed VCT</t>
        </is>
      </c>
      <c r="M164" t="inlineStr">
        <is>
          <t>HVP 55sec 3mm</t>
        </is>
      </c>
    </row>
    <row r="165">
      <c r="A165" s="2" t="n">
        <v>4346242</v>
      </c>
      <c r="B165" s="2" t="inlineStr">
        <is>
          <t>70</t>
        </is>
      </c>
      <c r="C165" s="2" t="inlineStr">
        <is>
          <t>F</t>
        </is>
      </c>
      <c r="D165" s="2" t="inlineStr">
        <is>
          <t>100.0</t>
        </is>
      </c>
      <c r="E165" s="4">
        <f>HYPERLINK("./Results/DLO\1150\Osteo_Sarco_1.png","RPT")</f>
        <v/>
      </c>
      <c r="F165" s="2" t="n">
        <v>120</v>
      </c>
      <c r="G165" s="6" t="n">
        <v>15</v>
      </c>
      <c r="I165" s="0" t="n"/>
      <c r="J165" s="0" t="n"/>
      <c r="K165" s="0" t="n"/>
      <c r="L165" t="inlineStr">
        <is>
          <t>iCT 256</t>
        </is>
      </c>
      <c r="M165" t="inlineStr">
        <is>
          <t>HVP 3/3mm, iDose (3)</t>
        </is>
      </c>
    </row>
    <row r="166">
      <c r="A166" s="2" t="n">
        <v>3182646</v>
      </c>
      <c r="B166" s="2" t="inlineStr">
        <is>
          <t>54</t>
        </is>
      </c>
      <c r="C166" s="2" t="inlineStr">
        <is>
          <t>M</t>
        </is>
      </c>
      <c r="D166" s="2" t="inlineStr">
        <is>
          <t>100.0</t>
        </is>
      </c>
      <c r="E166" s="4">
        <f>HYPERLINK("./Results/DLO\1151\Osteo_Sarco_1.png","RPT")</f>
        <v/>
      </c>
      <c r="F166" s="2" t="n">
        <v>147</v>
      </c>
      <c r="G166" s="6" t="n">
        <v>4</v>
      </c>
      <c r="I166" s="0" t="n"/>
      <c r="J166" s="0" t="n"/>
      <c r="K166" s="0" t="n"/>
      <c r="L166" t="inlineStr">
        <is>
          <t>SOMATOM Definition...</t>
        </is>
      </c>
      <c r="M166" t="inlineStr">
        <is>
          <t>Pre 3mm</t>
        </is>
      </c>
    </row>
    <row r="167">
      <c r="A167" s="2" t="n">
        <v>1859865</v>
      </c>
      <c r="B167" s="2" t="inlineStr">
        <is>
          <t>57</t>
        </is>
      </c>
      <c r="C167" s="2" t="inlineStr">
        <is>
          <t>M</t>
        </is>
      </c>
      <c r="D167" s="2" t="inlineStr">
        <is>
          <t>100.0</t>
        </is>
      </c>
      <c r="E167" s="4">
        <f>HYPERLINK("./Results/DLO\1152\Osteo_Sarco_1.png","RPT")</f>
        <v/>
      </c>
      <c r="F167" s="2" t="n">
        <v>157</v>
      </c>
      <c r="G167" s="6" t="n">
        <v>4</v>
      </c>
      <c r="I167" s="0" t="n"/>
      <c r="J167" s="0" t="n"/>
      <c r="K167" s="0" t="n"/>
      <c r="L167" t="inlineStr">
        <is>
          <t>SOMATOM Definition...</t>
        </is>
      </c>
      <c r="M167" t="inlineStr">
        <is>
          <t>Pre 3mm</t>
        </is>
      </c>
    </row>
    <row r="168">
      <c r="A168" s="2" t="n">
        <v>4830507</v>
      </c>
      <c r="B168" s="2" t="inlineStr">
        <is>
          <t>70</t>
        </is>
      </c>
      <c r="C168" s="2" t="inlineStr">
        <is>
          <t>M</t>
        </is>
      </c>
      <c r="D168" s="2" t="inlineStr">
        <is>
          <t>100.0</t>
        </is>
      </c>
      <c r="E168" s="4">
        <f>HYPERLINK("./Results/DLO\1153\Osteo_Sarco_1.png","RPT")</f>
        <v/>
      </c>
      <c r="F168" s="2" t="n">
        <v>135</v>
      </c>
      <c r="G168" s="6" t="n">
        <v>16</v>
      </c>
      <c r="H168" t="n">
        <v>20.51</v>
      </c>
      <c r="L168" t="inlineStr">
        <is>
          <t>Revolution CT</t>
        </is>
      </c>
      <c r="M168" t="inlineStr">
        <is>
          <t>Pre Axial 3mm</t>
        </is>
      </c>
    </row>
    <row r="169">
      <c r="A169" s="2" t="n">
        <v>3399393</v>
      </c>
      <c r="B169" s="2" t="inlineStr">
        <is>
          <t>59</t>
        </is>
      </c>
      <c r="C169" s="2" t="inlineStr">
        <is>
          <t>M</t>
        </is>
      </c>
      <c r="D169" s="2" t="inlineStr">
        <is>
          <t>120.0</t>
        </is>
      </c>
      <c r="E169" s="4">
        <f>HYPERLINK("./Results/DLO\1154\Osteo_Sarco_1.png","RPT")</f>
        <v/>
      </c>
      <c r="F169" s="2" t="n">
        <v>160</v>
      </c>
      <c r="G169" s="6" t="n">
        <v>9</v>
      </c>
      <c r="I169" s="0" t="n"/>
      <c r="J169" s="0" t="n"/>
      <c r="K169" s="0" t="n"/>
      <c r="L169" t="inlineStr">
        <is>
          <t>iCT 256</t>
        </is>
      </c>
      <c r="M169" t="inlineStr">
        <is>
          <t>Pre 3/3mm, iDose (3)</t>
        </is>
      </c>
    </row>
    <row r="170">
      <c r="A170" s="2" t="n">
        <v>8757234</v>
      </c>
      <c r="B170" s="2" t="inlineStr">
        <is>
          <t>36</t>
        </is>
      </c>
      <c r="C170" s="2" t="inlineStr">
        <is>
          <t>M</t>
        </is>
      </c>
      <c r="D170" s="2" t="inlineStr">
        <is>
          <t>100.0</t>
        </is>
      </c>
      <c r="E170" s="4">
        <f>HYPERLINK("./Results/DLO\1155\Osteo_Sarco_1.png","RPT")</f>
        <v/>
      </c>
      <c r="F170" s="2" t="n">
        <v>240</v>
      </c>
      <c r="G170" s="6" t="n">
        <v>11</v>
      </c>
      <c r="I170" s="0" t="n"/>
      <c r="J170" s="0" t="n"/>
      <c r="K170" s="0" t="n"/>
      <c r="L170" t="inlineStr">
        <is>
          <t>Revolution EVO</t>
        </is>
      </c>
      <c r="M170" t="inlineStr">
        <is>
          <t>PRE</t>
        </is>
      </c>
    </row>
    <row r="171">
      <c r="A171" s="2" t="n">
        <v>6738700</v>
      </c>
      <c r="B171" s="2" t="inlineStr">
        <is>
          <t>72</t>
        </is>
      </c>
      <c r="C171" s="2" t="inlineStr">
        <is>
          <t>F</t>
        </is>
      </c>
      <c r="D171" s="2" t="inlineStr">
        <is>
          <t>100.0</t>
        </is>
      </c>
      <c r="E171" s="4">
        <f>HYPERLINK("./Results/DLO\1156\Osteo_Sarco_1.png","RPT")</f>
        <v/>
      </c>
      <c r="F171" s="2" t="n">
        <v>115</v>
      </c>
      <c r="G171" s="6" t="n">
        <v>10</v>
      </c>
      <c r="H171" t="n">
        <v>26.57</v>
      </c>
      <c r="L171" t="inlineStr">
        <is>
          <t>iCT 256</t>
        </is>
      </c>
      <c r="M171" t="inlineStr">
        <is>
          <t>Pre 3/3mm, iDose (3)</t>
        </is>
      </c>
    </row>
    <row r="172">
      <c r="A172" s="2" t="n">
        <v>2848064</v>
      </c>
      <c r="B172" s="2" t="inlineStr">
        <is>
          <t>45</t>
        </is>
      </c>
      <c r="C172" s="2" t="inlineStr">
        <is>
          <t>F</t>
        </is>
      </c>
      <c r="D172" s="2" t="inlineStr">
        <is>
          <t>120.0</t>
        </is>
      </c>
      <c r="E172" s="4">
        <f>HYPERLINK("./Results/DLO\1157\Osteo_Sarco_1.png","RPT")</f>
        <v/>
      </c>
      <c r="F172" s="2" t="n">
        <v>103</v>
      </c>
      <c r="G172" s="6" t="n">
        <v>3</v>
      </c>
      <c r="H172" t="n">
        <v>19.21</v>
      </c>
      <c r="L172" t="inlineStr">
        <is>
          <t>LightSpeed VCT</t>
        </is>
      </c>
      <c r="M172" t="inlineStr">
        <is>
          <t>HVP 55sec 3mm</t>
        </is>
      </c>
    </row>
    <row r="173">
      <c r="A173" s="2" t="n">
        <v>8592832</v>
      </c>
      <c r="B173" s="2" t="inlineStr">
        <is>
          <t>47</t>
        </is>
      </c>
      <c r="C173" s="2" t="inlineStr">
        <is>
          <t>M</t>
        </is>
      </c>
      <c r="D173" s="2" t="inlineStr">
        <is>
          <t>100.0</t>
        </is>
      </c>
      <c r="E173" s="4">
        <f>HYPERLINK("./Results/DLO\1158\Osteo_Sarco_1.png","RPT")</f>
        <v/>
      </c>
      <c r="F173" s="2" t="n">
        <v>177</v>
      </c>
      <c r="G173" s="6" t="n">
        <v>7</v>
      </c>
      <c r="I173" s="0" t="n"/>
      <c r="J173" s="0" t="n"/>
      <c r="K173" s="0" t="n"/>
      <c r="L173" t="inlineStr">
        <is>
          <t>iCT 256</t>
        </is>
      </c>
      <c r="M173" t="inlineStr">
        <is>
          <t>Pre (CP~Pubi)3mm, iDose (3)</t>
        </is>
      </c>
    </row>
    <row r="174">
      <c r="A174" s="2" t="n">
        <v>3977711</v>
      </c>
      <c r="B174" s="2" t="inlineStr">
        <is>
          <t>54</t>
        </is>
      </c>
      <c r="C174" s="2" t="inlineStr">
        <is>
          <t>M</t>
        </is>
      </c>
      <c r="D174" s="2" t="inlineStr">
        <is>
          <t>100.0</t>
        </is>
      </c>
      <c r="E174" s="4">
        <f>HYPERLINK("./Results/DLO\1159\Osteo_Sarco_1.png","RPT")</f>
        <v/>
      </c>
      <c r="F174" s="2" t="n">
        <v>177</v>
      </c>
      <c r="G174" s="6" t="n">
        <v>11</v>
      </c>
      <c r="I174" s="0" t="n"/>
      <c r="J174" s="0" t="n"/>
      <c r="K174" s="0" t="n"/>
      <c r="L174" t="inlineStr">
        <is>
          <t>iCT 256</t>
        </is>
      </c>
      <c r="M174" t="inlineStr">
        <is>
          <t>Pre 3/3mm, iDose (3)</t>
        </is>
      </c>
    </row>
    <row r="175">
      <c r="A175" s="2" t="n">
        <v>324688</v>
      </c>
      <c r="B175" s="2" t="inlineStr">
        <is>
          <t>66</t>
        </is>
      </c>
      <c r="C175" s="2" t="inlineStr">
        <is>
          <t>F</t>
        </is>
      </c>
      <c r="D175" s="2" t="inlineStr">
        <is>
          <t>100.0</t>
        </is>
      </c>
      <c r="E175" s="4">
        <f>HYPERLINK("./Results/DLO\116\Osteo_Sarco_1.png","RPT")</f>
        <v/>
      </c>
      <c r="F175" s="2" t="n">
        <v>101</v>
      </c>
      <c r="G175" s="6" t="n">
        <v>8</v>
      </c>
      <c r="I175" s="0" t="n"/>
      <c r="J175" s="0" t="n"/>
      <c r="K175" s="0" t="n"/>
      <c r="L175" t="inlineStr">
        <is>
          <t>iCT 256</t>
        </is>
      </c>
      <c r="M175" t="inlineStr">
        <is>
          <t>LAP 3/3mm, iDose (3)</t>
        </is>
      </c>
    </row>
    <row r="176">
      <c r="A176" s="2" t="n">
        <v>3950252</v>
      </c>
      <c r="B176" s="2" t="inlineStr">
        <is>
          <t>49</t>
        </is>
      </c>
      <c r="C176" s="2" t="inlineStr">
        <is>
          <t>M</t>
        </is>
      </c>
      <c r="D176" s="2" t="inlineStr">
        <is>
          <t>120.0</t>
        </is>
      </c>
      <c r="E176" s="4">
        <f>HYPERLINK("./Results/DLO\1160\Osteo_Sarco_1.png","RPT")</f>
        <v/>
      </c>
      <c r="F176" s="2" t="n">
        <v>164</v>
      </c>
      <c r="G176" s="6" t="n">
        <v>4</v>
      </c>
      <c r="I176" s="0" t="n"/>
      <c r="J176" s="0" t="n"/>
      <c r="K176" s="0" t="n"/>
      <c r="L176" t="inlineStr">
        <is>
          <t>Aquilion ONE</t>
        </is>
      </c>
      <c r="M176" t="inlineStr">
        <is>
          <t>Body 5.0</t>
        </is>
      </c>
    </row>
    <row r="177">
      <c r="A177" s="2" t="n">
        <v>3890349</v>
      </c>
      <c r="B177" s="2" t="inlineStr">
        <is>
          <t>49</t>
        </is>
      </c>
      <c r="C177" s="2" t="inlineStr">
        <is>
          <t>M</t>
        </is>
      </c>
      <c r="D177" s="2" t="inlineStr">
        <is>
          <t>100.0</t>
        </is>
      </c>
      <c r="E177" s="4">
        <f>HYPERLINK("./Results/DLO\1161\Osteo_Sarco_1.png","RPT")</f>
        <v/>
      </c>
      <c r="F177" s="2" t="n">
        <v>153</v>
      </c>
      <c r="G177" s="6" t="n">
        <v>8</v>
      </c>
      <c r="I177" s="0" t="n"/>
      <c r="J177" s="0" t="n"/>
      <c r="K177" s="0" t="n"/>
      <c r="L177" t="inlineStr">
        <is>
          <t>LightSpeed VCT</t>
        </is>
      </c>
      <c r="M177" t="inlineStr">
        <is>
          <t>PRE 3mm</t>
        </is>
      </c>
    </row>
    <row r="178">
      <c r="A178" s="2" t="n">
        <v>4681042</v>
      </c>
      <c r="B178" s="2" t="inlineStr">
        <is>
          <t>64</t>
        </is>
      </c>
      <c r="C178" s="2" t="inlineStr">
        <is>
          <t>M</t>
        </is>
      </c>
      <c r="D178" s="2" t="inlineStr">
        <is>
          <t>100.0</t>
        </is>
      </c>
      <c r="E178" s="4">
        <f>HYPERLINK("./Results/DLO\1162\Osteo_Sarco_1.png","RPT")</f>
        <v/>
      </c>
      <c r="F178" s="2" t="n">
        <v>125</v>
      </c>
      <c r="G178" s="6" t="n">
        <v>6</v>
      </c>
      <c r="I178" s="0" t="n"/>
      <c r="J178" s="0" t="n"/>
      <c r="K178" s="0" t="n"/>
      <c r="L178" t="inlineStr">
        <is>
          <t>SOMATOM Force</t>
        </is>
      </c>
      <c r="M178" t="inlineStr">
        <is>
          <t>HVP 3.0 Br40 2 (60kg/1420c...</t>
        </is>
      </c>
    </row>
    <row r="179">
      <c r="A179" s="2" t="n">
        <v>3793873</v>
      </c>
      <c r="B179" s="2" t="inlineStr">
        <is>
          <t>58</t>
        </is>
      </c>
      <c r="C179" s="2" t="inlineStr">
        <is>
          <t>M</t>
        </is>
      </c>
      <c r="D179" s="2" t="inlineStr">
        <is>
          <t>100.0</t>
        </is>
      </c>
      <c r="E179" s="4">
        <f>HYPERLINK("./Results/DLO\1163\Osteo_Sarco_1.png","RPT")</f>
        <v/>
      </c>
      <c r="F179" s="2" t="n">
        <v>140</v>
      </c>
      <c r="G179" s="6" t="n">
        <v>7</v>
      </c>
      <c r="I179" s="0" t="n"/>
      <c r="J179" s="0" t="n"/>
      <c r="K179" s="0" t="n"/>
      <c r="L179" t="inlineStr">
        <is>
          <t>Revolution CT</t>
        </is>
      </c>
      <c r="M179" t="inlineStr">
        <is>
          <t>Pre 3mm pacs</t>
        </is>
      </c>
    </row>
    <row r="180">
      <c r="A180" s="2" t="n">
        <v>3333889</v>
      </c>
      <c r="B180" s="2" t="inlineStr">
        <is>
          <t>54</t>
        </is>
      </c>
      <c r="C180" s="2" t="inlineStr">
        <is>
          <t>M</t>
        </is>
      </c>
      <c r="D180" s="2" t="inlineStr">
        <is>
          <t>120.0</t>
        </is>
      </c>
      <c r="E180" s="4">
        <f>HYPERLINK("./Results/DLO\1164\Osteo_Sarco_1.png","RPT")</f>
        <v/>
      </c>
      <c r="F180" s="2" t="n">
        <v>172</v>
      </c>
      <c r="G180" s="6" t="n">
        <v>5</v>
      </c>
      <c r="H180" t="n">
        <v>26.23</v>
      </c>
      <c r="L180" t="inlineStr">
        <is>
          <t>SOMATOM Definition...</t>
        </is>
      </c>
      <c r="M180" t="inlineStr">
        <is>
          <t>PRE 3mm (120Kvp 60mAs)</t>
        </is>
      </c>
    </row>
    <row r="181">
      <c r="A181" s="2" t="n">
        <v>4641824</v>
      </c>
      <c r="B181" s="2" t="inlineStr">
        <is>
          <t>77</t>
        </is>
      </c>
      <c r="C181" s="2" t="inlineStr">
        <is>
          <t>M</t>
        </is>
      </c>
      <c r="D181" s="2" t="inlineStr">
        <is>
          <t>120.0</t>
        </is>
      </c>
      <c r="E181" s="4">
        <f>HYPERLINK("./Results/DLO\1165\Osteo_Sarco_1.png","RPT")</f>
        <v/>
      </c>
      <c r="F181" s="2" t="n">
        <v>111</v>
      </c>
      <c r="G181" s="6" t="n">
        <v>9</v>
      </c>
      <c r="I181" s="0" t="n"/>
      <c r="J181" s="0" t="n"/>
      <c r="K181" s="0" t="n"/>
      <c r="L181" t="inlineStr">
        <is>
          <t>iCT 256</t>
        </is>
      </c>
      <c r="M181" t="inlineStr">
        <is>
          <t>HVP 3/3mm, iDose (3)</t>
        </is>
      </c>
    </row>
    <row r="182">
      <c r="A182" s="2" t="n">
        <v>4340605</v>
      </c>
      <c r="B182" s="2" t="inlineStr">
        <is>
          <t>60</t>
        </is>
      </c>
      <c r="C182" s="2" t="inlineStr">
        <is>
          <t>M</t>
        </is>
      </c>
      <c r="D182" s="2" t="inlineStr">
        <is>
          <t>120.0</t>
        </is>
      </c>
      <c r="E182" s="4">
        <f>HYPERLINK("./Results/DLO\1166\Osteo_Sarco_1.png","RPT")</f>
        <v/>
      </c>
      <c r="F182" s="2" t="n">
        <v>136</v>
      </c>
      <c r="G182" s="6" t="n">
        <v>6</v>
      </c>
      <c r="H182" t="n">
        <v>22.3</v>
      </c>
      <c r="L182" t="inlineStr">
        <is>
          <t>Sensation 64</t>
        </is>
      </c>
      <c r="M182" t="inlineStr">
        <is>
          <t>PRE 5.0 B30F</t>
        </is>
      </c>
    </row>
    <row r="183">
      <c r="A183" s="2" t="n">
        <v>2286861</v>
      </c>
      <c r="B183" s="2" t="inlineStr">
        <is>
          <t>79</t>
        </is>
      </c>
      <c r="C183" s="2" t="inlineStr">
        <is>
          <t>M</t>
        </is>
      </c>
      <c r="D183" s="2" t="inlineStr">
        <is>
          <t>120.0</t>
        </is>
      </c>
      <c r="E183" s="4">
        <f>HYPERLINK("./Results/DLO\1167\Osteo_Sarco_1.png","RPT")</f>
        <v/>
      </c>
      <c r="F183" s="2" t="n">
        <v>180</v>
      </c>
      <c r="G183" s="6" t="n">
        <v>7</v>
      </c>
      <c r="I183" s="0" t="n"/>
      <c r="J183" s="0" t="n"/>
      <c r="K183" s="0" t="n"/>
      <c r="L183" t="inlineStr">
        <is>
          <t>LightSpeed VCT</t>
        </is>
      </c>
      <c r="M183" t="inlineStr">
        <is>
          <t>HVP 55sec 3mm</t>
        </is>
      </c>
    </row>
    <row r="184">
      <c r="A184" s="2" t="n">
        <v>3585247</v>
      </c>
      <c r="B184" s="2" t="inlineStr">
        <is>
          <t>38</t>
        </is>
      </c>
      <c r="C184" s="2" t="inlineStr">
        <is>
          <t>M</t>
        </is>
      </c>
      <c r="D184" s="2" t="inlineStr">
        <is>
          <t>100.0</t>
        </is>
      </c>
      <c r="E184" s="4">
        <f>HYPERLINK("./Results/DLO\1168\Osteo_Sarco_1.png","RPT")</f>
        <v/>
      </c>
      <c r="F184" s="2" t="n">
        <v>137</v>
      </c>
      <c r="G184" s="6" t="n">
        <v>6</v>
      </c>
      <c r="H184" t="n">
        <v>23.26</v>
      </c>
      <c r="L184" t="inlineStr">
        <is>
          <t>Revolution CT</t>
        </is>
      </c>
      <c r="M184" t="inlineStr">
        <is>
          <t>HVP 3mm(56kg/112cc/3cc/bono)</t>
        </is>
      </c>
    </row>
    <row r="185">
      <c r="A185" s="2" t="n">
        <v>1328916</v>
      </c>
      <c r="B185" s="2" t="inlineStr">
        <is>
          <t>67</t>
        </is>
      </c>
      <c r="C185" s="2" t="inlineStr">
        <is>
          <t>F</t>
        </is>
      </c>
      <c r="D185" s="2" t="inlineStr">
        <is>
          <t>120.0</t>
        </is>
      </c>
      <c r="E185" s="4">
        <f>HYPERLINK("./Results/DLO\1169\Osteo_Sarco_1.png","RPT")</f>
        <v/>
      </c>
      <c r="F185" s="2" t="n">
        <v>83</v>
      </c>
      <c r="G185" s="6" t="n">
        <v>5</v>
      </c>
      <c r="I185" s="0" t="n"/>
      <c r="J185" s="0" t="n"/>
      <c r="K185" s="0" t="n"/>
      <c r="L185" t="inlineStr">
        <is>
          <t>iCT 256</t>
        </is>
      </c>
      <c r="M185" t="inlineStr">
        <is>
          <t>LAP 3/3mm, iDose (3)</t>
        </is>
      </c>
    </row>
    <row r="186">
      <c r="A186" s="2" t="n">
        <v>4852013</v>
      </c>
      <c r="B186" s="2" t="inlineStr">
        <is>
          <t>65</t>
        </is>
      </c>
      <c r="C186" s="2" t="inlineStr">
        <is>
          <t>F</t>
        </is>
      </c>
      <c r="D186" s="2" t="inlineStr">
        <is>
          <t>100.0</t>
        </is>
      </c>
      <c r="E186" s="4">
        <f>HYPERLINK("./Results/DLO\117\Osteo_Sarco_1.png","RPT")</f>
        <v/>
      </c>
      <c r="F186" s="2" t="n">
        <v>96</v>
      </c>
      <c r="G186" s="6" t="n">
        <v>24</v>
      </c>
      <c r="I186" s="0" t="n"/>
      <c r="J186" s="0" t="n"/>
      <c r="K186" s="0" t="n"/>
      <c r="L186" t="inlineStr">
        <is>
          <t>SOMATOM Definition...</t>
        </is>
      </c>
      <c r="M186" t="inlineStr">
        <is>
          <t>LAP 3mm(58kg/116cc/3cc/hexol)</t>
        </is>
      </c>
    </row>
    <row r="187">
      <c r="A187" s="2" t="n">
        <v>3301008</v>
      </c>
      <c r="B187" s="2" t="inlineStr">
        <is>
          <t>76</t>
        </is>
      </c>
      <c r="C187" s="2" t="inlineStr">
        <is>
          <t>M</t>
        </is>
      </c>
      <c r="D187" s="2" t="inlineStr">
        <is>
          <t>100.0</t>
        </is>
      </c>
      <c r="E187" s="4">
        <f>HYPERLINK("./Results/DLO\1170\Osteo_Sarco_1.png","RPT")</f>
        <v/>
      </c>
      <c r="F187" s="2" t="n">
        <v>119</v>
      </c>
      <c r="G187" s="6" t="n">
        <v>6</v>
      </c>
      <c r="I187" s="0" t="n"/>
      <c r="J187" s="0" t="n"/>
      <c r="K187" s="0" t="n"/>
      <c r="L187" t="inlineStr">
        <is>
          <t>SOMATOM Definition...</t>
        </is>
      </c>
      <c r="M187" t="inlineStr">
        <is>
          <t>HVP 2 3mm (73kg/146cc/3cc/h...</t>
        </is>
      </c>
    </row>
    <row r="188">
      <c r="A188" s="2" t="n">
        <v>3066715</v>
      </c>
      <c r="B188" s="2" t="inlineStr">
        <is>
          <t>69</t>
        </is>
      </c>
      <c r="C188" s="2" t="inlineStr">
        <is>
          <t>F</t>
        </is>
      </c>
      <c r="D188" s="2" t="inlineStr">
        <is>
          <t>120.0</t>
        </is>
      </c>
      <c r="E188" s="4">
        <f>HYPERLINK("./Results/DLO\1171\Osteo_Sarco_1.png","RPT")</f>
        <v/>
      </c>
      <c r="F188" s="2" t="n">
        <v>97</v>
      </c>
      <c r="G188" s="6" t="n">
        <v>8</v>
      </c>
      <c r="H188" t="n">
        <v>24.48</v>
      </c>
      <c r="L188" t="inlineStr">
        <is>
          <t>iCT 256</t>
        </is>
      </c>
      <c r="M188" t="inlineStr">
        <is>
          <t>HVP 3/3mm, iDose (3)</t>
        </is>
      </c>
    </row>
    <row r="189">
      <c r="A189" s="2" t="n">
        <v>1810147</v>
      </c>
      <c r="B189" s="2" t="inlineStr">
        <is>
          <t>72</t>
        </is>
      </c>
      <c r="C189" s="2" t="inlineStr">
        <is>
          <t>M</t>
        </is>
      </c>
      <c r="D189" s="2" t="inlineStr">
        <is>
          <t>100.0</t>
        </is>
      </c>
      <c r="E189" s="4">
        <f>HYPERLINK("./Results/DLO\1172\Osteo_Sarco_1.png","RPT")</f>
        <v/>
      </c>
      <c r="F189" s="2" t="n">
        <v>140</v>
      </c>
      <c r="G189" s="6" t="n">
        <v>13</v>
      </c>
      <c r="I189" s="0" t="n"/>
      <c r="J189" s="0" t="n"/>
      <c r="K189" s="0" t="n"/>
      <c r="L189" t="inlineStr">
        <is>
          <t>SOMATOM Definition...</t>
        </is>
      </c>
      <c r="M189" t="inlineStr">
        <is>
          <t>HVP 2 3mm(68Kg/136ml/3ml/xe...</t>
        </is>
      </c>
    </row>
    <row r="190">
      <c r="A190" s="2" t="n">
        <v>2855734</v>
      </c>
      <c r="B190" s="2" t="inlineStr">
        <is>
          <t>41</t>
        </is>
      </c>
      <c r="C190" s="2" t="inlineStr">
        <is>
          <t>F</t>
        </is>
      </c>
      <c r="D190" s="2" t="inlineStr">
        <is>
          <t>100.0</t>
        </is>
      </c>
      <c r="E190" s="4">
        <f>HYPERLINK("./Results/DLO\1173\Osteo_Sarco_1.png","RPT")</f>
        <v/>
      </c>
      <c r="F190" s="2" t="n">
        <v>110</v>
      </c>
      <c r="G190" s="6" t="n">
        <v>9</v>
      </c>
      <c r="I190" s="0" t="n"/>
      <c r="J190" s="0" t="n"/>
      <c r="K190" s="0" t="n"/>
      <c r="L190" t="inlineStr">
        <is>
          <t>SOMATOM Definition...</t>
        </is>
      </c>
      <c r="M190" t="inlineStr">
        <is>
          <t>Pre 3mm</t>
        </is>
      </c>
    </row>
    <row r="191">
      <c r="A191" s="2" t="n">
        <v>2701929</v>
      </c>
      <c r="B191" s="2" t="inlineStr">
        <is>
          <t>55</t>
        </is>
      </c>
      <c r="C191" s="2" t="inlineStr">
        <is>
          <t>F</t>
        </is>
      </c>
      <c r="D191" s="2" t="inlineStr">
        <is>
          <t>120.0</t>
        </is>
      </c>
      <c r="E191" s="4">
        <f>HYPERLINK("./Results/DLO\1174\Osteo_Sarco_1.png","RPT")</f>
        <v/>
      </c>
      <c r="F191" s="2" t="n">
        <v>116</v>
      </c>
      <c r="G191" s="6" t="n">
        <v>11</v>
      </c>
      <c r="I191" s="0" t="n"/>
      <c r="J191" s="0" t="n"/>
      <c r="K191" s="0" t="n"/>
      <c r="L191" t="inlineStr">
        <is>
          <t>iCT 256</t>
        </is>
      </c>
      <c r="M191" t="inlineStr">
        <is>
          <t>HVP 3/3mm, iDose (3)</t>
        </is>
      </c>
    </row>
    <row r="192">
      <c r="A192" s="2" t="n">
        <v>4899051</v>
      </c>
      <c r="B192" s="2" t="inlineStr">
        <is>
          <t>37</t>
        </is>
      </c>
      <c r="C192" s="2" t="inlineStr">
        <is>
          <t>F</t>
        </is>
      </c>
      <c r="D192" s="2" t="inlineStr">
        <is>
          <t>120.0</t>
        </is>
      </c>
      <c r="E192" s="4">
        <f>HYPERLINK("./Results/DLO\1175\Osteo_Sarco_1.png","RPT")</f>
        <v/>
      </c>
      <c r="F192" s="2" t="n">
        <v>119</v>
      </c>
      <c r="G192" s="6" t="n">
        <v>18</v>
      </c>
      <c r="I192" s="0" t="n"/>
      <c r="J192" s="0" t="n"/>
      <c r="K192" s="0" t="n"/>
      <c r="L192" t="inlineStr">
        <is>
          <t>Aquilion Lightning</t>
        </is>
      </c>
      <c r="M192" t="inlineStr">
        <is>
          <t>PRE-AXI Body 5.0</t>
        </is>
      </c>
    </row>
    <row r="193">
      <c r="A193" s="2" t="n">
        <v>3618048</v>
      </c>
      <c r="B193" s="2" t="inlineStr">
        <is>
          <t>22</t>
        </is>
      </c>
      <c r="C193" s="2" t="inlineStr">
        <is>
          <t>M</t>
        </is>
      </c>
      <c r="D193" s="2" t="inlineStr">
        <is>
          <t>100.0</t>
        </is>
      </c>
      <c r="E193" s="4">
        <f>HYPERLINK("./Results/DLO\1176\Osteo_Sarco_1.png","RPT")</f>
        <v/>
      </c>
      <c r="F193" s="2" t="n">
        <v>126</v>
      </c>
      <c r="G193" s="6" t="n">
        <v>2</v>
      </c>
      <c r="I193" s="0" t="n"/>
      <c r="J193" s="0" t="n"/>
      <c r="K193" s="0" t="n"/>
      <c r="L193" t="inlineStr">
        <is>
          <t>SOMATOM Definition...</t>
        </is>
      </c>
      <c r="M193" t="inlineStr">
        <is>
          <t>Pre 3mm</t>
        </is>
      </c>
    </row>
    <row r="194">
      <c r="A194" s="2" t="n">
        <v>2457796</v>
      </c>
      <c r="B194" s="2" t="inlineStr">
        <is>
          <t>54</t>
        </is>
      </c>
      <c r="C194" s="2" t="inlineStr">
        <is>
          <t>F</t>
        </is>
      </c>
      <c r="D194" s="2" t="inlineStr">
        <is>
          <t>100.0</t>
        </is>
      </c>
      <c r="E194" s="4">
        <f>HYPERLINK("./Results/DLO\1177\Osteo_Sarco_1.png","RPT")</f>
        <v/>
      </c>
      <c r="F194" s="2" t="n">
        <v>120</v>
      </c>
      <c r="G194" s="6" t="n">
        <v>12</v>
      </c>
      <c r="I194" s="0" t="n"/>
      <c r="J194" s="0" t="n"/>
      <c r="K194" s="0" t="n"/>
      <c r="L194" t="inlineStr">
        <is>
          <t>SOMATOM Definition...</t>
        </is>
      </c>
      <c r="M194" t="inlineStr">
        <is>
          <t>Pre 3mm</t>
        </is>
      </c>
    </row>
    <row r="195">
      <c r="A195" s="2" t="n">
        <v>2260192</v>
      </c>
      <c r="B195" s="2" t="inlineStr">
        <is>
          <t>40</t>
        </is>
      </c>
      <c r="C195" s="2" t="inlineStr">
        <is>
          <t>F</t>
        </is>
      </c>
      <c r="D195" s="2" t="inlineStr">
        <is>
          <t>100.0</t>
        </is>
      </c>
      <c r="E195" s="4">
        <f>HYPERLINK("./Results/DLO\1178\Osteo_Sarco_1.png","RPT")</f>
        <v/>
      </c>
      <c r="F195" s="2" t="n">
        <v>103</v>
      </c>
      <c r="G195" s="6" t="n">
        <v>6</v>
      </c>
      <c r="I195" s="0" t="n"/>
      <c r="J195" s="0" t="n"/>
      <c r="K195" s="0" t="n"/>
      <c r="L195" t="inlineStr">
        <is>
          <t>iCT 256</t>
        </is>
      </c>
      <c r="M195" t="inlineStr">
        <is>
          <t>Pre 3/3mm, iDose (3)</t>
        </is>
      </c>
    </row>
    <row r="196">
      <c r="A196" s="2" t="n">
        <v>3401865</v>
      </c>
      <c r="B196" s="2" t="inlineStr">
        <is>
          <t>76</t>
        </is>
      </c>
      <c r="C196" s="2" t="inlineStr">
        <is>
          <t>M</t>
        </is>
      </c>
      <c r="D196" s="2" t="inlineStr">
        <is>
          <t>100.0</t>
        </is>
      </c>
      <c r="E196" s="4">
        <f>HYPERLINK("./Results/DLO\1179\Osteo_Sarco_1.png","RPT")</f>
        <v/>
      </c>
      <c r="F196" s="2" t="n">
        <v>99</v>
      </c>
      <c r="G196" s="6" t="n">
        <v>13</v>
      </c>
      <c r="H196" t="n">
        <v>24.44</v>
      </c>
      <c r="L196" t="inlineStr">
        <is>
          <t>SOMATOM Definition...</t>
        </is>
      </c>
      <c r="M196" t="inlineStr">
        <is>
          <t>HVP 2 3mm (75kg/150cc/3cc/h...</t>
        </is>
      </c>
    </row>
    <row r="197">
      <c r="A197" s="2" t="n">
        <v>2506376</v>
      </c>
      <c r="B197" s="2" t="inlineStr">
        <is>
          <t>52</t>
        </is>
      </c>
      <c r="C197" s="2" t="inlineStr">
        <is>
          <t>F</t>
        </is>
      </c>
      <c r="D197" s="2" t="inlineStr">
        <is>
          <t>100.0</t>
        </is>
      </c>
      <c r="E197" s="4">
        <f>HYPERLINK("./Results/DLO\118\Osteo_Sarco_1.png","RPT")</f>
        <v/>
      </c>
      <c r="F197" s="2" t="n">
        <v>114</v>
      </c>
      <c r="G197" s="6" t="n">
        <v>8</v>
      </c>
      <c r="I197" s="0" t="n"/>
      <c r="J197" s="0" t="n"/>
      <c r="K197" s="0" t="n"/>
      <c r="L197" t="inlineStr">
        <is>
          <t>SOMATOM Definition...</t>
        </is>
      </c>
      <c r="M197" t="inlineStr">
        <is>
          <t>Pre 3mm</t>
        </is>
      </c>
    </row>
    <row r="198">
      <c r="A198" s="2" t="n">
        <v>2078149</v>
      </c>
      <c r="B198" s="2" t="inlineStr">
        <is>
          <t>68</t>
        </is>
      </c>
      <c r="C198" s="2" t="inlineStr">
        <is>
          <t>M</t>
        </is>
      </c>
      <c r="D198" s="2" t="inlineStr">
        <is>
          <t>100.0</t>
        </is>
      </c>
      <c r="E198" s="4">
        <f>HYPERLINK("./Results/DLO\1180\Osteo_Sarco_1.png","RPT")</f>
        <v/>
      </c>
      <c r="F198" s="2" t="n">
        <v>155</v>
      </c>
      <c r="G198" s="6" t="n">
        <v>9</v>
      </c>
      <c r="I198" s="0" t="n"/>
      <c r="J198" s="0" t="n"/>
      <c r="K198" s="0" t="n"/>
      <c r="L198" t="inlineStr">
        <is>
          <t>Sensation 64</t>
        </is>
      </c>
      <c r="M198" t="inlineStr">
        <is>
          <t>Pre 3mm</t>
        </is>
      </c>
    </row>
    <row r="199">
      <c r="A199" s="2" t="n">
        <v>2510282</v>
      </c>
      <c r="B199" s="2" t="inlineStr">
        <is>
          <t>72</t>
        </is>
      </c>
      <c r="C199" s="2" t="inlineStr">
        <is>
          <t>M</t>
        </is>
      </c>
      <c r="D199" s="2" t="inlineStr">
        <is>
          <t>120.0</t>
        </is>
      </c>
      <c r="E199" s="4">
        <f>HYPERLINK("./Results/DLO\1181\Osteo_Sarco_1.png","RPT")</f>
        <v/>
      </c>
      <c r="F199" s="2" t="n">
        <v>126</v>
      </c>
      <c r="G199" s="6" t="n">
        <v>17</v>
      </c>
      <c r="H199" t="n">
        <v>20.97</v>
      </c>
      <c r="L199" t="inlineStr">
        <is>
          <t>Discovery CT750 HD</t>
        </is>
      </c>
      <c r="M199" t="inlineStr">
        <is>
          <t>pre contrast</t>
        </is>
      </c>
    </row>
    <row r="200">
      <c r="A200" s="2" t="n">
        <v>1544465</v>
      </c>
      <c r="B200" s="2" t="inlineStr">
        <is>
          <t>58</t>
        </is>
      </c>
      <c r="C200" s="2" t="inlineStr">
        <is>
          <t>F</t>
        </is>
      </c>
      <c r="D200" s="2" t="inlineStr">
        <is>
          <t>120.0</t>
        </is>
      </c>
      <c r="E200" s="4">
        <f>HYPERLINK("./Results/DLO\1182\Osteo_Sarco_1.png","RPT")</f>
        <v/>
      </c>
      <c r="F200" s="2" t="n">
        <v>127</v>
      </c>
      <c r="G200" s="6" t="n">
        <v>15</v>
      </c>
      <c r="I200" s="0" t="n"/>
      <c r="J200" s="0" t="n"/>
      <c r="K200" s="0" t="n"/>
      <c r="L200" t="inlineStr">
        <is>
          <t>Discovery CT750 HD</t>
        </is>
      </c>
      <c r="M200" t="inlineStr">
        <is>
          <t>HVP 3mm</t>
        </is>
      </c>
    </row>
    <row r="201">
      <c r="A201" s="2" t="n">
        <v>3458913</v>
      </c>
      <c r="B201" s="2" t="inlineStr">
        <is>
          <t>41</t>
        </is>
      </c>
      <c r="C201" s="2" t="inlineStr">
        <is>
          <t>F</t>
        </is>
      </c>
      <c r="D201" s="2" t="inlineStr">
        <is>
          <t>100.0</t>
        </is>
      </c>
      <c r="E201" s="4">
        <f>HYPERLINK("./Results/DLO\1183\Osteo_Sarco_1.png","RPT")</f>
        <v/>
      </c>
      <c r="F201" s="2" t="n">
        <v>111</v>
      </c>
      <c r="G201" s="6" t="n">
        <v>5</v>
      </c>
      <c r="I201" s="0" t="n"/>
      <c r="J201" s="0" t="n"/>
      <c r="K201" s="0" t="n"/>
      <c r="L201" t="inlineStr">
        <is>
          <t>iCT 256</t>
        </is>
      </c>
      <c r="M201" t="inlineStr">
        <is>
          <t>HVP 3/3mm, iDose (3)</t>
        </is>
      </c>
    </row>
    <row r="202">
      <c r="A202" s="2" t="n">
        <v>4423838</v>
      </c>
      <c r="B202" s="2" t="inlineStr">
        <is>
          <t>74</t>
        </is>
      </c>
      <c r="C202" s="2" t="inlineStr">
        <is>
          <t>M</t>
        </is>
      </c>
      <c r="D202" s="2" t="inlineStr">
        <is>
          <t>100.0</t>
        </is>
      </c>
      <c r="E202" s="4">
        <f>HYPERLINK("./Results/DLO\1184\Osteo_Sarco_1.png","RPT")</f>
        <v/>
      </c>
      <c r="F202" s="2" t="n">
        <v>132</v>
      </c>
      <c r="G202" s="6" t="n">
        <v>15</v>
      </c>
      <c r="I202" s="0" t="n"/>
      <c r="J202" s="0" t="n"/>
      <c r="K202" s="0" t="n"/>
      <c r="L202" t="inlineStr">
        <is>
          <t>SOMATOM Definition...</t>
        </is>
      </c>
      <c r="M202" t="inlineStr">
        <is>
          <t>Pre 3mm</t>
        </is>
      </c>
    </row>
    <row r="203">
      <c r="A203" s="2" t="n">
        <v>1586180</v>
      </c>
      <c r="B203" s="2" t="inlineStr">
        <is>
          <t>61</t>
        </is>
      </c>
      <c r="C203" s="2" t="inlineStr">
        <is>
          <t>M</t>
        </is>
      </c>
      <c r="D203" s="2" t="inlineStr">
        <is>
          <t>120.0</t>
        </is>
      </c>
      <c r="E203" s="4">
        <f>HYPERLINK("./Results/DLO\1185\Osteo_Sarco_1.png","RPT")</f>
        <v/>
      </c>
      <c r="F203" s="2" t="n">
        <v>159</v>
      </c>
      <c r="G203" s="6" t="n">
        <v>5</v>
      </c>
      <c r="I203" s="0" t="n"/>
      <c r="J203" s="0" t="n"/>
      <c r="K203" s="0" t="n"/>
      <c r="L203" t="inlineStr">
        <is>
          <t>LightSpeed VCT</t>
        </is>
      </c>
      <c r="M203" t="inlineStr">
        <is>
          <t>HVP 55sec 3mm</t>
        </is>
      </c>
    </row>
    <row r="204">
      <c r="A204" s="2" t="n">
        <v>2168708</v>
      </c>
      <c r="B204" s="2" t="inlineStr">
        <is>
          <t>60</t>
        </is>
      </c>
      <c r="C204" s="2" t="inlineStr">
        <is>
          <t>F</t>
        </is>
      </c>
      <c r="D204" s="2" t="inlineStr">
        <is>
          <t>100.0</t>
        </is>
      </c>
      <c r="E204" s="4">
        <f>HYPERLINK("./Results/DLO\1186\Osteo_Sarco_1.png","RPT")</f>
        <v/>
      </c>
      <c r="F204" s="2" t="n">
        <v>95</v>
      </c>
      <c r="G204" s="6" t="n">
        <v>6</v>
      </c>
      <c r="I204" s="0" t="n"/>
      <c r="J204" s="0" t="n"/>
      <c r="K204" s="0" t="n"/>
      <c r="L204" t="inlineStr">
        <is>
          <t>SOMATOM Definition...</t>
        </is>
      </c>
      <c r="M204" t="inlineStr">
        <is>
          <t>Pre 3mm(100kV-100mA)</t>
        </is>
      </c>
    </row>
    <row r="205">
      <c r="A205" s="2" t="n">
        <v>2611289</v>
      </c>
      <c r="B205" s="2" t="inlineStr">
        <is>
          <t>71</t>
        </is>
      </c>
      <c r="C205" s="2" t="inlineStr">
        <is>
          <t>M</t>
        </is>
      </c>
      <c r="D205" s="2" t="inlineStr">
        <is>
          <t>100.0</t>
        </is>
      </c>
      <c r="E205" s="4">
        <f>HYPERLINK("./Results/DLO\1187\Osteo_Sarco_1.png","RPT")</f>
        <v/>
      </c>
      <c r="F205" s="2" t="n">
        <v>117</v>
      </c>
      <c r="G205" s="6" t="n">
        <v>6</v>
      </c>
      <c r="H205" t="n">
        <v>21.64</v>
      </c>
      <c r="L205" t="inlineStr">
        <is>
          <t>Revolution EVO</t>
        </is>
      </c>
      <c r="M205" t="inlineStr">
        <is>
          <t>PRE</t>
        </is>
      </c>
    </row>
    <row r="206">
      <c r="A206" s="2" t="n">
        <v>1709820</v>
      </c>
      <c r="B206" s="2" t="inlineStr">
        <is>
          <t>81</t>
        </is>
      </c>
      <c r="C206" s="2" t="inlineStr">
        <is>
          <t>F</t>
        </is>
      </c>
      <c r="D206" s="2" t="inlineStr">
        <is>
          <t>100.0</t>
        </is>
      </c>
      <c r="E206" s="4">
        <f>HYPERLINK("./Results/DLO\1188\Osteo_Sarco_1.png","RPT")</f>
        <v/>
      </c>
      <c r="F206" s="2" t="n">
        <v>77</v>
      </c>
      <c r="G206" s="6" t="n">
        <v>20</v>
      </c>
      <c r="H206" t="n">
        <v>22.51</v>
      </c>
      <c r="L206" t="inlineStr">
        <is>
          <t>Sensation 64</t>
        </is>
      </c>
      <c r="M206" t="inlineStr">
        <is>
          <t>Pre 3mm(100kvp100mAs)</t>
        </is>
      </c>
    </row>
    <row r="207">
      <c r="A207" s="2" t="n">
        <v>2182110</v>
      </c>
      <c r="B207" s="2" t="inlineStr">
        <is>
          <t>41</t>
        </is>
      </c>
      <c r="C207" s="2" t="inlineStr">
        <is>
          <t>F</t>
        </is>
      </c>
      <c r="D207" s="2" t="inlineStr">
        <is>
          <t>100.0</t>
        </is>
      </c>
      <c r="E207" s="4">
        <f>HYPERLINK("./Results/DLO\1189\Osteo_Sarco_1.png","RPT")</f>
        <v/>
      </c>
      <c r="F207" s="2" t="n">
        <v>119</v>
      </c>
      <c r="G207" s="6" t="n">
        <v>4</v>
      </c>
      <c r="I207" s="0" t="n"/>
      <c r="J207" s="0" t="n"/>
      <c r="K207" s="0" t="n"/>
      <c r="L207" t="inlineStr">
        <is>
          <t>Discovery CT750 HD</t>
        </is>
      </c>
      <c r="M207" t="inlineStr">
        <is>
          <t>pre 3mm</t>
        </is>
      </c>
    </row>
    <row r="208">
      <c r="A208" s="2" t="n">
        <v>4912943</v>
      </c>
      <c r="B208" s="2" t="inlineStr">
        <is>
          <t>62</t>
        </is>
      </c>
      <c r="C208" s="2" t="inlineStr">
        <is>
          <t>M</t>
        </is>
      </c>
      <c r="D208" s="2" t="inlineStr">
        <is>
          <t>100.0</t>
        </is>
      </c>
      <c r="E208" s="4">
        <f>HYPERLINK("./Results/DLO\119\Osteo_Sarco_1.png","RPT")</f>
        <v/>
      </c>
      <c r="F208" s="2" t="n">
        <v>125</v>
      </c>
      <c r="G208" s="6" t="n">
        <v>6</v>
      </c>
      <c r="H208" t="n">
        <v>23.46</v>
      </c>
      <c r="L208" t="inlineStr">
        <is>
          <t>iCT 256</t>
        </is>
      </c>
      <c r="M208" t="inlineStr">
        <is>
          <t>HVP 3/3mm, iDose (3)</t>
        </is>
      </c>
    </row>
    <row r="209">
      <c r="A209" s="2" t="n">
        <v>3954996</v>
      </c>
      <c r="B209" s="2" t="inlineStr">
        <is>
          <t>57</t>
        </is>
      </c>
      <c r="C209" s="2" t="inlineStr">
        <is>
          <t>F</t>
        </is>
      </c>
      <c r="D209" s="2" t="inlineStr">
        <is>
          <t>100.0</t>
        </is>
      </c>
      <c r="E209" s="4">
        <f>HYPERLINK("./Results/DLO\1190\Osteo_Sarco_1.png","RPT")</f>
        <v/>
      </c>
      <c r="F209" s="2" t="n">
        <v>112</v>
      </c>
      <c r="G209" s="6" t="n">
        <v>4</v>
      </c>
      <c r="I209" s="0" t="n"/>
      <c r="J209" s="0" t="n"/>
      <c r="K209" s="0" t="n"/>
      <c r="L209" t="inlineStr">
        <is>
          <t>Discovery CT750 HD</t>
        </is>
      </c>
      <c r="M209" t="inlineStr">
        <is>
          <t>CE 2.5mm(ASIR30%)</t>
        </is>
      </c>
    </row>
    <row r="210">
      <c r="A210" s="2" t="n">
        <v>2424258</v>
      </c>
      <c r="B210" s="2" t="inlineStr">
        <is>
          <t>40</t>
        </is>
      </c>
      <c r="C210" s="2" t="inlineStr">
        <is>
          <t>M</t>
        </is>
      </c>
      <c r="D210" s="2" t="inlineStr">
        <is>
          <t>100.0</t>
        </is>
      </c>
      <c r="E210" s="4">
        <f>HYPERLINK("./Results/DLO\1191\Osteo_Sarco_1.png","RPT")</f>
        <v/>
      </c>
      <c r="F210" s="2" t="n">
        <v>202</v>
      </c>
      <c r="G210" s="6" t="n">
        <v>7</v>
      </c>
      <c r="I210" s="0" t="n"/>
      <c r="J210" s="0" t="n"/>
      <c r="K210" s="0" t="n"/>
      <c r="L210" t="inlineStr">
        <is>
          <t>Revolution CT</t>
        </is>
      </c>
      <c r="M210" t="inlineStr">
        <is>
          <t>LAP 3mm(77kg/150cc/3.0cc/hexo)</t>
        </is>
      </c>
    </row>
    <row r="211">
      <c r="A211" s="2" t="n">
        <v>2463082</v>
      </c>
      <c r="B211" s="2" t="inlineStr">
        <is>
          <t>70</t>
        </is>
      </c>
      <c r="C211" s="2" t="inlineStr">
        <is>
          <t>M</t>
        </is>
      </c>
      <c r="D211" s="2" t="inlineStr">
        <is>
          <t>120.0</t>
        </is>
      </c>
      <c r="E211" s="4">
        <f>HYPERLINK("./Results/DLO\1192\Osteo_Sarco_1.png","RPT")</f>
        <v/>
      </c>
      <c r="F211" s="2" t="n">
        <v>126</v>
      </c>
      <c r="G211" s="6" t="n">
        <v>6</v>
      </c>
      <c r="I211" s="0" t="n"/>
      <c r="J211" s="0" t="n"/>
      <c r="K211" s="0" t="n"/>
      <c r="L211" t="inlineStr">
        <is>
          <t>Discovery CT750 HD</t>
        </is>
      </c>
      <c r="M211" t="inlineStr">
        <is>
          <t>HVP 3mm</t>
        </is>
      </c>
    </row>
    <row r="212">
      <c r="A212" s="2" t="n">
        <v>4491474</v>
      </c>
      <c r="B212" s="2" t="inlineStr">
        <is>
          <t>66</t>
        </is>
      </c>
      <c r="C212" s="2" t="inlineStr">
        <is>
          <t>M</t>
        </is>
      </c>
      <c r="D212" s="2" t="inlineStr">
        <is>
          <t>120.0</t>
        </is>
      </c>
      <c r="E212" s="4">
        <f>HYPERLINK("./Results/DLO\1193\Osteo_Sarco_1.png","RPT")</f>
        <v/>
      </c>
      <c r="F212" s="2" t="n">
        <v>142</v>
      </c>
      <c r="G212" s="6" t="n">
        <v>8</v>
      </c>
      <c r="H212" t="n">
        <v>21.09</v>
      </c>
      <c r="L212" t="inlineStr">
        <is>
          <t>iCT 256</t>
        </is>
      </c>
      <c r="M212" t="inlineStr">
        <is>
          <t>HVP 3/3mm, iDose (3)</t>
        </is>
      </c>
    </row>
    <row r="213">
      <c r="A213" s="2" t="n">
        <v>2159164</v>
      </c>
      <c r="B213" s="2" t="inlineStr">
        <is>
          <t>56</t>
        </is>
      </c>
      <c r="C213" s="2" t="inlineStr">
        <is>
          <t>F</t>
        </is>
      </c>
      <c r="D213" s="2" t="inlineStr">
        <is>
          <t>100.0</t>
        </is>
      </c>
      <c r="E213" s="4">
        <f>HYPERLINK("./Results/DLO\1194\Osteo_Sarco_1.png","RPT")</f>
        <v/>
      </c>
      <c r="F213" s="2" t="n">
        <v>116</v>
      </c>
      <c r="G213" s="6" t="n">
        <v>7</v>
      </c>
      <c r="H213" t="n">
        <v>29.24</v>
      </c>
      <c r="L213" t="inlineStr">
        <is>
          <t>Revolution CT</t>
        </is>
      </c>
      <c r="M213" t="inlineStr">
        <is>
          <t>HVP 3mm-pacs(66kg/132cc/3cc/x...</t>
        </is>
      </c>
    </row>
    <row r="214">
      <c r="A214" s="2" t="n">
        <v>3214639</v>
      </c>
      <c r="B214" s="2" t="inlineStr">
        <is>
          <t>45</t>
        </is>
      </c>
      <c r="C214" s="2" t="inlineStr">
        <is>
          <t>F</t>
        </is>
      </c>
      <c r="D214" s="2" t="inlineStr">
        <is>
          <t>100.0</t>
        </is>
      </c>
      <c r="E214" s="4">
        <f>HYPERLINK("./Results/DLO\1195\Osteo_Sarco_1.png","RPT")</f>
        <v/>
      </c>
      <c r="F214" s="2" t="n">
        <v>111</v>
      </c>
      <c r="G214" s="6" t="n">
        <v>12</v>
      </c>
      <c r="I214" s="0" t="n"/>
      <c r="J214" s="0" t="n"/>
      <c r="K214" s="0" t="n"/>
      <c r="L214" t="inlineStr">
        <is>
          <t>Revolution EVO</t>
        </is>
      </c>
      <c r="M214" t="inlineStr">
        <is>
          <t>PRE</t>
        </is>
      </c>
    </row>
    <row r="215">
      <c r="A215" s="2" t="n">
        <v>4431627</v>
      </c>
      <c r="B215" s="2" t="inlineStr">
        <is>
          <t>66</t>
        </is>
      </c>
      <c r="C215" s="2" t="inlineStr">
        <is>
          <t>M</t>
        </is>
      </c>
      <c r="D215" s="2" t="inlineStr">
        <is>
          <t>100.0</t>
        </is>
      </c>
      <c r="E215" s="4">
        <f>HYPERLINK("./Results/DLO\1196\Osteo_Sarco_1.png","RPT")</f>
        <v/>
      </c>
      <c r="F215" s="2" t="n">
        <v>130</v>
      </c>
      <c r="G215" s="6" t="n">
        <v>9</v>
      </c>
      <c r="I215" s="0" t="n"/>
      <c r="J215" s="0" t="n"/>
      <c r="K215" s="0" t="n"/>
      <c r="L215" t="inlineStr">
        <is>
          <t>SOMATOM Definition...</t>
        </is>
      </c>
      <c r="M215" t="inlineStr">
        <is>
          <t>Pre(CP~pubic) 3mm</t>
        </is>
      </c>
    </row>
    <row r="216">
      <c r="A216" s="2" t="n">
        <v>2960737</v>
      </c>
      <c r="B216" s="2" t="inlineStr">
        <is>
          <t>26</t>
        </is>
      </c>
      <c r="C216" s="2" t="inlineStr">
        <is>
          <t>F</t>
        </is>
      </c>
      <c r="D216" s="2" t="inlineStr">
        <is>
          <t>120.0</t>
        </is>
      </c>
      <c r="E216" s="4">
        <f>HYPERLINK("./Results/DLO\1197\Osteo_Sarco_1.png","RPT")</f>
        <v/>
      </c>
      <c r="F216" s="2" t="n">
        <v>100</v>
      </c>
      <c r="G216" s="6" t="n">
        <v>4</v>
      </c>
      <c r="I216" s="0" t="n"/>
      <c r="J216" s="0" t="n"/>
      <c r="K216" s="0" t="n"/>
      <c r="L216" t="inlineStr">
        <is>
          <t>LightSpeed VCT</t>
        </is>
      </c>
      <c r="M216" t="inlineStr">
        <is>
          <t>HVP 55sec 3mm</t>
        </is>
      </c>
    </row>
    <row r="217">
      <c r="A217" s="2" t="n">
        <v>2837360</v>
      </c>
      <c r="B217" s="2" t="inlineStr">
        <is>
          <t>48</t>
        </is>
      </c>
      <c r="C217" s="2" t="inlineStr">
        <is>
          <t>M</t>
        </is>
      </c>
      <c r="D217" s="2" t="inlineStr">
        <is>
          <t>100.0</t>
        </is>
      </c>
      <c r="E217" s="4">
        <f>HYPERLINK("./Results/DLO\1198\Osteo_Sarco_1.png","RPT")</f>
        <v/>
      </c>
      <c r="F217" s="2" t="n">
        <v>169</v>
      </c>
      <c r="G217" s="6" t="n">
        <v>12</v>
      </c>
      <c r="I217" s="0" t="n"/>
      <c r="J217" s="0" t="n"/>
      <c r="K217" s="0" t="n"/>
      <c r="L217" t="inlineStr">
        <is>
          <t>SOMATOM Definition...</t>
        </is>
      </c>
      <c r="M217" t="inlineStr">
        <is>
          <t>Pre(Abd) 3mm</t>
        </is>
      </c>
    </row>
    <row r="218">
      <c r="A218" s="2" t="n">
        <v>1684467</v>
      </c>
      <c r="B218" s="2" t="inlineStr">
        <is>
          <t>62</t>
        </is>
      </c>
      <c r="C218" s="2" t="inlineStr">
        <is>
          <t>M</t>
        </is>
      </c>
      <c r="D218" s="2" t="inlineStr">
        <is>
          <t>100.0</t>
        </is>
      </c>
      <c r="E218" s="4">
        <f>HYPERLINK("./Results/DLO\1199\Osteo_Sarco_1.png","RPT")</f>
        <v/>
      </c>
      <c r="F218" s="2" t="n">
        <v>185</v>
      </c>
      <c r="G218" s="6" t="n">
        <v>12</v>
      </c>
      <c r="I218" s="0" t="n"/>
      <c r="J218" s="0" t="n"/>
      <c r="K218" s="0" t="n"/>
      <c r="L218" t="inlineStr">
        <is>
          <t>LightSpeed VCT</t>
        </is>
      </c>
      <c r="M218" t="inlineStr">
        <is>
          <t>PRE (CP angle~Pubic)</t>
        </is>
      </c>
    </row>
    <row r="219">
      <c r="A219" s="2" t="n">
        <v>4947168</v>
      </c>
      <c r="B219" s="2" t="inlineStr">
        <is>
          <t>79</t>
        </is>
      </c>
      <c r="C219" s="2" t="inlineStr">
        <is>
          <t>F</t>
        </is>
      </c>
      <c r="D219" s="2" t="inlineStr">
        <is>
          <t>100.0</t>
        </is>
      </c>
      <c r="E219" s="4">
        <f>HYPERLINK("./Results/DLO\12\Osteo_Sarco_1.png","RPT")</f>
        <v/>
      </c>
      <c r="F219" s="2" t="n">
        <v>104</v>
      </c>
      <c r="G219" s="6" t="n">
        <v>25</v>
      </c>
      <c r="I219" s="0" t="n"/>
      <c r="J219" s="0" t="n"/>
      <c r="K219" s="0" t="n"/>
      <c r="L219" t="inlineStr">
        <is>
          <t>iCT 256</t>
        </is>
      </c>
      <c r="M219" t="inlineStr">
        <is>
          <t>HVP 3/3mm, iDose (3)</t>
        </is>
      </c>
    </row>
    <row r="220">
      <c r="A220" s="2" t="n">
        <v>4716914</v>
      </c>
      <c r="B220" s="2" t="inlineStr">
        <is>
          <t>61</t>
        </is>
      </c>
      <c r="C220" s="2" t="inlineStr">
        <is>
          <t>M</t>
        </is>
      </c>
      <c r="D220" s="2" t="inlineStr">
        <is>
          <t>100.0</t>
        </is>
      </c>
      <c r="E220" s="4">
        <f>HYPERLINK("./Results/DLO\120\Osteo_Sarco_1.png","RPT")</f>
        <v/>
      </c>
      <c r="F220" s="2" t="n">
        <v>156</v>
      </c>
      <c r="G220" s="6" t="n">
        <v>9</v>
      </c>
      <c r="I220" s="0" t="n"/>
      <c r="J220" s="0" t="n"/>
      <c r="K220" s="0" t="n"/>
      <c r="L220" t="inlineStr">
        <is>
          <t>Revolution CT</t>
        </is>
      </c>
      <c r="M220" t="inlineStr">
        <is>
          <t>HVP 3mm-pacs(69kg/138cc/3cc/x...</t>
        </is>
      </c>
    </row>
    <row r="221">
      <c r="A221" s="2" t="n">
        <v>4441503</v>
      </c>
      <c r="B221" s="2" t="inlineStr">
        <is>
          <t>63</t>
        </is>
      </c>
      <c r="C221" s="2" t="inlineStr">
        <is>
          <t>F</t>
        </is>
      </c>
      <c r="D221" s="2" t="inlineStr">
        <is>
          <t>130.0</t>
        </is>
      </c>
      <c r="E221" s="4">
        <f>HYPERLINK("./Results/DLO\1200\Osteo_Sarco_1.png","RPT")</f>
        <v/>
      </c>
      <c r="F221" s="2" t="n">
        <v>103</v>
      </c>
      <c r="G221" s="6" t="n">
        <v>12</v>
      </c>
      <c r="I221" s="0" t="n"/>
      <c r="J221" s="0" t="n"/>
      <c r="K221" s="0" t="n"/>
      <c r="L221" t="inlineStr">
        <is>
          <t>SOMATOM Scope</t>
        </is>
      </c>
      <c r="M221" t="inlineStr">
        <is>
          <t>Abdomen pre 5.0 B40s</t>
        </is>
      </c>
    </row>
    <row r="222">
      <c r="A222" s="2" t="n">
        <v>3442394</v>
      </c>
      <c r="B222" s="2" t="inlineStr">
        <is>
          <t>61</t>
        </is>
      </c>
      <c r="C222" s="2" t="inlineStr">
        <is>
          <t>F</t>
        </is>
      </c>
      <c r="D222" s="2" t="inlineStr">
        <is>
          <t>100.0</t>
        </is>
      </c>
      <c r="E222" s="4">
        <f>HYPERLINK("./Results/DLO\1201\Osteo_Sarco_1.png","RPT")</f>
        <v/>
      </c>
      <c r="F222" s="2" t="n">
        <v>91</v>
      </c>
      <c r="G222" s="6" t="n">
        <v>5</v>
      </c>
      <c r="I222" s="0" t="n"/>
      <c r="J222" s="0" t="n"/>
      <c r="K222" s="0" t="n"/>
      <c r="L222" t="inlineStr">
        <is>
          <t>SOMATOM Definition...</t>
        </is>
      </c>
      <c r="M222" t="inlineStr">
        <is>
          <t>LAP 2 3mm(48kg/96ml/2.5mlI/h...</t>
        </is>
      </c>
    </row>
    <row r="223">
      <c r="A223" s="2" t="n">
        <v>1720347</v>
      </c>
      <c r="B223" s="2" t="inlineStr">
        <is>
          <t>51</t>
        </is>
      </c>
      <c r="C223" s="2" t="inlineStr">
        <is>
          <t>F</t>
        </is>
      </c>
      <c r="D223" s="2" t="inlineStr">
        <is>
          <t>100.0</t>
        </is>
      </c>
      <c r="E223" s="4">
        <f>HYPERLINK("./Results/DLO\1202\Osteo_Sarco_1.png","RPT")</f>
        <v/>
      </c>
      <c r="F223" s="2" t="n">
        <v>117</v>
      </c>
      <c r="G223" s="6" t="n">
        <v>9</v>
      </c>
      <c r="I223" s="0" t="n"/>
      <c r="J223" s="0" t="n"/>
      <c r="K223" s="0" t="n"/>
      <c r="L223" t="inlineStr">
        <is>
          <t>SOMATOM Definition...</t>
        </is>
      </c>
      <c r="M223" t="inlineStr">
        <is>
          <t>LAP 2 3mm(57kg/114ml/3ml/radi</t>
        </is>
      </c>
    </row>
    <row r="224">
      <c r="A224" s="2" t="n">
        <v>3240308</v>
      </c>
      <c r="B224" s="2" t="inlineStr">
        <is>
          <t>38</t>
        </is>
      </c>
      <c r="C224" s="2" t="inlineStr">
        <is>
          <t>F</t>
        </is>
      </c>
      <c r="D224" s="2" t="inlineStr">
        <is>
          <t>100.0</t>
        </is>
      </c>
      <c r="E224" s="4">
        <f>HYPERLINK("./Results/DLO\1203\Osteo_Sarco_1.png","RPT")</f>
        <v/>
      </c>
      <c r="F224" s="2" t="n">
        <v>86</v>
      </c>
      <c r="G224" s="6" t="n">
        <v>6</v>
      </c>
      <c r="H224" t="n">
        <v>18.29</v>
      </c>
      <c r="L224" t="inlineStr">
        <is>
          <t>SOMATOM Definition...</t>
        </is>
      </c>
      <c r="M224" t="inlineStr">
        <is>
          <t>Pre 3mm</t>
        </is>
      </c>
    </row>
    <row r="225">
      <c r="A225" s="2" t="n">
        <v>3516822</v>
      </c>
      <c r="B225" s="2" t="inlineStr">
        <is>
          <t>34</t>
        </is>
      </c>
      <c r="C225" s="2" t="inlineStr">
        <is>
          <t>M</t>
        </is>
      </c>
      <c r="D225" s="2" t="inlineStr">
        <is>
          <t>100.0</t>
        </is>
      </c>
      <c r="E225" s="4">
        <f>HYPERLINK("./Results/DLO\1204\Osteo_Sarco_1.png","RPT")</f>
        <v/>
      </c>
      <c r="F225" s="2" t="n">
        <v>174</v>
      </c>
      <c r="G225" s="6" t="n">
        <v>13</v>
      </c>
      <c r="I225" s="0" t="n"/>
      <c r="J225" s="0" t="n"/>
      <c r="K225" s="0" t="n"/>
      <c r="L225" t="inlineStr">
        <is>
          <t>LightSpeed VCT</t>
        </is>
      </c>
      <c r="M225" t="inlineStr">
        <is>
          <t>PRE 3mm axial</t>
        </is>
      </c>
    </row>
    <row r="226">
      <c r="A226" s="2" t="n">
        <v>4760814</v>
      </c>
      <c r="B226" s="2" t="inlineStr">
        <is>
          <t>48</t>
        </is>
      </c>
      <c r="C226" s="2" t="inlineStr">
        <is>
          <t>M</t>
        </is>
      </c>
      <c r="D226" s="2" t="inlineStr">
        <is>
          <t>100.0</t>
        </is>
      </c>
      <c r="E226" s="4">
        <f>HYPERLINK("./Results/DLO\1205\Osteo_Sarco_1.png","RPT")</f>
        <v/>
      </c>
      <c r="F226" s="2" t="n">
        <v>185</v>
      </c>
      <c r="G226" s="6" t="n">
        <v>13</v>
      </c>
      <c r="I226" s="0" t="n"/>
      <c r="J226" s="0" t="n"/>
      <c r="K226" s="0" t="n"/>
      <c r="L226" t="inlineStr">
        <is>
          <t>Sensation 64</t>
        </is>
      </c>
      <c r="M226" t="inlineStr">
        <is>
          <t>Pre 3/3mm</t>
        </is>
      </c>
    </row>
    <row r="227">
      <c r="A227" s="2" t="n">
        <v>4923216</v>
      </c>
      <c r="B227" s="2" t="inlineStr">
        <is>
          <t>48</t>
        </is>
      </c>
      <c r="C227" s="2" t="inlineStr">
        <is>
          <t>F</t>
        </is>
      </c>
      <c r="D227" s="2" t="inlineStr">
        <is>
          <t>100.0</t>
        </is>
      </c>
      <c r="E227" s="4">
        <f>HYPERLINK("./Results/DLO\1206\Osteo_Sarco_1.png","RPT")</f>
        <v/>
      </c>
      <c r="F227" s="2" t="n">
        <v>105</v>
      </c>
      <c r="G227" s="6" t="n">
        <v>13</v>
      </c>
      <c r="I227" s="0" t="n"/>
      <c r="J227" s="0" t="n"/>
      <c r="K227" s="0" t="n"/>
      <c r="L227" t="inlineStr">
        <is>
          <t>Revolution CT</t>
        </is>
      </c>
      <c r="M227" t="inlineStr">
        <is>
          <t>HVP 3mm(60kg/120cc/3.0cc/RADI...</t>
        </is>
      </c>
    </row>
    <row r="228">
      <c r="A228" s="2" t="n">
        <v>3029402</v>
      </c>
      <c r="B228" s="2" t="inlineStr">
        <is>
          <t>80</t>
        </is>
      </c>
      <c r="C228" s="2" t="inlineStr">
        <is>
          <t>F</t>
        </is>
      </c>
      <c r="D228" s="2" t="inlineStr">
        <is>
          <t>100.0</t>
        </is>
      </c>
      <c r="E228" s="4">
        <f>HYPERLINK("./Results/DLO\1207\Osteo_Sarco_1.png","RPT")</f>
        <v/>
      </c>
      <c r="F228" s="2" t="n">
        <v>112</v>
      </c>
      <c r="G228" s="6" t="n">
        <v>19</v>
      </c>
      <c r="I228" s="0" t="n"/>
      <c r="J228" s="0" t="n"/>
      <c r="K228" s="0" t="n"/>
      <c r="L228" t="inlineStr">
        <is>
          <t>SOMATOM Force</t>
        </is>
      </c>
      <c r="M228" t="inlineStr">
        <is>
          <t>Pre 3.0 Br40 2</t>
        </is>
      </c>
    </row>
    <row r="229">
      <c r="A229" s="2" t="n">
        <v>2304617</v>
      </c>
      <c r="B229" s="2" t="inlineStr">
        <is>
          <t>29</t>
        </is>
      </c>
      <c r="C229" s="2" t="inlineStr">
        <is>
          <t>M</t>
        </is>
      </c>
      <c r="D229" s="2" t="inlineStr">
        <is>
          <t>100.0</t>
        </is>
      </c>
      <c r="E229" s="4">
        <f>HYPERLINK("./Results/DLO\1208\Osteo_Sarco_1.png","RPT")</f>
        <v/>
      </c>
      <c r="F229" s="2" t="n">
        <v>181</v>
      </c>
      <c r="G229" s="6" t="n">
        <v>22</v>
      </c>
      <c r="I229" s="0" t="n"/>
      <c r="J229" s="0" t="n"/>
      <c r="K229" s="0" t="n"/>
      <c r="L229" t="inlineStr">
        <is>
          <t>Revolution EVO</t>
        </is>
      </c>
      <c r="M229" t="inlineStr">
        <is>
          <t>PRE</t>
        </is>
      </c>
    </row>
    <row r="230">
      <c r="A230" s="2" t="n">
        <v>4084754</v>
      </c>
      <c r="B230" s="2" t="inlineStr">
        <is>
          <t>42</t>
        </is>
      </c>
      <c r="C230" s="2" t="inlineStr">
        <is>
          <t>F</t>
        </is>
      </c>
      <c r="D230" s="2" t="inlineStr">
        <is>
          <t>100.0</t>
        </is>
      </c>
      <c r="E230" s="4">
        <f>HYPERLINK("./Results/DLO\1209\Osteo_Sarco_1.png","RPT")</f>
        <v/>
      </c>
      <c r="F230" s="2" t="n">
        <v>113</v>
      </c>
      <c r="G230" s="6" t="n">
        <v>8</v>
      </c>
      <c r="I230" s="0" t="n"/>
      <c r="J230" s="0" t="n"/>
      <c r="K230" s="0" t="n"/>
      <c r="L230" t="inlineStr">
        <is>
          <t>Revolution EVO</t>
        </is>
      </c>
      <c r="M230" t="inlineStr">
        <is>
          <t>PRE</t>
        </is>
      </c>
    </row>
    <row r="231">
      <c r="A231" s="2" t="n">
        <v>258948</v>
      </c>
      <c r="B231" s="2" t="inlineStr">
        <is>
          <t>58</t>
        </is>
      </c>
      <c r="C231" s="2" t="inlineStr">
        <is>
          <t>M</t>
        </is>
      </c>
      <c r="D231" s="2" t="inlineStr">
        <is>
          <t>100.0</t>
        </is>
      </c>
      <c r="E231" s="4">
        <f>HYPERLINK("./Results/DLO\121\Osteo_Sarco_1.png","RPT")</f>
        <v/>
      </c>
      <c r="F231" s="2" t="n">
        <v>160</v>
      </c>
      <c r="G231" s="6" t="n">
        <v>7</v>
      </c>
      <c r="I231" s="0" t="n"/>
      <c r="J231" s="0" t="n"/>
      <c r="K231" s="0" t="n"/>
      <c r="L231" t="inlineStr">
        <is>
          <t>Revolution EVO</t>
        </is>
      </c>
      <c r="M231" t="inlineStr">
        <is>
          <t>PRE</t>
        </is>
      </c>
    </row>
    <row r="232">
      <c r="A232" s="2" t="n">
        <v>1882368</v>
      </c>
      <c r="B232" s="2" t="inlineStr">
        <is>
          <t>60</t>
        </is>
      </c>
      <c r="C232" s="2" t="inlineStr">
        <is>
          <t>M</t>
        </is>
      </c>
      <c r="D232" s="2" t="inlineStr">
        <is>
          <t>100.0</t>
        </is>
      </c>
      <c r="E232" s="4">
        <f>HYPERLINK("./Results/DLO\1210\Osteo_Sarco_1.png","RPT")</f>
        <v/>
      </c>
      <c r="F232" s="2" t="n">
        <v>169</v>
      </c>
      <c r="G232" s="6" t="n">
        <v>6</v>
      </c>
      <c r="I232" s="0" t="n"/>
      <c r="J232" s="0" t="n"/>
      <c r="K232" s="0" t="n"/>
      <c r="L232" t="inlineStr">
        <is>
          <t>Revolution CT</t>
        </is>
      </c>
      <c r="M232" t="inlineStr">
        <is>
          <t>HVP 3mm(70kg/140cc/3cc/omni)</t>
        </is>
      </c>
    </row>
    <row r="233">
      <c r="A233" s="2" t="n">
        <v>3537711</v>
      </c>
      <c r="B233" s="2" t="inlineStr">
        <is>
          <t>61</t>
        </is>
      </c>
      <c r="C233" s="2" t="inlineStr">
        <is>
          <t>F</t>
        </is>
      </c>
      <c r="D233" s="2" t="inlineStr">
        <is>
          <t>100.0</t>
        </is>
      </c>
      <c r="E233" s="4">
        <f>HYPERLINK("./Results/DLO\1211\Osteo_Sarco_1.png","RPT")</f>
        <v/>
      </c>
      <c r="F233" s="2" t="n">
        <v>90</v>
      </c>
      <c r="G233" s="6" t="n">
        <v>9</v>
      </c>
      <c r="I233" s="0" t="n"/>
      <c r="J233" s="0" t="n"/>
      <c r="K233" s="0" t="n"/>
      <c r="L233" t="inlineStr">
        <is>
          <t>Revolution EVO</t>
        </is>
      </c>
      <c r="M233" t="inlineStr">
        <is>
          <t>Abdomen Pre 2.5mm</t>
        </is>
      </c>
    </row>
    <row r="234">
      <c r="A234" s="2" t="n">
        <v>3282797</v>
      </c>
      <c r="B234" s="2" t="inlineStr">
        <is>
          <t>72</t>
        </is>
      </c>
      <c r="C234" s="2" t="inlineStr">
        <is>
          <t>M</t>
        </is>
      </c>
      <c r="D234" s="2" t="inlineStr">
        <is>
          <t>100.0</t>
        </is>
      </c>
      <c r="E234" s="4">
        <f>HYPERLINK("./Results/DLO\1212\Osteo_Sarco_1.png","RPT")</f>
        <v/>
      </c>
      <c r="F234" s="2" t="inlineStr">
        <is>
          <t>118</t>
        </is>
      </c>
      <c r="G234" s="6" t="n"/>
      <c r="I234" s="0" t="n"/>
      <c r="J234" s="0" t="n"/>
      <c r="K234" s="0" t="n"/>
      <c r="L234" t="inlineStr">
        <is>
          <t>Revolution CT</t>
        </is>
      </c>
      <c r="M234" t="inlineStr">
        <is>
          <t>PRE 3mm</t>
        </is>
      </c>
    </row>
    <row r="235">
      <c r="A235" s="2" t="n">
        <v>4508630</v>
      </c>
      <c r="B235" s="2" t="inlineStr">
        <is>
          <t>85</t>
        </is>
      </c>
      <c r="C235" s="2" t="inlineStr">
        <is>
          <t>M</t>
        </is>
      </c>
      <c r="D235" s="2" t="inlineStr">
        <is>
          <t>100.0</t>
        </is>
      </c>
      <c r="E235" s="4">
        <f>HYPERLINK("./Results/DLO\1213\Osteo_Sarco_1.png","RPT")</f>
        <v/>
      </c>
      <c r="F235" s="2" t="n">
        <v>152</v>
      </c>
      <c r="G235" s="6" t="n">
        <v>14</v>
      </c>
      <c r="I235" s="0" t="n"/>
      <c r="J235" s="0" t="n"/>
      <c r="K235" s="0" t="n"/>
      <c r="L235" t="inlineStr">
        <is>
          <t>SOMATOM Definition...</t>
        </is>
      </c>
      <c r="M235" t="inlineStr">
        <is>
          <t>HVP 2 3mm(80kg/140cc/2.7cc/...</t>
        </is>
      </c>
    </row>
    <row r="236">
      <c r="A236" s="2" t="n">
        <v>3258536</v>
      </c>
      <c r="B236" s="2" t="inlineStr">
        <is>
          <t>66</t>
        </is>
      </c>
      <c r="C236" s="2" t="inlineStr">
        <is>
          <t>F</t>
        </is>
      </c>
      <c r="D236" s="2" t="inlineStr">
        <is>
          <t>100.0</t>
        </is>
      </c>
      <c r="E236" s="4">
        <f>HYPERLINK("./Results/DLO\1215\Osteo_Sarco_1.png","RPT")</f>
        <v/>
      </c>
      <c r="F236" s="2" t="n">
        <v>112</v>
      </c>
      <c r="G236" s="6" t="n">
        <v>13</v>
      </c>
      <c r="I236" s="0" t="n"/>
      <c r="J236" s="0" t="n"/>
      <c r="K236" s="0" t="n"/>
      <c r="L236" t="inlineStr">
        <is>
          <t>Revolution CT</t>
        </is>
      </c>
      <c r="M236" t="inlineStr">
        <is>
          <t>Pre Axial 3mm</t>
        </is>
      </c>
    </row>
    <row r="237">
      <c r="A237" s="2" t="n">
        <v>1704364</v>
      </c>
      <c r="B237" s="2" t="inlineStr">
        <is>
          <t>81</t>
        </is>
      </c>
      <c r="C237" s="2" t="inlineStr">
        <is>
          <t>F</t>
        </is>
      </c>
      <c r="D237" s="2" t="inlineStr">
        <is>
          <t>100.0</t>
        </is>
      </c>
      <c r="E237" s="4">
        <f>HYPERLINK("./Results/DLO\1216\Osteo_Sarco_1.png","RPT")</f>
        <v/>
      </c>
      <c r="F237" s="2" t="n">
        <v>102</v>
      </c>
      <c r="G237" s="6" t="n">
        <v>24</v>
      </c>
      <c r="H237" t="n">
        <v>21.96</v>
      </c>
      <c r="L237" t="inlineStr">
        <is>
          <t>Revolution EVO</t>
        </is>
      </c>
      <c r="M237" t="inlineStr">
        <is>
          <t>PRE</t>
        </is>
      </c>
    </row>
    <row r="238">
      <c r="A238" s="2" t="n">
        <v>3579607</v>
      </c>
      <c r="B238" s="2" t="inlineStr">
        <is>
          <t>61</t>
        </is>
      </c>
      <c r="C238" s="2" t="inlineStr">
        <is>
          <t>M</t>
        </is>
      </c>
      <c r="D238" s="2" t="inlineStr">
        <is>
          <t>100.0</t>
        </is>
      </c>
      <c r="E238" s="4">
        <f>HYPERLINK("./Results/DLO\1217\Osteo_Sarco_1.png","RPT")</f>
        <v/>
      </c>
      <c r="F238" s="2" t="n">
        <v>150</v>
      </c>
      <c r="G238" s="6" t="n">
        <v>5</v>
      </c>
      <c r="H238" t="n">
        <v>20.76</v>
      </c>
      <c r="L238" t="inlineStr">
        <is>
          <t>SOMATOM Definition...</t>
        </is>
      </c>
      <c r="M238" t="inlineStr">
        <is>
          <t>HVP 2 3mm (62kg/124cc/3cc/h...</t>
        </is>
      </c>
    </row>
    <row r="239">
      <c r="A239" s="2" t="n">
        <v>2782956</v>
      </c>
      <c r="B239" s="2" t="inlineStr">
        <is>
          <t>47</t>
        </is>
      </c>
      <c r="C239" s="2" t="inlineStr">
        <is>
          <t>F</t>
        </is>
      </c>
      <c r="D239" s="2" t="inlineStr">
        <is>
          <t>80.0</t>
        </is>
      </c>
      <c r="E239" s="4">
        <f>HYPERLINK("./Results/DLO\1218\Osteo_Sarco_1.png","RPT")</f>
        <v/>
      </c>
      <c r="F239" s="2" t="n">
        <v>89</v>
      </c>
      <c r="G239" s="6" t="n">
        <v>3</v>
      </c>
      <c r="I239" s="0" t="n"/>
      <c r="J239" s="0" t="n"/>
      <c r="K239" s="0" t="n"/>
      <c r="L239" t="inlineStr">
        <is>
          <t>SOMATOM Definition...</t>
        </is>
      </c>
      <c r="M239" t="inlineStr">
        <is>
          <t>HVP 2 3mm(43kg/86cc/2.5cc/radi)</t>
        </is>
      </c>
    </row>
    <row r="240">
      <c r="A240" s="2" t="n">
        <v>2216842</v>
      </c>
      <c r="B240" s="2" t="inlineStr">
        <is>
          <t>62</t>
        </is>
      </c>
      <c r="C240" s="2" t="inlineStr">
        <is>
          <t>M</t>
        </is>
      </c>
      <c r="D240" s="2" t="inlineStr">
        <is>
          <t>120.0</t>
        </is>
      </c>
      <c r="E240" s="4">
        <f>HYPERLINK("./Results/DLO\1219\Osteo_Sarco_1.png","RPT")</f>
        <v/>
      </c>
      <c r="F240" s="2" t="n">
        <v>165</v>
      </c>
      <c r="G240" s="6" t="n">
        <v>13</v>
      </c>
      <c r="H240" t="n">
        <v>24.07</v>
      </c>
      <c r="L240" t="inlineStr">
        <is>
          <t>iCT 256</t>
        </is>
      </c>
      <c r="M240" t="inlineStr">
        <is>
          <t>HVP 3/3mm, iDose (3)</t>
        </is>
      </c>
    </row>
    <row r="241">
      <c r="A241" s="2" t="n">
        <v>4166577</v>
      </c>
      <c r="B241" s="2" t="inlineStr">
        <is>
          <t>70</t>
        </is>
      </c>
      <c r="C241" s="2" t="inlineStr">
        <is>
          <t>F</t>
        </is>
      </c>
      <c r="D241" s="2" t="inlineStr">
        <is>
          <t>100.0</t>
        </is>
      </c>
      <c r="E241" s="4">
        <f>HYPERLINK("./Results/DLO\122\Osteo_Sarco_1.png","RPT")</f>
        <v/>
      </c>
      <c r="F241" s="2" t="n">
        <v>102</v>
      </c>
      <c r="G241" s="6" t="n">
        <v>17</v>
      </c>
      <c r="I241" s="0" t="n"/>
      <c r="J241" s="0" t="n"/>
      <c r="K241" s="0" t="n"/>
      <c r="L241" t="inlineStr">
        <is>
          <t>SOMATOM Definition...</t>
        </is>
      </c>
      <c r="M241" t="inlineStr">
        <is>
          <t>NonCon Abd 3mm</t>
        </is>
      </c>
    </row>
    <row r="242">
      <c r="A242" s="2" t="n">
        <v>4371724</v>
      </c>
      <c r="B242" s="2" t="inlineStr">
        <is>
          <t>70</t>
        </is>
      </c>
      <c r="C242" s="2" t="inlineStr">
        <is>
          <t>M</t>
        </is>
      </c>
      <c r="D242" s="2" t="inlineStr">
        <is>
          <t>120.0</t>
        </is>
      </c>
      <c r="E242" s="4">
        <f>HYPERLINK("./Results/DLO\1220\Osteo_Sarco_1.png","RPT")</f>
        <v/>
      </c>
      <c r="F242" s="2" t="n">
        <v>123</v>
      </c>
      <c r="G242" s="6" t="n">
        <v>14</v>
      </c>
      <c r="I242" s="0" t="n"/>
      <c r="J242" s="0" t="n"/>
      <c r="K242" s="0" t="n"/>
      <c r="L242" t="inlineStr">
        <is>
          <t>iCT 256</t>
        </is>
      </c>
      <c r="M242" t="inlineStr">
        <is>
          <t>HVP 3/3mm, iDose (3)</t>
        </is>
      </c>
    </row>
    <row r="243">
      <c r="A243" s="2" t="n">
        <v>3306307</v>
      </c>
      <c r="B243" s="2" t="inlineStr">
        <is>
          <t>34</t>
        </is>
      </c>
      <c r="C243" s="2" t="inlineStr">
        <is>
          <t>M</t>
        </is>
      </c>
      <c r="D243" s="2" t="inlineStr">
        <is>
          <t>120.0</t>
        </is>
      </c>
      <c r="E243" s="4">
        <f>HYPERLINK("./Results/DLO\1221\Osteo_Sarco_1.png","RPT")</f>
        <v/>
      </c>
      <c r="F243" s="2" t="n">
        <v>209</v>
      </c>
      <c r="G243" s="6" t="n">
        <v>9</v>
      </c>
      <c r="I243" s="0" t="n"/>
      <c r="J243" s="0" t="n"/>
      <c r="K243" s="0" t="n"/>
      <c r="L243" t="inlineStr">
        <is>
          <t>Discovery CT750 HD</t>
        </is>
      </c>
      <c r="M243" t="inlineStr">
        <is>
          <t>HVP 3mm</t>
        </is>
      </c>
    </row>
    <row r="244">
      <c r="A244" s="2" t="n">
        <v>2452841</v>
      </c>
      <c r="B244" s="2" t="inlineStr">
        <is>
          <t>70</t>
        </is>
      </c>
      <c r="C244" s="2" t="inlineStr">
        <is>
          <t>M</t>
        </is>
      </c>
      <c r="D244" s="2" t="inlineStr">
        <is>
          <t>100.0</t>
        </is>
      </c>
      <c r="E244" s="4">
        <f>HYPERLINK("./Results/DLO\1222\Osteo_Sarco_1.png","RPT")</f>
        <v/>
      </c>
      <c r="F244" s="2" t="n">
        <v>139</v>
      </c>
      <c r="G244" s="6" t="n">
        <v>10</v>
      </c>
      <c r="H244" t="n">
        <v>25.74</v>
      </c>
      <c r="L244" t="inlineStr">
        <is>
          <t>Revolution CT</t>
        </is>
      </c>
      <c r="M244" t="inlineStr">
        <is>
          <t>Pre Axial 3mm</t>
        </is>
      </c>
    </row>
    <row r="245">
      <c r="A245" s="2" t="n">
        <v>1676412</v>
      </c>
      <c r="B245" s="2" t="inlineStr">
        <is>
          <t>46</t>
        </is>
      </c>
      <c r="C245" s="2" t="inlineStr">
        <is>
          <t>M</t>
        </is>
      </c>
      <c r="D245" s="2" t="inlineStr">
        <is>
          <t>100.0</t>
        </is>
      </c>
      <c r="E245" s="4">
        <f>HYPERLINK("./Results/DLO\1223\Osteo_Sarco_1.png","RPT")</f>
        <v/>
      </c>
      <c r="F245" s="2" t="n">
        <v>207</v>
      </c>
      <c r="G245" s="6" t="n">
        <v>15</v>
      </c>
      <c r="I245" s="0" t="n"/>
      <c r="J245" s="0" t="n"/>
      <c r="K245" s="0" t="n"/>
      <c r="L245" t="inlineStr">
        <is>
          <t>Sensation 64</t>
        </is>
      </c>
      <c r="M245" t="inlineStr">
        <is>
          <t>Pre 3mm(100kvp100mAs)</t>
        </is>
      </c>
    </row>
    <row r="246">
      <c r="A246" s="2" t="n">
        <v>2560628</v>
      </c>
      <c r="B246" s="2" t="inlineStr">
        <is>
          <t>58</t>
        </is>
      </c>
      <c r="C246" s="2" t="inlineStr">
        <is>
          <t>M</t>
        </is>
      </c>
      <c r="D246" s="2" t="inlineStr">
        <is>
          <t>100.0</t>
        </is>
      </c>
      <c r="E246" s="4">
        <f>HYPERLINK("./Results/DLO\1224\Osteo_Sarco_1.png","RPT")</f>
        <v/>
      </c>
      <c r="F246" s="2" t="n">
        <v>161</v>
      </c>
      <c r="G246" s="6" t="n">
        <v>10</v>
      </c>
      <c r="I246" s="0" t="n"/>
      <c r="J246" s="0" t="n"/>
      <c r="K246" s="0" t="n"/>
      <c r="L246" t="inlineStr">
        <is>
          <t>Revolution CT</t>
        </is>
      </c>
      <c r="M246" t="inlineStr">
        <is>
          <t>HVP 3mm(81kg/145cc/3cc/ultdeu)</t>
        </is>
      </c>
    </row>
    <row r="247">
      <c r="A247" s="2" t="n">
        <v>2604271</v>
      </c>
      <c r="B247" s="2" t="inlineStr">
        <is>
          <t>67</t>
        </is>
      </c>
      <c r="C247" s="2" t="inlineStr">
        <is>
          <t>M</t>
        </is>
      </c>
      <c r="D247" s="2" t="inlineStr">
        <is>
          <t>100.0</t>
        </is>
      </c>
      <c r="E247" s="4">
        <f>HYPERLINK("./Results/DLO\1225\Osteo_Sarco_1.png","RPT")</f>
        <v/>
      </c>
      <c r="F247" s="2" t="n">
        <v>130</v>
      </c>
      <c r="G247" s="6" t="n">
        <v>9</v>
      </c>
      <c r="H247" t="n">
        <v>27.48</v>
      </c>
      <c r="L247" t="inlineStr">
        <is>
          <t>SOMATOM Definition...</t>
        </is>
      </c>
      <c r="M247" t="inlineStr">
        <is>
          <t>Pre 3mm</t>
        </is>
      </c>
    </row>
    <row r="248">
      <c r="A248" s="2" t="n">
        <v>2802181</v>
      </c>
      <c r="B248" s="2" t="inlineStr">
        <is>
          <t>48</t>
        </is>
      </c>
      <c r="C248" s="2" t="inlineStr">
        <is>
          <t>M</t>
        </is>
      </c>
      <c r="D248" s="2" t="inlineStr">
        <is>
          <t>120.0</t>
        </is>
      </c>
      <c r="E248" s="4">
        <f>HYPERLINK("./Results/DLO\1226\Osteo_Sarco_1.png","RPT")</f>
        <v/>
      </c>
      <c r="F248" s="2" t="n">
        <v>171</v>
      </c>
      <c r="G248" s="6" t="n">
        <v>10</v>
      </c>
      <c r="I248" s="0" t="n"/>
      <c r="J248" s="0" t="n"/>
      <c r="K248" s="0" t="n"/>
      <c r="L248" t="inlineStr">
        <is>
          <t>iCT 256</t>
        </is>
      </c>
      <c r="M248" t="inlineStr">
        <is>
          <t>Pre 3/3mm, iDose (3)</t>
        </is>
      </c>
    </row>
    <row r="249">
      <c r="A249" s="2" t="n">
        <v>4681634</v>
      </c>
      <c r="B249" s="2" t="inlineStr">
        <is>
          <t>59</t>
        </is>
      </c>
      <c r="C249" s="2" t="inlineStr">
        <is>
          <t>M</t>
        </is>
      </c>
      <c r="D249" s="2" t="inlineStr">
        <is>
          <t>120.0</t>
        </is>
      </c>
      <c r="E249" s="4">
        <f>HYPERLINK("./Results/DLO\1227\Osteo_Sarco_1.png","RPT")</f>
        <v/>
      </c>
      <c r="F249" s="2" t="n">
        <v>180</v>
      </c>
      <c r="G249" s="6" t="n">
        <v>5</v>
      </c>
      <c r="H249" t="n">
        <v>26.37</v>
      </c>
      <c r="L249" t="inlineStr">
        <is>
          <t>LightSpeed VCT</t>
        </is>
      </c>
      <c r="M249" t="inlineStr">
        <is>
          <t>HVP 3mm</t>
        </is>
      </c>
    </row>
    <row r="250">
      <c r="A250" s="2" t="n">
        <v>3326553</v>
      </c>
      <c r="B250" s="2" t="inlineStr">
        <is>
          <t>60</t>
        </is>
      </c>
      <c r="C250" s="2" t="inlineStr">
        <is>
          <t>M</t>
        </is>
      </c>
      <c r="D250" s="2" t="inlineStr">
        <is>
          <t>100.0</t>
        </is>
      </c>
      <c r="E250" s="4">
        <f>HYPERLINK("./Results/DLO\1228\Osteo_Sarco_1.png","RPT")</f>
        <v/>
      </c>
      <c r="F250" s="2" t="n">
        <v>137</v>
      </c>
      <c r="G250" s="6" t="n">
        <v>5</v>
      </c>
      <c r="I250" s="0" t="n"/>
      <c r="J250" s="0" t="n"/>
      <c r="K250" s="0" t="n"/>
      <c r="L250" t="inlineStr">
        <is>
          <t>Revolution CT</t>
        </is>
      </c>
      <c r="M250" t="inlineStr">
        <is>
          <t>HVP 3mm-pacs(54kg/108cc/3cc/x...</t>
        </is>
      </c>
    </row>
    <row r="251">
      <c r="A251" s="2" t="n">
        <v>4403874</v>
      </c>
      <c r="B251" s="2" t="inlineStr">
        <is>
          <t>60</t>
        </is>
      </c>
      <c r="C251" s="2" t="inlineStr">
        <is>
          <t>M</t>
        </is>
      </c>
      <c r="D251" s="2" t="inlineStr">
        <is>
          <t>100.0</t>
        </is>
      </c>
      <c r="E251" s="4">
        <f>HYPERLINK("./Results/DLO\1229\Osteo_Sarco_1.png","RPT")</f>
        <v/>
      </c>
      <c r="F251" s="2" t="n">
        <v>127</v>
      </c>
      <c r="G251" s="6" t="n">
        <v>11</v>
      </c>
      <c r="I251" s="0" t="n"/>
      <c r="J251" s="0" t="n"/>
      <c r="K251" s="0" t="n"/>
      <c r="L251" t="inlineStr">
        <is>
          <t>SOMATOM Definition...</t>
        </is>
      </c>
      <c r="M251" t="inlineStr">
        <is>
          <t>Pre 3mm</t>
        </is>
      </c>
    </row>
    <row r="252">
      <c r="A252" s="2" t="n">
        <v>2086648</v>
      </c>
      <c r="B252" s="2" t="inlineStr">
        <is>
          <t>72</t>
        </is>
      </c>
      <c r="C252" s="2" t="inlineStr">
        <is>
          <t>F</t>
        </is>
      </c>
      <c r="D252" s="2" t="inlineStr">
        <is>
          <t>100.0</t>
        </is>
      </c>
      <c r="E252" s="4">
        <f>HYPERLINK("./Results/DLO\123\Osteo_Sarco_1.png","RPT")</f>
        <v/>
      </c>
      <c r="F252" s="2" t="n">
        <v>109</v>
      </c>
      <c r="G252" s="6" t="n">
        <v>22</v>
      </c>
      <c r="H252" t="n">
        <v>22.66</v>
      </c>
      <c r="L252" t="inlineStr">
        <is>
          <t>iCT 256</t>
        </is>
      </c>
      <c r="M252" t="inlineStr">
        <is>
          <t>Pre (CP~Pubi)3mm, iDose (3)</t>
        </is>
      </c>
    </row>
    <row r="253">
      <c r="A253" s="2" t="n">
        <v>3451726</v>
      </c>
      <c r="B253" s="2" t="inlineStr">
        <is>
          <t>71</t>
        </is>
      </c>
      <c r="C253" s="2" t="inlineStr">
        <is>
          <t>M</t>
        </is>
      </c>
      <c r="D253" s="2" t="inlineStr">
        <is>
          <t>100.0</t>
        </is>
      </c>
      <c r="E253" s="4">
        <f>HYPERLINK("./Results/DLO\1230\Osteo_Sarco_1.png","RPT")</f>
        <v/>
      </c>
      <c r="F253" s="2" t="n">
        <v>149</v>
      </c>
      <c r="G253" s="6" t="n">
        <v>35</v>
      </c>
      <c r="I253" s="0" t="n"/>
      <c r="J253" s="0" t="n"/>
      <c r="K253" s="0" t="n"/>
      <c r="L253" t="inlineStr">
        <is>
          <t>Sensation 64</t>
        </is>
      </c>
      <c r="M253" t="inlineStr">
        <is>
          <t>PRE 3mm</t>
        </is>
      </c>
    </row>
    <row r="254">
      <c r="A254" s="2" t="n">
        <v>4460621</v>
      </c>
      <c r="B254" s="2" t="inlineStr">
        <is>
          <t>72</t>
        </is>
      </c>
      <c r="C254" s="2" t="inlineStr">
        <is>
          <t>M</t>
        </is>
      </c>
      <c r="D254" s="2" t="inlineStr">
        <is>
          <t>120.0</t>
        </is>
      </c>
      <c r="E254" s="4">
        <f>HYPERLINK("./Results/DLO\1231\Osteo_Sarco_1.png","RPT")</f>
        <v/>
      </c>
      <c r="F254" s="2" t="n">
        <v>123</v>
      </c>
      <c r="G254" s="6" t="n">
        <v>4</v>
      </c>
      <c r="I254" s="0" t="n"/>
      <c r="J254" s="0" t="n"/>
      <c r="K254" s="0" t="n"/>
      <c r="L254" t="inlineStr">
        <is>
          <t>LightSpeed VCT</t>
        </is>
      </c>
      <c r="M254" t="inlineStr">
        <is>
          <t>HVP 55sec 3mm</t>
        </is>
      </c>
    </row>
    <row r="255">
      <c r="A255" s="2" t="n">
        <v>2053173</v>
      </c>
      <c r="B255" s="2" t="inlineStr">
        <is>
          <t>65</t>
        </is>
      </c>
      <c r="C255" s="2" t="inlineStr">
        <is>
          <t>M</t>
        </is>
      </c>
      <c r="D255" s="2" t="inlineStr">
        <is>
          <t>100.0</t>
        </is>
      </c>
      <c r="E255" s="4">
        <f>HYPERLINK("./Results/DLO\1232\Osteo_Sarco_1.png","RPT")</f>
        <v/>
      </c>
      <c r="F255" s="2" t="n">
        <v>176</v>
      </c>
      <c r="G255" s="6" t="n">
        <v>9</v>
      </c>
      <c r="H255" t="n">
        <v>26.89</v>
      </c>
      <c r="L255" t="inlineStr">
        <is>
          <t>SOMATOM Definition...</t>
        </is>
      </c>
      <c r="M255" t="inlineStr">
        <is>
          <t>Pre 3mm</t>
        </is>
      </c>
    </row>
    <row r="256">
      <c r="A256" s="2" t="n">
        <v>4491719</v>
      </c>
      <c r="B256" s="2" t="inlineStr">
        <is>
          <t>70</t>
        </is>
      </c>
      <c r="C256" s="2" t="inlineStr">
        <is>
          <t>F</t>
        </is>
      </c>
      <c r="D256" s="2" t="inlineStr">
        <is>
          <t>100.0</t>
        </is>
      </c>
      <c r="E256" s="4">
        <f>HYPERLINK("./Results/DLO\1233\Osteo_Sarco_1.png","RPT")</f>
        <v/>
      </c>
      <c r="F256" s="2" t="n">
        <v>82</v>
      </c>
      <c r="G256" s="6" t="n">
        <v>6</v>
      </c>
      <c r="I256" s="0" t="n"/>
      <c r="J256" s="0" t="n"/>
      <c r="K256" s="0" t="n"/>
      <c r="L256" t="inlineStr">
        <is>
          <t>iCT 256</t>
        </is>
      </c>
      <c r="M256" t="inlineStr">
        <is>
          <t>LAP 3/3mm, iDose (3)</t>
        </is>
      </c>
    </row>
    <row r="257">
      <c r="A257" s="2" t="n">
        <v>4154791</v>
      </c>
      <c r="B257" s="2" t="inlineStr">
        <is>
          <t>56</t>
        </is>
      </c>
      <c r="C257" s="2" t="inlineStr">
        <is>
          <t>F</t>
        </is>
      </c>
      <c r="D257" s="2" t="inlineStr">
        <is>
          <t>100.0</t>
        </is>
      </c>
      <c r="E257" s="4">
        <f>HYPERLINK("./Results/DLO\1234\Osteo_Sarco_1.png","RPT")</f>
        <v/>
      </c>
      <c r="F257" s="2" t="n">
        <v>89</v>
      </c>
      <c r="G257" s="6" t="n">
        <v>8</v>
      </c>
      <c r="H257" t="n">
        <v>25.25</v>
      </c>
      <c r="L257" t="inlineStr">
        <is>
          <t>iCT 256</t>
        </is>
      </c>
      <c r="M257" t="inlineStr">
        <is>
          <t>HVP 3/3mm, iDose (3)</t>
        </is>
      </c>
    </row>
    <row r="258">
      <c r="A258" s="2" t="n">
        <v>2673224</v>
      </c>
      <c r="B258" s="2" t="inlineStr">
        <is>
          <t>59</t>
        </is>
      </c>
      <c r="C258" s="2" t="inlineStr">
        <is>
          <t>M</t>
        </is>
      </c>
      <c r="D258" s="2" t="inlineStr">
        <is>
          <t>100.0</t>
        </is>
      </c>
      <c r="E258" s="4">
        <f>HYPERLINK("./Results/DLO\1235\Osteo_Sarco_1.png","RPT")</f>
        <v/>
      </c>
      <c r="F258" s="2" t="n">
        <v>207</v>
      </c>
      <c r="G258" s="6" t="n">
        <v>26</v>
      </c>
      <c r="I258" s="0" t="n"/>
      <c r="J258" s="0" t="n"/>
      <c r="K258" s="0" t="n"/>
      <c r="L258" t="inlineStr">
        <is>
          <t>LightSpeed VCT</t>
        </is>
      </c>
      <c r="M258" t="inlineStr">
        <is>
          <t>PRE 3mm</t>
        </is>
      </c>
    </row>
    <row r="259">
      <c r="A259" s="2" t="n">
        <v>2458169</v>
      </c>
      <c r="B259" s="2" t="inlineStr">
        <is>
          <t>55</t>
        </is>
      </c>
      <c r="C259" s="2" t="inlineStr">
        <is>
          <t>M</t>
        </is>
      </c>
      <c r="D259" s="2" t="inlineStr">
        <is>
          <t>120.0</t>
        </is>
      </c>
      <c r="E259" s="4">
        <f>HYPERLINK("./Results/DLO\1236\Osteo_Sarco_1.png","RPT")</f>
        <v/>
      </c>
      <c r="F259" s="2" t="n">
        <v>154</v>
      </c>
      <c r="G259" s="6" t="n">
        <v>12</v>
      </c>
      <c r="H259" t="n">
        <v>26.83</v>
      </c>
      <c r="L259" t="inlineStr">
        <is>
          <t>Discovery CT750 HD</t>
        </is>
      </c>
      <c r="M259" t="inlineStr">
        <is>
          <t>HVP 3mm</t>
        </is>
      </c>
    </row>
    <row r="260">
      <c r="A260" s="2" t="n">
        <v>1668765</v>
      </c>
      <c r="B260" s="2" t="inlineStr">
        <is>
          <t>63</t>
        </is>
      </c>
      <c r="C260" s="2" t="inlineStr">
        <is>
          <t>M</t>
        </is>
      </c>
      <c r="D260" s="2" t="inlineStr">
        <is>
          <t>120.0</t>
        </is>
      </c>
      <c r="E260" s="4">
        <f>HYPERLINK("./Results/DLO\1237\Osteo_Sarco_1.png","RPT")</f>
        <v/>
      </c>
      <c r="F260" s="2" t="n">
        <v>163</v>
      </c>
      <c r="G260" s="6" t="n">
        <v>4</v>
      </c>
      <c r="I260" s="0" t="n"/>
      <c r="J260" s="0" t="n"/>
      <c r="K260" s="0" t="n"/>
      <c r="L260" t="inlineStr">
        <is>
          <t>Discovery CT750 HD</t>
        </is>
      </c>
      <c r="M260" t="inlineStr">
        <is>
          <t>HVP 3mm</t>
        </is>
      </c>
    </row>
    <row r="261">
      <c r="A261" s="2" t="n">
        <v>2618076</v>
      </c>
      <c r="B261" s="2" t="inlineStr">
        <is>
          <t>63</t>
        </is>
      </c>
      <c r="C261" s="2" t="inlineStr">
        <is>
          <t>M</t>
        </is>
      </c>
      <c r="D261" s="2" t="inlineStr">
        <is>
          <t>100.0</t>
        </is>
      </c>
      <c r="E261" s="4">
        <f>HYPERLINK("./Results/DLO\1238\Osteo_Sarco_1.png","RPT")</f>
        <v/>
      </c>
      <c r="F261" s="2" t="n">
        <v>162</v>
      </c>
      <c r="G261" s="6" t="n">
        <v>6</v>
      </c>
      <c r="H261" t="n">
        <v>25.64</v>
      </c>
      <c r="L261" t="inlineStr">
        <is>
          <t>SOMATOM Force</t>
        </is>
      </c>
      <c r="M261" t="inlineStr">
        <is>
          <t>100kVp100mAs 3.0 Br40</t>
        </is>
      </c>
    </row>
    <row r="262">
      <c r="A262" s="2" t="n">
        <v>2956391</v>
      </c>
      <c r="B262" s="2" t="inlineStr">
        <is>
          <t>69</t>
        </is>
      </c>
      <c r="C262" s="2" t="inlineStr">
        <is>
          <t>M</t>
        </is>
      </c>
      <c r="D262" s="2" t="inlineStr">
        <is>
          <t>120.0</t>
        </is>
      </c>
      <c r="E262" s="4">
        <f>HYPERLINK("./Results/DLO\1239\Osteo_Sarco_1.png","RPT")</f>
        <v/>
      </c>
      <c r="F262" s="2" t="n">
        <v>165</v>
      </c>
      <c r="G262" s="6" t="n">
        <v>4</v>
      </c>
      <c r="I262" s="0" t="n"/>
      <c r="J262" s="0" t="n"/>
      <c r="K262" s="0" t="n"/>
      <c r="L262" t="inlineStr">
        <is>
          <t>Discovery CT750 HD</t>
        </is>
      </c>
      <c r="M262" t="inlineStr">
        <is>
          <t>HVP 3mm</t>
        </is>
      </c>
    </row>
    <row r="263">
      <c r="A263" s="2" t="n">
        <v>2538864</v>
      </c>
      <c r="B263" s="2" t="inlineStr">
        <is>
          <t>66</t>
        </is>
      </c>
      <c r="C263" s="2" t="inlineStr">
        <is>
          <t>M</t>
        </is>
      </c>
      <c r="D263" s="2" t="inlineStr">
        <is>
          <t>100.0</t>
        </is>
      </c>
      <c r="E263" s="4">
        <f>HYPERLINK("./Results/DLO\124\Osteo_Sarco_1.png","RPT")</f>
        <v/>
      </c>
      <c r="F263" s="2" t="n">
        <v>199</v>
      </c>
      <c r="G263" s="6" t="n">
        <v>10</v>
      </c>
      <c r="I263" s="0" t="n"/>
      <c r="J263" s="0" t="n"/>
      <c r="K263" s="0" t="n"/>
      <c r="L263" t="inlineStr">
        <is>
          <t>LightSpeed VCT</t>
        </is>
      </c>
      <c r="M263" t="inlineStr">
        <is>
          <t>PRE 3mm</t>
        </is>
      </c>
    </row>
    <row r="264">
      <c r="A264" s="2" t="n">
        <v>3891729</v>
      </c>
      <c r="B264" s="2" t="inlineStr">
        <is>
          <t>78</t>
        </is>
      </c>
      <c r="C264" s="2" t="inlineStr">
        <is>
          <t>M</t>
        </is>
      </c>
      <c r="D264" s="2" t="inlineStr">
        <is>
          <t>100.0</t>
        </is>
      </c>
      <c r="E264" s="4">
        <f>HYPERLINK("./Results/DLO\1240\Osteo_Sarco_1.png","RPT")</f>
        <v/>
      </c>
      <c r="F264" s="2" t="n">
        <v>123</v>
      </c>
      <c r="G264" s="6" t="n">
        <v>8</v>
      </c>
      <c r="H264" t="n">
        <v>20.42</v>
      </c>
      <c r="L264" t="inlineStr">
        <is>
          <t>iCT 256</t>
        </is>
      </c>
      <c r="M264" t="inlineStr">
        <is>
          <t>Pre (CP~Pubi)3mm, iDose (3)</t>
        </is>
      </c>
    </row>
    <row r="265">
      <c r="A265" s="2" t="n">
        <v>1632252</v>
      </c>
      <c r="B265" s="2" t="inlineStr">
        <is>
          <t>60</t>
        </is>
      </c>
      <c r="C265" s="2" t="inlineStr">
        <is>
          <t>F</t>
        </is>
      </c>
      <c r="D265" s="2" t="inlineStr">
        <is>
          <t>100.0</t>
        </is>
      </c>
      <c r="E265" s="4">
        <f>HYPERLINK("./Results/DLO\1241\Osteo_Sarco_1.png","RPT")</f>
        <v/>
      </c>
      <c r="F265" s="2" t="n">
        <v>89</v>
      </c>
      <c r="G265" s="6" t="n">
        <v>9</v>
      </c>
      <c r="I265" s="0" t="n"/>
      <c r="J265" s="0" t="n"/>
      <c r="K265" s="0" t="n"/>
      <c r="L265" t="inlineStr">
        <is>
          <t>SOMATOM Definition...</t>
        </is>
      </c>
      <c r="M265" t="inlineStr">
        <is>
          <t>Pre 3mm</t>
        </is>
      </c>
    </row>
    <row r="266">
      <c r="A266" s="2" t="n">
        <v>3481041</v>
      </c>
      <c r="B266" s="2" t="inlineStr">
        <is>
          <t>55</t>
        </is>
      </c>
      <c r="C266" s="2" t="inlineStr">
        <is>
          <t>F</t>
        </is>
      </c>
      <c r="D266" s="2" t="inlineStr">
        <is>
          <t>100.0</t>
        </is>
      </c>
      <c r="E266" s="4">
        <f>HYPERLINK("./Results/DLO\1242\Osteo_Sarco_1.png","RPT")</f>
        <v/>
      </c>
      <c r="F266" s="2" t="n">
        <v>83</v>
      </c>
      <c r="G266" s="6" t="n">
        <v>8</v>
      </c>
      <c r="I266" s="0" t="n"/>
      <c r="J266" s="0" t="n"/>
      <c r="K266" s="0" t="n"/>
      <c r="L266" t="inlineStr">
        <is>
          <t>SOMATOM Force</t>
        </is>
      </c>
      <c r="M266" t="inlineStr">
        <is>
          <t>100kVp100mAs 3.0 Br40</t>
        </is>
      </c>
    </row>
    <row r="267">
      <c r="A267" s="2" t="n">
        <v>2726842</v>
      </c>
      <c r="B267" s="2" t="inlineStr">
        <is>
          <t>71</t>
        </is>
      </c>
      <c r="C267" s="2" t="inlineStr">
        <is>
          <t>M</t>
        </is>
      </c>
      <c r="D267" s="2" t="inlineStr">
        <is>
          <t>100.0</t>
        </is>
      </c>
      <c r="E267" s="4">
        <f>HYPERLINK("./Results/DLO\1243\Osteo_Sarco_1.png","RPT")</f>
        <v/>
      </c>
      <c r="F267" s="2" t="n">
        <v>115</v>
      </c>
      <c r="G267" s="6" t="n">
        <v>8</v>
      </c>
      <c r="I267" s="0" t="n"/>
      <c r="J267" s="0" t="n"/>
      <c r="K267" s="0" t="n"/>
      <c r="L267" t="inlineStr">
        <is>
          <t>SOMATOM Definition...</t>
        </is>
      </c>
      <c r="M267" t="inlineStr">
        <is>
          <t>LAP 2 3mm(60kg/120ml/3cc/RADI)</t>
        </is>
      </c>
    </row>
    <row r="268">
      <c r="A268" s="2" t="n">
        <v>3393397</v>
      </c>
      <c r="B268" s="2" t="inlineStr">
        <is>
          <t>69</t>
        </is>
      </c>
      <c r="C268" s="2" t="inlineStr">
        <is>
          <t>F</t>
        </is>
      </c>
      <c r="D268" s="2" t="inlineStr">
        <is>
          <t>100.0</t>
        </is>
      </c>
      <c r="E268" s="4">
        <f>HYPERLINK("./Results/DLO\1244\Osteo_Sarco_1.png","RPT")</f>
        <v/>
      </c>
      <c r="F268" s="2" t="n">
        <v>64</v>
      </c>
      <c r="G268" s="6" t="n">
        <v>2</v>
      </c>
      <c r="I268" s="0" t="n"/>
      <c r="J268" s="0" t="n"/>
      <c r="K268" s="0" t="n"/>
      <c r="L268" t="inlineStr">
        <is>
          <t>Revolution EVO</t>
        </is>
      </c>
      <c r="M268" t="inlineStr">
        <is>
          <t>PRE</t>
        </is>
      </c>
    </row>
    <row r="269">
      <c r="A269" s="2" t="n">
        <v>1914722</v>
      </c>
      <c r="B269" s="2" t="inlineStr">
        <is>
          <t>62</t>
        </is>
      </c>
      <c r="C269" s="2" t="inlineStr">
        <is>
          <t>M</t>
        </is>
      </c>
      <c r="D269" s="2" t="inlineStr">
        <is>
          <t>120.0</t>
        </is>
      </c>
      <c r="E269" s="4">
        <f>HYPERLINK("./Results/DLO\1245\Osteo_Sarco_1.png","RPT")</f>
        <v/>
      </c>
      <c r="F269" s="2" t="n">
        <v>151</v>
      </c>
      <c r="G269" s="6" t="n">
        <v>5</v>
      </c>
      <c r="I269" s="0" t="n"/>
      <c r="J269" s="0" t="n"/>
      <c r="K269" s="0" t="n"/>
      <c r="L269" t="inlineStr">
        <is>
          <t>iCT 256</t>
        </is>
      </c>
      <c r="M269" t="inlineStr">
        <is>
          <t>HVP 3/3mm, iDose (3)</t>
        </is>
      </c>
    </row>
    <row r="270">
      <c r="A270" s="2" t="n">
        <v>2961666</v>
      </c>
      <c r="B270" s="2" t="inlineStr">
        <is>
          <t>58</t>
        </is>
      </c>
      <c r="C270" s="2" t="inlineStr">
        <is>
          <t>F</t>
        </is>
      </c>
      <c r="D270" s="2" t="inlineStr">
        <is>
          <t>100.0</t>
        </is>
      </c>
      <c r="E270" s="4">
        <f>HYPERLINK("./Results/DLO\1246\Osteo_Sarco_1.png","RPT")</f>
        <v/>
      </c>
      <c r="F270" s="2" t="n">
        <v>110</v>
      </c>
      <c r="G270" s="6" t="n">
        <v>12</v>
      </c>
      <c r="I270" s="0" t="n"/>
      <c r="J270" s="0" t="n"/>
      <c r="K270" s="0" t="n"/>
      <c r="L270" t="inlineStr">
        <is>
          <t>iCT 256</t>
        </is>
      </c>
      <c r="M270" t="inlineStr">
        <is>
          <t>LAP 3/3mm, iDose (3)</t>
        </is>
      </c>
    </row>
    <row r="271">
      <c r="A271" s="2" t="n">
        <v>4779382</v>
      </c>
      <c r="B271" s="2" t="inlineStr">
        <is>
          <t>56</t>
        </is>
      </c>
      <c r="C271" s="2" t="inlineStr">
        <is>
          <t>F</t>
        </is>
      </c>
      <c r="D271" s="2" t="inlineStr">
        <is>
          <t>100.0</t>
        </is>
      </c>
      <c r="E271" s="4">
        <f>HYPERLINK("./Results/DLO\1247\Osteo_Sarco_1.png","RPT")</f>
        <v/>
      </c>
      <c r="F271" s="2" t="n">
        <v>107</v>
      </c>
      <c r="G271" s="6" t="n">
        <v>10</v>
      </c>
      <c r="I271" s="0" t="n"/>
      <c r="J271" s="0" t="n"/>
      <c r="K271" s="0" t="n"/>
      <c r="L271" t="inlineStr">
        <is>
          <t>Revolution CT</t>
        </is>
      </c>
      <c r="M271" t="inlineStr">
        <is>
          <t>HVP 3mm-pacs(55kg/110cc/hexol)</t>
        </is>
      </c>
    </row>
    <row r="272">
      <c r="A272" s="2" t="n">
        <v>3796702</v>
      </c>
      <c r="B272" s="2" t="inlineStr">
        <is>
          <t>53</t>
        </is>
      </c>
      <c r="C272" s="2" t="inlineStr">
        <is>
          <t>F</t>
        </is>
      </c>
      <c r="D272" s="2" t="inlineStr">
        <is>
          <t>100.0</t>
        </is>
      </c>
      <c r="E272" s="4">
        <f>HYPERLINK("./Results/DLO\1248\Osteo_Sarco_1.png","RPT")</f>
        <v/>
      </c>
      <c r="F272" s="2" t="n">
        <v>116</v>
      </c>
      <c r="G272" s="6" t="n">
        <v>12</v>
      </c>
      <c r="H272" t="n">
        <v>24.3</v>
      </c>
      <c r="L272" t="inlineStr">
        <is>
          <t>LightSpeed VCT</t>
        </is>
      </c>
      <c r="M272" t="inlineStr">
        <is>
          <t>PRE (CP angle~Pubic)</t>
        </is>
      </c>
    </row>
    <row r="273">
      <c r="A273" s="2" t="n">
        <v>4489240</v>
      </c>
      <c r="B273" s="2" t="inlineStr">
        <is>
          <t>64</t>
        </is>
      </c>
      <c r="C273" s="2" t="inlineStr">
        <is>
          <t>F</t>
        </is>
      </c>
      <c r="D273" s="2" t="inlineStr">
        <is>
          <t>100.0</t>
        </is>
      </c>
      <c r="E273" s="4">
        <f>HYPERLINK("./Results/DLO\1249\Osteo_Sarco_1.png","RPT")</f>
        <v/>
      </c>
      <c r="F273" s="2" t="n">
        <v>131</v>
      </c>
      <c r="G273" s="6" t="n">
        <v>8</v>
      </c>
      <c r="I273" s="0" t="n"/>
      <c r="J273" s="0" t="n"/>
      <c r="K273" s="0" t="n"/>
      <c r="L273" t="inlineStr">
        <is>
          <t>SOMATOM Definition...</t>
        </is>
      </c>
      <c r="M273" t="inlineStr">
        <is>
          <t>HVP 2 3mm(55Kg/110ml/3ml/xe...</t>
        </is>
      </c>
    </row>
    <row r="274">
      <c r="A274" s="2" t="n">
        <v>3893193</v>
      </c>
      <c r="B274" s="2" t="inlineStr">
        <is>
          <t>62</t>
        </is>
      </c>
      <c r="C274" s="2" t="inlineStr">
        <is>
          <t>M</t>
        </is>
      </c>
      <c r="D274" s="2" t="inlineStr">
        <is>
          <t>100.0</t>
        </is>
      </c>
      <c r="E274" s="4">
        <f>HYPERLINK("./Results/DLO\125\Osteo_Sarco_1.png","RPT")</f>
        <v/>
      </c>
      <c r="F274" s="2" t="n">
        <v>144</v>
      </c>
      <c r="G274" s="6" t="n">
        <v>16</v>
      </c>
      <c r="I274" s="0" t="n"/>
      <c r="J274" s="0" t="n"/>
      <c r="K274" s="0" t="n"/>
      <c r="L274" t="inlineStr">
        <is>
          <t>SOMATOM Definition...</t>
        </is>
      </c>
      <c r="M274" t="inlineStr">
        <is>
          <t>Pre 3mm</t>
        </is>
      </c>
    </row>
    <row r="275">
      <c r="A275" s="2" t="n">
        <v>2565097</v>
      </c>
      <c r="B275" s="2" t="inlineStr">
        <is>
          <t>44</t>
        </is>
      </c>
      <c r="C275" s="2" t="inlineStr">
        <is>
          <t>F</t>
        </is>
      </c>
      <c r="D275" s="2" t="inlineStr">
        <is>
          <t>100.0</t>
        </is>
      </c>
      <c r="E275" s="4">
        <f>HYPERLINK("./Results/DLO\1250\Osteo_Sarco_1.png","RPT")</f>
        <v/>
      </c>
      <c r="F275" s="2" t="n">
        <v>80</v>
      </c>
      <c r="G275" s="6" t="n">
        <v>9</v>
      </c>
      <c r="I275" s="0" t="n"/>
      <c r="J275" s="0" t="n"/>
      <c r="K275" s="0" t="n"/>
      <c r="L275" t="inlineStr">
        <is>
          <t>SOMATOM Definition...</t>
        </is>
      </c>
      <c r="M275" t="inlineStr">
        <is>
          <t>Pre 3mm</t>
        </is>
      </c>
    </row>
    <row r="276">
      <c r="A276" s="2" t="n">
        <v>2324887</v>
      </c>
      <c r="B276" s="2" t="inlineStr">
        <is>
          <t>67</t>
        </is>
      </c>
      <c r="C276" s="2" t="inlineStr">
        <is>
          <t>M</t>
        </is>
      </c>
      <c r="D276" s="2" t="inlineStr">
        <is>
          <t>120.0</t>
        </is>
      </c>
      <c r="E276" s="4">
        <f>HYPERLINK("./Results/DLO\1251\Osteo_Sarco_1.png","RPT")</f>
        <v/>
      </c>
      <c r="F276" s="2" t="n">
        <v>114</v>
      </c>
      <c r="G276" s="6" t="n">
        <v>6</v>
      </c>
      <c r="H276" t="n">
        <v>20.7</v>
      </c>
      <c r="L276" t="inlineStr">
        <is>
          <t>LightSpeed VCT</t>
        </is>
      </c>
      <c r="M276" t="inlineStr">
        <is>
          <t>HVP 55sec 3mm</t>
        </is>
      </c>
    </row>
    <row r="277">
      <c r="A277" s="2" t="n">
        <v>4640251</v>
      </c>
      <c r="B277" s="2" t="inlineStr">
        <is>
          <t>48</t>
        </is>
      </c>
      <c r="C277" s="2" t="inlineStr">
        <is>
          <t>M</t>
        </is>
      </c>
      <c r="D277" s="2" t="inlineStr">
        <is>
          <t>100.0</t>
        </is>
      </c>
      <c r="E277" s="4">
        <f>HYPERLINK("./Results/DLO\1252\Osteo_Sarco_1.png","RPT")</f>
        <v/>
      </c>
      <c r="F277" s="2" t="n">
        <v>166</v>
      </c>
      <c r="G277" s="6" t="n">
        <v>8</v>
      </c>
      <c r="I277" s="0" t="n"/>
      <c r="J277" s="0" t="n"/>
      <c r="K277" s="0" t="n"/>
      <c r="L277" t="inlineStr">
        <is>
          <t>Revolution CT</t>
        </is>
      </c>
      <c r="M277" t="inlineStr">
        <is>
          <t>LAP 3mm(80kg/150cc/3.0cc/radi...</t>
        </is>
      </c>
    </row>
    <row r="278">
      <c r="A278" s="2" t="n">
        <v>4824253</v>
      </c>
      <c r="B278" s="2" t="inlineStr">
        <is>
          <t>56</t>
        </is>
      </c>
      <c r="C278" s="2" t="inlineStr">
        <is>
          <t>F</t>
        </is>
      </c>
      <c r="D278" s="2" t="inlineStr">
        <is>
          <t>120.0</t>
        </is>
      </c>
      <c r="E278" s="4">
        <f>HYPERLINK("./Results/DLO\1253\Osteo_Sarco_1.png","RPT")</f>
        <v/>
      </c>
      <c r="F278" s="2" t="n">
        <v>121</v>
      </c>
      <c r="G278" s="6" t="n">
        <v>10</v>
      </c>
      <c r="I278" s="0" t="n"/>
      <c r="J278" s="0" t="n"/>
      <c r="K278" s="0" t="n"/>
      <c r="L278" t="inlineStr">
        <is>
          <t>LightSpeed VCT</t>
        </is>
      </c>
      <c r="M278" t="inlineStr">
        <is>
          <t>HVP 3mm</t>
        </is>
      </c>
    </row>
    <row r="279">
      <c r="A279" s="2" t="n">
        <v>2682731</v>
      </c>
      <c r="B279" s="2" t="inlineStr">
        <is>
          <t>67</t>
        </is>
      </c>
      <c r="C279" s="2" t="inlineStr">
        <is>
          <t>F</t>
        </is>
      </c>
      <c r="D279" s="2" t="inlineStr">
        <is>
          <t>100.0</t>
        </is>
      </c>
      <c r="E279" s="4">
        <f>HYPERLINK("./Results/DLO\1254\Osteo_Sarco_1.png","RPT")</f>
        <v/>
      </c>
      <c r="F279" s="2" t="n">
        <v>102</v>
      </c>
      <c r="G279" s="6" t="n">
        <v>7</v>
      </c>
      <c r="I279" s="0" t="n"/>
      <c r="J279" s="0" t="n"/>
      <c r="K279" s="0" t="n"/>
      <c r="L279" t="inlineStr">
        <is>
          <t>SOMATOM Definition...</t>
        </is>
      </c>
      <c r="M279" t="inlineStr">
        <is>
          <t>PRE 3mm</t>
        </is>
      </c>
    </row>
    <row r="280">
      <c r="A280" s="2" t="n">
        <v>4580906</v>
      </c>
      <c r="B280" s="2" t="inlineStr">
        <is>
          <t>54</t>
        </is>
      </c>
      <c r="C280" s="2" t="inlineStr">
        <is>
          <t>F</t>
        </is>
      </c>
      <c r="D280" s="2" t="inlineStr">
        <is>
          <t>100.0</t>
        </is>
      </c>
      <c r="E280" s="4">
        <f>HYPERLINK("./Results/DLO\1255\Osteo_Sarco_1.png","RPT")</f>
        <v/>
      </c>
      <c r="F280" s="2" t="n">
        <v>97</v>
      </c>
      <c r="G280" s="6" t="n">
        <v>11</v>
      </c>
      <c r="I280" s="0" t="n"/>
      <c r="J280" s="0" t="n"/>
      <c r="K280" s="0" t="n"/>
      <c r="L280" t="inlineStr">
        <is>
          <t>SOMATOM Definition...</t>
        </is>
      </c>
      <c r="M280" t="inlineStr">
        <is>
          <t>Pre 3mm B30f</t>
        </is>
      </c>
    </row>
    <row r="281">
      <c r="A281" s="2" t="n">
        <v>4551222</v>
      </c>
      <c r="B281" s="2" t="inlineStr">
        <is>
          <t>74</t>
        </is>
      </c>
      <c r="C281" s="2" t="inlineStr">
        <is>
          <t>M</t>
        </is>
      </c>
      <c r="D281" s="2" t="inlineStr">
        <is>
          <t>100.0</t>
        </is>
      </c>
      <c r="E281" s="4">
        <f>HYPERLINK("./Results/DLO\1256\Osteo_Sarco_1.png","RPT")</f>
        <v/>
      </c>
      <c r="F281" s="2" t="n">
        <v>133</v>
      </c>
      <c r="G281" s="6" t="n">
        <v>17</v>
      </c>
      <c r="H281" t="n">
        <v>24.07</v>
      </c>
      <c r="L281" t="inlineStr">
        <is>
          <t>Revolution EVO</t>
        </is>
      </c>
      <c r="M281" t="inlineStr">
        <is>
          <t>PRE</t>
        </is>
      </c>
    </row>
    <row r="282">
      <c r="A282" s="2" t="n">
        <v>2666806</v>
      </c>
      <c r="B282" s="2" t="inlineStr">
        <is>
          <t>60</t>
        </is>
      </c>
      <c r="C282" s="2" t="inlineStr">
        <is>
          <t>F</t>
        </is>
      </c>
      <c r="D282" s="2" t="inlineStr">
        <is>
          <t>100.0</t>
        </is>
      </c>
      <c r="E282" s="4">
        <f>HYPERLINK("./Results/DLO\1257\Osteo_Sarco_1.png","RPT")</f>
        <v/>
      </c>
      <c r="F282" s="2" t="n">
        <v>90</v>
      </c>
      <c r="G282" s="6" t="n">
        <v>9</v>
      </c>
      <c r="H282" t="n">
        <v>20.06</v>
      </c>
      <c r="L282" t="inlineStr">
        <is>
          <t>Revolution EVO</t>
        </is>
      </c>
      <c r="M282" t="inlineStr">
        <is>
          <t>PRE</t>
        </is>
      </c>
    </row>
    <row r="283">
      <c r="A283" s="2" t="n">
        <v>4080370</v>
      </c>
      <c r="B283" s="2" t="inlineStr">
        <is>
          <t>39</t>
        </is>
      </c>
      <c r="C283" s="2" t="inlineStr">
        <is>
          <t>F</t>
        </is>
      </c>
      <c r="D283" s="2" t="inlineStr">
        <is>
          <t>100.0</t>
        </is>
      </c>
      <c r="E283" s="4">
        <f>HYPERLINK("./Results/DLO\1258\Osteo_Sarco_1.png","RPT")</f>
        <v/>
      </c>
      <c r="F283" s="2" t="n">
        <v>103</v>
      </c>
      <c r="G283" s="6" t="n">
        <v>7</v>
      </c>
      <c r="I283" s="0" t="n"/>
      <c r="J283" s="0" t="n"/>
      <c r="K283" s="0" t="n"/>
      <c r="L283" t="inlineStr">
        <is>
          <t>Revolution EVO</t>
        </is>
      </c>
      <c r="M283" t="inlineStr">
        <is>
          <t>AX 3mm</t>
        </is>
      </c>
    </row>
    <row r="284">
      <c r="A284" s="2" t="n">
        <v>1621599</v>
      </c>
      <c r="B284" s="2" t="inlineStr">
        <is>
          <t>49</t>
        </is>
      </c>
      <c r="C284" s="2" t="inlineStr">
        <is>
          <t>F</t>
        </is>
      </c>
      <c r="D284" s="2" t="inlineStr">
        <is>
          <t>120.0</t>
        </is>
      </c>
      <c r="E284" s="4">
        <f>HYPERLINK("./Results/DLO\1259\Osteo_Sarco_1.png","RPT")</f>
        <v/>
      </c>
      <c r="F284" s="2" t="n">
        <v>103</v>
      </c>
      <c r="G284" s="6" t="n">
        <v>8</v>
      </c>
      <c r="I284" s="0" t="n"/>
      <c r="J284" s="0" t="n"/>
      <c r="K284" s="0" t="n"/>
      <c r="L284" t="inlineStr">
        <is>
          <t>LightSpeed VCT</t>
        </is>
      </c>
      <c r="M284" t="inlineStr">
        <is>
          <t>HVP 55sec 3mm</t>
        </is>
      </c>
    </row>
    <row r="285">
      <c r="A285" s="2" t="n">
        <v>2784187</v>
      </c>
      <c r="B285" s="2" t="inlineStr">
        <is>
          <t>77</t>
        </is>
      </c>
      <c r="C285" s="2" t="inlineStr">
        <is>
          <t>F</t>
        </is>
      </c>
      <c r="D285" s="2" t="inlineStr">
        <is>
          <t>100.0</t>
        </is>
      </c>
      <c r="E285" s="4">
        <f>HYPERLINK("./Results/DLO\126\Osteo_Sarco_1.png","RPT")</f>
        <v/>
      </c>
      <c r="F285" s="2" t="n">
        <v>118</v>
      </c>
      <c r="G285" s="6" t="n">
        <v>12</v>
      </c>
      <c r="I285" s="0" t="n"/>
      <c r="J285" s="0" t="n"/>
      <c r="K285" s="0" t="n"/>
      <c r="L285" t="inlineStr">
        <is>
          <t>LightSpeed VCT</t>
        </is>
      </c>
      <c r="M285" t="inlineStr">
        <is>
          <t>Pre 3mm</t>
        </is>
      </c>
    </row>
    <row r="286">
      <c r="A286" s="2" t="n">
        <v>4401359</v>
      </c>
      <c r="B286" s="2" t="inlineStr">
        <is>
          <t>72</t>
        </is>
      </c>
      <c r="C286" s="2" t="inlineStr">
        <is>
          <t>M</t>
        </is>
      </c>
      <c r="D286" s="2" t="inlineStr">
        <is>
          <t>120.0</t>
        </is>
      </c>
      <c r="E286" s="4">
        <f>HYPERLINK("./Results/DLO\1260\Osteo_Sarco_1.png","RPT")</f>
        <v/>
      </c>
      <c r="F286" s="2" t="n">
        <v>165</v>
      </c>
      <c r="G286" s="6" t="n">
        <v>15</v>
      </c>
      <c r="I286" s="0" t="n"/>
      <c r="J286" s="0" t="n"/>
      <c r="K286" s="0" t="n"/>
      <c r="L286" t="inlineStr">
        <is>
          <t>LightSpeed VCT</t>
        </is>
      </c>
      <c r="M286" t="inlineStr">
        <is>
          <t>HVP 55sec 3mm</t>
        </is>
      </c>
    </row>
    <row r="287">
      <c r="A287" s="2" t="n">
        <v>2358377</v>
      </c>
      <c r="B287" s="2" t="inlineStr">
        <is>
          <t>63</t>
        </is>
      </c>
      <c r="C287" s="2" t="inlineStr">
        <is>
          <t>M</t>
        </is>
      </c>
      <c r="D287" s="2" t="inlineStr">
        <is>
          <t>120.0</t>
        </is>
      </c>
      <c r="E287" s="4">
        <f>HYPERLINK("./Results/DLO\1261\Osteo_Sarco_1.png","RPT")</f>
        <v/>
      </c>
      <c r="F287" s="2" t="n">
        <v>137</v>
      </c>
      <c r="G287" s="6" t="n">
        <v>9</v>
      </c>
      <c r="I287" s="0" t="n"/>
      <c r="J287" s="0" t="n"/>
      <c r="K287" s="0" t="n"/>
      <c r="L287" t="inlineStr">
        <is>
          <t>LightSpeed VCT</t>
        </is>
      </c>
      <c r="M287" t="inlineStr">
        <is>
          <t>HVP 55sec 3mm</t>
        </is>
      </c>
    </row>
    <row r="288">
      <c r="A288" s="2" t="n">
        <v>3942400</v>
      </c>
      <c r="B288" s="2" t="inlineStr">
        <is>
          <t>51</t>
        </is>
      </c>
      <c r="C288" s="2" t="inlineStr">
        <is>
          <t>M</t>
        </is>
      </c>
      <c r="D288" s="2" t="inlineStr">
        <is>
          <t>120.0</t>
        </is>
      </c>
      <c r="E288" s="4">
        <f>HYPERLINK("./Results/DLO\1262\Osteo_Sarco_1.png","RPT")</f>
        <v/>
      </c>
      <c r="F288" s="2" t="n">
        <v>170</v>
      </c>
      <c r="G288" s="6" t="n">
        <v>6</v>
      </c>
      <c r="H288" t="n">
        <v>25.03</v>
      </c>
      <c r="L288" t="inlineStr">
        <is>
          <t>LightSpeed VCT</t>
        </is>
      </c>
      <c r="M288" t="inlineStr">
        <is>
          <t>LAP 3mm</t>
        </is>
      </c>
    </row>
    <row r="289">
      <c r="A289" s="2" t="n">
        <v>2957020</v>
      </c>
      <c r="B289" s="2" t="inlineStr">
        <is>
          <t>59</t>
        </is>
      </c>
      <c r="C289" s="2" t="inlineStr">
        <is>
          <t>F</t>
        </is>
      </c>
      <c r="D289" s="2" t="inlineStr">
        <is>
          <t>100.0</t>
        </is>
      </c>
      <c r="E289" s="4">
        <f>HYPERLINK("./Results/DLO\1263\Osteo_Sarco_1.png","RPT")</f>
        <v/>
      </c>
      <c r="F289" s="2" t="n">
        <v>97</v>
      </c>
      <c r="G289" s="6" t="n">
        <v>10</v>
      </c>
      <c r="H289" t="n">
        <v>24.13</v>
      </c>
      <c r="L289" t="inlineStr">
        <is>
          <t>LightSpeed VCT</t>
        </is>
      </c>
      <c r="M289" t="inlineStr">
        <is>
          <t>PRE 3mm</t>
        </is>
      </c>
    </row>
    <row r="290">
      <c r="A290" s="2" t="n">
        <v>1578162</v>
      </c>
      <c r="B290" s="2" t="inlineStr">
        <is>
          <t>42</t>
        </is>
      </c>
      <c r="C290" s="2" t="inlineStr">
        <is>
          <t>F</t>
        </is>
      </c>
      <c r="D290" s="2" t="inlineStr">
        <is>
          <t>100.0</t>
        </is>
      </c>
      <c r="E290" s="4">
        <f>HYPERLINK("./Results/DLO\1264\Osteo_Sarco_1.png","RPT")</f>
        <v/>
      </c>
      <c r="F290" s="2" t="n">
        <v>126</v>
      </c>
      <c r="G290" s="6" t="n">
        <v>5</v>
      </c>
      <c r="I290" s="0" t="n"/>
      <c r="J290" s="0" t="n"/>
      <c r="K290" s="0" t="n"/>
      <c r="L290" t="inlineStr">
        <is>
          <t>SOMATOM Definition...</t>
        </is>
      </c>
      <c r="M290" t="inlineStr">
        <is>
          <t>Pre 3mm</t>
        </is>
      </c>
    </row>
    <row r="291">
      <c r="A291" s="2" t="n">
        <v>4339451</v>
      </c>
      <c r="B291" s="2" t="inlineStr">
        <is>
          <t>52</t>
        </is>
      </c>
      <c r="C291" s="2" t="inlineStr">
        <is>
          <t>F</t>
        </is>
      </c>
      <c r="D291" s="2" t="inlineStr">
        <is>
          <t>100.0</t>
        </is>
      </c>
      <c r="E291" s="4">
        <f>HYPERLINK("./Results/DLO\1265\Osteo_Sarco_1.png","RPT")</f>
        <v/>
      </c>
      <c r="F291" s="2" t="n">
        <v>125</v>
      </c>
      <c r="G291" s="6" t="n">
        <v>27</v>
      </c>
      <c r="I291" s="0" t="n"/>
      <c r="J291" s="0" t="n"/>
      <c r="K291" s="0" t="n"/>
      <c r="L291" t="inlineStr">
        <is>
          <t>SOMATOM Definition...</t>
        </is>
      </c>
      <c r="M291" t="inlineStr">
        <is>
          <t>Pre(CP~pubic) 3mm</t>
        </is>
      </c>
    </row>
    <row r="292">
      <c r="A292" s="2" t="n">
        <v>2536732</v>
      </c>
      <c r="B292" s="2" t="inlineStr">
        <is>
          <t>54</t>
        </is>
      </c>
      <c r="C292" s="2" t="inlineStr">
        <is>
          <t>M</t>
        </is>
      </c>
      <c r="D292" s="2" t="inlineStr">
        <is>
          <t>120.0</t>
        </is>
      </c>
      <c r="E292" s="4">
        <f>HYPERLINK("./Results/DLO\1266\Osteo_Sarco_1.png","RPT")</f>
        <v/>
      </c>
      <c r="F292" s="2" t="n">
        <v>145</v>
      </c>
      <c r="G292" s="6" t="n">
        <v>39</v>
      </c>
      <c r="I292" s="0" t="n"/>
      <c r="J292" s="0" t="n"/>
      <c r="K292" s="0" t="n"/>
      <c r="L292" t="inlineStr">
        <is>
          <t>iCT 256</t>
        </is>
      </c>
      <c r="M292" t="inlineStr">
        <is>
          <t>HVP 3/3mm, iDose (3)</t>
        </is>
      </c>
    </row>
    <row r="293">
      <c r="A293" s="2" t="n">
        <v>3221049</v>
      </c>
      <c r="B293" s="2" t="inlineStr">
        <is>
          <t>65</t>
        </is>
      </c>
      <c r="C293" s="2" t="inlineStr">
        <is>
          <t>M</t>
        </is>
      </c>
      <c r="D293" s="2" t="inlineStr">
        <is>
          <t>100.0</t>
        </is>
      </c>
      <c r="E293" s="4">
        <f>HYPERLINK("./Results/DLO\1268\Osteo_Sarco_1.png","RPT")</f>
        <v/>
      </c>
      <c r="F293" s="2" t="n">
        <v>133</v>
      </c>
      <c r="G293" s="6" t="n">
        <v>10</v>
      </c>
      <c r="I293" s="0" t="n"/>
      <c r="J293" s="0" t="n"/>
      <c r="K293" s="0" t="n"/>
      <c r="L293" t="inlineStr">
        <is>
          <t>SOMATOM Force</t>
        </is>
      </c>
      <c r="M293" t="inlineStr">
        <is>
          <t>LAP 3.0 Br40 2 (64kg/128kg...</t>
        </is>
      </c>
    </row>
    <row r="294">
      <c r="A294" s="2" t="n">
        <v>2481197</v>
      </c>
      <c r="B294" s="2" t="inlineStr">
        <is>
          <t>42</t>
        </is>
      </c>
      <c r="C294" s="2" t="inlineStr">
        <is>
          <t>F</t>
        </is>
      </c>
      <c r="D294" s="2" t="inlineStr">
        <is>
          <t>100.0</t>
        </is>
      </c>
      <c r="E294" s="4">
        <f>HYPERLINK("./Results/DLO\1269\Osteo_Sarco_1.png","RPT")</f>
        <v/>
      </c>
      <c r="F294" s="2" t="n">
        <v>125</v>
      </c>
      <c r="G294" s="6" t="n">
        <v>8</v>
      </c>
      <c r="I294" s="0" t="n"/>
      <c r="J294" s="0" t="n"/>
      <c r="K294" s="0" t="n"/>
      <c r="L294" t="inlineStr">
        <is>
          <t>Revolution CT</t>
        </is>
      </c>
      <c r="M294" t="inlineStr">
        <is>
          <t>Pre Axial 3mm(AR40%)</t>
        </is>
      </c>
    </row>
    <row r="295">
      <c r="A295" s="2" t="n">
        <v>4092124</v>
      </c>
      <c r="B295" s="2" t="inlineStr">
        <is>
          <t>55</t>
        </is>
      </c>
      <c r="C295" s="2" t="inlineStr">
        <is>
          <t>M</t>
        </is>
      </c>
      <c r="D295" s="2" t="inlineStr">
        <is>
          <t>100.0</t>
        </is>
      </c>
      <c r="E295" s="4">
        <f>HYPERLINK("./Results/DLO\127\Osteo_Sarco_1.png","RPT")</f>
        <v/>
      </c>
      <c r="F295" s="2" t="n">
        <v>167</v>
      </c>
      <c r="G295" s="6" t="n">
        <v>7</v>
      </c>
      <c r="I295" s="0" t="n"/>
      <c r="J295" s="0" t="n"/>
      <c r="K295" s="0" t="n"/>
      <c r="L295" t="inlineStr">
        <is>
          <t>SOMATOM Force</t>
        </is>
      </c>
      <c r="M295" t="inlineStr">
        <is>
          <t>HVP 3.0 Br40 2 (74kg/148cc...</t>
        </is>
      </c>
    </row>
    <row r="296">
      <c r="A296" s="2" t="n">
        <v>4867306</v>
      </c>
      <c r="B296" s="2" t="inlineStr">
        <is>
          <t>74</t>
        </is>
      </c>
      <c r="C296" s="2" t="inlineStr">
        <is>
          <t>M</t>
        </is>
      </c>
      <c r="D296" s="2" t="inlineStr">
        <is>
          <t>100.0</t>
        </is>
      </c>
      <c r="E296" s="4">
        <f>HYPERLINK("./Results/DLO\1270\Osteo_Sarco_1.png","RPT")</f>
        <v/>
      </c>
      <c r="F296" s="2" t="n">
        <v>163</v>
      </c>
      <c r="G296" s="6" t="n">
        <v>23</v>
      </c>
      <c r="I296" s="0" t="n"/>
      <c r="J296" s="0" t="n"/>
      <c r="K296" s="0" t="n"/>
      <c r="L296" t="inlineStr">
        <is>
          <t>iCT 256</t>
        </is>
      </c>
      <c r="M296" t="inlineStr">
        <is>
          <t>Pre (CP~Pubi)3mm, iDose (3)</t>
        </is>
      </c>
    </row>
    <row r="297">
      <c r="A297" s="2" t="n">
        <v>4351583</v>
      </c>
      <c r="B297" s="2" t="inlineStr">
        <is>
          <t>70</t>
        </is>
      </c>
      <c r="C297" s="2" t="inlineStr">
        <is>
          <t>M</t>
        </is>
      </c>
      <c r="D297" s="2" t="inlineStr">
        <is>
          <t>100.0</t>
        </is>
      </c>
      <c r="E297" s="4">
        <f>HYPERLINK("./Results/DLO\1271\Osteo_Sarco_1.png","RPT")</f>
        <v/>
      </c>
      <c r="F297" s="2" t="n">
        <v>133</v>
      </c>
      <c r="G297" s="6" t="n">
        <v>9</v>
      </c>
      <c r="H297" t="n">
        <v>24.46</v>
      </c>
      <c r="L297" t="inlineStr">
        <is>
          <t>Revolution EVO</t>
        </is>
      </c>
      <c r="M297" t="inlineStr">
        <is>
          <t>Pre 2.5mm</t>
        </is>
      </c>
    </row>
    <row r="298">
      <c r="A298" s="2" t="n">
        <v>3550613</v>
      </c>
      <c r="B298" s="2" t="inlineStr">
        <is>
          <t>70</t>
        </is>
      </c>
      <c r="C298" s="2" t="inlineStr">
        <is>
          <t>M</t>
        </is>
      </c>
      <c r="D298" s="2" t="inlineStr">
        <is>
          <t>100.0</t>
        </is>
      </c>
      <c r="E298" s="4">
        <f>HYPERLINK("./Results/DLO\1272\Osteo_Sarco_1.png","RPT")</f>
        <v/>
      </c>
      <c r="F298" s="2" t="n">
        <v>150</v>
      </c>
      <c r="G298" s="6" t="n">
        <v>11</v>
      </c>
      <c r="H298" t="n">
        <v>23.39</v>
      </c>
      <c r="L298" t="inlineStr">
        <is>
          <t>SOMATOM Force</t>
        </is>
      </c>
      <c r="M298" t="inlineStr">
        <is>
          <t>HVP 3.0 Br40 2 (67kg/134cc...</t>
        </is>
      </c>
    </row>
    <row r="299">
      <c r="A299" s="2" t="n">
        <v>2492860</v>
      </c>
      <c r="B299" s="2" t="inlineStr">
        <is>
          <t>64</t>
        </is>
      </c>
      <c r="C299" s="2" t="inlineStr">
        <is>
          <t>F</t>
        </is>
      </c>
      <c r="D299" s="2" t="inlineStr">
        <is>
          <t>120.0</t>
        </is>
      </c>
      <c r="E299" s="4">
        <f>HYPERLINK("./Results/DLO\1273\Osteo_Sarco_1.png","RPT")</f>
        <v/>
      </c>
      <c r="F299" s="2" t="n">
        <v>95</v>
      </c>
      <c r="G299" s="6" t="n">
        <v>8</v>
      </c>
      <c r="I299" s="0" t="n"/>
      <c r="J299" s="0" t="n"/>
      <c r="K299" s="0" t="n"/>
      <c r="L299" t="inlineStr">
        <is>
          <t>LightSpeed VCT</t>
        </is>
      </c>
      <c r="M299" t="inlineStr">
        <is>
          <t>HVP 55sec 3mm</t>
        </is>
      </c>
    </row>
    <row r="300">
      <c r="A300" s="2" t="n">
        <v>1798116</v>
      </c>
      <c r="B300" s="2" t="inlineStr">
        <is>
          <t>64</t>
        </is>
      </c>
      <c r="C300" s="2" t="inlineStr">
        <is>
          <t>M</t>
        </is>
      </c>
      <c r="D300" s="2" t="inlineStr">
        <is>
          <t>100.0</t>
        </is>
      </c>
      <c r="E300" s="4">
        <f>HYPERLINK("./Results/DLO\1274\Osteo_Sarco_1.png","RPT")</f>
        <v/>
      </c>
      <c r="F300" s="2" t="n">
        <v>139</v>
      </c>
      <c r="G300" s="6" t="n">
        <v>6</v>
      </c>
      <c r="I300" s="0" t="n"/>
      <c r="J300" s="0" t="n"/>
      <c r="K300" s="0" t="n"/>
      <c r="L300" t="inlineStr">
        <is>
          <t>Sensation 64</t>
        </is>
      </c>
      <c r="M300" t="inlineStr">
        <is>
          <t>LAP3mm (69kg/138cc/hexos/3cc)</t>
        </is>
      </c>
    </row>
    <row r="301">
      <c r="A301" s="2" t="n">
        <v>3452578</v>
      </c>
      <c r="B301" s="2" t="inlineStr">
        <is>
          <t>62</t>
        </is>
      </c>
      <c r="C301" s="2" t="inlineStr">
        <is>
          <t>F</t>
        </is>
      </c>
      <c r="D301" s="2" t="inlineStr">
        <is>
          <t>100.0</t>
        </is>
      </c>
      <c r="E301" s="4">
        <f>HYPERLINK("./Results/DLO\1275\Osteo_Sarco_1.png","RPT")</f>
        <v/>
      </c>
      <c r="F301" s="2" t="n">
        <v>72</v>
      </c>
      <c r="G301" s="6" t="n">
        <v>9</v>
      </c>
      <c r="I301" s="0" t="n"/>
      <c r="J301" s="0" t="n"/>
      <c r="K301" s="0" t="n"/>
      <c r="L301" t="inlineStr">
        <is>
          <t>Sensation 64</t>
        </is>
      </c>
      <c r="M301" t="inlineStr">
        <is>
          <t>PRE 3mm</t>
        </is>
      </c>
    </row>
    <row r="302">
      <c r="A302" s="2" t="n">
        <v>3008378</v>
      </c>
      <c r="B302" s="2" t="inlineStr">
        <is>
          <t>64</t>
        </is>
      </c>
      <c r="C302" s="2" t="inlineStr">
        <is>
          <t>F</t>
        </is>
      </c>
      <c r="D302" s="2" t="inlineStr">
        <is>
          <t>120.0</t>
        </is>
      </c>
      <c r="E302" s="4">
        <f>HYPERLINK("./Results/DLO\1276\Osteo_Sarco_1.png","RPT")</f>
        <v/>
      </c>
      <c r="F302" s="2" t="n">
        <v>116</v>
      </c>
      <c r="G302" s="6" t="n">
        <v>20</v>
      </c>
      <c r="H302" t="n">
        <v>22.93</v>
      </c>
      <c r="L302" t="inlineStr">
        <is>
          <t>Aquilion ONE</t>
        </is>
      </c>
      <c r="M302" t="inlineStr">
        <is>
          <t>Body 5.0</t>
        </is>
      </c>
    </row>
    <row r="303">
      <c r="A303" s="2" t="n">
        <v>1735593</v>
      </c>
      <c r="B303" s="2" t="inlineStr">
        <is>
          <t>61</t>
        </is>
      </c>
      <c r="C303" s="2" t="inlineStr">
        <is>
          <t>F</t>
        </is>
      </c>
      <c r="D303" s="2" t="inlineStr">
        <is>
          <t>100.0</t>
        </is>
      </c>
      <c r="E303" s="4">
        <f>HYPERLINK("./Results/DLO\1278\Osteo_Sarco_1.png","RPT")</f>
        <v/>
      </c>
      <c r="F303" s="2" t="n">
        <v>101</v>
      </c>
      <c r="G303" s="6" t="n">
        <v>9</v>
      </c>
      <c r="I303" s="0" t="n"/>
      <c r="J303" s="0" t="n"/>
      <c r="K303" s="0" t="n"/>
      <c r="L303" t="inlineStr">
        <is>
          <t>Sensation 64</t>
        </is>
      </c>
      <c r="M303" t="inlineStr">
        <is>
          <t>Pre 3mm(100kvp100mAs)</t>
        </is>
      </c>
    </row>
    <row r="304">
      <c r="A304" s="2" t="n">
        <v>4077344</v>
      </c>
      <c r="B304" s="2" t="inlineStr">
        <is>
          <t>79</t>
        </is>
      </c>
      <c r="C304" s="2" t="inlineStr">
        <is>
          <t>M</t>
        </is>
      </c>
      <c r="D304" s="2" t="inlineStr">
        <is>
          <t>100.0</t>
        </is>
      </c>
      <c r="E304" s="4">
        <f>HYPERLINK("./Results/DLO\1279\Osteo_Sarco_1.png","RPT")</f>
        <v/>
      </c>
      <c r="F304" s="2" t="n">
        <v>169</v>
      </c>
      <c r="G304" s="6" t="n">
        <v>9</v>
      </c>
      <c r="H304" t="n">
        <v>30.19</v>
      </c>
      <c r="L304" t="inlineStr">
        <is>
          <t>Revolution EVO</t>
        </is>
      </c>
      <c r="M304" t="inlineStr">
        <is>
          <t>AX 3mm</t>
        </is>
      </c>
    </row>
    <row r="305">
      <c r="A305" s="2" t="n">
        <v>4918630</v>
      </c>
      <c r="B305" s="2" t="inlineStr">
        <is>
          <t>64</t>
        </is>
      </c>
      <c r="C305" s="2" t="inlineStr">
        <is>
          <t>F</t>
        </is>
      </c>
      <c r="D305" s="2" t="inlineStr">
        <is>
          <t>120.0</t>
        </is>
      </c>
      <c r="E305" s="4">
        <f>HYPERLINK("./Results/DLO\128\Osteo_Sarco_1.png","RPT")</f>
        <v/>
      </c>
      <c r="F305" s="2" t="n">
        <v>112</v>
      </c>
      <c r="G305" s="6" t="n">
        <v>10</v>
      </c>
      <c r="I305" s="0" t="n"/>
      <c r="J305" s="0" t="n"/>
      <c r="K305" s="0" t="n"/>
      <c r="L305" t="inlineStr">
        <is>
          <t>LightSpeed VCT</t>
        </is>
      </c>
      <c r="M305" t="inlineStr">
        <is>
          <t>HVP 3mm</t>
        </is>
      </c>
    </row>
    <row r="306">
      <c r="A306" s="2" t="n">
        <v>3495063</v>
      </c>
      <c r="B306" s="2" t="inlineStr">
        <is>
          <t>73</t>
        </is>
      </c>
      <c r="C306" s="2" t="inlineStr">
        <is>
          <t>M</t>
        </is>
      </c>
      <c r="D306" s="2" t="inlineStr">
        <is>
          <t>120.0</t>
        </is>
      </c>
      <c r="E306" s="4">
        <f>HYPERLINK("./Results/DLO\1280\Osteo_Sarco_1.png","RPT")</f>
        <v/>
      </c>
      <c r="F306" s="2" t="n">
        <v>150</v>
      </c>
      <c r="G306" s="6" t="n">
        <v>15</v>
      </c>
      <c r="I306" s="0" t="n"/>
      <c r="J306" s="0" t="n"/>
      <c r="K306" s="0" t="n"/>
      <c r="L306" t="inlineStr">
        <is>
          <t>LightSpeed VCT</t>
        </is>
      </c>
      <c r="M306" t="inlineStr">
        <is>
          <t>HVP 55sec 3mm</t>
        </is>
      </c>
    </row>
    <row r="307">
      <c r="A307" s="2" t="n">
        <v>3732683</v>
      </c>
      <c r="B307" s="2" t="inlineStr">
        <is>
          <t>65</t>
        </is>
      </c>
      <c r="C307" s="2" t="inlineStr">
        <is>
          <t>F</t>
        </is>
      </c>
      <c r="D307" s="2" t="inlineStr">
        <is>
          <t>100.0</t>
        </is>
      </c>
      <c r="E307" s="4">
        <f>HYPERLINK("./Results/DLO\1281\Osteo_Sarco_1.png","RPT")</f>
        <v/>
      </c>
      <c r="F307" s="2" t="n">
        <v>102</v>
      </c>
      <c r="G307" s="6" t="n">
        <v>18</v>
      </c>
      <c r="H307" t="n">
        <v>371.67</v>
      </c>
      <c r="L307" t="inlineStr">
        <is>
          <t>SOMATOM Definition...</t>
        </is>
      </c>
      <c r="M307" t="inlineStr">
        <is>
          <t>Pre 3mm</t>
        </is>
      </c>
    </row>
    <row r="308">
      <c r="A308" s="2" t="n">
        <v>1629027</v>
      </c>
      <c r="B308" s="2" t="inlineStr">
        <is>
          <t>49</t>
        </is>
      </c>
      <c r="C308" s="2" t="inlineStr">
        <is>
          <t>F</t>
        </is>
      </c>
      <c r="D308" s="2" t="inlineStr">
        <is>
          <t>120.0</t>
        </is>
      </c>
      <c r="E308" s="4">
        <f>HYPERLINK("./Results/DLO\1282\Osteo_Sarco_1.png","RPT")</f>
        <v/>
      </c>
      <c r="F308" s="2" t="n">
        <v>99</v>
      </c>
      <c r="G308" s="6" t="n">
        <v>12</v>
      </c>
      <c r="I308" s="0" t="n"/>
      <c r="J308" s="0" t="n"/>
      <c r="K308" s="0" t="n"/>
      <c r="L308" t="inlineStr">
        <is>
          <t>Discovery CT750 HD</t>
        </is>
      </c>
      <c r="M308" t="inlineStr">
        <is>
          <t>HVP 3mm</t>
        </is>
      </c>
    </row>
    <row r="309">
      <c r="A309" s="2" t="n">
        <v>1647135</v>
      </c>
      <c r="B309" s="2" t="inlineStr">
        <is>
          <t>60</t>
        </is>
      </c>
      <c r="C309" s="2" t="inlineStr">
        <is>
          <t>M</t>
        </is>
      </c>
      <c r="D309" s="2" t="inlineStr">
        <is>
          <t>100.0</t>
        </is>
      </c>
      <c r="E309" s="4">
        <f>HYPERLINK("./Results/DLO\1283\Osteo_Sarco_1.png","RPT")</f>
        <v/>
      </c>
      <c r="F309" s="2" t="n">
        <v>168</v>
      </c>
      <c r="G309" s="6" t="n">
        <v>9</v>
      </c>
      <c r="I309" s="0" t="n"/>
      <c r="J309" s="0" t="n"/>
      <c r="K309" s="0" t="n"/>
      <c r="L309" t="inlineStr">
        <is>
          <t>LightSpeed VCT</t>
        </is>
      </c>
      <c r="M309" t="inlineStr">
        <is>
          <t>PRE (CP angle~Pubic)</t>
        </is>
      </c>
    </row>
    <row r="310">
      <c r="A310" s="2" t="n">
        <v>3460732</v>
      </c>
      <c r="B310" s="2" t="inlineStr">
        <is>
          <t>59</t>
        </is>
      </c>
      <c r="C310" s="2" t="inlineStr">
        <is>
          <t>F</t>
        </is>
      </c>
      <c r="D310" s="2" t="inlineStr">
        <is>
          <t>100.0</t>
        </is>
      </c>
      <c r="E310" s="4">
        <f>HYPERLINK("./Results/DLO\1284\Osteo_Sarco_1.png","RPT")</f>
        <v/>
      </c>
      <c r="F310" s="2" t="n">
        <v>111</v>
      </c>
      <c r="G310" s="6" t="n">
        <v>12</v>
      </c>
      <c r="I310" s="0" t="n"/>
      <c r="J310" s="0" t="n"/>
      <c r="K310" s="0" t="n"/>
      <c r="L310" t="inlineStr">
        <is>
          <t>iCT 256</t>
        </is>
      </c>
      <c r="M310" t="inlineStr">
        <is>
          <t>Pre3/3mm_I-3, iDose (3)</t>
        </is>
      </c>
    </row>
    <row r="311">
      <c r="A311" s="2" t="n">
        <v>3194693</v>
      </c>
      <c r="B311" s="2" t="inlineStr">
        <is>
          <t>67</t>
        </is>
      </c>
      <c r="C311" s="2" t="inlineStr">
        <is>
          <t>F</t>
        </is>
      </c>
      <c r="D311" s="2" t="inlineStr">
        <is>
          <t>120.0</t>
        </is>
      </c>
      <c r="E311" s="4">
        <f>HYPERLINK("./Results/DLO\1285\Osteo_Sarco_1.png","RPT")</f>
        <v/>
      </c>
      <c r="F311" s="2" t="n">
        <v>114</v>
      </c>
      <c r="G311" s="6" t="n">
        <v>11</v>
      </c>
      <c r="H311" t="n">
        <v>22.68</v>
      </c>
      <c r="L311" t="inlineStr">
        <is>
          <t>iCT 256</t>
        </is>
      </c>
      <c r="M311" t="inlineStr">
        <is>
          <t>LAP 3/3mm, iDose (3)</t>
        </is>
      </c>
    </row>
    <row r="312">
      <c r="A312" s="2" t="n">
        <v>2732856</v>
      </c>
      <c r="B312" s="2" t="inlineStr">
        <is>
          <t>54</t>
        </is>
      </c>
      <c r="C312" s="2" t="inlineStr">
        <is>
          <t>M</t>
        </is>
      </c>
      <c r="D312" s="2" t="inlineStr">
        <is>
          <t>100.0</t>
        </is>
      </c>
      <c r="E312" s="4">
        <f>HYPERLINK("./Results/DLO\1286\Osteo_Sarco_1.png","RPT")</f>
        <v/>
      </c>
      <c r="F312" s="2" t="n">
        <v>175</v>
      </c>
      <c r="G312" s="6" t="n">
        <v>19</v>
      </c>
      <c r="H312" t="n">
        <v>29.24</v>
      </c>
      <c r="L312" t="inlineStr">
        <is>
          <t>iCT 256</t>
        </is>
      </c>
      <c r="M312" t="inlineStr">
        <is>
          <t>Pre (CP~Pubi)3mm, iDose (3)</t>
        </is>
      </c>
    </row>
    <row r="313">
      <c r="A313" s="2" t="n">
        <v>3111743</v>
      </c>
      <c r="B313" s="2" t="inlineStr">
        <is>
          <t>77</t>
        </is>
      </c>
      <c r="C313" s="2" t="inlineStr">
        <is>
          <t>M</t>
        </is>
      </c>
      <c r="D313" s="2" t="inlineStr">
        <is>
          <t>100.0</t>
        </is>
      </c>
      <c r="E313" s="4">
        <f>HYPERLINK("./Results/DLO\1287\Osteo_Sarco_1.png","RPT")</f>
        <v/>
      </c>
      <c r="F313" s="2" t="n">
        <v>127</v>
      </c>
      <c r="G313" s="6" t="n">
        <v>15</v>
      </c>
      <c r="H313" t="n">
        <v>23.89</v>
      </c>
      <c r="L313" t="inlineStr">
        <is>
          <t>SOMATOM Force</t>
        </is>
      </c>
      <c r="M313" t="inlineStr">
        <is>
          <t>Pre 3.0 Br40 1</t>
        </is>
      </c>
    </row>
    <row r="314">
      <c r="A314" s="2" t="n">
        <v>1919888</v>
      </c>
      <c r="B314" s="2" t="inlineStr">
        <is>
          <t>61</t>
        </is>
      </c>
      <c r="C314" s="2" t="inlineStr">
        <is>
          <t>F</t>
        </is>
      </c>
      <c r="D314" s="2" t="inlineStr">
        <is>
          <t>130.0</t>
        </is>
      </c>
      <c r="E314" s="4">
        <f>HYPERLINK("./Results/DLO\1288\Osteo_Sarco_1.png","RPT")</f>
        <v/>
      </c>
      <c r="F314" s="2" t="n">
        <v>92</v>
      </c>
      <c r="G314" s="6" t="n">
        <v>16</v>
      </c>
      <c r="H314" t="n">
        <v>21.62</v>
      </c>
      <c r="L314" t="inlineStr">
        <is>
          <t>SOMATOM Perspective</t>
        </is>
      </c>
      <c r="M314" t="inlineStr">
        <is>
          <t>Abdomen pre 3.0 B40s</t>
        </is>
      </c>
    </row>
    <row r="315">
      <c r="A315" s="2" t="n">
        <v>1914529</v>
      </c>
      <c r="B315" s="2" t="inlineStr">
        <is>
          <t>33</t>
        </is>
      </c>
      <c r="C315" s="2" t="inlineStr">
        <is>
          <t>F</t>
        </is>
      </c>
      <c r="D315" s="2" t="inlineStr">
        <is>
          <t>110.0</t>
        </is>
      </c>
      <c r="E315" s="4">
        <f>HYPERLINK("./Results/DLO\1289\Osteo_Sarco_1.png","RPT")</f>
        <v/>
      </c>
      <c r="F315" s="2" t="n">
        <v>99</v>
      </c>
      <c r="G315" s="6" t="n">
        <v>5</v>
      </c>
      <c r="I315" s="0" t="n"/>
      <c r="J315" s="0" t="n"/>
      <c r="K315" s="0" t="n"/>
      <c r="L315" t="inlineStr">
        <is>
          <t>SOMATOM Perspective</t>
        </is>
      </c>
      <c r="M315" t="inlineStr">
        <is>
          <t>Abdomen Pre 3.0 140s 3</t>
        </is>
      </c>
    </row>
    <row r="316">
      <c r="A316" s="2" t="n">
        <v>4312512</v>
      </c>
      <c r="B316" s="2" t="inlineStr">
        <is>
          <t>71</t>
        </is>
      </c>
      <c r="C316" s="2" t="inlineStr">
        <is>
          <t>F</t>
        </is>
      </c>
      <c r="D316" s="2" t="inlineStr">
        <is>
          <t>100.0</t>
        </is>
      </c>
      <c r="E316" s="4">
        <f>HYPERLINK("./Results/DLO\129\Osteo_Sarco_1.png","RPT")</f>
        <v/>
      </c>
      <c r="F316" s="2" t="n">
        <v>85</v>
      </c>
      <c r="G316" s="6" t="n">
        <v>7</v>
      </c>
      <c r="H316" t="n">
        <v>18.87</v>
      </c>
      <c r="L316" t="inlineStr">
        <is>
          <t>Revolution CT</t>
        </is>
      </c>
      <c r="M316" t="inlineStr">
        <is>
          <t>HVP 3mm-pacs(51kg/102cc/3cc/r</t>
        </is>
      </c>
    </row>
    <row r="317">
      <c r="A317" s="2" t="n">
        <v>4596660</v>
      </c>
      <c r="B317" s="2" t="inlineStr">
        <is>
          <t>38</t>
        </is>
      </c>
      <c r="C317" s="2" t="inlineStr">
        <is>
          <t>F</t>
        </is>
      </c>
      <c r="D317" s="2" t="inlineStr">
        <is>
          <t>100.0</t>
        </is>
      </c>
      <c r="E317" s="4">
        <f>HYPERLINK("./Results/DLO\1290\Osteo_Sarco_1.png","RPT")</f>
        <v/>
      </c>
      <c r="F317" s="2" t="n">
        <v>104</v>
      </c>
      <c r="G317" s="6" t="n">
        <v>10</v>
      </c>
      <c r="I317" s="0" t="n"/>
      <c r="J317" s="0" t="n"/>
      <c r="K317" s="0" t="n"/>
      <c r="L317" t="inlineStr">
        <is>
          <t>iCT 256</t>
        </is>
      </c>
      <c r="M317" t="inlineStr">
        <is>
          <t>HVP 3/3mm, iDose (3)</t>
        </is>
      </c>
    </row>
    <row r="318">
      <c r="A318" s="2" t="n">
        <v>2778041</v>
      </c>
      <c r="B318" s="2" t="inlineStr">
        <is>
          <t>62</t>
        </is>
      </c>
      <c r="C318" s="2" t="inlineStr">
        <is>
          <t>F</t>
        </is>
      </c>
      <c r="D318" s="2" t="inlineStr">
        <is>
          <t>120.0</t>
        </is>
      </c>
      <c r="E318" s="4">
        <f>HYPERLINK("./Results/DLO\1291\Osteo_Sarco_1.png","RPT")</f>
        <v/>
      </c>
      <c r="F318" s="2" t="n">
        <v>99</v>
      </c>
      <c r="G318" s="6" t="n">
        <v>19</v>
      </c>
      <c r="I318" s="0" t="n"/>
      <c r="J318" s="0" t="n"/>
      <c r="K318" s="0" t="n"/>
      <c r="L318" t="inlineStr">
        <is>
          <t>iCT 256</t>
        </is>
      </c>
      <c r="M318" t="inlineStr">
        <is>
          <t>Pre 3/3mm, iDose (3)</t>
        </is>
      </c>
    </row>
    <row r="319">
      <c r="A319" s="2" t="n">
        <v>4268171</v>
      </c>
      <c r="B319" s="2" t="inlineStr">
        <is>
          <t>58</t>
        </is>
      </c>
      <c r="C319" s="2" t="inlineStr">
        <is>
          <t>F</t>
        </is>
      </c>
      <c r="D319" s="2" t="inlineStr">
        <is>
          <t>100.0</t>
        </is>
      </c>
      <c r="E319" s="4">
        <f>HYPERLINK("./Results/DLO\1292\Osteo_Sarco_1.png","RPT")</f>
        <v/>
      </c>
      <c r="F319" s="2" t="n">
        <v>95</v>
      </c>
      <c r="G319" s="6" t="n">
        <v>4</v>
      </c>
      <c r="H319" t="n">
        <v>17.84</v>
      </c>
      <c r="L319" t="inlineStr">
        <is>
          <t>SOMATOM Force</t>
        </is>
      </c>
      <c r="M319" t="inlineStr">
        <is>
          <t>HVP 3.0 Br40 2 (4ikg/82cc/...</t>
        </is>
      </c>
    </row>
    <row r="320">
      <c r="A320" s="2" t="n">
        <v>3469410</v>
      </c>
      <c r="B320" s="2" t="inlineStr">
        <is>
          <t>55</t>
        </is>
      </c>
      <c r="C320" s="2" t="inlineStr">
        <is>
          <t>M</t>
        </is>
      </c>
      <c r="D320" s="2" t="inlineStr">
        <is>
          <t>120.0</t>
        </is>
      </c>
      <c r="E320" s="4">
        <f>HYPERLINK("./Results/DLO\1293\Osteo_Sarco_1.png","RPT")</f>
        <v/>
      </c>
      <c r="F320" s="2" t="n">
        <v>173</v>
      </c>
      <c r="G320" s="6" t="n">
        <v>14</v>
      </c>
      <c r="H320" t="n">
        <v>23.89</v>
      </c>
      <c r="L320" t="inlineStr">
        <is>
          <t>iCT 256</t>
        </is>
      </c>
      <c r="M320" t="inlineStr">
        <is>
          <t>LAP 3/3mm, iDose (3)</t>
        </is>
      </c>
    </row>
    <row r="321">
      <c r="A321" s="2" t="n">
        <v>2056164</v>
      </c>
      <c r="B321" s="2" t="inlineStr">
        <is>
          <t>41</t>
        </is>
      </c>
      <c r="C321" s="2" t="inlineStr">
        <is>
          <t>F</t>
        </is>
      </c>
      <c r="D321" s="2" t="inlineStr">
        <is>
          <t>100.0</t>
        </is>
      </c>
      <c r="E321" s="4">
        <f>HYPERLINK("./Results/DLO\1294\Osteo_Sarco_1.png","RPT")</f>
        <v/>
      </c>
      <c r="F321" s="2" t="n">
        <v>95</v>
      </c>
      <c r="G321" s="6" t="n">
        <v>9</v>
      </c>
      <c r="H321" t="n">
        <v>22.54</v>
      </c>
      <c r="L321" t="inlineStr">
        <is>
          <t>LightSpeed VCT</t>
        </is>
      </c>
      <c r="M321" t="inlineStr">
        <is>
          <t>PRE (</t>
        </is>
      </c>
    </row>
    <row r="322">
      <c r="A322" s="2" t="n">
        <v>2793538</v>
      </c>
      <c r="B322" s="2" t="inlineStr">
        <is>
          <t>53</t>
        </is>
      </c>
      <c r="C322" s="2" t="inlineStr">
        <is>
          <t>M</t>
        </is>
      </c>
      <c r="D322" s="2" t="inlineStr">
        <is>
          <t>120.0</t>
        </is>
      </c>
      <c r="E322" s="4">
        <f>HYPERLINK("./Results/DLO\1295\Osteo_Sarco_1.png","RPT")</f>
        <v/>
      </c>
      <c r="F322" s="2" t="n">
        <v>202</v>
      </c>
      <c r="G322" s="6" t="n">
        <v>10</v>
      </c>
      <c r="I322" s="0" t="n"/>
      <c r="J322" s="0" t="n"/>
      <c r="K322" s="0" t="n"/>
      <c r="L322" t="inlineStr">
        <is>
          <t>LightSpeed VCT</t>
        </is>
      </c>
      <c r="M322" t="inlineStr">
        <is>
          <t>HVP 55sec 3mm</t>
        </is>
      </c>
    </row>
    <row r="323">
      <c r="A323" s="2" t="n">
        <v>1660093</v>
      </c>
      <c r="B323" s="2" t="inlineStr">
        <is>
          <t>66</t>
        </is>
      </c>
      <c r="C323" s="2" t="inlineStr">
        <is>
          <t>M</t>
        </is>
      </c>
      <c r="D323" s="2" t="inlineStr">
        <is>
          <t>100.0</t>
        </is>
      </c>
      <c r="E323" s="4">
        <f>HYPERLINK("./Results/DLO\1297\Osteo_Sarco_1.png","RPT")</f>
        <v/>
      </c>
      <c r="F323" s="2" t="n">
        <v>171</v>
      </c>
      <c r="G323" s="6" t="n">
        <v>8</v>
      </c>
      <c r="I323" s="0" t="n"/>
      <c r="J323" s="0" t="n"/>
      <c r="K323" s="0" t="n"/>
      <c r="L323" t="inlineStr">
        <is>
          <t>SOMATOM Definition...</t>
        </is>
      </c>
      <c r="M323" t="inlineStr">
        <is>
          <t>Pre 3mm</t>
        </is>
      </c>
    </row>
    <row r="324">
      <c r="A324" s="2" t="n">
        <v>1680193</v>
      </c>
      <c r="B324" s="2" t="inlineStr">
        <is>
          <t>41</t>
        </is>
      </c>
      <c r="C324" s="2" t="inlineStr">
        <is>
          <t>F</t>
        </is>
      </c>
      <c r="D324" s="2" t="inlineStr">
        <is>
          <t>130.0</t>
        </is>
      </c>
      <c r="E324" s="4">
        <f>HYPERLINK("./Results/DLO\1298\Osteo_Sarco_1.png","RPT")</f>
        <v/>
      </c>
      <c r="F324" s="2" t="n">
        <v>84</v>
      </c>
      <c r="G324" s="6" t="n">
        <v>4</v>
      </c>
      <c r="H324" t="n">
        <v>19.9</v>
      </c>
      <c r="L324" t="inlineStr">
        <is>
          <t>Spirit</t>
        </is>
      </c>
      <c r="M324" t="inlineStr">
        <is>
          <t>ABE_Pre 6.0 B31s</t>
        </is>
      </c>
    </row>
    <row r="325">
      <c r="A325" s="2" t="n">
        <v>4563676</v>
      </c>
      <c r="B325" s="2" t="inlineStr">
        <is>
          <t>66</t>
        </is>
      </c>
      <c r="C325" s="2" t="inlineStr">
        <is>
          <t>F</t>
        </is>
      </c>
      <c r="D325" s="2" t="inlineStr">
        <is>
          <t>120.0</t>
        </is>
      </c>
      <c r="E325" s="4">
        <f>HYPERLINK("./Results/DLO\1299\Osteo_Sarco_1.png","RPT")</f>
        <v/>
      </c>
      <c r="F325" s="2" t="n">
        <v>121</v>
      </c>
      <c r="G325" s="6" t="n">
        <v>12</v>
      </c>
      <c r="I325" s="0" t="n"/>
      <c r="J325" s="0" t="n"/>
      <c r="K325" s="0" t="n"/>
      <c r="L325" t="inlineStr">
        <is>
          <t>LightSpeed VCT</t>
        </is>
      </c>
      <c r="M325" t="inlineStr">
        <is>
          <t>HVP 55sec 3mm</t>
        </is>
      </c>
    </row>
    <row r="326">
      <c r="A326" s="2" t="n">
        <v>2534698</v>
      </c>
      <c r="B326" s="2" t="inlineStr">
        <is>
          <t>52</t>
        </is>
      </c>
      <c r="C326" s="2" t="inlineStr">
        <is>
          <t>F</t>
        </is>
      </c>
      <c r="D326" s="2" t="inlineStr">
        <is>
          <t>120.0</t>
        </is>
      </c>
      <c r="E326" s="4">
        <f>HYPERLINK("./Results/DLO\13\Osteo_Sarco_1.png","RPT")</f>
        <v/>
      </c>
      <c r="F326" s="2" t="n">
        <v>91</v>
      </c>
      <c r="G326" s="6" t="n">
        <v>8</v>
      </c>
      <c r="I326" s="0" t="n"/>
      <c r="J326" s="0" t="n"/>
      <c r="K326" s="0" t="n"/>
      <c r="L326" t="inlineStr">
        <is>
          <t>Sensation 64</t>
        </is>
      </c>
      <c r="M326" t="inlineStr">
        <is>
          <t>PRE 5.0 B30F</t>
        </is>
      </c>
    </row>
    <row r="327">
      <c r="A327" s="2" t="n">
        <v>3406941</v>
      </c>
      <c r="B327" s="2" t="inlineStr">
        <is>
          <t>58</t>
        </is>
      </c>
      <c r="C327" s="2" t="inlineStr">
        <is>
          <t>F</t>
        </is>
      </c>
      <c r="D327" s="2" t="inlineStr">
        <is>
          <t>100.0</t>
        </is>
      </c>
      <c r="E327" s="4">
        <f>HYPERLINK("./Results/DLO\130\Osteo_Sarco_1.png","RPT")</f>
        <v/>
      </c>
      <c r="F327" s="2" t="n">
        <v>112</v>
      </c>
      <c r="G327" s="6" t="n">
        <v>11</v>
      </c>
      <c r="I327" s="0" t="n"/>
      <c r="J327" s="0" t="n"/>
      <c r="K327" s="0" t="n"/>
      <c r="L327" t="inlineStr">
        <is>
          <t>SOMATOM Definition...</t>
        </is>
      </c>
      <c r="M327" t="inlineStr">
        <is>
          <t>PRE 3mm</t>
        </is>
      </c>
    </row>
    <row r="328">
      <c r="A328" s="2" t="n">
        <v>4585461</v>
      </c>
      <c r="B328" s="2" t="inlineStr">
        <is>
          <t>57</t>
        </is>
      </c>
      <c r="C328" s="2" t="inlineStr">
        <is>
          <t>F</t>
        </is>
      </c>
      <c r="D328" s="2" t="inlineStr">
        <is>
          <t>100.0</t>
        </is>
      </c>
      <c r="E328" s="4">
        <f>HYPERLINK("./Results/DLO\1300\Osteo_Sarco_1.png","RPT")</f>
        <v/>
      </c>
      <c r="F328" s="2" t="n">
        <v>97</v>
      </c>
      <c r="G328" s="6" t="n">
        <v>8</v>
      </c>
      <c r="I328" s="0" t="n"/>
      <c r="J328" s="0" t="n"/>
      <c r="K328" s="0" t="n"/>
      <c r="L328" t="inlineStr">
        <is>
          <t>LightSpeed VCT</t>
        </is>
      </c>
      <c r="M328" t="inlineStr">
        <is>
          <t>PRE (CP angle~Pubic)</t>
        </is>
      </c>
    </row>
    <row r="329">
      <c r="A329" s="2" t="n">
        <v>1576373</v>
      </c>
      <c r="B329" s="2" t="inlineStr">
        <is>
          <t>64</t>
        </is>
      </c>
      <c r="C329" s="2" t="inlineStr">
        <is>
          <t>M</t>
        </is>
      </c>
      <c r="D329" s="2" t="inlineStr">
        <is>
          <t>100.0</t>
        </is>
      </c>
      <c r="E329" s="4">
        <f>HYPERLINK("./Results/DLO\1301\Osteo_Sarco_1.png","RPT")</f>
        <v/>
      </c>
      <c r="F329" s="2" t="n">
        <v>140</v>
      </c>
      <c r="G329" s="6" t="n">
        <v>9</v>
      </c>
      <c r="H329" t="n">
        <v>26.67</v>
      </c>
      <c r="L329" t="inlineStr">
        <is>
          <t>Revolution CT</t>
        </is>
      </c>
      <c r="M329" t="inlineStr">
        <is>
          <t>Pre Axial 3mm(AR40%)</t>
        </is>
      </c>
    </row>
    <row r="330">
      <c r="A330" s="2" t="n">
        <v>3496085</v>
      </c>
      <c r="B330" s="2" t="inlineStr">
        <is>
          <t>55</t>
        </is>
      </c>
      <c r="C330" s="2" t="inlineStr">
        <is>
          <t>M</t>
        </is>
      </c>
      <c r="D330" s="2" t="inlineStr">
        <is>
          <t>120.0</t>
        </is>
      </c>
      <c r="E330" s="4">
        <f>HYPERLINK("./Results/DLO\1302\Osteo_Sarco_1.png","RPT")</f>
        <v/>
      </c>
      <c r="F330" s="2" t="n">
        <v>141</v>
      </c>
      <c r="G330" s="6" t="n">
        <v>4</v>
      </c>
      <c r="I330" s="0" t="n"/>
      <c r="J330" s="0" t="n"/>
      <c r="K330" s="0" t="n"/>
      <c r="L330" t="inlineStr">
        <is>
          <t>LightSpeed VCT</t>
        </is>
      </c>
      <c r="M330" t="inlineStr">
        <is>
          <t>HVP 55sec 3mm</t>
        </is>
      </c>
    </row>
    <row r="331">
      <c r="A331" s="2" t="n">
        <v>2783019</v>
      </c>
      <c r="B331" s="2" t="inlineStr">
        <is>
          <t>57</t>
        </is>
      </c>
      <c r="C331" s="2" t="inlineStr">
        <is>
          <t>M</t>
        </is>
      </c>
      <c r="D331" s="2" t="inlineStr">
        <is>
          <t>100.0</t>
        </is>
      </c>
      <c r="E331" s="4">
        <f>HYPERLINK("./Results/DLO\1303\Osteo_Sarco_1.png","RPT")</f>
        <v/>
      </c>
      <c r="F331" s="2" t="n">
        <v>150</v>
      </c>
      <c r="G331" s="6" t="n">
        <v>8</v>
      </c>
      <c r="I331" s="0" t="n"/>
      <c r="J331" s="0" t="n"/>
      <c r="K331" s="0" t="n"/>
      <c r="L331" t="inlineStr">
        <is>
          <t>LightSpeed VCT</t>
        </is>
      </c>
      <c r="M331" t="inlineStr">
        <is>
          <t>PRE 3mm</t>
        </is>
      </c>
    </row>
    <row r="332">
      <c r="A332" s="2" t="n">
        <v>2845703</v>
      </c>
      <c r="B332" s="2" t="inlineStr">
        <is>
          <t>42</t>
        </is>
      </c>
      <c r="C332" s="2" t="inlineStr">
        <is>
          <t>M</t>
        </is>
      </c>
      <c r="D332" s="2" t="inlineStr">
        <is>
          <t>100.0</t>
        </is>
      </c>
      <c r="E332" s="4">
        <f>HYPERLINK("./Results/DLO\1304\Osteo_Sarco_1.png","RPT")</f>
        <v/>
      </c>
      <c r="F332" s="2" t="n">
        <v>191</v>
      </c>
      <c r="G332" s="6" t="n">
        <v>11</v>
      </c>
      <c r="I332" s="0" t="n"/>
      <c r="J332" s="0" t="n"/>
      <c r="K332" s="0" t="n"/>
      <c r="L332" t="inlineStr">
        <is>
          <t>iCT 256</t>
        </is>
      </c>
      <c r="M332" t="inlineStr">
        <is>
          <t>Pre 3/3mm, iDose (3)</t>
        </is>
      </c>
    </row>
    <row r="333">
      <c r="A333" s="2" t="n">
        <v>4581686</v>
      </c>
      <c r="B333" s="2" t="inlineStr">
        <is>
          <t>59</t>
        </is>
      </c>
      <c r="C333" s="2" t="inlineStr">
        <is>
          <t>M</t>
        </is>
      </c>
      <c r="D333" s="2" t="inlineStr">
        <is>
          <t>100.0</t>
        </is>
      </c>
      <c r="E333" s="4">
        <f>HYPERLINK("./Results/DLO\1305\Osteo_Sarco_1.png","RPT")</f>
        <v/>
      </c>
      <c r="F333" s="2" t="n">
        <v>180</v>
      </c>
      <c r="G333" s="6" t="n">
        <v>15</v>
      </c>
      <c r="H333" t="n">
        <v>29.34</v>
      </c>
      <c r="L333" t="inlineStr">
        <is>
          <t>Sensation 64</t>
        </is>
      </c>
      <c r="M333" t="inlineStr">
        <is>
          <t>HVP 3mm(83kg/150cc/3cc/xene)</t>
        </is>
      </c>
    </row>
    <row r="334">
      <c r="A334" s="2" t="n">
        <v>2817427</v>
      </c>
      <c r="B334" s="2" t="inlineStr">
        <is>
          <t>53</t>
        </is>
      </c>
      <c r="C334" s="2" t="inlineStr">
        <is>
          <t>F</t>
        </is>
      </c>
      <c r="D334" s="2" t="inlineStr">
        <is>
          <t>100.0</t>
        </is>
      </c>
      <c r="E334" s="4">
        <f>HYPERLINK("./Results/DLO\1306\Osteo_Sarco_1.png","RPT")</f>
        <v/>
      </c>
      <c r="F334" s="2" t="n">
        <v>78</v>
      </c>
      <c r="G334" s="6" t="n">
        <v>11</v>
      </c>
      <c r="I334" s="0" t="n"/>
      <c r="J334" s="0" t="n"/>
      <c r="K334" s="0" t="n"/>
      <c r="L334" t="inlineStr">
        <is>
          <t>SOMATOM Definition...</t>
        </is>
      </c>
      <c r="M334" t="inlineStr">
        <is>
          <t>Pre 3mm</t>
        </is>
      </c>
    </row>
    <row r="335">
      <c r="A335" s="2" t="n">
        <v>2489701</v>
      </c>
      <c r="B335" s="2" t="inlineStr">
        <is>
          <t>60</t>
        </is>
      </c>
      <c r="C335" s="2" t="inlineStr">
        <is>
          <t>F</t>
        </is>
      </c>
      <c r="D335" s="2" t="inlineStr">
        <is>
          <t>100.0</t>
        </is>
      </c>
      <c r="E335" s="4">
        <f>HYPERLINK("./Results/DLO\1307\Osteo_Sarco_1.png","RPT")</f>
        <v/>
      </c>
      <c r="F335" s="2" t="n">
        <v>122</v>
      </c>
      <c r="G335" s="6" t="n">
        <v>22</v>
      </c>
      <c r="I335" s="0" t="n"/>
      <c r="J335" s="0" t="n"/>
      <c r="K335" s="0" t="n"/>
      <c r="L335" t="inlineStr">
        <is>
          <t>iCT 256</t>
        </is>
      </c>
      <c r="M335" t="inlineStr">
        <is>
          <t>HVP 3/3mm, iDose (3)</t>
        </is>
      </c>
    </row>
    <row r="336">
      <c r="A336" s="2" t="n">
        <v>4765596</v>
      </c>
      <c r="B336" s="2" t="inlineStr">
        <is>
          <t>63</t>
        </is>
      </c>
      <c r="C336" s="2" t="inlineStr">
        <is>
          <t>F</t>
        </is>
      </c>
      <c r="D336" s="2" t="inlineStr">
        <is>
          <t>100.0</t>
        </is>
      </c>
      <c r="E336" s="4">
        <f>HYPERLINK("./Results/DLO\1308\Osteo_Sarco_1.png","RPT")</f>
        <v/>
      </c>
      <c r="F336" s="2" t="n">
        <v>95</v>
      </c>
      <c r="G336" s="6" t="n">
        <v>12</v>
      </c>
      <c r="I336" s="0" t="n"/>
      <c r="J336" s="0" t="n"/>
      <c r="K336" s="0" t="n"/>
      <c r="L336" t="inlineStr">
        <is>
          <t>iCT 256</t>
        </is>
      </c>
      <c r="M336" t="inlineStr">
        <is>
          <t>Pre (CP~Pubi)3mm, iDose (3)</t>
        </is>
      </c>
    </row>
    <row r="337">
      <c r="A337" s="2" t="n">
        <v>4768394</v>
      </c>
      <c r="B337" s="2" t="inlineStr">
        <is>
          <t>65</t>
        </is>
      </c>
      <c r="C337" s="2" t="inlineStr">
        <is>
          <t>M</t>
        </is>
      </c>
      <c r="D337" s="2" t="inlineStr">
        <is>
          <t>120.0</t>
        </is>
      </c>
      <c r="E337" s="4">
        <f>HYPERLINK("./Results/DLO\1309\Osteo_Sarco_1.png","RPT")</f>
        <v/>
      </c>
      <c r="F337" s="2" t="n">
        <v>150</v>
      </c>
      <c r="G337" s="6" t="n">
        <v>17</v>
      </c>
      <c r="I337" s="0" t="n"/>
      <c r="J337" s="0" t="n"/>
      <c r="K337" s="0" t="n"/>
      <c r="L337" t="inlineStr">
        <is>
          <t>Discovery CT750 HD</t>
        </is>
      </c>
      <c r="M337" t="inlineStr">
        <is>
          <t>HVP 3mm</t>
        </is>
      </c>
    </row>
    <row r="338">
      <c r="A338" s="2" t="n">
        <v>4251445</v>
      </c>
      <c r="B338" s="2" t="inlineStr">
        <is>
          <t>50</t>
        </is>
      </c>
      <c r="C338" s="2" t="inlineStr">
        <is>
          <t>F</t>
        </is>
      </c>
      <c r="D338" s="2" t="inlineStr">
        <is>
          <t>100.0</t>
        </is>
      </c>
      <c r="E338" s="4">
        <f>HYPERLINK("./Results/DLO\131\Osteo_Sarco_1.png","RPT")</f>
        <v/>
      </c>
      <c r="F338" s="2" t="n">
        <v>112</v>
      </c>
      <c r="G338" s="6" t="n">
        <v>6</v>
      </c>
      <c r="I338" s="0" t="n"/>
      <c r="J338" s="0" t="n"/>
      <c r="K338" s="0" t="n"/>
      <c r="L338" t="inlineStr">
        <is>
          <t>SOMATOM Definition...</t>
        </is>
      </c>
      <c r="M338" t="inlineStr">
        <is>
          <t>DS_Abd Pre 3.0 I30f 2</t>
        </is>
      </c>
    </row>
    <row r="339">
      <c r="A339" s="2" t="n">
        <v>4984602</v>
      </c>
      <c r="B339" s="2" t="inlineStr">
        <is>
          <t>72</t>
        </is>
      </c>
      <c r="C339" s="2" t="inlineStr">
        <is>
          <t>M</t>
        </is>
      </c>
      <c r="D339" s="2" t="inlineStr">
        <is>
          <t>100.0</t>
        </is>
      </c>
      <c r="E339" s="4">
        <f>HYPERLINK("./Results/DLO\1310\Osteo_Sarco_1.png","RPT")</f>
        <v/>
      </c>
      <c r="F339" s="2" t="n">
        <v>107</v>
      </c>
      <c r="G339" s="6" t="n">
        <v>9</v>
      </c>
      <c r="I339" s="0" t="n"/>
      <c r="J339" s="0" t="n"/>
      <c r="K339" s="0" t="n"/>
      <c r="L339" t="inlineStr">
        <is>
          <t>Discovery CT750 HD</t>
        </is>
      </c>
      <c r="M339" t="inlineStr">
        <is>
          <t>Pre 3mm</t>
        </is>
      </c>
    </row>
    <row r="340">
      <c r="A340" s="2" t="n">
        <v>4970891</v>
      </c>
      <c r="B340" s="2" t="inlineStr">
        <is>
          <t>61</t>
        </is>
      </c>
      <c r="C340" s="2" t="inlineStr">
        <is>
          <t>M</t>
        </is>
      </c>
      <c r="D340" s="2" t="inlineStr">
        <is>
          <t>100.0</t>
        </is>
      </c>
      <c r="E340" s="4">
        <f>HYPERLINK("./Results/DLO\1311\Osteo_Sarco_1.png","RPT")</f>
        <v/>
      </c>
      <c r="F340" s="2" t="n">
        <v>140</v>
      </c>
      <c r="G340" s="6" t="n">
        <v>9</v>
      </c>
      <c r="I340" s="0" t="n"/>
      <c r="J340" s="0" t="n"/>
      <c r="K340" s="0" t="n"/>
      <c r="L340" t="inlineStr">
        <is>
          <t>SOMATOM Definition...</t>
        </is>
      </c>
      <c r="M340" t="inlineStr">
        <is>
          <t>HVP 2 3mm(60Kg/140ml/3ml/xe...</t>
        </is>
      </c>
    </row>
    <row r="341">
      <c r="A341" s="2" t="n">
        <v>2973583</v>
      </c>
      <c r="B341" s="2" t="inlineStr">
        <is>
          <t>67</t>
        </is>
      </c>
      <c r="C341" s="2" t="inlineStr">
        <is>
          <t>M</t>
        </is>
      </c>
      <c r="D341" s="2" t="inlineStr">
        <is>
          <t>100.0</t>
        </is>
      </c>
      <c r="E341" s="4">
        <f>HYPERLINK("./Results/DLO\1312\Osteo_Sarco_1.png","RPT")</f>
        <v/>
      </c>
      <c r="F341" s="2" t="n">
        <v>143</v>
      </c>
      <c r="G341" s="6" t="n">
        <v>6</v>
      </c>
      <c r="H341" t="n">
        <v>24.91</v>
      </c>
      <c r="L341" t="inlineStr">
        <is>
          <t>Aquilion</t>
        </is>
      </c>
      <c r="M341" t="inlineStr">
        <is>
          <t>Body 3.0</t>
        </is>
      </c>
    </row>
    <row r="342">
      <c r="A342" s="2" t="n">
        <v>4681633</v>
      </c>
      <c r="B342" s="2" t="inlineStr">
        <is>
          <t>63</t>
        </is>
      </c>
      <c r="C342" s="2" t="inlineStr">
        <is>
          <t>M</t>
        </is>
      </c>
      <c r="D342" s="2" t="inlineStr">
        <is>
          <t>100.0</t>
        </is>
      </c>
      <c r="E342" s="4">
        <f>HYPERLINK("./Results/DLO\1313\Osteo_Sarco_1.png","RPT")</f>
        <v/>
      </c>
      <c r="F342" s="2" t="n">
        <v>155</v>
      </c>
      <c r="G342" s="6" t="n">
        <v>7</v>
      </c>
      <c r="H342" t="n">
        <v>25.15</v>
      </c>
      <c r="L342" t="inlineStr">
        <is>
          <t>SOMATOM Force</t>
        </is>
      </c>
      <c r="M342" t="inlineStr">
        <is>
          <t>HVP 3.0 Br40 2 (70kg/140cc...</t>
        </is>
      </c>
    </row>
    <row r="343">
      <c r="A343" s="2" t="n">
        <v>3870799</v>
      </c>
      <c r="B343" s="2" t="inlineStr">
        <is>
          <t>76</t>
        </is>
      </c>
      <c r="C343" s="2" t="inlineStr">
        <is>
          <t>M</t>
        </is>
      </c>
      <c r="D343" s="2" t="inlineStr">
        <is>
          <t>100.0</t>
        </is>
      </c>
      <c r="E343" s="4">
        <f>HYPERLINK("./Results/DLO\1314\Osteo_Sarco_1.png","RPT")</f>
        <v/>
      </c>
      <c r="F343" s="2" t="n">
        <v>120</v>
      </c>
      <c r="G343" s="6" t="n">
        <v>17</v>
      </c>
      <c r="I343" s="0" t="n"/>
      <c r="J343" s="0" t="n"/>
      <c r="K343" s="0" t="n"/>
      <c r="L343" t="inlineStr">
        <is>
          <t>Revolution CT</t>
        </is>
      </c>
      <c r="M343" t="inlineStr">
        <is>
          <t>HVP 3mm-pacs(60kg/120cc/3cc/r...</t>
        </is>
      </c>
    </row>
    <row r="344">
      <c r="A344" s="2" t="n">
        <v>2551274</v>
      </c>
      <c r="B344" s="2" t="inlineStr">
        <is>
          <t>58</t>
        </is>
      </c>
      <c r="C344" s="2" t="inlineStr">
        <is>
          <t>M</t>
        </is>
      </c>
      <c r="D344" s="2" t="inlineStr">
        <is>
          <t>120.0</t>
        </is>
      </c>
      <c r="E344" s="4">
        <f>HYPERLINK("./Results/DLO\1315\Osteo_Sarco_1.png","RPT")</f>
        <v/>
      </c>
      <c r="F344" s="2" t="n">
        <v>171</v>
      </c>
      <c r="G344" s="6" t="n">
        <v>6</v>
      </c>
      <c r="I344" s="0" t="n"/>
      <c r="J344" s="0" t="n"/>
      <c r="K344" s="0" t="n"/>
      <c r="L344" t="inlineStr">
        <is>
          <t>LightSpeed VCT</t>
        </is>
      </c>
      <c r="M344" t="inlineStr">
        <is>
          <t>HVP 55sec 3mm</t>
        </is>
      </c>
    </row>
    <row r="345">
      <c r="A345" s="2" t="n">
        <v>3668715</v>
      </c>
      <c r="B345" s="2" t="inlineStr">
        <is>
          <t>63</t>
        </is>
      </c>
      <c r="C345" s="2" t="inlineStr">
        <is>
          <t>F</t>
        </is>
      </c>
      <c r="D345" s="2" t="inlineStr">
        <is>
          <t>100.0</t>
        </is>
      </c>
      <c r="E345" s="4">
        <f>HYPERLINK("./Results/DLO\1316\Osteo_Sarco_1.png","RPT")</f>
        <v/>
      </c>
      <c r="F345" s="2" t="n">
        <v>121</v>
      </c>
      <c r="G345" s="6" t="n">
        <v>15</v>
      </c>
      <c r="I345" s="0" t="n"/>
      <c r="J345" s="0" t="n"/>
      <c r="K345" s="0" t="n"/>
      <c r="L345" t="inlineStr">
        <is>
          <t>SOMATOM Definition...</t>
        </is>
      </c>
      <c r="M345" t="inlineStr">
        <is>
          <t>LAP 2 3mm(80kg/150ml/2.5ml/...</t>
        </is>
      </c>
    </row>
    <row r="346">
      <c r="A346" s="2" t="n">
        <v>2643465</v>
      </c>
      <c r="B346" s="2" t="inlineStr">
        <is>
          <t>80</t>
        </is>
      </c>
      <c r="C346" s="2" t="inlineStr">
        <is>
          <t>F</t>
        </is>
      </c>
      <c r="D346" s="2" t="inlineStr">
        <is>
          <t>100.0</t>
        </is>
      </c>
      <c r="E346" s="4">
        <f>HYPERLINK("./Results/DLO\1317\Osteo_Sarco_1.png","RPT")</f>
        <v/>
      </c>
      <c r="F346" s="2" t="n">
        <v>45</v>
      </c>
      <c r="G346" s="6" t="n">
        <v>9</v>
      </c>
      <c r="H346" t="n">
        <v>17.63</v>
      </c>
      <c r="L346" t="inlineStr">
        <is>
          <t>iCT 256</t>
        </is>
      </c>
      <c r="M346" t="inlineStr">
        <is>
          <t>Pre (CP~Pubi)3mm, iDose (3)</t>
        </is>
      </c>
    </row>
    <row r="347">
      <c r="A347" s="2" t="n">
        <v>4907283</v>
      </c>
      <c r="B347" s="2" t="inlineStr">
        <is>
          <t>67</t>
        </is>
      </c>
      <c r="C347" s="2" t="inlineStr">
        <is>
          <t>F</t>
        </is>
      </c>
      <c r="D347" s="2" t="inlineStr">
        <is>
          <t>120.0</t>
        </is>
      </c>
      <c r="E347" s="4">
        <f>HYPERLINK("./Results/DLO\1318\Osteo_Sarco_1.png","RPT")</f>
        <v/>
      </c>
      <c r="F347" s="2" t="n">
        <v>122</v>
      </c>
      <c r="G347" s="6" t="n">
        <v>17</v>
      </c>
      <c r="H347" t="n">
        <v>25.68</v>
      </c>
      <c r="L347" t="inlineStr">
        <is>
          <t>iCT 256</t>
        </is>
      </c>
      <c r="M347" t="inlineStr">
        <is>
          <t>HVP 3/3mm, iDose (3)</t>
        </is>
      </c>
    </row>
    <row r="348">
      <c r="A348" s="2" t="n">
        <v>3444215</v>
      </c>
      <c r="B348" s="2" t="inlineStr">
        <is>
          <t>61</t>
        </is>
      </c>
      <c r="C348" s="2" t="inlineStr">
        <is>
          <t>F</t>
        </is>
      </c>
      <c r="D348" s="2" t="inlineStr">
        <is>
          <t>100.0</t>
        </is>
      </c>
      <c r="E348" s="4">
        <f>HYPERLINK("./Results/DLO\1319\Osteo_Sarco_1.png","RPT")</f>
        <v/>
      </c>
      <c r="F348" s="2" t="n">
        <v>99</v>
      </c>
      <c r="G348" s="6" t="n">
        <v>10</v>
      </c>
      <c r="I348" s="0" t="n"/>
      <c r="J348" s="0" t="n"/>
      <c r="K348" s="0" t="n"/>
      <c r="L348" t="inlineStr">
        <is>
          <t>iCT 256</t>
        </is>
      </c>
      <c r="M348" t="inlineStr">
        <is>
          <t>Pre 3/3mm, iDose (3)</t>
        </is>
      </c>
    </row>
    <row r="349">
      <c r="A349" s="2" t="n">
        <v>1914804</v>
      </c>
      <c r="B349" s="2" t="inlineStr">
        <is>
          <t>74</t>
        </is>
      </c>
      <c r="C349" s="2" t="inlineStr">
        <is>
          <t>F</t>
        </is>
      </c>
      <c r="D349" s="2" t="inlineStr">
        <is>
          <t>100.0</t>
        </is>
      </c>
      <c r="E349" s="4">
        <f>HYPERLINK("./Results/DLO\132\Osteo_Sarco_1.png","RPT")</f>
        <v/>
      </c>
      <c r="F349" s="2" t="n">
        <v>116</v>
      </c>
      <c r="G349" s="6" t="n">
        <v>18</v>
      </c>
      <c r="I349" s="0" t="n"/>
      <c r="J349" s="0" t="n"/>
      <c r="K349" s="0" t="n"/>
      <c r="L349" t="inlineStr">
        <is>
          <t>iCT 256</t>
        </is>
      </c>
      <c r="M349" t="inlineStr">
        <is>
          <t>Pre (CP~Pubi)3mm, iDose (3)</t>
        </is>
      </c>
    </row>
    <row r="350">
      <c r="A350" s="2" t="n">
        <v>4520697</v>
      </c>
      <c r="B350" s="2" t="inlineStr">
        <is>
          <t>44</t>
        </is>
      </c>
      <c r="C350" s="2" t="inlineStr">
        <is>
          <t>F</t>
        </is>
      </c>
      <c r="D350" s="2" t="inlineStr">
        <is>
          <t>100.0</t>
        </is>
      </c>
      <c r="E350" s="4">
        <f>HYPERLINK("./Results/DLO\1320\Osteo_Sarco_1.png","RPT")</f>
        <v/>
      </c>
      <c r="F350" s="2" t="n">
        <v>149</v>
      </c>
      <c r="G350" s="6" t="n">
        <v>23</v>
      </c>
      <c r="I350" s="0" t="n"/>
      <c r="J350" s="0" t="n"/>
      <c r="K350" s="0" t="n"/>
      <c r="L350" t="inlineStr">
        <is>
          <t>SOMATOM Definition...</t>
        </is>
      </c>
      <c r="M350" t="inlineStr">
        <is>
          <t>HVP 2 3mm(86Kg/150ml/3ml/xe...</t>
        </is>
      </c>
    </row>
    <row r="351">
      <c r="A351" s="2" t="n">
        <v>3254311</v>
      </c>
      <c r="B351" s="2" t="inlineStr">
        <is>
          <t>65</t>
        </is>
      </c>
      <c r="C351" s="2" t="inlineStr">
        <is>
          <t>F</t>
        </is>
      </c>
      <c r="D351" s="2" t="inlineStr">
        <is>
          <t>100.0</t>
        </is>
      </c>
      <c r="E351" s="4">
        <f>HYPERLINK("./Results/DLO\1321\Osteo_Sarco_1.png","RPT")</f>
        <v/>
      </c>
      <c r="F351" s="2" t="n">
        <v>72</v>
      </c>
      <c r="G351" s="6" t="n">
        <v>16</v>
      </c>
      <c r="I351" s="0" t="n"/>
      <c r="J351" s="0" t="n"/>
      <c r="K351" s="0" t="n"/>
      <c r="L351" t="inlineStr">
        <is>
          <t>Revolution CT</t>
        </is>
      </c>
      <c r="M351" t="inlineStr">
        <is>
          <t>HVP 3mm(50kg/100cc/3cc/bono)</t>
        </is>
      </c>
    </row>
    <row r="352">
      <c r="A352" s="2" t="n">
        <v>1872301</v>
      </c>
      <c r="B352" s="2" t="inlineStr">
        <is>
          <t>72</t>
        </is>
      </c>
      <c r="C352" s="2" t="inlineStr">
        <is>
          <t>M</t>
        </is>
      </c>
      <c r="D352" s="2" t="inlineStr">
        <is>
          <t>100.0</t>
        </is>
      </c>
      <c r="E352" s="4">
        <f>HYPERLINK("./Results/DLO\1322\Osteo_Sarco_1.png","RPT")</f>
        <v/>
      </c>
      <c r="F352" s="2" t="n">
        <v>136</v>
      </c>
      <c r="G352" s="6" t="n">
        <v>20</v>
      </c>
      <c r="H352" t="n">
        <v>25.21</v>
      </c>
      <c r="L352" t="inlineStr">
        <is>
          <t>SOMATOM Force</t>
        </is>
      </c>
      <c r="M352" t="inlineStr">
        <is>
          <t>Pre 3.0 Br40</t>
        </is>
      </c>
    </row>
    <row r="353">
      <c r="A353" s="2" t="n">
        <v>4430842</v>
      </c>
      <c r="B353" s="2" t="inlineStr">
        <is>
          <t>62</t>
        </is>
      </c>
      <c r="C353" s="2" t="inlineStr">
        <is>
          <t>M</t>
        </is>
      </c>
      <c r="D353" s="2" t="inlineStr">
        <is>
          <t>100.0</t>
        </is>
      </c>
      <c r="E353" s="4">
        <f>HYPERLINK("./Results/DLO\1323\Osteo_Sarco_1.png","RPT")</f>
        <v/>
      </c>
      <c r="F353" s="2" t="n">
        <v>140</v>
      </c>
      <c r="G353" s="6" t="n">
        <v>10</v>
      </c>
      <c r="I353" s="0" t="n"/>
      <c r="J353" s="0" t="n"/>
      <c r="K353" s="0" t="n"/>
      <c r="L353" t="inlineStr">
        <is>
          <t>LightSpeed VCT</t>
        </is>
      </c>
      <c r="M353" t="inlineStr">
        <is>
          <t>Pre 3mm</t>
        </is>
      </c>
    </row>
    <row r="354">
      <c r="A354" s="2" t="n">
        <v>2866603</v>
      </c>
      <c r="B354" s="2" t="inlineStr">
        <is>
          <t>76</t>
        </is>
      </c>
      <c r="C354" s="2" t="inlineStr">
        <is>
          <t>M</t>
        </is>
      </c>
      <c r="D354" s="2" t="inlineStr">
        <is>
          <t>120.0</t>
        </is>
      </c>
      <c r="E354" s="4">
        <f>HYPERLINK("./Results/DLO\1324\Osteo_Sarco_1.png","RPT")</f>
        <v/>
      </c>
      <c r="F354" s="2" t="n">
        <v>156</v>
      </c>
      <c r="G354" s="6" t="n">
        <v>9</v>
      </c>
      <c r="H354" t="n">
        <v>28.28</v>
      </c>
      <c r="L354" t="inlineStr">
        <is>
          <t>LightSpeed VCT</t>
        </is>
      </c>
      <c r="M354" t="inlineStr">
        <is>
          <t>HVP 55sec 3mm</t>
        </is>
      </c>
    </row>
    <row r="355">
      <c r="A355" s="2" t="n">
        <v>4203855</v>
      </c>
      <c r="B355" s="2" t="inlineStr">
        <is>
          <t>61</t>
        </is>
      </c>
      <c r="C355" s="2" t="inlineStr">
        <is>
          <t>M</t>
        </is>
      </c>
      <c r="D355" s="2" t="inlineStr">
        <is>
          <t>120.0</t>
        </is>
      </c>
      <c r="E355" s="4">
        <f>HYPERLINK("./Results/DLO\1325\Osteo_Sarco_1.png","RPT")</f>
        <v/>
      </c>
      <c r="F355" s="2" t="n">
        <v>173</v>
      </c>
      <c r="G355" s="6" t="n">
        <v>12</v>
      </c>
      <c r="H355" t="n">
        <v>24.68</v>
      </c>
      <c r="L355" t="inlineStr">
        <is>
          <t>Discovery CT750 HD</t>
        </is>
      </c>
      <c r="M355" t="inlineStr">
        <is>
          <t>LAP 3mm</t>
        </is>
      </c>
    </row>
    <row r="356">
      <c r="A356" s="2" t="n">
        <v>3576728</v>
      </c>
      <c r="B356" s="2" t="inlineStr">
        <is>
          <t>53</t>
        </is>
      </c>
      <c r="C356" s="2" t="inlineStr">
        <is>
          <t>F</t>
        </is>
      </c>
      <c r="D356" s="2" t="inlineStr">
        <is>
          <t>120.0</t>
        </is>
      </c>
      <c r="E356" s="4">
        <f>HYPERLINK("./Results/DLO\1326\Osteo_Sarco_1.png","RPT")</f>
        <v/>
      </c>
      <c r="F356" s="2" t="n">
        <v>96</v>
      </c>
      <c r="G356" s="6" t="n">
        <v>8</v>
      </c>
      <c r="I356" s="0" t="n"/>
      <c r="J356" s="0" t="n"/>
      <c r="K356" s="0" t="n"/>
      <c r="L356" t="inlineStr">
        <is>
          <t>Ingenuity Core 128</t>
        </is>
      </c>
      <c r="M356" t="inlineStr">
        <is>
          <t>PORTAL, iDose (3)</t>
        </is>
      </c>
    </row>
    <row r="357">
      <c r="A357" s="2" t="n">
        <v>4090885</v>
      </c>
      <c r="B357" s="2" t="inlineStr">
        <is>
          <t>49</t>
        </is>
      </c>
      <c r="C357" s="2" t="inlineStr">
        <is>
          <t>M</t>
        </is>
      </c>
      <c r="D357" s="2" t="inlineStr">
        <is>
          <t>100.0</t>
        </is>
      </c>
      <c r="E357" s="4">
        <f>HYPERLINK("./Results/DLO\1327\Osteo_Sarco_1.png","RPT")</f>
        <v/>
      </c>
      <c r="F357" s="2" t="n">
        <v>145</v>
      </c>
      <c r="G357" s="6" t="n">
        <v>12</v>
      </c>
      <c r="I357" s="0" t="n"/>
      <c r="J357" s="0" t="n"/>
      <c r="K357" s="0" t="n"/>
      <c r="L357" t="inlineStr">
        <is>
          <t>SOMATOM Force</t>
        </is>
      </c>
      <c r="M357" t="inlineStr">
        <is>
          <t>Pre 3.0 Br40 1</t>
        </is>
      </c>
    </row>
    <row r="358">
      <c r="A358" s="2" t="n">
        <v>3067218</v>
      </c>
      <c r="B358" s="2" t="inlineStr">
        <is>
          <t>62</t>
        </is>
      </c>
      <c r="C358" s="2" t="inlineStr">
        <is>
          <t>M</t>
        </is>
      </c>
      <c r="D358" s="2" t="inlineStr">
        <is>
          <t>100.0</t>
        </is>
      </c>
      <c r="E358" s="4">
        <f>HYPERLINK("./Results/DLO\1328\Osteo_Sarco_1.png","RPT")</f>
        <v/>
      </c>
      <c r="F358" s="2" t="n">
        <v>134</v>
      </c>
      <c r="G358" s="6" t="n">
        <v>6</v>
      </c>
      <c r="H358" t="n">
        <v>24.56</v>
      </c>
      <c r="L358" t="inlineStr">
        <is>
          <t>Revolution CT</t>
        </is>
      </c>
      <c r="M358" t="inlineStr">
        <is>
          <t>HVP 3mm-pacs(62kg/124cc/3cc/b...</t>
        </is>
      </c>
    </row>
    <row r="359">
      <c r="A359" s="2" t="n">
        <v>2832121</v>
      </c>
      <c r="B359" s="2" t="inlineStr">
        <is>
          <t>68</t>
        </is>
      </c>
      <c r="C359" s="2" t="inlineStr">
        <is>
          <t>F</t>
        </is>
      </c>
      <c r="D359" s="2" t="inlineStr">
        <is>
          <t>120.0</t>
        </is>
      </c>
      <c r="E359" s="4">
        <f>HYPERLINK("./Results/DLO\1329\Osteo_Sarco_1.png","RPT")</f>
        <v/>
      </c>
      <c r="F359" s="2" t="n">
        <v>102</v>
      </c>
      <c r="G359" s="6" t="n">
        <v>26</v>
      </c>
      <c r="I359" s="0" t="n"/>
      <c r="J359" s="0" t="n"/>
      <c r="K359" s="0" t="n"/>
      <c r="L359" t="inlineStr">
        <is>
          <t>LightSpeed VCT</t>
        </is>
      </c>
      <c r="M359" t="inlineStr">
        <is>
          <t>LAP 18sec 3mm</t>
        </is>
      </c>
    </row>
    <row r="360">
      <c r="A360" s="2" t="n">
        <v>294928</v>
      </c>
      <c r="B360" s="2" t="inlineStr">
        <is>
          <t>59</t>
        </is>
      </c>
      <c r="C360" s="2" t="inlineStr">
        <is>
          <t>M</t>
        </is>
      </c>
      <c r="D360" s="2" t="inlineStr">
        <is>
          <t>100.0</t>
        </is>
      </c>
      <c r="E360" s="4">
        <f>HYPERLINK("./Results/DLO\133\Osteo_Sarco_1.png","RPT")</f>
        <v/>
      </c>
      <c r="F360" s="2" t="n">
        <v>155</v>
      </c>
      <c r="G360" s="6" t="n">
        <v>14</v>
      </c>
      <c r="I360" s="0" t="n"/>
      <c r="J360" s="0" t="n"/>
      <c r="K360" s="0" t="n"/>
      <c r="L360" t="inlineStr">
        <is>
          <t>SOMATOM Definition...</t>
        </is>
      </c>
      <c r="M360" t="inlineStr">
        <is>
          <t>Pre 2mm</t>
        </is>
      </c>
    </row>
    <row r="361">
      <c r="A361" s="2" t="n">
        <v>3544160</v>
      </c>
      <c r="B361" s="2" t="inlineStr">
        <is>
          <t>65</t>
        </is>
      </c>
      <c r="C361" s="2" t="inlineStr">
        <is>
          <t>M</t>
        </is>
      </c>
      <c r="D361" s="2" t="inlineStr">
        <is>
          <t>100.0</t>
        </is>
      </c>
      <c r="E361" s="4">
        <f>HYPERLINK("./Results/DLO\1330\Osteo_Sarco_1.png","RPT")</f>
        <v/>
      </c>
      <c r="F361" s="2" t="n">
        <v>166</v>
      </c>
      <c r="G361" s="6" t="n">
        <v>17</v>
      </c>
      <c r="I361" s="0" t="n"/>
      <c r="J361" s="0" t="n"/>
      <c r="K361" s="0" t="n"/>
      <c r="L361" t="inlineStr">
        <is>
          <t>LightSpeed VCT</t>
        </is>
      </c>
      <c r="M361" t="inlineStr">
        <is>
          <t>PRE 3mm</t>
        </is>
      </c>
    </row>
    <row r="362">
      <c r="A362" s="2" t="n">
        <v>4791557</v>
      </c>
      <c r="B362" s="2" t="inlineStr">
        <is>
          <t>58</t>
        </is>
      </c>
      <c r="C362" s="2" t="inlineStr">
        <is>
          <t>M</t>
        </is>
      </c>
      <c r="D362" s="2" t="inlineStr">
        <is>
          <t>100.0</t>
        </is>
      </c>
      <c r="E362" s="4">
        <f>HYPERLINK("./Results/DLO\1331\Osteo_Sarco_1.png","RPT")</f>
        <v/>
      </c>
      <c r="F362" s="2" t="n">
        <v>130</v>
      </c>
      <c r="G362" s="6" t="n">
        <v>3</v>
      </c>
      <c r="H362" t="n">
        <v>21.2</v>
      </c>
      <c r="L362" t="inlineStr">
        <is>
          <t>SOMATOM Definition...</t>
        </is>
      </c>
      <c r="M362" t="inlineStr">
        <is>
          <t>HVP 2 3mm (56kg/112cc/3cc/p...</t>
        </is>
      </c>
    </row>
    <row r="363">
      <c r="A363" s="2" t="n">
        <v>2142617</v>
      </c>
      <c r="B363" s="2" t="inlineStr">
        <is>
          <t>33</t>
        </is>
      </c>
      <c r="C363" s="2" t="inlineStr">
        <is>
          <t>F</t>
        </is>
      </c>
      <c r="D363" s="2" t="inlineStr">
        <is>
          <t>100.0</t>
        </is>
      </c>
      <c r="E363" s="4">
        <f>HYPERLINK("./Results/DLO\1332\Osteo_Sarco_1.png","RPT")</f>
        <v/>
      </c>
      <c r="F363" s="2" t="n">
        <v>114</v>
      </c>
      <c r="G363" s="6" t="n">
        <v>8</v>
      </c>
      <c r="I363" s="0" t="n"/>
      <c r="J363" s="0" t="n"/>
      <c r="K363" s="0" t="n"/>
      <c r="L363" t="inlineStr">
        <is>
          <t>LightSpeed VCT</t>
        </is>
      </c>
      <c r="M363" t="inlineStr">
        <is>
          <t>PRE</t>
        </is>
      </c>
    </row>
    <row r="364">
      <c r="A364" s="2" t="n">
        <v>1684064</v>
      </c>
      <c r="B364" s="2" t="inlineStr">
        <is>
          <t>59</t>
        </is>
      </c>
      <c r="C364" s="2" t="inlineStr">
        <is>
          <t>M</t>
        </is>
      </c>
      <c r="D364" s="2" t="inlineStr">
        <is>
          <t>100.0</t>
        </is>
      </c>
      <c r="E364" s="4">
        <f>HYPERLINK("./Results/DLO\1333\Osteo_Sarco_1.png","RPT")</f>
        <v/>
      </c>
      <c r="F364" s="2" t="n">
        <v>150</v>
      </c>
      <c r="G364" s="6" t="n">
        <v>4</v>
      </c>
      <c r="H364" t="n">
        <v>21.23</v>
      </c>
      <c r="L364" t="inlineStr">
        <is>
          <t>SOMATOM Definition...</t>
        </is>
      </c>
      <c r="M364" t="inlineStr">
        <is>
          <t>HVP 2 3mm((61kg/122cc/3cc/radi)</t>
        </is>
      </c>
    </row>
    <row r="365">
      <c r="A365" s="2" t="n">
        <v>2974435</v>
      </c>
      <c r="B365" s="2" t="inlineStr">
        <is>
          <t>60</t>
        </is>
      </c>
      <c r="C365" s="2" t="inlineStr">
        <is>
          <t>F</t>
        </is>
      </c>
      <c r="D365" s="2" t="inlineStr">
        <is>
          <t>100.0</t>
        </is>
      </c>
      <c r="E365" s="4">
        <f>HYPERLINK("./Results/DLO\1334\Osteo_Sarco_1.png","RPT")</f>
        <v/>
      </c>
      <c r="F365" s="2" t="n">
        <v>91</v>
      </c>
      <c r="G365" s="6" t="n">
        <v>14</v>
      </c>
      <c r="H365" t="n">
        <v>23.77</v>
      </c>
      <c r="L365" t="inlineStr">
        <is>
          <t>LightSpeed VCT</t>
        </is>
      </c>
      <c r="M365" t="inlineStr">
        <is>
          <t>PRE 3mm axial</t>
        </is>
      </c>
    </row>
    <row r="366">
      <c r="A366" s="2" t="n">
        <v>4089273</v>
      </c>
      <c r="B366" s="2" t="inlineStr">
        <is>
          <t>72</t>
        </is>
      </c>
      <c r="C366" s="2" t="inlineStr">
        <is>
          <t>F</t>
        </is>
      </c>
      <c r="D366" s="2" t="inlineStr">
        <is>
          <t>90.0</t>
        </is>
      </c>
      <c r="E366" s="4">
        <f>HYPERLINK("./Results/DLO\1335\Osteo_Sarco_1.png","RPT")</f>
        <v/>
      </c>
      <c r="F366" s="2" t="n">
        <v>117</v>
      </c>
      <c r="G366" s="6" t="n">
        <v>6</v>
      </c>
      <c r="I366" s="0" t="n"/>
      <c r="J366" s="0" t="n"/>
      <c r="K366" s="0" t="n"/>
      <c r="L366" t="inlineStr">
        <is>
          <t>SOMATOM Force</t>
        </is>
      </c>
      <c r="M366" t="inlineStr">
        <is>
          <t>#PP DE_Dia~Pel.P 3.0 Qr40...</t>
        </is>
      </c>
    </row>
    <row r="367">
      <c r="A367" s="2" t="n">
        <v>4303960</v>
      </c>
      <c r="B367" s="2" t="inlineStr">
        <is>
          <t>64</t>
        </is>
      </c>
      <c r="C367" s="2" t="inlineStr">
        <is>
          <t>F</t>
        </is>
      </c>
      <c r="D367" s="2" t="inlineStr">
        <is>
          <t>120.0</t>
        </is>
      </c>
      <c r="E367" s="4">
        <f>HYPERLINK("./Results/DLO\1336\Osteo_Sarco_1.png","RPT")</f>
        <v/>
      </c>
      <c r="F367" s="2" t="n">
        <v>141</v>
      </c>
      <c r="G367" s="6" t="n">
        <v>19</v>
      </c>
      <c r="I367" s="0" t="n"/>
      <c r="J367" s="0" t="n"/>
      <c r="K367" s="0" t="n"/>
      <c r="L367" t="inlineStr">
        <is>
          <t>LightSpeed VCT</t>
        </is>
      </c>
      <c r="M367" t="inlineStr">
        <is>
          <t>HVP 55sec 3mm</t>
        </is>
      </c>
    </row>
    <row r="368">
      <c r="A368" s="2" t="n">
        <v>3705509</v>
      </c>
      <c r="B368" s="2" t="inlineStr">
        <is>
          <t>58</t>
        </is>
      </c>
      <c r="C368" s="2" t="inlineStr">
        <is>
          <t>M</t>
        </is>
      </c>
      <c r="D368" s="2" t="inlineStr">
        <is>
          <t>120.0</t>
        </is>
      </c>
      <c r="E368" s="4">
        <f>HYPERLINK("./Results/DLO\1337\Osteo_Sarco_1.png","RPT")</f>
        <v/>
      </c>
      <c r="F368" s="2" t="n">
        <v>147</v>
      </c>
      <c r="G368" s="6" t="n">
        <v>15</v>
      </c>
      <c r="H368" t="n">
        <v>24.37</v>
      </c>
      <c r="L368" t="inlineStr">
        <is>
          <t>LightSpeed VCT</t>
        </is>
      </c>
      <c r="M368" t="inlineStr">
        <is>
          <t>HVP 55sec 3mm</t>
        </is>
      </c>
    </row>
    <row r="369">
      <c r="A369" s="2" t="n">
        <v>2798401</v>
      </c>
      <c r="B369" s="2" t="inlineStr">
        <is>
          <t>72</t>
        </is>
      </c>
      <c r="C369" s="2" t="inlineStr">
        <is>
          <t>M</t>
        </is>
      </c>
      <c r="D369" s="2" t="inlineStr">
        <is>
          <t>100.0</t>
        </is>
      </c>
      <c r="E369" s="4">
        <f>HYPERLINK("./Results/DLO\1338\Osteo_Sarco_1.png","RPT")</f>
        <v/>
      </c>
      <c r="F369" s="2" t="n">
        <v>147</v>
      </c>
      <c r="G369" s="6" t="n">
        <v>6</v>
      </c>
      <c r="H369" t="n">
        <v>25.46</v>
      </c>
      <c r="L369" t="inlineStr">
        <is>
          <t>Sensation 64</t>
        </is>
      </c>
      <c r="M369" t="inlineStr">
        <is>
          <t>100 sec 3mm 68kg/130cc/3cc/bon</t>
        </is>
      </c>
    </row>
    <row r="370">
      <c r="A370" s="2" t="n">
        <v>2319234</v>
      </c>
      <c r="B370" s="2" t="inlineStr">
        <is>
          <t>44</t>
        </is>
      </c>
      <c r="C370" s="2" t="inlineStr">
        <is>
          <t>M</t>
        </is>
      </c>
      <c r="D370" s="2" t="inlineStr">
        <is>
          <t>100.0</t>
        </is>
      </c>
      <c r="E370" s="4">
        <f>HYPERLINK("./Results/DLO\1339\Osteo_Sarco_1.png","RPT")</f>
        <v/>
      </c>
      <c r="F370" s="2" t="n">
        <v>92</v>
      </c>
      <c r="G370" s="6" t="n">
        <v>7</v>
      </c>
      <c r="I370" s="0" t="n"/>
      <c r="J370" s="0" t="n"/>
      <c r="K370" s="0" t="n"/>
      <c r="L370" t="inlineStr">
        <is>
          <t>Revolution EVO</t>
        </is>
      </c>
      <c r="M370" t="inlineStr">
        <is>
          <t>PRE</t>
        </is>
      </c>
    </row>
    <row r="371">
      <c r="A371" s="2" t="n">
        <v>1569394</v>
      </c>
      <c r="B371" s="2" t="inlineStr">
        <is>
          <t>51</t>
        </is>
      </c>
      <c r="C371" s="2" t="inlineStr">
        <is>
          <t>M</t>
        </is>
      </c>
      <c r="D371" s="2" t="inlineStr">
        <is>
          <t>100.0</t>
        </is>
      </c>
      <c r="E371" s="4">
        <f>HYPERLINK("./Results/DLO\134\Osteo_Sarco_1.png","RPT")</f>
        <v/>
      </c>
      <c r="F371" s="2" t="n">
        <v>143</v>
      </c>
      <c r="G371" s="6" t="n">
        <v>10</v>
      </c>
      <c r="H371" t="n">
        <v>21.39</v>
      </c>
      <c r="L371" t="inlineStr">
        <is>
          <t>SOMATOM Force</t>
        </is>
      </c>
      <c r="M371" t="inlineStr">
        <is>
          <t>HVP 3.0 Br40 2 (56kg/112cc...</t>
        </is>
      </c>
    </row>
    <row r="372">
      <c r="A372" s="2" t="n">
        <v>2085001</v>
      </c>
      <c r="B372" s="2" t="inlineStr">
        <is>
          <t>52</t>
        </is>
      </c>
      <c r="C372" s="2" t="inlineStr">
        <is>
          <t>M</t>
        </is>
      </c>
      <c r="D372" s="2" t="inlineStr">
        <is>
          <t>120.0</t>
        </is>
      </c>
      <c r="E372" s="4">
        <f>HYPERLINK("./Results/DLO\1340\Osteo_Sarco_1.png","RPT")</f>
        <v/>
      </c>
      <c r="F372" s="2" t="n">
        <v>216</v>
      </c>
      <c r="G372" s="6" t="n">
        <v>8</v>
      </c>
      <c r="I372" s="0" t="n"/>
      <c r="J372" s="0" t="n"/>
      <c r="K372" s="0" t="n"/>
      <c r="L372" t="inlineStr">
        <is>
          <t>LightSpeed VCT</t>
        </is>
      </c>
      <c r="M372" t="inlineStr">
        <is>
          <t>HVP 3mm</t>
        </is>
      </c>
    </row>
    <row r="373">
      <c r="A373" s="2" t="n">
        <v>4211339</v>
      </c>
      <c r="B373" s="2" t="inlineStr">
        <is>
          <t>70</t>
        </is>
      </c>
      <c r="C373" s="2" t="inlineStr">
        <is>
          <t>M</t>
        </is>
      </c>
      <c r="D373" s="2" t="inlineStr">
        <is>
          <t>120.0</t>
        </is>
      </c>
      <c r="E373" s="4">
        <f>HYPERLINK("./Results/DLO\1341\Osteo_Sarco_1.png","RPT")</f>
        <v/>
      </c>
      <c r="F373" s="2" t="n">
        <v>94</v>
      </c>
      <c r="G373" s="6" t="n">
        <v>3</v>
      </c>
      <c r="H373" t="n">
        <v>19.66</v>
      </c>
      <c r="L373" t="inlineStr">
        <is>
          <t>Revolution EVO</t>
        </is>
      </c>
      <c r="M373" t="inlineStr">
        <is>
          <t>LAP 3mm</t>
        </is>
      </c>
    </row>
    <row r="374">
      <c r="A374" s="2" t="n">
        <v>1607755</v>
      </c>
      <c r="B374" s="2" t="inlineStr">
        <is>
          <t>69</t>
        </is>
      </c>
      <c r="C374" s="2" t="inlineStr">
        <is>
          <t>M</t>
        </is>
      </c>
      <c r="D374" s="2" t="inlineStr">
        <is>
          <t>120.0</t>
        </is>
      </c>
      <c r="E374" s="4">
        <f>HYPERLINK("./Results/DLO\1342\Osteo_Sarco_1.png","RPT")</f>
        <v/>
      </c>
      <c r="F374" s="2" t="n">
        <v>168</v>
      </c>
      <c r="G374" s="6" t="n">
        <v>12</v>
      </c>
      <c r="I374" s="0" t="n"/>
      <c r="J374" s="0" t="n"/>
      <c r="K374" s="0" t="n"/>
      <c r="L374" t="inlineStr">
        <is>
          <t>iCT 256</t>
        </is>
      </c>
      <c r="M374" t="inlineStr">
        <is>
          <t>HVP 3/3mm, iDose (3)</t>
        </is>
      </c>
    </row>
    <row r="375">
      <c r="A375" s="2" t="n">
        <v>3670606</v>
      </c>
      <c r="B375" s="2" t="inlineStr">
        <is>
          <t>20</t>
        </is>
      </c>
      <c r="C375" s="2" t="inlineStr">
        <is>
          <t>M</t>
        </is>
      </c>
      <c r="D375" s="2" t="inlineStr">
        <is>
          <t>100.0</t>
        </is>
      </c>
      <c r="E375" s="4">
        <f>HYPERLINK("./Results/DLO\1343\Osteo_Sarco_1.png","RPT")</f>
        <v/>
      </c>
      <c r="F375" s="2" t="n">
        <v>162</v>
      </c>
      <c r="G375" s="6" t="n">
        <v>9</v>
      </c>
      <c r="I375" s="0" t="n"/>
      <c r="J375" s="0" t="n"/>
      <c r="K375" s="0" t="n"/>
      <c r="L375" t="inlineStr">
        <is>
          <t>LightSpeed VCT</t>
        </is>
      </c>
      <c r="M375" t="inlineStr">
        <is>
          <t>PRE</t>
        </is>
      </c>
    </row>
    <row r="376">
      <c r="A376" s="2" t="n">
        <v>4668312</v>
      </c>
      <c r="B376" s="2" t="inlineStr">
        <is>
          <t>62</t>
        </is>
      </c>
      <c r="C376" s="2" t="inlineStr">
        <is>
          <t>M</t>
        </is>
      </c>
      <c r="D376" s="2" t="inlineStr">
        <is>
          <t>100.0</t>
        </is>
      </c>
      <c r="E376" s="4">
        <f>HYPERLINK("./Results/DLO\1344\Osteo_Sarco_1.png","RPT")</f>
        <v/>
      </c>
      <c r="F376" s="2" t="n">
        <v>145</v>
      </c>
      <c r="G376" s="6" t="n">
        <v>8</v>
      </c>
      <c r="I376" s="0" t="n"/>
      <c r="J376" s="0" t="n"/>
      <c r="K376" s="0" t="n"/>
      <c r="L376" t="inlineStr">
        <is>
          <t>Revolution CT</t>
        </is>
      </c>
      <c r="M376" t="inlineStr">
        <is>
          <t>HVP 3mm(70kg/140cc/3cc/omni)</t>
        </is>
      </c>
    </row>
    <row r="377">
      <c r="A377" s="2" t="n">
        <v>4968806</v>
      </c>
      <c r="B377" s="2" t="inlineStr">
        <is>
          <t>78</t>
        </is>
      </c>
      <c r="C377" s="2" t="inlineStr">
        <is>
          <t>M</t>
        </is>
      </c>
      <c r="D377" s="2" t="inlineStr">
        <is>
          <t>100.0</t>
        </is>
      </c>
      <c r="E377" s="4">
        <f>HYPERLINK("./Results/DLO\1345\Osteo_Sarco_1.png","RPT")</f>
        <v/>
      </c>
      <c r="F377" s="2" t="n">
        <v>143</v>
      </c>
      <c r="G377" s="6" t="n">
        <v>19</v>
      </c>
      <c r="H377" t="n">
        <v>25.02</v>
      </c>
      <c r="L377" t="inlineStr">
        <is>
          <t>Revolution CT</t>
        </is>
      </c>
      <c r="M377" t="inlineStr">
        <is>
          <t>Pre Axial 3mm</t>
        </is>
      </c>
    </row>
    <row r="378">
      <c r="A378" s="2" t="n">
        <v>1552691</v>
      </c>
      <c r="B378" s="2" t="inlineStr">
        <is>
          <t>62</t>
        </is>
      </c>
      <c r="C378" s="2" t="inlineStr">
        <is>
          <t>F</t>
        </is>
      </c>
      <c r="D378" s="2" t="inlineStr">
        <is>
          <t>120.0</t>
        </is>
      </c>
      <c r="E378" s="4">
        <f>HYPERLINK("./Results/DLO\1346\Osteo_Sarco_1.png","RPT")</f>
        <v/>
      </c>
      <c r="F378" s="2" t="n">
        <v>110</v>
      </c>
      <c r="G378" s="6" t="n">
        <v>9</v>
      </c>
      <c r="H378" t="n">
        <v>20.57</v>
      </c>
      <c r="L378" t="inlineStr">
        <is>
          <t>iCT 256</t>
        </is>
      </c>
      <c r="M378" t="inlineStr">
        <is>
          <t>HVP 3/3mm, iDose (3)</t>
        </is>
      </c>
    </row>
    <row r="379">
      <c r="A379" s="2" t="n">
        <v>4674038</v>
      </c>
      <c r="B379" s="2" t="inlineStr">
        <is>
          <t>56</t>
        </is>
      </c>
      <c r="C379" s="2" t="inlineStr">
        <is>
          <t>F</t>
        </is>
      </c>
      <c r="D379" s="2" t="inlineStr">
        <is>
          <t>120.0</t>
        </is>
      </c>
      <c r="E379" s="4">
        <f>HYPERLINK("./Results/DLO\1347\Osteo_Sarco_1.png","RPT")</f>
        <v/>
      </c>
      <c r="F379" s="2" t="n">
        <v>112</v>
      </c>
      <c r="G379" s="6" t="n">
        <v>7</v>
      </c>
      <c r="H379" t="n">
        <v>26.15</v>
      </c>
      <c r="L379" t="inlineStr">
        <is>
          <t>SOMATOM Definition</t>
        </is>
      </c>
      <c r="M379" t="inlineStr">
        <is>
          <t>Pre 3.0 B30f</t>
        </is>
      </c>
    </row>
    <row r="380">
      <c r="A380" s="2" t="n">
        <v>3403781</v>
      </c>
      <c r="B380" s="2" t="inlineStr">
        <is>
          <t>52</t>
        </is>
      </c>
      <c r="C380" s="2" t="inlineStr">
        <is>
          <t>M</t>
        </is>
      </c>
      <c r="D380" s="2" t="inlineStr">
        <is>
          <t>100.0</t>
        </is>
      </c>
      <c r="E380" s="4">
        <f>HYPERLINK("./Results/DLO\1348\Osteo_Sarco_1.png","RPT")</f>
        <v/>
      </c>
      <c r="F380" s="2" t="n">
        <v>130</v>
      </c>
      <c r="G380" s="6" t="n">
        <v>13</v>
      </c>
      <c r="I380" s="0" t="n"/>
      <c r="J380" s="0" t="n"/>
      <c r="K380" s="0" t="n"/>
      <c r="L380" t="inlineStr">
        <is>
          <t>SOMATOM Definition...</t>
        </is>
      </c>
      <c r="M380" t="inlineStr">
        <is>
          <t>Pre 3mm</t>
        </is>
      </c>
    </row>
    <row r="381">
      <c r="A381" s="2" t="n">
        <v>2377794</v>
      </c>
      <c r="B381" s="2" t="inlineStr">
        <is>
          <t>84</t>
        </is>
      </c>
      <c r="C381" s="2" t="inlineStr">
        <is>
          <t>M</t>
        </is>
      </c>
      <c r="D381" s="2" t="inlineStr">
        <is>
          <t>100.0</t>
        </is>
      </c>
      <c r="E381" s="4">
        <f>HYPERLINK("./Results/DLO\1349\Osteo_Sarco_1.png","RPT")</f>
        <v/>
      </c>
      <c r="F381" s="2" t="n">
        <v>124</v>
      </c>
      <c r="G381" s="6" t="n">
        <v>19</v>
      </c>
      <c r="I381" s="0" t="n"/>
      <c r="J381" s="0" t="n"/>
      <c r="K381" s="0" t="n"/>
      <c r="L381" t="inlineStr">
        <is>
          <t>SOMATOM Definition...</t>
        </is>
      </c>
      <c r="M381" t="inlineStr">
        <is>
          <t>Pre 3mm</t>
        </is>
      </c>
    </row>
    <row r="382">
      <c r="A382" s="2" t="n">
        <v>4267454</v>
      </c>
      <c r="B382" s="2" t="inlineStr">
        <is>
          <t>69</t>
        </is>
      </c>
      <c r="C382" s="2" t="inlineStr">
        <is>
          <t>M</t>
        </is>
      </c>
      <c r="D382" s="2" t="inlineStr">
        <is>
          <t>110.0</t>
        </is>
      </c>
      <c r="E382" s="4">
        <f>HYPERLINK("./Results/DLO\135\Osteo_Sarco_1.png","RPT")</f>
        <v/>
      </c>
      <c r="F382" s="2" t="n">
        <v>148</v>
      </c>
      <c r="G382" s="6" t="n">
        <v>14</v>
      </c>
      <c r="I382" s="0" t="n"/>
      <c r="J382" s="0" t="n"/>
      <c r="K382" s="0" t="n"/>
      <c r="L382" t="inlineStr">
        <is>
          <t>SOMATOM Force</t>
        </is>
      </c>
      <c r="M382" t="inlineStr">
        <is>
          <t>Pre 3.0 Br40 2</t>
        </is>
      </c>
    </row>
    <row r="383">
      <c r="A383" s="2" t="n">
        <v>3743094</v>
      </c>
      <c r="B383" s="2" t="inlineStr">
        <is>
          <t>73</t>
        </is>
      </c>
      <c r="C383" s="2" t="inlineStr">
        <is>
          <t>F</t>
        </is>
      </c>
      <c r="D383" s="2" t="inlineStr">
        <is>
          <t>100.0</t>
        </is>
      </c>
      <c r="E383" s="4">
        <f>HYPERLINK("./Results/DLO\1350\Osteo_Sarco_1.png","RPT")</f>
        <v/>
      </c>
      <c r="F383" s="2" t="n">
        <v>127</v>
      </c>
      <c r="G383" s="6" t="n">
        <v>23</v>
      </c>
      <c r="I383" s="0" t="n"/>
      <c r="J383" s="0" t="n"/>
      <c r="K383" s="0" t="n"/>
      <c r="L383" t="inlineStr">
        <is>
          <t>Revolution CT</t>
        </is>
      </c>
      <c r="M383" t="inlineStr">
        <is>
          <t>HVP 3mm-pacs(60kg/120cc/2.5cc...</t>
        </is>
      </c>
    </row>
    <row r="384">
      <c r="A384" s="2" t="n">
        <v>3818609</v>
      </c>
      <c r="B384" s="2" t="inlineStr">
        <is>
          <t>53</t>
        </is>
      </c>
      <c r="C384" s="2" t="inlineStr">
        <is>
          <t>M</t>
        </is>
      </c>
      <c r="D384" s="2" t="inlineStr">
        <is>
          <t>120.0</t>
        </is>
      </c>
      <c r="E384" s="4">
        <f>HYPERLINK("./Results/DLO\1351\Osteo_Sarco_1.png","RPT")</f>
        <v/>
      </c>
      <c r="F384" s="2" t="n">
        <v>144</v>
      </c>
      <c r="G384" s="6" t="n">
        <v>9</v>
      </c>
      <c r="I384" s="0" t="n"/>
      <c r="J384" s="0" t="n"/>
      <c r="K384" s="0" t="n"/>
      <c r="L384" t="inlineStr">
        <is>
          <t>LightSpeed VCT</t>
        </is>
      </c>
      <c r="M384" t="inlineStr">
        <is>
          <t>HVP 55sec 3mm</t>
        </is>
      </c>
    </row>
    <row r="385">
      <c r="A385" s="2" t="n">
        <v>4293160</v>
      </c>
      <c r="B385" s="2" t="inlineStr">
        <is>
          <t>58</t>
        </is>
      </c>
      <c r="C385" s="2" t="inlineStr">
        <is>
          <t>M</t>
        </is>
      </c>
      <c r="D385" s="2" t="inlineStr">
        <is>
          <t>100.0</t>
        </is>
      </c>
      <c r="E385" s="4">
        <f>HYPERLINK("./Results/DLO\1352\Osteo_Sarco_1.png","RPT")</f>
        <v/>
      </c>
      <c r="F385" s="2" t="n">
        <v>159</v>
      </c>
      <c r="G385" s="6" t="n">
        <v>12</v>
      </c>
      <c r="I385" s="0" t="n"/>
      <c r="J385" s="0" t="n"/>
      <c r="K385" s="0" t="n"/>
      <c r="L385" t="inlineStr">
        <is>
          <t>Revolution CT</t>
        </is>
      </c>
      <c r="M385" t="inlineStr">
        <is>
          <t>HVP 3mm(86kg/150cc/3cc/omni)</t>
        </is>
      </c>
    </row>
    <row r="386">
      <c r="A386" s="2" t="n">
        <v>4933132</v>
      </c>
      <c r="B386" s="2" t="inlineStr">
        <is>
          <t>60</t>
        </is>
      </c>
      <c r="C386" s="2" t="inlineStr">
        <is>
          <t>F</t>
        </is>
      </c>
      <c r="D386" s="2" t="inlineStr">
        <is>
          <t>100.0</t>
        </is>
      </c>
      <c r="E386" s="4">
        <f>HYPERLINK("./Results/DLO\1353\Osteo_Sarco_1.png","RPT")</f>
        <v/>
      </c>
      <c r="F386" s="2" t="n">
        <v>133</v>
      </c>
      <c r="G386" s="6" t="n">
        <v>14</v>
      </c>
      <c r="I386" s="0" t="n"/>
      <c r="J386" s="0" t="n"/>
      <c r="K386" s="0" t="n"/>
      <c r="L386" t="inlineStr">
        <is>
          <t>LightSpeed VCT</t>
        </is>
      </c>
      <c r="M386" t="inlineStr">
        <is>
          <t>PRE 3mm</t>
        </is>
      </c>
    </row>
    <row r="387">
      <c r="A387" s="2" t="n">
        <v>3716300</v>
      </c>
      <c r="B387" s="2" t="inlineStr">
        <is>
          <t>67</t>
        </is>
      </c>
      <c r="C387" s="2" t="inlineStr">
        <is>
          <t>M</t>
        </is>
      </c>
      <c r="D387" s="2" t="inlineStr">
        <is>
          <t>120.0</t>
        </is>
      </c>
      <c r="E387" s="4">
        <f>HYPERLINK("./Results/DLO\1354\Osteo_Sarco_1.png","RPT")</f>
        <v/>
      </c>
      <c r="F387" s="2" t="n">
        <v>120</v>
      </c>
      <c r="G387" s="6" t="n">
        <v>9</v>
      </c>
      <c r="I387" s="0" t="n"/>
      <c r="J387" s="0" t="n"/>
      <c r="K387" s="0" t="n"/>
      <c r="L387" t="inlineStr">
        <is>
          <t>iCT 256</t>
        </is>
      </c>
      <c r="M387" t="inlineStr">
        <is>
          <t>HVP 3/3mm, iDose (3)</t>
        </is>
      </c>
    </row>
    <row r="388">
      <c r="A388" s="2" t="n">
        <v>2693303</v>
      </c>
      <c r="B388" s="2" t="inlineStr">
        <is>
          <t>73</t>
        </is>
      </c>
      <c r="C388" s="2" t="inlineStr">
        <is>
          <t>F</t>
        </is>
      </c>
      <c r="D388" s="2" t="inlineStr">
        <is>
          <t>100.0</t>
        </is>
      </c>
      <c r="E388" s="4">
        <f>HYPERLINK("./Results/DLO\1355\Osteo_Sarco_1.png","RPT")</f>
        <v/>
      </c>
      <c r="F388" s="2" t="n">
        <v>101</v>
      </c>
      <c r="G388" s="6" t="n">
        <v>10</v>
      </c>
      <c r="I388" s="0" t="n"/>
      <c r="J388" s="0" t="n"/>
      <c r="K388" s="0" t="n"/>
      <c r="L388" t="inlineStr">
        <is>
          <t>Revolution CT</t>
        </is>
      </c>
      <c r="M388" t="inlineStr">
        <is>
          <t>HVP 3mm-pacs(51kg/102cc/3cc/x...</t>
        </is>
      </c>
    </row>
    <row r="389">
      <c r="A389" s="2" t="n">
        <v>2559254</v>
      </c>
      <c r="B389" s="2" t="inlineStr">
        <is>
          <t>72</t>
        </is>
      </c>
      <c r="C389" s="2" t="inlineStr">
        <is>
          <t>M</t>
        </is>
      </c>
      <c r="D389" s="2" t="inlineStr">
        <is>
          <t>100.0</t>
        </is>
      </c>
      <c r="E389" s="4">
        <f>HYPERLINK("./Results/DLO\1356\Osteo_Sarco_1.png","RPT")</f>
        <v/>
      </c>
      <c r="F389" s="2" t="n">
        <v>130</v>
      </c>
      <c r="G389" s="6" t="n">
        <v>11</v>
      </c>
      <c r="H389" t="n">
        <v>23.51</v>
      </c>
      <c r="L389" t="inlineStr">
        <is>
          <t>SOMATOM Definition...</t>
        </is>
      </c>
      <c r="M389" t="inlineStr">
        <is>
          <t>LAP 2 3mm(62kg/124ml/3ml/he...</t>
        </is>
      </c>
    </row>
    <row r="390">
      <c r="A390" s="2" t="n">
        <v>4130741</v>
      </c>
      <c r="B390" s="2" t="inlineStr">
        <is>
          <t>66</t>
        </is>
      </c>
      <c r="C390" s="2" t="inlineStr">
        <is>
          <t>F</t>
        </is>
      </c>
      <c r="D390" s="2" t="inlineStr">
        <is>
          <t>100.0</t>
        </is>
      </c>
      <c r="E390" s="4">
        <f>HYPERLINK("./Results/DLO\1357\Osteo_Sarco_1.png","RPT")</f>
        <v/>
      </c>
      <c r="F390" s="2" t="n">
        <v>123</v>
      </c>
      <c r="G390" s="6" t="n">
        <v>11</v>
      </c>
      <c r="I390" s="0" t="n"/>
      <c r="J390" s="0" t="n"/>
      <c r="K390" s="0" t="n"/>
      <c r="L390" t="inlineStr">
        <is>
          <t>Revolution CT</t>
        </is>
      </c>
      <c r="M390" t="inlineStr">
        <is>
          <t>Pre Axial 3mm</t>
        </is>
      </c>
    </row>
    <row r="391">
      <c r="A391" s="2" t="n">
        <v>1858333</v>
      </c>
      <c r="B391" s="2" t="inlineStr">
        <is>
          <t>70</t>
        </is>
      </c>
      <c r="C391" s="2" t="inlineStr">
        <is>
          <t>M</t>
        </is>
      </c>
      <c r="D391" s="2" t="inlineStr">
        <is>
          <t>120.0</t>
        </is>
      </c>
      <c r="E391" s="4">
        <f>HYPERLINK("./Results/DLO\1358\Osteo_Sarco_1.png","RPT")</f>
        <v/>
      </c>
      <c r="F391" s="2" t="n">
        <v>141</v>
      </c>
      <c r="G391" s="6" t="n">
        <v>8</v>
      </c>
      <c r="I391" s="0" t="n"/>
      <c r="J391" s="0" t="n"/>
      <c r="K391" s="0" t="n"/>
      <c r="L391" t="inlineStr">
        <is>
          <t>iCT 256</t>
        </is>
      </c>
      <c r="M391" t="inlineStr">
        <is>
          <t>HVP 3/3mm, iDose (3)</t>
        </is>
      </c>
    </row>
    <row r="392">
      <c r="A392" s="2" t="n">
        <v>3956202</v>
      </c>
      <c r="B392" s="2" t="inlineStr">
        <is>
          <t>0</t>
        </is>
      </c>
      <c r="C392" s="2" t="inlineStr">
        <is>
          <t>M</t>
        </is>
      </c>
      <c r="D392" s="2" t="inlineStr">
        <is>
          <t>100.0</t>
        </is>
      </c>
      <c r="E392" s="4">
        <f>HYPERLINK("./Results/DLO\1359\Osteo_Sarco_1.png","RPT")</f>
        <v/>
      </c>
      <c r="F392" s="2" t="n">
        <v>174</v>
      </c>
      <c r="G392" s="6" t="n">
        <v>11</v>
      </c>
      <c r="H392" t="n">
        <v>24.38</v>
      </c>
      <c r="L392" t="inlineStr">
        <is>
          <t>Optima CT660</t>
        </is>
      </c>
      <c r="M392" t="inlineStr">
        <is>
          <t>Pre</t>
        </is>
      </c>
    </row>
    <row r="393">
      <c r="A393" s="2" t="n">
        <v>3541996</v>
      </c>
      <c r="B393" s="2" t="inlineStr">
        <is>
          <t>81</t>
        </is>
      </c>
      <c r="C393" s="2" t="inlineStr">
        <is>
          <t>M</t>
        </is>
      </c>
      <c r="D393" s="2" t="inlineStr">
        <is>
          <t>100.0</t>
        </is>
      </c>
      <c r="E393" s="4">
        <f>HYPERLINK("./Results/DLO\136\Osteo_Sarco_1.png","RPT")</f>
        <v/>
      </c>
      <c r="F393" s="2" t="n">
        <v>139</v>
      </c>
      <c r="G393" s="6" t="n">
        <v>14</v>
      </c>
      <c r="I393" s="0" t="n"/>
      <c r="J393" s="0" t="n"/>
      <c r="K393" s="0" t="n"/>
      <c r="L393" t="inlineStr">
        <is>
          <t>Revolution EVO</t>
        </is>
      </c>
      <c r="M393" t="inlineStr">
        <is>
          <t>PRE</t>
        </is>
      </c>
    </row>
    <row r="394">
      <c r="A394" s="2" t="n">
        <v>4309615</v>
      </c>
      <c r="B394" s="2" t="inlineStr">
        <is>
          <t>49</t>
        </is>
      </c>
      <c r="C394" s="2" t="inlineStr">
        <is>
          <t>M</t>
        </is>
      </c>
      <c r="D394" s="2" t="inlineStr">
        <is>
          <t>100.0</t>
        </is>
      </c>
      <c r="E394" s="4">
        <f>HYPERLINK("./Results/DLO\1360\Osteo_Sarco_1.png","RPT")</f>
        <v/>
      </c>
      <c r="F394" s="2" t="n">
        <v>124</v>
      </c>
      <c r="G394" s="6" t="n">
        <v>9</v>
      </c>
      <c r="I394" s="0" t="n"/>
      <c r="J394" s="0" t="n"/>
      <c r="K394" s="0" t="n"/>
      <c r="L394" t="inlineStr">
        <is>
          <t>Revolution CT</t>
        </is>
      </c>
      <c r="M394" t="inlineStr">
        <is>
          <t>HVP 3mm(65kg/130cc/3cc/omni)</t>
        </is>
      </c>
    </row>
    <row r="395">
      <c r="A395" s="2" t="n">
        <v>3046631</v>
      </c>
      <c r="B395" s="2" t="inlineStr">
        <is>
          <t>52</t>
        </is>
      </c>
      <c r="C395" s="2" t="inlineStr">
        <is>
          <t>M</t>
        </is>
      </c>
      <c r="D395" s="2" t="inlineStr">
        <is>
          <t>100.0</t>
        </is>
      </c>
      <c r="E395" s="4">
        <f>HYPERLINK("./Results/DLO\1361\Osteo_Sarco_1.png","RPT")</f>
        <v/>
      </c>
      <c r="F395" s="2" t="n">
        <v>165</v>
      </c>
      <c r="G395" s="6" t="n">
        <v>11</v>
      </c>
      <c r="I395" s="0" t="n"/>
      <c r="J395" s="0" t="n"/>
      <c r="K395" s="0" t="n"/>
      <c r="L395" t="inlineStr">
        <is>
          <t>Sensation 64</t>
        </is>
      </c>
      <c r="M395" t="inlineStr">
        <is>
          <t>Pre 3mm(100kvp100mAs)</t>
        </is>
      </c>
    </row>
    <row r="396">
      <c r="A396" s="2" t="n">
        <v>3562381</v>
      </c>
      <c r="B396" s="2" t="inlineStr">
        <is>
          <t>59</t>
        </is>
      </c>
      <c r="C396" s="2" t="inlineStr">
        <is>
          <t>M</t>
        </is>
      </c>
      <c r="D396" s="2" t="inlineStr">
        <is>
          <t>120.0</t>
        </is>
      </c>
      <c r="E396" s="4">
        <f>HYPERLINK("./Results/DLO\1362\Osteo_Sarco_1.png","RPT")</f>
        <v/>
      </c>
      <c r="F396" s="2" t="n">
        <v>158</v>
      </c>
      <c r="G396" s="6" t="n">
        <v>8</v>
      </c>
      <c r="I396" s="0" t="n"/>
      <c r="J396" s="0" t="n"/>
      <c r="K396" s="0" t="n"/>
      <c r="L396" t="inlineStr">
        <is>
          <t>LightSpeed VCT</t>
        </is>
      </c>
      <c r="M396" t="inlineStr">
        <is>
          <t>HVP 55sec 3mm</t>
        </is>
      </c>
    </row>
    <row r="397">
      <c r="A397" s="2" t="n">
        <v>4334757</v>
      </c>
      <c r="B397" s="2" t="inlineStr">
        <is>
          <t>61</t>
        </is>
      </c>
      <c r="C397" s="2" t="inlineStr">
        <is>
          <t>M</t>
        </is>
      </c>
      <c r="D397" s="2" t="inlineStr">
        <is>
          <t>120.0</t>
        </is>
      </c>
      <c r="E397" s="4">
        <f>HYPERLINK("./Results/DLO\1363\Osteo_Sarco_1.png","RPT")</f>
        <v/>
      </c>
      <c r="F397" s="2" t="n">
        <v>163</v>
      </c>
      <c r="G397" s="6" t="n">
        <v>11</v>
      </c>
      <c r="H397" t="n">
        <v>23.61</v>
      </c>
      <c r="L397" t="inlineStr">
        <is>
          <t>iCT 256</t>
        </is>
      </c>
      <c r="M397" t="inlineStr">
        <is>
          <t>HVP 3/3mm, iDose (3)</t>
        </is>
      </c>
    </row>
    <row r="398">
      <c r="A398" s="2" t="n">
        <v>3056339</v>
      </c>
      <c r="B398" s="2" t="inlineStr">
        <is>
          <t>79</t>
        </is>
      </c>
      <c r="C398" s="2" t="inlineStr">
        <is>
          <t>F</t>
        </is>
      </c>
      <c r="D398" s="2" t="inlineStr">
        <is>
          <t>100.0</t>
        </is>
      </c>
      <c r="E398" s="4">
        <f>HYPERLINK("./Results/DLO\1364\Osteo_Sarco_1.png","RPT")</f>
        <v/>
      </c>
      <c r="F398" s="2" t="n">
        <v>98</v>
      </c>
      <c r="G398" s="6" t="n">
        <v>12</v>
      </c>
      <c r="H398" t="n">
        <v>28.3</v>
      </c>
      <c r="L398" t="inlineStr">
        <is>
          <t>Revolution EVO</t>
        </is>
      </c>
      <c r="M398" t="inlineStr">
        <is>
          <t>AX 3mm</t>
        </is>
      </c>
    </row>
    <row r="399">
      <c r="A399" s="2" t="n">
        <v>4776608</v>
      </c>
      <c r="B399" s="2" t="inlineStr">
        <is>
          <t>69</t>
        </is>
      </c>
      <c r="C399" s="2" t="inlineStr">
        <is>
          <t>F</t>
        </is>
      </c>
      <c r="D399" s="2" t="inlineStr">
        <is>
          <t>130.0</t>
        </is>
      </c>
      <c r="E399" s="4">
        <f>HYPERLINK("./Results/DLO\1365\Osteo_Sarco_1.png","RPT")</f>
        <v/>
      </c>
      <c r="F399" s="2" t="n">
        <v>75</v>
      </c>
      <c r="G399" s="6" t="n">
        <v>16</v>
      </c>
      <c r="H399" t="n">
        <v>24.29</v>
      </c>
      <c r="L399" t="inlineStr">
        <is>
          <t>Emotion 16</t>
        </is>
      </c>
      <c r="M399" t="inlineStr">
        <is>
          <t>PRE ABDOMEN 5.0 B31S</t>
        </is>
      </c>
    </row>
    <row r="400">
      <c r="A400" s="2" t="n">
        <v>4986627</v>
      </c>
      <c r="B400" s="2" t="inlineStr">
        <is>
          <t>63</t>
        </is>
      </c>
      <c r="C400" s="2" t="inlineStr">
        <is>
          <t>F</t>
        </is>
      </c>
      <c r="D400" s="2" t="inlineStr">
        <is>
          <t>100.0</t>
        </is>
      </c>
      <c r="E400" s="4">
        <f>HYPERLINK("./Results/DLO\1366\Osteo_Sarco_1.png","RPT")</f>
        <v/>
      </c>
      <c r="F400" s="2" t="n">
        <v>107</v>
      </c>
      <c r="G400" s="6" t="n">
        <v>14</v>
      </c>
      <c r="I400" s="0" t="n"/>
      <c r="J400" s="0" t="n"/>
      <c r="K400" s="0" t="n"/>
      <c r="L400" t="inlineStr">
        <is>
          <t>Sensation 64</t>
        </is>
      </c>
      <c r="M400" t="inlineStr">
        <is>
          <t>HVP 3mm(53kg/106cc/2.5cc/radi)</t>
        </is>
      </c>
    </row>
    <row r="401">
      <c r="A401" s="2" t="n">
        <v>3155962</v>
      </c>
      <c r="B401" s="2" t="inlineStr">
        <is>
          <t>64</t>
        </is>
      </c>
      <c r="C401" s="2" t="inlineStr">
        <is>
          <t>M</t>
        </is>
      </c>
      <c r="D401" s="2" t="inlineStr">
        <is>
          <t>120.0</t>
        </is>
      </c>
      <c r="E401" s="4">
        <f>HYPERLINK("./Results/DLO\1367\Osteo_Sarco_1.png","RPT")</f>
        <v/>
      </c>
      <c r="F401" s="2" t="n">
        <v>136</v>
      </c>
      <c r="G401" s="6" t="n">
        <v>8</v>
      </c>
      <c r="I401" s="0" t="n"/>
      <c r="J401" s="0" t="n"/>
      <c r="K401" s="0" t="n"/>
      <c r="L401" t="inlineStr">
        <is>
          <t>LightSpeed VCT</t>
        </is>
      </c>
      <c r="M401" t="inlineStr">
        <is>
          <t>HVP 55sec 3mm</t>
        </is>
      </c>
    </row>
    <row r="402">
      <c r="A402" s="2" t="n">
        <v>3156584</v>
      </c>
      <c r="B402" s="2" t="inlineStr">
        <is>
          <t>54</t>
        </is>
      </c>
      <c r="C402" s="2" t="inlineStr">
        <is>
          <t>F</t>
        </is>
      </c>
      <c r="D402" s="2" t="inlineStr">
        <is>
          <t>100.0</t>
        </is>
      </c>
      <c r="E402" s="4">
        <f>HYPERLINK("./Results/DLO\1368\Osteo_Sarco_1.png","RPT")</f>
        <v/>
      </c>
      <c r="F402" s="2" t="n">
        <v>106</v>
      </c>
      <c r="G402" s="6" t="n">
        <v>11</v>
      </c>
      <c r="I402" s="0" t="n"/>
      <c r="J402" s="0" t="n"/>
      <c r="K402" s="0" t="n"/>
      <c r="L402" t="inlineStr">
        <is>
          <t>LightSpeed VCT</t>
        </is>
      </c>
      <c r="M402" t="inlineStr">
        <is>
          <t>PRE 3mm</t>
        </is>
      </c>
    </row>
    <row r="403">
      <c r="A403" s="2" t="n">
        <v>1689787</v>
      </c>
      <c r="B403" s="2" t="inlineStr">
        <is>
          <t>63</t>
        </is>
      </c>
      <c r="C403" s="2" t="inlineStr">
        <is>
          <t>F</t>
        </is>
      </c>
      <c r="D403" s="2" t="inlineStr">
        <is>
          <t>100.0</t>
        </is>
      </c>
      <c r="E403" s="4">
        <f>HYPERLINK("./Results/DLO\1369\Osteo_Sarco_1.png","RPT")</f>
        <v/>
      </c>
      <c r="F403" s="2" t="n">
        <v>102</v>
      </c>
      <c r="G403" s="6" t="n">
        <v>9</v>
      </c>
      <c r="H403" t="n">
        <v>26.88</v>
      </c>
      <c r="L403" t="inlineStr">
        <is>
          <t>SOMATOM Definition...</t>
        </is>
      </c>
      <c r="M403" t="inlineStr">
        <is>
          <t>Pre(cp~pubic ) 3.0 B30f</t>
        </is>
      </c>
    </row>
    <row r="404">
      <c r="A404" s="2" t="n">
        <v>1871891</v>
      </c>
      <c r="B404" s="2" t="inlineStr">
        <is>
          <t>56</t>
        </is>
      </c>
      <c r="C404" s="2" t="inlineStr">
        <is>
          <t>F</t>
        </is>
      </c>
      <c r="D404" s="2" t="inlineStr">
        <is>
          <t>100.0</t>
        </is>
      </c>
      <c r="E404" s="4">
        <f>HYPERLINK("./Results/DLO\137\Osteo_Sarco_1.png","RPT")</f>
        <v/>
      </c>
      <c r="F404" s="2" t="n">
        <v>116</v>
      </c>
      <c r="G404" s="6" t="n">
        <v>9</v>
      </c>
      <c r="I404" s="0" t="n"/>
      <c r="J404" s="0" t="n"/>
      <c r="K404" s="0" t="n"/>
      <c r="L404" t="inlineStr">
        <is>
          <t>Revolution CT</t>
        </is>
      </c>
      <c r="M404" t="inlineStr">
        <is>
          <t>HVP 3mm-pacs(60kg/120cc/3cc/r...</t>
        </is>
      </c>
    </row>
    <row r="405">
      <c r="A405" s="2" t="n">
        <v>4663629</v>
      </c>
      <c r="B405" s="2" t="inlineStr">
        <is>
          <t>50</t>
        </is>
      </c>
      <c r="C405" s="2" t="inlineStr">
        <is>
          <t>F</t>
        </is>
      </c>
      <c r="D405" s="2" t="inlineStr">
        <is>
          <t>100.0</t>
        </is>
      </c>
      <c r="E405" s="4">
        <f>HYPERLINK("./Results/DLO\1370\Osteo_Sarco_1.png","RPT")</f>
        <v/>
      </c>
      <c r="F405" s="2" t="n">
        <v>112</v>
      </c>
      <c r="G405" s="6" t="n">
        <v>7</v>
      </c>
      <c r="I405" s="0" t="n"/>
      <c r="J405" s="0" t="n"/>
      <c r="K405" s="0" t="n"/>
      <c r="L405" t="inlineStr">
        <is>
          <t>iCT 256</t>
        </is>
      </c>
      <c r="M405" t="inlineStr">
        <is>
          <t>LAP 3/3mm, iDose (3)</t>
        </is>
      </c>
    </row>
    <row r="406">
      <c r="A406" s="2" t="n">
        <v>1971731</v>
      </c>
      <c r="B406" s="2" t="inlineStr">
        <is>
          <t>56</t>
        </is>
      </c>
      <c r="C406" s="2" t="inlineStr">
        <is>
          <t>F</t>
        </is>
      </c>
      <c r="D406" s="2" t="inlineStr">
        <is>
          <t>120.0</t>
        </is>
      </c>
      <c r="E406" s="4">
        <f>HYPERLINK("./Results/DLO\1371\Osteo_Sarco_1.png","RPT")</f>
        <v/>
      </c>
      <c r="F406" s="2" t="n">
        <v>100</v>
      </c>
      <c r="G406" s="6" t="n">
        <v>10</v>
      </c>
      <c r="H406" t="n">
        <v>19.83</v>
      </c>
      <c r="L406" t="inlineStr">
        <is>
          <t>LightSpeed VCT</t>
        </is>
      </c>
      <c r="M406" t="inlineStr">
        <is>
          <t>HVP 55sec 3mm</t>
        </is>
      </c>
    </row>
    <row r="407">
      <c r="A407" s="2" t="n">
        <v>3787846</v>
      </c>
      <c r="B407" s="2" t="inlineStr">
        <is>
          <t>67</t>
        </is>
      </c>
      <c r="C407" s="2" t="inlineStr">
        <is>
          <t>F</t>
        </is>
      </c>
      <c r="D407" s="2" t="inlineStr">
        <is>
          <t>100.0</t>
        </is>
      </c>
      <c r="E407" s="4">
        <f>HYPERLINK("./Results/DLO\1372\Osteo_Sarco_1.png","RPT")</f>
        <v/>
      </c>
      <c r="F407" s="2" t="n">
        <v>101</v>
      </c>
      <c r="G407" s="6" t="n">
        <v>13</v>
      </c>
      <c r="I407" s="0" t="n"/>
      <c r="J407" s="0" t="n"/>
      <c r="K407" s="0" t="n"/>
      <c r="L407" t="inlineStr">
        <is>
          <t>Revolution CT</t>
        </is>
      </c>
      <c r="M407" t="inlineStr">
        <is>
          <t>HVP 3mm-pacs(62kg/124cc/3cc/x...</t>
        </is>
      </c>
    </row>
    <row r="408">
      <c r="A408" s="2" t="n">
        <v>3674148</v>
      </c>
      <c r="B408" s="2" t="inlineStr">
        <is>
          <t>59</t>
        </is>
      </c>
      <c r="C408" s="2" t="inlineStr">
        <is>
          <t>F</t>
        </is>
      </c>
      <c r="D408" s="2" t="inlineStr">
        <is>
          <t>120.0</t>
        </is>
      </c>
      <c r="E408" s="4">
        <f>HYPERLINK("./Results/DLO\1373\Osteo_Sarco_1.png","RPT")</f>
        <v/>
      </c>
      <c r="F408" s="2" t="n">
        <v>103</v>
      </c>
      <c r="G408" s="6" t="n">
        <v>6</v>
      </c>
      <c r="I408" s="0" t="n"/>
      <c r="J408" s="0" t="n"/>
      <c r="K408" s="0" t="n"/>
      <c r="L408" t="inlineStr">
        <is>
          <t>LightSpeed VCT</t>
        </is>
      </c>
      <c r="M408" t="inlineStr">
        <is>
          <t>HVP 55sec 3mm</t>
        </is>
      </c>
    </row>
    <row r="409">
      <c r="A409" s="2" t="n">
        <v>4974524</v>
      </c>
      <c r="B409" s="2" t="inlineStr">
        <is>
          <t>65</t>
        </is>
      </c>
      <c r="C409" s="2" t="inlineStr">
        <is>
          <t>M</t>
        </is>
      </c>
      <c r="D409" s="2" t="inlineStr">
        <is>
          <t>120.0</t>
        </is>
      </c>
      <c r="E409" s="4">
        <f>HYPERLINK("./Results/DLO\1374\Osteo_Sarco_1.png","RPT")</f>
        <v/>
      </c>
      <c r="F409" s="2" t="n">
        <v>157</v>
      </c>
      <c r="G409" s="6" t="n">
        <v>8</v>
      </c>
      <c r="H409" t="n">
        <v>23.71</v>
      </c>
      <c r="L409" t="inlineStr">
        <is>
          <t>iCT 256</t>
        </is>
      </c>
      <c r="M409" t="inlineStr">
        <is>
          <t>HVP 3/3mm, iDose (3)</t>
        </is>
      </c>
    </row>
    <row r="410">
      <c r="A410" s="2" t="n">
        <v>2119546</v>
      </c>
      <c r="B410" s="2" t="inlineStr">
        <is>
          <t>58</t>
        </is>
      </c>
      <c r="C410" s="2" t="inlineStr">
        <is>
          <t>F</t>
        </is>
      </c>
      <c r="D410" s="2" t="inlineStr">
        <is>
          <t>100.0</t>
        </is>
      </c>
      <c r="E410" s="4">
        <f>HYPERLINK("./Results/DLO\1375\Osteo_Sarco_1.png","RPT")</f>
        <v/>
      </c>
      <c r="F410" s="2" t="n">
        <v>100</v>
      </c>
      <c r="G410" s="6" t="n">
        <v>5</v>
      </c>
      <c r="I410" s="0" t="n"/>
      <c r="J410" s="0" t="n"/>
      <c r="K410" s="0" t="n"/>
      <c r="L410" t="inlineStr">
        <is>
          <t>SOMATOM Definition...</t>
        </is>
      </c>
      <c r="M410" t="inlineStr">
        <is>
          <t>Abd Delay 3.0 I30f 2</t>
        </is>
      </c>
    </row>
    <row r="411">
      <c r="A411" s="2" t="n">
        <v>3807634</v>
      </c>
      <c r="B411" s="2" t="inlineStr">
        <is>
          <t>64</t>
        </is>
      </c>
      <c r="C411" s="2" t="inlineStr">
        <is>
          <t>M</t>
        </is>
      </c>
      <c r="D411" s="2" t="inlineStr">
        <is>
          <t>100.0</t>
        </is>
      </c>
      <c r="E411" s="4">
        <f>HYPERLINK("./Results/DLO\1376\Osteo_Sarco_1.png","RPT")</f>
        <v/>
      </c>
      <c r="F411" s="2" t="n">
        <v>123</v>
      </c>
      <c r="G411" s="6" t="n">
        <v>4</v>
      </c>
      <c r="I411" s="0" t="n"/>
      <c r="J411" s="0" t="n"/>
      <c r="K411" s="0" t="n"/>
      <c r="L411" t="inlineStr">
        <is>
          <t>SOMATOM Definition...</t>
        </is>
      </c>
      <c r="M411" t="inlineStr">
        <is>
          <t>HVP 2 3mm(57kg/114cc/3cc/RADI)</t>
        </is>
      </c>
    </row>
    <row r="412">
      <c r="A412" s="2" t="n">
        <v>1623281</v>
      </c>
      <c r="B412" s="2" t="inlineStr">
        <is>
          <t>70</t>
        </is>
      </c>
      <c r="C412" s="2" t="inlineStr">
        <is>
          <t>M</t>
        </is>
      </c>
      <c r="D412" s="2" t="inlineStr">
        <is>
          <t>100.0</t>
        </is>
      </c>
      <c r="E412" s="4">
        <f>HYPERLINK("./Results/DLO\1377\Osteo_Sarco_1.png","RPT")</f>
        <v/>
      </c>
      <c r="F412" s="2" t="n">
        <v>161</v>
      </c>
      <c r="G412" s="6" t="n">
        <v>17</v>
      </c>
      <c r="H412" t="n">
        <v>28.43</v>
      </c>
      <c r="L412" t="inlineStr">
        <is>
          <t>LightSpeed VCT</t>
        </is>
      </c>
      <c r="M412" t="inlineStr">
        <is>
          <t>PRE 3mm</t>
        </is>
      </c>
    </row>
    <row r="413">
      <c r="A413" s="2" t="n">
        <v>1962911</v>
      </c>
      <c r="B413" s="2" t="inlineStr">
        <is>
          <t>74</t>
        </is>
      </c>
      <c r="C413" s="2" t="inlineStr">
        <is>
          <t>M</t>
        </is>
      </c>
      <c r="D413" s="2" t="inlineStr">
        <is>
          <t>100.0</t>
        </is>
      </c>
      <c r="E413" s="4">
        <f>HYPERLINK("./Results/DLO\1378\Osteo_Sarco_1.png","RPT")</f>
        <v/>
      </c>
      <c r="F413" s="2" t="n">
        <v>127</v>
      </c>
      <c r="G413" s="6" t="n">
        <v>15</v>
      </c>
      <c r="I413" s="0" t="n"/>
      <c r="J413" s="0" t="n"/>
      <c r="K413" s="0" t="n"/>
      <c r="L413" t="inlineStr">
        <is>
          <t>SOMATOM Definition...</t>
        </is>
      </c>
      <c r="M413" t="inlineStr">
        <is>
          <t>Pre(cp~pubic ) 3.0 B30f</t>
        </is>
      </c>
    </row>
    <row r="414">
      <c r="A414" s="2" t="n">
        <v>3052139</v>
      </c>
      <c r="B414" s="2" t="inlineStr">
        <is>
          <t>59</t>
        </is>
      </c>
      <c r="C414" s="2" t="inlineStr">
        <is>
          <t>F</t>
        </is>
      </c>
      <c r="D414" s="2" t="inlineStr">
        <is>
          <t>120.0</t>
        </is>
      </c>
      <c r="E414" s="4">
        <f>HYPERLINK("./Results/DLO\1379\Osteo_Sarco_1.png","RPT")</f>
        <v/>
      </c>
      <c r="F414" s="2" t="n">
        <v>104</v>
      </c>
      <c r="G414" s="6" t="n">
        <v>12</v>
      </c>
      <c r="I414" s="0" t="n"/>
      <c r="J414" s="0" t="n"/>
      <c r="K414" s="0" t="n"/>
      <c r="L414" t="inlineStr">
        <is>
          <t>Revolution EVO</t>
        </is>
      </c>
      <c r="M414" t="inlineStr">
        <is>
          <t>HVP 3mm</t>
        </is>
      </c>
    </row>
    <row r="415">
      <c r="A415" s="2" t="n">
        <v>4585030</v>
      </c>
      <c r="B415" s="2" t="inlineStr">
        <is>
          <t>67</t>
        </is>
      </c>
      <c r="C415" s="2" t="inlineStr">
        <is>
          <t>M</t>
        </is>
      </c>
      <c r="D415" s="2" t="inlineStr">
        <is>
          <t>100.0</t>
        </is>
      </c>
      <c r="E415" s="4">
        <f>HYPERLINK("./Results/DLO\138\Osteo_Sarco_1.png","RPT")</f>
        <v/>
      </c>
      <c r="F415" s="2" t="n">
        <v>149</v>
      </c>
      <c r="G415" s="6" t="n">
        <v>7</v>
      </c>
      <c r="I415" s="0" t="n"/>
      <c r="J415" s="0" t="n"/>
      <c r="K415" s="0" t="n"/>
      <c r="L415" t="inlineStr">
        <is>
          <t>Revolution EVO</t>
        </is>
      </c>
      <c r="M415" t="inlineStr">
        <is>
          <t>PRE</t>
        </is>
      </c>
    </row>
    <row r="416">
      <c r="A416" s="2" t="n">
        <v>2113880</v>
      </c>
      <c r="B416" s="2" t="inlineStr">
        <is>
          <t>55</t>
        </is>
      </c>
      <c r="C416" s="2" t="inlineStr">
        <is>
          <t>F</t>
        </is>
      </c>
      <c r="D416" s="2" t="inlineStr">
        <is>
          <t>100.0</t>
        </is>
      </c>
      <c r="E416" s="4">
        <f>HYPERLINK("./Results/DLO\1380\Osteo_Sarco_1.png","RPT")</f>
        <v/>
      </c>
      <c r="F416" s="2" t="n">
        <v>82</v>
      </c>
      <c r="G416" s="6" t="n">
        <v>7</v>
      </c>
      <c r="H416" t="n">
        <v>23.46</v>
      </c>
      <c r="L416" t="inlineStr">
        <is>
          <t>Revolution CT</t>
        </is>
      </c>
      <c r="M416" t="inlineStr">
        <is>
          <t>Post</t>
        </is>
      </c>
    </row>
    <row r="417">
      <c r="A417" s="2" t="n">
        <v>1709336</v>
      </c>
      <c r="B417" s="2" t="inlineStr">
        <is>
          <t>66</t>
        </is>
      </c>
      <c r="C417" s="2" t="inlineStr">
        <is>
          <t>M</t>
        </is>
      </c>
      <c r="D417" s="2" t="inlineStr">
        <is>
          <t>120.0</t>
        </is>
      </c>
      <c r="E417" s="4">
        <f>HYPERLINK("./Results/DLO\1381\Osteo_Sarco_1.png","RPT")</f>
        <v/>
      </c>
      <c r="F417" s="2" t="n">
        <v>152</v>
      </c>
      <c r="G417" s="6" t="n">
        <v>7</v>
      </c>
      <c r="I417" s="0" t="n"/>
      <c r="J417" s="0" t="n"/>
      <c r="K417" s="0" t="n"/>
      <c r="L417" t="inlineStr">
        <is>
          <t>Discovery CT750 HD</t>
        </is>
      </c>
      <c r="M417" t="inlineStr">
        <is>
          <t>LAP 3mm</t>
        </is>
      </c>
    </row>
    <row r="418">
      <c r="A418" s="2" t="n">
        <v>4095456</v>
      </c>
      <c r="B418" s="2" t="inlineStr">
        <is>
          <t>51</t>
        </is>
      </c>
      <c r="C418" s="2" t="inlineStr">
        <is>
          <t>F</t>
        </is>
      </c>
      <c r="D418" s="2" t="inlineStr">
        <is>
          <t>100.0</t>
        </is>
      </c>
      <c r="E418" s="4">
        <f>HYPERLINK("./Results/DLO\1382\Osteo_Sarco_1.png","RPT")</f>
        <v/>
      </c>
      <c r="F418" s="2" t="n">
        <v>110</v>
      </c>
      <c r="G418" s="6" t="n">
        <v>6</v>
      </c>
      <c r="I418" s="0" t="n"/>
      <c r="J418" s="0" t="n"/>
      <c r="K418" s="0" t="n"/>
      <c r="L418" t="inlineStr">
        <is>
          <t>SOMATOM Definition...</t>
        </is>
      </c>
      <c r="M418" t="inlineStr">
        <is>
          <t>HVP 2 3mm(56kg/112cc/3cc/xene)</t>
        </is>
      </c>
    </row>
    <row r="419">
      <c r="A419" s="2" t="n">
        <v>3121180</v>
      </c>
      <c r="B419" s="2" t="inlineStr">
        <is>
          <t>51</t>
        </is>
      </c>
      <c r="C419" s="2" t="inlineStr">
        <is>
          <t>F</t>
        </is>
      </c>
      <c r="D419" s="2" t="inlineStr">
        <is>
          <t>100.0</t>
        </is>
      </c>
      <c r="E419" s="4">
        <f>HYPERLINK("./Results/DLO\1383\Osteo_Sarco_1.png","RPT")</f>
        <v/>
      </c>
      <c r="F419" s="2" t="n">
        <v>62</v>
      </c>
      <c r="G419" s="6" t="n">
        <v>7</v>
      </c>
      <c r="I419" s="0" t="n"/>
      <c r="J419" s="0" t="n"/>
      <c r="K419" s="0" t="n"/>
      <c r="L419" t="inlineStr">
        <is>
          <t>Sensation 64</t>
        </is>
      </c>
      <c r="M419" t="inlineStr">
        <is>
          <t>PRE 3mm</t>
        </is>
      </c>
    </row>
    <row r="420">
      <c r="A420" s="2" t="n">
        <v>2997826</v>
      </c>
      <c r="B420" s="2" t="inlineStr">
        <is>
          <t>61</t>
        </is>
      </c>
      <c r="C420" s="2" t="inlineStr">
        <is>
          <t>F</t>
        </is>
      </c>
      <c r="D420" s="2" t="inlineStr">
        <is>
          <t>100.0</t>
        </is>
      </c>
      <c r="E420" s="4">
        <f>HYPERLINK("./Results/DLO\1384\Osteo_Sarco_1.png","RPT")</f>
        <v/>
      </c>
      <c r="F420" s="2" t="n">
        <v>111</v>
      </c>
      <c r="G420" s="6" t="n">
        <v>12</v>
      </c>
      <c r="I420" s="0" t="n"/>
      <c r="J420" s="0" t="n"/>
      <c r="K420" s="0" t="n"/>
      <c r="L420" t="inlineStr">
        <is>
          <t>Discovery CT750 HD</t>
        </is>
      </c>
      <c r="M420" t="inlineStr">
        <is>
          <t>ax 3mm</t>
        </is>
      </c>
    </row>
    <row r="421">
      <c r="A421" s="2" t="n">
        <v>3760275</v>
      </c>
      <c r="B421" s="2" t="inlineStr">
        <is>
          <t>72</t>
        </is>
      </c>
      <c r="C421" s="2" t="inlineStr">
        <is>
          <t>F</t>
        </is>
      </c>
      <c r="D421" s="2" t="inlineStr">
        <is>
          <t>90.0</t>
        </is>
      </c>
      <c r="E421" s="4">
        <f>HYPERLINK("./Results/DLO\1385\Osteo_Sarco_1.png","RPT")</f>
        <v/>
      </c>
      <c r="F421" s="2" t="n">
        <v>109</v>
      </c>
      <c r="G421" s="6" t="n">
        <v>5</v>
      </c>
      <c r="H421" t="n">
        <v>19.81</v>
      </c>
      <c r="L421" t="inlineStr">
        <is>
          <t>SOMATOM Force</t>
        </is>
      </c>
      <c r="M421" t="inlineStr">
        <is>
          <t>ABD PRE 3.0 Br40 2</t>
        </is>
      </c>
    </row>
    <row r="422">
      <c r="A422" s="2" t="n">
        <v>2036899</v>
      </c>
      <c r="B422" s="2" t="inlineStr">
        <is>
          <t>56</t>
        </is>
      </c>
      <c r="C422" s="2" t="inlineStr">
        <is>
          <t>M</t>
        </is>
      </c>
      <c r="D422" s="2" t="inlineStr">
        <is>
          <t>100.0</t>
        </is>
      </c>
      <c r="E422" s="4">
        <f>HYPERLINK("./Results/DLO\1386\Osteo_Sarco_1.png","RPT")</f>
        <v/>
      </c>
      <c r="F422" s="2" t="n">
        <v>136</v>
      </c>
      <c r="G422" s="6" t="n">
        <v>10</v>
      </c>
      <c r="H422" t="n">
        <v>19.75</v>
      </c>
      <c r="L422" t="inlineStr">
        <is>
          <t>SOMATOM Force</t>
        </is>
      </c>
      <c r="M422" t="inlineStr">
        <is>
          <t>100kVp100mAs 3.0 Br40</t>
        </is>
      </c>
    </row>
    <row r="423">
      <c r="A423" s="2" t="n">
        <v>4013350</v>
      </c>
      <c r="B423" s="2" t="inlineStr">
        <is>
          <t>67</t>
        </is>
      </c>
      <c r="C423" s="2" t="inlineStr">
        <is>
          <t>M</t>
        </is>
      </c>
      <c r="D423" s="2" t="inlineStr">
        <is>
          <t>120.0</t>
        </is>
      </c>
      <c r="E423" s="4">
        <f>HYPERLINK("./Results/DLO\1387\Osteo_Sarco_1.png","RPT")</f>
        <v/>
      </c>
      <c r="F423" s="2" t="n">
        <v>151</v>
      </c>
      <c r="G423" s="6" t="n">
        <v>9</v>
      </c>
      <c r="H423" t="n">
        <v>26.17</v>
      </c>
      <c r="L423" t="inlineStr">
        <is>
          <t>iCT 256</t>
        </is>
      </c>
      <c r="M423" t="inlineStr">
        <is>
          <t>HVP 3/3mm, iDose (3)</t>
        </is>
      </c>
    </row>
    <row r="424">
      <c r="A424" s="2" t="n">
        <v>4356910</v>
      </c>
      <c r="B424" s="2" t="inlineStr">
        <is>
          <t>56</t>
        </is>
      </c>
      <c r="C424" s="2" t="inlineStr">
        <is>
          <t>F</t>
        </is>
      </c>
      <c r="D424" s="2" t="inlineStr">
        <is>
          <t>110.0</t>
        </is>
      </c>
      <c r="E424" s="4">
        <f>HYPERLINK("./Results/DLO\1388\Osteo_Sarco_1.png","RPT")</f>
        <v/>
      </c>
      <c r="F424" s="2" t="n">
        <v>106</v>
      </c>
      <c r="G424" s="6" t="n">
        <v>12</v>
      </c>
      <c r="I424" s="0" t="n"/>
      <c r="J424" s="0" t="n"/>
      <c r="K424" s="0" t="n"/>
      <c r="L424" t="inlineStr">
        <is>
          <t>SOMATOM Perspective</t>
        </is>
      </c>
      <c r="M424" t="inlineStr">
        <is>
          <t>Abdomen Pre 3.0 [40s 3</t>
        </is>
      </c>
    </row>
    <row r="425">
      <c r="A425" s="2" t="n">
        <v>3948975</v>
      </c>
      <c r="B425" s="2" t="inlineStr">
        <is>
          <t>67</t>
        </is>
      </c>
      <c r="C425" s="2" t="inlineStr">
        <is>
          <t>F</t>
        </is>
      </c>
      <c r="D425" s="2" t="inlineStr">
        <is>
          <t>100.0</t>
        </is>
      </c>
      <c r="E425" s="4">
        <f>HYPERLINK("./Results/DLO\1389\Osteo_Sarco_1.png","RPT")</f>
        <v/>
      </c>
      <c r="F425" s="2" t="n">
        <v>116</v>
      </c>
      <c r="G425" s="6" t="n">
        <v>16</v>
      </c>
      <c r="I425" s="0" t="n"/>
      <c r="J425" s="0" t="n"/>
      <c r="K425" s="0" t="n"/>
      <c r="L425" t="inlineStr">
        <is>
          <t>LightSpeed VCT</t>
        </is>
      </c>
      <c r="M425" t="inlineStr">
        <is>
          <t>PRE</t>
        </is>
      </c>
    </row>
    <row r="426">
      <c r="A426" s="2" t="n">
        <v>4395034</v>
      </c>
      <c r="B426" s="2" t="inlineStr">
        <is>
          <t>73</t>
        </is>
      </c>
      <c r="C426" s="2" t="inlineStr">
        <is>
          <t>F</t>
        </is>
      </c>
      <c r="D426" s="2" t="inlineStr">
        <is>
          <t>100.0</t>
        </is>
      </c>
      <c r="E426" s="4">
        <f>HYPERLINK("./Results/DLO\139\Osteo_Sarco_1.png","RPT")</f>
        <v/>
      </c>
      <c r="F426" s="2" t="n">
        <v>86</v>
      </c>
      <c r="G426" s="6" t="n">
        <v>6</v>
      </c>
      <c r="H426" t="n">
        <v>24.98</v>
      </c>
      <c r="L426" t="inlineStr">
        <is>
          <t>SOMATOM Definition...</t>
        </is>
      </c>
      <c r="M426" t="inlineStr">
        <is>
          <t>HVP 2 3mm (47kg/94cc/2cc/bono)</t>
        </is>
      </c>
    </row>
    <row r="427">
      <c r="A427" s="2" t="n">
        <v>3821404</v>
      </c>
      <c r="B427" s="2" t="inlineStr">
        <is>
          <t>74</t>
        </is>
      </c>
      <c r="C427" s="2" t="inlineStr">
        <is>
          <t>M</t>
        </is>
      </c>
      <c r="D427" s="2" t="inlineStr">
        <is>
          <t>120.0</t>
        </is>
      </c>
      <c r="E427" s="4">
        <f>HYPERLINK("./Results/DLO\1390\Osteo_Sarco_1.png","RPT")</f>
        <v/>
      </c>
      <c r="F427" s="2" t="n">
        <v>139</v>
      </c>
      <c r="G427" s="6" t="n">
        <v>10</v>
      </c>
      <c r="H427" t="n">
        <v>21.67</v>
      </c>
      <c r="L427" t="inlineStr">
        <is>
          <t>LightSpeed VCT</t>
        </is>
      </c>
      <c r="M427" t="inlineStr">
        <is>
          <t>HVP 55sec 3mm</t>
        </is>
      </c>
    </row>
    <row r="428">
      <c r="A428" s="2" t="n">
        <v>2145411</v>
      </c>
      <c r="B428" s="2" t="inlineStr">
        <is>
          <t>86</t>
        </is>
      </c>
      <c r="C428" s="2" t="inlineStr">
        <is>
          <t>M</t>
        </is>
      </c>
      <c r="D428" s="2" t="inlineStr">
        <is>
          <t>120.0</t>
        </is>
      </c>
      <c r="E428" s="4">
        <f>HYPERLINK("./Results/DLO\1391\Osteo_Sarco_1.png","RPT")</f>
        <v/>
      </c>
      <c r="F428" s="2" t="n">
        <v>94</v>
      </c>
      <c r="G428" s="6" t="n">
        <v>9</v>
      </c>
      <c r="I428" s="0" t="n"/>
      <c r="J428" s="0" t="n"/>
      <c r="K428" s="0" t="n"/>
      <c r="L428" t="inlineStr">
        <is>
          <t>LightSpeed VCT</t>
        </is>
      </c>
      <c r="M428" t="inlineStr">
        <is>
          <t>HVP 55sec 3mm</t>
        </is>
      </c>
    </row>
    <row r="429">
      <c r="A429" s="2" t="n">
        <v>4770553</v>
      </c>
      <c r="B429" s="2" t="inlineStr">
        <is>
          <t>75</t>
        </is>
      </c>
      <c r="C429" s="2" t="inlineStr">
        <is>
          <t>M</t>
        </is>
      </c>
      <c r="D429" s="2" t="inlineStr">
        <is>
          <t>100.0</t>
        </is>
      </c>
      <c r="E429" s="4">
        <f>HYPERLINK("./Results/DLO\1392\Osteo_Sarco_1.png","RPT")</f>
        <v/>
      </c>
      <c r="F429" s="2" t="n">
        <v>141</v>
      </c>
      <c r="G429" s="6" t="n">
        <v>13</v>
      </c>
      <c r="H429" t="n">
        <v>21.9</v>
      </c>
      <c r="L429" t="inlineStr">
        <is>
          <t>SOMATOM Definition...</t>
        </is>
      </c>
      <c r="M429" t="inlineStr">
        <is>
          <t>HVP 2 3mm (57kg/116cc/3cc/radi)</t>
        </is>
      </c>
    </row>
    <row r="430">
      <c r="A430" s="2" t="n">
        <v>3986334</v>
      </c>
      <c r="B430" s="2" t="inlineStr">
        <is>
          <t>61</t>
        </is>
      </c>
      <c r="C430" s="2" t="inlineStr">
        <is>
          <t>M</t>
        </is>
      </c>
      <c r="D430" s="2" t="inlineStr">
        <is>
          <t>100.0</t>
        </is>
      </c>
      <c r="E430" s="4">
        <f>HYPERLINK("./Results/DLO\1393\Osteo_Sarco_1.png","RPT")</f>
        <v/>
      </c>
      <c r="F430" s="2" t="n">
        <v>154</v>
      </c>
      <c r="G430" s="6" t="n">
        <v>7</v>
      </c>
      <c r="I430" s="0" t="n"/>
      <c r="J430" s="0" t="n"/>
      <c r="K430" s="0" t="n"/>
      <c r="L430" t="inlineStr">
        <is>
          <t>SOMATOM Definition...</t>
        </is>
      </c>
      <c r="M430" t="inlineStr">
        <is>
          <t>HVP 2 3mm(70Kg/140ml/3ml/xe...</t>
        </is>
      </c>
    </row>
    <row r="431">
      <c r="A431" s="2" t="n">
        <v>2848133</v>
      </c>
      <c r="B431" s="2" t="inlineStr">
        <is>
          <t>41</t>
        </is>
      </c>
      <c r="C431" s="2" t="inlineStr">
        <is>
          <t>M</t>
        </is>
      </c>
      <c r="D431" s="2" t="inlineStr">
        <is>
          <t>100.0</t>
        </is>
      </c>
      <c r="E431" s="4">
        <f>HYPERLINK("./Results/DLO\1394\Osteo_Sarco_1.png","RPT")</f>
        <v/>
      </c>
      <c r="F431" s="2" t="n">
        <v>166</v>
      </c>
      <c r="G431" s="6" t="n">
        <v>8</v>
      </c>
      <c r="I431" s="0" t="n"/>
      <c r="J431" s="0" t="n"/>
      <c r="K431" s="0" t="n"/>
      <c r="L431" t="inlineStr">
        <is>
          <t>SOMATOM Definition...</t>
        </is>
      </c>
      <c r="M431" t="inlineStr">
        <is>
          <t>HVP 2 3mm(63kg/126cc/3cc/xene)</t>
        </is>
      </c>
    </row>
    <row r="432">
      <c r="A432" s="2" t="n">
        <v>1627317</v>
      </c>
      <c r="B432" s="2" t="inlineStr">
        <is>
          <t>70</t>
        </is>
      </c>
      <c r="C432" s="2" t="inlineStr">
        <is>
          <t>F</t>
        </is>
      </c>
      <c r="D432" s="2" t="inlineStr">
        <is>
          <t>120.0</t>
        </is>
      </c>
      <c r="E432" s="4">
        <f>HYPERLINK("./Results/DLO\1395\Osteo_Sarco_1.png","RPT")</f>
        <v/>
      </c>
      <c r="F432" s="2" t="n">
        <v>109</v>
      </c>
      <c r="G432" s="6" t="n">
        <v>9</v>
      </c>
      <c r="H432" t="n">
        <v>26.62</v>
      </c>
      <c r="L432" t="inlineStr">
        <is>
          <t>LightSpeed VCT</t>
        </is>
      </c>
      <c r="M432" t="inlineStr">
        <is>
          <t>HVP 55sec 3mm</t>
        </is>
      </c>
    </row>
    <row r="433">
      <c r="A433" s="2" t="n">
        <v>4300112</v>
      </c>
      <c r="B433" s="2" t="inlineStr">
        <is>
          <t>63</t>
        </is>
      </c>
      <c r="C433" s="2" t="inlineStr">
        <is>
          <t>M</t>
        </is>
      </c>
      <c r="D433" s="2" t="inlineStr">
        <is>
          <t>100.0</t>
        </is>
      </c>
      <c r="E433" s="4">
        <f>HYPERLINK("./Results/DLO\1396\Osteo_Sarco_1.png","RPT")</f>
        <v/>
      </c>
      <c r="F433" s="2" t="n">
        <v>160</v>
      </c>
      <c r="G433" s="6" t="n">
        <v>8</v>
      </c>
      <c r="I433" s="0" t="n"/>
      <c r="J433" s="0" t="n"/>
      <c r="K433" s="0" t="n"/>
      <c r="L433" t="inlineStr">
        <is>
          <t>SOMATOM Definition...</t>
        </is>
      </c>
      <c r="M433" t="inlineStr">
        <is>
          <t>Pre(CP~pubic) 3mm</t>
        </is>
      </c>
    </row>
    <row r="434">
      <c r="A434" s="2" t="n">
        <v>3229353</v>
      </c>
      <c r="B434" s="2" t="inlineStr">
        <is>
          <t>59</t>
        </is>
      </c>
      <c r="C434" s="2" t="inlineStr">
        <is>
          <t>F</t>
        </is>
      </c>
      <c r="D434" s="2" t="inlineStr">
        <is>
          <t>100.0</t>
        </is>
      </c>
      <c r="E434" s="4">
        <f>HYPERLINK("./Results/DLO\1397\Osteo_Sarco_1.png","RPT")</f>
        <v/>
      </c>
      <c r="F434" s="2" t="n">
        <v>96</v>
      </c>
      <c r="G434" s="6" t="n">
        <v>5</v>
      </c>
      <c r="I434" s="0" t="n"/>
      <c r="J434" s="0" t="n"/>
      <c r="K434" s="0" t="n"/>
      <c r="L434" t="inlineStr">
        <is>
          <t>iCT 256</t>
        </is>
      </c>
      <c r="M434" t="inlineStr">
        <is>
          <t>LAP 3/3mm, iDose (3)</t>
        </is>
      </c>
    </row>
    <row r="435">
      <c r="A435" s="2" t="n">
        <v>4307337</v>
      </c>
      <c r="B435" s="2" t="inlineStr">
        <is>
          <t>60</t>
        </is>
      </c>
      <c r="C435" s="2" t="inlineStr">
        <is>
          <t>F</t>
        </is>
      </c>
      <c r="D435" s="2" t="inlineStr">
        <is>
          <t>100.0</t>
        </is>
      </c>
      <c r="E435" s="4">
        <f>HYPERLINK("./Results/DLO\1398\Osteo_Sarco_1.png","RPT")</f>
        <v/>
      </c>
      <c r="F435" s="2" t="n">
        <v>117</v>
      </c>
      <c r="G435" s="6" t="n">
        <v>8</v>
      </c>
      <c r="I435" s="0" t="n"/>
      <c r="J435" s="0" t="n"/>
      <c r="K435" s="0" t="n"/>
      <c r="L435" t="inlineStr">
        <is>
          <t>SOMATOM Force</t>
        </is>
      </c>
      <c r="M435" t="inlineStr">
        <is>
          <t>Pre(GU) 3.0 Br32</t>
        </is>
      </c>
    </row>
    <row r="436">
      <c r="A436" s="2" t="n">
        <v>4750600</v>
      </c>
      <c r="B436" s="2" t="inlineStr">
        <is>
          <t>64</t>
        </is>
      </c>
      <c r="C436" s="2" t="inlineStr">
        <is>
          <t>F</t>
        </is>
      </c>
      <c r="D436" s="2" t="inlineStr">
        <is>
          <t>100.0</t>
        </is>
      </c>
      <c r="E436" s="4">
        <f>HYPERLINK("./Results/DLO\1399\Osteo_Sarco_1.png","RPT")</f>
        <v/>
      </c>
      <c r="F436" s="2" t="n">
        <v>106</v>
      </c>
      <c r="G436" s="6" t="n">
        <v>8</v>
      </c>
      <c r="I436" s="0" t="n"/>
      <c r="J436" s="0" t="n"/>
      <c r="K436" s="0" t="n"/>
      <c r="L436" t="inlineStr">
        <is>
          <t>Revolution CT</t>
        </is>
      </c>
      <c r="M436" t="inlineStr">
        <is>
          <t>HVP 3mm(43kg/86cc/2cc/omni)</t>
        </is>
      </c>
    </row>
    <row r="437">
      <c r="A437" s="2" t="n">
        <v>4580192</v>
      </c>
      <c r="B437" s="2" t="inlineStr">
        <is>
          <t>77</t>
        </is>
      </c>
      <c r="C437" s="2" t="inlineStr">
        <is>
          <t>F</t>
        </is>
      </c>
      <c r="D437" s="2" t="inlineStr">
        <is>
          <t>120.0</t>
        </is>
      </c>
      <c r="E437" s="4">
        <f>HYPERLINK("./Results/DLO\14\Osteo_Sarco_1.png","RPT")</f>
        <v/>
      </c>
      <c r="F437" s="2" t="n">
        <v>93</v>
      </c>
      <c r="G437" s="6" t="n">
        <v>8</v>
      </c>
      <c r="H437" t="n">
        <v>24.41</v>
      </c>
      <c r="L437" t="inlineStr">
        <is>
          <t>Brilliance16</t>
        </is>
      </c>
      <c r="M437" t="inlineStr">
        <is>
          <t>PRE</t>
        </is>
      </c>
    </row>
    <row r="438">
      <c r="A438" s="2" t="n">
        <v>2528587</v>
      </c>
      <c r="B438" s="2" t="inlineStr">
        <is>
          <t>70</t>
        </is>
      </c>
      <c r="C438" s="2" t="inlineStr">
        <is>
          <t>F</t>
        </is>
      </c>
      <c r="D438" s="2" t="inlineStr">
        <is>
          <t>100.0</t>
        </is>
      </c>
      <c r="E438" s="4">
        <f>HYPERLINK("./Results/DLO\140\Osteo_Sarco_1.png","RPT")</f>
        <v/>
      </c>
      <c r="F438" s="2" t="n">
        <v>97</v>
      </c>
      <c r="G438" s="6" t="n">
        <v>11</v>
      </c>
      <c r="I438" s="0" t="n"/>
      <c r="J438" s="0" t="n"/>
      <c r="K438" s="0" t="n"/>
      <c r="L438" t="inlineStr">
        <is>
          <t>Revolution CT</t>
        </is>
      </c>
      <c r="M438" t="inlineStr">
        <is>
          <t>HVP 3mm-pacs(55kg/110cc/3cc/X...</t>
        </is>
      </c>
    </row>
    <row r="439">
      <c r="A439" s="2" t="n">
        <v>2274186</v>
      </c>
      <c r="B439" s="2" t="inlineStr">
        <is>
          <t>62</t>
        </is>
      </c>
      <c r="C439" s="2" t="inlineStr">
        <is>
          <t>M</t>
        </is>
      </c>
      <c r="D439" s="2" t="inlineStr">
        <is>
          <t>100.0</t>
        </is>
      </c>
      <c r="E439" s="4">
        <f>HYPERLINK("./Results/DLO\1400\Osteo_Sarco_1.png","RPT")</f>
        <v/>
      </c>
      <c r="F439" s="2" t="n">
        <v>154</v>
      </c>
      <c r="G439" s="6" t="n">
        <v>9</v>
      </c>
      <c r="I439" s="0" t="n"/>
      <c r="J439" s="0" t="n"/>
      <c r="K439" s="0" t="n"/>
      <c r="L439" t="inlineStr">
        <is>
          <t>LightSpeed VCT</t>
        </is>
      </c>
      <c r="M439" t="inlineStr">
        <is>
          <t>PRE 3mm</t>
        </is>
      </c>
    </row>
    <row r="440">
      <c r="A440" s="2" t="n">
        <v>3010639</v>
      </c>
      <c r="B440" s="2" t="inlineStr">
        <is>
          <t>69</t>
        </is>
      </c>
      <c r="C440" s="2" t="inlineStr">
        <is>
          <t>M</t>
        </is>
      </c>
      <c r="D440" s="2" t="inlineStr">
        <is>
          <t>100.0</t>
        </is>
      </c>
      <c r="E440" s="4">
        <f>HYPERLINK("./Results/DLO\1401\Osteo_Sarco_1.png","RPT")</f>
        <v/>
      </c>
      <c r="F440" s="2" t="n">
        <v>109</v>
      </c>
      <c r="G440" s="6" t="n">
        <v>10</v>
      </c>
      <c r="H440" t="n">
        <v>24.11</v>
      </c>
      <c r="L440" t="inlineStr">
        <is>
          <t>SOMATOM Definition...</t>
        </is>
      </c>
      <c r="M440" t="inlineStr">
        <is>
          <t>Pre 3mm</t>
        </is>
      </c>
    </row>
    <row r="441">
      <c r="A441" s="2" t="n">
        <v>3629936</v>
      </c>
      <c r="B441" s="2" t="inlineStr">
        <is>
          <t>54</t>
        </is>
      </c>
      <c r="C441" s="2" t="inlineStr">
        <is>
          <t>M</t>
        </is>
      </c>
      <c r="D441" s="2" t="inlineStr">
        <is>
          <t>100.0</t>
        </is>
      </c>
      <c r="E441" s="4">
        <f>HYPERLINK("./Results/DLO\1402\Osteo_Sarco_1.png","RPT")</f>
        <v/>
      </c>
      <c r="F441" s="2" t="n">
        <v>175</v>
      </c>
      <c r="G441" s="6" t="n">
        <v>6</v>
      </c>
      <c r="I441" s="0" t="n"/>
      <c r="J441" s="0" t="n"/>
      <c r="K441" s="0" t="n"/>
      <c r="L441" t="inlineStr">
        <is>
          <t>LightSpeed VCT</t>
        </is>
      </c>
      <c r="M441" t="inlineStr">
        <is>
          <t>PRE 3mm</t>
        </is>
      </c>
    </row>
    <row r="442">
      <c r="A442" s="2" t="n">
        <v>3368264</v>
      </c>
      <c r="B442" s="2" t="inlineStr">
        <is>
          <t>47</t>
        </is>
      </c>
      <c r="C442" s="2" t="inlineStr">
        <is>
          <t>F</t>
        </is>
      </c>
      <c r="D442" s="2" t="inlineStr">
        <is>
          <t>120.0</t>
        </is>
      </c>
      <c r="E442" s="4">
        <f>HYPERLINK("./Results/DLO\1403\Osteo_Sarco_1.png","RPT")</f>
        <v/>
      </c>
      <c r="F442" s="2" t="n">
        <v>117</v>
      </c>
      <c r="G442" s="6" t="n">
        <v>13</v>
      </c>
      <c r="I442" s="0" t="n"/>
      <c r="J442" s="0" t="n"/>
      <c r="K442" s="0" t="n"/>
      <c r="L442" t="inlineStr">
        <is>
          <t>LightSpeed VCT</t>
        </is>
      </c>
      <c r="M442" t="inlineStr">
        <is>
          <t>HVP 55sec 3mm</t>
        </is>
      </c>
    </row>
    <row r="443">
      <c r="A443" s="2" t="n">
        <v>3363370</v>
      </c>
      <c r="B443" s="2" t="inlineStr">
        <is>
          <t>51</t>
        </is>
      </c>
      <c r="C443" s="2" t="inlineStr">
        <is>
          <t>M</t>
        </is>
      </c>
      <c r="D443" s="2" t="inlineStr">
        <is>
          <t>100.0</t>
        </is>
      </c>
      <c r="E443" s="4">
        <f>HYPERLINK("./Results/DLO\1404\Osteo_Sarco_1.png","RPT")</f>
        <v/>
      </c>
      <c r="F443" s="2" t="n">
        <v>160</v>
      </c>
      <c r="G443" s="6" t="n">
        <v>5</v>
      </c>
      <c r="I443" s="0" t="n"/>
      <c r="J443" s="0" t="n"/>
      <c r="K443" s="0" t="n"/>
      <c r="L443" t="inlineStr">
        <is>
          <t>LightSpeed VCT</t>
        </is>
      </c>
      <c r="M443" t="inlineStr">
        <is>
          <t>PRE 3mm</t>
        </is>
      </c>
    </row>
    <row r="444">
      <c r="A444" s="2" t="n">
        <v>1576769</v>
      </c>
      <c r="B444" s="2" t="inlineStr">
        <is>
          <t>44</t>
        </is>
      </c>
      <c r="C444" s="2" t="inlineStr">
        <is>
          <t>F</t>
        </is>
      </c>
      <c r="D444" s="2" t="inlineStr">
        <is>
          <t>100.0</t>
        </is>
      </c>
      <c r="E444" s="4">
        <f>HYPERLINK("./Results/DLO\1405\Osteo_Sarco_1.png","RPT")</f>
        <v/>
      </c>
      <c r="F444" s="2" t="n">
        <v>92</v>
      </c>
      <c r="G444" s="6" t="n">
        <v>12</v>
      </c>
      <c r="I444" s="0" t="n"/>
      <c r="J444" s="0" t="n"/>
      <c r="K444" s="0" t="n"/>
      <c r="L444" t="inlineStr">
        <is>
          <t>LightSpeed VCT</t>
        </is>
      </c>
      <c r="M444" t="inlineStr">
        <is>
          <t>PRE 3mm</t>
        </is>
      </c>
    </row>
    <row r="445">
      <c r="A445" s="2" t="n">
        <v>4819408</v>
      </c>
      <c r="B445" s="2" t="inlineStr">
        <is>
          <t>61</t>
        </is>
      </c>
      <c r="C445" s="2" t="inlineStr">
        <is>
          <t>M</t>
        </is>
      </c>
      <c r="D445" s="2" t="inlineStr">
        <is>
          <t>100.0</t>
        </is>
      </c>
      <c r="E445" s="4">
        <f>HYPERLINK("./Results/DLO\1406\Osteo_Sarco_1.png","RPT")</f>
        <v/>
      </c>
      <c r="F445" s="2" t="n">
        <v>173</v>
      </c>
      <c r="G445" s="6" t="n">
        <v>12</v>
      </c>
      <c r="H445" t="n">
        <v>27.1</v>
      </c>
      <c r="L445" t="inlineStr">
        <is>
          <t>Revolution EVO</t>
        </is>
      </c>
      <c r="M445" t="inlineStr">
        <is>
          <t>PRE (CP angle~L5)</t>
        </is>
      </c>
    </row>
    <row r="446">
      <c r="A446" s="2" t="n">
        <v>2529123</v>
      </c>
      <c r="B446" s="2" t="inlineStr">
        <is>
          <t>49</t>
        </is>
      </c>
      <c r="C446" s="2" t="inlineStr">
        <is>
          <t>M</t>
        </is>
      </c>
      <c r="D446" s="2" t="inlineStr">
        <is>
          <t>80.0</t>
        </is>
      </c>
      <c r="E446" s="4">
        <f>HYPERLINK("./Results/DLO\1407\Osteo_Sarco_1.png","RPT")</f>
        <v/>
      </c>
      <c r="F446" s="2" t="n">
        <v>105</v>
      </c>
      <c r="G446" s="6" t="n">
        <v>3</v>
      </c>
      <c r="I446" s="0" t="n"/>
      <c r="J446" s="0" t="n"/>
      <c r="K446" s="0" t="n"/>
      <c r="L446" t="inlineStr">
        <is>
          <t>SOMATOM Definition...</t>
        </is>
      </c>
      <c r="M446" t="inlineStr">
        <is>
          <t>Pre(Abd) 3mm</t>
        </is>
      </c>
    </row>
    <row r="447">
      <c r="A447" s="2" t="n">
        <v>3761582</v>
      </c>
      <c r="B447" s="2" t="inlineStr">
        <is>
          <t>54</t>
        </is>
      </c>
      <c r="C447" s="2" t="inlineStr">
        <is>
          <t>M</t>
        </is>
      </c>
      <c r="D447" s="2" t="inlineStr">
        <is>
          <t>100.0</t>
        </is>
      </c>
      <c r="E447" s="4">
        <f>HYPERLINK("./Results/DLO\1408\Osteo_Sarco_1.png","RPT")</f>
        <v/>
      </c>
      <c r="F447" s="2" t="n">
        <v>191</v>
      </c>
      <c r="G447" s="6" t="n">
        <v>10</v>
      </c>
      <c r="H447" t="n">
        <v>26.83</v>
      </c>
      <c r="L447" t="inlineStr">
        <is>
          <t>SOMATOM Force</t>
        </is>
      </c>
      <c r="M447" t="inlineStr">
        <is>
          <t>LAP 3.0 Br40 2 (84kg/150kg...</t>
        </is>
      </c>
    </row>
    <row r="448">
      <c r="A448" s="2" t="n">
        <v>3527448</v>
      </c>
      <c r="B448" s="2" t="inlineStr">
        <is>
          <t>54</t>
        </is>
      </c>
      <c r="C448" s="2" t="inlineStr">
        <is>
          <t>M</t>
        </is>
      </c>
      <c r="D448" s="2" t="inlineStr">
        <is>
          <t>100.0</t>
        </is>
      </c>
      <c r="E448" s="4">
        <f>HYPERLINK("./Results/DLO\1409\Osteo_Sarco_1.png","RPT")</f>
        <v/>
      </c>
      <c r="F448" s="2" t="n">
        <v>140</v>
      </c>
      <c r="G448" s="6" t="n">
        <v>6</v>
      </c>
      <c r="I448" s="0" t="n"/>
      <c r="J448" s="0" t="n"/>
      <c r="K448" s="0" t="n"/>
      <c r="L448" t="inlineStr">
        <is>
          <t>SOMATOM Definition...</t>
        </is>
      </c>
      <c r="M448" t="inlineStr">
        <is>
          <t>HVP 2 3mm (67kg/134cc/3cc/ul...</t>
        </is>
      </c>
    </row>
    <row r="449">
      <c r="A449" s="2" t="n">
        <v>519916</v>
      </c>
      <c r="B449" s="2" t="inlineStr">
        <is>
          <t>37</t>
        </is>
      </c>
      <c r="C449" s="2" t="inlineStr">
        <is>
          <t>F</t>
        </is>
      </c>
      <c r="D449" s="2" t="inlineStr">
        <is>
          <t>90.0</t>
        </is>
      </c>
      <c r="E449" s="4">
        <f>HYPERLINK("./Results/DLO\141\Osteo_Sarco_1.png","RPT")</f>
        <v/>
      </c>
      <c r="F449" s="2" t="n">
        <v>111</v>
      </c>
      <c r="G449" s="6" t="n">
        <v>5</v>
      </c>
      <c r="I449" s="0" t="n"/>
      <c r="J449" s="0" t="n"/>
      <c r="K449" s="0" t="n"/>
      <c r="L449" t="inlineStr">
        <is>
          <t>SOMATOM Force</t>
        </is>
      </c>
      <c r="M449" t="inlineStr">
        <is>
          <t>Dia~Pel.P 5.0 Br40 2</t>
        </is>
      </c>
    </row>
    <row r="450">
      <c r="A450" s="2" t="n">
        <v>1681092</v>
      </c>
      <c r="B450" s="2" t="inlineStr">
        <is>
          <t>70</t>
        </is>
      </c>
      <c r="C450" s="2" t="inlineStr">
        <is>
          <t>M</t>
        </is>
      </c>
      <c r="D450" s="2" t="inlineStr">
        <is>
          <t>100.0</t>
        </is>
      </c>
      <c r="E450" s="4">
        <f>HYPERLINK("./Results/DLO\1410\Osteo_Sarco_1.png","RPT")</f>
        <v/>
      </c>
      <c r="F450" s="2" t="n">
        <v>146</v>
      </c>
      <c r="G450" s="6" t="n">
        <v>6</v>
      </c>
      <c r="H450" t="n">
        <v>22.77</v>
      </c>
      <c r="L450" t="inlineStr">
        <is>
          <t>Sensation 64</t>
        </is>
      </c>
      <c r="M450" t="inlineStr">
        <is>
          <t>HVP 3mm (65kg/130cc/3cc/omni)</t>
        </is>
      </c>
    </row>
    <row r="451">
      <c r="A451" s="2" t="n">
        <v>3791673</v>
      </c>
      <c r="B451" s="2" t="inlineStr">
        <is>
          <t>69</t>
        </is>
      </c>
      <c r="C451" s="2" t="inlineStr">
        <is>
          <t>M</t>
        </is>
      </c>
      <c r="D451" s="2" t="inlineStr">
        <is>
          <t>120.0</t>
        </is>
      </c>
      <c r="E451" s="4">
        <f>HYPERLINK("./Results/DLO\1411\Osteo_Sarco_1.png","RPT")</f>
        <v/>
      </c>
      <c r="F451" s="2" t="n">
        <v>144</v>
      </c>
      <c r="G451" s="6" t="n">
        <v>5</v>
      </c>
      <c r="H451" t="n">
        <v>22.92</v>
      </c>
      <c r="L451" t="inlineStr">
        <is>
          <t>Revolution HD</t>
        </is>
      </c>
      <c r="M451" t="inlineStr">
        <is>
          <t>Portal</t>
        </is>
      </c>
    </row>
    <row r="452">
      <c r="A452" s="2" t="n">
        <v>2745995</v>
      </c>
      <c r="B452" s="2" t="inlineStr">
        <is>
          <t>63</t>
        </is>
      </c>
      <c r="C452" s="2" t="inlineStr">
        <is>
          <t>F</t>
        </is>
      </c>
      <c r="D452" s="2" t="inlineStr">
        <is>
          <t>100.0</t>
        </is>
      </c>
      <c r="E452" s="4">
        <f>HYPERLINK("./Results/DLO\1412\Osteo_Sarco_1.png","RPT")</f>
        <v/>
      </c>
      <c r="F452" s="2" t="n">
        <v>89</v>
      </c>
      <c r="G452" s="6" t="n">
        <v>8</v>
      </c>
      <c r="I452" s="0" t="n"/>
      <c r="J452" s="0" t="n"/>
      <c r="K452" s="0" t="n"/>
      <c r="L452" t="inlineStr">
        <is>
          <t>Revolution CT</t>
        </is>
      </c>
      <c r="M452" t="inlineStr">
        <is>
          <t>LAP 3mm(60kg/120cc/3.0cc/xene...</t>
        </is>
      </c>
    </row>
    <row r="453">
      <c r="A453" s="2" t="n">
        <v>4539072</v>
      </c>
      <c r="B453" s="2" t="inlineStr">
        <is>
          <t>72</t>
        </is>
      </c>
      <c r="C453" s="2" t="inlineStr">
        <is>
          <t>M</t>
        </is>
      </c>
      <c r="D453" s="2" t="inlineStr">
        <is>
          <t>100.0</t>
        </is>
      </c>
      <c r="E453" s="4">
        <f>HYPERLINK("./Results/DLO\1413\Osteo_Sarco_1.png","RPT")</f>
        <v/>
      </c>
      <c r="F453" s="2" t="n">
        <v>169</v>
      </c>
      <c r="G453" s="6" t="n">
        <v>18</v>
      </c>
      <c r="H453" t="n">
        <v>24.22</v>
      </c>
      <c r="L453" t="inlineStr">
        <is>
          <t>LightSpeed VCT</t>
        </is>
      </c>
      <c r="M453" t="inlineStr">
        <is>
          <t>Pre 3mm</t>
        </is>
      </c>
    </row>
    <row r="454">
      <c r="A454" s="2" t="n">
        <v>1798891</v>
      </c>
      <c r="B454" s="2" t="inlineStr">
        <is>
          <t>73</t>
        </is>
      </c>
      <c r="C454" s="2" t="inlineStr">
        <is>
          <t>M</t>
        </is>
      </c>
      <c r="D454" s="2" t="inlineStr">
        <is>
          <t>120.0</t>
        </is>
      </c>
      <c r="E454" s="4">
        <f>HYPERLINK("./Results/DLO\1414\Osteo_Sarco_1.png","RPT")</f>
        <v/>
      </c>
      <c r="F454" s="2" t="n">
        <v>158</v>
      </c>
      <c r="G454" s="6" t="n">
        <v>13</v>
      </c>
      <c r="I454" s="0" t="n"/>
      <c r="J454" s="0" t="n"/>
      <c r="K454" s="0" t="n"/>
      <c r="L454" t="inlineStr">
        <is>
          <t>iCT 256</t>
        </is>
      </c>
      <c r="M454" t="inlineStr">
        <is>
          <t>HVP 3/3mm, iDose (3)</t>
        </is>
      </c>
    </row>
    <row r="455">
      <c r="A455" s="2" t="n">
        <v>3162645</v>
      </c>
      <c r="B455" s="2" t="inlineStr">
        <is>
          <t>66</t>
        </is>
      </c>
      <c r="C455" s="2" t="inlineStr">
        <is>
          <t>F</t>
        </is>
      </c>
      <c r="D455" s="2" t="inlineStr">
        <is>
          <t>100.0</t>
        </is>
      </c>
      <c r="E455" s="4">
        <f>HYPERLINK("./Results/DLO\1415\Osteo_Sarco_1.png","RPT")</f>
        <v/>
      </c>
      <c r="F455" s="2" t="n">
        <v>125</v>
      </c>
      <c r="G455" s="6" t="n">
        <v>19</v>
      </c>
      <c r="I455" s="0" t="n"/>
      <c r="J455" s="0" t="n"/>
      <c r="K455" s="0" t="n"/>
      <c r="L455" t="inlineStr">
        <is>
          <t>SOMATOM Definition...</t>
        </is>
      </c>
      <c r="M455" t="inlineStr">
        <is>
          <t>Pre 3mm</t>
        </is>
      </c>
    </row>
    <row r="456">
      <c r="A456" s="2" t="n">
        <v>3288216</v>
      </c>
      <c r="B456" s="2" t="inlineStr">
        <is>
          <t>51</t>
        </is>
      </c>
      <c r="C456" s="2" t="inlineStr">
        <is>
          <t>F</t>
        </is>
      </c>
      <c r="D456" s="2" t="inlineStr">
        <is>
          <t>100.0</t>
        </is>
      </c>
      <c r="E456" s="4">
        <f>HYPERLINK("./Results/DLO\1416\Osteo_Sarco_1.png","RPT")</f>
        <v/>
      </c>
      <c r="F456" s="2" t="n">
        <v>101</v>
      </c>
      <c r="G456" s="6" t="n">
        <v>10</v>
      </c>
      <c r="I456" s="0" t="n"/>
      <c r="J456" s="0" t="n"/>
      <c r="K456" s="0" t="n"/>
      <c r="L456" t="inlineStr">
        <is>
          <t>Revolution CT</t>
        </is>
      </c>
      <c r="M456" t="inlineStr">
        <is>
          <t>Pre Axial 3mm</t>
        </is>
      </c>
    </row>
    <row r="457">
      <c r="A457" s="2" t="n">
        <v>1822757</v>
      </c>
      <c r="B457" s="2" t="inlineStr">
        <is>
          <t>41</t>
        </is>
      </c>
      <c r="C457" s="2" t="inlineStr">
        <is>
          <t>F</t>
        </is>
      </c>
      <c r="D457" s="2" t="inlineStr">
        <is>
          <t>100.0</t>
        </is>
      </c>
      <c r="E457" s="4">
        <f>HYPERLINK("./Results/DLO\1417\Osteo_Sarco_1.png","RPT")</f>
        <v/>
      </c>
      <c r="F457" s="2" t="n">
        <v>91</v>
      </c>
      <c r="G457" s="6" t="n">
        <v>8</v>
      </c>
      <c r="I457" s="0" t="n"/>
      <c r="J457" s="0" t="n"/>
      <c r="K457" s="0" t="n"/>
      <c r="L457" t="inlineStr">
        <is>
          <t>SOMATOM Definition...</t>
        </is>
      </c>
      <c r="M457" t="inlineStr">
        <is>
          <t>HVP 2 3mm(51kg/102cc/3cc/xene)</t>
        </is>
      </c>
    </row>
    <row r="458">
      <c r="A458" s="2" t="n">
        <v>4559899</v>
      </c>
      <c r="B458" s="2" t="inlineStr">
        <is>
          <t>38</t>
        </is>
      </c>
      <c r="C458" s="2" t="inlineStr">
        <is>
          <t>F</t>
        </is>
      </c>
      <c r="D458" s="2" t="inlineStr">
        <is>
          <t>100.0</t>
        </is>
      </c>
      <c r="E458" s="4">
        <f>HYPERLINK("./Results/DLO\1418\Osteo_Sarco_1.png","RPT")</f>
        <v/>
      </c>
      <c r="F458" s="2" t="n">
        <v>109</v>
      </c>
      <c r="G458" s="6" t="n">
        <v>15</v>
      </c>
      <c r="I458" s="0" t="n"/>
      <c r="J458" s="0" t="n"/>
      <c r="K458" s="0" t="n"/>
      <c r="L458" t="inlineStr">
        <is>
          <t>iCT 256</t>
        </is>
      </c>
      <c r="M458" t="inlineStr">
        <is>
          <t>LAP 3/3mm, iDose (3)</t>
        </is>
      </c>
    </row>
    <row r="459">
      <c r="A459" s="2" t="n">
        <v>4264168</v>
      </c>
      <c r="B459" s="2" t="inlineStr">
        <is>
          <t>53</t>
        </is>
      </c>
      <c r="C459" s="2" t="inlineStr">
        <is>
          <t>F</t>
        </is>
      </c>
      <c r="D459" s="2" t="inlineStr">
        <is>
          <t>120.0</t>
        </is>
      </c>
      <c r="E459" s="4">
        <f>HYPERLINK("./Results/DLO\1419\Osteo_Sarco_1.png","RPT")</f>
        <v/>
      </c>
      <c r="F459" s="2" t="n">
        <v>104</v>
      </c>
      <c r="G459" s="6" t="n">
        <v>5</v>
      </c>
      <c r="I459" s="0" t="n"/>
      <c r="J459" s="0" t="n"/>
      <c r="K459" s="0" t="n"/>
      <c r="L459" t="inlineStr">
        <is>
          <t>Discovery CT750 HD</t>
        </is>
      </c>
      <c r="M459" t="inlineStr">
        <is>
          <t>LAP 3mm</t>
        </is>
      </c>
    </row>
    <row r="460">
      <c r="A460" s="2" t="n">
        <v>3856114</v>
      </c>
      <c r="B460" s="2" t="inlineStr">
        <is>
          <t>35</t>
        </is>
      </c>
      <c r="C460" s="2" t="inlineStr">
        <is>
          <t>F</t>
        </is>
      </c>
      <c r="D460" s="2" t="inlineStr">
        <is>
          <t>100.0</t>
        </is>
      </c>
      <c r="E460" s="4">
        <f>HYPERLINK("./Results/DLO\142\Osteo_Sarco_1.png","RPT")</f>
        <v/>
      </c>
      <c r="F460" s="2" t="n">
        <v>66</v>
      </c>
      <c r="G460" s="6" t="n">
        <v>7</v>
      </c>
      <c r="H460" t="n">
        <v>17.43</v>
      </c>
      <c r="L460" t="inlineStr">
        <is>
          <t>Revolution CT</t>
        </is>
      </c>
      <c r="M460" t="inlineStr">
        <is>
          <t>PRE 3mm</t>
        </is>
      </c>
    </row>
    <row r="461">
      <c r="A461" s="2" t="n">
        <v>3383294</v>
      </c>
      <c r="B461" s="2" t="inlineStr">
        <is>
          <t>67</t>
        </is>
      </c>
      <c r="C461" s="2" t="inlineStr">
        <is>
          <t>F</t>
        </is>
      </c>
      <c r="D461" s="2" t="inlineStr">
        <is>
          <t>100.0</t>
        </is>
      </c>
      <c r="E461" s="4">
        <f>HYPERLINK("./Results/DLO\1420\Osteo_Sarco_1.png","RPT")</f>
        <v/>
      </c>
      <c r="F461" s="2" t="n">
        <v>89</v>
      </c>
      <c r="G461" s="6" t="n">
        <v>7</v>
      </c>
      <c r="I461" s="0" t="n"/>
      <c r="J461" s="0" t="n"/>
      <c r="K461" s="0" t="n"/>
      <c r="L461" t="inlineStr">
        <is>
          <t>SOMATOM Definition...</t>
        </is>
      </c>
      <c r="M461" t="inlineStr">
        <is>
          <t>Pre 3mm B30f</t>
        </is>
      </c>
    </row>
    <row r="462">
      <c r="A462" s="2" t="n">
        <v>3643032</v>
      </c>
      <c r="B462" s="2" t="inlineStr">
        <is>
          <t>71</t>
        </is>
      </c>
      <c r="C462" s="2" t="inlineStr">
        <is>
          <t>M</t>
        </is>
      </c>
      <c r="D462" s="2" t="inlineStr">
        <is>
          <t>120.0</t>
        </is>
      </c>
      <c r="E462" s="4">
        <f>HYPERLINK("./Results/DLO\1421\Osteo_Sarco_1.png","RPT")</f>
        <v/>
      </c>
      <c r="F462" s="2" t="n">
        <v>146</v>
      </c>
      <c r="G462" s="6" t="n">
        <v>13</v>
      </c>
      <c r="I462" s="0" t="n"/>
      <c r="J462" s="0" t="n"/>
      <c r="K462" s="0" t="n"/>
      <c r="L462" t="inlineStr">
        <is>
          <t>Aquilion ONE</t>
        </is>
      </c>
      <c r="M462" t="inlineStr">
        <is>
          <t>Body 5.0</t>
        </is>
      </c>
    </row>
    <row r="463">
      <c r="A463" s="2" t="n">
        <v>2238437</v>
      </c>
      <c r="B463" s="2" t="inlineStr">
        <is>
          <t>77</t>
        </is>
      </c>
      <c r="C463" s="2" t="inlineStr">
        <is>
          <t>M</t>
        </is>
      </c>
      <c r="D463" s="2" t="inlineStr">
        <is>
          <t>100.0</t>
        </is>
      </c>
      <c r="E463" s="4">
        <f>HYPERLINK("./Results/DLO\1422\Osteo_Sarco_1.png","RPT")</f>
        <v/>
      </c>
      <c r="F463" s="2" t="n">
        <v>142</v>
      </c>
      <c r="G463" s="6" t="n">
        <v>15</v>
      </c>
      <c r="I463" s="0" t="n"/>
      <c r="J463" s="0" t="n"/>
      <c r="K463" s="0" t="n"/>
      <c r="L463" t="inlineStr">
        <is>
          <t>Revolution CT</t>
        </is>
      </c>
      <c r="M463" t="inlineStr">
        <is>
          <t>GU Pre 3mm pacs</t>
        </is>
      </c>
    </row>
    <row r="464">
      <c r="A464" s="2" t="n">
        <v>3616721</v>
      </c>
      <c r="B464" s="2" t="inlineStr">
        <is>
          <t>57</t>
        </is>
      </c>
      <c r="C464" s="2" t="inlineStr">
        <is>
          <t>F</t>
        </is>
      </c>
      <c r="D464" s="2" t="inlineStr">
        <is>
          <t>100.0</t>
        </is>
      </c>
      <c r="E464" s="4">
        <f>HYPERLINK("./Results/DLO\1423\Osteo_Sarco_1.png","RPT")</f>
        <v/>
      </c>
      <c r="F464" s="2" t="n">
        <v>88</v>
      </c>
      <c r="G464" s="6" t="n">
        <v>9</v>
      </c>
      <c r="I464" s="0" t="n"/>
      <c r="J464" s="0" t="n"/>
      <c r="K464" s="0" t="n"/>
      <c r="L464" t="inlineStr">
        <is>
          <t>SOMATOM Definition...</t>
        </is>
      </c>
      <c r="M464" t="inlineStr">
        <is>
          <t>Pre 3mm</t>
        </is>
      </c>
    </row>
    <row r="465">
      <c r="A465" s="2" t="n">
        <v>3788998</v>
      </c>
      <c r="B465" s="2" t="inlineStr">
        <is>
          <t>42</t>
        </is>
      </c>
      <c r="C465" s="2" t="inlineStr">
        <is>
          <t>F</t>
        </is>
      </c>
      <c r="D465" s="2" t="inlineStr">
        <is>
          <t>100.0</t>
        </is>
      </c>
      <c r="E465" s="4">
        <f>HYPERLINK("./Results/DLO\1424\Osteo_Sarco_1.png","RPT")</f>
        <v/>
      </c>
      <c r="F465" s="2" t="n">
        <v>118</v>
      </c>
      <c r="G465" s="6" t="n">
        <v>10</v>
      </c>
      <c r="I465" s="0" t="n"/>
      <c r="J465" s="0" t="n"/>
      <c r="K465" s="0" t="n"/>
      <c r="L465" t="inlineStr">
        <is>
          <t>Revolution CT</t>
        </is>
      </c>
      <c r="M465" t="inlineStr">
        <is>
          <t>Pre Axial 3mm</t>
        </is>
      </c>
    </row>
    <row r="466">
      <c r="A466" s="2" t="n">
        <v>4886683</v>
      </c>
      <c r="B466" s="2" t="inlineStr">
        <is>
          <t>73</t>
        </is>
      </c>
      <c r="C466" s="2" t="inlineStr">
        <is>
          <t>F</t>
        </is>
      </c>
      <c r="D466" s="2" t="inlineStr">
        <is>
          <t>100.0</t>
        </is>
      </c>
      <c r="E466" s="4">
        <f>HYPERLINK("./Results/DLO\1425\Osteo_Sarco_1.png","RPT")</f>
        <v/>
      </c>
      <c r="F466" s="2" t="n">
        <v>106</v>
      </c>
      <c r="G466" s="6" t="n">
        <v>6</v>
      </c>
      <c r="I466" s="0" t="n"/>
      <c r="J466" s="0" t="n"/>
      <c r="K466" s="0" t="n"/>
      <c r="L466" t="inlineStr">
        <is>
          <t>SOMATOM Definition...</t>
        </is>
      </c>
      <c r="M466" t="inlineStr">
        <is>
          <t>HVP 2 3mm(45Kg/90ml/2.5ml/x...</t>
        </is>
      </c>
    </row>
    <row r="467">
      <c r="A467" s="2" t="n">
        <v>2436054</v>
      </c>
      <c r="B467" s="2" t="inlineStr">
        <is>
          <t>54</t>
        </is>
      </c>
      <c r="C467" s="2" t="inlineStr">
        <is>
          <t>F</t>
        </is>
      </c>
      <c r="D467" s="2" t="inlineStr">
        <is>
          <t>100.0</t>
        </is>
      </c>
      <c r="E467" s="4">
        <f>HYPERLINK("./Results/DLO\1426\Osteo_Sarco_1.png","RPT")</f>
        <v/>
      </c>
      <c r="F467" s="2" t="n">
        <v>93</v>
      </c>
      <c r="G467" s="6" t="n">
        <v>7</v>
      </c>
      <c r="I467" s="0" t="n"/>
      <c r="J467" s="0" t="n"/>
      <c r="K467" s="0" t="n"/>
      <c r="L467" t="inlineStr">
        <is>
          <t>Revolution EVO</t>
        </is>
      </c>
      <c r="M467" t="inlineStr">
        <is>
          <t>PRE (CP angle~L5)</t>
        </is>
      </c>
    </row>
    <row r="468">
      <c r="A468" s="2" t="n">
        <v>4633270</v>
      </c>
      <c r="B468" s="2" t="inlineStr">
        <is>
          <t>67</t>
        </is>
      </c>
      <c r="C468" s="2" t="inlineStr">
        <is>
          <t>M</t>
        </is>
      </c>
      <c r="D468" s="2" t="inlineStr">
        <is>
          <t>120.0</t>
        </is>
      </c>
      <c r="E468" s="4">
        <f>HYPERLINK("./Results/DLO\1427\Osteo_Sarco_1.png","RPT")</f>
        <v/>
      </c>
      <c r="F468" s="2" t="n">
        <v>136</v>
      </c>
      <c r="G468" s="6" t="n">
        <v>5</v>
      </c>
      <c r="I468" s="0" t="n"/>
      <c r="J468" s="0" t="n"/>
      <c r="K468" s="0" t="n"/>
      <c r="L468" t="inlineStr">
        <is>
          <t>LightSpeed VCT</t>
        </is>
      </c>
      <c r="M468" t="inlineStr">
        <is>
          <t>HVP 55sec 3mm</t>
        </is>
      </c>
    </row>
    <row r="469">
      <c r="A469" s="2" t="n">
        <v>2225951</v>
      </c>
      <c r="B469" s="2" t="inlineStr">
        <is>
          <t>55</t>
        </is>
      </c>
      <c r="C469" s="2" t="inlineStr">
        <is>
          <t>M</t>
        </is>
      </c>
      <c r="D469" s="2" t="inlineStr">
        <is>
          <t>100.0</t>
        </is>
      </c>
      <c r="E469" s="4">
        <f>HYPERLINK("./Results/DLO\1428\Osteo_Sarco_1.png","RPT")</f>
        <v/>
      </c>
      <c r="F469" s="2" t="n">
        <v>114</v>
      </c>
      <c r="G469" s="6" t="n">
        <v>6</v>
      </c>
      <c r="I469" s="0" t="n"/>
      <c r="J469" s="0" t="n"/>
      <c r="K469" s="0" t="n"/>
      <c r="L469" t="inlineStr">
        <is>
          <t>SOMATOM Definition...</t>
        </is>
      </c>
      <c r="M469" t="inlineStr">
        <is>
          <t>LAP 3mm(60kg/120cc/3cc/hexo)</t>
        </is>
      </c>
    </row>
    <row r="470">
      <c r="A470" s="2" t="n">
        <v>3636961</v>
      </c>
      <c r="B470" s="2" t="inlineStr">
        <is>
          <t>40</t>
        </is>
      </c>
      <c r="C470" s="2" t="inlineStr">
        <is>
          <t>F</t>
        </is>
      </c>
      <c r="D470" s="2" t="inlineStr">
        <is>
          <t>100.0</t>
        </is>
      </c>
      <c r="E470" s="4">
        <f>HYPERLINK("./Results/DLO\1429\Osteo_Sarco_1.png","RPT")</f>
        <v/>
      </c>
      <c r="F470" s="2" t="n">
        <v>124</v>
      </c>
      <c r="G470" s="6" t="n">
        <v>8</v>
      </c>
      <c r="H470" t="n">
        <v>25.73</v>
      </c>
      <c r="L470" t="inlineStr">
        <is>
          <t>SOMATOM Definition...</t>
        </is>
      </c>
      <c r="M470" t="inlineStr">
        <is>
          <t>Pre 3mm</t>
        </is>
      </c>
    </row>
    <row r="471">
      <c r="A471" s="2" t="n">
        <v>1797729</v>
      </c>
      <c r="B471" s="2" t="inlineStr">
        <is>
          <t>59</t>
        </is>
      </c>
      <c r="C471" s="2" t="inlineStr">
        <is>
          <t>F</t>
        </is>
      </c>
      <c r="D471" s="2" t="inlineStr">
        <is>
          <t>100.0</t>
        </is>
      </c>
      <c r="E471" s="4">
        <f>HYPERLINK("./Results/DLO\143\Osteo_Sarco_1.png","RPT")</f>
        <v/>
      </c>
      <c r="F471" s="2" t="n">
        <v>70</v>
      </c>
      <c r="G471" s="6" t="n">
        <v>9</v>
      </c>
      <c r="I471" s="0" t="n"/>
      <c r="J471" s="0" t="n"/>
      <c r="K471" s="0" t="n"/>
      <c r="L471" t="inlineStr">
        <is>
          <t>Revolution EVO</t>
        </is>
      </c>
      <c r="M471" t="inlineStr">
        <is>
          <t>PRE</t>
        </is>
      </c>
    </row>
    <row r="472">
      <c r="A472" s="2" t="n">
        <v>1937927</v>
      </c>
      <c r="B472" s="2" t="inlineStr">
        <is>
          <t>62</t>
        </is>
      </c>
      <c r="C472" s="2" t="inlineStr">
        <is>
          <t>F</t>
        </is>
      </c>
      <c r="D472" s="2" t="inlineStr">
        <is>
          <t>120.0</t>
        </is>
      </c>
      <c r="E472" s="4">
        <f>HYPERLINK("./Results/DLO\1430\Osteo_Sarco_1.png","RPT")</f>
        <v/>
      </c>
      <c r="F472" s="2" t="n">
        <v>116</v>
      </c>
      <c r="G472" s="6" t="n">
        <v>7</v>
      </c>
      <c r="I472" s="0" t="n"/>
      <c r="J472" s="0" t="n"/>
      <c r="K472" s="0" t="n"/>
      <c r="L472" t="inlineStr">
        <is>
          <t>LightSpeed VCT</t>
        </is>
      </c>
      <c r="M472" t="inlineStr">
        <is>
          <t>LAP 18sec 3mm</t>
        </is>
      </c>
    </row>
    <row r="473">
      <c r="A473" s="2" t="n">
        <v>2135231</v>
      </c>
      <c r="B473" s="2" t="inlineStr">
        <is>
          <t>65</t>
        </is>
      </c>
      <c r="C473" s="2" t="inlineStr">
        <is>
          <t>M</t>
        </is>
      </c>
      <c r="D473" s="2" t="inlineStr">
        <is>
          <t>120.0</t>
        </is>
      </c>
      <c r="E473" s="4">
        <f>HYPERLINK("./Results/DLO\1431\Osteo_Sarco_1.png","RPT")</f>
        <v/>
      </c>
      <c r="F473" s="2" t="n">
        <v>160</v>
      </c>
      <c r="G473" s="6" t="n">
        <v>10</v>
      </c>
      <c r="H473" t="n">
        <v>24.32</v>
      </c>
      <c r="L473" t="inlineStr">
        <is>
          <t>Discovery CT750 HD</t>
        </is>
      </c>
      <c r="M473" t="inlineStr">
        <is>
          <t>HVP 3mm</t>
        </is>
      </c>
    </row>
    <row r="474">
      <c r="A474" s="2" t="n">
        <v>2957628</v>
      </c>
      <c r="B474" s="2" t="inlineStr">
        <is>
          <t>69</t>
        </is>
      </c>
      <c r="C474" s="2" t="inlineStr">
        <is>
          <t>M</t>
        </is>
      </c>
      <c r="D474" s="2" t="inlineStr">
        <is>
          <t>120.0</t>
        </is>
      </c>
      <c r="E474" s="4">
        <f>HYPERLINK("./Results/DLO\1432\Osteo_Sarco_1.png","RPT")</f>
        <v/>
      </c>
      <c r="F474" s="2" t="n">
        <v>129</v>
      </c>
      <c r="G474" s="6" t="n">
        <v>6</v>
      </c>
      <c r="H474" t="n">
        <v>25.39</v>
      </c>
      <c r="L474" t="inlineStr">
        <is>
          <t>LightSpeed VCT</t>
        </is>
      </c>
      <c r="M474" t="inlineStr">
        <is>
          <t>HVP 3mm</t>
        </is>
      </c>
    </row>
    <row r="475">
      <c r="A475" s="2" t="n">
        <v>4208285</v>
      </c>
      <c r="B475" s="2" t="inlineStr">
        <is>
          <t>75</t>
        </is>
      </c>
      <c r="C475" s="2" t="inlineStr">
        <is>
          <t>M</t>
        </is>
      </c>
      <c r="D475" s="2" t="inlineStr">
        <is>
          <t>100.0</t>
        </is>
      </c>
      <c r="E475" s="4">
        <f>HYPERLINK("./Results/DLO\1433\Osteo_Sarco_1.png","RPT")</f>
        <v/>
      </c>
      <c r="F475" s="2" t="n">
        <v>111</v>
      </c>
      <c r="G475" s="6" t="n">
        <v>11</v>
      </c>
      <c r="H475" t="n">
        <v>20.45</v>
      </c>
      <c r="L475" t="inlineStr">
        <is>
          <t>Revolution CT</t>
        </is>
      </c>
      <c r="M475" t="inlineStr">
        <is>
          <t>LAP 3mm(60kg/120cc/3.0cc/xene...</t>
        </is>
      </c>
    </row>
    <row r="476">
      <c r="A476" s="2" t="n">
        <v>4606379</v>
      </c>
      <c r="B476" s="2" t="inlineStr">
        <is>
          <t>74</t>
        </is>
      </c>
      <c r="C476" s="2" t="inlineStr">
        <is>
          <t>F</t>
        </is>
      </c>
      <c r="D476" s="2" t="inlineStr">
        <is>
          <t>100.0</t>
        </is>
      </c>
      <c r="E476" s="4">
        <f>HYPERLINK("./Results/DLO\1434\Osteo_Sarco_1.png","RPT")</f>
        <v/>
      </c>
      <c r="F476" s="2" t="n">
        <v>78</v>
      </c>
      <c r="G476" s="6" t="n">
        <v>9</v>
      </c>
      <c r="H476" t="n">
        <v>24.86</v>
      </c>
      <c r="L476" t="inlineStr">
        <is>
          <t>Discovery CT750 HD</t>
        </is>
      </c>
      <c r="M476" t="inlineStr">
        <is>
          <t>UP 2.5mm(ASIR30%)</t>
        </is>
      </c>
    </row>
    <row r="477">
      <c r="A477" s="2" t="n">
        <v>3948347</v>
      </c>
      <c r="B477" s="2" t="inlineStr">
        <is>
          <t>27</t>
        </is>
      </c>
      <c r="C477" s="2" t="inlineStr">
        <is>
          <t>M</t>
        </is>
      </c>
      <c r="D477" s="2" t="inlineStr">
        <is>
          <t>100.0</t>
        </is>
      </c>
      <c r="E477" s="4">
        <f>HYPERLINK("./Results/DLO\1435\Osteo_Sarco_1.png","RPT")</f>
        <v/>
      </c>
      <c r="F477" s="2" t="n">
        <v>169</v>
      </c>
      <c r="G477" s="6" t="n">
        <v>16</v>
      </c>
      <c r="I477" s="0" t="n"/>
      <c r="J477" s="0" t="n"/>
      <c r="K477" s="0" t="n"/>
      <c r="L477" t="inlineStr">
        <is>
          <t>SOMATOM Definition...</t>
        </is>
      </c>
      <c r="M477" t="inlineStr">
        <is>
          <t>HVP 2 3mm(98Kg/150ml/3ml/he...</t>
        </is>
      </c>
    </row>
    <row r="478">
      <c r="A478" s="2" t="n">
        <v>3234873</v>
      </c>
      <c r="B478" s="2" t="inlineStr">
        <is>
          <t>45</t>
        </is>
      </c>
      <c r="C478" s="2" t="inlineStr">
        <is>
          <t>M</t>
        </is>
      </c>
      <c r="D478" s="2" t="inlineStr">
        <is>
          <t>120.0</t>
        </is>
      </c>
      <c r="E478" s="4">
        <f>HYPERLINK("./Results/DLO\1436\Osteo_Sarco_1.png","RPT")</f>
        <v/>
      </c>
      <c r="F478" s="2" t="n">
        <v>184</v>
      </c>
      <c r="G478" s="6" t="n">
        <v>9</v>
      </c>
      <c r="I478" s="0" t="n"/>
      <c r="J478" s="0" t="n"/>
      <c r="K478" s="0" t="n"/>
      <c r="L478" t="inlineStr">
        <is>
          <t>Discovery CT750 HD</t>
        </is>
      </c>
      <c r="M478" t="inlineStr">
        <is>
          <t>HVP 3mm</t>
        </is>
      </c>
    </row>
    <row r="479">
      <c r="A479" s="2" t="n">
        <v>2409504</v>
      </c>
      <c r="B479" s="2" t="inlineStr">
        <is>
          <t>58</t>
        </is>
      </c>
      <c r="C479" s="2" t="inlineStr">
        <is>
          <t>F</t>
        </is>
      </c>
      <c r="D479" s="2" t="inlineStr">
        <is>
          <t>100.0</t>
        </is>
      </c>
      <c r="E479" s="4">
        <f>HYPERLINK("./Results/DLO\1437\Osteo_Sarco_1.png","RPT")</f>
        <v/>
      </c>
      <c r="F479" s="2" t="n">
        <v>122</v>
      </c>
      <c r="G479" s="6" t="n">
        <v>20</v>
      </c>
      <c r="I479" s="0" t="n"/>
      <c r="J479" s="0" t="n"/>
      <c r="K479" s="0" t="n"/>
      <c r="L479" t="inlineStr">
        <is>
          <t>SOMATOM Force</t>
        </is>
      </c>
      <c r="M479" t="inlineStr">
        <is>
          <t>LAP 3.0 Br40 1 (63kg/126kg...</t>
        </is>
      </c>
    </row>
    <row r="480">
      <c r="A480" s="2" t="n">
        <v>2955534</v>
      </c>
      <c r="B480" s="2" t="inlineStr">
        <is>
          <t>69</t>
        </is>
      </c>
      <c r="C480" s="2" t="inlineStr">
        <is>
          <t>M</t>
        </is>
      </c>
      <c r="D480" s="2" t="inlineStr">
        <is>
          <t>100.0</t>
        </is>
      </c>
      <c r="E480" s="4">
        <f>HYPERLINK("./Results/DLO\1438\Osteo_Sarco_1.png","RPT")</f>
        <v/>
      </c>
      <c r="F480" s="2" t="n">
        <v>128</v>
      </c>
      <c r="G480" s="6" t="n">
        <v>14</v>
      </c>
      <c r="I480" s="0" t="n"/>
      <c r="J480" s="0" t="n"/>
      <c r="K480" s="0" t="n"/>
      <c r="L480" t="inlineStr">
        <is>
          <t>SOMATOM Definition...</t>
        </is>
      </c>
      <c r="M480" t="inlineStr">
        <is>
          <t>Pre 3mm</t>
        </is>
      </c>
    </row>
    <row r="481">
      <c r="A481" s="2" t="n">
        <v>2809817</v>
      </c>
      <c r="B481" s="2" t="inlineStr">
        <is>
          <t>52</t>
        </is>
      </c>
      <c r="C481" s="2" t="inlineStr">
        <is>
          <t>F</t>
        </is>
      </c>
      <c r="D481" s="2" t="inlineStr">
        <is>
          <t>100.0</t>
        </is>
      </c>
      <c r="E481" s="4">
        <f>HYPERLINK("./Results/DLO\1439\Osteo_Sarco_1.png","RPT")</f>
        <v/>
      </c>
      <c r="F481" s="2" t="n">
        <v>108</v>
      </c>
      <c r="G481" s="6" t="n">
        <v>5</v>
      </c>
      <c r="I481" s="0" t="n"/>
      <c r="J481" s="0" t="n"/>
      <c r="K481" s="0" t="n"/>
      <c r="L481" t="inlineStr">
        <is>
          <t>Revolution CT</t>
        </is>
      </c>
      <c r="M481" t="inlineStr">
        <is>
          <t>HVP 3mm-pacs(52kg/104cc/3cc/xen)</t>
        </is>
      </c>
    </row>
    <row r="482">
      <c r="A482" s="2" t="n">
        <v>529714</v>
      </c>
      <c r="B482" s="2" t="inlineStr">
        <is>
          <t>31</t>
        </is>
      </c>
      <c r="C482" s="2" t="inlineStr">
        <is>
          <t>F</t>
        </is>
      </c>
      <c r="D482" s="2" t="inlineStr">
        <is>
          <t>100.0</t>
        </is>
      </c>
      <c r="E482" s="4">
        <f>HYPERLINK("./Results/DLO\144\Osteo_Sarco_1.png","RPT")</f>
        <v/>
      </c>
      <c r="F482" s="2" t="n">
        <v>139</v>
      </c>
      <c r="G482" s="6" t="n">
        <v>11</v>
      </c>
      <c r="I482" s="0" t="n"/>
      <c r="J482" s="0" t="n"/>
      <c r="K482" s="0" t="n"/>
      <c r="L482" t="inlineStr">
        <is>
          <t>Revolution EVO</t>
        </is>
      </c>
      <c r="M482" t="inlineStr">
        <is>
          <t>PRE</t>
        </is>
      </c>
    </row>
    <row r="483">
      <c r="A483" s="2" t="n">
        <v>2345209</v>
      </c>
      <c r="B483" s="2" t="inlineStr">
        <is>
          <t>36</t>
        </is>
      </c>
      <c r="C483" s="2" t="inlineStr">
        <is>
          <t>F</t>
        </is>
      </c>
      <c r="D483" s="2" t="inlineStr">
        <is>
          <t>100.0</t>
        </is>
      </c>
      <c r="E483" s="4">
        <f>HYPERLINK("./Results/DLO\1440\Osteo_Sarco_1.png","RPT")</f>
        <v/>
      </c>
      <c r="F483" s="2" t="n">
        <v>80</v>
      </c>
      <c r="G483" s="6" t="n">
        <v>5</v>
      </c>
      <c r="I483" s="0" t="n"/>
      <c r="J483" s="0" t="n"/>
      <c r="K483" s="0" t="n"/>
      <c r="L483" t="inlineStr">
        <is>
          <t>Sensation 64</t>
        </is>
      </c>
      <c r="M483" t="inlineStr">
        <is>
          <t>CE 3mm 51kg/102cc/2cc/xene</t>
        </is>
      </c>
    </row>
    <row r="484">
      <c r="A484" s="2" t="n">
        <v>2284149</v>
      </c>
      <c r="B484" s="2" t="inlineStr">
        <is>
          <t>66</t>
        </is>
      </c>
      <c r="C484" s="2" t="inlineStr">
        <is>
          <t>M</t>
        </is>
      </c>
      <c r="D484" s="2" t="inlineStr">
        <is>
          <t>100.0</t>
        </is>
      </c>
      <c r="E484" s="4">
        <f>HYPERLINK("./Results/DLO\1441\Osteo_Sarco_1.png","RPT")</f>
        <v/>
      </c>
      <c r="F484" s="2" t="n">
        <v>143</v>
      </c>
      <c r="G484" s="6" t="n">
        <v>12</v>
      </c>
      <c r="H484" t="n">
        <v>24.17</v>
      </c>
      <c r="L484" t="inlineStr">
        <is>
          <t>Revolution CT</t>
        </is>
      </c>
      <c r="M484" t="inlineStr">
        <is>
          <t>GU Pre 3mm pacs</t>
        </is>
      </c>
    </row>
    <row r="485">
      <c r="A485" s="2" t="n">
        <v>2579552</v>
      </c>
      <c r="B485" s="2" t="inlineStr">
        <is>
          <t>71</t>
        </is>
      </c>
      <c r="C485" s="2" t="inlineStr">
        <is>
          <t>F</t>
        </is>
      </c>
      <c r="D485" s="2" t="inlineStr">
        <is>
          <t>100.0</t>
        </is>
      </c>
      <c r="E485" s="4">
        <f>HYPERLINK("./Results/DLO\1442\Osteo_Sarco_1.png","RPT")</f>
        <v/>
      </c>
      <c r="F485" s="2" t="n">
        <v>128</v>
      </c>
      <c r="G485" s="6" t="n">
        <v>37</v>
      </c>
      <c r="H485" t="n">
        <v>30.15</v>
      </c>
      <c r="L485" t="inlineStr">
        <is>
          <t>SOMATOM Definition...</t>
        </is>
      </c>
      <c r="M485" t="inlineStr">
        <is>
          <t>Pre 3mm</t>
        </is>
      </c>
    </row>
    <row r="486">
      <c r="A486" s="2" t="n">
        <v>2967902</v>
      </c>
      <c r="B486" s="2" t="inlineStr">
        <is>
          <t>59</t>
        </is>
      </c>
      <c r="C486" s="2" t="inlineStr">
        <is>
          <t>F</t>
        </is>
      </c>
      <c r="D486" s="2" t="inlineStr">
        <is>
          <t>100.0</t>
        </is>
      </c>
      <c r="E486" s="4">
        <f>HYPERLINK("./Results/DLO\1443\Osteo_Sarco_1.png","RPT")</f>
        <v/>
      </c>
      <c r="F486" s="2" t="n">
        <v>117</v>
      </c>
      <c r="G486" s="6" t="n">
        <v>9</v>
      </c>
      <c r="I486" s="0" t="n"/>
      <c r="J486" s="0" t="n"/>
      <c r="K486" s="0" t="n"/>
      <c r="L486" t="inlineStr">
        <is>
          <t>LightSpeed VCT</t>
        </is>
      </c>
      <c r="M486" t="inlineStr">
        <is>
          <t>PRE</t>
        </is>
      </c>
    </row>
    <row r="487">
      <c r="A487" s="2" t="n">
        <v>2809338</v>
      </c>
      <c r="B487" s="2" t="inlineStr">
        <is>
          <t>85</t>
        </is>
      </c>
      <c r="C487" s="2" t="inlineStr">
        <is>
          <t>M</t>
        </is>
      </c>
      <c r="D487" s="2" t="inlineStr">
        <is>
          <t>100.0</t>
        </is>
      </c>
      <c r="E487" s="4">
        <f>HYPERLINK("./Results/DLO\1444\Osteo_Sarco_1.png","RPT")</f>
        <v/>
      </c>
      <c r="F487" s="2" t="n">
        <v>133</v>
      </c>
      <c r="G487" s="6" t="n">
        <v>11</v>
      </c>
      <c r="H487" t="n">
        <v>25.83</v>
      </c>
      <c r="L487" t="inlineStr">
        <is>
          <t>Discovery CT750 HD</t>
        </is>
      </c>
      <c r="M487" t="inlineStr">
        <is>
          <t>UP 2.5mm(ASIR30%)</t>
        </is>
      </c>
    </row>
    <row r="488">
      <c r="A488" s="2" t="n">
        <v>3038694</v>
      </c>
      <c r="B488" s="2" t="inlineStr">
        <is>
          <t>56</t>
        </is>
      </c>
      <c r="C488" s="2" t="inlineStr">
        <is>
          <t>M</t>
        </is>
      </c>
      <c r="D488" s="2" t="inlineStr">
        <is>
          <t>120.0</t>
        </is>
      </c>
      <c r="E488" s="4">
        <f>HYPERLINK("./Results/DLO\1445\Osteo_Sarco_1.png","RPT")</f>
        <v/>
      </c>
      <c r="F488" s="2" t="n">
        <v>163</v>
      </c>
      <c r="G488" s="6" t="n">
        <v>8</v>
      </c>
      <c r="I488" s="0" t="n"/>
      <c r="J488" s="0" t="n"/>
      <c r="K488" s="0" t="n"/>
      <c r="L488" t="inlineStr">
        <is>
          <t>iCT 256</t>
        </is>
      </c>
      <c r="M488" t="inlineStr">
        <is>
          <t>HVP 3/3mm, iDose (3)</t>
        </is>
      </c>
    </row>
    <row r="489">
      <c r="A489" s="2" t="n">
        <v>2429840</v>
      </c>
      <c r="B489" s="2" t="inlineStr">
        <is>
          <t>71</t>
        </is>
      </c>
      <c r="C489" s="2" t="inlineStr">
        <is>
          <t>M</t>
        </is>
      </c>
      <c r="D489" s="2" t="inlineStr">
        <is>
          <t>100.0</t>
        </is>
      </c>
      <c r="E489" s="4">
        <f>HYPERLINK("./Results/DLO\1446\Osteo_Sarco_1.png","RPT")</f>
        <v/>
      </c>
      <c r="F489" s="2" t="n">
        <v>129</v>
      </c>
      <c r="G489" s="6" t="n">
        <v>13</v>
      </c>
      <c r="I489" s="0" t="n"/>
      <c r="J489" s="0" t="n"/>
      <c r="K489" s="0" t="n"/>
      <c r="L489" t="inlineStr">
        <is>
          <t>SOMATOM Definition...</t>
        </is>
      </c>
      <c r="M489" t="inlineStr">
        <is>
          <t>HVP 2 3mm (68kg/136cc/3cc/ul...</t>
        </is>
      </c>
    </row>
    <row r="490">
      <c r="A490" s="2" t="n">
        <v>2103924</v>
      </c>
      <c r="B490" s="2" t="inlineStr">
        <is>
          <t>60</t>
        </is>
      </c>
      <c r="C490" s="2" t="inlineStr">
        <is>
          <t>M</t>
        </is>
      </c>
      <c r="D490" s="2" t="inlineStr">
        <is>
          <t>120.0</t>
        </is>
      </c>
      <c r="E490" s="4">
        <f>HYPERLINK("./Results/DLO\1447\Osteo_Sarco_1.png","RPT")</f>
        <v/>
      </c>
      <c r="F490" s="2" t="n">
        <v>189</v>
      </c>
      <c r="G490" s="6" t="n">
        <v>13</v>
      </c>
      <c r="I490" s="0" t="n"/>
      <c r="J490" s="0" t="n"/>
      <c r="K490" s="0" t="n"/>
      <c r="L490" t="inlineStr">
        <is>
          <t>LightSpeed VCT</t>
        </is>
      </c>
      <c r="M490" t="inlineStr">
        <is>
          <t>HVP 3mm</t>
        </is>
      </c>
    </row>
    <row r="491">
      <c r="A491" s="2" t="n">
        <v>4507734</v>
      </c>
      <c r="B491" s="2" t="inlineStr">
        <is>
          <t>72</t>
        </is>
      </c>
      <c r="C491" s="2" t="inlineStr">
        <is>
          <t>M</t>
        </is>
      </c>
      <c r="D491" s="2" t="inlineStr">
        <is>
          <t>100.0</t>
        </is>
      </c>
      <c r="E491" s="4">
        <f>HYPERLINK("./Results/DLO\1448\Osteo_Sarco_1.png","RPT")</f>
        <v/>
      </c>
      <c r="F491" s="2" t="n">
        <v>141</v>
      </c>
      <c r="G491" s="6" t="n">
        <v>6</v>
      </c>
      <c r="H491" t="n">
        <v>21.92</v>
      </c>
      <c r="L491" t="inlineStr">
        <is>
          <t>SOMATOM Definition...</t>
        </is>
      </c>
      <c r="M491" t="inlineStr">
        <is>
          <t>HVP 2 3mm (66kg/132cc/3cc/omni</t>
        </is>
      </c>
    </row>
    <row r="492">
      <c r="A492" s="2" t="n">
        <v>3568114</v>
      </c>
      <c r="B492" s="2" t="inlineStr">
        <is>
          <t>68</t>
        </is>
      </c>
      <c r="C492" s="2" t="inlineStr">
        <is>
          <t>M</t>
        </is>
      </c>
      <c r="D492" s="2" t="inlineStr">
        <is>
          <t>100.0</t>
        </is>
      </c>
      <c r="E492" s="4">
        <f>HYPERLINK("./Results/DLO\1449\Osteo_Sarco_1.png","RPT")</f>
        <v/>
      </c>
      <c r="F492" s="2" t="n">
        <v>123</v>
      </c>
      <c r="G492" s="6" t="n">
        <v>8</v>
      </c>
      <c r="I492" s="0" t="n"/>
      <c r="J492" s="0" t="n"/>
      <c r="K492" s="0" t="n"/>
      <c r="L492" t="inlineStr">
        <is>
          <t>SOMATOM Force</t>
        </is>
      </c>
      <c r="M492" t="inlineStr">
        <is>
          <t>HVP 3.0 Br40 2 (64kg/128cc...</t>
        </is>
      </c>
    </row>
    <row r="493">
      <c r="A493" s="2" t="n">
        <v>3248387</v>
      </c>
      <c r="B493" s="2" t="inlineStr">
        <is>
          <t>47</t>
        </is>
      </c>
      <c r="C493" s="2" t="inlineStr">
        <is>
          <t>F</t>
        </is>
      </c>
      <c r="D493" s="2" t="inlineStr">
        <is>
          <t>120.0</t>
        </is>
      </c>
      <c r="E493" s="4">
        <f>HYPERLINK("./Results/DLO\145\Osteo_Sarco_1.png","RPT")</f>
        <v/>
      </c>
      <c r="F493" s="2" t="n">
        <v>84</v>
      </c>
      <c r="G493" s="6" t="n">
        <v>18</v>
      </c>
      <c r="I493" s="0" t="n"/>
      <c r="J493" s="0" t="n"/>
      <c r="K493" s="0" t="n"/>
      <c r="L493" t="inlineStr">
        <is>
          <t>Sensation Open</t>
        </is>
      </c>
      <c r="M493" t="inlineStr">
        <is>
          <t>Pelvis 3.0 B31s</t>
        </is>
      </c>
    </row>
    <row r="494">
      <c r="A494" s="2" t="n">
        <v>3842158</v>
      </c>
      <c r="B494" s="2" t="inlineStr">
        <is>
          <t>52</t>
        </is>
      </c>
      <c r="C494" s="2" t="inlineStr">
        <is>
          <t>F</t>
        </is>
      </c>
      <c r="D494" s="2" t="inlineStr">
        <is>
          <t>100.0</t>
        </is>
      </c>
      <c r="E494" s="4">
        <f>HYPERLINK("./Results/DLO\1450\Osteo_Sarco_1.png","RPT")</f>
        <v/>
      </c>
      <c r="F494" s="2" t="n">
        <v>105</v>
      </c>
      <c r="G494" s="6" t="n">
        <v>7</v>
      </c>
      <c r="I494" s="0" t="n"/>
      <c r="J494" s="0" t="n"/>
      <c r="K494" s="0" t="n"/>
      <c r="L494" t="inlineStr">
        <is>
          <t>Revolution CT</t>
        </is>
      </c>
      <c r="M494" t="inlineStr">
        <is>
          <t>Pre Axial 3mm</t>
        </is>
      </c>
    </row>
    <row r="495">
      <c r="A495" s="2" t="n">
        <v>1723066</v>
      </c>
      <c r="B495" s="2" t="inlineStr">
        <is>
          <t>66</t>
        </is>
      </c>
      <c r="C495" s="2" t="inlineStr">
        <is>
          <t>M</t>
        </is>
      </c>
      <c r="D495" s="2" t="inlineStr">
        <is>
          <t>100.0</t>
        </is>
      </c>
      <c r="E495" s="4">
        <f>HYPERLINK("./Results/DLO\1451\Osteo_Sarco_1.png","RPT")</f>
        <v/>
      </c>
      <c r="F495" s="2" t="n">
        <v>163</v>
      </c>
      <c r="G495" s="6" t="n">
        <v>7</v>
      </c>
      <c r="I495" s="0" t="n"/>
      <c r="J495" s="0" t="n"/>
      <c r="K495" s="0" t="n"/>
      <c r="L495" t="inlineStr">
        <is>
          <t>SOMATOM Definition...</t>
        </is>
      </c>
      <c r="M495" t="inlineStr">
        <is>
          <t>Pre 3mm</t>
        </is>
      </c>
    </row>
    <row r="496">
      <c r="A496" s="2" t="n">
        <v>2104617</v>
      </c>
      <c r="B496" s="2" t="inlineStr">
        <is>
          <t>66</t>
        </is>
      </c>
      <c r="C496" s="2" t="inlineStr">
        <is>
          <t>F</t>
        </is>
      </c>
      <c r="D496" s="2" t="inlineStr">
        <is>
          <t>100.0</t>
        </is>
      </c>
      <c r="E496" s="4">
        <f>HYPERLINK("./Results/DLO\1452\Osteo_Sarco_1.png","RPT")</f>
        <v/>
      </c>
      <c r="F496" s="2" t="n">
        <v>84</v>
      </c>
      <c r="G496" s="6" t="n">
        <v>16</v>
      </c>
      <c r="I496" s="0" t="n"/>
      <c r="J496" s="0" t="n"/>
      <c r="K496" s="0" t="n"/>
      <c r="L496" t="inlineStr">
        <is>
          <t>SOMATOM Definition...</t>
        </is>
      </c>
      <c r="M496" t="inlineStr">
        <is>
          <t>Pre 3mm</t>
        </is>
      </c>
    </row>
    <row r="497">
      <c r="A497" s="2" t="n">
        <v>2752172</v>
      </c>
      <c r="B497" s="2" t="inlineStr">
        <is>
          <t>66</t>
        </is>
      </c>
      <c r="C497" s="2" t="inlineStr">
        <is>
          <t>M</t>
        </is>
      </c>
      <c r="D497" s="2" t="inlineStr">
        <is>
          <t>100.0</t>
        </is>
      </c>
      <c r="E497" s="4">
        <f>HYPERLINK("./Results/DLO\1453\Osteo_Sarco_1.png","RPT")</f>
        <v/>
      </c>
      <c r="F497" s="2" t="n">
        <v>123</v>
      </c>
      <c r="G497" s="6" t="n">
        <v>5</v>
      </c>
      <c r="H497" t="n">
        <v>19.43</v>
      </c>
      <c r="L497" t="inlineStr">
        <is>
          <t>Revolution CT</t>
        </is>
      </c>
      <c r="M497" t="inlineStr">
        <is>
          <t>HVP 3mm(52kg/104cc/3cc/bono)</t>
        </is>
      </c>
    </row>
    <row r="498">
      <c r="A498" s="2" t="n">
        <v>4172609</v>
      </c>
      <c r="B498" s="2" t="inlineStr">
        <is>
          <t>53</t>
        </is>
      </c>
      <c r="C498" s="2" t="inlineStr">
        <is>
          <t>F</t>
        </is>
      </c>
      <c r="D498" s="2" t="inlineStr">
        <is>
          <t>100.0</t>
        </is>
      </c>
      <c r="E498" s="4">
        <f>HYPERLINK("./Results/DLO\1454\Osteo_Sarco_1.png","RPT")</f>
        <v/>
      </c>
      <c r="F498" s="2" t="n">
        <v>114</v>
      </c>
      <c r="G498" s="6" t="n">
        <v>19</v>
      </c>
      <c r="I498" s="0" t="n"/>
      <c r="J498" s="0" t="n"/>
      <c r="K498" s="0" t="n"/>
      <c r="L498" t="inlineStr">
        <is>
          <t>SOMATOM Force</t>
        </is>
      </c>
      <c r="M498" t="inlineStr">
        <is>
          <t>LAP 3.0 Br40 2 (45kg/90cc/...</t>
        </is>
      </c>
    </row>
    <row r="499">
      <c r="A499" s="2" t="n">
        <v>4774797</v>
      </c>
      <c r="B499" s="2" t="inlineStr">
        <is>
          <t>42</t>
        </is>
      </c>
      <c r="C499" s="2" t="inlineStr">
        <is>
          <t>F</t>
        </is>
      </c>
      <c r="D499" s="2" t="inlineStr">
        <is>
          <t>100.0</t>
        </is>
      </c>
      <c r="E499" s="4">
        <f>HYPERLINK("./Results/DLO\1455\Osteo_Sarco_1.png","RPT")</f>
        <v/>
      </c>
      <c r="F499" s="2" t="n">
        <v>90</v>
      </c>
      <c r="G499" s="6" t="n">
        <v>7</v>
      </c>
      <c r="I499" s="0" t="n"/>
      <c r="J499" s="0" t="n"/>
      <c r="K499" s="0" t="n"/>
      <c r="L499" t="inlineStr">
        <is>
          <t>LightSpeed VCT</t>
        </is>
      </c>
      <c r="M499" t="inlineStr">
        <is>
          <t>PRE 3mm</t>
        </is>
      </c>
    </row>
    <row r="500">
      <c r="A500" s="2" t="n">
        <v>4941443</v>
      </c>
      <c r="B500" s="2" t="inlineStr">
        <is>
          <t>57</t>
        </is>
      </c>
      <c r="C500" s="2" t="inlineStr">
        <is>
          <t>M</t>
        </is>
      </c>
      <c r="D500" s="2" t="inlineStr">
        <is>
          <t>100.0</t>
        </is>
      </c>
      <c r="E500" s="4">
        <f>HYPERLINK("./Results/DLO\1456\Osteo_Sarco_1.png","RPT")</f>
        <v/>
      </c>
      <c r="F500" s="2" t="n">
        <v>142</v>
      </c>
      <c r="G500" s="6" t="n">
        <v>8</v>
      </c>
      <c r="I500" s="0" t="n"/>
      <c r="J500" s="0" t="n"/>
      <c r="K500" s="0" t="n"/>
      <c r="L500" t="inlineStr">
        <is>
          <t>SOMATOM Definition...</t>
        </is>
      </c>
      <c r="M500" t="inlineStr">
        <is>
          <t>HVP 2 3mm(75kg/ 150cc/ 3cc/...</t>
        </is>
      </c>
    </row>
    <row r="501">
      <c r="A501" s="2" t="n">
        <v>2568481</v>
      </c>
      <c r="B501" s="2" t="inlineStr">
        <is>
          <t>80</t>
        </is>
      </c>
      <c r="C501" s="2" t="inlineStr">
        <is>
          <t>M</t>
        </is>
      </c>
      <c r="D501" s="2" t="inlineStr">
        <is>
          <t>100.0</t>
        </is>
      </c>
      <c r="E501" s="4">
        <f>HYPERLINK("./Results/DLO\1457\Osteo_Sarco_1.png","RPT")</f>
        <v/>
      </c>
      <c r="F501" s="2" t="n">
        <v>124</v>
      </c>
      <c r="G501" s="6" t="n">
        <v>9</v>
      </c>
      <c r="H501" t="n">
        <v>18.25</v>
      </c>
      <c r="L501" t="inlineStr">
        <is>
          <t>Revolution CT</t>
        </is>
      </c>
      <c r="M501" t="inlineStr">
        <is>
          <t>PRE 3mm</t>
        </is>
      </c>
    </row>
    <row r="502">
      <c r="A502" s="2" t="n">
        <v>4801637</v>
      </c>
      <c r="B502" s="2" t="inlineStr">
        <is>
          <t>43</t>
        </is>
      </c>
      <c r="C502" s="2" t="inlineStr">
        <is>
          <t>M</t>
        </is>
      </c>
      <c r="D502" s="2" t="inlineStr">
        <is>
          <t>100.0</t>
        </is>
      </c>
      <c r="E502" s="4">
        <f>HYPERLINK("./Results/DLO\1458\Osteo_Sarco_1.png","RPT")</f>
        <v/>
      </c>
      <c r="F502" s="2" t="n">
        <v>179</v>
      </c>
      <c r="G502" s="6" t="n">
        <v>21</v>
      </c>
      <c r="I502" s="0" t="n"/>
      <c r="J502" s="0" t="n"/>
      <c r="K502" s="0" t="n"/>
      <c r="L502" t="inlineStr">
        <is>
          <t>SOMATOM Definition...</t>
        </is>
      </c>
      <c r="M502" t="inlineStr">
        <is>
          <t>Pre(Abd) 3mm</t>
        </is>
      </c>
    </row>
    <row r="503">
      <c r="A503" s="2" t="n">
        <v>4215662</v>
      </c>
      <c r="B503" s="2" t="inlineStr">
        <is>
          <t>49</t>
        </is>
      </c>
      <c r="C503" s="2" t="inlineStr">
        <is>
          <t>F</t>
        </is>
      </c>
      <c r="D503" s="2" t="inlineStr">
        <is>
          <t>120.0</t>
        </is>
      </c>
      <c r="E503" s="4">
        <f>HYPERLINK("./Results/DLO\1459\Osteo_Sarco_1.png","RPT")</f>
        <v/>
      </c>
      <c r="F503" s="2" t="n">
        <v>99</v>
      </c>
      <c r="G503" s="6" t="n">
        <v>9</v>
      </c>
      <c r="I503" s="0" t="n"/>
      <c r="J503" s="0" t="n"/>
      <c r="K503" s="0" t="n"/>
      <c r="L503" t="inlineStr">
        <is>
          <t>Revolution EVO</t>
        </is>
      </c>
      <c r="M503" t="inlineStr">
        <is>
          <t>HVP 3mm</t>
        </is>
      </c>
    </row>
    <row r="504">
      <c r="A504" s="2" t="n">
        <v>1546897</v>
      </c>
      <c r="B504" s="2" t="inlineStr">
        <is>
          <t>75</t>
        </is>
      </c>
      <c r="C504" s="2" t="inlineStr">
        <is>
          <t>F</t>
        </is>
      </c>
      <c r="D504" s="2" t="inlineStr">
        <is>
          <t>120.0</t>
        </is>
      </c>
      <c r="E504" s="4">
        <f>HYPERLINK("./Results/DLO\146\Osteo_Sarco_1.png","RPT")</f>
        <v/>
      </c>
      <c r="F504" s="2" t="n">
        <v>103</v>
      </c>
      <c r="G504" s="6" t="n">
        <v>9</v>
      </c>
      <c r="I504" s="0" t="n"/>
      <c r="J504" s="0" t="n"/>
      <c r="K504" s="0" t="n"/>
      <c r="L504" t="inlineStr">
        <is>
          <t>Revolution EVO</t>
        </is>
      </c>
      <c r="M504" t="inlineStr">
        <is>
          <t>HVP 3mm</t>
        </is>
      </c>
    </row>
    <row r="505">
      <c r="A505" s="2" t="n">
        <v>2582201</v>
      </c>
      <c r="B505" s="2" t="inlineStr">
        <is>
          <t>63</t>
        </is>
      </c>
      <c r="C505" s="2" t="inlineStr">
        <is>
          <t>M</t>
        </is>
      </c>
      <c r="D505" s="2" t="inlineStr">
        <is>
          <t>100.0</t>
        </is>
      </c>
      <c r="E505" s="4">
        <f>HYPERLINK("./Results/DLO\1460\Osteo_Sarco_1.png","RPT")</f>
        <v/>
      </c>
      <c r="F505" s="2" t="n">
        <v>120</v>
      </c>
      <c r="G505" s="6" t="n">
        <v>15</v>
      </c>
      <c r="H505" t="n">
        <v>22.24</v>
      </c>
      <c r="L505" t="inlineStr">
        <is>
          <t>Revolution EVO</t>
        </is>
      </c>
      <c r="M505" t="inlineStr">
        <is>
          <t>AX 3mm</t>
        </is>
      </c>
    </row>
    <row r="506">
      <c r="A506" s="2" t="n">
        <v>2212205</v>
      </c>
      <c r="B506" s="2" t="inlineStr">
        <is>
          <t>69</t>
        </is>
      </c>
      <c r="C506" s="2" t="inlineStr">
        <is>
          <t>M</t>
        </is>
      </c>
      <c r="D506" s="2" t="inlineStr">
        <is>
          <t>100.0</t>
        </is>
      </c>
      <c r="E506" s="4">
        <f>HYPERLINK("./Results/DLO\1461\Osteo_Sarco_1.png","RPT")</f>
        <v/>
      </c>
      <c r="F506" s="2" t="n">
        <v>99</v>
      </c>
      <c r="G506" s="6" t="n">
        <v>7</v>
      </c>
      <c r="H506" t="n">
        <v>21.39</v>
      </c>
      <c r="L506" t="inlineStr">
        <is>
          <t>SOMATOM Definition...</t>
        </is>
      </c>
      <c r="M506" t="inlineStr">
        <is>
          <t>HVP 2 3mm (56kg/112cc/2.7cc...</t>
        </is>
      </c>
    </row>
    <row r="507">
      <c r="A507" s="2" t="n">
        <v>4704182</v>
      </c>
      <c r="B507" s="2" t="inlineStr">
        <is>
          <t>51</t>
        </is>
      </c>
      <c r="C507" s="2" t="inlineStr">
        <is>
          <t>M</t>
        </is>
      </c>
      <c r="D507" s="2" t="inlineStr">
        <is>
          <t>120.0</t>
        </is>
      </c>
      <c r="E507" s="4">
        <f>HYPERLINK("./Results/DLO\1462\Osteo_Sarco_1.png","RPT")</f>
        <v/>
      </c>
      <c r="F507" s="2" t="n">
        <v>144</v>
      </c>
      <c r="G507" s="6" t="n">
        <v>5</v>
      </c>
      <c r="I507" s="0" t="n"/>
      <c r="J507" s="0" t="n"/>
      <c r="K507" s="0" t="n"/>
      <c r="L507" t="inlineStr">
        <is>
          <t>LightSpeed VCT</t>
        </is>
      </c>
      <c r="M507" t="inlineStr">
        <is>
          <t>HVP 55sec 3mm</t>
        </is>
      </c>
    </row>
    <row r="508">
      <c r="A508" s="2" t="n">
        <v>2914413</v>
      </c>
      <c r="B508" s="2" t="inlineStr">
        <is>
          <t>70</t>
        </is>
      </c>
      <c r="C508" s="2" t="inlineStr">
        <is>
          <t>M</t>
        </is>
      </c>
      <c r="D508" s="2" t="inlineStr">
        <is>
          <t>120.0</t>
        </is>
      </c>
      <c r="E508" s="4">
        <f>HYPERLINK("./Results/DLO\1463\Osteo_Sarco_1.png","RPT")</f>
        <v/>
      </c>
      <c r="F508" s="2" t="n">
        <v>153</v>
      </c>
      <c r="G508" s="6" t="n">
        <v>13</v>
      </c>
      <c r="H508" t="n">
        <v>24.61</v>
      </c>
      <c r="L508" t="inlineStr">
        <is>
          <t>LightSpeed VCT</t>
        </is>
      </c>
      <c r="M508" t="inlineStr">
        <is>
          <t>HVP 55sec 3mm</t>
        </is>
      </c>
    </row>
    <row r="509">
      <c r="A509" s="2" t="n">
        <v>2357972</v>
      </c>
      <c r="B509" s="2" t="inlineStr">
        <is>
          <t>71</t>
        </is>
      </c>
      <c r="C509" s="2" t="inlineStr">
        <is>
          <t>M</t>
        </is>
      </c>
      <c r="D509" s="2" t="inlineStr">
        <is>
          <t>100.0</t>
        </is>
      </c>
      <c r="E509" s="4">
        <f>HYPERLINK("./Results/DLO\1464\Osteo_Sarco_1.png","RPT")</f>
        <v/>
      </c>
      <c r="F509" s="2" t="n">
        <v>112</v>
      </c>
      <c r="G509" s="6" t="n">
        <v>9</v>
      </c>
      <c r="H509" t="n">
        <v>21.64</v>
      </c>
      <c r="L509" t="inlineStr">
        <is>
          <t>SOMATOM Definition...</t>
        </is>
      </c>
      <c r="M509" t="inlineStr">
        <is>
          <t>Pre 3mm</t>
        </is>
      </c>
    </row>
    <row r="510">
      <c r="A510" s="2" t="n">
        <v>3922159</v>
      </c>
      <c r="B510" s="2" t="inlineStr">
        <is>
          <t>70</t>
        </is>
      </c>
      <c r="C510" s="2" t="inlineStr">
        <is>
          <t>M</t>
        </is>
      </c>
      <c r="D510" s="2" t="inlineStr">
        <is>
          <t>120.0</t>
        </is>
      </c>
      <c r="E510" s="4">
        <f>HYPERLINK("./Results/DLO\1465\Osteo_Sarco_1.png","RPT")</f>
        <v/>
      </c>
      <c r="F510" s="2" t="n">
        <v>150</v>
      </c>
      <c r="G510" s="6" t="n">
        <v>9</v>
      </c>
      <c r="I510" s="0" t="n"/>
      <c r="J510" s="0" t="n"/>
      <c r="K510" s="0" t="n"/>
      <c r="L510" t="inlineStr">
        <is>
          <t>Discovery CT750 HD</t>
        </is>
      </c>
      <c r="M510" t="inlineStr">
        <is>
          <t>HVP 3mm</t>
        </is>
      </c>
    </row>
    <row r="511">
      <c r="A511" s="2" t="n">
        <v>1980810</v>
      </c>
      <c r="B511" s="2" t="inlineStr">
        <is>
          <t>80</t>
        </is>
      </c>
      <c r="C511" s="2" t="inlineStr">
        <is>
          <t>M</t>
        </is>
      </c>
      <c r="D511" s="2" t="inlineStr">
        <is>
          <t>100.0</t>
        </is>
      </c>
      <c r="E511" s="4">
        <f>HYPERLINK("./Results/DLO\1466\Osteo_Sarco_1.png","RPT")</f>
        <v/>
      </c>
      <c r="F511" s="2" t="n">
        <v>116</v>
      </c>
      <c r="G511" s="6" t="n">
        <v>25</v>
      </c>
      <c r="I511" s="0" t="n"/>
      <c r="J511" s="0" t="n"/>
      <c r="K511" s="0" t="n"/>
      <c r="L511" t="inlineStr">
        <is>
          <t>SOMATOM Definition...</t>
        </is>
      </c>
      <c r="M511" t="inlineStr">
        <is>
          <t>Pre 3mm</t>
        </is>
      </c>
    </row>
    <row r="512">
      <c r="A512" s="2" t="n">
        <v>1745170</v>
      </c>
      <c r="B512" s="2" t="inlineStr">
        <is>
          <t>62</t>
        </is>
      </c>
      <c r="C512" s="2" t="inlineStr">
        <is>
          <t>F</t>
        </is>
      </c>
      <c r="D512" s="2" t="inlineStr">
        <is>
          <t>100.0</t>
        </is>
      </c>
      <c r="E512" s="4">
        <f>HYPERLINK("./Results/DLO\1467\Osteo_Sarco_1.png","RPT")</f>
        <v/>
      </c>
      <c r="F512" s="2" t="n">
        <v>122</v>
      </c>
      <c r="G512" s="6" t="n">
        <v>21</v>
      </c>
      <c r="I512" s="0" t="n"/>
      <c r="J512" s="0" t="n"/>
      <c r="K512" s="0" t="n"/>
      <c r="L512" t="inlineStr">
        <is>
          <t>LightSpeed VCT</t>
        </is>
      </c>
      <c r="M512" t="inlineStr">
        <is>
          <t>PRE 2,5mm</t>
        </is>
      </c>
    </row>
    <row r="513">
      <c r="A513" s="2" t="n">
        <v>3321796</v>
      </c>
      <c r="B513" s="2" t="inlineStr">
        <is>
          <t>41</t>
        </is>
      </c>
      <c r="C513" s="2" t="inlineStr">
        <is>
          <t>F</t>
        </is>
      </c>
      <c r="D513" s="2" t="inlineStr">
        <is>
          <t>120.0</t>
        </is>
      </c>
      <c r="E513" s="4">
        <f>HYPERLINK("./Results/DLO\1468\Osteo_Sarco_1.png","RPT")</f>
        <v/>
      </c>
      <c r="F513" s="2" t="n">
        <v>110</v>
      </c>
      <c r="G513" s="6" t="n">
        <v>5</v>
      </c>
      <c r="I513" s="0" t="n"/>
      <c r="J513" s="0" t="n"/>
      <c r="K513" s="0" t="n"/>
      <c r="L513" t="inlineStr">
        <is>
          <t>Alexion</t>
        </is>
      </c>
      <c r="M513" t="inlineStr">
        <is>
          <t>Body 3.0</t>
        </is>
      </c>
    </row>
    <row r="514">
      <c r="A514" s="2" t="n">
        <v>2752487</v>
      </c>
      <c r="B514" s="2" t="inlineStr">
        <is>
          <t>64</t>
        </is>
      </c>
      <c r="C514" s="2" t="inlineStr">
        <is>
          <t>M</t>
        </is>
      </c>
      <c r="D514" s="2" t="inlineStr">
        <is>
          <t>120.0</t>
        </is>
      </c>
      <c r="E514" s="4">
        <f>HYPERLINK("./Results/DLO\1469\Osteo_Sarco_1.png","RPT")</f>
        <v/>
      </c>
      <c r="F514" s="2" t="n">
        <v>155</v>
      </c>
      <c r="G514" s="6" t="n">
        <v>9</v>
      </c>
      <c r="I514" s="0" t="n"/>
      <c r="J514" s="0" t="n"/>
      <c r="K514" s="0" t="n"/>
      <c r="L514" t="inlineStr">
        <is>
          <t>Discovery CT750 HD</t>
        </is>
      </c>
      <c r="M514" t="inlineStr">
        <is>
          <t>HVP 3mm</t>
        </is>
      </c>
    </row>
    <row r="515">
      <c r="A515" s="2" t="n">
        <v>535577</v>
      </c>
      <c r="B515" s="2" t="inlineStr">
        <is>
          <t>52</t>
        </is>
      </c>
      <c r="C515" s="2" t="inlineStr">
        <is>
          <t>F</t>
        </is>
      </c>
      <c r="D515" s="2" t="inlineStr">
        <is>
          <t>100.0</t>
        </is>
      </c>
      <c r="E515" s="4">
        <f>HYPERLINK("./Results/DLO\147\Osteo_Sarco_1.png","RPT")</f>
        <v/>
      </c>
      <c r="F515" s="2" t="n">
        <v>84</v>
      </c>
      <c r="G515" s="6" t="n">
        <v>6</v>
      </c>
      <c r="I515" s="0" t="n"/>
      <c r="J515" s="0" t="n"/>
      <c r="K515" s="0" t="n"/>
      <c r="L515" t="inlineStr">
        <is>
          <t>LightSpeed VCT</t>
        </is>
      </c>
      <c r="M515" t="inlineStr">
        <is>
          <t>PRE (CP angle~Pubic)</t>
        </is>
      </c>
    </row>
    <row r="516">
      <c r="A516" s="2" t="n">
        <v>2037893</v>
      </c>
      <c r="B516" s="2" t="inlineStr">
        <is>
          <t>74</t>
        </is>
      </c>
      <c r="C516" s="2" t="inlineStr">
        <is>
          <t>F</t>
        </is>
      </c>
      <c r="D516" s="2" t="inlineStr">
        <is>
          <t>100.0</t>
        </is>
      </c>
      <c r="E516" s="4">
        <f>HYPERLINK("./Results/DLO\1470\Osteo_Sarco_1.png","RPT")</f>
        <v/>
      </c>
      <c r="F516" s="2" t="n">
        <v>75</v>
      </c>
      <c r="G516" s="6" t="n">
        <v>13</v>
      </c>
      <c r="H516" t="n">
        <v>20.73</v>
      </c>
      <c r="L516" t="inlineStr">
        <is>
          <t>LightSpeed VCT</t>
        </is>
      </c>
      <c r="M516" t="inlineStr">
        <is>
          <t>PRE (CP angle~Pubic)</t>
        </is>
      </c>
    </row>
    <row r="517">
      <c r="A517" s="2" t="n">
        <v>2692988</v>
      </c>
      <c r="B517" s="2" t="inlineStr">
        <is>
          <t>65</t>
        </is>
      </c>
      <c r="C517" s="2" t="inlineStr">
        <is>
          <t>M</t>
        </is>
      </c>
      <c r="D517" s="2" t="inlineStr">
        <is>
          <t>120.0</t>
        </is>
      </c>
      <c r="E517" s="4">
        <f>HYPERLINK("./Results/DLO\1471\Osteo_Sarco_1.png","RPT")</f>
        <v/>
      </c>
      <c r="F517" s="2" t="n">
        <v>139</v>
      </c>
      <c r="G517" s="6" t="n">
        <v>6</v>
      </c>
      <c r="H517" t="n">
        <v>20.96</v>
      </c>
      <c r="L517" t="inlineStr">
        <is>
          <t>Discovery CT750 HD</t>
        </is>
      </c>
      <c r="M517" t="inlineStr">
        <is>
          <t>HVP 3mm</t>
        </is>
      </c>
    </row>
    <row r="518">
      <c r="A518" s="2" t="n">
        <v>1833530</v>
      </c>
      <c r="B518" s="2" t="inlineStr">
        <is>
          <t>27</t>
        </is>
      </c>
      <c r="C518" s="2" t="inlineStr">
        <is>
          <t>F</t>
        </is>
      </c>
      <c r="D518" s="2" t="inlineStr">
        <is>
          <t>120.0</t>
        </is>
      </c>
      <c r="E518" s="4">
        <f>HYPERLINK("./Results/DLO\1472\Osteo_Sarco_1.png","RPT")</f>
        <v/>
      </c>
      <c r="F518" s="2" t="n">
        <v>121</v>
      </c>
      <c r="G518" s="6" t="n">
        <v>6</v>
      </c>
      <c r="I518" s="0" t="n"/>
      <c r="J518" s="0" t="n"/>
      <c r="K518" s="0" t="n"/>
      <c r="L518" t="inlineStr">
        <is>
          <t>Brilliance 64</t>
        </is>
      </c>
      <c r="M518" t="inlineStr">
        <is>
          <t>Pre, 5mm</t>
        </is>
      </c>
    </row>
    <row r="519">
      <c r="A519" s="2" t="n">
        <v>2842221</v>
      </c>
      <c r="B519" s="2" t="inlineStr">
        <is>
          <t>62</t>
        </is>
      </c>
      <c r="C519" s="2" t="inlineStr">
        <is>
          <t>M</t>
        </is>
      </c>
      <c r="D519" s="2" t="inlineStr">
        <is>
          <t>120.0</t>
        </is>
      </c>
      <c r="E519" s="4">
        <f>HYPERLINK("./Results/DLO\1473\Osteo_Sarco_1.png","RPT")</f>
        <v/>
      </c>
      <c r="F519" s="2" t="n">
        <v>123</v>
      </c>
      <c r="G519" s="6" t="n">
        <v>9</v>
      </c>
      <c r="H519" t="n">
        <v>21.32</v>
      </c>
      <c r="L519" t="inlineStr">
        <is>
          <t>Discovery CT750 HD</t>
        </is>
      </c>
      <c r="M519" t="inlineStr">
        <is>
          <t>HVP 3mm</t>
        </is>
      </c>
    </row>
    <row r="520">
      <c r="A520" s="2" t="n">
        <v>1714207</v>
      </c>
      <c r="B520" s="2" t="inlineStr">
        <is>
          <t>60</t>
        </is>
      </c>
      <c r="C520" s="2" t="inlineStr">
        <is>
          <t>M</t>
        </is>
      </c>
      <c r="D520" s="2" t="inlineStr">
        <is>
          <t>100.0</t>
        </is>
      </c>
      <c r="E520" s="4">
        <f>HYPERLINK("./Results/DLO\1474\Osteo_Sarco_1.png","RPT")</f>
        <v/>
      </c>
      <c r="F520" s="2" t="n">
        <v>159</v>
      </c>
      <c r="G520" s="6" t="n">
        <v>5</v>
      </c>
      <c r="I520" s="0" t="n"/>
      <c r="J520" s="0" t="n"/>
      <c r="K520" s="0" t="n"/>
      <c r="L520" t="inlineStr">
        <is>
          <t>Revolution CT</t>
        </is>
      </c>
      <c r="M520" t="inlineStr">
        <is>
          <t>HVP 3mm(70kg/140cc/3cc/xene)</t>
        </is>
      </c>
    </row>
    <row r="521">
      <c r="A521" s="2" t="n">
        <v>4657939</v>
      </c>
      <c r="B521" s="2" t="inlineStr">
        <is>
          <t>43</t>
        </is>
      </c>
      <c r="C521" s="2" t="inlineStr">
        <is>
          <t>M</t>
        </is>
      </c>
      <c r="D521" s="2" t="inlineStr">
        <is>
          <t>100.0</t>
        </is>
      </c>
      <c r="E521" s="4">
        <f>HYPERLINK("./Results/DLO\1475\Osteo_Sarco_1.png","RPT")</f>
        <v/>
      </c>
      <c r="F521" s="2" t="n">
        <v>178</v>
      </c>
      <c r="G521" s="6" t="n">
        <v>14</v>
      </c>
      <c r="I521" s="0" t="n"/>
      <c r="J521" s="0" t="n"/>
      <c r="K521" s="0" t="n"/>
      <c r="L521" t="inlineStr">
        <is>
          <t>iCT 256</t>
        </is>
      </c>
      <c r="M521" t="inlineStr">
        <is>
          <t>Pre 3/3mm, iDose (3)</t>
        </is>
      </c>
    </row>
    <row r="522">
      <c r="A522" s="2" t="n">
        <v>2983537</v>
      </c>
      <c r="B522" s="2" t="inlineStr">
        <is>
          <t>66</t>
        </is>
      </c>
      <c r="C522" s="2" t="inlineStr">
        <is>
          <t>M</t>
        </is>
      </c>
      <c r="D522" s="2" t="inlineStr">
        <is>
          <t>120.0</t>
        </is>
      </c>
      <c r="E522" s="4">
        <f>HYPERLINK("./Results/DLO\1476\Osteo_Sarco_1.png","RPT")</f>
        <v/>
      </c>
      <c r="F522" s="2" t="n">
        <v>120</v>
      </c>
      <c r="G522" s="6" t="n">
        <v>8</v>
      </c>
      <c r="I522" s="0" t="n"/>
      <c r="J522" s="0" t="n"/>
      <c r="K522" s="0" t="n"/>
      <c r="L522" t="inlineStr">
        <is>
          <t>iCT 256</t>
        </is>
      </c>
      <c r="M522" t="inlineStr">
        <is>
          <t>HVP 3/3mm, iDose (3)</t>
        </is>
      </c>
    </row>
    <row r="523">
      <c r="A523" s="2" t="n">
        <v>4643748</v>
      </c>
      <c r="B523" s="2" t="inlineStr">
        <is>
          <t>60</t>
        </is>
      </c>
      <c r="C523" s="2" t="inlineStr">
        <is>
          <t>M</t>
        </is>
      </c>
      <c r="D523" s="2" t="inlineStr">
        <is>
          <t>120.0</t>
        </is>
      </c>
      <c r="E523" s="4">
        <f>HYPERLINK("./Results/DLO\1477\Osteo_Sarco_1.png","RPT")</f>
        <v/>
      </c>
      <c r="F523" s="2" t="n">
        <v>178</v>
      </c>
      <c r="G523" s="6" t="n">
        <v>6</v>
      </c>
      <c r="I523" s="0" t="n"/>
      <c r="J523" s="0" t="n"/>
      <c r="K523" s="0" t="n"/>
      <c r="L523" t="inlineStr">
        <is>
          <t>LightSpeed VCT</t>
        </is>
      </c>
      <c r="M523" t="inlineStr">
        <is>
          <t>HVP 55sec 3mm</t>
        </is>
      </c>
    </row>
    <row r="524">
      <c r="A524" s="2" t="n">
        <v>2313642</v>
      </c>
      <c r="B524" s="2" t="inlineStr">
        <is>
          <t>63</t>
        </is>
      </c>
      <c r="C524" s="2" t="inlineStr">
        <is>
          <t>F</t>
        </is>
      </c>
      <c r="D524" s="2" t="inlineStr">
        <is>
          <t>120.0</t>
        </is>
      </c>
      <c r="E524" s="4">
        <f>HYPERLINK("./Results/DLO\1478\Osteo_Sarco_1.png","RPT")</f>
        <v/>
      </c>
      <c r="F524" s="2" t="n">
        <v>123</v>
      </c>
      <c r="G524" s="6" t="n">
        <v>16</v>
      </c>
      <c r="I524" s="0" t="n"/>
      <c r="J524" s="0" t="n"/>
      <c r="K524" s="0" t="n"/>
      <c r="L524" t="inlineStr">
        <is>
          <t>LightSpeed VCT</t>
        </is>
      </c>
      <c r="M524" t="inlineStr">
        <is>
          <t>HVP 3mm</t>
        </is>
      </c>
    </row>
    <row r="525">
      <c r="A525" s="2" t="n">
        <v>4601806</v>
      </c>
      <c r="B525" s="2" t="inlineStr">
        <is>
          <t>60</t>
        </is>
      </c>
      <c r="C525" s="2" t="inlineStr">
        <is>
          <t>F</t>
        </is>
      </c>
      <c r="D525" s="2" t="inlineStr">
        <is>
          <t>100.0</t>
        </is>
      </c>
      <c r="E525" s="4">
        <f>HYPERLINK("./Results/DLO\1479\Osteo_Sarco_1.png","RPT")</f>
        <v/>
      </c>
      <c r="F525" s="2" t="n">
        <v>129</v>
      </c>
      <c r="G525" s="6" t="n">
        <v>11</v>
      </c>
      <c r="I525" s="0" t="n"/>
      <c r="J525" s="0" t="n"/>
      <c r="K525" s="0" t="n"/>
      <c r="L525" t="inlineStr">
        <is>
          <t>SOMATOM Definition...</t>
        </is>
      </c>
      <c r="M525" t="inlineStr">
        <is>
          <t>HVP 2 3mm(75kg/150cc/3cc/radi)</t>
        </is>
      </c>
    </row>
    <row r="526">
      <c r="A526" s="2" t="n">
        <v>4121225</v>
      </c>
      <c r="B526" s="2" t="inlineStr">
        <is>
          <t>59</t>
        </is>
      </c>
      <c r="C526" s="2" t="inlineStr">
        <is>
          <t>F</t>
        </is>
      </c>
      <c r="D526" s="2" t="inlineStr">
        <is>
          <t>100.0</t>
        </is>
      </c>
      <c r="E526" s="4">
        <f>HYPERLINK("./Results/DLO\148\Osteo_Sarco_1.png","RPT")</f>
        <v/>
      </c>
      <c r="F526" s="2" t="n">
        <v>94</v>
      </c>
      <c r="G526" s="6" t="n">
        <v>7</v>
      </c>
      <c r="H526" t="n">
        <v>20.8</v>
      </c>
      <c r="L526" t="inlineStr">
        <is>
          <t>iCT 256</t>
        </is>
      </c>
      <c r="M526" t="inlineStr">
        <is>
          <t>Pre3/3mm_I-3, iDose (3)</t>
        </is>
      </c>
    </row>
    <row r="527">
      <c r="A527" s="2" t="n">
        <v>4141979</v>
      </c>
      <c r="B527" s="2" t="inlineStr">
        <is>
          <t>68</t>
        </is>
      </c>
      <c r="C527" s="2" t="inlineStr">
        <is>
          <t>F</t>
        </is>
      </c>
      <c r="D527" s="2" t="inlineStr">
        <is>
          <t>100.0</t>
        </is>
      </c>
      <c r="E527" s="4">
        <f>HYPERLINK("./Results/DLO\1480\Osteo_Sarco_1.png","RPT")</f>
        <v/>
      </c>
      <c r="F527" s="2" t="n">
        <v>86</v>
      </c>
      <c r="G527" s="6" t="n">
        <v>12</v>
      </c>
      <c r="I527" s="0" t="n"/>
      <c r="J527" s="0" t="n"/>
      <c r="K527" s="0" t="n"/>
      <c r="L527" t="inlineStr">
        <is>
          <t>Revolution CT</t>
        </is>
      </c>
      <c r="M527" t="inlineStr">
        <is>
          <t>HVP 3mm-pacs(60kg/120cc/3cc/x...</t>
        </is>
      </c>
    </row>
    <row r="528">
      <c r="A528" s="2" t="n">
        <v>4950352</v>
      </c>
      <c r="B528" s="2" t="inlineStr">
        <is>
          <t>61</t>
        </is>
      </c>
      <c r="C528" s="2" t="inlineStr">
        <is>
          <t>F</t>
        </is>
      </c>
      <c r="D528" s="2" t="inlineStr">
        <is>
          <t>100.0</t>
        </is>
      </c>
      <c r="E528" s="4">
        <f>HYPERLINK("./Results/DLO\1481\Osteo_Sarco_1.png","RPT")</f>
        <v/>
      </c>
      <c r="F528" s="2" t="n">
        <v>114</v>
      </c>
      <c r="G528" s="6" t="n">
        <v>16</v>
      </c>
      <c r="I528" s="0" t="n"/>
      <c r="J528" s="0" t="n"/>
      <c r="K528" s="0" t="n"/>
      <c r="L528" t="inlineStr">
        <is>
          <t>Revolution CT</t>
        </is>
      </c>
      <c r="M528" t="inlineStr">
        <is>
          <t>HVP 3mm-pacs(73kg/146cc/2cc/x...</t>
        </is>
      </c>
    </row>
    <row r="529">
      <c r="A529" s="2" t="n">
        <v>1865356</v>
      </c>
      <c r="B529" s="2" t="inlineStr">
        <is>
          <t>60</t>
        </is>
      </c>
      <c r="C529" s="2" t="inlineStr">
        <is>
          <t>F</t>
        </is>
      </c>
      <c r="D529" s="2" t="inlineStr">
        <is>
          <t>100.0</t>
        </is>
      </c>
      <c r="E529" s="4">
        <f>HYPERLINK("./Results/DLO\1482\Osteo_Sarco_1.png","RPT")</f>
        <v/>
      </c>
      <c r="F529" s="2" t="n">
        <v>115</v>
      </c>
      <c r="G529" s="6" t="n">
        <v>12</v>
      </c>
      <c r="I529" s="0" t="n"/>
      <c r="J529" s="0" t="n"/>
      <c r="K529" s="0" t="n"/>
      <c r="L529" t="inlineStr">
        <is>
          <t>Revolution CT</t>
        </is>
      </c>
      <c r="M529" t="inlineStr">
        <is>
          <t>Pre 3mm pacs</t>
        </is>
      </c>
    </row>
    <row r="530">
      <c r="A530" s="2" t="n">
        <v>4002931</v>
      </c>
      <c r="B530" s="2" t="inlineStr">
        <is>
          <t>76</t>
        </is>
      </c>
      <c r="C530" s="2" t="inlineStr">
        <is>
          <t>F</t>
        </is>
      </c>
      <c r="D530" s="2" t="inlineStr">
        <is>
          <t>120.0</t>
        </is>
      </c>
      <c r="E530" s="4">
        <f>HYPERLINK("./Results/DLO\1483\Osteo_Sarco_1.png","RPT")</f>
        <v/>
      </c>
      <c r="F530" s="2" t="n">
        <v>101</v>
      </c>
      <c r="G530" s="6" t="n">
        <v>10</v>
      </c>
      <c r="H530" t="n">
        <v>22.82</v>
      </c>
      <c r="L530" t="inlineStr">
        <is>
          <t>LightSpeed VCT</t>
        </is>
      </c>
      <c r="M530" t="inlineStr">
        <is>
          <t>HVP 55sec 3mm</t>
        </is>
      </c>
    </row>
    <row r="531">
      <c r="A531" s="2" t="n">
        <v>3699226</v>
      </c>
      <c r="B531" s="2" t="inlineStr">
        <is>
          <t>72</t>
        </is>
      </c>
      <c r="C531" s="2" t="inlineStr">
        <is>
          <t>F</t>
        </is>
      </c>
      <c r="D531" s="2" t="inlineStr">
        <is>
          <t>100.0</t>
        </is>
      </c>
      <c r="E531" s="4">
        <f>HYPERLINK("./Results/DLO\1484\Osteo_Sarco_1.png","RPT")</f>
        <v/>
      </c>
      <c r="F531" s="2" t="n">
        <v>134</v>
      </c>
      <c r="G531" s="6" t="n">
        <v>21</v>
      </c>
      <c r="I531" s="0" t="n"/>
      <c r="J531" s="0" t="n"/>
      <c r="K531" s="0" t="n"/>
      <c r="L531" t="inlineStr">
        <is>
          <t>iCT 256</t>
        </is>
      </c>
      <c r="M531" t="inlineStr">
        <is>
          <t>LAP 3/3mm, iDose (3)</t>
        </is>
      </c>
    </row>
    <row r="532">
      <c r="A532" s="2" t="n">
        <v>4328593</v>
      </c>
      <c r="B532" s="2" t="inlineStr">
        <is>
          <t>70</t>
        </is>
      </c>
      <c r="C532" s="2" t="inlineStr">
        <is>
          <t>M</t>
        </is>
      </c>
      <c r="D532" s="2" t="inlineStr">
        <is>
          <t>100.0</t>
        </is>
      </c>
      <c r="E532" s="4">
        <f>HYPERLINK("./Results/DLO\1485\Osteo_Sarco_1.png","RPT")</f>
        <v/>
      </c>
      <c r="F532" s="2" t="n">
        <v>149</v>
      </c>
      <c r="G532" s="6" t="n">
        <v>11</v>
      </c>
      <c r="H532" t="n">
        <v>24.39</v>
      </c>
      <c r="L532" t="inlineStr">
        <is>
          <t>Revolution CT</t>
        </is>
      </c>
      <c r="M532" t="inlineStr">
        <is>
          <t>Pre Axial 3mm</t>
        </is>
      </c>
    </row>
    <row r="533">
      <c r="A533" s="2" t="n">
        <v>3562234</v>
      </c>
      <c r="B533" s="2" t="inlineStr">
        <is>
          <t>57</t>
        </is>
      </c>
      <c r="C533" s="2" t="inlineStr">
        <is>
          <t>F</t>
        </is>
      </c>
      <c r="D533" s="2" t="inlineStr">
        <is>
          <t>100.0</t>
        </is>
      </c>
      <c r="E533" s="4">
        <f>HYPERLINK("./Results/DLO\1486\Osteo_Sarco_1.png","RPT")</f>
        <v/>
      </c>
      <c r="F533" s="2" t="n">
        <v>97</v>
      </c>
      <c r="G533" s="6" t="n">
        <v>7</v>
      </c>
      <c r="I533" s="0" t="n"/>
      <c r="J533" s="0" t="n"/>
      <c r="K533" s="0" t="n"/>
      <c r="L533" t="inlineStr">
        <is>
          <t>LightSpeed VCT</t>
        </is>
      </c>
      <c r="M533" t="inlineStr">
        <is>
          <t>PRE 3mm</t>
        </is>
      </c>
    </row>
    <row r="534">
      <c r="A534" s="2" t="n">
        <v>1926866</v>
      </c>
      <c r="B534" s="2" t="inlineStr">
        <is>
          <t>56</t>
        </is>
      </c>
      <c r="C534" s="2" t="inlineStr">
        <is>
          <t>F</t>
        </is>
      </c>
      <c r="D534" s="2" t="inlineStr">
        <is>
          <t>100.0</t>
        </is>
      </c>
      <c r="E534" s="4">
        <f>HYPERLINK("./Results/DLO\1487\Osteo_Sarco_1.png","RPT")</f>
        <v/>
      </c>
      <c r="F534" s="2" t="n">
        <v>120</v>
      </c>
      <c r="G534" s="6" t="n">
        <v>7</v>
      </c>
      <c r="I534" s="0" t="n"/>
      <c r="J534" s="0" t="n"/>
      <c r="K534" s="0" t="n"/>
      <c r="L534" t="inlineStr">
        <is>
          <t>Revolution CT</t>
        </is>
      </c>
      <c r="M534" t="inlineStr">
        <is>
          <t>Pre 3mm</t>
        </is>
      </c>
    </row>
    <row r="535">
      <c r="A535" s="2" t="n">
        <v>1945091</v>
      </c>
      <c r="B535" s="2" t="inlineStr">
        <is>
          <t>66</t>
        </is>
      </c>
      <c r="C535" s="2" t="inlineStr">
        <is>
          <t>M</t>
        </is>
      </c>
      <c r="D535" s="2" t="inlineStr">
        <is>
          <t>100.0</t>
        </is>
      </c>
      <c r="E535" s="4">
        <f>HYPERLINK("./Results/DLO\1488\Osteo_Sarco_1.png","RPT")</f>
        <v/>
      </c>
      <c r="F535" s="2" t="n">
        <v>125</v>
      </c>
      <c r="G535" s="6" t="n">
        <v>9</v>
      </c>
      <c r="H535" t="n">
        <v>25.76</v>
      </c>
      <c r="L535" t="inlineStr">
        <is>
          <t>SOMATOM Definition...</t>
        </is>
      </c>
      <c r="M535" t="inlineStr">
        <is>
          <t>HVP 2 3mm(70kg/140cc/3cc/xene)</t>
        </is>
      </c>
    </row>
    <row r="536">
      <c r="A536" s="2" t="n">
        <v>4370770</v>
      </c>
      <c r="B536" s="2" t="inlineStr">
        <is>
          <t>59</t>
        </is>
      </c>
      <c r="C536" s="2" t="inlineStr">
        <is>
          <t>F</t>
        </is>
      </c>
      <c r="D536" s="2" t="inlineStr">
        <is>
          <t>120.0</t>
        </is>
      </c>
      <c r="E536" s="4">
        <f>HYPERLINK("./Results/DLO\1489\Osteo_Sarco_1.png","RPT")</f>
        <v/>
      </c>
      <c r="F536" s="2" t="n">
        <v>121</v>
      </c>
      <c r="G536" s="6" t="n">
        <v>14</v>
      </c>
      <c r="H536" t="n">
        <v>22.48</v>
      </c>
      <c r="L536" t="inlineStr">
        <is>
          <t>LightSpeed VCT</t>
        </is>
      </c>
      <c r="M536" t="inlineStr">
        <is>
          <t>LAP 18sec 3mm</t>
        </is>
      </c>
    </row>
    <row r="537">
      <c r="A537" s="2" t="n">
        <v>4031644</v>
      </c>
      <c r="B537" s="2" t="inlineStr">
        <is>
          <t>75</t>
        </is>
      </c>
      <c r="C537" s="2" t="inlineStr">
        <is>
          <t>F</t>
        </is>
      </c>
      <c r="D537" s="2" t="inlineStr">
        <is>
          <t>120.0</t>
        </is>
      </c>
      <c r="E537" s="4">
        <f>HYPERLINK("./Results/DLO\149\Osteo_Sarco_1.png","RPT")</f>
        <v/>
      </c>
      <c r="F537" s="2" t="n">
        <v>117</v>
      </c>
      <c r="G537" s="6" t="n">
        <v>12</v>
      </c>
      <c r="I537" s="0" t="n"/>
      <c r="J537" s="0" t="n"/>
      <c r="K537" s="0" t="n"/>
      <c r="L537" t="inlineStr">
        <is>
          <t>Sensation 64</t>
        </is>
      </c>
      <c r="M537" t="inlineStr">
        <is>
          <t>Pre 3mm(120kvp60mAs)</t>
        </is>
      </c>
    </row>
    <row r="538">
      <c r="A538" s="2" t="n">
        <v>2711938</v>
      </c>
      <c r="B538" s="2" t="inlineStr">
        <is>
          <t>60</t>
        </is>
      </c>
      <c r="C538" s="2" t="inlineStr">
        <is>
          <t>M</t>
        </is>
      </c>
      <c r="D538" s="2" t="inlineStr">
        <is>
          <t>120.0</t>
        </is>
      </c>
      <c r="E538" s="4">
        <f>HYPERLINK("./Results/DLO\1490\Osteo_Sarco_1.png","RPT")</f>
        <v/>
      </c>
      <c r="F538" s="2" t="n">
        <v>157</v>
      </c>
      <c r="G538" s="6" t="n">
        <v>5</v>
      </c>
      <c r="H538" t="n">
        <v>24.32</v>
      </c>
      <c r="L538" t="inlineStr">
        <is>
          <t>LightSpeed VCT</t>
        </is>
      </c>
      <c r="M538" t="inlineStr">
        <is>
          <t>HVP 55sec 3mm</t>
        </is>
      </c>
    </row>
    <row r="539">
      <c r="A539" s="2" t="n">
        <v>3299233</v>
      </c>
      <c r="B539" s="2" t="inlineStr">
        <is>
          <t>70</t>
        </is>
      </c>
      <c r="C539" s="2" t="inlineStr">
        <is>
          <t>M</t>
        </is>
      </c>
      <c r="D539" s="2" t="inlineStr">
        <is>
          <t>100.0</t>
        </is>
      </c>
      <c r="E539" s="4">
        <f>HYPERLINK("./Results/DLO\1491\Osteo_Sarco_1.png","RPT")</f>
        <v/>
      </c>
      <c r="F539" s="2" t="n">
        <v>142</v>
      </c>
      <c r="G539" s="6" t="n">
        <v>4</v>
      </c>
      <c r="H539" t="n">
        <v>20.53</v>
      </c>
      <c r="L539" t="inlineStr">
        <is>
          <t>SOMATOM Definition...</t>
        </is>
      </c>
      <c r="M539" t="inlineStr">
        <is>
          <t>HVP 2 3mm(60kg/120cc/3cc/RADI)</t>
        </is>
      </c>
    </row>
    <row r="540">
      <c r="A540" s="2" t="n">
        <v>4429163</v>
      </c>
      <c r="B540" s="2" t="inlineStr">
        <is>
          <t>56</t>
        </is>
      </c>
      <c r="C540" s="2" t="inlineStr">
        <is>
          <t>F</t>
        </is>
      </c>
      <c r="D540" s="2" t="inlineStr">
        <is>
          <t>100.0</t>
        </is>
      </c>
      <c r="E540" s="4">
        <f>HYPERLINK("./Results/DLO\1492\Osteo_Sarco_1.png","RPT")</f>
        <v/>
      </c>
      <c r="F540" s="2" t="n">
        <v>92</v>
      </c>
      <c r="G540" s="6" t="n">
        <v>6</v>
      </c>
      <c r="H540" t="n">
        <v>16.78</v>
      </c>
      <c r="L540" t="inlineStr">
        <is>
          <t>SOMATOM Definition...</t>
        </is>
      </c>
      <c r="M540" t="inlineStr">
        <is>
          <t>HVP 2 3mm(48Kg/96ml/2.7ml/h...</t>
        </is>
      </c>
    </row>
    <row r="541">
      <c r="A541" s="2" t="n">
        <v>3387347</v>
      </c>
      <c r="B541" s="2" t="inlineStr">
        <is>
          <t>58</t>
        </is>
      </c>
      <c r="C541" s="2" t="inlineStr">
        <is>
          <t>F</t>
        </is>
      </c>
      <c r="D541" s="2" t="inlineStr">
        <is>
          <t>100.0</t>
        </is>
      </c>
      <c r="E541" s="4">
        <f>HYPERLINK("./Results/DLO\1493\Osteo_Sarco_1.png","RPT")</f>
        <v/>
      </c>
      <c r="F541" s="2" t="n">
        <v>86</v>
      </c>
      <c r="G541" s="6" t="n">
        <v>5</v>
      </c>
      <c r="I541" s="0" t="n"/>
      <c r="J541" s="0" t="n"/>
      <c r="K541" s="0" t="n"/>
      <c r="L541" t="inlineStr">
        <is>
          <t>Sensation 64</t>
        </is>
      </c>
      <c r="M541" t="inlineStr">
        <is>
          <t>Pre 3mm(100kvp100mAs)</t>
        </is>
      </c>
    </row>
    <row r="542">
      <c r="A542" s="2" t="n">
        <v>3551975</v>
      </c>
      <c r="B542" s="2" t="inlineStr">
        <is>
          <t>50</t>
        </is>
      </c>
      <c r="C542" s="2" t="inlineStr">
        <is>
          <t>F</t>
        </is>
      </c>
      <c r="D542" s="2" t="inlineStr">
        <is>
          <t>120.0</t>
        </is>
      </c>
      <c r="E542" s="4">
        <f>HYPERLINK("./Results/DLO\1494\Osteo_Sarco_1.png","RPT")</f>
        <v/>
      </c>
      <c r="F542" s="2" t="inlineStr">
        <is>
          <t>79</t>
        </is>
      </c>
      <c r="G542" s="6" t="n"/>
      <c r="I542" s="0" t="n"/>
      <c r="J542" s="0" t="n"/>
      <c r="K542" s="0" t="n"/>
      <c r="L542" t="inlineStr">
        <is>
          <t>Aquilion/LB</t>
        </is>
      </c>
      <c r="M542" t="inlineStr">
        <is>
          <t>Body 5.0</t>
        </is>
      </c>
    </row>
    <row r="543">
      <c r="A543" s="2" t="n">
        <v>2481317</v>
      </c>
      <c r="B543" s="2" t="inlineStr">
        <is>
          <t>83</t>
        </is>
      </c>
      <c r="C543" s="2" t="inlineStr">
        <is>
          <t>F</t>
        </is>
      </c>
      <c r="D543" s="2" t="inlineStr">
        <is>
          <t>100.0</t>
        </is>
      </c>
      <c r="E543" s="4">
        <f>HYPERLINK("./Results/DLO\1495\Osteo_Sarco_1.png","RPT")</f>
        <v/>
      </c>
      <c r="F543" s="2" t="n">
        <v>108</v>
      </c>
      <c r="G543" s="6" t="n">
        <v>15</v>
      </c>
      <c r="I543" s="0" t="n"/>
      <c r="J543" s="0" t="n"/>
      <c r="K543" s="0" t="n"/>
      <c r="L543" t="inlineStr">
        <is>
          <t>SOMATOM Definition...</t>
        </is>
      </c>
      <c r="M543" t="inlineStr">
        <is>
          <t>Pre 3mm</t>
        </is>
      </c>
    </row>
    <row r="544">
      <c r="A544" s="2" t="n">
        <v>4555656</v>
      </c>
      <c r="B544" s="2" t="inlineStr">
        <is>
          <t>37</t>
        </is>
      </c>
      <c r="C544" s="2" t="inlineStr">
        <is>
          <t>F</t>
        </is>
      </c>
      <c r="D544" s="2" t="inlineStr">
        <is>
          <t>120.0</t>
        </is>
      </c>
      <c r="E544" s="4">
        <f>HYPERLINK("./Results/DLO\1496\Osteo_Sarco_1.png","RPT")</f>
        <v/>
      </c>
      <c r="F544" s="2" t="n">
        <v>93</v>
      </c>
      <c r="G544" s="6" t="n">
        <v>5</v>
      </c>
      <c r="I544" s="0" t="n"/>
      <c r="J544" s="0" t="n"/>
      <c r="K544" s="0" t="n"/>
      <c r="L544" t="inlineStr">
        <is>
          <t>iCT 256</t>
        </is>
      </c>
      <c r="M544" t="inlineStr">
        <is>
          <t>HVP 3/3mm, iDose (3)</t>
        </is>
      </c>
    </row>
    <row r="545">
      <c r="A545" s="2" t="n">
        <v>3062187</v>
      </c>
      <c r="B545" s="2" t="inlineStr">
        <is>
          <t>55</t>
        </is>
      </c>
      <c r="C545" s="2" t="inlineStr">
        <is>
          <t>F</t>
        </is>
      </c>
      <c r="D545" s="2" t="inlineStr">
        <is>
          <t>100.0</t>
        </is>
      </c>
      <c r="E545" s="4">
        <f>HYPERLINK("./Results/DLO\1497\Osteo_Sarco_1.png","RPT")</f>
        <v/>
      </c>
      <c r="F545" s="2" t="n">
        <v>117</v>
      </c>
      <c r="G545" s="6" t="n">
        <v>6</v>
      </c>
      <c r="I545" s="0" t="n"/>
      <c r="J545" s="0" t="n"/>
      <c r="K545" s="0" t="n"/>
      <c r="L545" t="inlineStr">
        <is>
          <t>Discovery CT750 HD</t>
        </is>
      </c>
      <c r="M545" t="inlineStr">
        <is>
          <t>Pre 3mm</t>
        </is>
      </c>
    </row>
    <row r="546">
      <c r="A546" s="2" t="n">
        <v>4046082</v>
      </c>
      <c r="B546" s="2" t="inlineStr">
        <is>
          <t>55</t>
        </is>
      </c>
      <c r="C546" s="2" t="inlineStr">
        <is>
          <t>F</t>
        </is>
      </c>
      <c r="D546" s="2" t="inlineStr">
        <is>
          <t>100.0</t>
        </is>
      </c>
      <c r="E546" s="4">
        <f>HYPERLINK("./Results/DLO\1498\Osteo_Sarco_1.png","RPT")</f>
        <v/>
      </c>
      <c r="F546" s="2" t="n">
        <v>116</v>
      </c>
      <c r="G546" s="6" t="n">
        <v>11</v>
      </c>
      <c r="I546" s="0" t="n"/>
      <c r="J546" s="0" t="n"/>
      <c r="K546" s="0" t="n"/>
      <c r="L546" t="inlineStr">
        <is>
          <t>LightSpeed VCT</t>
        </is>
      </c>
      <c r="M546" t="inlineStr">
        <is>
          <t>PRE 3mm</t>
        </is>
      </c>
    </row>
    <row r="547">
      <c r="A547" s="2" t="n">
        <v>2623862</v>
      </c>
      <c r="B547" s="2" t="inlineStr">
        <is>
          <t>68</t>
        </is>
      </c>
      <c r="C547" s="2" t="inlineStr">
        <is>
          <t>M</t>
        </is>
      </c>
      <c r="D547" s="2" t="inlineStr">
        <is>
          <t>120.0</t>
        </is>
      </c>
      <c r="E547" s="4">
        <f>HYPERLINK("./Results/DLO\1499\Osteo_Sarco_1.png","RPT")</f>
        <v/>
      </c>
      <c r="F547" s="2" t="n">
        <v>149</v>
      </c>
      <c r="G547" s="6" t="n">
        <v>7</v>
      </c>
      <c r="I547" s="0" t="n"/>
      <c r="J547" s="0" t="n"/>
      <c r="K547" s="0" t="n"/>
      <c r="L547" t="inlineStr">
        <is>
          <t>Discovery CT750 HD</t>
        </is>
      </c>
      <c r="M547" t="inlineStr">
        <is>
          <t>HVP 3mm</t>
        </is>
      </c>
    </row>
    <row r="548">
      <c r="A548" s="2" t="n">
        <v>4950919</v>
      </c>
      <c r="B548" s="2" t="inlineStr">
        <is>
          <t>51</t>
        </is>
      </c>
      <c r="C548" s="2" t="inlineStr">
        <is>
          <t>M</t>
        </is>
      </c>
      <c r="D548" s="2" t="inlineStr">
        <is>
          <t>120.0</t>
        </is>
      </c>
      <c r="E548" s="4">
        <f>HYPERLINK("./Results/DLO\15\Osteo_Sarco_1.png","RPT")</f>
        <v/>
      </c>
      <c r="F548" s="2" t="n">
        <v>158</v>
      </c>
      <c r="G548" s="6" t="n">
        <v>10</v>
      </c>
      <c r="I548" s="0" t="n"/>
      <c r="J548" s="0" t="n"/>
      <c r="K548" s="0" t="n"/>
      <c r="L548" t="inlineStr">
        <is>
          <t>Discovery CT750 HD</t>
        </is>
      </c>
      <c r="M548" t="inlineStr">
        <is>
          <t>LAP 3mm</t>
        </is>
      </c>
    </row>
    <row r="549">
      <c r="A549" s="2" t="n">
        <v>2252708</v>
      </c>
      <c r="B549" s="2" t="inlineStr">
        <is>
          <t>60</t>
        </is>
      </c>
      <c r="C549" s="2" t="inlineStr">
        <is>
          <t>M</t>
        </is>
      </c>
      <c r="D549" s="2" t="inlineStr">
        <is>
          <t>100.0</t>
        </is>
      </c>
      <c r="E549" s="4">
        <f>HYPERLINK("./Results/DLO\150\Osteo_Sarco_1.png","RPT")</f>
        <v/>
      </c>
      <c r="F549" s="2" t="n">
        <v>121</v>
      </c>
      <c r="G549" s="6" t="n">
        <v>4</v>
      </c>
      <c r="I549" s="0" t="n"/>
      <c r="J549" s="0" t="n"/>
      <c r="K549" s="0" t="n"/>
      <c r="L549" t="inlineStr">
        <is>
          <t>SOMATOM Definition...</t>
        </is>
      </c>
      <c r="M549" t="inlineStr">
        <is>
          <t>HVP 2 3mm (60kg/120cc/3cc/omni)</t>
        </is>
      </c>
    </row>
    <row r="550">
      <c r="A550" s="2" t="n">
        <v>2764074</v>
      </c>
      <c r="B550" s="2" t="inlineStr">
        <is>
          <t>59</t>
        </is>
      </c>
      <c r="C550" s="2" t="inlineStr">
        <is>
          <t>F</t>
        </is>
      </c>
      <c r="D550" s="2" t="inlineStr">
        <is>
          <t>100.0</t>
        </is>
      </c>
      <c r="E550" s="4">
        <f>HYPERLINK("./Results/DLO\1500\Osteo_Sarco_1.png","RPT")</f>
        <v/>
      </c>
      <c r="F550" s="2" t="n">
        <v>95</v>
      </c>
      <c r="G550" s="6" t="n">
        <v>14</v>
      </c>
      <c r="I550" s="0" t="n"/>
      <c r="J550" s="0" t="n"/>
      <c r="K550" s="0" t="n"/>
      <c r="L550" t="inlineStr">
        <is>
          <t>SOMATOM Definition...</t>
        </is>
      </c>
      <c r="M550" t="inlineStr">
        <is>
          <t>Pre 3mm</t>
        </is>
      </c>
    </row>
    <row r="551">
      <c r="A551" s="2" t="n">
        <v>2863998</v>
      </c>
      <c r="B551" s="2" t="inlineStr">
        <is>
          <t>56</t>
        </is>
      </c>
      <c r="C551" s="2" t="inlineStr">
        <is>
          <t>F</t>
        </is>
      </c>
      <c r="D551" s="2" t="inlineStr">
        <is>
          <t>100.0</t>
        </is>
      </c>
      <c r="E551" s="4">
        <f>HYPERLINK("./Results/DLO\1501\Osteo_Sarco_1.png","RPT")</f>
        <v/>
      </c>
      <c r="F551" s="2" t="n">
        <v>96</v>
      </c>
      <c r="G551" s="6" t="n">
        <v>7</v>
      </c>
      <c r="H551" t="n">
        <v>25.79</v>
      </c>
      <c r="L551" t="inlineStr">
        <is>
          <t>Discovery CT750 HD</t>
        </is>
      </c>
      <c r="M551" t="inlineStr">
        <is>
          <t>CE 2.5mm(ASIR30%)</t>
        </is>
      </c>
    </row>
    <row r="552">
      <c r="A552" s="2" t="n">
        <v>4478589</v>
      </c>
      <c r="B552" s="2" t="inlineStr">
        <is>
          <t>36</t>
        </is>
      </c>
      <c r="C552" s="2" t="inlineStr">
        <is>
          <t>F</t>
        </is>
      </c>
      <c r="D552" s="2" t="inlineStr">
        <is>
          <t>100.0</t>
        </is>
      </c>
      <c r="E552" s="4">
        <f>HYPERLINK("./Results/DLO\1502\Osteo_Sarco_1.png","RPT")</f>
        <v/>
      </c>
      <c r="F552" s="2" t="n">
        <v>108</v>
      </c>
      <c r="G552" s="6" t="n">
        <v>10</v>
      </c>
      <c r="I552" s="0" t="n"/>
      <c r="J552" s="0" t="n"/>
      <c r="K552" s="0" t="n"/>
      <c r="L552" t="inlineStr">
        <is>
          <t>SOMATOM Force</t>
        </is>
      </c>
      <c r="M552" t="inlineStr">
        <is>
          <t>Pre 3.0 Br40 2</t>
        </is>
      </c>
    </row>
    <row r="553">
      <c r="A553" s="2" t="n">
        <v>1996528</v>
      </c>
      <c r="B553" s="2" t="inlineStr">
        <is>
          <t>63</t>
        </is>
      </c>
      <c r="C553" s="2" t="inlineStr">
        <is>
          <t>M</t>
        </is>
      </c>
      <c r="D553" s="2" t="inlineStr">
        <is>
          <t>100.0</t>
        </is>
      </c>
      <c r="E553" s="4">
        <f>HYPERLINK("./Results/DLO\1503\Osteo_Sarco_1.png","RPT")</f>
        <v/>
      </c>
      <c r="F553" s="2" t="n">
        <v>145</v>
      </c>
      <c r="G553" s="6" t="n">
        <v>5</v>
      </c>
      <c r="I553" s="0" t="n"/>
      <c r="J553" s="0" t="n"/>
      <c r="K553" s="0" t="n"/>
      <c r="L553" t="inlineStr">
        <is>
          <t>SOMATOM Force</t>
        </is>
      </c>
      <c r="M553" t="inlineStr">
        <is>
          <t>HVP 3.0 Br40 2 (59kg/118cc...</t>
        </is>
      </c>
    </row>
    <row r="554">
      <c r="A554" s="2" t="n">
        <v>3817063</v>
      </c>
      <c r="B554" s="2" t="inlineStr">
        <is>
          <t>53</t>
        </is>
      </c>
      <c r="C554" s="2" t="inlineStr">
        <is>
          <t>F</t>
        </is>
      </c>
      <c r="D554" s="2" t="inlineStr">
        <is>
          <t>100.0</t>
        </is>
      </c>
      <c r="E554" s="4">
        <f>HYPERLINK("./Results/DLO\1504\Osteo_Sarco_1.png","RPT")</f>
        <v/>
      </c>
      <c r="F554" s="2" t="n">
        <v>91</v>
      </c>
      <c r="G554" s="6" t="n">
        <v>11</v>
      </c>
      <c r="I554" s="0" t="n"/>
      <c r="J554" s="0" t="n"/>
      <c r="K554" s="0" t="n"/>
      <c r="L554" t="inlineStr">
        <is>
          <t>LightSpeed VCT</t>
        </is>
      </c>
      <c r="M554" t="inlineStr">
        <is>
          <t>PRE 3mm</t>
        </is>
      </c>
    </row>
    <row r="555">
      <c r="A555" s="2" t="n">
        <v>4371979</v>
      </c>
      <c r="B555" s="2" t="inlineStr">
        <is>
          <t>61</t>
        </is>
      </c>
      <c r="C555" s="2" t="inlineStr">
        <is>
          <t>M</t>
        </is>
      </c>
      <c r="D555" s="2" t="inlineStr">
        <is>
          <t>120.0</t>
        </is>
      </c>
      <c r="E555" s="4">
        <f>HYPERLINK("./Results/DLO\1505\Osteo_Sarco_1.png","RPT")</f>
        <v/>
      </c>
      <c r="F555" s="2" t="n">
        <v>136</v>
      </c>
      <c r="G555" s="6" t="n">
        <v>10</v>
      </c>
      <c r="I555" s="0" t="n"/>
      <c r="J555" s="0" t="n"/>
      <c r="K555" s="0" t="n"/>
      <c r="L555" t="inlineStr">
        <is>
          <t>iCT 256</t>
        </is>
      </c>
      <c r="M555" t="inlineStr">
        <is>
          <t>HVP 3/3mm, iDose (3)</t>
        </is>
      </c>
    </row>
    <row r="556">
      <c r="A556" s="2" t="n">
        <v>1913108</v>
      </c>
      <c r="B556" s="2" t="inlineStr">
        <is>
          <t>50</t>
        </is>
      </c>
      <c r="C556" s="2" t="inlineStr">
        <is>
          <t>F</t>
        </is>
      </c>
      <c r="D556" s="2" t="inlineStr">
        <is>
          <t>100.0</t>
        </is>
      </c>
      <c r="E556" s="4">
        <f>HYPERLINK("./Results/DLO\1506\Osteo_Sarco_1.png","RPT")</f>
        <v/>
      </c>
      <c r="F556" s="2" t="n">
        <v>115</v>
      </c>
      <c r="G556" s="6" t="n">
        <v>7</v>
      </c>
      <c r="I556" s="0" t="n"/>
      <c r="J556" s="0" t="n"/>
      <c r="K556" s="0" t="n"/>
      <c r="L556" t="inlineStr">
        <is>
          <t>Discovery CT750 HD</t>
        </is>
      </c>
      <c r="M556" t="inlineStr">
        <is>
          <t>CE 2.5mm(ASIR30%)</t>
        </is>
      </c>
    </row>
    <row r="557">
      <c r="A557" s="2" t="n">
        <v>4840952</v>
      </c>
      <c r="B557" s="2" t="inlineStr">
        <is>
          <t>68</t>
        </is>
      </c>
      <c r="C557" s="2" t="inlineStr">
        <is>
          <t>M</t>
        </is>
      </c>
      <c r="D557" s="2" t="inlineStr">
        <is>
          <t>120.0</t>
        </is>
      </c>
      <c r="E557" s="4">
        <f>HYPERLINK("./Results/DLO\1507\Osteo_Sarco_1.png","RPT")</f>
        <v/>
      </c>
      <c r="F557" s="2" t="n">
        <v>112</v>
      </c>
      <c r="G557" s="6" t="n">
        <v>5</v>
      </c>
      <c r="H557" t="n">
        <v>17.96</v>
      </c>
      <c r="L557" t="inlineStr">
        <is>
          <t>iCT 256</t>
        </is>
      </c>
      <c r="M557" t="inlineStr">
        <is>
          <t>Pre 3/3mm, iDose (3)</t>
        </is>
      </c>
    </row>
    <row r="558">
      <c r="A558" s="2" t="n">
        <v>2579554</v>
      </c>
      <c r="B558" s="2" t="inlineStr">
        <is>
          <t>48</t>
        </is>
      </c>
      <c r="C558" s="2" t="inlineStr">
        <is>
          <t>F</t>
        </is>
      </c>
      <c r="D558" s="2" t="inlineStr">
        <is>
          <t>100.0</t>
        </is>
      </c>
      <c r="E558" s="4">
        <f>HYPERLINK("./Results/DLO\1508\Osteo_Sarco_1.png","RPT")</f>
        <v/>
      </c>
      <c r="F558" s="2" t="n">
        <v>106</v>
      </c>
      <c r="G558" s="6" t="n">
        <v>15</v>
      </c>
      <c r="I558" s="0" t="n"/>
      <c r="J558" s="0" t="n"/>
      <c r="K558" s="0" t="n"/>
      <c r="L558" t="inlineStr">
        <is>
          <t>iCT 256</t>
        </is>
      </c>
      <c r="M558" t="inlineStr">
        <is>
          <t>Pre (CP~Pubi)3mm, iDose (3)</t>
        </is>
      </c>
    </row>
    <row r="559">
      <c r="A559" s="2" t="n">
        <v>4255988</v>
      </c>
      <c r="B559" s="2" t="inlineStr">
        <is>
          <t>61</t>
        </is>
      </c>
      <c r="C559" s="2" t="inlineStr">
        <is>
          <t>M</t>
        </is>
      </c>
      <c r="D559" s="2" t="inlineStr">
        <is>
          <t>100.0</t>
        </is>
      </c>
      <c r="E559" s="4">
        <f>HYPERLINK("./Results/DLO\1509\Osteo_Sarco_1.png","RPT")</f>
        <v/>
      </c>
      <c r="F559" s="2" t="n">
        <v>156</v>
      </c>
      <c r="G559" s="6" t="n">
        <v>7</v>
      </c>
      <c r="H559" t="n">
        <v>27.68</v>
      </c>
      <c r="L559" t="inlineStr">
        <is>
          <t>SOMATOM Force</t>
        </is>
      </c>
      <c r="M559" t="inlineStr">
        <is>
          <t>HVP 3.0 Br40 2 (77kg/150cc...</t>
        </is>
      </c>
    </row>
    <row r="560">
      <c r="A560" s="2" t="n">
        <v>4937581</v>
      </c>
      <c r="B560" s="2" t="inlineStr">
        <is>
          <t>69</t>
        </is>
      </c>
      <c r="C560" s="2" t="inlineStr">
        <is>
          <t>F</t>
        </is>
      </c>
      <c r="D560" s="2" t="inlineStr">
        <is>
          <t>100.0</t>
        </is>
      </c>
      <c r="E560" s="4">
        <f>HYPERLINK("./Results/DLO\151\Osteo_Sarco_1.png","RPT")</f>
        <v/>
      </c>
      <c r="F560" s="2" t="n">
        <v>60</v>
      </c>
      <c r="G560" s="6" t="n">
        <v>5</v>
      </c>
      <c r="H560" t="n">
        <v>17.51</v>
      </c>
      <c r="L560" t="inlineStr">
        <is>
          <t>Revolution EVO</t>
        </is>
      </c>
      <c r="M560" t="inlineStr">
        <is>
          <t>Pre 2.5mm</t>
        </is>
      </c>
    </row>
    <row r="561">
      <c r="A561" s="2" t="n">
        <v>2385156</v>
      </c>
      <c r="B561" s="2" t="inlineStr">
        <is>
          <t>61</t>
        </is>
      </c>
      <c r="C561" s="2" t="inlineStr">
        <is>
          <t>M</t>
        </is>
      </c>
      <c r="D561" s="2" t="inlineStr">
        <is>
          <t>100.0</t>
        </is>
      </c>
      <c r="E561" s="4">
        <f>HYPERLINK("./Results/DLO\1510\Osteo_Sarco_1.png","RPT")</f>
        <v/>
      </c>
      <c r="F561" s="2" t="n">
        <v>163</v>
      </c>
      <c r="G561" s="6" t="n">
        <v>10</v>
      </c>
      <c r="H561" t="n">
        <v>27.16</v>
      </c>
      <c r="L561" t="inlineStr">
        <is>
          <t>Discovery CT750 HD</t>
        </is>
      </c>
      <c r="M561" t="inlineStr">
        <is>
          <t>Pre 3mm</t>
        </is>
      </c>
    </row>
    <row r="562">
      <c r="A562" s="2" t="n">
        <v>1921639</v>
      </c>
      <c r="B562" s="2" t="inlineStr">
        <is>
          <t>64</t>
        </is>
      </c>
      <c r="C562" s="2" t="inlineStr">
        <is>
          <t>F</t>
        </is>
      </c>
      <c r="D562" s="2" t="inlineStr">
        <is>
          <t>100.0</t>
        </is>
      </c>
      <c r="E562" s="4">
        <f>HYPERLINK("./Results/DLO\1511\Osteo_Sarco_1.png","RPT")</f>
        <v/>
      </c>
      <c r="F562" s="2" t="n">
        <v>153</v>
      </c>
      <c r="G562" s="6" t="n">
        <v>19</v>
      </c>
      <c r="I562" s="0" t="n"/>
      <c r="J562" s="0" t="n"/>
      <c r="K562" s="0" t="n"/>
      <c r="L562" t="inlineStr">
        <is>
          <t>LightSpeed VCT</t>
        </is>
      </c>
      <c r="M562" t="inlineStr">
        <is>
          <t>PRE (CP angle~Pubic)</t>
        </is>
      </c>
    </row>
    <row r="563">
      <c r="A563" s="2" t="n">
        <v>4256530</v>
      </c>
      <c r="B563" s="2" t="inlineStr">
        <is>
          <t>71</t>
        </is>
      </c>
      <c r="C563" s="2" t="inlineStr">
        <is>
          <t>M</t>
        </is>
      </c>
      <c r="D563" s="2" t="inlineStr">
        <is>
          <t>100.0</t>
        </is>
      </c>
      <c r="E563" s="4">
        <f>HYPERLINK("./Results/DLO\1512\Osteo_Sarco_1.png","RPT")</f>
        <v/>
      </c>
      <c r="F563" s="2" t="n">
        <v>133</v>
      </c>
      <c r="G563" s="6" t="n">
        <v>14</v>
      </c>
      <c r="H563" t="n">
        <v>23.62</v>
      </c>
      <c r="L563" t="inlineStr">
        <is>
          <t>SOMATOM Definition...</t>
        </is>
      </c>
      <c r="M563" t="inlineStr">
        <is>
          <t>Pre(cp~pubic ) 3.0 B30f</t>
        </is>
      </c>
    </row>
    <row r="564">
      <c r="A564" s="2" t="n">
        <v>4731767</v>
      </c>
      <c r="B564" s="2" t="inlineStr">
        <is>
          <t>59</t>
        </is>
      </c>
      <c r="C564" s="2" t="inlineStr">
        <is>
          <t>F</t>
        </is>
      </c>
      <c r="D564" s="2" t="inlineStr">
        <is>
          <t>100.0</t>
        </is>
      </c>
      <c r="E564" s="4">
        <f>HYPERLINK("./Results/DLO\1513\Osteo_Sarco_1.png","RPT")</f>
        <v/>
      </c>
      <c r="F564" s="2" t="n">
        <v>123</v>
      </c>
      <c r="G564" s="6" t="n">
        <v>10</v>
      </c>
      <c r="I564" s="0" t="n"/>
      <c r="J564" s="0" t="n"/>
      <c r="K564" s="0" t="n"/>
      <c r="L564" t="inlineStr">
        <is>
          <t>SOMATOM Definition...</t>
        </is>
      </c>
      <c r="M564" t="inlineStr">
        <is>
          <t>HVP 2 3mm(65kg/130cc/3cc/xene)</t>
        </is>
      </c>
    </row>
    <row r="565">
      <c r="A565" s="2" t="n">
        <v>2991260</v>
      </c>
      <c r="B565" s="2" t="inlineStr">
        <is>
          <t>48</t>
        </is>
      </c>
      <c r="C565" s="2" t="inlineStr">
        <is>
          <t>M</t>
        </is>
      </c>
      <c r="D565" s="2" t="inlineStr">
        <is>
          <t>100.0</t>
        </is>
      </c>
      <c r="E565" s="4">
        <f>HYPERLINK("./Results/DLO\1514\Osteo_Sarco_1.png","RPT")</f>
        <v/>
      </c>
      <c r="F565" s="2" t="n">
        <v>167</v>
      </c>
      <c r="G565" s="6" t="n">
        <v>9</v>
      </c>
      <c r="I565" s="0" t="n"/>
      <c r="J565" s="0" t="n"/>
      <c r="K565" s="0" t="n"/>
      <c r="L565" t="inlineStr">
        <is>
          <t>Revolution CT</t>
        </is>
      </c>
      <c r="M565" t="inlineStr">
        <is>
          <t>HVP 3mm-pacs(77kg/150cc/3cc/x...</t>
        </is>
      </c>
    </row>
    <row r="566">
      <c r="A566" s="2" t="n">
        <v>1596911</v>
      </c>
      <c r="B566" s="2" t="inlineStr">
        <is>
          <t>53</t>
        </is>
      </c>
      <c r="C566" s="2" t="inlineStr">
        <is>
          <t>M</t>
        </is>
      </c>
      <c r="D566" s="2" t="inlineStr">
        <is>
          <t>100.0</t>
        </is>
      </c>
      <c r="E566" s="4">
        <f>HYPERLINK("./Results/DLO\1515\Osteo_Sarco_1.png","RPT")</f>
        <v/>
      </c>
      <c r="F566" s="2" t="n">
        <v>148</v>
      </c>
      <c r="G566" s="6" t="n">
        <v>5</v>
      </c>
      <c r="I566" s="0" t="n"/>
      <c r="J566" s="0" t="n"/>
      <c r="K566" s="0" t="n"/>
      <c r="L566" t="inlineStr">
        <is>
          <t>SOMATOM Definition...</t>
        </is>
      </c>
      <c r="M566" t="inlineStr">
        <is>
          <t>HVP 2 3mm(63Kg/126ml/3ml/xe...</t>
        </is>
      </c>
    </row>
    <row r="567">
      <c r="A567" s="2" t="n">
        <v>4699734</v>
      </c>
      <c r="B567" s="2" t="inlineStr">
        <is>
          <t>80</t>
        </is>
      </c>
      <c r="C567" s="2" t="inlineStr">
        <is>
          <t>M</t>
        </is>
      </c>
      <c r="D567" s="2" t="inlineStr">
        <is>
          <t>100.0</t>
        </is>
      </c>
      <c r="E567" s="4">
        <f>HYPERLINK("./Results/DLO\1516\Osteo_Sarco_1.png","RPT")</f>
        <v/>
      </c>
      <c r="F567" s="2" t="n">
        <v>133</v>
      </c>
      <c r="G567" s="6" t="n">
        <v>19</v>
      </c>
      <c r="H567" t="n">
        <v>24.64</v>
      </c>
      <c r="L567" t="inlineStr">
        <is>
          <t>iCT 256</t>
        </is>
      </c>
      <c r="M567" t="inlineStr">
        <is>
          <t>Pre3/3mm_I-3, iDose (3)</t>
        </is>
      </c>
    </row>
    <row r="568">
      <c r="A568" s="2" t="n">
        <v>2505212</v>
      </c>
      <c r="B568" s="2" t="inlineStr">
        <is>
          <t>46</t>
        </is>
      </c>
      <c r="C568" s="2" t="inlineStr">
        <is>
          <t>F</t>
        </is>
      </c>
      <c r="D568" s="2" t="inlineStr">
        <is>
          <t>100.0</t>
        </is>
      </c>
      <c r="E568" s="4">
        <f>HYPERLINK("./Results/DLO\1517\Osteo_Sarco_1.png","RPT")</f>
        <v/>
      </c>
      <c r="F568" s="2" t="n">
        <v>138</v>
      </c>
      <c r="G568" s="6" t="n">
        <v>19</v>
      </c>
      <c r="I568" s="0" t="n"/>
      <c r="J568" s="0" t="n"/>
      <c r="K568" s="0" t="n"/>
      <c r="L568" t="inlineStr">
        <is>
          <t>iCT 256</t>
        </is>
      </c>
      <c r="M568" t="inlineStr">
        <is>
          <t>Pre 3/3mm, iDose (3)</t>
        </is>
      </c>
    </row>
    <row r="569">
      <c r="A569" s="2" t="n">
        <v>4014363</v>
      </c>
      <c r="B569" s="2" t="inlineStr">
        <is>
          <t>74</t>
        </is>
      </c>
      <c r="C569" s="2" t="inlineStr">
        <is>
          <t>F</t>
        </is>
      </c>
      <c r="D569" s="2" t="inlineStr">
        <is>
          <t>120.0</t>
        </is>
      </c>
      <c r="E569" s="4">
        <f>HYPERLINK("./Results/DLO\1518\Osteo_Sarco_1.png","RPT")</f>
        <v/>
      </c>
      <c r="F569" s="2" t="n">
        <v>121</v>
      </c>
      <c r="G569" s="6" t="n">
        <v>24</v>
      </c>
      <c r="H569" t="n">
        <v>26.85</v>
      </c>
      <c r="L569" t="inlineStr">
        <is>
          <t>LightSpeed VCT</t>
        </is>
      </c>
      <c r="M569" t="inlineStr">
        <is>
          <t>HVP 55sec 3mm</t>
        </is>
      </c>
    </row>
    <row r="570">
      <c r="A570" s="2" t="n">
        <v>3087976</v>
      </c>
      <c r="B570" s="2" t="inlineStr">
        <is>
          <t>60</t>
        </is>
      </c>
      <c r="C570" s="2" t="inlineStr">
        <is>
          <t>F</t>
        </is>
      </c>
      <c r="D570" s="2" t="inlineStr">
        <is>
          <t>120.0</t>
        </is>
      </c>
      <c r="E570" s="4">
        <f>HYPERLINK("./Results/DLO\1519\Osteo_Sarco_1.png","RPT")</f>
        <v/>
      </c>
      <c r="F570" s="2" t="n">
        <v>104</v>
      </c>
      <c r="G570" s="6" t="n">
        <v>5</v>
      </c>
      <c r="I570" s="0" t="n"/>
      <c r="J570" s="0" t="n"/>
      <c r="K570" s="0" t="n"/>
      <c r="L570" t="inlineStr">
        <is>
          <t>Discovery CT750 HD</t>
        </is>
      </c>
      <c r="M570" t="inlineStr">
        <is>
          <t>HVP 3mm</t>
        </is>
      </c>
    </row>
    <row r="571">
      <c r="A571" s="2" t="n">
        <v>3376890</v>
      </c>
      <c r="B571" s="2" t="inlineStr">
        <is>
          <t>64</t>
        </is>
      </c>
      <c r="C571" s="2" t="inlineStr">
        <is>
          <t>M</t>
        </is>
      </c>
      <c r="D571" s="2" t="inlineStr">
        <is>
          <t>100.0</t>
        </is>
      </c>
      <c r="E571" s="4">
        <f>HYPERLINK("./Results/DLO\152\Osteo_Sarco_1.png","RPT")</f>
        <v/>
      </c>
      <c r="F571" s="2" t="n">
        <v>158</v>
      </c>
      <c r="G571" s="6" t="n">
        <v>14</v>
      </c>
      <c r="H571" t="n">
        <v>27.08</v>
      </c>
      <c r="L571" t="inlineStr">
        <is>
          <t>SOMATOM Definition...</t>
        </is>
      </c>
      <c r="M571" t="inlineStr">
        <is>
          <t>Pre 3mm</t>
        </is>
      </c>
    </row>
    <row r="572">
      <c r="A572" s="2" t="n">
        <v>2596495</v>
      </c>
      <c r="B572" s="2" t="inlineStr">
        <is>
          <t>69</t>
        </is>
      </c>
      <c r="C572" s="2" t="inlineStr">
        <is>
          <t>M</t>
        </is>
      </c>
      <c r="D572" s="2" t="inlineStr">
        <is>
          <t>120.0</t>
        </is>
      </c>
      <c r="E572" s="4">
        <f>HYPERLINK("./Results/DLO\1520\Osteo_Sarco_1.png","RPT")</f>
        <v/>
      </c>
      <c r="F572" s="2" t="n">
        <v>126</v>
      </c>
      <c r="G572" s="6" t="n">
        <v>5</v>
      </c>
      <c r="H572" t="n">
        <v>24.4</v>
      </c>
      <c r="L572" t="inlineStr">
        <is>
          <t>Supria</t>
        </is>
      </c>
      <c r="M572" t="inlineStr">
        <is>
          <t>Axial</t>
        </is>
      </c>
    </row>
    <row r="573">
      <c r="A573" s="2" t="n">
        <v>3482228</v>
      </c>
      <c r="B573" s="2" t="inlineStr">
        <is>
          <t>52</t>
        </is>
      </c>
      <c r="C573" s="2" t="inlineStr">
        <is>
          <t>F</t>
        </is>
      </c>
      <c r="D573" s="2" t="inlineStr">
        <is>
          <t>120.0</t>
        </is>
      </c>
      <c r="E573" s="4">
        <f>HYPERLINK("./Results/DLO\1521\Osteo_Sarco_1.png","RPT")</f>
        <v/>
      </c>
      <c r="F573" s="2" t="n">
        <v>107</v>
      </c>
      <c r="G573" s="6" t="n">
        <v>6</v>
      </c>
      <c r="I573" s="0" t="n"/>
      <c r="J573" s="0" t="n"/>
      <c r="K573" s="0" t="n"/>
      <c r="L573" t="inlineStr">
        <is>
          <t>LightSpeed VCT</t>
        </is>
      </c>
      <c r="M573" t="inlineStr">
        <is>
          <t>HVP 55sec 3mm</t>
        </is>
      </c>
    </row>
    <row r="574">
      <c r="A574" s="2" t="n">
        <v>4546914</v>
      </c>
      <c r="B574" s="2" t="inlineStr">
        <is>
          <t>41</t>
        </is>
      </c>
      <c r="C574" s="2" t="inlineStr">
        <is>
          <t>M</t>
        </is>
      </c>
      <c r="D574" s="2" t="inlineStr">
        <is>
          <t>100.0</t>
        </is>
      </c>
      <c r="E574" s="4">
        <f>HYPERLINK("./Results/DLO\1522\Osteo_Sarco_1.png","RPT")</f>
        <v/>
      </c>
      <c r="F574" s="2" t="n">
        <v>138</v>
      </c>
      <c r="G574" s="6" t="n">
        <v>3</v>
      </c>
      <c r="I574" s="0" t="n"/>
      <c r="J574" s="0" t="n"/>
      <c r="K574" s="0" t="n"/>
      <c r="L574" t="inlineStr">
        <is>
          <t>SOMATOM Definition...</t>
        </is>
      </c>
      <c r="M574" t="inlineStr">
        <is>
          <t>Pre 3mm</t>
        </is>
      </c>
    </row>
    <row r="575">
      <c r="A575" s="2" t="n">
        <v>2923722</v>
      </c>
      <c r="B575" s="2" t="inlineStr">
        <is>
          <t>56</t>
        </is>
      </c>
      <c r="C575" s="2" t="inlineStr">
        <is>
          <t>F</t>
        </is>
      </c>
      <c r="D575" s="2" t="inlineStr">
        <is>
          <t>100.0</t>
        </is>
      </c>
      <c r="E575" s="4">
        <f>HYPERLINK("./Results/DLO\1523\Osteo_Sarco_1.png","RPT")</f>
        <v/>
      </c>
      <c r="F575" s="2" t="n">
        <v>100</v>
      </c>
      <c r="G575" s="6" t="n">
        <v>18</v>
      </c>
      <c r="I575" s="0" t="n"/>
      <c r="J575" s="0" t="n"/>
      <c r="K575" s="0" t="n"/>
      <c r="L575" t="inlineStr">
        <is>
          <t>iCT 256</t>
        </is>
      </c>
      <c r="M575" t="inlineStr">
        <is>
          <t>Pre3/3mm_I-3, iDose (3)</t>
        </is>
      </c>
    </row>
    <row r="576">
      <c r="A576" s="2" t="n">
        <v>2705118</v>
      </c>
      <c r="B576" s="2" t="inlineStr">
        <is>
          <t>54</t>
        </is>
      </c>
      <c r="C576" s="2" t="inlineStr">
        <is>
          <t>M</t>
        </is>
      </c>
      <c r="D576" s="2" t="inlineStr">
        <is>
          <t>120.0</t>
        </is>
      </c>
      <c r="E576" s="4">
        <f>HYPERLINK("./Results/DLO\1524\Osteo_Sarco_1.png","RPT")</f>
        <v/>
      </c>
      <c r="F576" s="2" t="n">
        <v>145</v>
      </c>
      <c r="G576" s="6" t="n">
        <v>4</v>
      </c>
      <c r="I576" s="0" t="n"/>
      <c r="J576" s="0" t="n"/>
      <c r="K576" s="0" t="n"/>
      <c r="L576" t="inlineStr">
        <is>
          <t>LightSpeed VCT</t>
        </is>
      </c>
      <c r="M576" t="inlineStr">
        <is>
          <t>HVP 3mm</t>
        </is>
      </c>
    </row>
    <row r="577">
      <c r="A577" s="2" t="n">
        <v>3103304</v>
      </c>
      <c r="B577" s="2" t="inlineStr">
        <is>
          <t>71</t>
        </is>
      </c>
      <c r="C577" s="2" t="inlineStr">
        <is>
          <t>M</t>
        </is>
      </c>
      <c r="D577" s="2" t="inlineStr">
        <is>
          <t>120.0</t>
        </is>
      </c>
      <c r="E577" s="4">
        <f>HYPERLINK("./Results/DLO\1525\Osteo_Sarco_1.png","RPT")</f>
        <v/>
      </c>
      <c r="F577" s="2" t="n">
        <v>135</v>
      </c>
      <c r="G577" s="6" t="n">
        <v>6</v>
      </c>
      <c r="I577" s="0" t="n"/>
      <c r="J577" s="0" t="n"/>
      <c r="K577" s="0" t="n"/>
      <c r="L577" t="inlineStr">
        <is>
          <t>LightSpeed VCT</t>
        </is>
      </c>
      <c r="M577" t="inlineStr">
        <is>
          <t>HVP 55sec 3mm</t>
        </is>
      </c>
    </row>
    <row r="578">
      <c r="A578" s="2" t="n">
        <v>4696923</v>
      </c>
      <c r="B578" s="2" t="inlineStr">
        <is>
          <t>60</t>
        </is>
      </c>
      <c r="C578" s="2" t="inlineStr">
        <is>
          <t>M</t>
        </is>
      </c>
      <c r="D578" s="2" t="inlineStr">
        <is>
          <t>120.0</t>
        </is>
      </c>
      <c r="E578" s="4">
        <f>HYPERLINK("./Results/DLO\1526\Osteo_Sarco_1.png","RPT")</f>
        <v/>
      </c>
      <c r="F578" s="2" t="n">
        <v>178</v>
      </c>
      <c r="G578" s="6" t="n">
        <v>8</v>
      </c>
      <c r="I578" s="0" t="n"/>
      <c r="J578" s="0" t="n"/>
      <c r="K578" s="0" t="n"/>
      <c r="L578" t="inlineStr">
        <is>
          <t>LightSpeed VCT</t>
        </is>
      </c>
      <c r="M578" t="inlineStr">
        <is>
          <t>HVP 55sec 3mm</t>
        </is>
      </c>
    </row>
    <row r="579">
      <c r="A579" s="2" t="n">
        <v>4247838</v>
      </c>
      <c r="B579" s="2" t="inlineStr">
        <is>
          <t>55</t>
        </is>
      </c>
      <c r="C579" s="2" t="inlineStr">
        <is>
          <t>F</t>
        </is>
      </c>
      <c r="D579" s="2" t="inlineStr">
        <is>
          <t>100.0</t>
        </is>
      </c>
      <c r="E579" s="4">
        <f>HYPERLINK("./Results/DLO\1527\Osteo_Sarco_1.png","RPT")</f>
        <v/>
      </c>
      <c r="F579" s="2" t="n">
        <v>159</v>
      </c>
      <c r="G579" s="6" t="n">
        <v>20</v>
      </c>
      <c r="I579" s="0" t="n"/>
      <c r="J579" s="0" t="n"/>
      <c r="K579" s="0" t="n"/>
      <c r="L579" t="inlineStr">
        <is>
          <t>Revolution CT</t>
        </is>
      </c>
      <c r="M579" t="inlineStr">
        <is>
          <t>HVP 3mm(98kg/150cc/3cc/omni)</t>
        </is>
      </c>
    </row>
    <row r="580">
      <c r="A580" s="2" t="n">
        <v>3518891</v>
      </c>
      <c r="B580" s="2" t="inlineStr">
        <is>
          <t>54</t>
        </is>
      </c>
      <c r="C580" s="2" t="inlineStr">
        <is>
          <t>M</t>
        </is>
      </c>
      <c r="D580" s="2" t="inlineStr">
        <is>
          <t>100.0</t>
        </is>
      </c>
      <c r="E580" s="4">
        <f>HYPERLINK("./Results/DLO\1528\Osteo_Sarco_1.png","RPT")</f>
        <v/>
      </c>
      <c r="F580" s="2" t="n">
        <v>279</v>
      </c>
      <c r="G580" s="6" t="n">
        <v>14</v>
      </c>
      <c r="I580" s="0" t="n"/>
      <c r="J580" s="0" t="n"/>
      <c r="K580" s="0" t="n"/>
      <c r="L580" t="inlineStr">
        <is>
          <t>iCT 256</t>
        </is>
      </c>
      <c r="M580" t="inlineStr">
        <is>
          <t>Pre (CP~Pubi)3mm, iDose (3)</t>
        </is>
      </c>
    </row>
    <row r="581">
      <c r="A581" s="2" t="n">
        <v>2125846</v>
      </c>
      <c r="B581" s="2" t="inlineStr">
        <is>
          <t>69</t>
        </is>
      </c>
      <c r="C581" s="2" t="inlineStr">
        <is>
          <t>F</t>
        </is>
      </c>
      <c r="D581" s="2" t="inlineStr">
        <is>
          <t>100.0</t>
        </is>
      </c>
      <c r="E581" s="4">
        <f>HYPERLINK("./Results/DLO\1529\Osteo_Sarco_1.png","RPT")</f>
        <v/>
      </c>
      <c r="F581" s="2" t="n">
        <v>127</v>
      </c>
      <c r="G581" s="6" t="n">
        <v>11</v>
      </c>
      <c r="H581" t="n">
        <v>22.17</v>
      </c>
      <c r="L581" t="inlineStr">
        <is>
          <t>Revolution CT</t>
        </is>
      </c>
      <c r="M581" t="inlineStr">
        <is>
          <t>HVP 3mm-pacs(67kg/134cc/3cc/x...</t>
        </is>
      </c>
    </row>
    <row r="582">
      <c r="A582" s="2" t="n">
        <v>4744413</v>
      </c>
      <c r="B582" s="2" t="inlineStr">
        <is>
          <t>53</t>
        </is>
      </c>
      <c r="C582" s="2" t="inlineStr">
        <is>
          <t>F</t>
        </is>
      </c>
      <c r="D582" s="2" t="inlineStr">
        <is>
          <t>100.0</t>
        </is>
      </c>
      <c r="E582" s="4">
        <f>HYPERLINK("./Results/DLO\153\Osteo_Sarco_1.png","RPT")</f>
        <v/>
      </c>
      <c r="F582" s="2" t="n">
        <v>92</v>
      </c>
      <c r="G582" s="6" t="n">
        <v>5</v>
      </c>
      <c r="I582" s="0" t="n"/>
      <c r="J582" s="0" t="n"/>
      <c r="K582" s="0" t="n"/>
      <c r="L582" t="inlineStr">
        <is>
          <t>LightSpeed VCT</t>
        </is>
      </c>
      <c r="M582" t="inlineStr">
        <is>
          <t>PRE 3mm</t>
        </is>
      </c>
    </row>
    <row r="583">
      <c r="A583" s="2" t="n">
        <v>3225488</v>
      </c>
      <c r="B583" s="2" t="inlineStr">
        <is>
          <t>45</t>
        </is>
      </c>
      <c r="C583" s="2" t="inlineStr">
        <is>
          <t>F</t>
        </is>
      </c>
      <c r="D583" s="2" t="inlineStr">
        <is>
          <t>120.0</t>
        </is>
      </c>
      <c r="E583" s="4">
        <f>HYPERLINK("./Results/DLO\1530\Osteo_Sarco_1.png","RPT")</f>
        <v/>
      </c>
      <c r="F583" s="2" t="n">
        <v>118</v>
      </c>
      <c r="G583" s="6" t="n">
        <v>8</v>
      </c>
      <c r="I583" s="0" t="n"/>
      <c r="J583" s="0" t="n"/>
      <c r="K583" s="0" t="n"/>
      <c r="L583" t="inlineStr">
        <is>
          <t>SOMATOM Definition</t>
        </is>
      </c>
      <c r="M583" t="inlineStr">
        <is>
          <t>Pre 3.0 B30f</t>
        </is>
      </c>
    </row>
    <row r="584">
      <c r="A584" s="2" t="n">
        <v>3163420</v>
      </c>
      <c r="B584" s="2" t="inlineStr">
        <is>
          <t>63</t>
        </is>
      </c>
      <c r="C584" s="2" t="inlineStr">
        <is>
          <t>M</t>
        </is>
      </c>
      <c r="D584" s="2" t="inlineStr">
        <is>
          <t>100.0</t>
        </is>
      </c>
      <c r="E584" s="4">
        <f>HYPERLINK("./Results/DLO\1531\Osteo_Sarco_1.png","RPT")</f>
        <v/>
      </c>
      <c r="F584" s="2" t="n">
        <v>158</v>
      </c>
      <c r="G584" s="6" t="n">
        <v>10</v>
      </c>
      <c r="I584" s="0" t="n"/>
      <c r="J584" s="0" t="n"/>
      <c r="K584" s="0" t="n"/>
      <c r="L584" t="inlineStr">
        <is>
          <t>SOMATOM Definition...</t>
        </is>
      </c>
      <c r="M584" t="inlineStr">
        <is>
          <t>HVP 2 3mm (73kg/145cc/3cc/o...</t>
        </is>
      </c>
    </row>
    <row r="585">
      <c r="A585" s="2" t="n">
        <v>4836764</v>
      </c>
      <c r="B585" s="2" t="inlineStr">
        <is>
          <t>63</t>
        </is>
      </c>
      <c r="C585" s="2" t="inlineStr">
        <is>
          <t>F</t>
        </is>
      </c>
      <c r="D585" s="2" t="inlineStr">
        <is>
          <t>120.0</t>
        </is>
      </c>
      <c r="E585" s="4">
        <f>HYPERLINK("./Results/DLO\1532\Osteo_Sarco_1.png","RPT")</f>
        <v/>
      </c>
      <c r="F585" s="2" t="n">
        <v>118</v>
      </c>
      <c r="G585" s="6" t="n">
        <v>19</v>
      </c>
      <c r="H585" t="n">
        <v>26.8</v>
      </c>
      <c r="L585" t="inlineStr">
        <is>
          <t>Discovery CT750 HD</t>
        </is>
      </c>
      <c r="M585" t="inlineStr">
        <is>
          <t>LAP 3mm</t>
        </is>
      </c>
    </row>
    <row r="586">
      <c r="A586" s="2" t="n">
        <v>4625547</v>
      </c>
      <c r="B586" s="2" t="inlineStr">
        <is>
          <t>69</t>
        </is>
      </c>
      <c r="C586" s="2" t="inlineStr">
        <is>
          <t>M</t>
        </is>
      </c>
      <c r="D586" s="2" t="inlineStr">
        <is>
          <t>100.0</t>
        </is>
      </c>
      <c r="E586" s="4">
        <f>HYPERLINK("./Results/DLO\1533\Osteo_Sarco_1.png","RPT")</f>
        <v/>
      </c>
      <c r="F586" s="2" t="n">
        <v>173</v>
      </c>
      <c r="G586" s="6" t="n">
        <v>15</v>
      </c>
      <c r="I586" s="0" t="n"/>
      <c r="J586" s="0" t="n"/>
      <c r="K586" s="0" t="n"/>
      <c r="L586" t="inlineStr">
        <is>
          <t>SOMATOM Definition...</t>
        </is>
      </c>
      <c r="M586" t="inlineStr">
        <is>
          <t>PRE 3mm</t>
        </is>
      </c>
    </row>
    <row r="587">
      <c r="A587" s="2" t="n">
        <v>3619505</v>
      </c>
      <c r="B587" s="2" t="inlineStr">
        <is>
          <t>51</t>
        </is>
      </c>
      <c r="C587" s="2" t="inlineStr">
        <is>
          <t>F</t>
        </is>
      </c>
      <c r="D587" s="2" t="inlineStr">
        <is>
          <t>100.0</t>
        </is>
      </c>
      <c r="E587" s="4">
        <f>HYPERLINK("./Results/DLO\1534\Osteo_Sarco_1.png","RPT")</f>
        <v/>
      </c>
      <c r="F587" s="2" t="n">
        <v>124</v>
      </c>
      <c r="G587" s="6" t="n">
        <v>8</v>
      </c>
      <c r="H587" t="n">
        <v>24.11</v>
      </c>
      <c r="L587" t="inlineStr">
        <is>
          <t>iCT 256</t>
        </is>
      </c>
      <c r="M587" t="inlineStr">
        <is>
          <t>Pre3/3mm_I-3, iDose (3)</t>
        </is>
      </c>
    </row>
    <row r="588">
      <c r="A588" s="2" t="n">
        <v>4273887</v>
      </c>
      <c r="B588" s="2" t="inlineStr">
        <is>
          <t>50</t>
        </is>
      </c>
      <c r="C588" s="2" t="inlineStr">
        <is>
          <t>F</t>
        </is>
      </c>
      <c r="D588" s="2" t="inlineStr">
        <is>
          <t>100.0</t>
        </is>
      </c>
      <c r="E588" s="4">
        <f>HYPERLINK("./Results/DLO\1535\Osteo_Sarco_1.png","RPT")</f>
        <v/>
      </c>
      <c r="F588" s="2" t="n">
        <v>139</v>
      </c>
      <c r="G588" s="6" t="n">
        <v>10</v>
      </c>
      <c r="I588" s="0" t="n"/>
      <c r="J588" s="0" t="n"/>
      <c r="K588" s="0" t="n"/>
      <c r="L588" t="inlineStr">
        <is>
          <t>LightSpeed VCT</t>
        </is>
      </c>
      <c r="M588" t="inlineStr">
        <is>
          <t>PRE 3mm</t>
        </is>
      </c>
    </row>
    <row r="589">
      <c r="A589" s="2" t="n">
        <v>2511246</v>
      </c>
      <c r="B589" s="2" t="inlineStr">
        <is>
          <t>55</t>
        </is>
      </c>
      <c r="C589" s="2" t="inlineStr">
        <is>
          <t>F</t>
        </is>
      </c>
      <c r="D589" s="2" t="inlineStr">
        <is>
          <t>100.0</t>
        </is>
      </c>
      <c r="E589" s="4">
        <f>HYPERLINK("./Results/DLO\1536\Osteo_Sarco_1.png","RPT")</f>
        <v/>
      </c>
      <c r="F589" s="2" t="n">
        <v>109</v>
      </c>
      <c r="G589" s="6" t="n">
        <v>7</v>
      </c>
      <c r="I589" s="0" t="n"/>
      <c r="J589" s="0" t="n"/>
      <c r="K589" s="0" t="n"/>
      <c r="L589" t="inlineStr">
        <is>
          <t>iCT 256</t>
        </is>
      </c>
      <c r="M589" t="inlineStr">
        <is>
          <t>Pre3/3mm_I-3, iDose (3)</t>
        </is>
      </c>
    </row>
    <row r="590">
      <c r="A590" s="2" t="n">
        <v>4655430</v>
      </c>
      <c r="B590" s="2" t="inlineStr">
        <is>
          <t>51</t>
        </is>
      </c>
      <c r="C590" s="2" t="inlineStr">
        <is>
          <t>F</t>
        </is>
      </c>
      <c r="D590" s="2" t="inlineStr">
        <is>
          <t>100.0</t>
        </is>
      </c>
      <c r="E590" s="4">
        <f>HYPERLINK("./Results/DLO\1537\Osteo_Sarco_1.png","RPT")</f>
        <v/>
      </c>
      <c r="F590" s="2" t="n">
        <v>136</v>
      </c>
      <c r="G590" s="6" t="n">
        <v>11</v>
      </c>
      <c r="I590" s="0" t="n"/>
      <c r="J590" s="0" t="n"/>
      <c r="K590" s="0" t="n"/>
      <c r="L590" t="inlineStr">
        <is>
          <t>SOMATOM Force</t>
        </is>
      </c>
      <c r="M590" t="inlineStr">
        <is>
          <t>HVP 3.0 Br40 2 (78kg/150cc...</t>
        </is>
      </c>
    </row>
    <row r="591">
      <c r="A591" s="2" t="n">
        <v>3532202</v>
      </c>
      <c r="B591" s="2" t="inlineStr">
        <is>
          <t>69</t>
        </is>
      </c>
      <c r="C591" s="2" t="inlineStr">
        <is>
          <t>F</t>
        </is>
      </c>
      <c r="D591" s="2" t="inlineStr">
        <is>
          <t>120.0</t>
        </is>
      </c>
      <c r="E591" s="4">
        <f>HYPERLINK("./Results/DLO\1538\Osteo_Sarco_1.png","RPT")</f>
        <v/>
      </c>
      <c r="F591" s="2" t="n">
        <v>120</v>
      </c>
      <c r="G591" s="6" t="n">
        <v>13</v>
      </c>
      <c r="H591" t="n">
        <v>29.46</v>
      </c>
      <c r="L591" t="inlineStr">
        <is>
          <t>iCT 256</t>
        </is>
      </c>
      <c r="M591" t="inlineStr">
        <is>
          <t>HVP 3/3mm, iDose (3)</t>
        </is>
      </c>
    </row>
    <row r="592">
      <c r="A592" s="2" t="n">
        <v>2175082</v>
      </c>
      <c r="B592" s="2" t="inlineStr">
        <is>
          <t>49</t>
        </is>
      </c>
      <c r="C592" s="2" t="inlineStr">
        <is>
          <t>M</t>
        </is>
      </c>
      <c r="D592" s="2" t="inlineStr">
        <is>
          <t>100.0</t>
        </is>
      </c>
      <c r="E592" s="4">
        <f>HYPERLINK("./Results/DLO\1539\Osteo_Sarco_1.png","RPT")</f>
        <v/>
      </c>
      <c r="F592" s="2" t="n">
        <v>162</v>
      </c>
      <c r="G592" s="6" t="n">
        <v>8</v>
      </c>
      <c r="I592" s="0" t="n"/>
      <c r="J592" s="0" t="n"/>
      <c r="K592" s="0" t="n"/>
      <c r="L592" t="inlineStr">
        <is>
          <t>Revolution CT</t>
        </is>
      </c>
      <c r="M592" t="inlineStr">
        <is>
          <t>HVP 3mm-pacs(74kg/148cc/3cc/x...</t>
        </is>
      </c>
    </row>
    <row r="593">
      <c r="A593" s="2" t="n">
        <v>4239855</v>
      </c>
      <c r="B593" s="2" t="inlineStr">
        <is>
          <t>53</t>
        </is>
      </c>
      <c r="C593" s="2" t="inlineStr">
        <is>
          <t>M</t>
        </is>
      </c>
      <c r="D593" s="2" t="inlineStr">
        <is>
          <t>120.0</t>
        </is>
      </c>
      <c r="E593" s="4">
        <f>HYPERLINK("./Results/DLO\154\Osteo_Sarco_1.png","RPT")</f>
        <v/>
      </c>
      <c r="F593" s="2" t="n">
        <v>198</v>
      </c>
      <c r="G593" s="6" t="n">
        <v>8</v>
      </c>
      <c r="I593" s="0" t="n"/>
      <c r="J593" s="0" t="n"/>
      <c r="K593" s="0" t="n"/>
      <c r="L593" t="inlineStr">
        <is>
          <t>Sensation 64</t>
        </is>
      </c>
      <c r="M593" t="inlineStr">
        <is>
          <t>Pre 3mm(120kvp60mAs)</t>
        </is>
      </c>
    </row>
    <row r="594">
      <c r="A594" s="2" t="n">
        <v>1658354</v>
      </c>
      <c r="B594" s="2" t="inlineStr">
        <is>
          <t>60</t>
        </is>
      </c>
      <c r="C594" s="2" t="inlineStr">
        <is>
          <t>F</t>
        </is>
      </c>
      <c r="D594" s="2" t="inlineStr">
        <is>
          <t>100.0</t>
        </is>
      </c>
      <c r="E594" s="4">
        <f>HYPERLINK("./Results/DLO\1540\Osteo_Sarco_1.png","RPT")</f>
        <v/>
      </c>
      <c r="F594" s="2" t="n">
        <v>126</v>
      </c>
      <c r="G594" s="6" t="n">
        <v>7</v>
      </c>
      <c r="I594" s="0" t="n"/>
      <c r="J594" s="0" t="n"/>
      <c r="K594" s="0" t="n"/>
      <c r="L594" t="inlineStr">
        <is>
          <t>iCT 256</t>
        </is>
      </c>
      <c r="M594" t="inlineStr">
        <is>
          <t>HVP 3/3mm, iDose (3)</t>
        </is>
      </c>
    </row>
    <row r="595">
      <c r="A595" s="2" t="n">
        <v>4154320</v>
      </c>
      <c r="B595" s="2" t="inlineStr">
        <is>
          <t>66</t>
        </is>
      </c>
      <c r="C595" s="2" t="inlineStr">
        <is>
          <t>F</t>
        </is>
      </c>
      <c r="D595" s="2" t="inlineStr">
        <is>
          <t>100.0</t>
        </is>
      </c>
      <c r="E595" s="4">
        <f>HYPERLINK("./Results/DLO\1541\Osteo_Sarco_1.png","RPT")</f>
        <v/>
      </c>
      <c r="F595" s="2" t="n">
        <v>92</v>
      </c>
      <c r="G595" s="6" t="n">
        <v>4</v>
      </c>
      <c r="I595" s="0" t="n"/>
      <c r="J595" s="0" t="n"/>
      <c r="K595" s="0" t="n"/>
      <c r="L595" t="inlineStr">
        <is>
          <t>SOMATOM Definition...</t>
        </is>
      </c>
      <c r="M595" t="inlineStr">
        <is>
          <t>HVP 2 3mm(54Kg/108ml/2ml/xe...</t>
        </is>
      </c>
    </row>
    <row r="596">
      <c r="A596" s="2" t="n">
        <v>2447255</v>
      </c>
      <c r="B596" s="2" t="inlineStr">
        <is>
          <t>56</t>
        </is>
      </c>
      <c r="C596" s="2" t="inlineStr">
        <is>
          <t>F</t>
        </is>
      </c>
      <c r="D596" s="2" t="inlineStr">
        <is>
          <t>100.0</t>
        </is>
      </c>
      <c r="E596" s="4">
        <f>HYPERLINK("./Results/DLO\1542\Osteo_Sarco_1.png","RPT")</f>
        <v/>
      </c>
      <c r="F596" s="2" t="n">
        <v>136</v>
      </c>
      <c r="G596" s="6" t="n">
        <v>14</v>
      </c>
      <c r="I596" s="0" t="n"/>
      <c r="J596" s="0" t="n"/>
      <c r="K596" s="0" t="n"/>
      <c r="L596" t="inlineStr">
        <is>
          <t>SOMATOM Definition...</t>
        </is>
      </c>
      <c r="M596" t="inlineStr">
        <is>
          <t>HVP 2 3mm(78kg/150cc/3cc/xene)</t>
        </is>
      </c>
    </row>
    <row r="597">
      <c r="A597" s="2" t="n">
        <v>2689353</v>
      </c>
      <c r="B597" s="2" t="inlineStr">
        <is>
          <t>51</t>
        </is>
      </c>
      <c r="C597" s="2" t="inlineStr">
        <is>
          <t>F</t>
        </is>
      </c>
      <c r="D597" s="2" t="inlineStr">
        <is>
          <t>120.0</t>
        </is>
      </c>
      <c r="E597" s="4">
        <f>HYPERLINK("./Results/DLO\1543\Osteo_Sarco_1.png","RPT")</f>
        <v/>
      </c>
      <c r="F597" s="2" t="n">
        <v>87</v>
      </c>
      <c r="G597" s="6" t="n">
        <v>7</v>
      </c>
      <c r="I597" s="0" t="n"/>
      <c r="J597" s="0" t="n"/>
      <c r="K597" s="0" t="n"/>
      <c r="L597" t="inlineStr">
        <is>
          <t>Discovery CT750 HD</t>
        </is>
      </c>
      <c r="M597" t="inlineStr">
        <is>
          <t>HVP 3mm</t>
        </is>
      </c>
    </row>
    <row r="598">
      <c r="A598" s="2" t="n">
        <v>4497108</v>
      </c>
      <c r="B598" s="2" t="inlineStr">
        <is>
          <t>55</t>
        </is>
      </c>
      <c r="C598" s="2" t="inlineStr">
        <is>
          <t>M</t>
        </is>
      </c>
      <c r="D598" s="2" t="inlineStr">
        <is>
          <t>120.0</t>
        </is>
      </c>
      <c r="E598" s="4">
        <f>HYPERLINK("./Results/DLO\1544\Osteo_Sarco_1.png","RPT")</f>
        <v/>
      </c>
      <c r="F598" s="2" t="n">
        <v>195</v>
      </c>
      <c r="G598" s="6" t="n">
        <v>14</v>
      </c>
      <c r="I598" s="0" t="n"/>
      <c r="J598" s="0" t="n"/>
      <c r="K598" s="0" t="n"/>
      <c r="L598" t="inlineStr">
        <is>
          <t>iCT 256</t>
        </is>
      </c>
      <c r="M598" t="inlineStr">
        <is>
          <t>HVP 3/3mm, iDose (3)</t>
        </is>
      </c>
    </row>
    <row r="599">
      <c r="A599" s="2" t="n">
        <v>2491446</v>
      </c>
      <c r="B599" s="2" t="inlineStr">
        <is>
          <t>67</t>
        </is>
      </c>
      <c r="C599" s="2" t="inlineStr">
        <is>
          <t>M</t>
        </is>
      </c>
      <c r="D599" s="2" t="inlineStr">
        <is>
          <t>100.0</t>
        </is>
      </c>
      <c r="E599" s="4">
        <f>HYPERLINK("./Results/DLO\1545\Osteo_Sarco_1.png","RPT")</f>
        <v/>
      </c>
      <c r="F599" s="2" t="n">
        <v>147</v>
      </c>
      <c r="G599" s="6" t="n">
        <v>10</v>
      </c>
      <c r="I599" s="0" t="n"/>
      <c r="J599" s="0" t="n"/>
      <c r="K599" s="0" t="n"/>
      <c r="L599" t="inlineStr">
        <is>
          <t>LightSpeed VCT</t>
        </is>
      </c>
      <c r="M599" t="inlineStr">
        <is>
          <t>PRE 3mm</t>
        </is>
      </c>
    </row>
    <row r="600">
      <c r="A600" s="2" t="n">
        <v>4820671</v>
      </c>
      <c r="B600" s="2" t="inlineStr">
        <is>
          <t>50</t>
        </is>
      </c>
      <c r="C600" s="2" t="inlineStr">
        <is>
          <t>F</t>
        </is>
      </c>
      <c r="D600" s="2" t="inlineStr">
        <is>
          <t>120.0</t>
        </is>
      </c>
      <c r="E600" s="4">
        <f>HYPERLINK("./Results/DLO\1546\Osteo_Sarco_1.png","RPT")</f>
        <v/>
      </c>
      <c r="F600" s="2" t="n">
        <v>134</v>
      </c>
      <c r="G600" s="6" t="n">
        <v>14</v>
      </c>
      <c r="I600" s="0" t="n"/>
      <c r="J600" s="0" t="n"/>
      <c r="K600" s="0" t="n"/>
      <c r="L600" t="inlineStr">
        <is>
          <t>LightSpeed VCT</t>
        </is>
      </c>
      <c r="M600" t="inlineStr">
        <is>
          <t>HVP 55sec 3mm</t>
        </is>
      </c>
    </row>
    <row r="601">
      <c r="A601" s="2" t="n">
        <v>2645306</v>
      </c>
      <c r="B601" s="2" t="inlineStr">
        <is>
          <t>64</t>
        </is>
      </c>
      <c r="C601" s="2" t="inlineStr">
        <is>
          <t>M</t>
        </is>
      </c>
      <c r="D601" s="2" t="inlineStr">
        <is>
          <t>100.0</t>
        </is>
      </c>
      <c r="E601" s="4">
        <f>HYPERLINK("./Results/DLO\1547\Osteo_Sarco_1.png","RPT")</f>
        <v/>
      </c>
      <c r="F601" s="2" t="n">
        <v>157</v>
      </c>
      <c r="G601" s="6" t="n">
        <v>7</v>
      </c>
      <c r="H601" t="n">
        <v>24.39</v>
      </c>
      <c r="L601" t="inlineStr">
        <is>
          <t>iCT 256</t>
        </is>
      </c>
      <c r="M601" t="inlineStr">
        <is>
          <t>Pre 3/3mm, iDose (3)</t>
        </is>
      </c>
    </row>
    <row r="602">
      <c r="A602" s="2" t="n">
        <v>2338826</v>
      </c>
      <c r="B602" s="2" t="inlineStr">
        <is>
          <t>63</t>
        </is>
      </c>
      <c r="C602" s="2" t="inlineStr">
        <is>
          <t>M</t>
        </is>
      </c>
      <c r="D602" s="2" t="inlineStr">
        <is>
          <t>120.0</t>
        </is>
      </c>
      <c r="E602" s="4">
        <f>HYPERLINK("./Results/DLO\1548\Osteo_Sarco_1.png","RPT")</f>
        <v/>
      </c>
      <c r="F602" s="2" t="n">
        <v>139</v>
      </c>
      <c r="G602" s="6" t="n">
        <v>21</v>
      </c>
      <c r="I602" s="0" t="n"/>
      <c r="J602" s="0" t="n"/>
      <c r="K602" s="0" t="n"/>
      <c r="L602" t="inlineStr">
        <is>
          <t>Revolution EVO</t>
        </is>
      </c>
      <c r="M602" t="inlineStr">
        <is>
          <t>HVP 3mm</t>
        </is>
      </c>
    </row>
    <row r="603">
      <c r="A603" s="2" t="n">
        <v>2654705</v>
      </c>
      <c r="B603" s="2" t="inlineStr">
        <is>
          <t>76</t>
        </is>
      </c>
      <c r="C603" s="2" t="inlineStr">
        <is>
          <t>M</t>
        </is>
      </c>
      <c r="D603" s="2" t="inlineStr">
        <is>
          <t>120.0</t>
        </is>
      </c>
      <c r="E603" s="4">
        <f>HYPERLINK("./Results/DLO\1549\Osteo_Sarco_1.png","RPT")</f>
        <v/>
      </c>
      <c r="F603" s="2" t="n">
        <v>136</v>
      </c>
      <c r="G603" s="6" t="n">
        <v>11</v>
      </c>
      <c r="H603" t="n">
        <v>22.63</v>
      </c>
      <c r="L603" t="inlineStr">
        <is>
          <t>LightSpeed VCT</t>
        </is>
      </c>
      <c r="M603" t="inlineStr">
        <is>
          <t>HVP 55sec 3mm</t>
        </is>
      </c>
    </row>
    <row r="604">
      <c r="A604" s="2" t="n">
        <v>2818113</v>
      </c>
      <c r="B604" s="2" t="inlineStr">
        <is>
          <t>62</t>
        </is>
      </c>
      <c r="C604" s="2" t="inlineStr">
        <is>
          <t>M</t>
        </is>
      </c>
      <c r="D604" s="2" t="inlineStr">
        <is>
          <t>100.0</t>
        </is>
      </c>
      <c r="E604" s="4">
        <f>HYPERLINK("./Results/DLO\155\Osteo_Sarco_1.png","RPT")</f>
        <v/>
      </c>
      <c r="F604" s="2" t="n">
        <v>168</v>
      </c>
      <c r="G604" s="6" t="n">
        <v>7</v>
      </c>
      <c r="I604" s="0" t="n"/>
      <c r="J604" s="0" t="n"/>
      <c r="K604" s="0" t="n"/>
      <c r="L604" t="inlineStr">
        <is>
          <t>Sensation 64</t>
        </is>
      </c>
      <c r="M604" t="inlineStr">
        <is>
          <t>HVP 3mm(60kg/120cc/3cc/hexol)</t>
        </is>
      </c>
    </row>
    <row r="605">
      <c r="A605" s="2" t="n">
        <v>2189898</v>
      </c>
      <c r="B605" s="2" t="inlineStr">
        <is>
          <t>69</t>
        </is>
      </c>
      <c r="C605" s="2" t="inlineStr">
        <is>
          <t>M</t>
        </is>
      </c>
      <c r="D605" s="2" t="inlineStr">
        <is>
          <t>120.0</t>
        </is>
      </c>
      <c r="E605" s="4">
        <f>HYPERLINK("./Results/DLO\1550\Osteo_Sarco_1.png","RPT")</f>
        <v/>
      </c>
      <c r="F605" s="2" t="n">
        <v>159</v>
      </c>
      <c r="G605" s="6" t="n">
        <v>7</v>
      </c>
      <c r="H605" t="n">
        <v>29.94</v>
      </c>
      <c r="L605" t="inlineStr">
        <is>
          <t>LightSpeed VCT</t>
        </is>
      </c>
      <c r="M605" t="inlineStr">
        <is>
          <t>HVP 55sec 3mm</t>
        </is>
      </c>
    </row>
    <row r="606">
      <c r="A606" s="2" t="n">
        <v>1541823</v>
      </c>
      <c r="B606" s="2" t="inlineStr">
        <is>
          <t>56</t>
        </is>
      </c>
      <c r="C606" s="2" t="inlineStr">
        <is>
          <t>F</t>
        </is>
      </c>
      <c r="D606" s="2" t="inlineStr">
        <is>
          <t>100.0</t>
        </is>
      </c>
      <c r="E606" s="4">
        <f>HYPERLINK("./Results/DLO\1551\Osteo_Sarco_1.png","RPT")</f>
        <v/>
      </c>
      <c r="F606" s="2" t="n">
        <v>80</v>
      </c>
      <c r="G606" s="6" t="n">
        <v>7</v>
      </c>
      <c r="I606" s="0" t="n"/>
      <c r="J606" s="0" t="n"/>
      <c r="K606" s="0" t="n"/>
      <c r="L606" t="inlineStr">
        <is>
          <t>SOMATOM Definition...</t>
        </is>
      </c>
      <c r="M606" t="inlineStr">
        <is>
          <t>HVP 2 3mm (46kg/92cc/2.5cc/...</t>
        </is>
      </c>
    </row>
    <row r="607">
      <c r="A607" s="2" t="n">
        <v>1871397</v>
      </c>
      <c r="B607" s="2" t="inlineStr">
        <is>
          <t>67</t>
        </is>
      </c>
      <c r="C607" s="2" t="inlineStr">
        <is>
          <t>M</t>
        </is>
      </c>
      <c r="D607" s="2" t="inlineStr">
        <is>
          <t>100.0</t>
        </is>
      </c>
      <c r="E607" s="4">
        <f>HYPERLINK("./Results/DLO\1552\Osteo_Sarco_1.png","RPT")</f>
        <v/>
      </c>
      <c r="F607" s="2" t="n">
        <v>152</v>
      </c>
      <c r="G607" s="6" t="n">
        <v>8</v>
      </c>
      <c r="I607" s="0" t="n"/>
      <c r="J607" s="0" t="n"/>
      <c r="K607" s="0" t="n"/>
      <c r="L607" t="inlineStr">
        <is>
          <t>iCT 256</t>
        </is>
      </c>
      <c r="M607" t="inlineStr">
        <is>
          <t>HVP 3/3mm, iDose (3)</t>
        </is>
      </c>
    </row>
    <row r="608">
      <c r="A608" s="2" t="n">
        <v>3506901</v>
      </c>
      <c r="B608" s="2" t="inlineStr">
        <is>
          <t>66</t>
        </is>
      </c>
      <c r="C608" s="2" t="inlineStr">
        <is>
          <t>F</t>
        </is>
      </c>
      <c r="D608" s="2" t="inlineStr">
        <is>
          <t>120.0</t>
        </is>
      </c>
      <c r="E608" s="4">
        <f>HYPERLINK("./Results/DLO\1553\Osteo_Sarco_1.png","RPT")</f>
        <v/>
      </c>
      <c r="F608" s="2" t="n">
        <v>105</v>
      </c>
      <c r="G608" s="6" t="n">
        <v>6</v>
      </c>
      <c r="I608" s="0" t="n"/>
      <c r="J608" s="0" t="n"/>
      <c r="K608" s="0" t="n"/>
      <c r="L608" t="inlineStr">
        <is>
          <t>Revolution EVO</t>
        </is>
      </c>
      <c r="M608" t="inlineStr">
        <is>
          <t>HVP 3mm</t>
        </is>
      </c>
    </row>
    <row r="609">
      <c r="A609" s="2" t="n">
        <v>3902619</v>
      </c>
      <c r="B609" s="2" t="inlineStr">
        <is>
          <t>36</t>
        </is>
      </c>
      <c r="C609" s="2" t="inlineStr">
        <is>
          <t>F</t>
        </is>
      </c>
      <c r="D609" s="2" t="inlineStr">
        <is>
          <t>100.0</t>
        </is>
      </c>
      <c r="E609" s="4">
        <f>HYPERLINK("./Results/DLO\1554\Osteo_Sarco_1.png","RPT")</f>
        <v/>
      </c>
      <c r="F609" s="2" t="n">
        <v>106</v>
      </c>
      <c r="G609" s="6" t="n">
        <v>6</v>
      </c>
      <c r="I609" s="0" t="n"/>
      <c r="J609" s="0" t="n"/>
      <c r="K609" s="0" t="n"/>
      <c r="L609" t="inlineStr">
        <is>
          <t>Discovery CT750 HD</t>
        </is>
      </c>
      <c r="M609" t="inlineStr">
        <is>
          <t>CE 2.5mm(ASIR30%)</t>
        </is>
      </c>
    </row>
    <row r="610">
      <c r="A610" s="2" t="n">
        <v>3560792</v>
      </c>
      <c r="B610" s="2" t="inlineStr">
        <is>
          <t>73</t>
        </is>
      </c>
      <c r="C610" s="2" t="inlineStr">
        <is>
          <t>M</t>
        </is>
      </c>
      <c r="D610" s="2" t="inlineStr">
        <is>
          <t>100.0</t>
        </is>
      </c>
      <c r="E610" s="4">
        <f>HYPERLINK("./Results/DLO\1555\Osteo_Sarco_1.png","RPT")</f>
        <v/>
      </c>
      <c r="F610" s="2" t="n">
        <v>150</v>
      </c>
      <c r="G610" s="6" t="n">
        <v>12</v>
      </c>
      <c r="I610" s="0" t="n"/>
      <c r="J610" s="0" t="n"/>
      <c r="K610" s="0" t="n"/>
      <c r="L610" t="inlineStr">
        <is>
          <t>Revolution CT</t>
        </is>
      </c>
      <c r="M610" t="inlineStr">
        <is>
          <t>LAP 3mm(73kg/146cc/3.0cc/xene)</t>
        </is>
      </c>
    </row>
    <row r="611">
      <c r="A611" s="2" t="n">
        <v>2743368</v>
      </c>
      <c r="B611" s="2" t="inlineStr">
        <is>
          <t>56</t>
        </is>
      </c>
      <c r="C611" s="2" t="inlineStr">
        <is>
          <t>M</t>
        </is>
      </c>
      <c r="D611" s="2" t="inlineStr">
        <is>
          <t>100.0</t>
        </is>
      </c>
      <c r="E611" s="4">
        <f>HYPERLINK("./Results/DLO\1556\Osteo_Sarco_1.png","RPT")</f>
        <v/>
      </c>
      <c r="F611" s="2" t="n">
        <v>169</v>
      </c>
      <c r="G611" s="6" t="n">
        <v>8</v>
      </c>
      <c r="I611" s="0" t="n"/>
      <c r="J611" s="0" t="n"/>
      <c r="K611" s="0" t="n"/>
      <c r="L611" t="inlineStr">
        <is>
          <t>Discovery CT750 HD</t>
        </is>
      </c>
      <c r="M611" t="inlineStr">
        <is>
          <t>CE 2.5mm(ASIR30%)</t>
        </is>
      </c>
    </row>
    <row r="612">
      <c r="A612" s="2" t="n">
        <v>4623690</v>
      </c>
      <c r="B612" s="2" t="inlineStr">
        <is>
          <t>61</t>
        </is>
      </c>
      <c r="C612" s="2" t="inlineStr">
        <is>
          <t>F</t>
        </is>
      </c>
      <c r="D612" s="2" t="inlineStr">
        <is>
          <t>100.0</t>
        </is>
      </c>
      <c r="E612" s="4">
        <f>HYPERLINK("./Results/DLO\1557\Osteo_Sarco_1.png","RPT")</f>
        <v/>
      </c>
      <c r="F612" s="2" t="n">
        <v>113</v>
      </c>
      <c r="G612" s="6" t="n">
        <v>6</v>
      </c>
      <c r="I612" s="0" t="n"/>
      <c r="J612" s="0" t="n"/>
      <c r="K612" s="0" t="n"/>
      <c r="L612" t="inlineStr">
        <is>
          <t>Revolution EVO</t>
        </is>
      </c>
      <c r="M612" t="inlineStr">
        <is>
          <t>PRE</t>
        </is>
      </c>
    </row>
    <row r="613">
      <c r="A613" s="2" t="n">
        <v>4347687</v>
      </c>
      <c r="B613" s="2" t="inlineStr">
        <is>
          <t>40</t>
        </is>
      </c>
      <c r="C613" s="2" t="inlineStr">
        <is>
          <t>M</t>
        </is>
      </c>
      <c r="D613" s="2" t="inlineStr">
        <is>
          <t>100.0</t>
        </is>
      </c>
      <c r="E613" s="4">
        <f>HYPERLINK("./Results/DLO\1558\Osteo_Sarco_1.png","RPT")</f>
        <v/>
      </c>
      <c r="F613" s="2" t="n">
        <v>167</v>
      </c>
      <c r="G613" s="6" t="n">
        <v>12</v>
      </c>
      <c r="I613" s="0" t="n"/>
      <c r="J613" s="0" t="n"/>
      <c r="K613" s="0" t="n"/>
      <c r="L613" t="inlineStr">
        <is>
          <t>Revolution CT</t>
        </is>
      </c>
      <c r="M613" t="inlineStr">
        <is>
          <t>Pre 3mm pacs</t>
        </is>
      </c>
    </row>
    <row r="614">
      <c r="A614" s="2" t="n">
        <v>4341038</v>
      </c>
      <c r="B614" s="2" t="inlineStr">
        <is>
          <t>66</t>
        </is>
      </c>
      <c r="C614" s="2" t="inlineStr">
        <is>
          <t>F</t>
        </is>
      </c>
      <c r="D614" s="2" t="inlineStr">
        <is>
          <t>100.0</t>
        </is>
      </c>
      <c r="E614" s="4">
        <f>HYPERLINK("./Results/DLO\1559\Osteo_Sarco_1.png","RPT")</f>
        <v/>
      </c>
      <c r="F614" s="2" t="n">
        <v>91</v>
      </c>
      <c r="G614" s="6" t="n">
        <v>11</v>
      </c>
      <c r="I614" s="0" t="n"/>
      <c r="J614" s="0" t="n"/>
      <c r="K614" s="0" t="n"/>
      <c r="L614" t="inlineStr">
        <is>
          <t>iCT 256</t>
        </is>
      </c>
      <c r="M614" t="inlineStr">
        <is>
          <t>Pre3/3mm_I-3, iDose (3)</t>
        </is>
      </c>
    </row>
    <row r="615">
      <c r="A615" s="2" t="n">
        <v>4715103</v>
      </c>
      <c r="B615" s="2" t="inlineStr">
        <is>
          <t>67</t>
        </is>
      </c>
      <c r="C615" s="2" t="inlineStr">
        <is>
          <t>F</t>
        </is>
      </c>
      <c r="D615" s="2" t="inlineStr">
        <is>
          <t>120.0</t>
        </is>
      </c>
      <c r="E615" s="4">
        <f>HYPERLINK("./Results/DLO\156\Osteo_Sarco_1.png","RPT")</f>
        <v/>
      </c>
      <c r="F615" s="2" t="n">
        <v>119</v>
      </c>
      <c r="G615" s="6" t="n">
        <v>7</v>
      </c>
      <c r="H615" t="n">
        <v>25.16</v>
      </c>
      <c r="L615" t="inlineStr">
        <is>
          <t>Sensation 64</t>
        </is>
      </c>
      <c r="M615" t="inlineStr">
        <is>
          <t>PRE 5.0 B30F</t>
        </is>
      </c>
    </row>
    <row r="616">
      <c r="A616" s="2" t="n">
        <v>3905336</v>
      </c>
      <c r="B616" s="2" t="inlineStr">
        <is>
          <t>68</t>
        </is>
      </c>
      <c r="C616" s="2" t="inlineStr">
        <is>
          <t>M</t>
        </is>
      </c>
      <c r="D616" s="2" t="inlineStr">
        <is>
          <t>120.0</t>
        </is>
      </c>
      <c r="E616" s="4">
        <f>HYPERLINK("./Results/DLO\1560\Osteo_Sarco_1.png","RPT")</f>
        <v/>
      </c>
      <c r="F616" s="2" t="n">
        <v>150</v>
      </c>
      <c r="G616" s="6" t="n">
        <v>13</v>
      </c>
      <c r="I616" s="0" t="n"/>
      <c r="J616" s="0" t="n"/>
      <c r="K616" s="0" t="n"/>
      <c r="L616" t="inlineStr">
        <is>
          <t>Discovery CT750 HD</t>
        </is>
      </c>
      <c r="M616" t="inlineStr">
        <is>
          <t>HVP 3mm</t>
        </is>
      </c>
    </row>
    <row r="617">
      <c r="A617" s="2" t="n">
        <v>3657565</v>
      </c>
      <c r="B617" s="2" t="inlineStr">
        <is>
          <t>68</t>
        </is>
      </c>
      <c r="C617" s="2" t="inlineStr">
        <is>
          <t>M</t>
        </is>
      </c>
      <c r="D617" s="2" t="inlineStr">
        <is>
          <t>120.0</t>
        </is>
      </c>
      <c r="E617" s="4">
        <f>HYPERLINK("./Results/DLO\1561\Osteo_Sarco_1.png","RPT")</f>
        <v/>
      </c>
      <c r="F617" s="2" t="n">
        <v>163</v>
      </c>
      <c r="G617" s="6" t="n">
        <v>14</v>
      </c>
      <c r="I617" s="0" t="n"/>
      <c r="J617" s="0" t="n"/>
      <c r="K617" s="0" t="n"/>
      <c r="L617" t="inlineStr">
        <is>
          <t>iCT 256</t>
        </is>
      </c>
      <c r="M617" t="inlineStr">
        <is>
          <t>HVP 3/3mm, iDose (3)</t>
        </is>
      </c>
    </row>
    <row r="618">
      <c r="A618" s="2" t="n">
        <v>4145720</v>
      </c>
      <c r="B618" s="2" t="inlineStr">
        <is>
          <t>51</t>
        </is>
      </c>
      <c r="C618" s="2" t="inlineStr">
        <is>
          <t>M</t>
        </is>
      </c>
      <c r="D618" s="2" t="inlineStr">
        <is>
          <t>100.0</t>
        </is>
      </c>
      <c r="E618" s="4">
        <f>HYPERLINK("./Results/DLO\1562\Osteo_Sarco_1.png","RPT")</f>
        <v/>
      </c>
      <c r="F618" s="2" t="n">
        <v>140</v>
      </c>
      <c r="G618" s="6" t="n">
        <v>8</v>
      </c>
      <c r="I618" s="0" t="n"/>
      <c r="J618" s="0" t="n"/>
      <c r="K618" s="0" t="n"/>
      <c r="L618" t="inlineStr">
        <is>
          <t>SOMATOM Definition...</t>
        </is>
      </c>
      <c r="M618" t="inlineStr">
        <is>
          <t>HVP 2 3mm(69kg/ 138cc/ 3cc/...</t>
        </is>
      </c>
    </row>
    <row r="619">
      <c r="A619" s="2" t="n">
        <v>2482491</v>
      </c>
      <c r="B619" s="2" t="inlineStr">
        <is>
          <t>70</t>
        </is>
      </c>
      <c r="C619" s="2" t="inlineStr">
        <is>
          <t>M</t>
        </is>
      </c>
      <c r="D619" s="2" t="inlineStr">
        <is>
          <t>100.0</t>
        </is>
      </c>
      <c r="E619" s="4">
        <f>HYPERLINK("./Results/DLO\1563\Osteo_Sarco_1.png","RPT")</f>
        <v/>
      </c>
      <c r="F619" s="2" t="n">
        <v>129</v>
      </c>
      <c r="G619" s="6" t="n">
        <v>7</v>
      </c>
      <c r="H619" t="n">
        <v>23.73</v>
      </c>
      <c r="L619" t="inlineStr">
        <is>
          <t>SOMATOM Definition...</t>
        </is>
      </c>
      <c r="M619" t="inlineStr">
        <is>
          <t>Pre 3mm</t>
        </is>
      </c>
    </row>
    <row r="620">
      <c r="A620" s="2" t="n">
        <v>4184623</v>
      </c>
      <c r="B620" s="2" t="inlineStr">
        <is>
          <t>52</t>
        </is>
      </c>
      <c r="C620" s="2" t="inlineStr">
        <is>
          <t>F</t>
        </is>
      </c>
      <c r="D620" s="2" t="inlineStr">
        <is>
          <t>100.0</t>
        </is>
      </c>
      <c r="E620" s="4">
        <f>HYPERLINK("./Results/DLO\1564\Osteo_Sarco_1.png","RPT")</f>
        <v/>
      </c>
      <c r="F620" s="2" t="n">
        <v>101</v>
      </c>
      <c r="G620" s="6" t="n">
        <v>8</v>
      </c>
      <c r="I620" s="0" t="n"/>
      <c r="J620" s="0" t="n"/>
      <c r="K620" s="0" t="n"/>
      <c r="L620" t="inlineStr">
        <is>
          <t>SOMATOM Definition...</t>
        </is>
      </c>
      <c r="M620" t="inlineStr">
        <is>
          <t>HVP 2 3mm (49kg/98cc/2.3cc/...</t>
        </is>
      </c>
    </row>
    <row r="621">
      <c r="A621" s="2" t="n">
        <v>2231637</v>
      </c>
      <c r="B621" s="2" t="inlineStr">
        <is>
          <t>47</t>
        </is>
      </c>
      <c r="C621" s="2" t="inlineStr">
        <is>
          <t>F</t>
        </is>
      </c>
      <c r="D621" s="2" t="inlineStr">
        <is>
          <t>100.0</t>
        </is>
      </c>
      <c r="E621" s="4">
        <f>HYPERLINK("./Results/DLO\1565\Osteo_Sarco_1.png","RPT")</f>
        <v/>
      </c>
      <c r="F621" s="2" t="n">
        <v>102</v>
      </c>
      <c r="G621" s="6" t="n">
        <v>9</v>
      </c>
      <c r="I621" s="0" t="n"/>
      <c r="J621" s="0" t="n"/>
      <c r="K621" s="0" t="n"/>
      <c r="L621" t="inlineStr">
        <is>
          <t>Revolution EVO</t>
        </is>
      </c>
      <c r="M621" t="inlineStr">
        <is>
          <t>PRE (CP angle~Pubic)</t>
        </is>
      </c>
    </row>
    <row r="622">
      <c r="A622" s="2" t="n">
        <v>3677756</v>
      </c>
      <c r="B622" s="2" t="inlineStr">
        <is>
          <t>45</t>
        </is>
      </c>
      <c r="C622" s="2" t="inlineStr">
        <is>
          <t>F</t>
        </is>
      </c>
      <c r="D622" s="2" t="inlineStr">
        <is>
          <t>100.0</t>
        </is>
      </c>
      <c r="E622" s="4">
        <f>HYPERLINK("./Results/DLO\1566\Osteo_Sarco_1.png","RPT")</f>
        <v/>
      </c>
      <c r="F622" s="2" t="n">
        <v>138</v>
      </c>
      <c r="G622" s="6" t="n">
        <v>5</v>
      </c>
      <c r="I622" s="0" t="n"/>
      <c r="J622" s="0" t="n"/>
      <c r="K622" s="0" t="n"/>
      <c r="L622" t="inlineStr">
        <is>
          <t>Revolution EVO</t>
        </is>
      </c>
      <c r="M622" t="inlineStr">
        <is>
          <t>PRE</t>
        </is>
      </c>
    </row>
    <row r="623">
      <c r="A623" s="2" t="n">
        <v>3606891</v>
      </c>
      <c r="B623" s="2" t="inlineStr">
        <is>
          <t>63</t>
        </is>
      </c>
      <c r="C623" s="2" t="inlineStr">
        <is>
          <t>M</t>
        </is>
      </c>
      <c r="D623" s="2" t="inlineStr">
        <is>
          <t>100.0</t>
        </is>
      </c>
      <c r="E623" s="4">
        <f>HYPERLINK("./Results/DLO\1567\Osteo_Sarco_1.png","RPT")</f>
        <v/>
      </c>
      <c r="F623" s="2" t="n">
        <v>122</v>
      </c>
      <c r="G623" s="6" t="n">
        <v>8</v>
      </c>
      <c r="H623" t="n">
        <v>17.45</v>
      </c>
      <c r="L623" t="inlineStr">
        <is>
          <t>SOMATOM Definition...</t>
        </is>
      </c>
      <c r="M623" t="inlineStr">
        <is>
          <t>Abd 5.0 I40f 1</t>
        </is>
      </c>
    </row>
    <row r="624">
      <c r="A624" s="2" t="n">
        <v>4290495</v>
      </c>
      <c r="B624" s="2" t="inlineStr">
        <is>
          <t>48</t>
        </is>
      </c>
      <c r="C624" s="2" t="inlineStr">
        <is>
          <t>M</t>
        </is>
      </c>
      <c r="D624" s="2" t="inlineStr">
        <is>
          <t>100.0</t>
        </is>
      </c>
      <c r="E624" s="4">
        <f>HYPERLINK("./Results/DLO\1568\Osteo_Sarco_1.png","RPT")</f>
        <v/>
      </c>
      <c r="F624" s="2" t="n">
        <v>163</v>
      </c>
      <c r="G624" s="6" t="n">
        <v>6</v>
      </c>
      <c r="I624" s="0" t="n"/>
      <c r="J624" s="0" t="n"/>
      <c r="K624" s="0" t="n"/>
      <c r="L624" t="inlineStr">
        <is>
          <t>SOMATOM Definition...</t>
        </is>
      </c>
      <c r="M624" t="inlineStr">
        <is>
          <t>PRE 3mm (100Kvp 100mAs)</t>
        </is>
      </c>
    </row>
    <row r="625">
      <c r="A625" s="2" t="n">
        <v>1724688</v>
      </c>
      <c r="B625" s="2" t="inlineStr">
        <is>
          <t>58</t>
        </is>
      </c>
      <c r="C625" s="2" t="inlineStr">
        <is>
          <t>M</t>
        </is>
      </c>
      <c r="D625" s="2" t="inlineStr">
        <is>
          <t>120.0</t>
        </is>
      </c>
      <c r="E625" s="4">
        <f>HYPERLINK("./Results/DLO\1569\Osteo_Sarco_1.png","RPT")</f>
        <v/>
      </c>
      <c r="F625" s="2" t="n">
        <v>174</v>
      </c>
      <c r="G625" s="6" t="n">
        <v>10</v>
      </c>
      <c r="I625" s="0" t="n"/>
      <c r="J625" s="0" t="n"/>
      <c r="K625" s="0" t="n"/>
      <c r="L625" t="inlineStr">
        <is>
          <t>iCT 256</t>
        </is>
      </c>
      <c r="M625" t="inlineStr">
        <is>
          <t>HVP 3/3mm, iDose (4)</t>
        </is>
      </c>
    </row>
    <row r="626">
      <c r="A626" s="2" t="n">
        <v>2265137</v>
      </c>
      <c r="B626" s="2" t="inlineStr">
        <is>
          <t>49</t>
        </is>
      </c>
      <c r="C626" s="2" t="inlineStr">
        <is>
          <t>F</t>
        </is>
      </c>
      <c r="D626" s="2" t="inlineStr">
        <is>
          <t>100.0</t>
        </is>
      </c>
      <c r="E626" s="4">
        <f>HYPERLINK("./Results/DLO\157\Osteo_Sarco_1.png","RPT")</f>
        <v/>
      </c>
      <c r="F626" s="2" t="n">
        <v>130</v>
      </c>
      <c r="G626" s="6" t="n">
        <v>7</v>
      </c>
      <c r="I626" s="0" t="n"/>
      <c r="J626" s="0" t="n"/>
      <c r="K626" s="0" t="n"/>
      <c r="L626" t="inlineStr">
        <is>
          <t>SOMATOM Force</t>
        </is>
      </c>
      <c r="M626" t="inlineStr">
        <is>
          <t>HVP 3.0 Br40 2 (70kg/140cc...</t>
        </is>
      </c>
    </row>
    <row r="627">
      <c r="A627" s="2" t="n">
        <v>2703449</v>
      </c>
      <c r="B627" s="2" t="inlineStr">
        <is>
          <t>70</t>
        </is>
      </c>
      <c r="C627" s="2" t="inlineStr">
        <is>
          <t>M</t>
        </is>
      </c>
      <c r="D627" s="2" t="inlineStr">
        <is>
          <t>100.0</t>
        </is>
      </c>
      <c r="E627" s="4">
        <f>HYPERLINK("./Results/DLO\1570\Osteo_Sarco_1.png","RPT")</f>
        <v/>
      </c>
      <c r="F627" s="2" t="n">
        <v>133</v>
      </c>
      <c r="G627" s="6" t="n">
        <v>7</v>
      </c>
      <c r="I627" s="0" t="n"/>
      <c r="J627" s="0" t="n"/>
      <c r="K627" s="0" t="n"/>
      <c r="L627" t="inlineStr">
        <is>
          <t>SOMATOM Definition...</t>
        </is>
      </c>
      <c r="M627" t="inlineStr">
        <is>
          <t>HVP 2 3mm (64kg/128cc/3cc/hexo)</t>
        </is>
      </c>
    </row>
    <row r="628">
      <c r="A628" s="2" t="n">
        <v>4650287</v>
      </c>
      <c r="B628" s="2" t="inlineStr">
        <is>
          <t>51</t>
        </is>
      </c>
      <c r="C628" s="2" t="inlineStr">
        <is>
          <t>F</t>
        </is>
      </c>
      <c r="D628" s="2" t="inlineStr">
        <is>
          <t>100.0</t>
        </is>
      </c>
      <c r="E628" s="4">
        <f>HYPERLINK("./Results/DLO\1571\Osteo_Sarco_1.png","RPT")</f>
        <v/>
      </c>
      <c r="F628" s="2" t="n">
        <v>96</v>
      </c>
      <c r="G628" s="6" t="n">
        <v>6</v>
      </c>
      <c r="I628" s="0" t="n"/>
      <c r="J628" s="0" t="n"/>
      <c r="K628" s="0" t="n"/>
      <c r="L628" t="inlineStr">
        <is>
          <t>iCT 256</t>
        </is>
      </c>
      <c r="M628" t="inlineStr">
        <is>
          <t>Pre3/3mm_I-3, iDose (3)</t>
        </is>
      </c>
    </row>
    <row r="629">
      <c r="A629" s="2" t="n">
        <v>2815858</v>
      </c>
      <c r="B629" s="2" t="inlineStr">
        <is>
          <t>57</t>
        </is>
      </c>
      <c r="C629" s="2" t="inlineStr">
        <is>
          <t>F</t>
        </is>
      </c>
      <c r="D629" s="2" t="inlineStr">
        <is>
          <t>100.0</t>
        </is>
      </c>
      <c r="E629" s="4">
        <f>HYPERLINK("./Results/DLO\1572\Osteo_Sarco_1.png","RPT")</f>
        <v/>
      </c>
      <c r="F629" s="2" t="n">
        <v>119</v>
      </c>
      <c r="G629" s="6" t="n">
        <v>7</v>
      </c>
      <c r="H629" t="n">
        <v>26.63</v>
      </c>
      <c r="L629" t="inlineStr">
        <is>
          <t>SOMATOM Definition...</t>
        </is>
      </c>
      <c r="M629" t="inlineStr">
        <is>
          <t>Pre 3mm</t>
        </is>
      </c>
    </row>
    <row r="630">
      <c r="A630" s="2" t="n">
        <v>2559260</v>
      </c>
      <c r="B630" s="2" t="inlineStr">
        <is>
          <t>71</t>
        </is>
      </c>
      <c r="C630" s="2" t="inlineStr">
        <is>
          <t>M</t>
        </is>
      </c>
      <c r="D630" s="2" t="inlineStr">
        <is>
          <t>120.0</t>
        </is>
      </c>
      <c r="E630" s="4">
        <f>HYPERLINK("./Results/DLO\1573\Osteo_Sarco_1.png","RPT")</f>
        <v/>
      </c>
      <c r="F630" s="2" t="n">
        <v>153</v>
      </c>
      <c r="G630" s="6" t="n">
        <v>6</v>
      </c>
      <c r="I630" s="0" t="n"/>
      <c r="J630" s="0" t="n"/>
      <c r="K630" s="0" t="n"/>
      <c r="L630" t="inlineStr">
        <is>
          <t>Discovery CT750 HD</t>
        </is>
      </c>
      <c r="M630" t="inlineStr">
        <is>
          <t>HVP 3mm</t>
        </is>
      </c>
    </row>
    <row r="631">
      <c r="A631" s="2" t="n">
        <v>2004448</v>
      </c>
      <c r="B631" s="2" t="inlineStr">
        <is>
          <t>69</t>
        </is>
      </c>
      <c r="C631" s="2" t="inlineStr">
        <is>
          <t>F</t>
        </is>
      </c>
      <c r="D631" s="2" t="inlineStr">
        <is>
          <t>100.0</t>
        </is>
      </c>
      <c r="E631" s="4">
        <f>HYPERLINK("./Results/DLO\1574\Osteo_Sarco_1.png","RPT")</f>
        <v/>
      </c>
      <c r="F631" s="2" t="n">
        <v>118</v>
      </c>
      <c r="G631" s="6" t="n">
        <v>12</v>
      </c>
      <c r="I631" s="0" t="n"/>
      <c r="J631" s="0" t="n"/>
      <c r="K631" s="0" t="n"/>
      <c r="L631" t="inlineStr">
        <is>
          <t>SOMATOM Definition...</t>
        </is>
      </c>
      <c r="M631" t="inlineStr">
        <is>
          <t>HVP 2 3mm(61Kg/122ml/3ml/xe...</t>
        </is>
      </c>
    </row>
    <row r="632">
      <c r="A632" s="2" t="n">
        <v>4174003</v>
      </c>
      <c r="B632" s="2" t="inlineStr">
        <is>
          <t>59</t>
        </is>
      </c>
      <c r="C632" s="2" t="inlineStr">
        <is>
          <t>F</t>
        </is>
      </c>
      <c r="D632" s="2" t="inlineStr">
        <is>
          <t>100.0</t>
        </is>
      </c>
      <c r="E632" s="4">
        <f>HYPERLINK("./Results/DLO\1575\Osteo_Sarco_1.png","RPT")</f>
        <v/>
      </c>
      <c r="F632" s="2" t="n">
        <v>107</v>
      </c>
      <c r="G632" s="6" t="n">
        <v>14</v>
      </c>
      <c r="I632" s="0" t="n"/>
      <c r="J632" s="0" t="n"/>
      <c r="K632" s="0" t="n"/>
      <c r="L632" t="inlineStr">
        <is>
          <t>Revolution CT</t>
        </is>
      </c>
      <c r="M632" t="inlineStr">
        <is>
          <t>Pre Axial 3mm</t>
        </is>
      </c>
    </row>
    <row r="633">
      <c r="A633" s="2" t="n">
        <v>3922677</v>
      </c>
      <c r="B633" s="2" t="inlineStr">
        <is>
          <t>64</t>
        </is>
      </c>
      <c r="C633" s="2" t="inlineStr">
        <is>
          <t>M</t>
        </is>
      </c>
      <c r="D633" s="2" t="inlineStr">
        <is>
          <t>100.0</t>
        </is>
      </c>
      <c r="E633" s="4">
        <f>HYPERLINK("./Results/DLO\1576\Osteo_Sarco_1.png","RPT")</f>
        <v/>
      </c>
      <c r="F633" s="2" t="n">
        <v>102</v>
      </c>
      <c r="G633" s="6" t="n">
        <v>11</v>
      </c>
      <c r="H633" t="n">
        <v>21.09</v>
      </c>
      <c r="L633" t="inlineStr">
        <is>
          <t>Revolution CT</t>
        </is>
      </c>
      <c r="M633" t="inlineStr">
        <is>
          <t>HVP 3mm-pacs(57kg/114cc/3cc/b...</t>
        </is>
      </c>
    </row>
    <row r="634">
      <c r="A634" s="2" t="n">
        <v>3921377</v>
      </c>
      <c r="B634" s="2" t="inlineStr">
        <is>
          <t>51</t>
        </is>
      </c>
      <c r="C634" s="2" t="inlineStr">
        <is>
          <t>M</t>
        </is>
      </c>
      <c r="D634" s="2" t="inlineStr">
        <is>
          <t>100.0</t>
        </is>
      </c>
      <c r="E634" s="4">
        <f>HYPERLINK("./Results/DLO\1577\Osteo_Sarco_1.png","RPT")</f>
        <v/>
      </c>
      <c r="F634" s="2" t="n">
        <v>161</v>
      </c>
      <c r="G634" s="6" t="n">
        <v>7</v>
      </c>
      <c r="I634" s="0" t="n"/>
      <c r="J634" s="0" t="n"/>
      <c r="K634" s="0" t="n"/>
      <c r="L634" t="inlineStr">
        <is>
          <t>SOMATOM Force</t>
        </is>
      </c>
      <c r="M634" t="inlineStr">
        <is>
          <t>100kVp100mAs 3.0 Br40</t>
        </is>
      </c>
    </row>
    <row r="635">
      <c r="A635" s="2" t="n">
        <v>2083433</v>
      </c>
      <c r="B635" s="2" t="inlineStr">
        <is>
          <t>75</t>
        </is>
      </c>
      <c r="C635" s="2" t="inlineStr">
        <is>
          <t>F</t>
        </is>
      </c>
      <c r="D635" s="2" t="inlineStr">
        <is>
          <t>100.0</t>
        </is>
      </c>
      <c r="E635" s="4">
        <f>HYPERLINK("./Results/DLO\1578\Osteo_Sarco_1.png","RPT")</f>
        <v/>
      </c>
      <c r="F635" s="2" t="n">
        <v>100</v>
      </c>
      <c r="G635" s="6" t="n">
        <v>11</v>
      </c>
      <c r="H635" t="n">
        <v>26.02</v>
      </c>
      <c r="L635" t="inlineStr">
        <is>
          <t>SOMATOM Definition...</t>
        </is>
      </c>
      <c r="M635" t="inlineStr">
        <is>
          <t>HVP 2 3mm(63kg/126cc/3cc/xene)</t>
        </is>
      </c>
    </row>
    <row r="636">
      <c r="A636" s="2" t="n">
        <v>3818283</v>
      </c>
      <c r="B636" s="2" t="inlineStr">
        <is>
          <t>52</t>
        </is>
      </c>
      <c r="C636" s="2" t="inlineStr">
        <is>
          <t>F</t>
        </is>
      </c>
      <c r="D636" s="2" t="inlineStr">
        <is>
          <t>100.0</t>
        </is>
      </c>
      <c r="E636" s="4">
        <f>HYPERLINK("./Results/DLO\1579\Osteo_Sarco_1.png","RPT")</f>
        <v/>
      </c>
      <c r="F636" s="2" t="n">
        <v>116</v>
      </c>
      <c r="G636" s="6" t="n">
        <v>11</v>
      </c>
      <c r="H636" t="n">
        <v>23.84</v>
      </c>
      <c r="L636" t="inlineStr">
        <is>
          <t>LightSpeed VCT</t>
        </is>
      </c>
      <c r="M636" t="inlineStr">
        <is>
          <t>PRE 3mm</t>
        </is>
      </c>
    </row>
    <row r="637">
      <c r="A637" s="2" t="n">
        <v>2894257</v>
      </c>
      <c r="B637" s="2" t="inlineStr">
        <is>
          <t>33</t>
        </is>
      </c>
      <c r="C637" s="2" t="inlineStr">
        <is>
          <t>F</t>
        </is>
      </c>
      <c r="D637" s="2" t="inlineStr">
        <is>
          <t>100.0</t>
        </is>
      </c>
      <c r="E637" s="4">
        <f>HYPERLINK("./Results/DLO\158\Osteo_Sarco_1.png","RPT")</f>
        <v/>
      </c>
      <c r="F637" s="2" t="n">
        <v>94</v>
      </c>
      <c r="G637" s="6" t="n">
        <v>9</v>
      </c>
      <c r="I637" s="0" t="n"/>
      <c r="J637" s="0" t="n"/>
      <c r="K637" s="0" t="n"/>
      <c r="L637" t="inlineStr">
        <is>
          <t>Revolution CT</t>
        </is>
      </c>
      <c r="M637" t="inlineStr">
        <is>
          <t>GU Pre 3mm pacs</t>
        </is>
      </c>
    </row>
    <row r="638">
      <c r="A638" s="2" t="n">
        <v>1928589</v>
      </c>
      <c r="B638" s="2" t="inlineStr">
        <is>
          <t>62</t>
        </is>
      </c>
      <c r="C638" s="2" t="inlineStr">
        <is>
          <t>F</t>
        </is>
      </c>
      <c r="D638" s="2" t="inlineStr">
        <is>
          <t>120.0</t>
        </is>
      </c>
      <c r="E638" s="4">
        <f>HYPERLINK("./Results/DLO\1580\Osteo_Sarco_1.png","RPT")</f>
        <v/>
      </c>
      <c r="F638" s="2" t="n">
        <v>152</v>
      </c>
      <c r="G638" s="6" t="n">
        <v>23</v>
      </c>
      <c r="H638" t="n">
        <v>33.25</v>
      </c>
      <c r="L638" t="inlineStr">
        <is>
          <t>Discovery CT750 HD</t>
        </is>
      </c>
      <c r="M638" t="inlineStr">
        <is>
          <t>HVP 3mm</t>
        </is>
      </c>
    </row>
    <row r="639">
      <c r="A639" s="2" t="n">
        <v>2179046</v>
      </c>
      <c r="B639" s="2" t="inlineStr">
        <is>
          <t>57</t>
        </is>
      </c>
      <c r="C639" s="2" t="inlineStr">
        <is>
          <t>M</t>
        </is>
      </c>
      <c r="D639" s="2" t="inlineStr">
        <is>
          <t>100.0</t>
        </is>
      </c>
      <c r="E639" s="4">
        <f>HYPERLINK("./Results/DLO\1581\Osteo_Sarco_1.png","RPT")</f>
        <v/>
      </c>
      <c r="F639" s="2" t="n">
        <v>123</v>
      </c>
      <c r="G639" s="6" t="n">
        <v>9</v>
      </c>
      <c r="H639" t="n">
        <v>20.93</v>
      </c>
      <c r="L639" t="inlineStr">
        <is>
          <t>Revolution CT</t>
        </is>
      </c>
      <c r="M639" t="inlineStr">
        <is>
          <t>HVP 3mm(51kg/102cc/2.5cc/bono)</t>
        </is>
      </c>
    </row>
    <row r="640">
      <c r="A640" s="2" t="n">
        <v>3038989</v>
      </c>
      <c r="B640" s="2" t="inlineStr">
        <is>
          <t>70</t>
        </is>
      </c>
      <c r="C640" s="2" t="inlineStr">
        <is>
          <t>F</t>
        </is>
      </c>
      <c r="D640" s="2" t="inlineStr">
        <is>
          <t>120.0</t>
        </is>
      </c>
      <c r="E640" s="4">
        <f>HYPERLINK("./Results/DLO\1582\Osteo_Sarco_1.png","RPT")</f>
        <v/>
      </c>
      <c r="F640" s="2" t="n">
        <v>117</v>
      </c>
      <c r="G640" s="6" t="n">
        <v>11</v>
      </c>
      <c r="I640" s="0" t="n"/>
      <c r="J640" s="0" t="n"/>
      <c r="K640" s="0" t="n"/>
      <c r="L640" t="inlineStr">
        <is>
          <t>iCT 256</t>
        </is>
      </c>
      <c r="M640" t="inlineStr">
        <is>
          <t>Pre 3/3mm, iDose (3)</t>
        </is>
      </c>
    </row>
    <row r="641">
      <c r="A641" s="2" t="n">
        <v>2398729</v>
      </c>
      <c r="B641" s="2" t="inlineStr">
        <is>
          <t>55</t>
        </is>
      </c>
      <c r="C641" s="2" t="inlineStr">
        <is>
          <t>M</t>
        </is>
      </c>
      <c r="D641" s="2" t="inlineStr">
        <is>
          <t>100.0</t>
        </is>
      </c>
      <c r="E641" s="4">
        <f>HYPERLINK("./Results/DLO\1583\Osteo_Sarco_1.png","RPT")</f>
        <v/>
      </c>
      <c r="F641" s="2" t="n">
        <v>170</v>
      </c>
      <c r="G641" s="6" t="n">
        <v>19</v>
      </c>
      <c r="H641" t="n">
        <v>26.73</v>
      </c>
      <c r="L641" t="inlineStr">
        <is>
          <t>SOMATOM Definition...</t>
        </is>
      </c>
      <c r="M641" t="inlineStr">
        <is>
          <t>HVP 2 3mm(81kg/150cc/3cc/xene)</t>
        </is>
      </c>
    </row>
    <row r="642">
      <c r="A642" s="2" t="n">
        <v>2299452</v>
      </c>
      <c r="B642" s="2" t="inlineStr">
        <is>
          <t>65</t>
        </is>
      </c>
      <c r="C642" s="2" t="inlineStr">
        <is>
          <t>F</t>
        </is>
      </c>
      <c r="D642" s="2" t="inlineStr">
        <is>
          <t>100.0</t>
        </is>
      </c>
      <c r="E642" s="4">
        <f>HYPERLINK("./Results/DLO\1584\Osteo_Sarco_1.png","RPT")</f>
        <v/>
      </c>
      <c r="F642" s="2" t="n">
        <v>107</v>
      </c>
      <c r="G642" s="6" t="n">
        <v>10</v>
      </c>
      <c r="I642" s="0" t="n"/>
      <c r="J642" s="0" t="n"/>
      <c r="K642" s="0" t="n"/>
      <c r="L642" t="inlineStr">
        <is>
          <t>LightSpeed VCT</t>
        </is>
      </c>
      <c r="M642" t="inlineStr">
        <is>
          <t>PRE (CP angle~Pubic)</t>
        </is>
      </c>
    </row>
    <row r="643">
      <c r="A643" s="2" t="n">
        <v>3032361</v>
      </c>
      <c r="B643" s="2" t="inlineStr">
        <is>
          <t>77</t>
        </is>
      </c>
      <c r="C643" s="2" t="inlineStr">
        <is>
          <t>M</t>
        </is>
      </c>
      <c r="D643" s="2" t="inlineStr">
        <is>
          <t>100.0</t>
        </is>
      </c>
      <c r="E643" s="4">
        <f>HYPERLINK("./Results/DLO\1585\Osteo_Sarco_1.png","RPT")</f>
        <v/>
      </c>
      <c r="F643" s="2" t="n">
        <v>143</v>
      </c>
      <c r="G643" s="6" t="n">
        <v>7</v>
      </c>
      <c r="H643" t="n">
        <v>20.52</v>
      </c>
      <c r="L643" t="inlineStr">
        <is>
          <t>SOMATOM Definition...</t>
        </is>
      </c>
      <c r="M643" t="inlineStr">
        <is>
          <t>HVP 2 3mm (60kg/120cc/3cc/hexol</t>
        </is>
      </c>
    </row>
    <row r="644">
      <c r="A644" s="2" t="n">
        <v>4311148</v>
      </c>
      <c r="B644" s="2" t="inlineStr">
        <is>
          <t>65</t>
        </is>
      </c>
      <c r="C644" s="2" t="inlineStr">
        <is>
          <t>M</t>
        </is>
      </c>
      <c r="D644" s="2" t="inlineStr">
        <is>
          <t>120.0</t>
        </is>
      </c>
      <c r="E644" s="4">
        <f>HYPERLINK("./Results/DLO\1586\Osteo_Sarco_1.png","RPT")</f>
        <v/>
      </c>
      <c r="F644" s="2" t="n">
        <v>140</v>
      </c>
      <c r="G644" s="6" t="n">
        <v>6</v>
      </c>
      <c r="I644" s="0" t="n"/>
      <c r="J644" s="0" t="n"/>
      <c r="K644" s="0" t="n"/>
      <c r="L644" t="inlineStr">
        <is>
          <t>LightSpeed VCT</t>
        </is>
      </c>
      <c r="M644" t="inlineStr">
        <is>
          <t>HVP 55sec 3mm</t>
        </is>
      </c>
    </row>
    <row r="645">
      <c r="A645" s="2" t="n">
        <v>4286030</v>
      </c>
      <c r="B645" s="2" t="inlineStr">
        <is>
          <t>51</t>
        </is>
      </c>
      <c r="C645" s="2" t="inlineStr">
        <is>
          <t>M</t>
        </is>
      </c>
      <c r="D645" s="2" t="inlineStr">
        <is>
          <t>100.0</t>
        </is>
      </c>
      <c r="E645" s="4">
        <f>HYPERLINK("./Results/DLO\1587\Osteo_Sarco_1.png","RPT")</f>
        <v/>
      </c>
      <c r="F645" s="2" t="n">
        <v>188</v>
      </c>
      <c r="G645" s="6" t="n">
        <v>10</v>
      </c>
      <c r="I645" s="0" t="n"/>
      <c r="J645" s="0" t="n"/>
      <c r="K645" s="0" t="n"/>
      <c r="L645" t="inlineStr">
        <is>
          <t>LightSpeed VCT</t>
        </is>
      </c>
      <c r="M645" t="inlineStr">
        <is>
          <t>5mm---CR</t>
        </is>
      </c>
    </row>
    <row r="646">
      <c r="A646" s="2" t="n">
        <v>4965957</v>
      </c>
      <c r="B646" s="2" t="inlineStr">
        <is>
          <t>68</t>
        </is>
      </c>
      <c r="C646" s="2" t="inlineStr">
        <is>
          <t>M</t>
        </is>
      </c>
      <c r="D646" s="2" t="inlineStr">
        <is>
          <t>100.0</t>
        </is>
      </c>
      <c r="E646" s="4">
        <f>HYPERLINK("./Results/DLO\1588\Osteo_Sarco_1.png","RPT")</f>
        <v/>
      </c>
      <c r="F646" s="2" t="n">
        <v>135</v>
      </c>
      <c r="G646" s="6" t="n">
        <v>9</v>
      </c>
      <c r="I646" s="0" t="n"/>
      <c r="J646" s="0" t="n"/>
      <c r="K646" s="0" t="n"/>
      <c r="L646" t="inlineStr">
        <is>
          <t>Revolution EVO</t>
        </is>
      </c>
      <c r="M646" t="inlineStr">
        <is>
          <t>PRE</t>
        </is>
      </c>
    </row>
    <row r="647">
      <c r="A647" s="2" t="n">
        <v>3561360</v>
      </c>
      <c r="B647" s="2" t="inlineStr">
        <is>
          <t>23</t>
        </is>
      </c>
      <c r="C647" s="2" t="inlineStr">
        <is>
          <t>F</t>
        </is>
      </c>
      <c r="D647" s="2" t="inlineStr">
        <is>
          <t>100.0</t>
        </is>
      </c>
      <c r="E647" s="4">
        <f>HYPERLINK("./Results/DLO\1589\Osteo_Sarco_1.png","RPT")</f>
        <v/>
      </c>
      <c r="F647" s="2" t="n">
        <v>99</v>
      </c>
      <c r="G647" s="6" t="n">
        <v>8</v>
      </c>
      <c r="I647" s="0" t="n"/>
      <c r="J647" s="0" t="n"/>
      <c r="K647" s="0" t="n"/>
      <c r="L647" t="inlineStr">
        <is>
          <t>Revolution CT</t>
        </is>
      </c>
      <c r="M647" t="inlineStr">
        <is>
          <t>HVP 3mm-pacs(60kg/120cc/3cc/r...</t>
        </is>
      </c>
    </row>
    <row r="648">
      <c r="A648" s="2" t="n">
        <v>2402343</v>
      </c>
      <c r="B648" s="2" t="inlineStr">
        <is>
          <t>70</t>
        </is>
      </c>
      <c r="C648" s="2" t="inlineStr">
        <is>
          <t>M</t>
        </is>
      </c>
      <c r="D648" s="2" t="inlineStr">
        <is>
          <t>100.0</t>
        </is>
      </c>
      <c r="E648" s="4">
        <f>HYPERLINK("./Results/DLO\159\Osteo_Sarco_1.png","RPT")</f>
        <v/>
      </c>
      <c r="F648" s="2" t="n">
        <v>165</v>
      </c>
      <c r="G648" s="6" t="n">
        <v>11</v>
      </c>
      <c r="I648" s="0" t="n"/>
      <c r="J648" s="0" t="n"/>
      <c r="K648" s="0" t="n"/>
      <c r="L648" t="inlineStr">
        <is>
          <t>SOMATOM Definition...</t>
        </is>
      </c>
      <c r="M648" t="inlineStr">
        <is>
          <t>HVP 2 3mm</t>
        </is>
      </c>
    </row>
    <row r="649">
      <c r="A649" s="2" t="n">
        <v>3526553</v>
      </c>
      <c r="B649" s="2" t="inlineStr">
        <is>
          <t>44</t>
        </is>
      </c>
      <c r="C649" s="2" t="inlineStr">
        <is>
          <t>F</t>
        </is>
      </c>
      <c r="D649" s="2" t="inlineStr">
        <is>
          <t>100.0</t>
        </is>
      </c>
      <c r="E649" s="4">
        <f>HYPERLINK("./Results/DLO\1590\Osteo_Sarco_1.png","RPT")</f>
        <v/>
      </c>
      <c r="F649" s="2" t="n">
        <v>103</v>
      </c>
      <c r="G649" s="6" t="n">
        <v>7</v>
      </c>
      <c r="I649" s="0" t="n"/>
      <c r="J649" s="0" t="n"/>
      <c r="K649" s="0" t="n"/>
      <c r="L649" t="inlineStr">
        <is>
          <t>SOMATOM Force</t>
        </is>
      </c>
      <c r="M649" t="inlineStr">
        <is>
          <t>HVP 3.0 Br40 2(48kg/96cc/2...</t>
        </is>
      </c>
    </row>
    <row r="650">
      <c r="A650" s="2" t="n">
        <v>3253765</v>
      </c>
      <c r="B650" s="2" t="inlineStr">
        <is>
          <t>73</t>
        </is>
      </c>
      <c r="C650" s="2" t="inlineStr">
        <is>
          <t>M</t>
        </is>
      </c>
      <c r="D650" s="2" t="inlineStr">
        <is>
          <t>120.0</t>
        </is>
      </c>
      <c r="E650" s="4">
        <f>HYPERLINK("./Results/DLO\1591\Osteo_Sarco_1.png","RPT")</f>
        <v/>
      </c>
      <c r="F650" s="2" t="n">
        <v>134</v>
      </c>
      <c r="G650" s="6" t="n">
        <v>13</v>
      </c>
      <c r="I650" s="0" t="n"/>
      <c r="J650" s="0" t="n"/>
      <c r="K650" s="0" t="n"/>
      <c r="L650" t="inlineStr">
        <is>
          <t>iCT 256</t>
        </is>
      </c>
      <c r="M650" t="inlineStr">
        <is>
          <t>HVP 3/3mm, iDose (4)</t>
        </is>
      </c>
    </row>
    <row r="651">
      <c r="A651" s="2" t="n">
        <v>3104886</v>
      </c>
      <c r="B651" s="2" t="inlineStr">
        <is>
          <t>62</t>
        </is>
      </c>
      <c r="C651" s="2" t="inlineStr">
        <is>
          <t>M</t>
        </is>
      </c>
      <c r="D651" s="2" t="inlineStr">
        <is>
          <t>100.0</t>
        </is>
      </c>
      <c r="E651" s="4">
        <f>HYPERLINK("./Results/DLO\1592\Osteo_Sarco_1.png","RPT")</f>
        <v/>
      </c>
      <c r="F651" s="2" t="n">
        <v>144</v>
      </c>
      <c r="G651" s="6" t="n">
        <v>17</v>
      </c>
      <c r="I651" s="0" t="n"/>
      <c r="J651" s="0" t="n"/>
      <c r="K651" s="0" t="n"/>
      <c r="L651" t="inlineStr">
        <is>
          <t>LightSpeed VCT</t>
        </is>
      </c>
      <c r="M651" t="inlineStr">
        <is>
          <t>PRE 3mm</t>
        </is>
      </c>
    </row>
    <row r="652">
      <c r="A652" s="2" t="n">
        <v>3283791</v>
      </c>
      <c r="B652" s="2" t="inlineStr">
        <is>
          <t>64</t>
        </is>
      </c>
      <c r="C652" s="2" t="inlineStr">
        <is>
          <t>F</t>
        </is>
      </c>
      <c r="D652" s="2" t="inlineStr">
        <is>
          <t>100.0</t>
        </is>
      </c>
      <c r="E652" s="4">
        <f>HYPERLINK("./Results/DLO\1593\Osteo_Sarco_1.png","RPT")</f>
        <v/>
      </c>
      <c r="F652" s="2" t="n">
        <v>112</v>
      </c>
      <c r="G652" s="6" t="n">
        <v>12</v>
      </c>
      <c r="H652" t="n">
        <v>25.27</v>
      </c>
      <c r="L652" t="inlineStr">
        <is>
          <t>Sensation 64</t>
        </is>
      </c>
      <c r="M652" t="inlineStr">
        <is>
          <t>Pre 3/3mm</t>
        </is>
      </c>
    </row>
    <row r="653">
      <c r="A653" s="2" t="n">
        <v>3817736</v>
      </c>
      <c r="B653" s="2" t="inlineStr">
        <is>
          <t>66</t>
        </is>
      </c>
      <c r="C653" s="2" t="inlineStr">
        <is>
          <t>M</t>
        </is>
      </c>
      <c r="D653" s="2" t="inlineStr">
        <is>
          <t>120.0</t>
        </is>
      </c>
      <c r="E653" s="4">
        <f>HYPERLINK("./Results/DLO\1594\Osteo_Sarco_1.png","RPT")</f>
        <v/>
      </c>
      <c r="F653" s="2" t="n">
        <v>141</v>
      </c>
      <c r="G653" s="6" t="n">
        <v>8</v>
      </c>
      <c r="I653" s="0" t="n"/>
      <c r="J653" s="0" t="n"/>
      <c r="K653" s="0" t="n"/>
      <c r="L653" t="inlineStr">
        <is>
          <t>LightSpeed VCT</t>
        </is>
      </c>
      <c r="M653" t="inlineStr">
        <is>
          <t>HVP 55sec 3mm</t>
        </is>
      </c>
    </row>
    <row r="654">
      <c r="A654" s="2" t="n">
        <v>3913467</v>
      </c>
      <c r="B654" s="2" t="inlineStr">
        <is>
          <t>64</t>
        </is>
      </c>
      <c r="C654" s="2" t="inlineStr">
        <is>
          <t>F</t>
        </is>
      </c>
      <c r="D654" s="2" t="inlineStr">
        <is>
          <t>100.0</t>
        </is>
      </c>
      <c r="E654" s="4">
        <f>HYPERLINK("./Results/DLO\1595\Osteo_Sarco_1.png","RPT")</f>
        <v/>
      </c>
      <c r="F654" s="2" t="n">
        <v>115</v>
      </c>
      <c r="G654" s="6" t="n">
        <v>14</v>
      </c>
      <c r="H654" t="n">
        <v>28.19</v>
      </c>
      <c r="L654" t="inlineStr">
        <is>
          <t>SOMATOM Force</t>
        </is>
      </c>
      <c r="M654" t="inlineStr">
        <is>
          <t>Pre 3.0 Br40 2</t>
        </is>
      </c>
    </row>
    <row r="655">
      <c r="A655" s="2" t="n">
        <v>3904690</v>
      </c>
      <c r="B655" s="2" t="inlineStr">
        <is>
          <t>34</t>
        </is>
      </c>
      <c r="C655" s="2" t="inlineStr">
        <is>
          <t>F</t>
        </is>
      </c>
      <c r="D655" s="2" t="inlineStr">
        <is>
          <t>100.0</t>
        </is>
      </c>
      <c r="E655" s="4">
        <f>HYPERLINK("./Results/DLO\1596\Osteo_Sarco_1.png","RPT")</f>
        <v/>
      </c>
      <c r="F655" s="2" t="n">
        <v>103</v>
      </c>
      <c r="G655" s="6" t="n">
        <v>7</v>
      </c>
      <c r="I655" s="0" t="n"/>
      <c r="J655" s="0" t="n"/>
      <c r="K655" s="0" t="n"/>
      <c r="L655" t="inlineStr">
        <is>
          <t>LightSpeed VCT</t>
        </is>
      </c>
      <c r="M655" t="inlineStr">
        <is>
          <t>PRE (CP angle~Pubic)</t>
        </is>
      </c>
    </row>
    <row r="656">
      <c r="A656" s="2" t="n">
        <v>2624720</v>
      </c>
      <c r="B656" s="2" t="inlineStr">
        <is>
          <t>66</t>
        </is>
      </c>
      <c r="C656" s="2" t="inlineStr">
        <is>
          <t>F</t>
        </is>
      </c>
      <c r="D656" s="2" t="inlineStr">
        <is>
          <t>100.0</t>
        </is>
      </c>
      <c r="E656" s="4">
        <f>HYPERLINK("./Results/DLO\1597\Osteo_Sarco_1.png","RPT")</f>
        <v/>
      </c>
      <c r="F656" s="2" t="n">
        <v>107</v>
      </c>
      <c r="G656" s="6" t="n">
        <v>8</v>
      </c>
      <c r="I656" s="0" t="n"/>
      <c r="J656" s="0" t="n"/>
      <c r="K656" s="0" t="n"/>
      <c r="L656" t="inlineStr">
        <is>
          <t>SOMATOM Definition...</t>
        </is>
      </c>
      <c r="M656" t="inlineStr">
        <is>
          <t>Pre 3mm</t>
        </is>
      </c>
    </row>
    <row r="657">
      <c r="A657" s="2" t="n">
        <v>4363883</v>
      </c>
      <c r="B657" s="2" t="inlineStr">
        <is>
          <t>48</t>
        </is>
      </c>
      <c r="C657" s="2" t="inlineStr">
        <is>
          <t>F</t>
        </is>
      </c>
      <c r="D657" s="2" t="inlineStr">
        <is>
          <t>120.0</t>
        </is>
      </c>
      <c r="E657" s="4">
        <f>HYPERLINK("./Results/DLO\1598\Osteo_Sarco_1.png","RPT")</f>
        <v/>
      </c>
      <c r="F657" s="2" t="n">
        <v>128</v>
      </c>
      <c r="G657" s="6" t="n">
        <v>9</v>
      </c>
      <c r="I657" s="0" t="n"/>
      <c r="J657" s="0" t="n"/>
      <c r="K657" s="0" t="n"/>
      <c r="L657" t="inlineStr">
        <is>
          <t>LightSpeed VCT</t>
        </is>
      </c>
      <c r="M657" t="inlineStr">
        <is>
          <t>LAP 18sec 3mm</t>
        </is>
      </c>
    </row>
    <row r="658">
      <c r="A658" s="2" t="n">
        <v>4138927</v>
      </c>
      <c r="B658" s="2" t="inlineStr">
        <is>
          <t>66</t>
        </is>
      </c>
      <c r="C658" s="2" t="inlineStr">
        <is>
          <t>M</t>
        </is>
      </c>
      <c r="D658" s="2" t="inlineStr">
        <is>
          <t>120.0</t>
        </is>
      </c>
      <c r="E658" s="4">
        <f>HYPERLINK("./Results/DLO\1599\Osteo_Sarco_1.png","RPT")</f>
        <v/>
      </c>
      <c r="F658" s="2" t="n">
        <v>138</v>
      </c>
      <c r="G658" s="6" t="n">
        <v>12</v>
      </c>
      <c r="I658" s="0" t="n"/>
      <c r="J658" s="0" t="n"/>
      <c r="K658" s="0" t="n"/>
      <c r="L658" t="inlineStr">
        <is>
          <t>iCT 256</t>
        </is>
      </c>
      <c r="M658" t="inlineStr">
        <is>
          <t>HVP 3/3mm, iDose (3)</t>
        </is>
      </c>
    </row>
    <row r="659">
      <c r="A659" s="2" t="n">
        <v>3039275</v>
      </c>
      <c r="B659" s="2" t="inlineStr">
        <is>
          <t>77</t>
        </is>
      </c>
      <c r="C659" s="2" t="inlineStr">
        <is>
          <t>F</t>
        </is>
      </c>
      <c r="D659" s="2" t="inlineStr">
        <is>
          <t>100.0</t>
        </is>
      </c>
      <c r="E659" s="4">
        <f>HYPERLINK("./Results/DLO\16\Osteo_Sarco_1.png","RPT")</f>
        <v/>
      </c>
      <c r="F659" s="2" t="n">
        <v>88</v>
      </c>
      <c r="G659" s="6" t="n">
        <v>11</v>
      </c>
      <c r="I659" s="0" t="n"/>
      <c r="J659" s="0" t="n"/>
      <c r="K659" s="0" t="n"/>
      <c r="L659" t="inlineStr">
        <is>
          <t>SOMATOM Force</t>
        </is>
      </c>
      <c r="M659" t="inlineStr">
        <is>
          <t>HVP 3.0 Br40 2 (52kg/104cc...</t>
        </is>
      </c>
    </row>
    <row r="660">
      <c r="A660" s="2" t="n">
        <v>4711182</v>
      </c>
      <c r="B660" s="2" t="inlineStr">
        <is>
          <t>56</t>
        </is>
      </c>
      <c r="C660" s="2" t="inlineStr">
        <is>
          <t>F</t>
        </is>
      </c>
      <c r="D660" s="2" t="inlineStr">
        <is>
          <t>120.0</t>
        </is>
      </c>
      <c r="E660" s="4">
        <f>HYPERLINK("./Results/DLO\160\Osteo_Sarco_1.png","RPT")</f>
        <v/>
      </c>
      <c r="F660" s="2" t="n">
        <v>108</v>
      </c>
      <c r="G660" s="6" t="n">
        <v>9</v>
      </c>
      <c r="H660" t="n">
        <v>22.68</v>
      </c>
      <c r="L660" t="inlineStr">
        <is>
          <t>iCT 256</t>
        </is>
      </c>
      <c r="M660" t="inlineStr">
        <is>
          <t>HVP 3/3mm, iDose (3)</t>
        </is>
      </c>
    </row>
    <row r="661">
      <c r="A661" s="2" t="n">
        <v>1977000</v>
      </c>
      <c r="B661" s="2" t="inlineStr">
        <is>
          <t>56</t>
        </is>
      </c>
      <c r="C661" s="2" t="inlineStr">
        <is>
          <t>F</t>
        </is>
      </c>
      <c r="D661" s="2" t="inlineStr">
        <is>
          <t>100.0</t>
        </is>
      </c>
      <c r="E661" s="4">
        <f>HYPERLINK("./Results/DLO\1600\Osteo_Sarco_1.png","RPT")</f>
        <v/>
      </c>
      <c r="F661" s="2" t="n">
        <v>91</v>
      </c>
      <c r="G661" s="6" t="n">
        <v>12</v>
      </c>
      <c r="I661" s="0" t="n"/>
      <c r="J661" s="0" t="n"/>
      <c r="K661" s="0" t="n"/>
      <c r="L661" t="inlineStr">
        <is>
          <t>SOMATOM Definition...</t>
        </is>
      </c>
      <c r="M661" t="inlineStr">
        <is>
          <t>Pre 3mm</t>
        </is>
      </c>
    </row>
    <row r="662">
      <c r="A662" s="2" t="n">
        <v>4108941</v>
      </c>
      <c r="B662" s="2" t="inlineStr">
        <is>
          <t>38</t>
        </is>
      </c>
      <c r="C662" s="2" t="inlineStr">
        <is>
          <t>F</t>
        </is>
      </c>
      <c r="D662" s="2" t="inlineStr">
        <is>
          <t>100.0</t>
        </is>
      </c>
      <c r="E662" s="4">
        <f>HYPERLINK("./Results/DLO\1601\Osteo_Sarco_1.png","RPT")</f>
        <v/>
      </c>
      <c r="F662" s="2" t="n">
        <v>85</v>
      </c>
      <c r="G662" s="6" t="n">
        <v>7</v>
      </c>
      <c r="I662" s="0" t="n"/>
      <c r="J662" s="0" t="n"/>
      <c r="K662" s="0" t="n"/>
      <c r="L662" t="inlineStr">
        <is>
          <t>LightSpeed VCT</t>
        </is>
      </c>
      <c r="M662" t="inlineStr">
        <is>
          <t>PRE (CP angle~Pubic)</t>
        </is>
      </c>
    </row>
    <row r="663">
      <c r="A663" s="2" t="n">
        <v>3499813</v>
      </c>
      <c r="B663" s="2" t="inlineStr">
        <is>
          <t>19</t>
        </is>
      </c>
      <c r="C663" s="2" t="inlineStr">
        <is>
          <t>M</t>
        </is>
      </c>
      <c r="D663" s="2" t="inlineStr">
        <is>
          <t>100.0</t>
        </is>
      </c>
      <c r="E663" s="4">
        <f>HYPERLINK("./Results/DLO\1602\Osteo_Sarco_1.png","RPT")</f>
        <v/>
      </c>
      <c r="F663" s="2" t="n">
        <v>154</v>
      </c>
      <c r="G663" s="6" t="n">
        <v>5</v>
      </c>
      <c r="I663" s="0" t="n"/>
      <c r="J663" s="0" t="n"/>
      <c r="K663" s="0" t="n"/>
      <c r="L663" t="inlineStr">
        <is>
          <t>SOMATOM Definition...</t>
        </is>
      </c>
      <c r="M663" t="inlineStr">
        <is>
          <t>Pre(cp~pubic ) 3.0 B30f</t>
        </is>
      </c>
    </row>
    <row r="664">
      <c r="A664" s="2" t="n">
        <v>4525413</v>
      </c>
      <c r="B664" s="2" t="inlineStr">
        <is>
          <t>56</t>
        </is>
      </c>
      <c r="C664" s="2" t="inlineStr">
        <is>
          <t>F</t>
        </is>
      </c>
      <c r="D664" s="2" t="inlineStr">
        <is>
          <t>100.0</t>
        </is>
      </c>
      <c r="E664" s="4">
        <f>HYPERLINK("./Results/DLO\1603\Osteo_Sarco_1.png","RPT")</f>
        <v/>
      </c>
      <c r="F664" s="2" t="n">
        <v>106</v>
      </c>
      <c r="G664" s="6" t="n">
        <v>16</v>
      </c>
      <c r="I664" s="0" t="n"/>
      <c r="J664" s="0" t="n"/>
      <c r="K664" s="0" t="n"/>
      <c r="L664" t="inlineStr">
        <is>
          <t>Revolution CT</t>
        </is>
      </c>
      <c r="M664" t="inlineStr">
        <is>
          <t>Pre Axial 3mm</t>
        </is>
      </c>
    </row>
    <row r="665">
      <c r="A665" s="2" t="n">
        <v>3521932</v>
      </c>
      <c r="B665" s="2" t="inlineStr">
        <is>
          <t>54</t>
        </is>
      </c>
      <c r="C665" s="2" t="inlineStr">
        <is>
          <t>M</t>
        </is>
      </c>
      <c r="D665" s="2" t="inlineStr">
        <is>
          <t>120.0</t>
        </is>
      </c>
      <c r="E665" s="4">
        <f>HYPERLINK("./Results/DLO\1604\Osteo_Sarco_1.png","RPT")</f>
        <v/>
      </c>
      <c r="F665" s="2" t="n">
        <v>142</v>
      </c>
      <c r="G665" s="6" t="n">
        <v>23</v>
      </c>
      <c r="I665" s="0" t="n"/>
      <c r="J665" s="0" t="n"/>
      <c r="K665" s="0" t="n"/>
      <c r="L665" t="inlineStr">
        <is>
          <t>LightSpeed VCT</t>
        </is>
      </c>
      <c r="M665" t="inlineStr">
        <is>
          <t>LAP 18sec 3mm</t>
        </is>
      </c>
    </row>
    <row r="666">
      <c r="A666" s="2" t="n">
        <v>4459467</v>
      </c>
      <c r="B666" s="2" t="inlineStr">
        <is>
          <t>40</t>
        </is>
      </c>
      <c r="C666" s="2" t="inlineStr">
        <is>
          <t>M</t>
        </is>
      </c>
      <c r="D666" s="2" t="inlineStr">
        <is>
          <t>100.0</t>
        </is>
      </c>
      <c r="E666" s="4">
        <f>HYPERLINK("./Results/DLO\1605\Osteo_Sarco_1.png","RPT")</f>
        <v/>
      </c>
      <c r="F666" s="2" t="n">
        <v>161</v>
      </c>
      <c r="G666" s="6" t="n">
        <v>2</v>
      </c>
      <c r="I666" s="0" t="n"/>
      <c r="J666" s="0" t="n"/>
      <c r="K666" s="0" t="n"/>
      <c r="L666" t="inlineStr">
        <is>
          <t>SOMATOM Force</t>
        </is>
      </c>
      <c r="M666" t="inlineStr">
        <is>
          <t>HVP 3.0 Br40 2 (63kg/126cc...</t>
        </is>
      </c>
    </row>
    <row r="667">
      <c r="A667" s="2" t="n">
        <v>1767552</v>
      </c>
      <c r="B667" s="2" t="inlineStr">
        <is>
          <t>60</t>
        </is>
      </c>
      <c r="C667" s="2" t="inlineStr">
        <is>
          <t>M</t>
        </is>
      </c>
      <c r="D667" s="2" t="inlineStr">
        <is>
          <t>100.0</t>
        </is>
      </c>
      <c r="E667" s="4">
        <f>HYPERLINK("./Results/DLO\1606\Osteo_Sarco_1.png","RPT")</f>
        <v/>
      </c>
      <c r="F667" s="2" t="n">
        <v>200</v>
      </c>
      <c r="G667" s="6" t="n">
        <v>11</v>
      </c>
      <c r="I667" s="0" t="n"/>
      <c r="J667" s="0" t="n"/>
      <c r="K667" s="0" t="n"/>
      <c r="L667" t="inlineStr">
        <is>
          <t>SOMATOM Definition...</t>
        </is>
      </c>
      <c r="M667" t="inlineStr">
        <is>
          <t>PRE 3mm</t>
        </is>
      </c>
    </row>
    <row r="668">
      <c r="A668" s="2" t="n">
        <v>4150184</v>
      </c>
      <c r="B668" s="2" t="inlineStr">
        <is>
          <t>71</t>
        </is>
      </c>
      <c r="C668" s="2" t="inlineStr">
        <is>
          <t>M</t>
        </is>
      </c>
      <c r="D668" s="2" t="inlineStr">
        <is>
          <t>100.0</t>
        </is>
      </c>
      <c r="E668" s="4">
        <f>HYPERLINK("./Results/DLO\1607\Osteo_Sarco_1.png","RPT")</f>
        <v/>
      </c>
      <c r="F668" s="2" t="n">
        <v>176</v>
      </c>
      <c r="G668" s="6" t="n">
        <v>11</v>
      </c>
      <c r="I668" s="0" t="n"/>
      <c r="J668" s="0" t="n"/>
      <c r="K668" s="0" t="n"/>
      <c r="L668" t="inlineStr">
        <is>
          <t>iCT 256</t>
        </is>
      </c>
      <c r="M668" t="inlineStr">
        <is>
          <t>Pre (CP~Pubi)3mm, iDose (3)</t>
        </is>
      </c>
    </row>
    <row r="669">
      <c r="A669" s="2" t="n">
        <v>4504915</v>
      </c>
      <c r="B669" s="2" t="inlineStr">
        <is>
          <t>49</t>
        </is>
      </c>
      <c r="C669" s="2" t="inlineStr">
        <is>
          <t>M</t>
        </is>
      </c>
      <c r="D669" s="2" t="inlineStr">
        <is>
          <t>120.0</t>
        </is>
      </c>
      <c r="E669" s="4">
        <f>HYPERLINK("./Results/DLO\1608\Osteo_Sarco_1.png","RPT")</f>
        <v/>
      </c>
      <c r="F669" s="2" t="n">
        <v>150</v>
      </c>
      <c r="G669" s="6" t="n">
        <v>8</v>
      </c>
      <c r="I669" s="0" t="n"/>
      <c r="J669" s="0" t="n"/>
      <c r="K669" s="0" t="n"/>
      <c r="L669" t="inlineStr">
        <is>
          <t>LightSpeed VCT</t>
        </is>
      </c>
      <c r="M669" t="inlineStr">
        <is>
          <t>HVP 55sec 3mm</t>
        </is>
      </c>
    </row>
    <row r="670">
      <c r="A670" s="2" t="n">
        <v>2379012</v>
      </c>
      <c r="B670" s="2" t="inlineStr">
        <is>
          <t>72</t>
        </is>
      </c>
      <c r="C670" s="2" t="inlineStr">
        <is>
          <t>M</t>
        </is>
      </c>
      <c r="D670" s="2" t="inlineStr">
        <is>
          <t>100.0</t>
        </is>
      </c>
      <c r="E670" s="4">
        <f>HYPERLINK("./Results/DLO\1609\Osteo_Sarco_1.png","RPT")</f>
        <v/>
      </c>
      <c r="F670" s="2" t="n">
        <v>136</v>
      </c>
      <c r="G670" s="6" t="n">
        <v>9</v>
      </c>
      <c r="H670" t="n">
        <v>20.43</v>
      </c>
      <c r="L670" t="inlineStr">
        <is>
          <t>Revolution CT</t>
        </is>
      </c>
      <c r="M670" t="inlineStr">
        <is>
          <t>HVP 3mm(60kg/120cc/3cc/ULTRA)</t>
        </is>
      </c>
    </row>
    <row r="671">
      <c r="A671" s="2" t="n">
        <v>3968895</v>
      </c>
      <c r="B671" s="2" t="inlineStr">
        <is>
          <t>51</t>
        </is>
      </c>
      <c r="C671" s="2" t="inlineStr">
        <is>
          <t>F</t>
        </is>
      </c>
      <c r="D671" s="2" t="inlineStr">
        <is>
          <t>100.0</t>
        </is>
      </c>
      <c r="E671" s="4">
        <f>HYPERLINK("./Results/DLO\161\Osteo_Sarco_1.png","RPT")</f>
        <v/>
      </c>
      <c r="F671" s="2" t="n">
        <v>99</v>
      </c>
      <c r="G671" s="6" t="n">
        <v>5</v>
      </c>
      <c r="I671" s="0" t="n"/>
      <c r="J671" s="0" t="n"/>
      <c r="K671" s="0" t="n"/>
      <c r="L671" t="inlineStr">
        <is>
          <t>SOMATOM Definition...</t>
        </is>
      </c>
      <c r="M671" t="inlineStr">
        <is>
          <t>Pre 3mm</t>
        </is>
      </c>
    </row>
    <row r="672">
      <c r="A672" s="2" t="n">
        <v>4026594</v>
      </c>
      <c r="B672" s="2" t="inlineStr">
        <is>
          <t>30</t>
        </is>
      </c>
      <c r="C672" s="2" t="inlineStr">
        <is>
          <t>M</t>
        </is>
      </c>
      <c r="D672" s="2" t="inlineStr">
        <is>
          <t>100.0</t>
        </is>
      </c>
      <c r="E672" s="4">
        <f>HYPERLINK("./Results/DLO\1610\Osteo_Sarco_1.png","RPT")</f>
        <v/>
      </c>
      <c r="F672" s="2" t="n">
        <v>178</v>
      </c>
      <c r="G672" s="6" t="n">
        <v>8</v>
      </c>
      <c r="I672" s="0" t="n"/>
      <c r="J672" s="0" t="n"/>
      <c r="K672" s="0" t="n"/>
      <c r="L672" t="inlineStr">
        <is>
          <t>SOMATOM Definition...</t>
        </is>
      </c>
      <c r="M672" t="inlineStr">
        <is>
          <t>Pre 3mm</t>
        </is>
      </c>
    </row>
    <row r="673">
      <c r="A673" s="2" t="n">
        <v>3628399</v>
      </c>
      <c r="B673" s="2" t="inlineStr">
        <is>
          <t>51</t>
        </is>
      </c>
      <c r="C673" s="2" t="inlineStr">
        <is>
          <t>F</t>
        </is>
      </c>
      <c r="D673" s="2" t="inlineStr">
        <is>
          <t>120.0</t>
        </is>
      </c>
      <c r="E673" s="4">
        <f>HYPERLINK("./Results/DLO\1611\Osteo_Sarco_1.png","RPT")</f>
        <v/>
      </c>
      <c r="F673" s="2" t="n">
        <v>104</v>
      </c>
      <c r="G673" s="6" t="n">
        <v>7</v>
      </c>
      <c r="I673" s="0" t="n"/>
      <c r="J673" s="0" t="n"/>
      <c r="K673" s="0" t="n"/>
      <c r="L673" t="inlineStr">
        <is>
          <t>Discovery CT750 HD</t>
        </is>
      </c>
      <c r="M673" t="inlineStr">
        <is>
          <t>HVP 3mm</t>
        </is>
      </c>
    </row>
    <row r="674">
      <c r="A674" s="2" t="n">
        <v>3119175</v>
      </c>
      <c r="B674" s="2" t="inlineStr">
        <is>
          <t>60</t>
        </is>
      </c>
      <c r="C674" s="2" t="inlineStr">
        <is>
          <t>F</t>
        </is>
      </c>
      <c r="D674" s="2" t="inlineStr">
        <is>
          <t>120.0</t>
        </is>
      </c>
      <c r="E674" s="4">
        <f>HYPERLINK("./Results/DLO\1612\Osteo_Sarco_1.png","RPT")</f>
        <v/>
      </c>
      <c r="F674" s="2" t="n">
        <v>108</v>
      </c>
      <c r="G674" s="6" t="n">
        <v>15</v>
      </c>
      <c r="I674" s="0" t="n"/>
      <c r="J674" s="0" t="n"/>
      <c r="K674" s="0" t="n"/>
      <c r="L674" t="inlineStr">
        <is>
          <t>Discovery CT750 HD</t>
        </is>
      </c>
      <c r="M674" t="inlineStr">
        <is>
          <t>HVP 3mm</t>
        </is>
      </c>
    </row>
    <row r="675">
      <c r="A675" s="2" t="n">
        <v>2355739</v>
      </c>
      <c r="B675" s="2" t="inlineStr">
        <is>
          <t>61</t>
        </is>
      </c>
      <c r="C675" s="2" t="inlineStr">
        <is>
          <t>M</t>
        </is>
      </c>
      <c r="D675" s="2" t="inlineStr">
        <is>
          <t>100.0</t>
        </is>
      </c>
      <c r="E675" s="4">
        <f>HYPERLINK("./Results/DLO\1613\Osteo_Sarco_1.png","RPT")</f>
        <v/>
      </c>
      <c r="F675" s="2" t="n">
        <v>156</v>
      </c>
      <c r="G675" s="6" t="n">
        <v>14</v>
      </c>
      <c r="I675" s="0" t="n"/>
      <c r="J675" s="0" t="n"/>
      <c r="K675" s="0" t="n"/>
      <c r="L675" t="inlineStr">
        <is>
          <t>Revolution CT</t>
        </is>
      </c>
      <c r="M675" t="inlineStr">
        <is>
          <t>HVP 3mm-pacs(65kg/130cc/3cc/b...</t>
        </is>
      </c>
    </row>
    <row r="676">
      <c r="A676" s="2" t="n">
        <v>1884257</v>
      </c>
      <c r="B676" s="2" t="inlineStr">
        <is>
          <t>74</t>
        </is>
      </c>
      <c r="C676" s="2" t="inlineStr">
        <is>
          <t>M</t>
        </is>
      </c>
      <c r="D676" s="2" t="inlineStr">
        <is>
          <t>100.0</t>
        </is>
      </c>
      <c r="E676" s="4">
        <f>HYPERLINK("./Results/DLO\1614\Osteo_Sarco_1.png","RPT")</f>
        <v/>
      </c>
      <c r="F676" s="2" t="n">
        <v>120</v>
      </c>
      <c r="G676" s="6" t="n">
        <v>11</v>
      </c>
      <c r="I676" s="0" t="n"/>
      <c r="J676" s="0" t="n"/>
      <c r="K676" s="0" t="n"/>
      <c r="L676" t="inlineStr">
        <is>
          <t>Revolution EVO</t>
        </is>
      </c>
      <c r="M676" t="inlineStr">
        <is>
          <t>PRE</t>
        </is>
      </c>
    </row>
    <row r="677">
      <c r="A677" s="2" t="n">
        <v>3490909</v>
      </c>
      <c r="B677" s="2" t="inlineStr">
        <is>
          <t>40</t>
        </is>
      </c>
      <c r="C677" s="2" t="inlineStr">
        <is>
          <t>F</t>
        </is>
      </c>
      <c r="D677" s="2" t="inlineStr">
        <is>
          <t>100.0</t>
        </is>
      </c>
      <c r="E677" s="4">
        <f>HYPERLINK("./Results/DLO\1615\Osteo_Sarco_1.png","RPT")</f>
        <v/>
      </c>
      <c r="F677" s="2" t="n">
        <v>86</v>
      </c>
      <c r="G677" s="6" t="n">
        <v>4</v>
      </c>
      <c r="I677" s="0" t="n"/>
      <c r="J677" s="0" t="n"/>
      <c r="K677" s="0" t="n"/>
      <c r="L677" t="inlineStr">
        <is>
          <t>iCT 256</t>
        </is>
      </c>
      <c r="M677" t="inlineStr">
        <is>
          <t>HVP 3/3mm, iDose (3)</t>
        </is>
      </c>
    </row>
    <row r="678">
      <c r="A678" s="2" t="n">
        <v>2643644</v>
      </c>
      <c r="B678" s="2" t="inlineStr">
        <is>
          <t>23</t>
        </is>
      </c>
      <c r="C678" s="2" t="inlineStr">
        <is>
          <t>M</t>
        </is>
      </c>
      <c r="D678" s="2" t="inlineStr">
        <is>
          <t>120.0</t>
        </is>
      </c>
      <c r="E678" s="4">
        <f>HYPERLINK("./Results/DLO\1616\Osteo_Sarco_1.png","RPT")</f>
        <v/>
      </c>
      <c r="F678" s="2" t="n">
        <v>147</v>
      </c>
      <c r="G678" s="6" t="n">
        <v>9</v>
      </c>
      <c r="I678" s="0" t="n"/>
      <c r="J678" s="0" t="n"/>
      <c r="K678" s="0" t="n"/>
      <c r="L678" t="inlineStr">
        <is>
          <t>LightSpeed VCT</t>
        </is>
      </c>
      <c r="M678" t="inlineStr">
        <is>
          <t>HVP 55sec 3mm</t>
        </is>
      </c>
    </row>
    <row r="679">
      <c r="A679" s="2" t="n">
        <v>4703209</v>
      </c>
      <c r="B679" s="2" t="inlineStr">
        <is>
          <t>50</t>
        </is>
      </c>
      <c r="C679" s="2" t="inlineStr">
        <is>
          <t>M</t>
        </is>
      </c>
      <c r="D679" s="2" t="inlineStr">
        <is>
          <t>120.0</t>
        </is>
      </c>
      <c r="E679" s="4">
        <f>HYPERLINK("./Results/DLO\1617\Osteo_Sarco_1.png","RPT")</f>
        <v/>
      </c>
      <c r="F679" s="2" t="n">
        <v>194</v>
      </c>
      <c r="G679" s="6" t="n">
        <v>7</v>
      </c>
      <c r="I679" s="0" t="n"/>
      <c r="J679" s="0" t="n"/>
      <c r="K679" s="0" t="n"/>
      <c r="L679" t="inlineStr">
        <is>
          <t>SOMATOM Force</t>
        </is>
      </c>
      <c r="M679" t="inlineStr">
        <is>
          <t>120kVp60mAs 3.0 Br40</t>
        </is>
      </c>
    </row>
    <row r="680">
      <c r="A680" s="2" t="n">
        <v>2518127</v>
      </c>
      <c r="B680" s="2" t="inlineStr">
        <is>
          <t>67</t>
        </is>
      </c>
      <c r="C680" s="2" t="inlineStr">
        <is>
          <t>F</t>
        </is>
      </c>
      <c r="D680" s="2" t="inlineStr">
        <is>
          <t>100.0</t>
        </is>
      </c>
      <c r="E680" s="4">
        <f>HYPERLINK("./Results/DLO\1618\Osteo_Sarco_1.png","RPT")</f>
        <v/>
      </c>
      <c r="F680" s="2" t="n">
        <v>100</v>
      </c>
      <c r="G680" s="6" t="n">
        <v>14</v>
      </c>
      <c r="H680" t="n">
        <v>25.74</v>
      </c>
      <c r="L680" t="inlineStr">
        <is>
          <t>Revolution CT</t>
        </is>
      </c>
      <c r="M680" t="inlineStr">
        <is>
          <t>HVP 3mm-pacs(55kg/110cc/3cc/x...</t>
        </is>
      </c>
    </row>
    <row r="681">
      <c r="A681" s="2" t="n">
        <v>2233081</v>
      </c>
      <c r="B681" s="2" t="inlineStr">
        <is>
          <t>60</t>
        </is>
      </c>
      <c r="C681" s="2" t="inlineStr">
        <is>
          <t>M</t>
        </is>
      </c>
      <c r="D681" s="2" t="inlineStr">
        <is>
          <t>100.0</t>
        </is>
      </c>
      <c r="E681" s="4">
        <f>HYPERLINK("./Results/DLO\1619\Osteo_Sarco_1.png","RPT")</f>
        <v/>
      </c>
      <c r="F681" s="2" t="n">
        <v>135</v>
      </c>
      <c r="G681" s="6" t="n">
        <v>9</v>
      </c>
      <c r="I681" s="0" t="n"/>
      <c r="J681" s="0" t="n"/>
      <c r="K681" s="0" t="n"/>
      <c r="L681" t="inlineStr">
        <is>
          <t>Revolution CT</t>
        </is>
      </c>
      <c r="M681" t="inlineStr">
        <is>
          <t>Pre Axial 3mm</t>
        </is>
      </c>
    </row>
    <row r="682">
      <c r="A682" s="2" t="n">
        <v>2739539</v>
      </c>
      <c r="B682" s="2" t="inlineStr">
        <is>
          <t>76</t>
        </is>
      </c>
      <c r="C682" s="2" t="inlineStr">
        <is>
          <t>M</t>
        </is>
      </c>
      <c r="D682" s="2" t="inlineStr">
        <is>
          <t>100.0</t>
        </is>
      </c>
      <c r="E682" s="4">
        <f>HYPERLINK("./Results/DLO\162\Osteo_Sarco_1.png","RPT")</f>
        <v/>
      </c>
      <c r="F682" s="2" t="n">
        <v>145</v>
      </c>
      <c r="G682" s="6" t="n">
        <v>29</v>
      </c>
      <c r="H682" t="n">
        <v>25.31</v>
      </c>
      <c r="L682" t="inlineStr">
        <is>
          <t>LightSpeed VCT</t>
        </is>
      </c>
      <c r="M682" t="inlineStr">
        <is>
          <t>PRE 3mm</t>
        </is>
      </c>
    </row>
    <row r="683">
      <c r="A683" s="2" t="n">
        <v>3580680</v>
      </c>
      <c r="B683" s="2" t="inlineStr">
        <is>
          <t>47</t>
        </is>
      </c>
      <c r="C683" s="2" t="inlineStr">
        <is>
          <t>M</t>
        </is>
      </c>
      <c r="D683" s="2" t="inlineStr">
        <is>
          <t>120.0</t>
        </is>
      </c>
      <c r="E683" s="4">
        <f>HYPERLINK("./Results/DLO\1620\Osteo_Sarco_1.png","RPT")</f>
        <v/>
      </c>
      <c r="F683" s="2" t="n">
        <v>141</v>
      </c>
      <c r="G683" s="6" t="n">
        <v>11</v>
      </c>
      <c r="I683" s="0" t="n"/>
      <c r="J683" s="0" t="n"/>
      <c r="K683" s="0" t="n"/>
      <c r="L683" t="inlineStr">
        <is>
          <t>iCT 256</t>
        </is>
      </c>
      <c r="M683" t="inlineStr">
        <is>
          <t>LAP 3/3mm, iDose (3)</t>
        </is>
      </c>
    </row>
    <row r="684">
      <c r="A684" s="2" t="n">
        <v>3523578</v>
      </c>
      <c r="B684" s="2" t="inlineStr">
        <is>
          <t>66</t>
        </is>
      </c>
      <c r="C684" s="2" t="inlineStr">
        <is>
          <t>F</t>
        </is>
      </c>
      <c r="D684" s="2" t="inlineStr">
        <is>
          <t>120.0</t>
        </is>
      </c>
      <c r="E684" s="4">
        <f>HYPERLINK("./Results/DLO\1621\Osteo_Sarco_1.png","RPT")</f>
        <v/>
      </c>
      <c r="F684" s="2" t="n">
        <v>75</v>
      </c>
      <c r="G684" s="6" t="n">
        <v>3</v>
      </c>
      <c r="I684" s="0" t="n"/>
      <c r="J684" s="0" t="n"/>
      <c r="K684" s="0" t="n"/>
      <c r="L684" t="inlineStr">
        <is>
          <t>Aquilion Lightning</t>
        </is>
      </c>
      <c r="M684" t="inlineStr">
        <is>
          <t>Body 5.0</t>
        </is>
      </c>
    </row>
    <row r="685">
      <c r="A685" s="2" t="n">
        <v>4828218</v>
      </c>
      <c r="B685" s="2" t="inlineStr">
        <is>
          <t>40</t>
        </is>
      </c>
      <c r="C685" s="2" t="inlineStr">
        <is>
          <t>M</t>
        </is>
      </c>
      <c r="D685" s="2" t="inlineStr">
        <is>
          <t>120.0</t>
        </is>
      </c>
      <c r="E685" s="4">
        <f>HYPERLINK("./Results/DLO\1622\Osteo_Sarco_1.png","RPT")</f>
        <v/>
      </c>
      <c r="F685" s="2" t="n">
        <v>172</v>
      </c>
      <c r="G685" s="6" t="n">
        <v>5</v>
      </c>
      <c r="I685" s="0" t="n"/>
      <c r="J685" s="0" t="n"/>
      <c r="K685" s="0" t="n"/>
      <c r="L685" t="inlineStr">
        <is>
          <t>LightSpeed VCT</t>
        </is>
      </c>
      <c r="M685" t="inlineStr">
        <is>
          <t>HVP 3mm</t>
        </is>
      </c>
    </row>
    <row r="686">
      <c r="A686" s="2" t="n">
        <v>3570486</v>
      </c>
      <c r="B686" s="2" t="inlineStr">
        <is>
          <t>46</t>
        </is>
      </c>
      <c r="C686" s="2" t="inlineStr">
        <is>
          <t>F</t>
        </is>
      </c>
      <c r="D686" s="2" t="inlineStr">
        <is>
          <t>100.0</t>
        </is>
      </c>
      <c r="E686" s="4">
        <f>HYPERLINK("./Results/DLO\1623\Osteo_Sarco_1.png","RPT")</f>
        <v/>
      </c>
      <c r="F686" s="2" t="n">
        <v>97</v>
      </c>
      <c r="G686" s="6" t="n">
        <v>9</v>
      </c>
      <c r="I686" s="0" t="n"/>
      <c r="J686" s="0" t="n"/>
      <c r="K686" s="0" t="n"/>
      <c r="L686" t="inlineStr">
        <is>
          <t>Revolution CT</t>
        </is>
      </c>
      <c r="M686" t="inlineStr">
        <is>
          <t>Pre Axial 3mm</t>
        </is>
      </c>
    </row>
    <row r="687">
      <c r="A687" s="2" t="n">
        <v>4726428</v>
      </c>
      <c r="B687" s="2" t="inlineStr">
        <is>
          <t>41</t>
        </is>
      </c>
      <c r="C687" s="2" t="inlineStr">
        <is>
          <t>F</t>
        </is>
      </c>
      <c r="D687" s="2" t="inlineStr">
        <is>
          <t>100.0</t>
        </is>
      </c>
      <c r="E687" s="4">
        <f>HYPERLINK("./Results/DLO\1624\Osteo_Sarco_1.png","RPT")</f>
        <v/>
      </c>
      <c r="F687" s="2" t="n">
        <v>89</v>
      </c>
      <c r="G687" s="6" t="n">
        <v>13</v>
      </c>
      <c r="I687" s="0" t="n"/>
      <c r="J687" s="0" t="n"/>
      <c r="K687" s="0" t="n"/>
      <c r="L687" t="inlineStr">
        <is>
          <t>Discovery CT750 HD</t>
        </is>
      </c>
      <c r="M687" t="inlineStr">
        <is>
          <t>pre 3mm</t>
        </is>
      </c>
    </row>
    <row r="688">
      <c r="A688" s="2" t="n">
        <v>3002646</v>
      </c>
      <c r="B688" s="2" t="inlineStr">
        <is>
          <t>57</t>
        </is>
      </c>
      <c r="C688" s="2" t="inlineStr">
        <is>
          <t>M</t>
        </is>
      </c>
      <c r="D688" s="2" t="inlineStr">
        <is>
          <t>100.0</t>
        </is>
      </c>
      <c r="E688" s="4">
        <f>HYPERLINK("./Results/DLO\1625\Osteo_Sarco_1.png","RPT")</f>
        <v/>
      </c>
      <c r="F688" s="2" t="n">
        <v>201</v>
      </c>
      <c r="G688" s="6" t="n">
        <v>12</v>
      </c>
      <c r="I688" s="0" t="n"/>
      <c r="J688" s="0" t="n"/>
      <c r="K688" s="0" t="n"/>
      <c r="L688" t="inlineStr">
        <is>
          <t>LightSpeed VCT</t>
        </is>
      </c>
      <c r="M688" t="inlineStr">
        <is>
          <t>PRE 3mm</t>
        </is>
      </c>
    </row>
    <row r="689">
      <c r="A689" s="2" t="n">
        <v>2916720</v>
      </c>
      <c r="B689" s="2" t="inlineStr">
        <is>
          <t>47</t>
        </is>
      </c>
      <c r="C689" s="2" t="inlineStr">
        <is>
          <t>M</t>
        </is>
      </c>
      <c r="D689" s="2" t="inlineStr">
        <is>
          <t>100.0</t>
        </is>
      </c>
      <c r="E689" s="4">
        <f>HYPERLINK("./Results/DLO\1626\Osteo_Sarco_1.png","RPT")</f>
        <v/>
      </c>
      <c r="F689" s="2" t="n">
        <v>165</v>
      </c>
      <c r="G689" s="6" t="n">
        <v>13</v>
      </c>
      <c r="I689" s="0" t="n"/>
      <c r="J689" s="0" t="n"/>
      <c r="K689" s="0" t="n"/>
      <c r="L689" t="inlineStr">
        <is>
          <t>Revolution CT</t>
        </is>
      </c>
      <c r="M689" t="inlineStr">
        <is>
          <t>HVP 3mm(79kg/150cc/3cc/ultra)</t>
        </is>
      </c>
    </row>
    <row r="690">
      <c r="A690" s="2" t="n">
        <v>2361738</v>
      </c>
      <c r="B690" s="2" t="inlineStr">
        <is>
          <t>48</t>
        </is>
      </c>
      <c r="C690" s="2" t="inlineStr">
        <is>
          <t>F</t>
        </is>
      </c>
      <c r="D690" s="2" t="inlineStr">
        <is>
          <t>100.0</t>
        </is>
      </c>
      <c r="E690" s="4">
        <f>HYPERLINK("./Results/DLO\1627\Osteo_Sarco_1.png","RPT")</f>
        <v/>
      </c>
      <c r="F690" s="2" t="n">
        <v>95</v>
      </c>
      <c r="G690" s="6" t="n">
        <v>10</v>
      </c>
      <c r="H690" t="n">
        <v>22.94</v>
      </c>
      <c r="L690" t="inlineStr">
        <is>
          <t>SOMATOM Force</t>
        </is>
      </c>
      <c r="M690" t="inlineStr">
        <is>
          <t>Pre 3.0 Br40</t>
        </is>
      </c>
    </row>
    <row r="691">
      <c r="A691" s="2" t="n">
        <v>4427008</v>
      </c>
      <c r="B691" s="2" t="inlineStr">
        <is>
          <t>62</t>
        </is>
      </c>
      <c r="C691" s="2" t="inlineStr">
        <is>
          <t>F</t>
        </is>
      </c>
      <c r="D691" s="2" t="inlineStr">
        <is>
          <t>120.0</t>
        </is>
      </c>
      <c r="E691" s="4">
        <f>HYPERLINK("./Results/DLO\1628\Osteo_Sarco_1.png","RPT")</f>
        <v/>
      </c>
      <c r="F691" s="2" t="n">
        <v>106</v>
      </c>
      <c r="G691" s="6" t="n">
        <v>11</v>
      </c>
      <c r="H691" t="n">
        <v>29.91</v>
      </c>
      <c r="L691" t="inlineStr">
        <is>
          <t>Aquilion ONE</t>
        </is>
      </c>
      <c r="M691" t="inlineStr">
        <is>
          <t>ABD post contrast</t>
        </is>
      </c>
    </row>
    <row r="692">
      <c r="A692" s="2" t="n">
        <v>4904131</v>
      </c>
      <c r="B692" s="2" t="inlineStr">
        <is>
          <t>53</t>
        </is>
      </c>
      <c r="C692" s="2" t="inlineStr">
        <is>
          <t>M</t>
        </is>
      </c>
      <c r="D692" s="2" t="inlineStr">
        <is>
          <t>100.0</t>
        </is>
      </c>
      <c r="E692" s="4">
        <f>HYPERLINK("./Results/DLO\1629\Osteo_Sarco_1.png","RPT")</f>
        <v/>
      </c>
      <c r="F692" s="2" t="n">
        <v>161</v>
      </c>
      <c r="G692" s="6" t="n">
        <v>10</v>
      </c>
      <c r="H692" t="n">
        <v>27.17</v>
      </c>
      <c r="L692" t="inlineStr">
        <is>
          <t>SOMATOM Definition...</t>
        </is>
      </c>
      <c r="M692" t="inlineStr">
        <is>
          <t>HVP 2 3mm(67Kg/134ml/3ml/xe...</t>
        </is>
      </c>
    </row>
    <row r="693">
      <c r="A693" s="2" t="n">
        <v>4923170</v>
      </c>
      <c r="B693" s="2" t="inlineStr">
        <is>
          <t>79</t>
        </is>
      </c>
      <c r="C693" s="2" t="inlineStr">
        <is>
          <t>F</t>
        </is>
      </c>
      <c r="D693" s="2" t="inlineStr">
        <is>
          <t>100.0</t>
        </is>
      </c>
      <c r="E693" s="4">
        <f>HYPERLINK("./Results/DLO\163\Osteo_Sarco_1.png","RPT")</f>
        <v/>
      </c>
      <c r="F693" s="2" t="n">
        <v>97</v>
      </c>
      <c r="G693" s="6" t="n">
        <v>15</v>
      </c>
      <c r="H693" t="n">
        <v>19.56</v>
      </c>
      <c r="L693" t="inlineStr">
        <is>
          <t>Sensation 64</t>
        </is>
      </c>
      <c r="M693" t="inlineStr">
        <is>
          <t>PRE 3mm</t>
        </is>
      </c>
    </row>
    <row r="694">
      <c r="A694" s="2" t="n">
        <v>2730841</v>
      </c>
      <c r="B694" s="2" t="inlineStr">
        <is>
          <t>54</t>
        </is>
      </c>
      <c r="C694" s="2" t="inlineStr">
        <is>
          <t>M</t>
        </is>
      </c>
      <c r="D694" s="2" t="inlineStr">
        <is>
          <t>120.0</t>
        </is>
      </c>
      <c r="E694" s="4">
        <f>HYPERLINK("./Results/DLO\1630\Osteo_Sarco_1.png","RPT")</f>
        <v/>
      </c>
      <c r="F694" s="2" t="n">
        <v>180</v>
      </c>
      <c r="G694" s="6" t="n">
        <v>4</v>
      </c>
      <c r="H694" t="n">
        <v>26.93</v>
      </c>
      <c r="L694" t="inlineStr">
        <is>
          <t>LightSpeed VCT</t>
        </is>
      </c>
      <c r="M694" t="inlineStr">
        <is>
          <t>HVP 3mm</t>
        </is>
      </c>
    </row>
    <row r="695">
      <c r="A695" s="2" t="n">
        <v>2267150</v>
      </c>
      <c r="B695" s="2" t="inlineStr">
        <is>
          <t>51</t>
        </is>
      </c>
      <c r="C695" s="2" t="inlineStr">
        <is>
          <t>M</t>
        </is>
      </c>
      <c r="D695" s="2" t="inlineStr">
        <is>
          <t>120.0</t>
        </is>
      </c>
      <c r="E695" s="4">
        <f>HYPERLINK("./Results/DLO\1631\Osteo_Sarco_1.png","RPT")</f>
        <v/>
      </c>
      <c r="F695" s="2" t="n">
        <v>157</v>
      </c>
      <c r="G695" s="6" t="n">
        <v>2</v>
      </c>
      <c r="H695" t="n">
        <v>24.23</v>
      </c>
      <c r="L695" t="inlineStr">
        <is>
          <t>Discovery CT750 HD</t>
        </is>
      </c>
      <c r="M695" t="inlineStr">
        <is>
          <t>HVP 3mm</t>
        </is>
      </c>
    </row>
    <row r="696">
      <c r="A696" s="2" t="n">
        <v>1657486</v>
      </c>
      <c r="B696" s="2" t="inlineStr">
        <is>
          <t>49</t>
        </is>
      </c>
      <c r="C696" s="2" t="inlineStr">
        <is>
          <t>F</t>
        </is>
      </c>
      <c r="D696" s="2" t="inlineStr">
        <is>
          <t>120.0</t>
        </is>
      </c>
      <c r="E696" s="4">
        <f>HYPERLINK("./Results/DLO\1632\Osteo_Sarco_1.png","RPT")</f>
        <v/>
      </c>
      <c r="F696" s="2" t="n">
        <v>119</v>
      </c>
      <c r="G696" s="6" t="n">
        <v>9</v>
      </c>
      <c r="I696" s="0" t="n"/>
      <c r="J696" s="0" t="n"/>
      <c r="K696" s="0" t="n"/>
      <c r="L696" t="inlineStr">
        <is>
          <t>Revolution EVO</t>
        </is>
      </c>
      <c r="M696" t="inlineStr">
        <is>
          <t>LAP 3mm</t>
        </is>
      </c>
    </row>
    <row r="697">
      <c r="A697" s="2" t="n">
        <v>2315163</v>
      </c>
      <c r="B697" s="2" t="inlineStr">
        <is>
          <t>47</t>
        </is>
      </c>
      <c r="C697" s="2" t="inlineStr">
        <is>
          <t>M</t>
        </is>
      </c>
      <c r="D697" s="2" t="inlineStr">
        <is>
          <t>120.0</t>
        </is>
      </c>
      <c r="E697" s="4">
        <f>HYPERLINK("./Results/DLO\1633\Osteo_Sarco_1.png","RPT")</f>
        <v/>
      </c>
      <c r="F697" s="2" t="n">
        <v>166</v>
      </c>
      <c r="G697" s="6" t="n">
        <v>10</v>
      </c>
      <c r="H697" t="n">
        <v>24.54</v>
      </c>
      <c r="L697" t="inlineStr">
        <is>
          <t>LightSpeed VCT</t>
        </is>
      </c>
      <c r="M697" t="inlineStr">
        <is>
          <t>PRE</t>
        </is>
      </c>
    </row>
    <row r="698">
      <c r="A698" s="2" t="n">
        <v>4875705</v>
      </c>
      <c r="B698" s="2" t="inlineStr">
        <is>
          <t>50</t>
        </is>
      </c>
      <c r="C698" s="2" t="inlineStr">
        <is>
          <t>F</t>
        </is>
      </c>
      <c r="D698" s="2" t="inlineStr">
        <is>
          <t>100.0</t>
        </is>
      </c>
      <c r="E698" s="4">
        <f>HYPERLINK("./Results/DLO\1634\Osteo_Sarco_1.png","RPT")</f>
        <v/>
      </c>
      <c r="F698" s="2" t="n">
        <v>105</v>
      </c>
      <c r="G698" s="6" t="n">
        <v>10</v>
      </c>
      <c r="I698" s="0" t="n"/>
      <c r="J698" s="0" t="n"/>
      <c r="K698" s="0" t="n"/>
      <c r="L698" t="inlineStr">
        <is>
          <t>iCT 256</t>
        </is>
      </c>
      <c r="M698" t="inlineStr">
        <is>
          <t>Pre3/3mm_I-3, iDose (3)</t>
        </is>
      </c>
    </row>
    <row r="699">
      <c r="A699" s="2" t="n">
        <v>4169964</v>
      </c>
      <c r="B699" s="2" t="inlineStr">
        <is>
          <t>50</t>
        </is>
      </c>
      <c r="C699" s="2" t="inlineStr">
        <is>
          <t>F</t>
        </is>
      </c>
      <c r="D699" s="2" t="inlineStr">
        <is>
          <t>120.0</t>
        </is>
      </c>
      <c r="E699" s="4">
        <f>HYPERLINK("./Results/DLO\1635\Osteo_Sarco_1.png","RPT")</f>
        <v/>
      </c>
      <c r="F699" s="2" t="n">
        <v>106</v>
      </c>
      <c r="G699" s="6" t="n">
        <v>7</v>
      </c>
      <c r="I699" s="0" t="n"/>
      <c r="J699" s="0" t="n"/>
      <c r="K699" s="0" t="n"/>
      <c r="L699" t="inlineStr">
        <is>
          <t>LightSpeed VCT</t>
        </is>
      </c>
      <c r="M699" t="inlineStr">
        <is>
          <t>HVP 55sec 3mm</t>
        </is>
      </c>
    </row>
    <row r="700">
      <c r="A700" s="2" t="n">
        <v>2078283</v>
      </c>
      <c r="B700" s="2" t="inlineStr">
        <is>
          <t>77</t>
        </is>
      </c>
      <c r="C700" s="2" t="inlineStr">
        <is>
          <t>M</t>
        </is>
      </c>
      <c r="D700" s="2" t="inlineStr">
        <is>
          <t>120.0</t>
        </is>
      </c>
      <c r="E700" s="4">
        <f>HYPERLINK("./Results/DLO\1636\Osteo_Sarco_1.png","RPT")</f>
        <v/>
      </c>
      <c r="F700" s="2" t="n">
        <v>114</v>
      </c>
      <c r="G700" s="6" t="n">
        <v>6</v>
      </c>
      <c r="I700" s="0" t="n"/>
      <c r="J700" s="0" t="n"/>
      <c r="K700" s="0" t="n"/>
      <c r="L700" t="inlineStr">
        <is>
          <t>LightSpeed VCT</t>
        </is>
      </c>
      <c r="M700" t="inlineStr">
        <is>
          <t>HVP 55sec 3mm</t>
        </is>
      </c>
    </row>
    <row r="701">
      <c r="A701" s="2" t="n">
        <v>2809926</v>
      </c>
      <c r="B701" s="2" t="inlineStr">
        <is>
          <t>59</t>
        </is>
      </c>
      <c r="C701" s="2" t="inlineStr">
        <is>
          <t>M</t>
        </is>
      </c>
      <c r="D701" s="2" t="inlineStr">
        <is>
          <t>120.0</t>
        </is>
      </c>
      <c r="E701" s="4">
        <f>HYPERLINK("./Results/DLO\1637\Osteo_Sarco_1.png","RPT")</f>
        <v/>
      </c>
      <c r="F701" s="2" t="n">
        <v>185</v>
      </c>
      <c r="G701" s="6" t="n">
        <v>9</v>
      </c>
      <c r="I701" s="0" t="n"/>
      <c r="J701" s="0" t="n"/>
      <c r="K701" s="0" t="n"/>
      <c r="L701" t="inlineStr">
        <is>
          <t>LightSpeed VCT</t>
        </is>
      </c>
      <c r="M701" t="inlineStr">
        <is>
          <t>LAP 18sec 3mm</t>
        </is>
      </c>
    </row>
    <row r="702">
      <c r="A702" s="2" t="n">
        <v>2523106</v>
      </c>
      <c r="B702" s="2" t="inlineStr">
        <is>
          <t>45</t>
        </is>
      </c>
      <c r="C702" s="2" t="inlineStr">
        <is>
          <t>F</t>
        </is>
      </c>
      <c r="D702" s="2" t="inlineStr">
        <is>
          <t>100.0</t>
        </is>
      </c>
      <c r="E702" s="4">
        <f>HYPERLINK("./Results/DLO\1638\Osteo_Sarco_1.png","RPT")</f>
        <v/>
      </c>
      <c r="F702" s="2" t="n">
        <v>92</v>
      </c>
      <c r="G702" s="6" t="n">
        <v>6</v>
      </c>
      <c r="H702" t="n">
        <v>20.93</v>
      </c>
      <c r="L702" t="inlineStr">
        <is>
          <t>SOMATOM Definition...</t>
        </is>
      </c>
      <c r="M702" t="inlineStr">
        <is>
          <t>Pre 3mm</t>
        </is>
      </c>
    </row>
    <row r="703">
      <c r="A703" s="2" t="n">
        <v>2385179</v>
      </c>
      <c r="B703" s="2" t="inlineStr">
        <is>
          <t>49</t>
        </is>
      </c>
      <c r="C703" s="2" t="inlineStr">
        <is>
          <t>F</t>
        </is>
      </c>
      <c r="D703" s="2" t="inlineStr">
        <is>
          <t>100.0</t>
        </is>
      </c>
      <c r="E703" s="4">
        <f>HYPERLINK("./Results/DLO\1639\Osteo_Sarco_1.png","RPT")</f>
        <v/>
      </c>
      <c r="F703" s="2" t="n">
        <v>95</v>
      </c>
      <c r="G703" s="6" t="n">
        <v>8</v>
      </c>
      <c r="I703" s="0" t="n"/>
      <c r="J703" s="0" t="n"/>
      <c r="K703" s="0" t="n"/>
      <c r="L703" t="inlineStr">
        <is>
          <t>Discovery CT750 HD</t>
        </is>
      </c>
      <c r="M703" t="inlineStr">
        <is>
          <t>pre 3mm</t>
        </is>
      </c>
    </row>
    <row r="704">
      <c r="A704" s="2" t="n">
        <v>457712</v>
      </c>
      <c r="B704" s="2" t="inlineStr">
        <is>
          <t>64</t>
        </is>
      </c>
      <c r="C704" s="2" t="inlineStr">
        <is>
          <t>M</t>
        </is>
      </c>
      <c r="D704" s="2" t="inlineStr">
        <is>
          <t>120.0</t>
        </is>
      </c>
      <c r="E704" s="4">
        <f>HYPERLINK("./Results/DLO\164\Osteo_Sarco_1.png","RPT")</f>
        <v/>
      </c>
      <c r="F704" s="2" t="n">
        <v>173</v>
      </c>
      <c r="G704" s="6" t="n">
        <v>11</v>
      </c>
      <c r="I704" s="0" t="n"/>
      <c r="J704" s="0" t="n"/>
      <c r="K704" s="0" t="n"/>
      <c r="L704" t="inlineStr">
        <is>
          <t>LightSpeed VCT</t>
        </is>
      </c>
      <c r="M704" t="inlineStr">
        <is>
          <t>LAP 18sec 3mm</t>
        </is>
      </c>
    </row>
    <row r="705">
      <c r="A705" s="2" t="n">
        <v>2071338</v>
      </c>
      <c r="B705" s="2" t="inlineStr">
        <is>
          <t>53</t>
        </is>
      </c>
      <c r="C705" s="2" t="inlineStr">
        <is>
          <t>M</t>
        </is>
      </c>
      <c r="D705" s="2" t="inlineStr">
        <is>
          <t>100.0</t>
        </is>
      </c>
      <c r="E705" s="4">
        <f>HYPERLINK("./Results/DLO\1640\Osteo_Sarco_1.png","RPT")</f>
        <v/>
      </c>
      <c r="F705" s="2" t="n">
        <v>162</v>
      </c>
      <c r="G705" s="6" t="n">
        <v>8</v>
      </c>
      <c r="H705" t="n">
        <v>25.93</v>
      </c>
      <c r="L705" t="inlineStr">
        <is>
          <t>Sensation 64</t>
        </is>
      </c>
      <c r="M705" t="inlineStr">
        <is>
          <t>HVP 3mm(76kg/150cc/3cc/xene)</t>
        </is>
      </c>
    </row>
    <row r="706">
      <c r="A706" s="2" t="n">
        <v>3126150</v>
      </c>
      <c r="B706" s="2" t="inlineStr">
        <is>
          <t>62</t>
        </is>
      </c>
      <c r="C706" s="2" t="inlineStr">
        <is>
          <t>F</t>
        </is>
      </c>
      <c r="D706" s="2" t="inlineStr">
        <is>
          <t>120.0</t>
        </is>
      </c>
      <c r="E706" s="4">
        <f>HYPERLINK("./Results/DLO\1641\Osteo_Sarco_1.png","RPT")</f>
        <v/>
      </c>
      <c r="F706" s="2" t="n">
        <v>113</v>
      </c>
      <c r="G706" s="6" t="n">
        <v>9</v>
      </c>
      <c r="I706" s="0" t="n"/>
      <c r="J706" s="0" t="n"/>
      <c r="K706" s="0" t="n"/>
      <c r="L706" t="inlineStr">
        <is>
          <t>LightSpeed VCT</t>
        </is>
      </c>
      <c r="M706" t="inlineStr">
        <is>
          <t>LAP 18sec 3mm</t>
        </is>
      </c>
    </row>
    <row r="707">
      <c r="A707" s="2" t="n">
        <v>3982359</v>
      </c>
      <c r="B707" s="2" t="inlineStr">
        <is>
          <t>58</t>
        </is>
      </c>
      <c r="C707" s="2" t="inlineStr">
        <is>
          <t>M</t>
        </is>
      </c>
      <c r="D707" s="2" t="inlineStr">
        <is>
          <t>100.0</t>
        </is>
      </c>
      <c r="E707" s="4">
        <f>HYPERLINK("./Results/DLO\1642\Osteo_Sarco_1.png","RPT")</f>
        <v/>
      </c>
      <c r="F707" s="2" t="n">
        <v>141</v>
      </c>
      <c r="G707" s="6" t="n">
        <v>4</v>
      </c>
      <c r="I707" s="0" t="n"/>
      <c r="J707" s="0" t="n"/>
      <c r="K707" s="0" t="n"/>
      <c r="L707" t="inlineStr">
        <is>
          <t>LightSpeed VCT</t>
        </is>
      </c>
      <c r="M707" t="inlineStr">
        <is>
          <t>PRE 3mm</t>
        </is>
      </c>
    </row>
    <row r="708">
      <c r="A708" s="2" t="n">
        <v>4881878</v>
      </c>
      <c r="B708" s="2" t="inlineStr">
        <is>
          <t>27</t>
        </is>
      </c>
      <c r="C708" s="2" t="inlineStr">
        <is>
          <t>F</t>
        </is>
      </c>
      <c r="D708" s="2" t="inlineStr">
        <is>
          <t>100.0</t>
        </is>
      </c>
      <c r="E708" s="4">
        <f>HYPERLINK("./Results/DLO\1643\Osteo_Sarco_1.png","RPT")</f>
        <v/>
      </c>
      <c r="F708" s="2" t="n">
        <v>97</v>
      </c>
      <c r="G708" s="6" t="n">
        <v>6</v>
      </c>
      <c r="I708" s="0" t="n"/>
      <c r="J708" s="0" t="n"/>
      <c r="K708" s="0" t="n"/>
      <c r="L708" t="inlineStr">
        <is>
          <t>iCT 256</t>
        </is>
      </c>
      <c r="M708" t="inlineStr">
        <is>
          <t>Pre3/3mm_I-3, iDose (3)</t>
        </is>
      </c>
    </row>
    <row r="709">
      <c r="A709" s="2" t="n">
        <v>3667965</v>
      </c>
      <c r="B709" s="2" t="inlineStr">
        <is>
          <t>55</t>
        </is>
      </c>
      <c r="C709" s="2" t="inlineStr">
        <is>
          <t>M</t>
        </is>
      </c>
      <c r="D709" s="2" t="inlineStr">
        <is>
          <t>100.0</t>
        </is>
      </c>
      <c r="E709" s="4">
        <f>HYPERLINK("./Results/DLO\1644\Osteo_Sarco_1.png","RPT")</f>
        <v/>
      </c>
      <c r="F709" s="2" t="n">
        <v>128</v>
      </c>
      <c r="G709" s="6" t="n">
        <v>6</v>
      </c>
      <c r="I709" s="0" t="n"/>
      <c r="J709" s="0" t="n"/>
      <c r="K709" s="0" t="n"/>
      <c r="L709" t="inlineStr">
        <is>
          <t>SOMATOM Definition...</t>
        </is>
      </c>
      <c r="M709" t="inlineStr">
        <is>
          <t>HVP 2 3mm (54kg/108cc/3cc/h..</t>
        </is>
      </c>
    </row>
    <row r="710">
      <c r="A710" s="2" t="n">
        <v>2867166</v>
      </c>
      <c r="B710" s="2" t="inlineStr">
        <is>
          <t>70</t>
        </is>
      </c>
      <c r="C710" s="2" t="inlineStr">
        <is>
          <t>F</t>
        </is>
      </c>
      <c r="D710" s="2" t="inlineStr">
        <is>
          <t>100.0</t>
        </is>
      </c>
      <c r="E710" s="4">
        <f>HYPERLINK("./Results/DLO\1645\Osteo_Sarco_1.png","RPT")</f>
        <v/>
      </c>
      <c r="F710" s="2" t="n">
        <v>84</v>
      </c>
      <c r="G710" s="6" t="n">
        <v>13</v>
      </c>
      <c r="I710" s="0" t="n"/>
      <c r="J710" s="0" t="n"/>
      <c r="K710" s="0" t="n"/>
      <c r="L710" t="inlineStr">
        <is>
          <t>LightSpeed VCT</t>
        </is>
      </c>
      <c r="M710" t="inlineStr">
        <is>
          <t>PRE 3mm</t>
        </is>
      </c>
    </row>
    <row r="711">
      <c r="A711" s="2" t="n">
        <v>1662735</v>
      </c>
      <c r="B711" s="2" t="inlineStr">
        <is>
          <t>60</t>
        </is>
      </c>
      <c r="C711" s="2" t="inlineStr">
        <is>
          <t>M</t>
        </is>
      </c>
      <c r="D711" s="2" t="inlineStr">
        <is>
          <t>120.0</t>
        </is>
      </c>
      <c r="E711" s="4">
        <f>HYPERLINK("./Results/DLO\1646\Osteo_Sarco_1.png","RPT")</f>
        <v/>
      </c>
      <c r="F711" s="2" t="n">
        <v>180</v>
      </c>
      <c r="G711" s="6" t="n">
        <v>15</v>
      </c>
      <c r="I711" s="0" t="n"/>
      <c r="J711" s="0" t="n"/>
      <c r="K711" s="0" t="n"/>
      <c r="L711" t="inlineStr">
        <is>
          <t>Sensation Open</t>
        </is>
      </c>
      <c r="M711" t="inlineStr">
        <is>
          <t>Resp 3.0 B30s 100%</t>
        </is>
      </c>
    </row>
    <row r="712">
      <c r="A712" s="2" t="n">
        <v>1967481</v>
      </c>
      <c r="B712" s="2" t="inlineStr">
        <is>
          <t>62</t>
        </is>
      </c>
      <c r="C712" s="2" t="inlineStr">
        <is>
          <t>M</t>
        </is>
      </c>
      <c r="D712" s="2" t="inlineStr">
        <is>
          <t>100.0</t>
        </is>
      </c>
      <c r="E712" s="4">
        <f>HYPERLINK("./Results/DLO\1647\Osteo_Sarco_1.png","RPT")</f>
        <v/>
      </c>
      <c r="F712" s="2" t="n">
        <v>136</v>
      </c>
      <c r="G712" s="6" t="n">
        <v>14</v>
      </c>
      <c r="I712" s="0" t="n"/>
      <c r="J712" s="0" t="n"/>
      <c r="K712" s="0" t="n"/>
      <c r="L712" t="inlineStr">
        <is>
          <t>iCT 256</t>
        </is>
      </c>
      <c r="M712" t="inlineStr">
        <is>
          <t>HVP 3/3mm, iDose (3)</t>
        </is>
      </c>
    </row>
    <row r="713">
      <c r="A713" s="2" t="n">
        <v>1835038</v>
      </c>
      <c r="B713" s="2" t="inlineStr">
        <is>
          <t>54</t>
        </is>
      </c>
      <c r="C713" s="2" t="inlineStr">
        <is>
          <t>F</t>
        </is>
      </c>
      <c r="D713" s="2" t="inlineStr">
        <is>
          <t>100.0</t>
        </is>
      </c>
      <c r="E713" s="4">
        <f>HYPERLINK("./Results/DLO\1648\Osteo_Sarco_1.png","RPT")</f>
        <v/>
      </c>
      <c r="F713" s="2" t="n">
        <v>98</v>
      </c>
      <c r="G713" s="6" t="n">
        <v>13</v>
      </c>
      <c r="I713" s="0" t="n"/>
      <c r="J713" s="0" t="n"/>
      <c r="K713" s="0" t="n"/>
      <c r="L713" t="inlineStr">
        <is>
          <t>iCT 256</t>
        </is>
      </c>
      <c r="M713" t="inlineStr">
        <is>
          <t>Pre3/3mm_I-3, iDose (3)</t>
        </is>
      </c>
    </row>
    <row r="714">
      <c r="A714" s="2" t="n">
        <v>3707097</v>
      </c>
      <c r="B714" s="2" t="inlineStr">
        <is>
          <t>41</t>
        </is>
      </c>
      <c r="C714" s="2" t="inlineStr">
        <is>
          <t>F</t>
        </is>
      </c>
      <c r="D714" s="2" t="inlineStr">
        <is>
          <t>100.0</t>
        </is>
      </c>
      <c r="E714" s="4">
        <f>HYPERLINK("./Results/DLO\1649\Osteo_Sarco_1.png","RPT")</f>
        <v/>
      </c>
      <c r="F714" s="2" t="n">
        <v>94</v>
      </c>
      <c r="G714" s="6" t="n">
        <v>9</v>
      </c>
      <c r="I714" s="0" t="n"/>
      <c r="J714" s="0" t="n"/>
      <c r="K714" s="0" t="n"/>
      <c r="L714" t="inlineStr">
        <is>
          <t>Revolution EVO</t>
        </is>
      </c>
      <c r="M714" t="inlineStr">
        <is>
          <t>PRE</t>
        </is>
      </c>
    </row>
    <row r="715">
      <c r="A715" s="2" t="n">
        <v>596011</v>
      </c>
      <c r="B715" s="2" t="inlineStr">
        <is>
          <t>63</t>
        </is>
      </c>
      <c r="C715" s="2" t="inlineStr">
        <is>
          <t>M</t>
        </is>
      </c>
      <c r="D715" s="2" t="inlineStr">
        <is>
          <t>100.0</t>
        </is>
      </c>
      <c r="E715" s="4">
        <f>HYPERLINK("./Results/DLO\165\Osteo_Sarco_1.png","RPT")</f>
        <v/>
      </c>
      <c r="F715" s="2" t="n">
        <v>146</v>
      </c>
      <c r="G715" s="6" t="n">
        <v>5</v>
      </c>
      <c r="I715" s="0" t="n"/>
      <c r="J715" s="0" t="n"/>
      <c r="K715" s="0" t="n"/>
      <c r="L715" t="inlineStr">
        <is>
          <t>iCT 256</t>
        </is>
      </c>
      <c r="M715" t="inlineStr">
        <is>
          <t>Pre3/3mm_I-3, iDose (3)</t>
        </is>
      </c>
    </row>
    <row r="716">
      <c r="A716" s="2" t="n">
        <v>1928575</v>
      </c>
      <c r="B716" s="2" t="inlineStr">
        <is>
          <t>51</t>
        </is>
      </c>
      <c r="C716" s="2" t="inlineStr">
        <is>
          <t>M</t>
        </is>
      </c>
      <c r="D716" s="2" t="inlineStr">
        <is>
          <t>100.0</t>
        </is>
      </c>
      <c r="E716" s="4">
        <f>HYPERLINK("./Results/DLO\1650\Osteo_Sarco_1.png","RPT")</f>
        <v/>
      </c>
      <c r="F716" s="2" t="n">
        <v>187</v>
      </c>
      <c r="G716" s="6" t="n">
        <v>16</v>
      </c>
      <c r="I716" s="0" t="n"/>
      <c r="J716" s="0" t="n"/>
      <c r="K716" s="0" t="n"/>
      <c r="L716" t="inlineStr">
        <is>
          <t>SOMATOM Definition...</t>
        </is>
      </c>
      <c r="M716" t="inlineStr">
        <is>
          <t>HVP 2 3mm(97kg/150cc/2.5cc/x...</t>
        </is>
      </c>
    </row>
    <row r="717">
      <c r="A717" s="2" t="n">
        <v>4883953</v>
      </c>
      <c r="B717" s="2" t="inlineStr">
        <is>
          <t>49</t>
        </is>
      </c>
      <c r="C717" s="2" t="inlineStr">
        <is>
          <t>M</t>
        </is>
      </c>
      <c r="D717" s="2" t="inlineStr">
        <is>
          <t>100.0</t>
        </is>
      </c>
      <c r="E717" s="4">
        <f>HYPERLINK("./Results/DLO\1651\Osteo_Sarco_1.png","RPT")</f>
        <v/>
      </c>
      <c r="F717" s="2" t="n">
        <v>181</v>
      </c>
      <c r="G717" s="6" t="n">
        <v>12</v>
      </c>
      <c r="I717" s="0" t="n"/>
      <c r="J717" s="0" t="n"/>
      <c r="K717" s="0" t="n"/>
      <c r="L717" t="inlineStr">
        <is>
          <t>Revolution CT</t>
        </is>
      </c>
      <c r="M717" t="inlineStr">
        <is>
          <t>HVP 3mm(73kg/146cc/3cc/omni)</t>
        </is>
      </c>
    </row>
    <row r="718">
      <c r="A718" s="2" t="n">
        <v>3709541</v>
      </c>
      <c r="B718" s="2" t="inlineStr">
        <is>
          <t>36</t>
        </is>
      </c>
      <c r="C718" s="2" t="inlineStr">
        <is>
          <t>F</t>
        </is>
      </c>
      <c r="D718" s="2" t="inlineStr">
        <is>
          <t>120.0</t>
        </is>
      </c>
      <c r="E718" s="4">
        <f>HYPERLINK("./Results/DLO\1652\Osteo_Sarco_1.png","RPT")</f>
        <v/>
      </c>
      <c r="F718" s="2" t="n">
        <v>109</v>
      </c>
      <c r="G718" s="6" t="n">
        <v>14</v>
      </c>
      <c r="I718" s="0" t="n"/>
      <c r="J718" s="0" t="n"/>
      <c r="K718" s="0" t="n"/>
      <c r="L718" t="inlineStr">
        <is>
          <t>Ingenuity Core</t>
        </is>
      </c>
      <c r="M718" t="inlineStr">
        <is>
          <t>Pre 5mm, iDose (2)</t>
        </is>
      </c>
    </row>
    <row r="719">
      <c r="A719" s="2" t="n">
        <v>3323075</v>
      </c>
      <c r="B719" s="2" t="inlineStr">
        <is>
          <t>54</t>
        </is>
      </c>
      <c r="C719" s="2" t="inlineStr">
        <is>
          <t>F</t>
        </is>
      </c>
      <c r="D719" s="2" t="inlineStr">
        <is>
          <t>120.0</t>
        </is>
      </c>
      <c r="E719" s="4">
        <f>HYPERLINK("./Results/DLO\1653\Osteo_Sarco_1.png","RPT")</f>
        <v/>
      </c>
      <c r="F719" s="2" t="n">
        <v>118</v>
      </c>
      <c r="G719" s="6" t="n">
        <v>9</v>
      </c>
      <c r="H719" t="n">
        <v>24.01</v>
      </c>
      <c r="L719" t="inlineStr">
        <is>
          <t>Optima CT660</t>
        </is>
      </c>
      <c r="M719" t="inlineStr">
        <is>
          <t>Pre</t>
        </is>
      </c>
    </row>
    <row r="720">
      <c r="A720" s="2" t="n">
        <v>2547595</v>
      </c>
      <c r="B720" s="2" t="inlineStr">
        <is>
          <t>49</t>
        </is>
      </c>
      <c r="C720" s="2" t="inlineStr">
        <is>
          <t>F</t>
        </is>
      </c>
      <c r="D720" s="2" t="inlineStr">
        <is>
          <t>90.0</t>
        </is>
      </c>
      <c r="E720" s="4">
        <f>HYPERLINK("./Results/DLO\1654\Osteo_Sarco_1.png","RPT")</f>
        <v/>
      </c>
      <c r="F720" s="2" t="n">
        <v>98</v>
      </c>
      <c r="G720" s="6" t="n">
        <v>10</v>
      </c>
      <c r="I720" s="0" t="n"/>
      <c r="J720" s="0" t="n"/>
      <c r="K720" s="0" t="n"/>
      <c r="L720" t="inlineStr">
        <is>
          <t>SOMATOM Force</t>
        </is>
      </c>
      <c r="M720" t="inlineStr">
        <is>
          <t>GU Pre 3.0 Br40 1</t>
        </is>
      </c>
    </row>
    <row r="721">
      <c r="A721" s="2" t="n">
        <v>4621090</v>
      </c>
      <c r="B721" s="2" t="inlineStr">
        <is>
          <t>47</t>
        </is>
      </c>
      <c r="C721" s="2" t="inlineStr">
        <is>
          <t>M</t>
        </is>
      </c>
      <c r="D721" s="2" t="inlineStr">
        <is>
          <t>120.0</t>
        </is>
      </c>
      <c r="E721" s="4">
        <f>HYPERLINK("./Results/DLO\1655\Osteo_Sarco_1.png","RPT")</f>
        <v/>
      </c>
      <c r="F721" s="2" t="n">
        <v>144</v>
      </c>
      <c r="G721" s="6" t="n">
        <v>9</v>
      </c>
      <c r="I721" s="0" t="n"/>
      <c r="J721" s="0" t="n"/>
      <c r="K721" s="0" t="n"/>
      <c r="L721" t="inlineStr">
        <is>
          <t>LightSpeed VCT</t>
        </is>
      </c>
      <c r="M721" t="inlineStr">
        <is>
          <t>HVP 3mm</t>
        </is>
      </c>
    </row>
    <row r="722">
      <c r="A722" s="2" t="n">
        <v>2090311</v>
      </c>
      <c r="B722" s="2" t="inlineStr">
        <is>
          <t>66</t>
        </is>
      </c>
      <c r="C722" s="2" t="inlineStr">
        <is>
          <t>F</t>
        </is>
      </c>
      <c r="D722" s="2" t="inlineStr">
        <is>
          <t>100.0</t>
        </is>
      </c>
      <c r="E722" s="4">
        <f>HYPERLINK("./Results/DLO\1656\Osteo_Sarco_1.png","RPT")</f>
        <v/>
      </c>
      <c r="F722" s="2" t="n">
        <v>119</v>
      </c>
      <c r="G722" s="6" t="n">
        <v>8</v>
      </c>
      <c r="H722" t="n">
        <v>21.2</v>
      </c>
      <c r="L722" t="inlineStr">
        <is>
          <t>Revolution CT</t>
        </is>
      </c>
      <c r="M722" t="inlineStr">
        <is>
          <t>HVP 3mm-pacs(52kg/104cc/3cc/x...</t>
        </is>
      </c>
    </row>
    <row r="723">
      <c r="A723" s="2" t="n">
        <v>4276050</v>
      </c>
      <c r="B723" s="2" t="inlineStr">
        <is>
          <t>72</t>
        </is>
      </c>
      <c r="C723" s="2" t="inlineStr">
        <is>
          <t>M</t>
        </is>
      </c>
      <c r="D723" s="2" t="inlineStr">
        <is>
          <t>100.0</t>
        </is>
      </c>
      <c r="E723" s="4">
        <f>HYPERLINK("./Results/DLO\1657\Osteo_Sarco_1.png","RPT")</f>
        <v/>
      </c>
      <c r="F723" s="2" t="n">
        <v>147</v>
      </c>
      <c r="G723" s="6" t="n">
        <v>6</v>
      </c>
      <c r="I723" s="0" t="n"/>
      <c r="J723" s="0" t="n"/>
      <c r="K723" s="0" t="n"/>
      <c r="L723" t="inlineStr">
        <is>
          <t>SOMATOM Definition...</t>
        </is>
      </c>
      <c r="M723" t="inlineStr">
        <is>
          <t>HVP 2 3mm (69kg/138cc/2.7cc...</t>
        </is>
      </c>
    </row>
    <row r="724">
      <c r="A724" s="2" t="n">
        <v>3881925</v>
      </c>
      <c r="B724" s="2" t="inlineStr">
        <is>
          <t>70</t>
        </is>
      </c>
      <c r="C724" s="2" t="inlineStr">
        <is>
          <t>M</t>
        </is>
      </c>
      <c r="D724" s="2" t="inlineStr">
        <is>
          <t>100.0</t>
        </is>
      </c>
      <c r="E724" s="4">
        <f>HYPERLINK("./Results/DLO\1658\Osteo_Sarco_1.png","RPT")</f>
        <v/>
      </c>
      <c r="F724" s="2" t="n">
        <v>171</v>
      </c>
      <c r="G724" s="6" t="n">
        <v>22</v>
      </c>
      <c r="H724" t="n">
        <v>25.37</v>
      </c>
      <c r="L724" t="inlineStr">
        <is>
          <t>SOMATOM Definition...</t>
        </is>
      </c>
      <c r="M724" t="inlineStr">
        <is>
          <t>Pre(cp~pubic ) 3.0 B30f</t>
        </is>
      </c>
    </row>
    <row r="725">
      <c r="A725" s="2" t="n">
        <v>3213363</v>
      </c>
      <c r="B725" s="2" t="inlineStr">
        <is>
          <t>71</t>
        </is>
      </c>
      <c r="C725" s="2" t="inlineStr">
        <is>
          <t>M</t>
        </is>
      </c>
      <c r="D725" s="2" t="inlineStr">
        <is>
          <t>100.0</t>
        </is>
      </c>
      <c r="E725" s="4">
        <f>HYPERLINK("./Results/DLO\166\Osteo_Sarco_1.png","RPT")</f>
        <v/>
      </c>
      <c r="F725" s="2" t="n">
        <v>120</v>
      </c>
      <c r="G725" s="6" t="n">
        <v>9</v>
      </c>
      <c r="I725" s="0" t="n"/>
      <c r="J725" s="0" t="n"/>
      <c r="K725" s="0" t="n"/>
      <c r="L725" t="inlineStr">
        <is>
          <t>Sensation 64</t>
        </is>
      </c>
      <c r="M725" t="inlineStr">
        <is>
          <t>Pre 3mm(100kvp100mAs)</t>
        </is>
      </c>
    </row>
    <row r="726">
      <c r="A726" s="2" t="n">
        <v>2854791</v>
      </c>
      <c r="B726" s="2" t="inlineStr">
        <is>
          <t>62</t>
        </is>
      </c>
      <c r="C726" s="2" t="inlineStr">
        <is>
          <t>F</t>
        </is>
      </c>
      <c r="D726" s="2" t="inlineStr">
        <is>
          <t>100.0</t>
        </is>
      </c>
      <c r="E726" s="4">
        <f>HYPERLINK("./Results/DLO\1660\Osteo_Sarco_1.png","RPT")</f>
        <v/>
      </c>
      <c r="F726" s="2" t="n">
        <v>111</v>
      </c>
      <c r="G726" s="6" t="n">
        <v>13</v>
      </c>
      <c r="I726" s="0" t="n"/>
      <c r="J726" s="0" t="n"/>
      <c r="K726" s="0" t="n"/>
      <c r="L726" t="inlineStr">
        <is>
          <t>SOMATOM Definition...</t>
        </is>
      </c>
      <c r="M726" t="inlineStr">
        <is>
          <t>HVP 2 3mm(61kg/122cc/3cc/xene)</t>
        </is>
      </c>
    </row>
    <row r="727">
      <c r="A727" s="2" t="n">
        <v>2163454</v>
      </c>
      <c r="B727" s="2" t="inlineStr">
        <is>
          <t>62</t>
        </is>
      </c>
      <c r="C727" s="2" t="inlineStr">
        <is>
          <t>F</t>
        </is>
      </c>
      <c r="D727" s="2" t="inlineStr">
        <is>
          <t>100.0</t>
        </is>
      </c>
      <c r="E727" s="4">
        <f>HYPERLINK("./Results/DLO\1661\Osteo_Sarco_1.png","RPT")</f>
        <v/>
      </c>
      <c r="F727" s="2" t="n">
        <v>132</v>
      </c>
      <c r="G727" s="6" t="n">
        <v>8</v>
      </c>
      <c r="I727" s="0" t="n"/>
      <c r="J727" s="0" t="n"/>
      <c r="K727" s="0" t="n"/>
      <c r="L727" t="inlineStr">
        <is>
          <t>SOMATOM Force</t>
        </is>
      </c>
      <c r="M727" t="inlineStr">
        <is>
          <t>Pre 3.0 Br40</t>
        </is>
      </c>
    </row>
    <row r="728">
      <c r="A728" s="2" t="n">
        <v>4438358</v>
      </c>
      <c r="B728" s="2" t="inlineStr">
        <is>
          <t>66</t>
        </is>
      </c>
      <c r="C728" s="2" t="inlineStr">
        <is>
          <t>F</t>
        </is>
      </c>
      <c r="D728" s="2" t="inlineStr">
        <is>
          <t>100.0</t>
        </is>
      </c>
      <c r="E728" s="4">
        <f>HYPERLINK("./Results/DLO\1662\Osteo_Sarco_1.png","RPT")</f>
        <v/>
      </c>
      <c r="F728" s="2" t="n">
        <v>82</v>
      </c>
      <c r="G728" s="6" t="n">
        <v>14</v>
      </c>
      <c r="I728" s="0" t="n"/>
      <c r="J728" s="0" t="n"/>
      <c r="K728" s="0" t="n"/>
      <c r="L728" t="inlineStr">
        <is>
          <t>SOMATOM Force</t>
        </is>
      </c>
      <c r="M728" t="inlineStr">
        <is>
          <t>Pre 3.0 Br40 1</t>
        </is>
      </c>
    </row>
    <row r="729">
      <c r="A729" s="2" t="n">
        <v>3361630</v>
      </c>
      <c r="B729" s="2" t="inlineStr">
        <is>
          <t>60</t>
        </is>
      </c>
      <c r="C729" s="2" t="inlineStr">
        <is>
          <t>M</t>
        </is>
      </c>
      <c r="D729" s="2" t="inlineStr">
        <is>
          <t>120.0</t>
        </is>
      </c>
      <c r="E729" s="4">
        <f>HYPERLINK("./Results/DLO\1663\Osteo_Sarco_1.png","RPT")</f>
        <v/>
      </c>
      <c r="F729" s="2" t="n">
        <v>162</v>
      </c>
      <c r="G729" s="6" t="n">
        <v>15</v>
      </c>
      <c r="I729" s="0" t="n"/>
      <c r="J729" s="0" t="n"/>
      <c r="K729" s="0" t="n"/>
      <c r="L729" t="inlineStr">
        <is>
          <t>Discovery CT750 HD</t>
        </is>
      </c>
      <c r="M729" t="inlineStr">
        <is>
          <t>LAP 3mm</t>
        </is>
      </c>
    </row>
    <row r="730">
      <c r="A730" s="2" t="n">
        <v>3093894</v>
      </c>
      <c r="B730" s="2" t="inlineStr">
        <is>
          <t>42</t>
        </is>
      </c>
      <c r="C730" s="2" t="inlineStr">
        <is>
          <t>M</t>
        </is>
      </c>
      <c r="D730" s="2" t="inlineStr">
        <is>
          <t>100.0</t>
        </is>
      </c>
      <c r="E730" s="4">
        <f>HYPERLINK("./Results/DLO\1664\Osteo_Sarco_1.png","RPT")</f>
        <v/>
      </c>
      <c r="F730" s="2" t="n">
        <v>179</v>
      </c>
      <c r="G730" s="6" t="n">
        <v>7</v>
      </c>
      <c r="I730" s="0" t="n"/>
      <c r="J730" s="0" t="n"/>
      <c r="K730" s="0" t="n"/>
      <c r="L730" t="inlineStr">
        <is>
          <t>SOMATOM Force</t>
        </is>
      </c>
      <c r="M730" t="inlineStr">
        <is>
          <t>HVP 3.0 Br40 2 (72kg/144cc...</t>
        </is>
      </c>
    </row>
    <row r="731">
      <c r="A731" s="2" t="n">
        <v>3447388</v>
      </c>
      <c r="B731" s="2" t="inlineStr">
        <is>
          <t>68</t>
        </is>
      </c>
      <c r="C731" s="2" t="inlineStr">
        <is>
          <t>F</t>
        </is>
      </c>
      <c r="D731" s="2" t="inlineStr">
        <is>
          <t>100.0</t>
        </is>
      </c>
      <c r="E731" s="4">
        <f>HYPERLINK("./Results/DLO\1665\Osteo_Sarco_1.png","RPT")</f>
        <v/>
      </c>
      <c r="F731" s="2" t="n">
        <v>107</v>
      </c>
      <c r="G731" s="6" t="n">
        <v>7</v>
      </c>
      <c r="H731" t="n">
        <v>24.3</v>
      </c>
      <c r="L731" t="inlineStr">
        <is>
          <t>SOMATOM Definition...</t>
        </is>
      </c>
      <c r="M731" t="inlineStr">
        <is>
          <t>HVP 2 3mm (53kg/106cc/3cc/P...</t>
        </is>
      </c>
    </row>
    <row r="732">
      <c r="A732" s="2" t="n">
        <v>1783210</v>
      </c>
      <c r="B732" s="2" t="inlineStr">
        <is>
          <t>62</t>
        </is>
      </c>
      <c r="C732" s="2" t="inlineStr">
        <is>
          <t>M</t>
        </is>
      </c>
      <c r="D732" s="2" t="inlineStr">
        <is>
          <t>120.0</t>
        </is>
      </c>
      <c r="E732" s="4">
        <f>HYPERLINK("./Results/DLO\1666\Osteo_Sarco_1.png","RPT")</f>
        <v/>
      </c>
      <c r="F732" s="2" t="n">
        <v>155</v>
      </c>
      <c r="G732" s="6" t="n">
        <v>8</v>
      </c>
      <c r="I732" s="0" t="n"/>
      <c r="J732" s="0" t="n"/>
      <c r="K732" s="0" t="n"/>
      <c r="L732" t="inlineStr">
        <is>
          <t>LightSpeed VCT</t>
        </is>
      </c>
      <c r="M732" t="inlineStr">
        <is>
          <t>HVP 3mm</t>
        </is>
      </c>
    </row>
    <row r="733">
      <c r="A733" s="2" t="n">
        <v>1715710</v>
      </c>
      <c r="B733" s="2" t="inlineStr">
        <is>
          <t>64</t>
        </is>
      </c>
      <c r="C733" s="2" t="inlineStr">
        <is>
          <t>M</t>
        </is>
      </c>
      <c r="D733" s="2" t="inlineStr">
        <is>
          <t>100.0</t>
        </is>
      </c>
      <c r="E733" s="4">
        <f>HYPERLINK("./Results/DLO\1667\Osteo_Sarco_1.png","RPT")</f>
        <v/>
      </c>
      <c r="F733" s="2" t="n">
        <v>189</v>
      </c>
      <c r="G733" s="6" t="n">
        <v>13</v>
      </c>
      <c r="I733" s="0" t="n"/>
      <c r="J733" s="0" t="n"/>
      <c r="K733" s="0" t="n"/>
      <c r="L733" t="inlineStr">
        <is>
          <t>SOMATOM Force</t>
        </is>
      </c>
      <c r="M733" t="inlineStr">
        <is>
          <t>HVP 3.0 Br40 2 (76kg/150cc...</t>
        </is>
      </c>
    </row>
    <row r="734">
      <c r="A734" s="2" t="n">
        <v>2993549</v>
      </c>
      <c r="B734" s="2" t="inlineStr">
        <is>
          <t>51</t>
        </is>
      </c>
      <c r="C734" s="2" t="inlineStr">
        <is>
          <t>M</t>
        </is>
      </c>
      <c r="D734" s="2" t="inlineStr">
        <is>
          <t>100.0</t>
        </is>
      </c>
      <c r="E734" s="4">
        <f>HYPERLINK("./Results/DLO\1668\Osteo_Sarco_1.png","RPT")</f>
        <v/>
      </c>
      <c r="F734" s="2" t="n">
        <v>146</v>
      </c>
      <c r="G734" s="6" t="n">
        <v>12</v>
      </c>
      <c r="I734" s="0" t="n"/>
      <c r="J734" s="0" t="n"/>
      <c r="K734" s="0" t="n"/>
      <c r="L734" t="inlineStr">
        <is>
          <t>LightSpeed VCT</t>
        </is>
      </c>
      <c r="M734" t="inlineStr">
        <is>
          <t>PRE 3mm</t>
        </is>
      </c>
    </row>
    <row r="735">
      <c r="A735" s="2" t="n">
        <v>1601775</v>
      </c>
      <c r="B735" s="2" t="inlineStr">
        <is>
          <t>71</t>
        </is>
      </c>
      <c r="C735" s="2" t="inlineStr">
        <is>
          <t>M</t>
        </is>
      </c>
      <c r="D735" s="2" t="inlineStr">
        <is>
          <t>100.0</t>
        </is>
      </c>
      <c r="E735" s="4">
        <f>HYPERLINK("./Results/DLO\1669\Osteo_Sarco_1.png","RPT")</f>
        <v/>
      </c>
      <c r="F735" s="2" t="n">
        <v>123</v>
      </c>
      <c r="G735" s="6" t="n">
        <v>7</v>
      </c>
      <c r="I735" s="0" t="n"/>
      <c r="J735" s="0" t="n"/>
      <c r="K735" s="0" t="n"/>
      <c r="L735" t="inlineStr">
        <is>
          <t>LightSpeed VCT</t>
        </is>
      </c>
      <c r="M735" t="inlineStr">
        <is>
          <t>PRE (CP angle~Pubic)</t>
        </is>
      </c>
    </row>
    <row r="736">
      <c r="A736" s="2" t="n">
        <v>4704303</v>
      </c>
      <c r="B736" s="2" t="inlineStr">
        <is>
          <t>60</t>
        </is>
      </c>
      <c r="C736" s="2" t="inlineStr">
        <is>
          <t>F</t>
        </is>
      </c>
      <c r="D736" s="2" t="inlineStr">
        <is>
          <t>100.0</t>
        </is>
      </c>
      <c r="E736" s="4">
        <f>HYPERLINK("./Results/DLO\167\Osteo_Sarco_1.png","RPT")</f>
        <v/>
      </c>
      <c r="F736" s="2" t="n">
        <v>97</v>
      </c>
      <c r="G736" s="6" t="n">
        <v>8</v>
      </c>
      <c r="H736" t="n">
        <v>20.82</v>
      </c>
      <c r="L736" t="inlineStr">
        <is>
          <t>SOMATOM Definition...</t>
        </is>
      </c>
      <c r="M736" t="inlineStr">
        <is>
          <t>Pre 3mm</t>
        </is>
      </c>
    </row>
    <row r="737">
      <c r="A737" s="2" t="n">
        <v>3501058</v>
      </c>
      <c r="B737" s="2" t="inlineStr">
        <is>
          <t>39</t>
        </is>
      </c>
      <c r="C737" s="2" t="inlineStr">
        <is>
          <t>M</t>
        </is>
      </c>
      <c r="D737" s="2" t="inlineStr">
        <is>
          <t>100.0</t>
        </is>
      </c>
      <c r="E737" s="4">
        <f>HYPERLINK("./Results/DLO\1670\Osteo_Sarco_1.png","RPT")</f>
        <v/>
      </c>
      <c r="F737" s="2" t="n">
        <v>183</v>
      </c>
      <c r="G737" s="6" t="n">
        <v>13</v>
      </c>
      <c r="H737" t="n">
        <v>24</v>
      </c>
      <c r="L737" t="inlineStr">
        <is>
          <t>SOMATOM Definition...</t>
        </is>
      </c>
      <c r="M737" t="inlineStr">
        <is>
          <t>PRE 3mm (100Kvp 100mAs)</t>
        </is>
      </c>
    </row>
    <row r="738">
      <c r="A738" s="2" t="n">
        <v>3875408</v>
      </c>
      <c r="B738" s="2" t="inlineStr">
        <is>
          <t>64</t>
        </is>
      </c>
      <c r="C738" s="2" t="inlineStr">
        <is>
          <t>F</t>
        </is>
      </c>
      <c r="D738" s="2" t="inlineStr">
        <is>
          <t>120.0</t>
        </is>
      </c>
      <c r="E738" s="4">
        <f>HYPERLINK("./Results/DLO\1671\Osteo_Sarco_1.png","RPT")</f>
        <v/>
      </c>
      <c r="F738" s="2" t="n">
        <v>95</v>
      </c>
      <c r="G738" s="6" t="n">
        <v>7</v>
      </c>
      <c r="I738" s="0" t="n"/>
      <c r="J738" s="0" t="n"/>
      <c r="K738" s="0" t="n"/>
      <c r="L738" t="inlineStr">
        <is>
          <t>iCT 256</t>
        </is>
      </c>
      <c r="M738" t="inlineStr">
        <is>
          <t>HVP 3/3mm, iDose (3)</t>
        </is>
      </c>
    </row>
    <row r="739">
      <c r="A739" s="2" t="n">
        <v>3185052</v>
      </c>
      <c r="B739" s="2" t="inlineStr">
        <is>
          <t>62</t>
        </is>
      </c>
      <c r="C739" s="2" t="inlineStr">
        <is>
          <t>F</t>
        </is>
      </c>
      <c r="D739" s="2" t="inlineStr">
        <is>
          <t>120.0</t>
        </is>
      </c>
      <c r="E739" s="4">
        <f>HYPERLINK("./Results/DLO\1672\Osteo_Sarco_1.png","RPT")</f>
        <v/>
      </c>
      <c r="F739" s="2" t="n">
        <v>119</v>
      </c>
      <c r="G739" s="6" t="n">
        <v>7</v>
      </c>
      <c r="H739" t="n">
        <v>23.78</v>
      </c>
      <c r="L739" t="inlineStr">
        <is>
          <t>LightSpeed VCT</t>
        </is>
      </c>
      <c r="M739" t="inlineStr">
        <is>
          <t>HVP 55sec 3mm</t>
        </is>
      </c>
    </row>
    <row r="740">
      <c r="A740" s="2" t="n">
        <v>3341241</v>
      </c>
      <c r="B740" s="2" t="inlineStr">
        <is>
          <t>72</t>
        </is>
      </c>
      <c r="C740" s="2" t="inlineStr">
        <is>
          <t>M</t>
        </is>
      </c>
      <c r="D740" s="2" t="inlineStr">
        <is>
          <t>100.0</t>
        </is>
      </c>
      <c r="E740" s="4">
        <f>HYPERLINK("./Results/DLO\1673\Osteo_Sarco_1.png","RPT")</f>
        <v/>
      </c>
      <c r="F740" s="2" t="n">
        <v>122</v>
      </c>
      <c r="G740" s="6" t="n">
        <v>2</v>
      </c>
      <c r="I740" s="0" t="n"/>
      <c r="J740" s="0" t="n"/>
      <c r="K740" s="0" t="n"/>
      <c r="L740" t="inlineStr">
        <is>
          <t>SOMATOM Definition...</t>
        </is>
      </c>
      <c r="M740" t="inlineStr">
        <is>
          <t>HVP 2 3mm (48kg/96cc/2.5cc/p...</t>
        </is>
      </c>
    </row>
    <row r="741">
      <c r="A741" s="2" t="n">
        <v>4592022</v>
      </c>
      <c r="B741" s="2" t="inlineStr">
        <is>
          <t>68</t>
        </is>
      </c>
      <c r="C741" s="2" t="inlineStr">
        <is>
          <t>F</t>
        </is>
      </c>
      <c r="D741" s="2" t="inlineStr">
        <is>
          <t>100.0</t>
        </is>
      </c>
      <c r="E741" s="4">
        <f>HYPERLINK("./Results/DLO\1674\Osteo_Sarco_1.png","RPT")</f>
        <v/>
      </c>
      <c r="F741" s="2" t="n">
        <v>92</v>
      </c>
      <c r="G741" s="6" t="n">
        <v>14</v>
      </c>
      <c r="H741" t="n">
        <v>21.63</v>
      </c>
      <c r="L741" t="inlineStr">
        <is>
          <t>SOMATOM Definition...</t>
        </is>
      </c>
      <c r="M741" t="inlineStr">
        <is>
          <t>Pre(CP~pubic) 3mm</t>
        </is>
      </c>
    </row>
    <row r="742">
      <c r="A742" s="2" t="n">
        <v>2749247</v>
      </c>
      <c r="B742" s="2" t="inlineStr">
        <is>
          <t>77</t>
        </is>
      </c>
      <c r="C742" s="2" t="inlineStr">
        <is>
          <t>F</t>
        </is>
      </c>
      <c r="D742" s="2" t="inlineStr">
        <is>
          <t>120.0</t>
        </is>
      </c>
      <c r="E742" s="4">
        <f>HYPERLINK("./Results/DLO\1675\Osteo_Sarco_1.png","RPT")</f>
        <v/>
      </c>
      <c r="F742" s="2" t="n">
        <v>85</v>
      </c>
      <c r="G742" s="6" t="n">
        <v>12</v>
      </c>
      <c r="H742" t="n">
        <v>24.69</v>
      </c>
      <c r="L742" t="inlineStr">
        <is>
          <t>LightSpeed VCT</t>
        </is>
      </c>
      <c r="M742" t="inlineStr">
        <is>
          <t>LAP 3mm</t>
        </is>
      </c>
    </row>
    <row r="743">
      <c r="A743" s="2" t="n">
        <v>3282593</v>
      </c>
      <c r="B743" s="2" t="inlineStr">
        <is>
          <t>51</t>
        </is>
      </c>
      <c r="C743" s="2" t="inlineStr">
        <is>
          <t>M</t>
        </is>
      </c>
      <c r="D743" s="2" t="inlineStr">
        <is>
          <t>100.0</t>
        </is>
      </c>
      <c r="E743" s="4">
        <f>HYPERLINK("./Results/DLO\1676\Osteo_Sarco_1.png","RPT")</f>
        <v/>
      </c>
      <c r="F743" s="2" t="n">
        <v>154</v>
      </c>
      <c r="G743" s="6" t="n">
        <v>7</v>
      </c>
      <c r="I743" s="0" t="n"/>
      <c r="J743" s="0" t="n"/>
      <c r="K743" s="0" t="n"/>
      <c r="L743" t="inlineStr">
        <is>
          <t>Discovery CT750 HD</t>
        </is>
      </c>
      <c r="M743" t="inlineStr">
        <is>
          <t>UP 2.5mm(ASIR30%)</t>
        </is>
      </c>
    </row>
    <row r="744">
      <c r="A744" s="2" t="n">
        <v>1630148</v>
      </c>
      <c r="B744" s="2" t="inlineStr">
        <is>
          <t>75</t>
        </is>
      </c>
      <c r="C744" s="2" t="inlineStr">
        <is>
          <t>F</t>
        </is>
      </c>
      <c r="D744" s="2" t="inlineStr">
        <is>
          <t>100.0</t>
        </is>
      </c>
      <c r="E744" s="4">
        <f>HYPERLINK("./Results/DLO\1677\Osteo_Sarco_1.png","RPT")</f>
        <v/>
      </c>
      <c r="F744" s="2" t="n">
        <v>118</v>
      </c>
      <c r="G744" s="6" t="n">
        <v>26</v>
      </c>
      <c r="H744" t="n">
        <v>22.89</v>
      </c>
      <c r="L744" t="inlineStr">
        <is>
          <t>Sensation 64</t>
        </is>
      </c>
      <c r="M744" t="inlineStr">
        <is>
          <t>Pre 3/3mm</t>
        </is>
      </c>
    </row>
    <row r="745">
      <c r="A745" s="2" t="n">
        <v>3889894</v>
      </c>
      <c r="B745" s="2" t="inlineStr">
        <is>
          <t>55</t>
        </is>
      </c>
      <c r="C745" s="2" t="inlineStr">
        <is>
          <t>F</t>
        </is>
      </c>
      <c r="D745" s="2" t="inlineStr">
        <is>
          <t>100.0</t>
        </is>
      </c>
      <c r="E745" s="4">
        <f>HYPERLINK("./Results/DLO\1678\Osteo_Sarco_1.png","RPT")</f>
        <v/>
      </c>
      <c r="F745" s="2" t="n">
        <v>110</v>
      </c>
      <c r="G745" s="6" t="n">
        <v>9</v>
      </c>
      <c r="I745" s="0" t="n"/>
      <c r="J745" s="0" t="n"/>
      <c r="K745" s="0" t="n"/>
      <c r="L745" t="inlineStr">
        <is>
          <t>iCT 256</t>
        </is>
      </c>
      <c r="M745" t="inlineStr">
        <is>
          <t>HVP 3/3mm, iDose (3)</t>
        </is>
      </c>
    </row>
    <row r="746">
      <c r="A746" s="2" t="n">
        <v>1853091</v>
      </c>
      <c r="B746" s="2" t="inlineStr">
        <is>
          <t>60</t>
        </is>
      </c>
      <c r="C746" s="2" t="inlineStr">
        <is>
          <t>M</t>
        </is>
      </c>
      <c r="D746" s="2" t="inlineStr">
        <is>
          <t>100.0</t>
        </is>
      </c>
      <c r="E746" s="4">
        <f>HYPERLINK("./Results/DLO\1679\Osteo_Sarco_1.png","RPT")</f>
        <v/>
      </c>
      <c r="F746" s="2" t="n">
        <v>162</v>
      </c>
      <c r="G746" s="6" t="n">
        <v>12</v>
      </c>
      <c r="I746" s="0" t="n"/>
      <c r="J746" s="0" t="n"/>
      <c r="K746" s="0" t="n"/>
      <c r="L746" t="inlineStr">
        <is>
          <t>Revolution EVO</t>
        </is>
      </c>
      <c r="M746" t="inlineStr">
        <is>
          <t>Pre(CP~Pelvic)</t>
        </is>
      </c>
    </row>
    <row r="747">
      <c r="A747" s="2" t="n">
        <v>2391315</v>
      </c>
      <c r="B747" s="2" t="inlineStr">
        <is>
          <t>63</t>
        </is>
      </c>
      <c r="C747" s="2" t="inlineStr">
        <is>
          <t>M</t>
        </is>
      </c>
      <c r="D747" s="2" t="inlineStr">
        <is>
          <t>100.0</t>
        </is>
      </c>
      <c r="E747" s="4">
        <f>HYPERLINK("./Results/DLO\168\Osteo_Sarco_1.png","RPT")</f>
        <v/>
      </c>
      <c r="F747" s="2" t="n">
        <v>180</v>
      </c>
      <c r="G747" s="6" t="n">
        <v>15</v>
      </c>
      <c r="H747" t="n">
        <v>25.25</v>
      </c>
      <c r="L747" t="inlineStr">
        <is>
          <t>Revolution EVO</t>
        </is>
      </c>
      <c r="M747" t="inlineStr">
        <is>
          <t>PRE</t>
        </is>
      </c>
    </row>
    <row r="748">
      <c r="A748" s="2" t="n">
        <v>2565471</v>
      </c>
      <c r="B748" s="2" t="inlineStr">
        <is>
          <t>41</t>
        </is>
      </c>
      <c r="C748" s="2" t="inlineStr">
        <is>
          <t>M</t>
        </is>
      </c>
      <c r="D748" s="2" t="inlineStr">
        <is>
          <t>100.0</t>
        </is>
      </c>
      <c r="E748" s="4">
        <f>HYPERLINK("./Results/DLO\1680\Osteo_Sarco_1.png","RPT")</f>
        <v/>
      </c>
      <c r="F748" s="2" t="n">
        <v>232</v>
      </c>
      <c r="G748" s="6" t="n">
        <v>23</v>
      </c>
      <c r="I748" s="0" t="n"/>
      <c r="J748" s="0" t="n"/>
      <c r="K748" s="0" t="n"/>
      <c r="L748" t="inlineStr">
        <is>
          <t>iCT 256</t>
        </is>
      </c>
      <c r="M748" t="inlineStr">
        <is>
          <t>HVP 3/3mm, iDose (3)</t>
        </is>
      </c>
    </row>
    <row r="749">
      <c r="A749" s="2" t="n">
        <v>3564173</v>
      </c>
      <c r="B749" s="2" t="inlineStr">
        <is>
          <t>58</t>
        </is>
      </c>
      <c r="C749" s="2" t="inlineStr">
        <is>
          <t>F</t>
        </is>
      </c>
      <c r="D749" s="2" t="inlineStr">
        <is>
          <t>100.0</t>
        </is>
      </c>
      <c r="E749" s="4">
        <f>HYPERLINK("./Results/DLO\1681\Osteo_Sarco_1.png","RPT")</f>
        <v/>
      </c>
      <c r="F749" s="2" t="n">
        <v>108</v>
      </c>
      <c r="G749" s="6" t="n">
        <v>7</v>
      </c>
      <c r="I749" s="0" t="n"/>
      <c r="J749" s="0" t="n"/>
      <c r="K749" s="0" t="n"/>
      <c r="L749" t="inlineStr">
        <is>
          <t>Revolution CT</t>
        </is>
      </c>
      <c r="M749" t="inlineStr">
        <is>
          <t>Pre 3mm pacs</t>
        </is>
      </c>
    </row>
    <row r="750">
      <c r="A750" s="2" t="n">
        <v>1925945</v>
      </c>
      <c r="B750" s="2" t="inlineStr">
        <is>
          <t>71</t>
        </is>
      </c>
      <c r="C750" s="2" t="inlineStr">
        <is>
          <t>M</t>
        </is>
      </c>
      <c r="D750" s="2" t="inlineStr">
        <is>
          <t>100.0</t>
        </is>
      </c>
      <c r="E750" s="4">
        <f>HYPERLINK("./Results/DLO\1682\Osteo_Sarco_1.png","RPT")</f>
        <v/>
      </c>
      <c r="F750" s="2" t="n">
        <v>134</v>
      </c>
      <c r="G750" s="6" t="n">
        <v>10</v>
      </c>
      <c r="H750" t="n">
        <v>24.92</v>
      </c>
      <c r="L750" t="inlineStr">
        <is>
          <t>Revolution CT</t>
        </is>
      </c>
      <c r="M750" t="inlineStr">
        <is>
          <t>HVP 3mm-pacs(60kg/120cc/3cc/r...</t>
        </is>
      </c>
    </row>
    <row r="751">
      <c r="A751" s="2" t="n">
        <v>4155736</v>
      </c>
      <c r="B751" s="2" t="inlineStr">
        <is>
          <t>73</t>
        </is>
      </c>
      <c r="C751" s="2" t="inlineStr">
        <is>
          <t>F</t>
        </is>
      </c>
      <c r="D751" s="2" t="inlineStr">
        <is>
          <t>110.0</t>
        </is>
      </c>
      <c r="E751" s="4">
        <f>HYPERLINK("./Results/DLO\1683\Osteo_Sarco_1.png","RPT")</f>
        <v/>
      </c>
      <c r="F751" s="2" t="n">
        <v>119</v>
      </c>
      <c r="G751" s="6" t="n">
        <v>27</v>
      </c>
      <c r="H751" t="n">
        <v>28.94</v>
      </c>
      <c r="L751" t="inlineStr">
        <is>
          <t>SOMATOM Force</t>
        </is>
      </c>
      <c r="M751" t="inlineStr">
        <is>
          <t>Pre 3.0 Br40 2</t>
        </is>
      </c>
    </row>
    <row r="752">
      <c r="A752" s="2" t="n">
        <v>3365688</v>
      </c>
      <c r="B752" s="2" t="inlineStr">
        <is>
          <t>41</t>
        </is>
      </c>
      <c r="C752" s="2" t="inlineStr">
        <is>
          <t>F</t>
        </is>
      </c>
      <c r="D752" s="2" t="inlineStr">
        <is>
          <t>100.0</t>
        </is>
      </c>
      <c r="E752" s="4">
        <f>HYPERLINK("./Results/DLO\1684\Osteo_Sarco_1.png","RPT")</f>
        <v/>
      </c>
      <c r="F752" s="2" t="n">
        <v>104</v>
      </c>
      <c r="G752" s="6" t="n">
        <v>9</v>
      </c>
      <c r="I752" s="0" t="n"/>
      <c r="J752" s="0" t="n"/>
      <c r="K752" s="0" t="n"/>
      <c r="L752" t="inlineStr">
        <is>
          <t>Revolution EVO</t>
        </is>
      </c>
      <c r="M752" t="inlineStr">
        <is>
          <t>PRE</t>
        </is>
      </c>
    </row>
    <row r="753">
      <c r="A753" s="2" t="n">
        <v>2782127</v>
      </c>
      <c r="B753" s="2" t="inlineStr">
        <is>
          <t>69</t>
        </is>
      </c>
      <c r="C753" s="2" t="inlineStr">
        <is>
          <t>M</t>
        </is>
      </c>
      <c r="D753" s="2" t="inlineStr">
        <is>
          <t>100.0</t>
        </is>
      </c>
      <c r="E753" s="4">
        <f>HYPERLINK("./Results/DLO\1685\Osteo_Sarco_1.png","RPT")</f>
        <v/>
      </c>
      <c r="F753" s="2" t="n">
        <v>194</v>
      </c>
      <c r="G753" s="6" t="n">
        <v>11</v>
      </c>
      <c r="H753" t="n">
        <v>26.85</v>
      </c>
      <c r="L753" t="inlineStr">
        <is>
          <t>SOMATOM Definition...</t>
        </is>
      </c>
      <c r="M753" t="inlineStr">
        <is>
          <t>HVP 2 3mm(79Kg/150ml/3ml/he...</t>
        </is>
      </c>
    </row>
    <row r="754">
      <c r="A754" s="2" t="n">
        <v>4328071</v>
      </c>
      <c r="B754" s="2" t="inlineStr">
        <is>
          <t>55</t>
        </is>
      </c>
      <c r="C754" s="2" t="inlineStr">
        <is>
          <t>F</t>
        </is>
      </c>
      <c r="D754" s="2" t="inlineStr">
        <is>
          <t>100.0</t>
        </is>
      </c>
      <c r="E754" s="4">
        <f>HYPERLINK("./Results/DLO\1686\Osteo_Sarco_1.png","RPT")</f>
        <v/>
      </c>
      <c r="F754" s="2" t="n">
        <v>91</v>
      </c>
      <c r="G754" s="6" t="n">
        <v>11</v>
      </c>
      <c r="I754" s="0" t="n"/>
      <c r="J754" s="0" t="n"/>
      <c r="K754" s="0" t="n"/>
      <c r="L754" t="inlineStr">
        <is>
          <t>LightSpeed VCT</t>
        </is>
      </c>
      <c r="M754" t="inlineStr">
        <is>
          <t>PRE (CP angle~Pubic)</t>
        </is>
      </c>
    </row>
    <row r="755">
      <c r="A755" s="2" t="n">
        <v>3453811</v>
      </c>
      <c r="B755" s="2" t="inlineStr">
        <is>
          <t>46</t>
        </is>
      </c>
      <c r="C755" s="2" t="inlineStr">
        <is>
          <t>M</t>
        </is>
      </c>
      <c r="D755" s="2" t="inlineStr">
        <is>
          <t>120.0</t>
        </is>
      </c>
      <c r="E755" s="4">
        <f>HYPERLINK("./Results/DLO\1687\Osteo_Sarco_1.png","RPT")</f>
        <v/>
      </c>
      <c r="F755" s="2" t="n">
        <v>151</v>
      </c>
      <c r="G755" s="6" t="n">
        <v>6</v>
      </c>
      <c r="I755" s="0" t="n"/>
      <c r="J755" s="0" t="n"/>
      <c r="K755" s="0" t="n"/>
      <c r="L755" t="inlineStr">
        <is>
          <t>LightSpeed VCT</t>
        </is>
      </c>
      <c r="M755" t="inlineStr">
        <is>
          <t>HVP 55sec 3mm</t>
        </is>
      </c>
    </row>
    <row r="756">
      <c r="A756" s="2" t="n">
        <v>2169409</v>
      </c>
      <c r="B756" s="2" t="inlineStr">
        <is>
          <t>70</t>
        </is>
      </c>
      <c r="C756" s="2" t="inlineStr">
        <is>
          <t>M</t>
        </is>
      </c>
      <c r="D756" s="2" t="inlineStr">
        <is>
          <t>120.0</t>
        </is>
      </c>
      <c r="E756" s="4">
        <f>HYPERLINK("./Results/DLO\1688\Osteo_Sarco_1.png","RPT")</f>
        <v/>
      </c>
      <c r="F756" s="2" t="n">
        <v>141</v>
      </c>
      <c r="G756" s="6" t="n">
        <v>7</v>
      </c>
      <c r="I756" s="0" t="n"/>
      <c r="J756" s="0" t="n"/>
      <c r="K756" s="0" t="n"/>
      <c r="L756" t="inlineStr">
        <is>
          <t>LightSpeed VCT</t>
        </is>
      </c>
      <c r="M756" t="inlineStr">
        <is>
          <t>HVP 55sec 3mm</t>
        </is>
      </c>
    </row>
    <row r="757">
      <c r="A757" s="2" t="n">
        <v>3137625</v>
      </c>
      <c r="B757" s="2" t="inlineStr">
        <is>
          <t>39</t>
        </is>
      </c>
      <c r="C757" s="2" t="inlineStr">
        <is>
          <t>M</t>
        </is>
      </c>
      <c r="D757" s="2" t="inlineStr">
        <is>
          <t>100.0</t>
        </is>
      </c>
      <c r="E757" s="4">
        <f>HYPERLINK("./Results/DLO\1689\Osteo_Sarco_1.png","RPT")</f>
        <v/>
      </c>
      <c r="F757" s="2" t="n">
        <v>124</v>
      </c>
      <c r="G757" s="6" t="n">
        <v>3</v>
      </c>
      <c r="I757" s="0" t="n"/>
      <c r="J757" s="0" t="n"/>
      <c r="K757" s="0" t="n"/>
      <c r="L757" t="inlineStr">
        <is>
          <t>SOMATOM Definition...</t>
        </is>
      </c>
      <c r="M757" t="inlineStr">
        <is>
          <t>HVP 2 3mm(61kg/122cc/3cc/radi)</t>
        </is>
      </c>
    </row>
    <row r="758">
      <c r="A758" s="2" t="n">
        <v>2417825</v>
      </c>
      <c r="B758" s="2" t="inlineStr">
        <is>
          <t>44</t>
        </is>
      </c>
      <c r="C758" s="2" t="inlineStr">
        <is>
          <t>F</t>
        </is>
      </c>
      <c r="D758" s="2" t="inlineStr">
        <is>
          <t>100.0</t>
        </is>
      </c>
      <c r="E758" s="4">
        <f>HYPERLINK("./Results/DLO\169\Osteo_Sarco_1.png","RPT")</f>
        <v/>
      </c>
      <c r="F758" s="2" t="n">
        <v>121</v>
      </c>
      <c r="G758" s="6" t="n">
        <v>7</v>
      </c>
      <c r="I758" s="0" t="n"/>
      <c r="J758" s="0" t="n"/>
      <c r="K758" s="0" t="n"/>
      <c r="L758" t="inlineStr">
        <is>
          <t>SOMATOM Definition...</t>
        </is>
      </c>
      <c r="M758" t="inlineStr">
        <is>
          <t>PRE 3mm (100Kvp 100mAs)</t>
        </is>
      </c>
    </row>
    <row r="759">
      <c r="A759" s="2" t="n">
        <v>3899892</v>
      </c>
      <c r="B759" s="2" t="inlineStr">
        <is>
          <t>52</t>
        </is>
      </c>
      <c r="C759" s="2" t="inlineStr">
        <is>
          <t>F</t>
        </is>
      </c>
      <c r="D759" s="2" t="inlineStr">
        <is>
          <t>120.0</t>
        </is>
      </c>
      <c r="E759" s="4">
        <f>HYPERLINK("./Results/DLO\1690\Osteo_Sarco_1.png","RPT")</f>
        <v/>
      </c>
      <c r="F759" s="2" t="n">
        <v>106</v>
      </c>
      <c r="G759" s="6" t="n">
        <v>7</v>
      </c>
      <c r="H759" t="n">
        <v>22.43</v>
      </c>
      <c r="L759" t="inlineStr">
        <is>
          <t>Revolution EVO</t>
        </is>
      </c>
      <c r="M759" t="inlineStr">
        <is>
          <t>HVP 3mm</t>
        </is>
      </c>
    </row>
    <row r="760">
      <c r="A760" s="2" t="n">
        <v>1903894</v>
      </c>
      <c r="B760" s="2" t="inlineStr">
        <is>
          <t>46</t>
        </is>
      </c>
      <c r="C760" s="2" t="inlineStr">
        <is>
          <t>M</t>
        </is>
      </c>
      <c r="D760" s="2" t="inlineStr">
        <is>
          <t>100.0</t>
        </is>
      </c>
      <c r="E760" s="4">
        <f>HYPERLINK("./Results/DLO\1691\Osteo_Sarco_1.png","RPT")</f>
        <v/>
      </c>
      <c r="F760" s="2" t="n">
        <v>170</v>
      </c>
      <c r="G760" s="6" t="n">
        <v>7</v>
      </c>
      <c r="I760" s="0" t="n"/>
      <c r="J760" s="0" t="n"/>
      <c r="K760" s="0" t="n"/>
      <c r="L760" t="inlineStr">
        <is>
          <t>Revolution CT</t>
        </is>
      </c>
      <c r="M760" t="inlineStr">
        <is>
          <t>Pre 3mm</t>
        </is>
      </c>
    </row>
    <row r="761">
      <c r="A761" s="2" t="n">
        <v>1785356</v>
      </c>
      <c r="B761" s="2" t="inlineStr">
        <is>
          <t>57</t>
        </is>
      </c>
      <c r="C761" s="2" t="inlineStr">
        <is>
          <t>M</t>
        </is>
      </c>
      <c r="D761" s="2" t="inlineStr">
        <is>
          <t>100.0</t>
        </is>
      </c>
      <c r="E761" s="4">
        <f>HYPERLINK("./Results/DLO\1692\Osteo_Sarco_1.png","RPT")</f>
        <v/>
      </c>
      <c r="F761" s="2" t="n">
        <v>146</v>
      </c>
      <c r="G761" s="6" t="n">
        <v>12</v>
      </c>
      <c r="I761" s="0" t="n"/>
      <c r="J761" s="0" t="n"/>
      <c r="K761" s="0" t="n"/>
      <c r="L761" t="inlineStr">
        <is>
          <t>LightSpeed VCT</t>
        </is>
      </c>
      <c r="M761" t="inlineStr">
        <is>
          <t>PRE 3mm</t>
        </is>
      </c>
    </row>
    <row r="762">
      <c r="A762" s="2" t="n">
        <v>1551148</v>
      </c>
      <c r="B762" s="2" t="inlineStr">
        <is>
          <t>55</t>
        </is>
      </c>
      <c r="C762" s="2" t="inlineStr">
        <is>
          <t>M</t>
        </is>
      </c>
      <c r="D762" s="2" t="inlineStr">
        <is>
          <t>100.0</t>
        </is>
      </c>
      <c r="E762" s="4">
        <f>HYPERLINK("./Results/DLO\1693\Osteo_Sarco_1.png","RPT")</f>
        <v/>
      </c>
      <c r="F762" s="2" t="n">
        <v>163</v>
      </c>
      <c r="G762" s="6" t="n">
        <v>13</v>
      </c>
      <c r="I762" s="0" t="n"/>
      <c r="J762" s="0" t="n"/>
      <c r="K762" s="0" t="n"/>
      <c r="L762" t="inlineStr">
        <is>
          <t>Revolution EVO</t>
        </is>
      </c>
      <c r="M762" t="inlineStr">
        <is>
          <t>PRE</t>
        </is>
      </c>
    </row>
    <row r="763">
      <c r="A763" s="2" t="n">
        <v>3060876</v>
      </c>
      <c r="B763" s="2" t="inlineStr">
        <is>
          <t>58</t>
        </is>
      </c>
      <c r="C763" s="2" t="inlineStr">
        <is>
          <t>M</t>
        </is>
      </c>
      <c r="D763" s="2" t="inlineStr">
        <is>
          <t>120.0</t>
        </is>
      </c>
      <c r="E763" s="4">
        <f>HYPERLINK("./Results/DLO\1694\Osteo_Sarco_1.png","RPT")</f>
        <v/>
      </c>
      <c r="F763" s="2" t="n">
        <v>151</v>
      </c>
      <c r="G763" s="6" t="n">
        <v>5</v>
      </c>
      <c r="I763" s="0" t="n"/>
      <c r="J763" s="0" t="n"/>
      <c r="K763" s="0" t="n"/>
      <c r="L763" t="inlineStr">
        <is>
          <t>Discovery CT750 HD</t>
        </is>
      </c>
      <c r="M763" t="inlineStr">
        <is>
          <t>HVP 3mm</t>
        </is>
      </c>
    </row>
    <row r="764">
      <c r="A764" s="2" t="n">
        <v>2821578</v>
      </c>
      <c r="B764" s="2" t="inlineStr">
        <is>
          <t>38</t>
        </is>
      </c>
      <c r="C764" s="2" t="inlineStr">
        <is>
          <t>F</t>
        </is>
      </c>
      <c r="D764" s="2" t="inlineStr">
        <is>
          <t>100.0</t>
        </is>
      </c>
      <c r="E764" s="4">
        <f>HYPERLINK("./Results/DLO\1695\Osteo_Sarco_1.png","RPT")</f>
        <v/>
      </c>
      <c r="F764" s="2" t="n">
        <v>86</v>
      </c>
      <c r="G764" s="6" t="n">
        <v>9</v>
      </c>
      <c r="I764" s="0" t="n"/>
      <c r="J764" s="0" t="n"/>
      <c r="K764" s="0" t="n"/>
      <c r="L764" t="inlineStr">
        <is>
          <t>Revolution EVO</t>
        </is>
      </c>
      <c r="M764" t="inlineStr">
        <is>
          <t>PRE</t>
        </is>
      </c>
    </row>
    <row r="765">
      <c r="A765" s="2" t="n">
        <v>2917410</v>
      </c>
      <c r="B765" s="2" t="inlineStr">
        <is>
          <t>55</t>
        </is>
      </c>
      <c r="C765" s="2" t="inlineStr">
        <is>
          <t>M</t>
        </is>
      </c>
      <c r="D765" s="2" t="inlineStr">
        <is>
          <t>100.0</t>
        </is>
      </c>
      <c r="E765" s="4">
        <f>HYPERLINK("./Results/DLO\1696\Osteo_Sarco_1.png","RPT")</f>
        <v/>
      </c>
      <c r="F765" s="2" t="n">
        <v>183</v>
      </c>
      <c r="G765" s="6" t="n">
        <v>5</v>
      </c>
      <c r="I765" s="0" t="n"/>
      <c r="J765" s="0" t="n"/>
      <c r="K765" s="0" t="n"/>
      <c r="L765" t="inlineStr">
        <is>
          <t>SOMATOM Definition...</t>
        </is>
      </c>
      <c r="M765" t="inlineStr">
        <is>
          <t>HVP 2 3mm(65Kg/140ml/3ml/xe...</t>
        </is>
      </c>
    </row>
    <row r="766">
      <c r="A766" s="2" t="n">
        <v>2237876</v>
      </c>
      <c r="B766" s="2" t="inlineStr">
        <is>
          <t>51</t>
        </is>
      </c>
      <c r="C766" s="2" t="inlineStr">
        <is>
          <t>F</t>
        </is>
      </c>
      <c r="D766" s="2" t="inlineStr">
        <is>
          <t>120.0</t>
        </is>
      </c>
      <c r="E766" s="4">
        <f>HYPERLINK("./Results/DLO\1697\Osteo_Sarco_1.png","RPT")</f>
        <v/>
      </c>
      <c r="F766" s="2" t="n">
        <v>113</v>
      </c>
      <c r="G766" s="6" t="n">
        <v>12</v>
      </c>
      <c r="I766" s="0" t="n"/>
      <c r="J766" s="0" t="n"/>
      <c r="K766" s="0" t="n"/>
      <c r="L766" t="inlineStr">
        <is>
          <t>LightSpeed VCT</t>
        </is>
      </c>
      <c r="M766" t="inlineStr">
        <is>
          <t>HVP 55sec 3mm</t>
        </is>
      </c>
    </row>
    <row r="767">
      <c r="A767" s="2" t="n">
        <v>4644351</v>
      </c>
      <c r="B767" s="2" t="inlineStr">
        <is>
          <t>34</t>
        </is>
      </c>
      <c r="C767" s="2" t="inlineStr">
        <is>
          <t>F</t>
        </is>
      </c>
      <c r="D767" s="2" t="inlineStr">
        <is>
          <t>100.0</t>
        </is>
      </c>
      <c r="E767" s="4">
        <f>HYPERLINK("./Results/DLO\1698\Osteo_Sarco_1.png","RPT")</f>
        <v/>
      </c>
      <c r="F767" s="2" t="n">
        <v>134</v>
      </c>
      <c r="G767" s="6" t="n">
        <v>13</v>
      </c>
      <c r="I767" s="0" t="n"/>
      <c r="J767" s="0" t="n"/>
      <c r="K767" s="0" t="n"/>
      <c r="L767" t="inlineStr">
        <is>
          <t>Discovery CT750 HD</t>
        </is>
      </c>
      <c r="M767" t="inlineStr">
        <is>
          <t>CE 2.5mm(ASIR30%)</t>
        </is>
      </c>
    </row>
    <row r="768">
      <c r="A768" s="2" t="n">
        <v>3065397</v>
      </c>
      <c r="B768" s="2" t="inlineStr">
        <is>
          <t>52</t>
        </is>
      </c>
      <c r="C768" s="2" t="inlineStr">
        <is>
          <t>M</t>
        </is>
      </c>
      <c r="D768" s="2" t="inlineStr">
        <is>
          <t>120.0</t>
        </is>
      </c>
      <c r="E768" s="4">
        <f>HYPERLINK("./Results/DLO\1699\Osteo_Sarco_1.png","RPT")</f>
        <v/>
      </c>
      <c r="F768" s="2" t="n">
        <v>185</v>
      </c>
      <c r="G768" s="6" t="n">
        <v>6</v>
      </c>
      <c r="I768" s="0" t="n"/>
      <c r="J768" s="0" t="n"/>
      <c r="K768" s="0" t="n"/>
      <c r="L768" t="inlineStr">
        <is>
          <t>LightSpeed VCT</t>
        </is>
      </c>
      <c r="M768" t="inlineStr">
        <is>
          <t>HVP 55sec 3mm</t>
        </is>
      </c>
    </row>
    <row r="769">
      <c r="A769" s="2" t="n">
        <v>2840324</v>
      </c>
      <c r="B769" s="2" t="inlineStr">
        <is>
          <t>71</t>
        </is>
      </c>
      <c r="C769" s="2" t="inlineStr">
        <is>
          <t>F</t>
        </is>
      </c>
      <c r="D769" s="2" t="inlineStr">
        <is>
          <t>110.0</t>
        </is>
      </c>
      <c r="E769" s="4">
        <f>HYPERLINK("./Results/DLO\17\Osteo_Sarco_1.png","RPT")</f>
        <v/>
      </c>
      <c r="F769" s="2" t="n">
        <v>103</v>
      </c>
      <c r="G769" s="6" t="n">
        <v>17</v>
      </c>
      <c r="H769" t="n">
        <v>25.38</v>
      </c>
      <c r="L769" t="inlineStr">
        <is>
          <t>SOMATOM Force</t>
        </is>
      </c>
      <c r="M769" t="inlineStr">
        <is>
          <t>Pre 3.0 Br40 2</t>
        </is>
      </c>
    </row>
    <row r="770">
      <c r="A770" s="2" t="n">
        <v>3261732</v>
      </c>
      <c r="B770" s="2" t="inlineStr">
        <is>
          <t>61</t>
        </is>
      </c>
      <c r="C770" s="2" t="inlineStr">
        <is>
          <t>F</t>
        </is>
      </c>
      <c r="D770" s="2" t="inlineStr">
        <is>
          <t>100.0</t>
        </is>
      </c>
      <c r="E770" s="4">
        <f>HYPERLINK("./Results/DLO\170\Osteo_Sarco_1.png","RPT")</f>
        <v/>
      </c>
      <c r="F770" s="2" t="n">
        <v>115</v>
      </c>
      <c r="G770" s="6" t="n">
        <v>8</v>
      </c>
      <c r="I770" s="0" t="n"/>
      <c r="J770" s="0" t="n"/>
      <c r="K770" s="0" t="n"/>
      <c r="L770" t="inlineStr">
        <is>
          <t>SOMATOM Definition...</t>
        </is>
      </c>
      <c r="M770" t="inlineStr">
        <is>
          <t>HVP 2 3mm (65kg/130cc/3cc/o...</t>
        </is>
      </c>
    </row>
    <row r="771">
      <c r="A771" s="2" t="n">
        <v>2301533</v>
      </c>
      <c r="B771" s="2" t="inlineStr">
        <is>
          <t>52</t>
        </is>
      </c>
      <c r="C771" s="2" t="inlineStr">
        <is>
          <t>M</t>
        </is>
      </c>
      <c r="D771" s="2" t="inlineStr">
        <is>
          <t>120.0</t>
        </is>
      </c>
      <c r="E771" s="4">
        <f>HYPERLINK("./Results/DLO\1700\Osteo_Sarco_1.png","RPT")</f>
        <v/>
      </c>
      <c r="F771" s="2" t="n">
        <v>167</v>
      </c>
      <c r="G771" s="6" t="n">
        <v>6</v>
      </c>
      <c r="I771" s="0" t="n"/>
      <c r="J771" s="0" t="n"/>
      <c r="K771" s="0" t="n"/>
      <c r="L771" t="inlineStr">
        <is>
          <t>Discovery CT750 HD</t>
        </is>
      </c>
      <c r="M771" t="inlineStr">
        <is>
          <t>HVP 3mm</t>
        </is>
      </c>
    </row>
    <row r="772">
      <c r="A772" s="2" t="n">
        <v>4491500</v>
      </c>
      <c r="B772" s="2" t="inlineStr">
        <is>
          <t>68</t>
        </is>
      </c>
      <c r="C772" s="2" t="inlineStr">
        <is>
          <t>F</t>
        </is>
      </c>
      <c r="D772" s="2" t="inlineStr">
        <is>
          <t>120.0</t>
        </is>
      </c>
      <c r="E772" s="4">
        <f>HYPERLINK("./Results/DLO\1701\Osteo_Sarco_1.png","RPT")</f>
        <v/>
      </c>
      <c r="F772" s="2" t="n">
        <v>93</v>
      </c>
      <c r="G772" s="6" t="n">
        <v>10</v>
      </c>
      <c r="I772" s="0" t="n"/>
      <c r="J772" s="0" t="n"/>
      <c r="K772" s="0" t="n"/>
      <c r="L772" t="inlineStr">
        <is>
          <t>iCT 256</t>
        </is>
      </c>
      <c r="M772" t="inlineStr">
        <is>
          <t>Pre 3/3mm, iDose (3)</t>
        </is>
      </c>
    </row>
    <row r="773">
      <c r="A773" s="2" t="n">
        <v>1804041</v>
      </c>
      <c r="B773" s="2" t="inlineStr">
        <is>
          <t>57</t>
        </is>
      </c>
      <c r="C773" s="2" t="inlineStr">
        <is>
          <t>M</t>
        </is>
      </c>
      <c r="D773" s="2" t="inlineStr">
        <is>
          <t>100.0</t>
        </is>
      </c>
      <c r="E773" s="4">
        <f>HYPERLINK("./Results/DLO\1702\Osteo_Sarco_1.png","RPT")</f>
        <v/>
      </c>
      <c r="F773" s="2" t="n">
        <v>176</v>
      </c>
      <c r="G773" s="6" t="n">
        <v>9</v>
      </c>
      <c r="I773" s="0" t="n"/>
      <c r="J773" s="0" t="n"/>
      <c r="K773" s="0" t="n"/>
      <c r="L773" t="inlineStr">
        <is>
          <t>LightSpeed VCT</t>
        </is>
      </c>
      <c r="M773" t="inlineStr">
        <is>
          <t>PRE 3mm</t>
        </is>
      </c>
    </row>
    <row r="774">
      <c r="A774" s="2" t="n">
        <v>4257103</v>
      </c>
      <c r="B774" s="2" t="inlineStr">
        <is>
          <t>57</t>
        </is>
      </c>
      <c r="C774" s="2" t="inlineStr">
        <is>
          <t>F</t>
        </is>
      </c>
      <c r="D774" s="2" t="inlineStr">
        <is>
          <t>100.0</t>
        </is>
      </c>
      <c r="E774" s="4">
        <f>HYPERLINK("./Results/DLO\1703\Osteo_Sarco_1.png","RPT")</f>
        <v/>
      </c>
      <c r="F774" s="2" t="n">
        <v>118</v>
      </c>
      <c r="G774" s="6" t="n">
        <v>9</v>
      </c>
      <c r="I774" s="0" t="n"/>
      <c r="J774" s="0" t="n"/>
      <c r="K774" s="0" t="n"/>
      <c r="L774" t="inlineStr">
        <is>
          <t>LightSpeed VCT</t>
        </is>
      </c>
      <c r="M774" t="inlineStr">
        <is>
          <t>PRE 2,5mm</t>
        </is>
      </c>
    </row>
    <row r="775">
      <c r="A775" s="2" t="n">
        <v>4895686</v>
      </c>
      <c r="B775" s="2" t="inlineStr">
        <is>
          <t>40</t>
        </is>
      </c>
      <c r="C775" s="2" t="inlineStr">
        <is>
          <t>F</t>
        </is>
      </c>
      <c r="D775" s="2" t="inlineStr">
        <is>
          <t>100.0</t>
        </is>
      </c>
      <c r="E775" s="4">
        <f>HYPERLINK("./Results/DLO\1704\Osteo_Sarco_1.png","RPT")</f>
        <v/>
      </c>
      <c r="F775" s="2" t="n">
        <v>96</v>
      </c>
      <c r="G775" s="6" t="n">
        <v>8</v>
      </c>
      <c r="I775" s="0" t="n"/>
      <c r="J775" s="0" t="n"/>
      <c r="K775" s="0" t="n"/>
      <c r="L775" t="inlineStr">
        <is>
          <t>LightSpeed VCT</t>
        </is>
      </c>
      <c r="M775" t="inlineStr">
        <is>
          <t>PRE 3mm</t>
        </is>
      </c>
    </row>
    <row r="776">
      <c r="A776" s="2" t="n">
        <v>2632263</v>
      </c>
      <c r="B776" s="2" t="inlineStr">
        <is>
          <t>59</t>
        </is>
      </c>
      <c r="C776" s="2" t="inlineStr">
        <is>
          <t>M</t>
        </is>
      </c>
      <c r="D776" s="2" t="inlineStr">
        <is>
          <t>120.0</t>
        </is>
      </c>
      <c r="E776" s="4">
        <f>HYPERLINK("./Results/DLO\1705\Osteo_Sarco_1.png","RPT")</f>
        <v/>
      </c>
      <c r="F776" s="2" t="n">
        <v>139</v>
      </c>
      <c r="G776" s="6" t="n">
        <v>9</v>
      </c>
      <c r="I776" s="0" t="n"/>
      <c r="J776" s="0" t="n"/>
      <c r="K776" s="0" t="n"/>
      <c r="L776" t="inlineStr">
        <is>
          <t>iCT 256</t>
        </is>
      </c>
      <c r="M776" t="inlineStr">
        <is>
          <t>HVP 3/3mm, iDose (3)</t>
        </is>
      </c>
    </row>
    <row r="777">
      <c r="A777" s="2" t="n">
        <v>4080636</v>
      </c>
      <c r="B777" s="2" t="inlineStr">
        <is>
          <t>65</t>
        </is>
      </c>
      <c r="C777" s="2" t="inlineStr">
        <is>
          <t>F</t>
        </is>
      </c>
      <c r="D777" s="2" t="inlineStr">
        <is>
          <t>120.0</t>
        </is>
      </c>
      <c r="E777" s="4">
        <f>HYPERLINK("./Results/DLO\1706\Osteo_Sarco_1.png","RPT")</f>
        <v/>
      </c>
      <c r="F777" s="2" t="n">
        <v>99</v>
      </c>
      <c r="G777" s="6" t="n">
        <v>7</v>
      </c>
      <c r="I777" s="0" t="n"/>
      <c r="J777" s="0" t="n"/>
      <c r="K777" s="0" t="n"/>
      <c r="L777" t="inlineStr">
        <is>
          <t>iCT 256</t>
        </is>
      </c>
      <c r="M777" t="inlineStr">
        <is>
          <t>HVP 3/3mm, iDose (3)</t>
        </is>
      </c>
    </row>
    <row r="778">
      <c r="A778" s="2" t="n">
        <v>2645590</v>
      </c>
      <c r="B778" s="2" t="inlineStr">
        <is>
          <t>70</t>
        </is>
      </c>
      <c r="C778" s="2" t="inlineStr">
        <is>
          <t>M</t>
        </is>
      </c>
      <c r="D778" s="2" t="inlineStr">
        <is>
          <t>120.0</t>
        </is>
      </c>
      <c r="E778" s="4">
        <f>HYPERLINK("./Results/DLO\1707\Osteo_Sarco_1.png","RPT")</f>
        <v/>
      </c>
      <c r="F778" s="2" t="n">
        <v>172</v>
      </c>
      <c r="G778" s="6" t="n">
        <v>7</v>
      </c>
      <c r="I778" s="0" t="n"/>
      <c r="J778" s="0" t="n"/>
      <c r="K778" s="0" t="n"/>
      <c r="L778" t="inlineStr">
        <is>
          <t>iCT 256</t>
        </is>
      </c>
      <c r="M778" t="inlineStr">
        <is>
          <t>HVP 3/3mm, iDose (3)</t>
        </is>
      </c>
    </row>
    <row r="779">
      <c r="A779" s="2" t="n">
        <v>4598093</v>
      </c>
      <c r="B779" s="2" t="inlineStr">
        <is>
          <t>48</t>
        </is>
      </c>
      <c r="C779" s="2" t="inlineStr">
        <is>
          <t>F</t>
        </is>
      </c>
      <c r="D779" s="2" t="inlineStr">
        <is>
          <t>100.0</t>
        </is>
      </c>
      <c r="E779" s="4">
        <f>HYPERLINK("./Results/DLO\1708\Osteo_Sarco_1.png","RPT")</f>
        <v/>
      </c>
      <c r="F779" s="2" t="n">
        <v>92</v>
      </c>
      <c r="G779" s="6" t="n">
        <v>7</v>
      </c>
      <c r="I779" s="0" t="n"/>
      <c r="J779" s="0" t="n"/>
      <c r="K779" s="0" t="n"/>
      <c r="L779" t="inlineStr">
        <is>
          <t>SOMATOM Force</t>
        </is>
      </c>
      <c r="M779" t="inlineStr">
        <is>
          <t>Pre 3.0 Br40 2</t>
        </is>
      </c>
    </row>
    <row r="780">
      <c r="A780" s="2" t="n">
        <v>2984945</v>
      </c>
      <c r="B780" s="2" t="inlineStr">
        <is>
          <t>54</t>
        </is>
      </c>
      <c r="C780" s="2" t="inlineStr">
        <is>
          <t>F</t>
        </is>
      </c>
      <c r="D780" s="2" t="inlineStr">
        <is>
          <t>120.0</t>
        </is>
      </c>
      <c r="E780" s="4">
        <f>HYPERLINK("./Results/DLO\1709\Osteo_Sarco_1.png","RPT")</f>
        <v/>
      </c>
      <c r="F780" s="2" t="n">
        <v>102</v>
      </c>
      <c r="G780" s="6" t="n">
        <v>6</v>
      </c>
      <c r="I780" s="0" t="n"/>
      <c r="J780" s="0" t="n"/>
      <c r="K780" s="0" t="n"/>
      <c r="L780" t="inlineStr">
        <is>
          <t>LightSpeed VCT</t>
        </is>
      </c>
      <c r="M780" t="inlineStr">
        <is>
          <t>HVP 3mm</t>
        </is>
      </c>
    </row>
    <row r="781">
      <c r="A781" s="2" t="n">
        <v>2657909</v>
      </c>
      <c r="B781" s="2" t="inlineStr">
        <is>
          <t>82</t>
        </is>
      </c>
      <c r="C781" s="2" t="inlineStr">
        <is>
          <t>M</t>
        </is>
      </c>
      <c r="D781" s="2" t="inlineStr">
        <is>
          <t>100.0</t>
        </is>
      </c>
      <c r="E781" s="4">
        <f>HYPERLINK("./Results/DLO\171\Osteo_Sarco_1.png","RPT")</f>
        <v/>
      </c>
      <c r="F781" s="2" t="n">
        <v>108</v>
      </c>
      <c r="G781" s="6" t="n">
        <v>4</v>
      </c>
      <c r="H781" t="n">
        <v>16.89</v>
      </c>
      <c r="L781" t="inlineStr">
        <is>
          <t>SOMATOM Force</t>
        </is>
      </c>
      <c r="M781" t="inlineStr">
        <is>
          <t>HVP 3.0 Br40 2 (46kg/92cc/...</t>
        </is>
      </c>
    </row>
    <row r="782">
      <c r="A782" s="2" t="n">
        <v>2440092</v>
      </c>
      <c r="B782" s="2" t="inlineStr">
        <is>
          <t>50</t>
        </is>
      </c>
      <c r="C782" s="2" t="inlineStr">
        <is>
          <t>M</t>
        </is>
      </c>
      <c r="D782" s="2" t="inlineStr">
        <is>
          <t>100.0</t>
        </is>
      </c>
      <c r="E782" s="4">
        <f>HYPERLINK("./Results/DLO\1710\Osteo_Sarco_1.png","RPT")</f>
        <v/>
      </c>
      <c r="F782" s="2" t="n">
        <v>176</v>
      </c>
      <c r="G782" s="6" t="n">
        <v>13</v>
      </c>
      <c r="H782" t="n">
        <v>26.88</v>
      </c>
      <c r="L782" t="inlineStr">
        <is>
          <t>Revolution EVO</t>
        </is>
      </c>
      <c r="M782" t="inlineStr">
        <is>
          <t>Pre (CP angle ~ Pubic)</t>
        </is>
      </c>
    </row>
    <row r="783">
      <c r="A783" s="2" t="n">
        <v>4101682</v>
      </c>
      <c r="B783" s="2" t="inlineStr">
        <is>
          <t>48</t>
        </is>
      </c>
      <c r="C783" s="2" t="inlineStr">
        <is>
          <t>M</t>
        </is>
      </c>
      <c r="D783" s="2" t="inlineStr">
        <is>
          <t>100.0</t>
        </is>
      </c>
      <c r="E783" s="4">
        <f>HYPERLINK("./Results/DLO\1711\Osteo_Sarco_1.png","RPT")</f>
        <v/>
      </c>
      <c r="F783" s="2" t="n">
        <v>169</v>
      </c>
      <c r="G783" s="6" t="n">
        <v>7</v>
      </c>
      <c r="I783" s="0" t="n"/>
      <c r="J783" s="0" t="n"/>
      <c r="K783" s="0" t="n"/>
      <c r="L783" t="inlineStr">
        <is>
          <t>SOMATOM Definition...</t>
        </is>
      </c>
      <c r="M783" t="inlineStr">
        <is>
          <t>HVP 2 3mm (63kg/126cc/3cc/omni)</t>
        </is>
      </c>
    </row>
    <row r="784">
      <c r="A784" s="2" t="n">
        <v>4958342</v>
      </c>
      <c r="B784" s="2" t="inlineStr">
        <is>
          <t>48</t>
        </is>
      </c>
      <c r="C784" s="2" t="inlineStr">
        <is>
          <t>M</t>
        </is>
      </c>
      <c r="D784" s="2" t="inlineStr">
        <is>
          <t>120.0</t>
        </is>
      </c>
      <c r="E784" s="4">
        <f>HYPERLINK("./Results/DLO\1712\Osteo_Sarco_1.png","RPT")</f>
        <v/>
      </c>
      <c r="F784" s="2" t="n">
        <v>147</v>
      </c>
      <c r="G784" s="6" t="n">
        <v>4</v>
      </c>
      <c r="I784" s="0" t="n"/>
      <c r="J784" s="0" t="n"/>
      <c r="K784" s="0" t="n"/>
      <c r="L784" t="inlineStr">
        <is>
          <t>Discovery CT750 HD</t>
        </is>
      </c>
      <c r="M784" t="inlineStr">
        <is>
          <t>HVP 3mm</t>
        </is>
      </c>
    </row>
    <row r="785">
      <c r="A785" s="2" t="n">
        <v>3489406</v>
      </c>
      <c r="B785" s="2" t="inlineStr">
        <is>
          <t>40</t>
        </is>
      </c>
      <c r="C785" s="2" t="inlineStr">
        <is>
          <t>M</t>
        </is>
      </c>
      <c r="D785" s="2" t="inlineStr">
        <is>
          <t>100.0</t>
        </is>
      </c>
      <c r="E785" s="4">
        <f>HYPERLINK("./Results/DLO\1713\Osteo_Sarco_1.png","RPT")</f>
        <v/>
      </c>
      <c r="F785" s="2" t="n">
        <v>189</v>
      </c>
      <c r="G785" s="6" t="n">
        <v>15</v>
      </c>
      <c r="I785" s="0" t="n"/>
      <c r="J785" s="0" t="n"/>
      <c r="K785" s="0" t="n"/>
      <c r="L785" t="inlineStr">
        <is>
          <t>SOMATOM Force</t>
        </is>
      </c>
      <c r="M785" t="inlineStr">
        <is>
          <t>Pre 3.0 Br40</t>
        </is>
      </c>
    </row>
    <row r="786">
      <c r="A786" s="2" t="n">
        <v>2092137</v>
      </c>
      <c r="B786" s="2" t="inlineStr">
        <is>
          <t>69</t>
        </is>
      </c>
      <c r="C786" s="2" t="inlineStr">
        <is>
          <t>M</t>
        </is>
      </c>
      <c r="D786" s="2" t="inlineStr">
        <is>
          <t>100.0</t>
        </is>
      </c>
      <c r="E786" s="4">
        <f>HYPERLINK("./Results/DLO\1714\Osteo_Sarco_1.png","RPT")</f>
        <v/>
      </c>
      <c r="F786" s="2" t="n">
        <v>112</v>
      </c>
      <c r="G786" s="6" t="n">
        <v>9</v>
      </c>
      <c r="I786" s="0" t="n"/>
      <c r="J786" s="0" t="n"/>
      <c r="K786" s="0" t="n"/>
      <c r="L786" t="inlineStr">
        <is>
          <t>SOMATOM Definition...</t>
        </is>
      </c>
      <c r="M786" t="inlineStr">
        <is>
          <t>LAP 2 3mm(70kg/ 140cc/ 3.3c...</t>
        </is>
      </c>
    </row>
    <row r="787">
      <c r="A787" s="2" t="n">
        <v>3726179</v>
      </c>
      <c r="B787" s="2" t="inlineStr">
        <is>
          <t>47</t>
        </is>
      </c>
      <c r="C787" s="2" t="inlineStr">
        <is>
          <t>F</t>
        </is>
      </c>
      <c r="D787" s="2" t="inlineStr">
        <is>
          <t>100.0</t>
        </is>
      </c>
      <c r="E787" s="4">
        <f>HYPERLINK("./Results/DLO\1715\Osteo_Sarco_1.png","RPT")</f>
        <v/>
      </c>
      <c r="F787" s="2" t="n">
        <v>122</v>
      </c>
      <c r="G787" s="6" t="n">
        <v>26</v>
      </c>
      <c r="H787" t="n">
        <v>21.72</v>
      </c>
      <c r="L787" t="inlineStr">
        <is>
          <t>Discovery CT750 HD</t>
        </is>
      </c>
      <c r="M787" t="inlineStr">
        <is>
          <t>CE 2.5mm(ASIR30%)</t>
        </is>
      </c>
    </row>
    <row r="788">
      <c r="A788" s="2" t="n">
        <v>4021448</v>
      </c>
      <c r="B788" s="2" t="inlineStr">
        <is>
          <t>55</t>
        </is>
      </c>
      <c r="C788" s="2" t="inlineStr">
        <is>
          <t>F</t>
        </is>
      </c>
      <c r="D788" s="2" t="inlineStr">
        <is>
          <t>120.0</t>
        </is>
      </c>
      <c r="E788" s="4">
        <f>HYPERLINK("./Results/DLO\1716\Osteo_Sarco_1.png","RPT")</f>
        <v/>
      </c>
      <c r="F788" s="2" t="n">
        <v>87</v>
      </c>
      <c r="G788" s="6" t="n">
        <v>5</v>
      </c>
      <c r="I788" s="0" t="n"/>
      <c r="J788" s="0" t="n"/>
      <c r="K788" s="0" t="n"/>
      <c r="L788" t="inlineStr">
        <is>
          <t>LightSpeed VCT</t>
        </is>
      </c>
      <c r="M788" t="inlineStr">
        <is>
          <t>HVP 55sec 3mm</t>
        </is>
      </c>
    </row>
    <row r="789">
      <c r="A789" s="2" t="n">
        <v>1752079</v>
      </c>
      <c r="B789" s="2" t="inlineStr">
        <is>
          <t>45</t>
        </is>
      </c>
      <c r="C789" s="2" t="inlineStr">
        <is>
          <t>M</t>
        </is>
      </c>
      <c r="D789" s="2" t="inlineStr">
        <is>
          <t>100.0</t>
        </is>
      </c>
      <c r="E789" s="4">
        <f>HYPERLINK("./Results/DLO\1717\Osteo_Sarco_1.png","RPT")</f>
        <v/>
      </c>
      <c r="F789" s="2" t="n">
        <v>170</v>
      </c>
      <c r="G789" s="6" t="n">
        <v>8</v>
      </c>
      <c r="I789" s="0" t="n"/>
      <c r="J789" s="0" t="n"/>
      <c r="K789" s="0" t="n"/>
      <c r="L789" t="inlineStr">
        <is>
          <t>SOMATOM Force</t>
        </is>
      </c>
      <c r="M789" t="inlineStr">
        <is>
          <t>Pre 3.0 Br40</t>
        </is>
      </c>
    </row>
    <row r="790">
      <c r="A790" s="2" t="n">
        <v>1811226</v>
      </c>
      <c r="B790" s="2" t="inlineStr">
        <is>
          <t>60</t>
        </is>
      </c>
      <c r="C790" s="2" t="inlineStr">
        <is>
          <t>M</t>
        </is>
      </c>
      <c r="D790" s="2" t="inlineStr">
        <is>
          <t>120.0</t>
        </is>
      </c>
      <c r="E790" s="4">
        <f>HYPERLINK("./Results/DLO\1718\Osteo_Sarco_1.png","RPT")</f>
        <v/>
      </c>
      <c r="F790" s="2" t="n">
        <v>166</v>
      </c>
      <c r="G790" s="6" t="n">
        <v>5</v>
      </c>
      <c r="H790" t="n">
        <v>27.87</v>
      </c>
      <c r="L790" t="inlineStr">
        <is>
          <t>Discovery CT750 HD</t>
        </is>
      </c>
      <c r="M790" t="inlineStr">
        <is>
          <t>HVP 3mm</t>
        </is>
      </c>
    </row>
    <row r="791">
      <c r="A791" s="2" t="n">
        <v>1707555</v>
      </c>
      <c r="B791" s="2" t="inlineStr">
        <is>
          <t>49</t>
        </is>
      </c>
      <c r="C791" s="2" t="inlineStr">
        <is>
          <t>F</t>
        </is>
      </c>
      <c r="D791" s="2" t="inlineStr">
        <is>
          <t>120.0</t>
        </is>
      </c>
      <c r="E791" s="4">
        <f>HYPERLINK("./Results/DLO\1719\Osteo_Sarco_1.png","RPT")</f>
        <v/>
      </c>
      <c r="F791" s="2" t="n">
        <v>106</v>
      </c>
      <c r="G791" s="6" t="n">
        <v>8</v>
      </c>
      <c r="I791" s="0" t="n"/>
      <c r="J791" s="0" t="n"/>
      <c r="K791" s="0" t="n"/>
      <c r="L791" t="inlineStr">
        <is>
          <t>iCT 256</t>
        </is>
      </c>
      <c r="M791" t="inlineStr">
        <is>
          <t>Pre 3/3mm, iDose (3)</t>
        </is>
      </c>
    </row>
    <row r="792">
      <c r="A792" s="2" t="n">
        <v>2042034</v>
      </c>
      <c r="B792" s="2" t="inlineStr">
        <is>
          <t>44</t>
        </is>
      </c>
      <c r="C792" s="2" t="inlineStr">
        <is>
          <t>F</t>
        </is>
      </c>
      <c r="D792" s="2" t="inlineStr">
        <is>
          <t>120.0</t>
        </is>
      </c>
      <c r="E792" s="4">
        <f>HYPERLINK("./Results/DLO\172\Osteo_Sarco_1.png","RPT")</f>
        <v/>
      </c>
      <c r="F792" s="2" t="n">
        <v>106</v>
      </c>
      <c r="G792" s="6" t="n">
        <v>7</v>
      </c>
      <c r="I792" s="0" t="n"/>
      <c r="J792" s="0" t="n"/>
      <c r="K792" s="0" t="n"/>
      <c r="L792" t="inlineStr">
        <is>
          <t>iCT 256</t>
        </is>
      </c>
      <c r="M792" t="inlineStr">
        <is>
          <t>HVP 3/3mm, iDose (3)</t>
        </is>
      </c>
    </row>
    <row r="793">
      <c r="A793" s="2" t="n">
        <v>2600627</v>
      </c>
      <c r="B793" s="2" t="inlineStr">
        <is>
          <t>56</t>
        </is>
      </c>
      <c r="C793" s="2" t="inlineStr">
        <is>
          <t>F</t>
        </is>
      </c>
      <c r="D793" s="2" t="inlineStr">
        <is>
          <t>100.0</t>
        </is>
      </c>
      <c r="E793" s="4">
        <f>HYPERLINK("./Results/DLO\1720\Osteo_Sarco_1.png","RPT")</f>
        <v/>
      </c>
      <c r="F793" s="2" t="n">
        <v>96</v>
      </c>
      <c r="G793" s="6" t="n">
        <v>11</v>
      </c>
      <c r="I793" s="0" t="n"/>
      <c r="J793" s="0" t="n"/>
      <c r="K793" s="0" t="n"/>
      <c r="L793" t="inlineStr">
        <is>
          <t>SOMATOM Definition...</t>
        </is>
      </c>
      <c r="M793" t="inlineStr">
        <is>
          <t>LAP 3/3mm (52kg/104ml1/2.3cc/...</t>
        </is>
      </c>
    </row>
    <row r="794">
      <c r="A794" s="2" t="n">
        <v>2519943</v>
      </c>
      <c r="B794" s="2" t="inlineStr">
        <is>
          <t>55</t>
        </is>
      </c>
      <c r="C794" s="2" t="inlineStr">
        <is>
          <t>M</t>
        </is>
      </c>
      <c r="D794" s="2" t="inlineStr">
        <is>
          <t>100.0</t>
        </is>
      </c>
      <c r="E794" s="4">
        <f>HYPERLINK("./Results/DLO\1721\Osteo_Sarco_1.png","RPT")</f>
        <v/>
      </c>
      <c r="F794" s="2" t="n">
        <v>194</v>
      </c>
      <c r="G794" s="6" t="n">
        <v>15</v>
      </c>
      <c r="I794" s="0" t="n"/>
      <c r="J794" s="0" t="n"/>
      <c r="K794" s="0" t="n"/>
      <c r="L794" t="inlineStr">
        <is>
          <t>LightSpeed VCT</t>
        </is>
      </c>
      <c r="M794" t="inlineStr">
        <is>
          <t>PRE 3mm</t>
        </is>
      </c>
    </row>
    <row r="795">
      <c r="A795" s="2" t="n">
        <v>2164754</v>
      </c>
      <c r="B795" s="2" t="inlineStr">
        <is>
          <t>52</t>
        </is>
      </c>
      <c r="C795" s="2" t="inlineStr">
        <is>
          <t>F</t>
        </is>
      </c>
      <c r="D795" s="2" t="inlineStr">
        <is>
          <t>100.0</t>
        </is>
      </c>
      <c r="E795" s="4">
        <f>HYPERLINK("./Results/DLO\1722\Osteo_Sarco_1.png","RPT")</f>
        <v/>
      </c>
      <c r="F795" s="2" t="n">
        <v>107</v>
      </c>
      <c r="G795" s="6" t="n">
        <v>10</v>
      </c>
      <c r="H795" t="n">
        <v>25.09</v>
      </c>
      <c r="L795" t="inlineStr">
        <is>
          <t>SOMATOM Force</t>
        </is>
      </c>
      <c r="M795" t="inlineStr">
        <is>
          <t>HVP 3.0 Br40 1(62kg/124cc/...</t>
        </is>
      </c>
    </row>
    <row r="796">
      <c r="A796" s="2" t="n">
        <v>2747178</v>
      </c>
      <c r="B796" s="2" t="inlineStr">
        <is>
          <t>53</t>
        </is>
      </c>
      <c r="C796" s="2" t="inlineStr">
        <is>
          <t>M</t>
        </is>
      </c>
      <c r="D796" s="2" t="inlineStr">
        <is>
          <t>120.0</t>
        </is>
      </c>
      <c r="E796" s="4">
        <f>HYPERLINK("./Results/DLO\1723\Osteo_Sarco_1.png","RPT")</f>
        <v/>
      </c>
      <c r="F796" s="2" t="n">
        <v>151</v>
      </c>
      <c r="G796" s="6" t="n">
        <v>9</v>
      </c>
      <c r="I796" s="0" t="n"/>
      <c r="J796" s="0" t="n"/>
      <c r="K796" s="0" t="n"/>
      <c r="L796" t="inlineStr">
        <is>
          <t>Discovery CT750 HD</t>
        </is>
      </c>
      <c r="M796" t="inlineStr">
        <is>
          <t>HVP 3mm</t>
        </is>
      </c>
    </row>
    <row r="797">
      <c r="A797" s="2" t="n">
        <v>2236989</v>
      </c>
      <c r="B797" s="2" t="inlineStr">
        <is>
          <t>42</t>
        </is>
      </c>
      <c r="C797" s="2" t="inlineStr">
        <is>
          <t>M</t>
        </is>
      </c>
      <c r="D797" s="2" t="inlineStr">
        <is>
          <t>120.0</t>
        </is>
      </c>
      <c r="E797" s="4">
        <f>HYPERLINK("./Results/DLO\1724\Osteo_Sarco_1.png","RPT")</f>
        <v/>
      </c>
      <c r="F797" s="2" t="n">
        <v>161</v>
      </c>
      <c r="G797" s="6" t="n">
        <v>12</v>
      </c>
      <c r="I797" s="0" t="n"/>
      <c r="J797" s="0" t="n"/>
      <c r="K797" s="0" t="n"/>
      <c r="L797" t="inlineStr">
        <is>
          <t>Discovery CT750 HD</t>
        </is>
      </c>
      <c r="M797" t="inlineStr">
        <is>
          <t>HVP 3mm</t>
        </is>
      </c>
    </row>
    <row r="798">
      <c r="A798" s="2" t="n">
        <v>3589330</v>
      </c>
      <c r="B798" s="2" t="inlineStr">
        <is>
          <t>63</t>
        </is>
      </c>
      <c r="C798" s="2" t="inlineStr">
        <is>
          <t>M</t>
        </is>
      </c>
      <c r="D798" s="2" t="inlineStr">
        <is>
          <t>100.0</t>
        </is>
      </c>
      <c r="E798" s="4">
        <f>HYPERLINK("./Results/DLO\1725\Osteo_Sarco_1.png","RPT")</f>
        <v/>
      </c>
      <c r="F798" s="2" t="n">
        <v>191</v>
      </c>
      <c r="G798" s="6" t="n">
        <v>13</v>
      </c>
      <c r="I798" s="0" t="n"/>
      <c r="J798" s="0" t="n"/>
      <c r="K798" s="0" t="n"/>
      <c r="L798" t="inlineStr">
        <is>
          <t>LightSpeed VCT</t>
        </is>
      </c>
      <c r="M798" t="inlineStr">
        <is>
          <t>Pre 2,5mm(CP~~~Pubic Symphys)</t>
        </is>
      </c>
    </row>
    <row r="799">
      <c r="A799" s="2" t="n">
        <v>2146107</v>
      </c>
      <c r="B799" s="2" t="inlineStr">
        <is>
          <t>66</t>
        </is>
      </c>
      <c r="C799" s="2" t="inlineStr">
        <is>
          <t>F</t>
        </is>
      </c>
      <c r="D799" s="2" t="inlineStr">
        <is>
          <t>100.0</t>
        </is>
      </c>
      <c r="E799" s="4">
        <f>HYPERLINK("./Results/DLO\1726\Osteo_Sarco_1.png","RPT")</f>
        <v/>
      </c>
      <c r="F799" s="2" t="n">
        <v>115</v>
      </c>
      <c r="G799" s="6" t="n">
        <v>15</v>
      </c>
      <c r="I799" s="0" t="n"/>
      <c r="J799" s="0" t="n"/>
      <c r="K799" s="0" t="n"/>
      <c r="L799" t="inlineStr">
        <is>
          <t>SOMATOM Definition...</t>
        </is>
      </c>
      <c r="M799" t="inlineStr">
        <is>
          <t>Pre 3mm</t>
        </is>
      </c>
    </row>
    <row r="800">
      <c r="A800" s="2" t="n">
        <v>2089916</v>
      </c>
      <c r="B800" s="2" t="inlineStr">
        <is>
          <t>50</t>
        </is>
      </c>
      <c r="C800" s="2" t="inlineStr">
        <is>
          <t>F</t>
        </is>
      </c>
      <c r="D800" s="2" t="inlineStr">
        <is>
          <t>100.0</t>
        </is>
      </c>
      <c r="E800" s="4">
        <f>HYPERLINK("./Results/DLO\1727\Osteo_Sarco_1.png","RPT")</f>
        <v/>
      </c>
      <c r="F800" s="2" t="n">
        <v>128</v>
      </c>
      <c r="G800" s="6" t="n">
        <v>18</v>
      </c>
      <c r="I800" s="0" t="n"/>
      <c r="J800" s="0" t="n"/>
      <c r="K800" s="0" t="n"/>
      <c r="L800" t="inlineStr">
        <is>
          <t>Discovery CT750 HD</t>
        </is>
      </c>
      <c r="M800" t="inlineStr">
        <is>
          <t>Pre 3mm</t>
        </is>
      </c>
    </row>
    <row r="801">
      <c r="A801" s="2" t="n">
        <v>2498269</v>
      </c>
      <c r="B801" s="2" t="inlineStr">
        <is>
          <t>62</t>
        </is>
      </c>
      <c r="C801" s="2" t="inlineStr">
        <is>
          <t>F</t>
        </is>
      </c>
      <c r="D801" s="2" t="inlineStr">
        <is>
          <t>100.0</t>
        </is>
      </c>
      <c r="E801" s="4">
        <f>HYPERLINK("./Results/DLO\1728\Osteo_Sarco_1.png","RPT")</f>
        <v/>
      </c>
      <c r="F801" s="2" t="n">
        <v>85</v>
      </c>
      <c r="G801" s="6" t="n">
        <v>8</v>
      </c>
      <c r="I801" s="0" t="n"/>
      <c r="J801" s="0" t="n"/>
      <c r="K801" s="0" t="n"/>
      <c r="L801" t="inlineStr">
        <is>
          <t>LightSpeed VCT</t>
        </is>
      </c>
      <c r="M801" t="inlineStr">
        <is>
          <t>PRE 3mm</t>
        </is>
      </c>
    </row>
    <row r="802">
      <c r="A802" s="2" t="n">
        <v>4474160</v>
      </c>
      <c r="B802" s="2" t="inlineStr">
        <is>
          <t>40</t>
        </is>
      </c>
      <c r="C802" s="2" t="inlineStr">
        <is>
          <t>F</t>
        </is>
      </c>
      <c r="D802" s="2" t="inlineStr">
        <is>
          <t>100.0</t>
        </is>
      </c>
      <c r="E802" s="4">
        <f>HYPERLINK("./Results/DLO\1729\Osteo_Sarco_1.png","RPT")</f>
        <v/>
      </c>
      <c r="F802" s="2" t="n">
        <v>132</v>
      </c>
      <c r="G802" s="6" t="n">
        <v>16</v>
      </c>
      <c r="I802" s="0" t="n"/>
      <c r="J802" s="0" t="n"/>
      <c r="K802" s="0" t="n"/>
      <c r="L802" t="inlineStr">
        <is>
          <t>Revolution CT</t>
        </is>
      </c>
      <c r="M802" t="inlineStr">
        <is>
          <t>Pre 3mm pacs</t>
        </is>
      </c>
    </row>
    <row r="803">
      <c r="A803" s="2" t="n">
        <v>3701508</v>
      </c>
      <c r="B803" s="2" t="inlineStr">
        <is>
          <t>54</t>
        </is>
      </c>
      <c r="C803" s="2" t="inlineStr">
        <is>
          <t>F</t>
        </is>
      </c>
      <c r="D803" s="2" t="inlineStr">
        <is>
          <t>100.0</t>
        </is>
      </c>
      <c r="E803" s="4">
        <f>HYPERLINK("./Results/DLO\173\Osteo_Sarco_1.png","RPT")</f>
        <v/>
      </c>
      <c r="F803" s="2" t="n">
        <v>110</v>
      </c>
      <c r="G803" s="6" t="n">
        <v>8</v>
      </c>
      <c r="H803" t="n">
        <v>21.84</v>
      </c>
      <c r="L803" t="inlineStr">
        <is>
          <t>SOMATOM Force</t>
        </is>
      </c>
      <c r="M803" t="inlineStr">
        <is>
          <t>Pre 3.0 Br40</t>
        </is>
      </c>
    </row>
    <row r="804">
      <c r="A804" s="2" t="n">
        <v>4424984</v>
      </c>
      <c r="B804" s="2" t="inlineStr">
        <is>
          <t>49</t>
        </is>
      </c>
      <c r="C804" s="2" t="inlineStr">
        <is>
          <t>M</t>
        </is>
      </c>
      <c r="D804" s="2" t="inlineStr">
        <is>
          <t>100.0</t>
        </is>
      </c>
      <c r="E804" s="4">
        <f>HYPERLINK("./Results/DLO\1730\Osteo_Sarco_1.png","RPT")</f>
        <v/>
      </c>
      <c r="F804" s="2" t="n">
        <v>137</v>
      </c>
      <c r="G804" s="6" t="n">
        <v>14</v>
      </c>
      <c r="H804" t="n">
        <v>24.03</v>
      </c>
      <c r="L804" t="inlineStr">
        <is>
          <t>LightSpeed VCT</t>
        </is>
      </c>
      <c r="M804" t="inlineStr">
        <is>
          <t>PRE (CP angle~Pubic)</t>
        </is>
      </c>
    </row>
    <row r="805">
      <c r="A805" s="2" t="n">
        <v>1622217</v>
      </c>
      <c r="B805" s="2" t="inlineStr">
        <is>
          <t>54</t>
        </is>
      </c>
      <c r="C805" s="2" t="inlineStr">
        <is>
          <t>M</t>
        </is>
      </c>
      <c r="D805" s="2" t="inlineStr">
        <is>
          <t>100.0</t>
        </is>
      </c>
      <c r="E805" s="4">
        <f>HYPERLINK("./Results/DLO\1731\Osteo_Sarco_1.png","RPT")</f>
        <v/>
      </c>
      <c r="F805" s="2" t="n">
        <v>168</v>
      </c>
      <c r="G805" s="6" t="n">
        <v>9</v>
      </c>
      <c r="I805" s="0" t="n"/>
      <c r="J805" s="0" t="n"/>
      <c r="K805" s="0" t="n"/>
      <c r="L805" t="inlineStr">
        <is>
          <t>SOMATOM Definition...</t>
        </is>
      </c>
      <c r="M805" t="inlineStr">
        <is>
          <t>Pre 3mm</t>
        </is>
      </c>
    </row>
    <row r="806">
      <c r="A806" s="2" t="n">
        <v>3691023</v>
      </c>
      <c r="B806" s="2" t="inlineStr">
        <is>
          <t>64</t>
        </is>
      </c>
      <c r="C806" s="2" t="inlineStr">
        <is>
          <t>F</t>
        </is>
      </c>
      <c r="D806" s="2" t="inlineStr">
        <is>
          <t>100.0</t>
        </is>
      </c>
      <c r="E806" s="4">
        <f>HYPERLINK("./Results/DLO\1732\Osteo_Sarco_1.png","RPT")</f>
        <v/>
      </c>
      <c r="F806" s="2" t="n">
        <v>87</v>
      </c>
      <c r="G806" s="6" t="n">
        <v>9</v>
      </c>
      <c r="H806" t="n">
        <v>25.01</v>
      </c>
      <c r="L806" t="inlineStr">
        <is>
          <t>Sensation 64</t>
        </is>
      </c>
      <c r="M806" t="inlineStr">
        <is>
          <t>PRE 3mm</t>
        </is>
      </c>
    </row>
    <row r="807">
      <c r="A807" s="2" t="n">
        <v>3527857</v>
      </c>
      <c r="B807" s="2" t="inlineStr">
        <is>
          <t>53</t>
        </is>
      </c>
      <c r="C807" s="2" t="inlineStr">
        <is>
          <t>F</t>
        </is>
      </c>
      <c r="D807" s="2" t="inlineStr">
        <is>
          <t>100.0</t>
        </is>
      </c>
      <c r="E807" s="4">
        <f>HYPERLINK("./Results/DLO\1733\Osteo_Sarco_1.png","RPT")</f>
        <v/>
      </c>
      <c r="F807" s="2" t="n">
        <v>116</v>
      </c>
      <c r="G807" s="6" t="n">
        <v>10</v>
      </c>
      <c r="H807" t="n">
        <v>24.36</v>
      </c>
      <c r="L807" t="inlineStr">
        <is>
          <t>SOMATOM Definition...</t>
        </is>
      </c>
      <c r="M807" t="inlineStr">
        <is>
          <t>LAP 3mm(70kg/140cc/3cc/xene)</t>
        </is>
      </c>
    </row>
    <row r="808">
      <c r="A808" s="2" t="n">
        <v>4598409</v>
      </c>
      <c r="B808" s="2" t="inlineStr">
        <is>
          <t>63</t>
        </is>
      </c>
      <c r="C808" s="2" t="inlineStr">
        <is>
          <t>F</t>
        </is>
      </c>
      <c r="D808" s="2" t="inlineStr">
        <is>
          <t>100.0</t>
        </is>
      </c>
      <c r="E808" s="4">
        <f>HYPERLINK("./Results/DLO\1734\Osteo_Sarco_1.png","RPT")</f>
        <v/>
      </c>
      <c r="F808" s="2" t="n">
        <v>105</v>
      </c>
      <c r="G808" s="6" t="n">
        <v>13</v>
      </c>
      <c r="I808" s="0" t="n"/>
      <c r="J808" s="0" t="n"/>
      <c r="K808" s="0" t="n"/>
      <c r="L808" t="inlineStr">
        <is>
          <t>LightSpeed VCT</t>
        </is>
      </c>
      <c r="M808" t="inlineStr">
        <is>
          <t>PRE (CP angle~Pubic)</t>
        </is>
      </c>
    </row>
    <row r="809">
      <c r="A809" s="2" t="n">
        <v>4807858</v>
      </c>
      <c r="B809" s="2" t="inlineStr">
        <is>
          <t>73</t>
        </is>
      </c>
      <c r="C809" s="2" t="inlineStr">
        <is>
          <t>F</t>
        </is>
      </c>
      <c r="D809" s="2" t="inlineStr">
        <is>
          <t>120.0</t>
        </is>
      </c>
      <c r="E809" s="4">
        <f>HYPERLINK("./Results/DLO\1735\Osteo_Sarco_1.png","RPT")</f>
        <v/>
      </c>
      <c r="F809" s="2" t="n">
        <v>90</v>
      </c>
      <c r="G809" s="6" t="n">
        <v>6</v>
      </c>
      <c r="I809" s="0" t="n"/>
      <c r="J809" s="0" t="n"/>
      <c r="K809" s="0" t="n"/>
      <c r="L809" t="inlineStr">
        <is>
          <t>iCT 256</t>
        </is>
      </c>
      <c r="M809" t="inlineStr">
        <is>
          <t>HVP 3/3mm, iDose (3)</t>
        </is>
      </c>
    </row>
    <row r="810">
      <c r="A810" s="2" t="n">
        <v>2785673</v>
      </c>
      <c r="B810" s="2" t="inlineStr">
        <is>
          <t>56</t>
        </is>
      </c>
      <c r="C810" s="2" t="inlineStr">
        <is>
          <t>M</t>
        </is>
      </c>
      <c r="D810" s="2" t="inlineStr">
        <is>
          <t>120.0</t>
        </is>
      </c>
      <c r="E810" s="4">
        <f>HYPERLINK("./Results/DLO\1736\Osteo_Sarco_1.png","RPT")</f>
        <v/>
      </c>
      <c r="F810" s="2" t="n">
        <v>171</v>
      </c>
      <c r="G810" s="6" t="n">
        <v>8</v>
      </c>
      <c r="I810" s="0" t="n"/>
      <c r="J810" s="0" t="n"/>
      <c r="K810" s="0" t="n"/>
      <c r="L810" t="inlineStr">
        <is>
          <t>Discovery CT750 HD</t>
        </is>
      </c>
      <c r="M810" t="inlineStr">
        <is>
          <t>HVP 3mm</t>
        </is>
      </c>
    </row>
    <row r="811">
      <c r="A811" s="2" t="n">
        <v>1782511</v>
      </c>
      <c r="B811" s="2" t="inlineStr">
        <is>
          <t>69</t>
        </is>
      </c>
      <c r="C811" s="2" t="inlineStr">
        <is>
          <t>M</t>
        </is>
      </c>
      <c r="D811" s="2" t="inlineStr">
        <is>
          <t>100.0</t>
        </is>
      </c>
      <c r="E811" s="4">
        <f>HYPERLINK("./Results/DLO\1737\Osteo_Sarco_1.png","RPT")</f>
        <v/>
      </c>
      <c r="F811" s="2" t="n">
        <v>169</v>
      </c>
      <c r="G811" s="6" t="n">
        <v>7</v>
      </c>
      <c r="H811" t="n">
        <v>27.8</v>
      </c>
      <c r="L811" t="inlineStr">
        <is>
          <t>SOMATOM Force</t>
        </is>
      </c>
      <c r="M811" t="inlineStr">
        <is>
          <t>HVP 3.0 Br40 2 (75kg/150cc...</t>
        </is>
      </c>
    </row>
    <row r="812">
      <c r="A812" s="2" t="n">
        <v>3738976</v>
      </c>
      <c r="B812" s="2" t="inlineStr">
        <is>
          <t>59</t>
        </is>
      </c>
      <c r="C812" s="2" t="inlineStr">
        <is>
          <t>M</t>
        </is>
      </c>
      <c r="D812" s="2" t="inlineStr">
        <is>
          <t>100.0</t>
        </is>
      </c>
      <c r="E812" s="4">
        <f>HYPERLINK("./Results/DLO\1738\Osteo_Sarco_1.png","RPT")</f>
        <v/>
      </c>
      <c r="F812" s="2" t="n">
        <v>171</v>
      </c>
      <c r="G812" s="6" t="n">
        <v>6</v>
      </c>
      <c r="I812" s="0" t="n"/>
      <c r="J812" s="0" t="n"/>
      <c r="K812" s="0" t="n"/>
      <c r="L812" t="inlineStr">
        <is>
          <t>SOMATOM Force</t>
        </is>
      </c>
      <c r="M812" t="inlineStr">
        <is>
          <t>HVP 3.0 Br40 2 (66kg/132cc...</t>
        </is>
      </c>
    </row>
    <row r="813">
      <c r="A813" s="2" t="n">
        <v>4828559</v>
      </c>
      <c r="B813" s="2" t="inlineStr">
        <is>
          <t>76</t>
        </is>
      </c>
      <c r="C813" s="2" t="inlineStr">
        <is>
          <t>F</t>
        </is>
      </c>
      <c r="D813" s="2" t="inlineStr">
        <is>
          <t>120.0</t>
        </is>
      </c>
      <c r="E813" s="4">
        <f>HYPERLINK("./Results/DLO\1739\Osteo_Sarco_1.png","RPT")</f>
        <v/>
      </c>
      <c r="F813" s="2" t="n">
        <v>108</v>
      </c>
      <c r="G813" s="6" t="n">
        <v>16</v>
      </c>
      <c r="H813" t="n">
        <v>22.7</v>
      </c>
      <c r="L813" t="inlineStr">
        <is>
          <t>LightSpeed VCT</t>
        </is>
      </c>
      <c r="M813" t="inlineStr">
        <is>
          <t>HVP 55sec 3mm</t>
        </is>
      </c>
    </row>
    <row r="814">
      <c r="A814" s="2" t="n">
        <v>4937113</v>
      </c>
      <c r="B814" s="2" t="inlineStr">
        <is>
          <t>49</t>
        </is>
      </c>
      <c r="C814" s="2" t="inlineStr">
        <is>
          <t>F</t>
        </is>
      </c>
      <c r="D814" s="2" t="inlineStr">
        <is>
          <t>100.0</t>
        </is>
      </c>
      <c r="E814" s="4">
        <f>HYPERLINK("./Results/DLO\174\Osteo_Sarco_1.png","RPT")</f>
        <v/>
      </c>
      <c r="F814" s="2" t="n">
        <v>92</v>
      </c>
      <c r="G814" s="6" t="n">
        <v>16</v>
      </c>
      <c r="I814" s="0" t="n"/>
      <c r="J814" s="0" t="n"/>
      <c r="K814" s="0" t="n"/>
      <c r="L814" t="inlineStr">
        <is>
          <t>iCT 256</t>
        </is>
      </c>
      <c r="M814" t="inlineStr">
        <is>
          <t>Pre 3/3mm, iDose (3)</t>
        </is>
      </c>
    </row>
    <row r="815">
      <c r="A815" s="2" t="n">
        <v>1571260</v>
      </c>
      <c r="B815" s="2" t="inlineStr">
        <is>
          <t>60</t>
        </is>
      </c>
      <c r="C815" s="2" t="inlineStr">
        <is>
          <t>M</t>
        </is>
      </c>
      <c r="D815" s="2" t="inlineStr">
        <is>
          <t>100.0</t>
        </is>
      </c>
      <c r="E815" s="4">
        <f>HYPERLINK("./Results/DLO\1740\Osteo_Sarco_1.png","RPT")</f>
        <v/>
      </c>
      <c r="F815" s="2" t="n">
        <v>151</v>
      </c>
      <c r="G815" s="6" t="n">
        <v>18</v>
      </c>
      <c r="H815" t="n">
        <v>26.54</v>
      </c>
      <c r="L815" t="inlineStr">
        <is>
          <t>iCT 256</t>
        </is>
      </c>
      <c r="M815" t="inlineStr">
        <is>
          <t>Pre3/3mm_I-3, iDose (3)</t>
        </is>
      </c>
    </row>
    <row r="816">
      <c r="A816" s="2" t="n">
        <v>2124375</v>
      </c>
      <c r="B816" s="2" t="inlineStr">
        <is>
          <t>44</t>
        </is>
      </c>
      <c r="C816" s="2" t="inlineStr">
        <is>
          <t>F</t>
        </is>
      </c>
      <c r="D816" s="2" t="inlineStr">
        <is>
          <t>100.0</t>
        </is>
      </c>
      <c r="E816" s="4">
        <f>HYPERLINK("./Results/DLO\1741\Osteo_Sarco_1.png","RPT")</f>
        <v/>
      </c>
      <c r="F816" s="2" t="n">
        <v>116</v>
      </c>
      <c r="G816" s="6" t="n">
        <v>6</v>
      </c>
      <c r="I816" s="0" t="n"/>
      <c r="J816" s="0" t="n"/>
      <c r="K816" s="0" t="n"/>
      <c r="L816" t="inlineStr">
        <is>
          <t>SOMATOM Definition...</t>
        </is>
      </c>
      <c r="M816" t="inlineStr">
        <is>
          <t>HVP 2 3mm(68kg/136cc/3cc/xene)</t>
        </is>
      </c>
    </row>
    <row r="817">
      <c r="A817" s="2" t="n">
        <v>3499941</v>
      </c>
      <c r="B817" s="2" t="inlineStr">
        <is>
          <t>64</t>
        </is>
      </c>
      <c r="C817" s="2" t="inlineStr">
        <is>
          <t>M</t>
        </is>
      </c>
      <c r="D817" s="2" t="inlineStr">
        <is>
          <t>100.0</t>
        </is>
      </c>
      <c r="E817" s="4">
        <f>HYPERLINK("./Results/DLO\1742\Osteo_Sarco_1.png","RPT")</f>
        <v/>
      </c>
      <c r="F817" s="2" t="n">
        <v>147</v>
      </c>
      <c r="G817" s="6" t="n">
        <v>10</v>
      </c>
      <c r="I817" s="0" t="n"/>
      <c r="J817" s="0" t="n"/>
      <c r="K817" s="0" t="n"/>
      <c r="L817" t="inlineStr">
        <is>
          <t>Revolution CT</t>
        </is>
      </c>
      <c r="M817" t="inlineStr">
        <is>
          <t>HVP 3mm-pacs(60kg/120cc/3cc/r...</t>
        </is>
      </c>
    </row>
    <row r="818">
      <c r="A818" s="2" t="n">
        <v>2111140</v>
      </c>
      <c r="B818" s="2" t="inlineStr">
        <is>
          <t>59</t>
        </is>
      </c>
      <c r="C818" s="2" t="inlineStr">
        <is>
          <t>M</t>
        </is>
      </c>
      <c r="D818" s="2" t="inlineStr">
        <is>
          <t>120.0</t>
        </is>
      </c>
      <c r="E818" s="4">
        <f>HYPERLINK("./Results/DLO\1743\Osteo_Sarco_1.png","RPT")</f>
        <v/>
      </c>
      <c r="F818" s="2" t="n">
        <v>123</v>
      </c>
      <c r="G818" s="6" t="n">
        <v>6</v>
      </c>
      <c r="I818" s="0" t="n"/>
      <c r="J818" s="0" t="n"/>
      <c r="K818" s="0" t="n"/>
      <c r="L818" t="inlineStr">
        <is>
          <t>LightSpeed VCT</t>
        </is>
      </c>
      <c r="M818" t="inlineStr">
        <is>
          <t>HVP 3mm</t>
        </is>
      </c>
    </row>
    <row r="819">
      <c r="A819" s="2" t="n">
        <v>4905369</v>
      </c>
      <c r="B819" s="2" t="inlineStr">
        <is>
          <t>68</t>
        </is>
      </c>
      <c r="C819" s="2" t="inlineStr">
        <is>
          <t>F</t>
        </is>
      </c>
      <c r="D819" s="2" t="inlineStr">
        <is>
          <t>100.0</t>
        </is>
      </c>
      <c r="E819" s="4">
        <f>HYPERLINK("./Results/DLO\1744\Osteo_Sarco_1.png","RPT")</f>
        <v/>
      </c>
      <c r="F819" s="2" t="n">
        <v>85</v>
      </c>
      <c r="G819" s="6" t="n">
        <v>7</v>
      </c>
      <c r="I819" s="0" t="n"/>
      <c r="J819" s="0" t="n"/>
      <c r="K819" s="0" t="n"/>
      <c r="L819" t="inlineStr">
        <is>
          <t>Revolution CT</t>
        </is>
      </c>
      <c r="M819" t="inlineStr">
        <is>
          <t>LAP 3mm(46kg/92cc/2.5cc/OMNI)</t>
        </is>
      </c>
    </row>
    <row r="820">
      <c r="A820" s="2" t="n">
        <v>2973479</v>
      </c>
      <c r="B820" s="2" t="inlineStr">
        <is>
          <t>75</t>
        </is>
      </c>
      <c r="C820" s="2" t="inlineStr">
        <is>
          <t>M</t>
        </is>
      </c>
      <c r="D820" s="2" t="inlineStr">
        <is>
          <t>120.0</t>
        </is>
      </c>
      <c r="E820" s="4">
        <f>HYPERLINK("./Results/DLO\1745\Osteo_Sarco_1.png","RPT")</f>
        <v/>
      </c>
      <c r="F820" s="2" t="n">
        <v>113</v>
      </c>
      <c r="G820" s="6" t="n">
        <v>10</v>
      </c>
      <c r="H820" t="n">
        <v>23.71</v>
      </c>
      <c r="L820" t="inlineStr">
        <is>
          <t>LightSpeed VCT</t>
        </is>
      </c>
      <c r="M820" t="inlineStr">
        <is>
          <t>HVP 55sec 3mm</t>
        </is>
      </c>
    </row>
    <row r="821">
      <c r="A821" s="2" t="n">
        <v>2119495</v>
      </c>
      <c r="B821" s="2" t="inlineStr">
        <is>
          <t>62</t>
        </is>
      </c>
      <c r="C821" s="2" t="inlineStr">
        <is>
          <t>F</t>
        </is>
      </c>
      <c r="D821" s="2" t="inlineStr">
        <is>
          <t>100.0</t>
        </is>
      </c>
      <c r="E821" s="4">
        <f>HYPERLINK("./Results/DLO\1746\Osteo_Sarco_1.png","RPT")</f>
        <v/>
      </c>
      <c r="F821" s="2" t="n">
        <v>104</v>
      </c>
      <c r="G821" s="6" t="n">
        <v>17</v>
      </c>
      <c r="H821" t="n">
        <v>25.4</v>
      </c>
      <c r="L821" t="inlineStr">
        <is>
          <t>iCT 256</t>
        </is>
      </c>
      <c r="M821" t="inlineStr">
        <is>
          <t>HVP 3/3mm, iDose (3)</t>
        </is>
      </c>
    </row>
    <row r="822">
      <c r="A822" s="2" t="n">
        <v>1881129</v>
      </c>
      <c r="B822" s="2" t="inlineStr">
        <is>
          <t>40</t>
        </is>
      </c>
      <c r="C822" s="2" t="inlineStr">
        <is>
          <t>F</t>
        </is>
      </c>
      <c r="D822" s="2" t="inlineStr">
        <is>
          <t>100.0</t>
        </is>
      </c>
      <c r="E822" s="4">
        <f>HYPERLINK("./Results/DLO\1747\Osteo_Sarco_1.png","RPT")</f>
        <v/>
      </c>
      <c r="F822" s="2" t="n">
        <v>97</v>
      </c>
      <c r="G822" s="6" t="n">
        <v>8</v>
      </c>
      <c r="I822" s="0" t="n"/>
      <c r="J822" s="0" t="n"/>
      <c r="K822" s="0" t="n"/>
      <c r="L822" t="inlineStr">
        <is>
          <t>LightSpeed VCT</t>
        </is>
      </c>
      <c r="M822" t="inlineStr">
        <is>
          <t>PRE 2,5mm</t>
        </is>
      </c>
    </row>
    <row r="823">
      <c r="A823" s="2" t="n">
        <v>3376248</v>
      </c>
      <c r="B823" s="2" t="inlineStr">
        <is>
          <t>60</t>
        </is>
      </c>
      <c r="C823" s="2" t="inlineStr">
        <is>
          <t>M</t>
        </is>
      </c>
      <c r="D823" s="2" t="inlineStr">
        <is>
          <t>120.0</t>
        </is>
      </c>
      <c r="E823" s="4">
        <f>HYPERLINK("./Results/DLO\1748\Osteo_Sarco_1.png","RPT")</f>
        <v/>
      </c>
      <c r="F823" s="2" t="n">
        <v>165</v>
      </c>
      <c r="G823" s="6" t="n">
        <v>7</v>
      </c>
      <c r="I823" s="0" t="n"/>
      <c r="J823" s="0" t="n"/>
      <c r="K823" s="0" t="n"/>
      <c r="L823" t="inlineStr">
        <is>
          <t>LightSpeed VCT</t>
        </is>
      </c>
      <c r="M823" t="inlineStr">
        <is>
          <t>HVP 55sec 3mm</t>
        </is>
      </c>
    </row>
    <row r="824">
      <c r="A824" s="2" t="n">
        <v>4912391</v>
      </c>
      <c r="B824" s="2" t="inlineStr">
        <is>
          <t>56</t>
        </is>
      </c>
      <c r="C824" s="2" t="inlineStr">
        <is>
          <t>M</t>
        </is>
      </c>
      <c r="D824" s="2" t="inlineStr">
        <is>
          <t>100.0</t>
        </is>
      </c>
      <c r="E824" s="4">
        <f>HYPERLINK("./Results/DLO\1749\Osteo_Sarco_1.png","RPT")</f>
        <v/>
      </c>
      <c r="F824" s="2" t="n">
        <v>138</v>
      </c>
      <c r="G824" s="6" t="n">
        <v>6</v>
      </c>
      <c r="I824" s="0" t="n"/>
      <c r="J824" s="0" t="n"/>
      <c r="K824" s="0" t="n"/>
      <c r="L824" t="inlineStr">
        <is>
          <t>SOMATOM Definition...</t>
        </is>
      </c>
      <c r="M824" t="inlineStr">
        <is>
          <t>Pre(CP~pubic) 3mm</t>
        </is>
      </c>
    </row>
    <row r="825">
      <c r="A825" s="2" t="n">
        <v>3525594</v>
      </c>
      <c r="B825" s="2" t="inlineStr">
        <is>
          <t>73</t>
        </is>
      </c>
      <c r="C825" s="2" t="inlineStr">
        <is>
          <t>M</t>
        </is>
      </c>
      <c r="D825" s="2" t="inlineStr">
        <is>
          <t>100.0</t>
        </is>
      </c>
      <c r="E825" s="4">
        <f>HYPERLINK("./Results/DLO\175\Osteo_Sarco_1.png","RPT")</f>
        <v/>
      </c>
      <c r="F825" s="2" t="n">
        <v>148</v>
      </c>
      <c r="G825" s="6" t="n">
        <v>10</v>
      </c>
      <c r="I825" s="0" t="n"/>
      <c r="J825" s="0" t="n"/>
      <c r="K825" s="0" t="n"/>
      <c r="L825" t="inlineStr">
        <is>
          <t>SOMATOM Definition...</t>
        </is>
      </c>
      <c r="M825" t="inlineStr">
        <is>
          <t>Pre 3mm</t>
        </is>
      </c>
    </row>
    <row r="826">
      <c r="A826" s="2" t="n">
        <v>3055549</v>
      </c>
      <c r="B826" s="2" t="inlineStr">
        <is>
          <t>61</t>
        </is>
      </c>
      <c r="C826" s="2" t="inlineStr">
        <is>
          <t>F</t>
        </is>
      </c>
      <c r="D826" s="2" t="inlineStr">
        <is>
          <t>100.0</t>
        </is>
      </c>
      <c r="E826" s="4">
        <f>HYPERLINK("./Results/DLO\1750\Osteo_Sarco_1.png","RPT")</f>
        <v/>
      </c>
      <c r="F826" s="2" t="n">
        <v>102</v>
      </c>
      <c r="G826" s="6" t="n">
        <v>9</v>
      </c>
      <c r="I826" s="0" t="n"/>
      <c r="J826" s="0" t="n"/>
      <c r="K826" s="0" t="n"/>
      <c r="L826" t="inlineStr">
        <is>
          <t>SOMATOM Definition...</t>
        </is>
      </c>
      <c r="M826" t="inlineStr">
        <is>
          <t>HVP 2 3mm ( 49kg/ 98cc/ 2cc...</t>
        </is>
      </c>
    </row>
    <row r="827">
      <c r="A827" s="2" t="n">
        <v>4218389</v>
      </c>
      <c r="B827" s="2" t="inlineStr">
        <is>
          <t>78</t>
        </is>
      </c>
      <c r="C827" s="2" t="inlineStr">
        <is>
          <t>F</t>
        </is>
      </c>
      <c r="D827" s="2" t="inlineStr">
        <is>
          <t>100.0</t>
        </is>
      </c>
      <c r="E827" s="4">
        <f>HYPERLINK("./Results/DLO\1751\Osteo_Sarco_1.png","RPT")</f>
        <v/>
      </c>
      <c r="F827" s="2" t="n">
        <v>113</v>
      </c>
      <c r="G827" s="6" t="n">
        <v>10</v>
      </c>
      <c r="I827" s="0" t="n"/>
      <c r="J827" s="0" t="n"/>
      <c r="K827" s="0" t="n"/>
      <c r="L827" t="inlineStr">
        <is>
          <t>SOMATOM Definition...</t>
        </is>
      </c>
      <c r="M827" t="inlineStr">
        <is>
          <t>HVP 2 3mm(61Kg/140ml/3ml/xe...</t>
        </is>
      </c>
    </row>
    <row r="828">
      <c r="A828" s="2" t="n">
        <v>2196155</v>
      </c>
      <c r="B828" s="2" t="inlineStr">
        <is>
          <t>77</t>
        </is>
      </c>
      <c r="C828" s="2" t="inlineStr">
        <is>
          <t>F</t>
        </is>
      </c>
      <c r="D828" s="2" t="inlineStr">
        <is>
          <t>100.0</t>
        </is>
      </c>
      <c r="E828" s="4">
        <f>HYPERLINK("./Results/DLO\1752\Osteo_Sarco_1.png","RPT")</f>
        <v/>
      </c>
      <c r="F828" s="2" t="n">
        <v>110</v>
      </c>
      <c r="G828" s="6" t="n">
        <v>20</v>
      </c>
      <c r="H828" t="n">
        <v>24.39</v>
      </c>
      <c r="L828" t="inlineStr">
        <is>
          <t>Revolution CT</t>
        </is>
      </c>
      <c r="M828" t="inlineStr">
        <is>
          <t>HVP 3mm(58kg/116cc/3cc/bono)</t>
        </is>
      </c>
    </row>
    <row r="829">
      <c r="A829" s="2" t="n">
        <v>4306271</v>
      </c>
      <c r="B829" s="2" t="inlineStr">
        <is>
          <t>70</t>
        </is>
      </c>
      <c r="C829" s="2" t="inlineStr">
        <is>
          <t>M</t>
        </is>
      </c>
      <c r="D829" s="2" t="inlineStr">
        <is>
          <t>100.0</t>
        </is>
      </c>
      <c r="E829" s="4">
        <f>HYPERLINK("./Results/DLO\1753\Osteo_Sarco_1.png","RPT")</f>
        <v/>
      </c>
      <c r="F829" s="2" t="n">
        <v>188</v>
      </c>
      <c r="G829" s="6" t="n">
        <v>9</v>
      </c>
      <c r="H829" t="n">
        <v>27.3</v>
      </c>
      <c r="L829" t="inlineStr">
        <is>
          <t>SOMATOM Definition...</t>
        </is>
      </c>
      <c r="M829" t="inlineStr">
        <is>
          <t>HVP 2 3mm(78kg/150cc/3cc/xene)</t>
        </is>
      </c>
    </row>
    <row r="830">
      <c r="A830" s="2" t="n">
        <v>2096054</v>
      </c>
      <c r="B830" s="2" t="inlineStr">
        <is>
          <t>70</t>
        </is>
      </c>
      <c r="C830" s="2" t="inlineStr">
        <is>
          <t>M</t>
        </is>
      </c>
      <c r="D830" s="2" t="inlineStr">
        <is>
          <t>120.0</t>
        </is>
      </c>
      <c r="E830" s="4">
        <f>HYPERLINK("./Results/DLO\1754\Osteo_Sarco_1.png","RPT")</f>
        <v/>
      </c>
      <c r="F830" s="2" t="n">
        <v>162</v>
      </c>
      <c r="G830" s="6" t="n">
        <v>17</v>
      </c>
      <c r="I830" s="0" t="n"/>
      <c r="J830" s="0" t="n"/>
      <c r="K830" s="0" t="n"/>
      <c r="L830" t="inlineStr">
        <is>
          <t>Discovery CT750 HD</t>
        </is>
      </c>
      <c r="M830" t="inlineStr">
        <is>
          <t>HVP 3mm</t>
        </is>
      </c>
    </row>
    <row r="831">
      <c r="A831" s="2" t="n">
        <v>1619783</v>
      </c>
      <c r="B831" s="2" t="inlineStr">
        <is>
          <t>58</t>
        </is>
      </c>
      <c r="C831" s="2" t="inlineStr">
        <is>
          <t>F</t>
        </is>
      </c>
      <c r="D831" s="2" t="inlineStr">
        <is>
          <t>120.0</t>
        </is>
      </c>
      <c r="E831" s="4">
        <f>HYPERLINK("./Results/DLO\1755\Osteo_Sarco_1.png","RPT")</f>
        <v/>
      </c>
      <c r="F831" s="2" t="n">
        <v>111</v>
      </c>
      <c r="G831" s="6" t="n">
        <v>12</v>
      </c>
      <c r="I831" s="0" t="n"/>
      <c r="J831" s="0" t="n"/>
      <c r="K831" s="0" t="n"/>
      <c r="L831" t="inlineStr">
        <is>
          <t>Discovery CT750 HD</t>
        </is>
      </c>
      <c r="M831" t="inlineStr">
        <is>
          <t>HVP 3mm</t>
        </is>
      </c>
    </row>
    <row r="832">
      <c r="A832" s="2" t="n">
        <v>2341349</v>
      </c>
      <c r="B832" s="2" t="inlineStr">
        <is>
          <t>26</t>
        </is>
      </c>
      <c r="C832" s="2" t="inlineStr">
        <is>
          <t>M</t>
        </is>
      </c>
      <c r="D832" s="2" t="inlineStr">
        <is>
          <t>100.0</t>
        </is>
      </c>
      <c r="E832" s="4">
        <f>HYPERLINK("./Results/DLO\1756\Osteo_Sarco_1.png","RPT")</f>
        <v/>
      </c>
      <c r="F832" s="2" t="n">
        <v>184</v>
      </c>
      <c r="G832" s="6" t="n">
        <v>6</v>
      </c>
      <c r="I832" s="0" t="n"/>
      <c r="J832" s="0" t="n"/>
      <c r="K832" s="0" t="n"/>
      <c r="L832" t="inlineStr">
        <is>
          <t>SOMATOM Force</t>
        </is>
      </c>
      <c r="M832" t="inlineStr">
        <is>
          <t>HVP 3.0 Br40 1(74kg/148cc/...</t>
        </is>
      </c>
    </row>
    <row r="833">
      <c r="A833" s="2" t="n">
        <v>3989388</v>
      </c>
      <c r="B833" s="2" t="inlineStr">
        <is>
          <t>76</t>
        </is>
      </c>
      <c r="C833" s="2" t="inlineStr">
        <is>
          <t>M</t>
        </is>
      </c>
      <c r="D833" s="2" t="inlineStr">
        <is>
          <t>120.0</t>
        </is>
      </c>
      <c r="E833" s="4">
        <f>HYPERLINK("./Results/DLO\1757\Osteo_Sarco_1.png","RPT")</f>
        <v/>
      </c>
      <c r="F833" s="2" t="n">
        <v>150</v>
      </c>
      <c r="G833" s="6" t="n">
        <v>15</v>
      </c>
      <c r="H833" t="n">
        <v>32.04</v>
      </c>
      <c r="L833" t="inlineStr">
        <is>
          <t>iCT 256</t>
        </is>
      </c>
      <c r="M833" t="inlineStr">
        <is>
          <t>LAP 3/3mm, iDose (3)</t>
        </is>
      </c>
    </row>
    <row r="834">
      <c r="A834" s="2" t="n">
        <v>2469603</v>
      </c>
      <c r="B834" s="2" t="inlineStr">
        <is>
          <t>74</t>
        </is>
      </c>
      <c r="C834" s="2" t="inlineStr">
        <is>
          <t>F</t>
        </is>
      </c>
      <c r="D834" s="2" t="inlineStr">
        <is>
          <t>120.0</t>
        </is>
      </c>
      <c r="E834" s="4">
        <f>HYPERLINK("./Results/DLO\1758\Osteo_Sarco_1.png","RPT")</f>
        <v/>
      </c>
      <c r="F834" s="2" t="n">
        <v>115</v>
      </c>
      <c r="G834" s="6" t="n">
        <v>15</v>
      </c>
      <c r="H834" t="n">
        <v>28.81</v>
      </c>
      <c r="L834" t="inlineStr">
        <is>
          <t>Discovery CT750 HD</t>
        </is>
      </c>
      <c r="M834" t="inlineStr">
        <is>
          <t>HVP 3mm</t>
        </is>
      </c>
    </row>
    <row r="835">
      <c r="A835" s="2" t="n">
        <v>2076724</v>
      </c>
      <c r="B835" s="2" t="inlineStr">
        <is>
          <t>64</t>
        </is>
      </c>
      <c r="C835" s="2" t="inlineStr">
        <is>
          <t>F</t>
        </is>
      </c>
      <c r="D835" s="2" t="inlineStr">
        <is>
          <t>100.0</t>
        </is>
      </c>
      <c r="E835" s="4">
        <f>HYPERLINK("./Results/DLO\1759\Osteo_Sarco_1.png","RPT")</f>
        <v/>
      </c>
      <c r="F835" s="2" t="n">
        <v>106</v>
      </c>
      <c r="G835" s="6" t="n">
        <v>12</v>
      </c>
      <c r="I835" s="0" t="n"/>
      <c r="J835" s="0" t="n"/>
      <c r="K835" s="0" t="n"/>
      <c r="L835" t="inlineStr">
        <is>
          <t>iCT 256</t>
        </is>
      </c>
      <c r="M835" t="inlineStr">
        <is>
          <t>HVP 3/3mm, iDose (3)</t>
        </is>
      </c>
    </row>
    <row r="836">
      <c r="A836" s="2" t="n">
        <v>4484950</v>
      </c>
      <c r="B836" s="2" t="inlineStr">
        <is>
          <t>56</t>
        </is>
      </c>
      <c r="C836" s="2" t="inlineStr">
        <is>
          <t>M</t>
        </is>
      </c>
      <c r="D836" s="2" t="inlineStr">
        <is>
          <t>80.0</t>
        </is>
      </c>
      <c r="E836" s="4">
        <f>HYPERLINK("./Results/DLO\176\Osteo_Sarco_1.png","RPT")</f>
        <v/>
      </c>
      <c r="F836" s="2" t="n">
        <v>153</v>
      </c>
      <c r="G836" s="6" t="n">
        <v>12</v>
      </c>
      <c r="H836" t="n">
        <v>26.17</v>
      </c>
      <c r="L836" t="inlineStr">
        <is>
          <t>SOMATOM Definition...</t>
        </is>
      </c>
      <c r="M836" t="inlineStr">
        <is>
          <t>Pre 3mm</t>
        </is>
      </c>
    </row>
    <row r="837">
      <c r="A837" s="2" t="n">
        <v>4391030</v>
      </c>
      <c r="B837" s="2" t="inlineStr">
        <is>
          <t>62</t>
        </is>
      </c>
      <c r="C837" s="2" t="inlineStr">
        <is>
          <t>M</t>
        </is>
      </c>
      <c r="D837" s="2" t="inlineStr">
        <is>
          <t>120.0</t>
        </is>
      </c>
      <c r="E837" s="4">
        <f>HYPERLINK("./Results/DLO\1760\Osteo_Sarco_1.png","RPT")</f>
        <v/>
      </c>
      <c r="F837" s="2" t="n">
        <v>134</v>
      </c>
      <c r="G837" s="6" t="n">
        <v>8</v>
      </c>
      <c r="I837" s="0" t="n"/>
      <c r="J837" s="0" t="n"/>
      <c r="K837" s="0" t="n"/>
      <c r="L837" t="inlineStr">
        <is>
          <t>iCT 256</t>
        </is>
      </c>
      <c r="M837" t="inlineStr">
        <is>
          <t>Pre 3/3mm, iDose (3)</t>
        </is>
      </c>
    </row>
    <row r="838">
      <c r="A838" s="2" t="n">
        <v>2004774</v>
      </c>
      <c r="B838" s="2" t="inlineStr">
        <is>
          <t>70</t>
        </is>
      </c>
      <c r="C838" s="2" t="inlineStr">
        <is>
          <t>M</t>
        </is>
      </c>
      <c r="D838" s="2" t="inlineStr">
        <is>
          <t>100.0</t>
        </is>
      </c>
      <c r="E838" s="4">
        <f>HYPERLINK("./Results/DLO\1761\Osteo_Sarco_1.png","RPT")</f>
        <v/>
      </c>
      <c r="F838" s="2" t="n">
        <v>148</v>
      </c>
      <c r="G838" s="6" t="n">
        <v>8</v>
      </c>
      <c r="H838" t="n">
        <v>23.18</v>
      </c>
      <c r="L838" t="inlineStr">
        <is>
          <t>iCT 256</t>
        </is>
      </c>
      <c r="M838" t="inlineStr">
        <is>
          <t>HVP 3/3mm, iDose (4)</t>
        </is>
      </c>
    </row>
    <row r="839">
      <c r="A839" s="2" t="n">
        <v>3654132</v>
      </c>
      <c r="B839" s="2" t="inlineStr">
        <is>
          <t>49</t>
        </is>
      </c>
      <c r="C839" s="2" t="inlineStr">
        <is>
          <t>F</t>
        </is>
      </c>
      <c r="D839" s="2" t="inlineStr">
        <is>
          <t>100.0</t>
        </is>
      </c>
      <c r="E839" s="4">
        <f>HYPERLINK("./Results/DLO\1762\Osteo_Sarco_1.png","RPT")</f>
        <v/>
      </c>
      <c r="F839" s="2" t="n">
        <v>112</v>
      </c>
      <c r="G839" s="6" t="n">
        <v>8</v>
      </c>
      <c r="I839" s="0" t="n"/>
      <c r="J839" s="0" t="n"/>
      <c r="K839" s="0" t="n"/>
      <c r="L839" t="inlineStr">
        <is>
          <t>Revolution CT</t>
        </is>
      </c>
      <c r="M839" t="inlineStr">
        <is>
          <t>15min 2mm delay</t>
        </is>
      </c>
    </row>
    <row r="840">
      <c r="A840" s="2" t="n">
        <v>2930948</v>
      </c>
      <c r="B840" s="2" t="inlineStr">
        <is>
          <t>56</t>
        </is>
      </c>
      <c r="C840" s="2" t="inlineStr">
        <is>
          <t>M</t>
        </is>
      </c>
      <c r="D840" s="2" t="inlineStr">
        <is>
          <t>100.0</t>
        </is>
      </c>
      <c r="E840" s="4">
        <f>HYPERLINK("./Results/DLO\1763\Osteo_Sarco_1.png","RPT")</f>
        <v/>
      </c>
      <c r="F840" s="2" t="n">
        <v>132</v>
      </c>
      <c r="G840" s="6" t="n">
        <v>4</v>
      </c>
      <c r="I840" s="0" t="n"/>
      <c r="J840" s="0" t="n"/>
      <c r="K840" s="0" t="n"/>
      <c r="L840" t="inlineStr">
        <is>
          <t>Discovery CT750 HD</t>
        </is>
      </c>
      <c r="M840" t="inlineStr">
        <is>
          <t>CMP 2.5mm(ASIR30%)</t>
        </is>
      </c>
    </row>
    <row r="841">
      <c r="A841" s="2" t="n">
        <v>3869964</v>
      </c>
      <c r="B841" s="2" t="inlineStr">
        <is>
          <t>71</t>
        </is>
      </c>
      <c r="C841" s="2" t="inlineStr">
        <is>
          <t>M</t>
        </is>
      </c>
      <c r="D841" s="2" t="inlineStr">
        <is>
          <t>100.0</t>
        </is>
      </c>
      <c r="E841" s="4">
        <f>HYPERLINK("./Results/DLO\1764\Osteo_Sarco_1.png","RPT")</f>
        <v/>
      </c>
      <c r="F841" s="2" t="n">
        <v>170</v>
      </c>
      <c r="G841" s="6" t="n">
        <v>17</v>
      </c>
      <c r="H841" t="n">
        <v>26.17</v>
      </c>
      <c r="L841" t="inlineStr">
        <is>
          <t>SOMATOM Definition...</t>
        </is>
      </c>
      <c r="M841" t="inlineStr">
        <is>
          <t>GU Pre 3mm</t>
        </is>
      </c>
    </row>
    <row r="842">
      <c r="A842" s="2" t="n">
        <v>2076430</v>
      </c>
      <c r="B842" s="2" t="inlineStr">
        <is>
          <t>68</t>
        </is>
      </c>
      <c r="C842" s="2" t="inlineStr">
        <is>
          <t>M</t>
        </is>
      </c>
      <c r="D842" s="2" t="inlineStr">
        <is>
          <t>100.0</t>
        </is>
      </c>
      <c r="E842" s="4">
        <f>HYPERLINK("./Results/DLO\1765\Osteo_Sarco_1.png","RPT")</f>
        <v/>
      </c>
      <c r="F842" s="2" t="n">
        <v>190</v>
      </c>
      <c r="G842" s="6" t="n">
        <v>7</v>
      </c>
      <c r="I842" s="0" t="n"/>
      <c r="J842" s="0" t="n"/>
      <c r="K842" s="0" t="n"/>
      <c r="L842" t="inlineStr">
        <is>
          <t>Revolution CT</t>
        </is>
      </c>
      <c r="M842" t="inlineStr">
        <is>
          <t>Pre 3mm</t>
        </is>
      </c>
    </row>
    <row r="843">
      <c r="A843" s="2" t="n">
        <v>2792368</v>
      </c>
      <c r="B843" s="2" t="inlineStr">
        <is>
          <t>63</t>
        </is>
      </c>
      <c r="C843" s="2" t="inlineStr">
        <is>
          <t>F</t>
        </is>
      </c>
      <c r="D843" s="2" t="inlineStr">
        <is>
          <t>100.0</t>
        </is>
      </c>
      <c r="E843" s="4">
        <f>HYPERLINK("./Results/DLO\1766\Osteo_Sarco_1.png","RPT")</f>
        <v/>
      </c>
      <c r="F843" s="2" t="n">
        <v>104</v>
      </c>
      <c r="G843" s="6" t="n">
        <v>9</v>
      </c>
      <c r="I843" s="0" t="n"/>
      <c r="J843" s="0" t="n"/>
      <c r="K843" s="0" t="n"/>
      <c r="L843" t="inlineStr">
        <is>
          <t>Revolution CT</t>
        </is>
      </c>
      <c r="M843" t="inlineStr">
        <is>
          <t>HVP 3mm-pacs(55kg/110cc/2.5cc...</t>
        </is>
      </c>
    </row>
    <row r="844">
      <c r="A844" s="2" t="n">
        <v>2746967</v>
      </c>
      <c r="B844" s="2" t="inlineStr">
        <is>
          <t>70</t>
        </is>
      </c>
      <c r="C844" s="2" t="inlineStr">
        <is>
          <t>F</t>
        </is>
      </c>
      <c r="D844" s="2" t="inlineStr">
        <is>
          <t>100.0</t>
        </is>
      </c>
      <c r="E844" s="4">
        <f>HYPERLINK("./Results/DLO\1767\Osteo_Sarco_1.png","RPT")</f>
        <v/>
      </c>
      <c r="F844" s="2" t="n">
        <v>119</v>
      </c>
      <c r="G844" s="6" t="n">
        <v>31</v>
      </c>
      <c r="I844" s="0" t="n"/>
      <c r="J844" s="0" t="n"/>
      <c r="K844" s="0" t="n"/>
      <c r="L844" t="inlineStr">
        <is>
          <t>SOMATOM Definition...</t>
        </is>
      </c>
      <c r="M844" t="inlineStr">
        <is>
          <t>Pre(Abd) 3mm</t>
        </is>
      </c>
    </row>
    <row r="845">
      <c r="A845" s="2" t="n">
        <v>3784026</v>
      </c>
      <c r="B845" s="2" t="inlineStr">
        <is>
          <t>67</t>
        </is>
      </c>
      <c r="C845" s="2" t="inlineStr">
        <is>
          <t>M</t>
        </is>
      </c>
      <c r="D845" s="2" t="inlineStr">
        <is>
          <t>120.0</t>
        </is>
      </c>
      <c r="E845" s="4">
        <f>HYPERLINK("./Results/DLO\1768\Osteo_Sarco_1.png","RPT")</f>
        <v/>
      </c>
      <c r="F845" s="2" t="n">
        <v>101</v>
      </c>
      <c r="G845" s="6" t="n">
        <v>14</v>
      </c>
      <c r="I845" s="0" t="n"/>
      <c r="J845" s="0" t="n"/>
      <c r="K845" s="0" t="n"/>
      <c r="L845" t="inlineStr">
        <is>
          <t>iCT 256</t>
        </is>
      </c>
      <c r="M845" t="inlineStr">
        <is>
          <t>HVP 3/3mm, iDose (3)</t>
        </is>
      </c>
    </row>
    <row r="846">
      <c r="A846" s="2" t="n">
        <v>2014743</v>
      </c>
      <c r="B846" s="2" t="inlineStr">
        <is>
          <t>53</t>
        </is>
      </c>
      <c r="C846" s="2" t="inlineStr">
        <is>
          <t>F</t>
        </is>
      </c>
      <c r="D846" s="2" t="inlineStr">
        <is>
          <t>120.0</t>
        </is>
      </c>
      <c r="E846" s="4">
        <f>HYPERLINK("./Results/DLO\1769\Osteo_Sarco_1.png","RPT")</f>
        <v/>
      </c>
      <c r="F846" s="2" t="n">
        <v>82</v>
      </c>
      <c r="G846" s="6" t="n">
        <v>8</v>
      </c>
      <c r="I846" s="0" t="n"/>
      <c r="J846" s="0" t="n"/>
      <c r="K846" s="0" t="n"/>
      <c r="L846" t="inlineStr">
        <is>
          <t>Revolution EVO</t>
        </is>
      </c>
      <c r="M846" t="inlineStr">
        <is>
          <t>HVP 3mm</t>
        </is>
      </c>
    </row>
    <row r="847">
      <c r="A847" s="2" t="n">
        <v>3350673</v>
      </c>
      <c r="B847" s="2" t="inlineStr">
        <is>
          <t>58</t>
        </is>
      </c>
      <c r="C847" s="2" t="inlineStr">
        <is>
          <t>M</t>
        </is>
      </c>
      <c r="D847" s="2" t="inlineStr">
        <is>
          <t>100.0</t>
        </is>
      </c>
      <c r="E847" s="4">
        <f>HYPERLINK("./Results/DLO\177\Osteo_Sarco_1.png","RPT")</f>
        <v/>
      </c>
      <c r="F847" s="2" t="n">
        <v>123</v>
      </c>
      <c r="G847" s="6" t="n">
        <v>9</v>
      </c>
      <c r="H847" t="n">
        <v>19.47</v>
      </c>
      <c r="L847" t="inlineStr">
        <is>
          <t>SOMATOM Force</t>
        </is>
      </c>
      <c r="M847" t="inlineStr">
        <is>
          <t>Pre 3.0 Br40 2</t>
        </is>
      </c>
    </row>
    <row r="848">
      <c r="A848" s="2" t="n">
        <v>2036503</v>
      </c>
      <c r="B848" s="2" t="inlineStr">
        <is>
          <t>71</t>
        </is>
      </c>
      <c r="C848" s="2" t="inlineStr">
        <is>
          <t>M</t>
        </is>
      </c>
      <c r="D848" s="2" t="inlineStr">
        <is>
          <t>100.0</t>
        </is>
      </c>
      <c r="E848" s="4">
        <f>HYPERLINK("./Results/DLO\1770\Osteo_Sarco_1.png","RPT")</f>
        <v/>
      </c>
      <c r="F848" s="2" t="n">
        <v>162</v>
      </c>
      <c r="G848" s="6" t="n">
        <v>10</v>
      </c>
      <c r="H848" t="n">
        <v>24.28</v>
      </c>
      <c r="L848" t="inlineStr">
        <is>
          <t>Discovery CT750 HD</t>
        </is>
      </c>
      <c r="M848" t="inlineStr">
        <is>
          <t>CMP 2.5mm(ASIR30%)</t>
        </is>
      </c>
    </row>
    <row r="849">
      <c r="A849" s="2" t="n">
        <v>4488090</v>
      </c>
      <c r="B849" s="2" t="inlineStr">
        <is>
          <t>65</t>
        </is>
      </c>
      <c r="C849" s="2" t="inlineStr">
        <is>
          <t>M</t>
        </is>
      </c>
      <c r="D849" s="2" t="inlineStr">
        <is>
          <t>100.0</t>
        </is>
      </c>
      <c r="E849" s="4">
        <f>HYPERLINK("./Results/DLO\1771\Osteo_Sarco_1.png","RPT")</f>
        <v/>
      </c>
      <c r="F849" s="2" t="n">
        <v>120</v>
      </c>
      <c r="G849" s="6" t="n">
        <v>7</v>
      </c>
      <c r="H849" t="n">
        <v>23.44</v>
      </c>
      <c r="L849" t="inlineStr">
        <is>
          <t>SOMATOM Definition...</t>
        </is>
      </c>
      <c r="M849" t="inlineStr">
        <is>
          <t>Pre(cp~pubic ) 3.0 B30f</t>
        </is>
      </c>
    </row>
    <row r="850">
      <c r="A850" s="2" t="n">
        <v>3095191</v>
      </c>
      <c r="B850" s="2" t="inlineStr">
        <is>
          <t>54</t>
        </is>
      </c>
      <c r="C850" s="2" t="inlineStr">
        <is>
          <t>M</t>
        </is>
      </c>
      <c r="D850" s="2" t="inlineStr">
        <is>
          <t>120.0</t>
        </is>
      </c>
      <c r="E850" s="4">
        <f>HYPERLINK("./Results/DLO\1772\Osteo_Sarco_1.png","RPT")</f>
        <v/>
      </c>
      <c r="F850" s="2" t="n">
        <v>176</v>
      </c>
      <c r="G850" s="6" t="n">
        <v>11</v>
      </c>
      <c r="I850" s="0" t="n"/>
      <c r="J850" s="0" t="n"/>
      <c r="K850" s="0" t="n"/>
      <c r="L850" t="inlineStr">
        <is>
          <t>LightSpeed VCT</t>
        </is>
      </c>
      <c r="M850" t="inlineStr">
        <is>
          <t>HVP 55sec 3mm</t>
        </is>
      </c>
    </row>
    <row r="851">
      <c r="A851" s="2" t="n">
        <v>2834099</v>
      </c>
      <c r="B851" s="2" t="inlineStr">
        <is>
          <t>74</t>
        </is>
      </c>
      <c r="C851" s="2" t="inlineStr">
        <is>
          <t>M</t>
        </is>
      </c>
      <c r="D851" s="2" t="inlineStr">
        <is>
          <t>100.0</t>
        </is>
      </c>
      <c r="E851" s="4">
        <f>HYPERLINK("./Results/DLO\1773\Osteo_Sarco_1.png","RPT")</f>
        <v/>
      </c>
      <c r="F851" s="2" t="n">
        <v>145</v>
      </c>
      <c r="G851" s="6" t="n">
        <v>8</v>
      </c>
      <c r="H851" t="n">
        <v>23.73</v>
      </c>
      <c r="L851" t="inlineStr">
        <is>
          <t>Revolution CT</t>
        </is>
      </c>
      <c r="M851" t="inlineStr">
        <is>
          <t>Pre Axial 3mm</t>
        </is>
      </c>
    </row>
    <row r="852">
      <c r="A852" s="2" t="n">
        <v>2613874</v>
      </c>
      <c r="B852" s="2" t="inlineStr">
        <is>
          <t>71</t>
        </is>
      </c>
      <c r="C852" s="2" t="inlineStr">
        <is>
          <t>M</t>
        </is>
      </c>
      <c r="D852" s="2" t="inlineStr">
        <is>
          <t>100.0</t>
        </is>
      </c>
      <c r="E852" s="4">
        <f>HYPERLINK("./Results/DLO\1774\Osteo_Sarco_1.png","RPT")</f>
        <v/>
      </c>
      <c r="F852" s="2" t="n">
        <v>196</v>
      </c>
      <c r="G852" s="6" t="n">
        <v>12</v>
      </c>
      <c r="I852" s="0" t="n"/>
      <c r="J852" s="0" t="n"/>
      <c r="K852" s="0" t="n"/>
      <c r="L852" t="inlineStr">
        <is>
          <t>Sensation 64</t>
        </is>
      </c>
      <c r="M852" t="inlineStr">
        <is>
          <t>PRE 3mm</t>
        </is>
      </c>
    </row>
    <row r="853">
      <c r="A853" s="2" t="n">
        <v>4268623</v>
      </c>
      <c r="B853" s="2" t="inlineStr">
        <is>
          <t>44</t>
        </is>
      </c>
      <c r="C853" s="2" t="inlineStr">
        <is>
          <t>F</t>
        </is>
      </c>
      <c r="D853" s="2" t="inlineStr">
        <is>
          <t>100.0</t>
        </is>
      </c>
      <c r="E853" s="4">
        <f>HYPERLINK("./Results/DLO\1775\Osteo_Sarco_1.png","RPT")</f>
        <v/>
      </c>
      <c r="F853" s="2" t="n">
        <v>141</v>
      </c>
      <c r="G853" s="6" t="n">
        <v>11</v>
      </c>
      <c r="I853" s="0" t="n"/>
      <c r="J853" s="0" t="n"/>
      <c r="K853" s="0" t="n"/>
      <c r="L853" t="inlineStr">
        <is>
          <t>iCT 256</t>
        </is>
      </c>
      <c r="M853" t="inlineStr">
        <is>
          <t>HVP 3/3mm, iDose (3)</t>
        </is>
      </c>
    </row>
    <row r="854">
      <c r="A854" s="2" t="n">
        <v>4579458</v>
      </c>
      <c r="B854" s="2" t="inlineStr">
        <is>
          <t>43</t>
        </is>
      </c>
      <c r="C854" s="2" t="inlineStr">
        <is>
          <t>F</t>
        </is>
      </c>
      <c r="D854" s="2" t="inlineStr">
        <is>
          <t>100.0</t>
        </is>
      </c>
      <c r="E854" s="4">
        <f>HYPERLINK("./Results/DLO\1776\Osteo_Sarco_1.png","RPT")</f>
        <v/>
      </c>
      <c r="F854" s="2" t="n">
        <v>100</v>
      </c>
      <c r="G854" s="6" t="n">
        <v>7</v>
      </c>
      <c r="I854" s="0" t="n"/>
      <c r="J854" s="0" t="n"/>
      <c r="K854" s="0" t="n"/>
      <c r="L854" t="inlineStr">
        <is>
          <t>SOMATOM Definition...</t>
        </is>
      </c>
      <c r="M854" t="inlineStr">
        <is>
          <t>Pre 3mm</t>
        </is>
      </c>
    </row>
    <row r="855">
      <c r="A855" s="2" t="n">
        <v>4754227</v>
      </c>
      <c r="B855" s="2" t="inlineStr">
        <is>
          <t>67</t>
        </is>
      </c>
      <c r="C855" s="2" t="inlineStr">
        <is>
          <t>F</t>
        </is>
      </c>
      <c r="D855" s="2" t="inlineStr">
        <is>
          <t>100.0</t>
        </is>
      </c>
      <c r="E855" s="4">
        <f>HYPERLINK("./Results/DLO\1777\Osteo_Sarco_1.png","RPT")</f>
        <v/>
      </c>
      <c r="F855" s="2" t="n">
        <v>128</v>
      </c>
      <c r="G855" s="6" t="n">
        <v>15</v>
      </c>
      <c r="I855" s="0" t="n"/>
      <c r="J855" s="0" t="n"/>
      <c r="K855" s="0" t="n"/>
      <c r="L855" t="inlineStr">
        <is>
          <t>SOMATOM Definition...</t>
        </is>
      </c>
      <c r="M855" t="inlineStr">
        <is>
          <t>GU Pre 3mm</t>
        </is>
      </c>
    </row>
    <row r="856">
      <c r="A856" s="2" t="n">
        <v>3220173</v>
      </c>
      <c r="B856" s="2" t="inlineStr">
        <is>
          <t>52</t>
        </is>
      </c>
      <c r="C856" s="2" t="inlineStr">
        <is>
          <t>M</t>
        </is>
      </c>
      <c r="D856" s="2" t="inlineStr">
        <is>
          <t>100.0</t>
        </is>
      </c>
      <c r="E856" s="4">
        <f>HYPERLINK("./Results/DLO\1778\Osteo_Sarco_1.png","RPT")</f>
        <v/>
      </c>
      <c r="F856" s="2" t="n">
        <v>188</v>
      </c>
      <c r="G856" s="6" t="n">
        <v>10</v>
      </c>
      <c r="H856" t="n">
        <v>25.3</v>
      </c>
      <c r="L856" t="inlineStr">
        <is>
          <t>Revolution CT</t>
        </is>
      </c>
      <c r="M856" t="inlineStr">
        <is>
          <t>Pre Axial 3mm</t>
        </is>
      </c>
    </row>
    <row r="857">
      <c r="A857" s="2" t="n">
        <v>4522159</v>
      </c>
      <c r="B857" s="2" t="inlineStr">
        <is>
          <t>54</t>
        </is>
      </c>
      <c r="C857" s="2" t="inlineStr">
        <is>
          <t>F</t>
        </is>
      </c>
      <c r="D857" s="2" t="inlineStr">
        <is>
          <t>100.0</t>
        </is>
      </c>
      <c r="E857" s="4">
        <f>HYPERLINK("./Results/DLO\1779\Osteo_Sarco_1.png","RPT")</f>
        <v/>
      </c>
      <c r="F857" s="2" t="n">
        <v>73</v>
      </c>
      <c r="G857" s="6" t="n">
        <v>20</v>
      </c>
      <c r="H857" t="n">
        <v>19.1</v>
      </c>
      <c r="L857" t="inlineStr">
        <is>
          <t>Sensation 64</t>
        </is>
      </c>
      <c r="M857" t="inlineStr">
        <is>
          <t>Pre 3mm(100kvp100mAs)</t>
        </is>
      </c>
    </row>
    <row r="858">
      <c r="A858" s="2" t="n">
        <v>4551617</v>
      </c>
      <c r="B858" s="2" t="inlineStr">
        <is>
          <t>69</t>
        </is>
      </c>
      <c r="C858" s="2" t="inlineStr">
        <is>
          <t>M</t>
        </is>
      </c>
      <c r="D858" s="2" t="inlineStr">
        <is>
          <t>120.0</t>
        </is>
      </c>
      <c r="E858" s="4">
        <f>HYPERLINK("./Results/DLO\178\Osteo_Sarco_1.png","RPT")</f>
        <v/>
      </c>
      <c r="F858" s="2" t="n">
        <v>146</v>
      </c>
      <c r="G858" s="6" t="n">
        <v>5</v>
      </c>
      <c r="I858" s="0" t="n"/>
      <c r="J858" s="0" t="n"/>
      <c r="K858" s="0" t="n"/>
      <c r="L858" t="inlineStr">
        <is>
          <t>LightSpeed VCT</t>
        </is>
      </c>
      <c r="M858" t="inlineStr">
        <is>
          <t>HVP 55sec 3mm</t>
        </is>
      </c>
    </row>
    <row r="859">
      <c r="A859" s="2" t="n">
        <v>1785535</v>
      </c>
      <c r="B859" s="2" t="inlineStr">
        <is>
          <t>71</t>
        </is>
      </c>
      <c r="C859" s="2" t="inlineStr">
        <is>
          <t>M</t>
        </is>
      </c>
      <c r="D859" s="2" t="inlineStr">
        <is>
          <t>100.0</t>
        </is>
      </c>
      <c r="E859" s="4">
        <f>HYPERLINK("./Results/DLO\1780\Osteo_Sarco_1.png","RPT")</f>
        <v/>
      </c>
      <c r="F859" s="2" t="n">
        <v>118</v>
      </c>
      <c r="G859" s="6" t="n">
        <v>11</v>
      </c>
      <c r="H859" t="n">
        <v>23.88</v>
      </c>
      <c r="L859" t="inlineStr">
        <is>
          <t>LightSpeed VCT</t>
        </is>
      </c>
      <c r="M859" t="inlineStr">
        <is>
          <t>Pre 3mm</t>
        </is>
      </c>
    </row>
    <row r="860">
      <c r="A860" s="2" t="n">
        <v>3796267</v>
      </c>
      <c r="B860" s="2" t="inlineStr">
        <is>
          <t>73</t>
        </is>
      </c>
      <c r="C860" s="2" t="inlineStr">
        <is>
          <t>F</t>
        </is>
      </c>
      <c r="D860" s="2" t="inlineStr">
        <is>
          <t>100.0</t>
        </is>
      </c>
      <c r="E860" s="4">
        <f>HYPERLINK("./Results/DLO\1781\Osteo_Sarco_1.png","RPT")</f>
        <v/>
      </c>
      <c r="F860" s="2" t="n">
        <v>111</v>
      </c>
      <c r="G860" s="6" t="n">
        <v>8</v>
      </c>
      <c r="H860" t="n">
        <v>29.8</v>
      </c>
      <c r="L860" t="inlineStr">
        <is>
          <t>Revolution EVO</t>
        </is>
      </c>
      <c r="M860" t="inlineStr">
        <is>
          <t>PRE</t>
        </is>
      </c>
    </row>
    <row r="861">
      <c r="A861" s="2" t="n">
        <v>2932815</v>
      </c>
      <c r="B861" s="2" t="inlineStr">
        <is>
          <t>57</t>
        </is>
      </c>
      <c r="C861" s="2" t="inlineStr">
        <is>
          <t>M</t>
        </is>
      </c>
      <c r="D861" s="2" t="inlineStr">
        <is>
          <t>100.0</t>
        </is>
      </c>
      <c r="E861" s="4">
        <f>HYPERLINK("./Results/DLO\1782\Osteo_Sarco_1.png","RPT")</f>
        <v/>
      </c>
      <c r="F861" s="2" t="n">
        <v>164</v>
      </c>
      <c r="G861" s="6" t="n">
        <v>8</v>
      </c>
      <c r="H861" t="n">
        <v>23.45</v>
      </c>
      <c r="L861" t="inlineStr">
        <is>
          <t>LightSpeed VCT</t>
        </is>
      </c>
      <c r="M861" t="inlineStr">
        <is>
          <t>PRE 3mm</t>
        </is>
      </c>
    </row>
    <row r="862">
      <c r="A862" s="2" t="n">
        <v>3325272</v>
      </c>
      <c r="B862" s="2" t="inlineStr">
        <is>
          <t>62</t>
        </is>
      </c>
      <c r="C862" s="2" t="inlineStr">
        <is>
          <t>F</t>
        </is>
      </c>
      <c r="D862" s="2" t="inlineStr">
        <is>
          <t>100.0</t>
        </is>
      </c>
      <c r="E862" s="4">
        <f>HYPERLINK("./Results/DLO\1783\Osteo_Sarco_1.png","RPT")</f>
        <v/>
      </c>
      <c r="F862" s="2" t="n">
        <v>106</v>
      </c>
      <c r="G862" s="6" t="n">
        <v>22</v>
      </c>
      <c r="I862" s="0" t="n"/>
      <c r="J862" s="0" t="n"/>
      <c r="K862" s="0" t="n"/>
      <c r="L862" t="inlineStr">
        <is>
          <t>SOMATOM Definition...</t>
        </is>
      </c>
      <c r="M862" t="inlineStr">
        <is>
          <t>Pre 3mm</t>
        </is>
      </c>
    </row>
    <row r="863">
      <c r="A863" s="2" t="n">
        <v>3153235</v>
      </c>
      <c r="B863" s="2" t="inlineStr">
        <is>
          <t>70</t>
        </is>
      </c>
      <c r="C863" s="2" t="inlineStr">
        <is>
          <t>M</t>
        </is>
      </c>
      <c r="D863" s="2" t="inlineStr">
        <is>
          <t>120.0</t>
        </is>
      </c>
      <c r="E863" s="4">
        <f>HYPERLINK("./Results/DLO\1784\Osteo_Sarco_1.png","RPT")</f>
        <v/>
      </c>
      <c r="F863" s="2" t="n">
        <v>149</v>
      </c>
      <c r="G863" s="6" t="n">
        <v>9</v>
      </c>
      <c r="H863" t="n">
        <v>19.6</v>
      </c>
      <c r="L863" t="inlineStr">
        <is>
          <t>Discovery CT750 HD</t>
        </is>
      </c>
      <c r="M863" t="inlineStr">
        <is>
          <t>HVP 3mm</t>
        </is>
      </c>
    </row>
    <row r="864">
      <c r="A864" s="2" t="n">
        <v>4238868</v>
      </c>
      <c r="B864" s="2" t="inlineStr">
        <is>
          <t>77</t>
        </is>
      </c>
      <c r="C864" s="2" t="inlineStr">
        <is>
          <t>F</t>
        </is>
      </c>
      <c r="D864" s="2" t="inlineStr">
        <is>
          <t>100.0</t>
        </is>
      </c>
      <c r="E864" s="4">
        <f>HYPERLINK("./Results/DLO\1785\Osteo_Sarco_1.png","RPT")</f>
        <v/>
      </c>
      <c r="F864" s="2" t="n">
        <v>98</v>
      </c>
      <c r="G864" s="6" t="n">
        <v>14</v>
      </c>
      <c r="I864" s="0" t="n"/>
      <c r="J864" s="0" t="n"/>
      <c r="K864" s="0" t="n"/>
      <c r="L864" t="inlineStr">
        <is>
          <t>SOMATOM Definition...</t>
        </is>
      </c>
      <c r="M864" t="inlineStr">
        <is>
          <t>HVP 2 3mm (52kg/104cc/2.5cc/....</t>
        </is>
      </c>
    </row>
    <row r="865">
      <c r="A865" s="2" t="n">
        <v>2993294</v>
      </c>
      <c r="B865" s="2" t="inlineStr">
        <is>
          <t>73</t>
        </is>
      </c>
      <c r="C865" s="2" t="inlineStr">
        <is>
          <t>M</t>
        </is>
      </c>
      <c r="D865" s="2" t="inlineStr">
        <is>
          <t>120.0</t>
        </is>
      </c>
      <c r="E865" s="4">
        <f>HYPERLINK("./Results/DLO\1786\Osteo_Sarco_1.png","RPT")</f>
        <v/>
      </c>
      <c r="F865" s="2" t="n">
        <v>155</v>
      </c>
      <c r="G865" s="6" t="n">
        <v>15</v>
      </c>
      <c r="H865" t="n">
        <v>25.79</v>
      </c>
      <c r="L865" t="inlineStr">
        <is>
          <t>Discovery CT750 HD</t>
        </is>
      </c>
      <c r="M865" t="inlineStr">
        <is>
          <t>HVP 3mm</t>
        </is>
      </c>
    </row>
    <row r="866">
      <c r="A866" s="2" t="n">
        <v>3238090</v>
      </c>
      <c r="B866" s="2" t="inlineStr">
        <is>
          <t>65</t>
        </is>
      </c>
      <c r="C866" s="2" t="inlineStr">
        <is>
          <t>M</t>
        </is>
      </c>
      <c r="D866" s="2" t="inlineStr">
        <is>
          <t>100.0</t>
        </is>
      </c>
      <c r="E866" s="4">
        <f>HYPERLINK("./Results/DLO\1787\Osteo_Sarco_1.png","RPT")</f>
        <v/>
      </c>
      <c r="F866" s="2" t="n">
        <v>166</v>
      </c>
      <c r="G866" s="6" t="n">
        <v>7</v>
      </c>
      <c r="I866" s="0" t="n"/>
      <c r="J866" s="0" t="n"/>
      <c r="K866" s="0" t="n"/>
      <c r="L866" t="inlineStr">
        <is>
          <t>SOMATOM Definition...</t>
        </is>
      </c>
      <c r="M866" t="inlineStr">
        <is>
          <t>HVP 2 3mm (62kg/124cc/3cc/o...</t>
        </is>
      </c>
    </row>
    <row r="867">
      <c r="A867" s="2" t="n">
        <v>3646801</v>
      </c>
      <c r="B867" s="2" t="inlineStr">
        <is>
          <t>52</t>
        </is>
      </c>
      <c r="C867" s="2" t="inlineStr">
        <is>
          <t>M</t>
        </is>
      </c>
      <c r="D867" s="2" t="inlineStr">
        <is>
          <t>100.0</t>
        </is>
      </c>
      <c r="E867" s="4">
        <f>HYPERLINK("./Results/DLO\1788\Osteo_Sarco_1.png","RPT")</f>
        <v/>
      </c>
      <c r="F867" s="2" t="n">
        <v>152</v>
      </c>
      <c r="G867" s="6" t="n">
        <v>8</v>
      </c>
      <c r="I867" s="0" t="n"/>
      <c r="J867" s="0" t="n"/>
      <c r="K867" s="0" t="n"/>
      <c r="L867" t="inlineStr">
        <is>
          <t>SOMATOM Definition...</t>
        </is>
      </c>
      <c r="M867" t="inlineStr">
        <is>
          <t>HVP 2 3mm (60kg/ 120cc/ 3cc...</t>
        </is>
      </c>
    </row>
    <row r="868">
      <c r="A868" s="2" t="n">
        <v>3039473</v>
      </c>
      <c r="B868" s="2" t="inlineStr">
        <is>
          <t>33</t>
        </is>
      </c>
      <c r="C868" s="2" t="inlineStr">
        <is>
          <t>M</t>
        </is>
      </c>
      <c r="D868" s="2" t="inlineStr">
        <is>
          <t>100.0</t>
        </is>
      </c>
      <c r="E868" s="4">
        <f>HYPERLINK("./Results/DLO\1789\Osteo_Sarco_1.png","RPT")</f>
        <v/>
      </c>
      <c r="F868" s="2" t="n">
        <v>136</v>
      </c>
      <c r="G868" s="6" t="n">
        <v>4</v>
      </c>
      <c r="I868" s="0" t="n"/>
      <c r="J868" s="0" t="n"/>
      <c r="K868" s="0" t="n"/>
      <c r="L868" t="inlineStr">
        <is>
          <t>Revolution CT</t>
        </is>
      </c>
      <c r="M868" t="inlineStr">
        <is>
          <t>HVP 3mm(67kg/134cc/3cc/hexos)</t>
        </is>
      </c>
    </row>
    <row r="869">
      <c r="A869" s="2" t="n">
        <v>3856207</v>
      </c>
      <c r="B869" s="2" t="inlineStr">
        <is>
          <t>62</t>
        </is>
      </c>
      <c r="C869" s="2" t="inlineStr">
        <is>
          <t>F</t>
        </is>
      </c>
      <c r="D869" s="2" t="inlineStr">
        <is>
          <t>100.0</t>
        </is>
      </c>
      <c r="E869" s="4">
        <f>HYPERLINK("./Results/DLO\179\Osteo_Sarco_1.png","RPT")</f>
        <v/>
      </c>
      <c r="F869" s="2" t="n">
        <v>101</v>
      </c>
      <c r="G869" s="6" t="n">
        <v>9</v>
      </c>
      <c r="I869" s="0" t="n"/>
      <c r="J869" s="0" t="n"/>
      <c r="K869" s="0" t="n"/>
      <c r="L869" t="inlineStr">
        <is>
          <t>Revolution CT</t>
        </is>
      </c>
      <c r="M869" t="inlineStr">
        <is>
          <t>Pre Axial 3mm</t>
        </is>
      </c>
    </row>
    <row r="870">
      <c r="A870" s="2" t="n">
        <v>4678203</v>
      </c>
      <c r="B870" s="2" t="inlineStr">
        <is>
          <t>59</t>
        </is>
      </c>
      <c r="C870" s="2" t="inlineStr">
        <is>
          <t>F</t>
        </is>
      </c>
      <c r="D870" s="2" t="inlineStr">
        <is>
          <t>100.0</t>
        </is>
      </c>
      <c r="E870" s="4">
        <f>HYPERLINK("./Results/DLO\1790\Osteo_Sarco_1.png","RPT")</f>
        <v/>
      </c>
      <c r="F870" s="2" t="n">
        <v>107</v>
      </c>
      <c r="G870" s="6" t="n">
        <v>15</v>
      </c>
      <c r="I870" s="0" t="n"/>
      <c r="J870" s="0" t="n"/>
      <c r="K870" s="0" t="n"/>
      <c r="L870" t="inlineStr">
        <is>
          <t>SOMATOM Definition...</t>
        </is>
      </c>
      <c r="M870" t="inlineStr">
        <is>
          <t>HVP 2 3mm(72Kg/140ml/3ml/he...</t>
        </is>
      </c>
    </row>
    <row r="871">
      <c r="A871" s="2" t="n">
        <v>3851103</v>
      </c>
      <c r="B871" s="2" t="inlineStr">
        <is>
          <t>50</t>
        </is>
      </c>
      <c r="C871" s="2" t="inlineStr">
        <is>
          <t>F</t>
        </is>
      </c>
      <c r="D871" s="2" t="inlineStr">
        <is>
          <t>100.0</t>
        </is>
      </c>
      <c r="E871" s="4">
        <f>HYPERLINK("./Results/DLO\1791\Osteo_Sarco_1.png","RPT")</f>
        <v/>
      </c>
      <c r="F871" s="2" t="n">
        <v>118</v>
      </c>
      <c r="G871" s="6" t="n">
        <v>8</v>
      </c>
      <c r="H871" t="n">
        <v>17.81</v>
      </c>
      <c r="L871" t="inlineStr">
        <is>
          <t>Revolution CT</t>
        </is>
      </c>
      <c r="M871" t="inlineStr">
        <is>
          <t>Pre Axial 3mm</t>
        </is>
      </c>
    </row>
    <row r="872">
      <c r="A872" s="2" t="n">
        <v>2561718</v>
      </c>
      <c r="B872" s="2" t="inlineStr">
        <is>
          <t>20</t>
        </is>
      </c>
      <c r="C872" s="2" t="inlineStr">
        <is>
          <t>M</t>
        </is>
      </c>
      <c r="D872" s="2" t="inlineStr">
        <is>
          <t>120.0</t>
        </is>
      </c>
      <c r="E872" s="4">
        <f>HYPERLINK("./Results/DLO\1792\Osteo_Sarco_1.png","RPT")</f>
        <v/>
      </c>
      <c r="F872" s="2" t="n">
        <v>167</v>
      </c>
      <c r="G872" s="6" t="n">
        <v>3</v>
      </c>
      <c r="I872" s="0" t="n"/>
      <c r="J872" s="0" t="n"/>
      <c r="K872" s="0" t="n"/>
      <c r="L872" t="inlineStr">
        <is>
          <t>Ingenuity CT</t>
        </is>
      </c>
      <c r="M872" t="inlineStr">
        <is>
          <t>Pre 5mm</t>
        </is>
      </c>
    </row>
    <row r="873">
      <c r="A873" s="2" t="n">
        <v>3514024</v>
      </c>
      <c r="B873" s="2" t="inlineStr">
        <is>
          <t>59</t>
        </is>
      </c>
      <c r="C873" s="2" t="inlineStr">
        <is>
          <t>M</t>
        </is>
      </c>
      <c r="D873" s="2" t="inlineStr">
        <is>
          <t>100.0</t>
        </is>
      </c>
      <c r="E873" s="4">
        <f>HYPERLINK("./Results/DLO\1793\Osteo_Sarco_1.png","RPT")</f>
        <v/>
      </c>
      <c r="F873" s="2" t="n">
        <v>156</v>
      </c>
      <c r="G873" s="6" t="n">
        <v>4</v>
      </c>
      <c r="I873" s="0" t="n"/>
      <c r="J873" s="0" t="n"/>
      <c r="K873" s="0" t="n"/>
      <c r="L873" t="inlineStr">
        <is>
          <t>SOMATOM Force</t>
        </is>
      </c>
      <c r="M873" t="inlineStr">
        <is>
          <t>HVP 3.0 Br40 2 (70kg/140cc...</t>
        </is>
      </c>
    </row>
    <row r="874">
      <c r="A874" s="2" t="n">
        <v>2554203</v>
      </c>
      <c r="B874" s="2" t="inlineStr">
        <is>
          <t>74</t>
        </is>
      </c>
      <c r="C874" s="2" t="inlineStr">
        <is>
          <t>M</t>
        </is>
      </c>
      <c r="D874" s="2" t="inlineStr">
        <is>
          <t>100.0</t>
        </is>
      </c>
      <c r="E874" s="4">
        <f>HYPERLINK("./Results/DLO\1794\Osteo_Sarco_1.png","RPT")</f>
        <v/>
      </c>
      <c r="F874" s="2" t="n">
        <v>161</v>
      </c>
      <c r="G874" s="6" t="n">
        <v>13</v>
      </c>
      <c r="H874" t="n">
        <v>27.66</v>
      </c>
      <c r="L874" t="inlineStr">
        <is>
          <t>SOMATOM Definition...</t>
        </is>
      </c>
      <c r="M874" t="inlineStr">
        <is>
          <t>Pre 3mm</t>
        </is>
      </c>
    </row>
    <row r="875">
      <c r="A875" s="2" t="n">
        <v>3209655</v>
      </c>
      <c r="B875" s="2" t="inlineStr">
        <is>
          <t>45</t>
        </is>
      </c>
      <c r="C875" s="2" t="inlineStr">
        <is>
          <t>F</t>
        </is>
      </c>
      <c r="D875" s="2" t="inlineStr">
        <is>
          <t>100.0</t>
        </is>
      </c>
      <c r="E875" s="4">
        <f>HYPERLINK("./Results/DLO\1795\Osteo_Sarco_1.png","RPT")</f>
        <v/>
      </c>
      <c r="F875" s="2" t="n">
        <v>103</v>
      </c>
      <c r="G875" s="6" t="n">
        <v>5</v>
      </c>
      <c r="I875" s="0" t="n"/>
      <c r="J875" s="0" t="n"/>
      <c r="K875" s="0" t="n"/>
      <c r="L875" t="inlineStr">
        <is>
          <t>iCT 256</t>
        </is>
      </c>
      <c r="M875" t="inlineStr">
        <is>
          <t>HVP 3/3mm, iDose (3)</t>
        </is>
      </c>
    </row>
    <row r="876">
      <c r="A876" s="2" t="n">
        <v>2050421</v>
      </c>
      <c r="B876" s="2" t="inlineStr">
        <is>
          <t>58</t>
        </is>
      </c>
      <c r="C876" s="2" t="inlineStr">
        <is>
          <t>M</t>
        </is>
      </c>
      <c r="D876" s="2" t="inlineStr">
        <is>
          <t>120.0</t>
        </is>
      </c>
      <c r="E876" s="4">
        <f>HYPERLINK("./Results/DLO\1796\Osteo_Sarco_1.png","RPT")</f>
        <v/>
      </c>
      <c r="F876" s="2" t="n">
        <v>168</v>
      </c>
      <c r="G876" s="6" t="n">
        <v>8</v>
      </c>
      <c r="I876" s="0" t="n"/>
      <c r="J876" s="0" t="n"/>
      <c r="K876" s="0" t="n"/>
      <c r="L876" t="inlineStr">
        <is>
          <t>Revolution EVO</t>
        </is>
      </c>
      <c r="M876" t="inlineStr">
        <is>
          <t>LAP 3mm</t>
        </is>
      </c>
    </row>
    <row r="877">
      <c r="A877" s="2" t="n">
        <v>4181142</v>
      </c>
      <c r="B877" s="2" t="inlineStr">
        <is>
          <t>64</t>
        </is>
      </c>
      <c r="C877" s="2" t="inlineStr">
        <is>
          <t>F</t>
        </is>
      </c>
      <c r="D877" s="2" t="inlineStr">
        <is>
          <t>100.0</t>
        </is>
      </c>
      <c r="E877" s="4">
        <f>HYPERLINK("./Results/DLO\1797\Osteo_Sarco_1.png","RPT")</f>
        <v/>
      </c>
      <c r="F877" s="2" t="n">
        <v>101</v>
      </c>
      <c r="G877" s="6" t="n">
        <v>11</v>
      </c>
      <c r="I877" s="0" t="n"/>
      <c r="J877" s="0" t="n"/>
      <c r="K877" s="0" t="n"/>
      <c r="L877" t="inlineStr">
        <is>
          <t>SOMATOM Force</t>
        </is>
      </c>
      <c r="M877" t="inlineStr">
        <is>
          <t>Pre 3.0 Br40</t>
        </is>
      </c>
    </row>
    <row r="878">
      <c r="A878" s="2" t="n">
        <v>4475394</v>
      </c>
      <c r="B878" s="2" t="inlineStr">
        <is>
          <t>53</t>
        </is>
      </c>
      <c r="C878" s="2" t="inlineStr">
        <is>
          <t>F</t>
        </is>
      </c>
      <c r="D878" s="2" t="inlineStr">
        <is>
          <t>100.0</t>
        </is>
      </c>
      <c r="E878" s="4">
        <f>HYPERLINK("./Results/DLO\1798\Osteo_Sarco_1.png","RPT")</f>
        <v/>
      </c>
      <c r="F878" s="2" t="n">
        <v>103</v>
      </c>
      <c r="G878" s="6" t="n">
        <v>9</v>
      </c>
      <c r="I878" s="0" t="n"/>
      <c r="J878" s="0" t="n"/>
      <c r="K878" s="0" t="n"/>
      <c r="L878" t="inlineStr">
        <is>
          <t>iCT 256</t>
        </is>
      </c>
      <c r="M878" t="inlineStr">
        <is>
          <t>HVP 3/3mm, iDose (3)</t>
        </is>
      </c>
    </row>
    <row r="879">
      <c r="A879" s="2" t="n">
        <v>4818221</v>
      </c>
      <c r="B879" s="2" t="inlineStr">
        <is>
          <t>57</t>
        </is>
      </c>
      <c r="C879" s="2" t="inlineStr">
        <is>
          <t>M</t>
        </is>
      </c>
      <c r="D879" s="2" t="inlineStr">
        <is>
          <t>100.0</t>
        </is>
      </c>
      <c r="E879" s="4">
        <f>HYPERLINK("./Results/DLO\1799\Osteo_Sarco_1.png","RPT")</f>
        <v/>
      </c>
      <c r="F879" s="2" t="n">
        <v>157</v>
      </c>
      <c r="G879" s="6" t="n">
        <v>7</v>
      </c>
      <c r="I879" s="0" t="n"/>
      <c r="J879" s="0" t="n"/>
      <c r="K879" s="0" t="n"/>
      <c r="L879" t="inlineStr">
        <is>
          <t>SOMATOM Definition...</t>
        </is>
      </c>
      <c r="M879" t="inlineStr">
        <is>
          <t>HVP 2 3mm(75Kg/150ml/3ml/ra...</t>
        </is>
      </c>
    </row>
    <row r="880">
      <c r="A880" s="2" t="n">
        <v>4022406</v>
      </c>
      <c r="B880" s="2" t="inlineStr">
        <is>
          <t>75</t>
        </is>
      </c>
      <c r="C880" s="2" t="inlineStr">
        <is>
          <t>F</t>
        </is>
      </c>
      <c r="D880" s="2" t="inlineStr">
        <is>
          <t>100.0</t>
        </is>
      </c>
      <c r="E880" s="4">
        <f>HYPERLINK("./Results/DLO\18\Osteo_Sarco_1.png","RPT")</f>
        <v/>
      </c>
      <c r="F880" s="2" t="n">
        <v>97</v>
      </c>
      <c r="G880" s="6" t="n">
        <v>7</v>
      </c>
      <c r="H880" t="n">
        <v>21.09</v>
      </c>
      <c r="L880" t="inlineStr">
        <is>
          <t>Revolution CT</t>
        </is>
      </c>
      <c r="M880" t="inlineStr">
        <is>
          <t>Pre Axial 3mm</t>
        </is>
      </c>
    </row>
    <row r="881">
      <c r="A881" s="2" t="n">
        <v>2276310</v>
      </c>
      <c r="B881" s="2" t="inlineStr">
        <is>
          <t>66</t>
        </is>
      </c>
      <c r="C881" s="2" t="inlineStr">
        <is>
          <t>M</t>
        </is>
      </c>
      <c r="D881" s="2" t="inlineStr">
        <is>
          <t>120.0</t>
        </is>
      </c>
      <c r="E881" s="4">
        <f>HYPERLINK("./Results/DLO\180\Osteo_Sarco_1.png","RPT")</f>
        <v/>
      </c>
      <c r="F881" s="2" t="n">
        <v>184</v>
      </c>
      <c r="G881" s="6" t="n">
        <v>12</v>
      </c>
      <c r="I881" s="0" t="n"/>
      <c r="J881" s="0" t="n"/>
      <c r="K881" s="0" t="n"/>
      <c r="L881" t="inlineStr">
        <is>
          <t>SOMATOM Definition...</t>
        </is>
      </c>
      <c r="M881" t="inlineStr">
        <is>
          <t>PRE 3mm (120Kvp 60mAs)</t>
        </is>
      </c>
    </row>
    <row r="882">
      <c r="A882" s="2" t="n">
        <v>1878382</v>
      </c>
      <c r="B882" s="2" t="inlineStr">
        <is>
          <t>46</t>
        </is>
      </c>
      <c r="C882" s="2" t="inlineStr">
        <is>
          <t>F</t>
        </is>
      </c>
      <c r="D882" s="2" t="inlineStr">
        <is>
          <t>120.0</t>
        </is>
      </c>
      <c r="E882" s="4">
        <f>HYPERLINK("./Results/DLO\1800\Osteo_Sarco_1.png","RPT")</f>
        <v/>
      </c>
      <c r="F882" s="2" t="n">
        <v>106</v>
      </c>
      <c r="G882" s="6" t="n">
        <v>6</v>
      </c>
      <c r="I882" s="0" t="n"/>
      <c r="J882" s="0" t="n"/>
      <c r="K882" s="0" t="n"/>
      <c r="L882" t="inlineStr">
        <is>
          <t>Discovery CT750 HD</t>
        </is>
      </c>
      <c r="M882" t="inlineStr">
        <is>
          <t>HVP 3mm</t>
        </is>
      </c>
    </row>
    <row r="883">
      <c r="A883" s="2" t="n">
        <v>3288880</v>
      </c>
      <c r="B883" s="2" t="inlineStr">
        <is>
          <t>60</t>
        </is>
      </c>
      <c r="C883" s="2" t="inlineStr">
        <is>
          <t>M</t>
        </is>
      </c>
      <c r="D883" s="2" t="inlineStr">
        <is>
          <t>120.0</t>
        </is>
      </c>
      <c r="E883" s="4">
        <f>HYPERLINK("./Results/DLO\1801\Osteo_Sarco_1.png","RPT")</f>
        <v/>
      </c>
      <c r="F883" s="2" t="n">
        <v>141</v>
      </c>
      <c r="G883" s="6" t="n">
        <v>5</v>
      </c>
      <c r="I883" s="0" t="n"/>
      <c r="J883" s="0" t="n"/>
      <c r="K883" s="0" t="n"/>
      <c r="L883" t="inlineStr">
        <is>
          <t>LightSpeed VCT</t>
        </is>
      </c>
      <c r="M883" t="inlineStr">
        <is>
          <t>HVP 55sec 3mm</t>
        </is>
      </c>
    </row>
    <row r="884">
      <c r="A884" s="2" t="n">
        <v>2668444</v>
      </c>
      <c r="B884" s="2" t="inlineStr">
        <is>
          <t>57</t>
        </is>
      </c>
      <c r="C884" s="2" t="inlineStr">
        <is>
          <t>F</t>
        </is>
      </c>
      <c r="D884" s="2" t="inlineStr">
        <is>
          <t>100.0</t>
        </is>
      </c>
      <c r="E884" s="4">
        <f>HYPERLINK("./Results/DLO\1802\Osteo_Sarco_1.png","RPT")</f>
        <v/>
      </c>
      <c r="F884" s="2" t="n">
        <v>114</v>
      </c>
      <c r="G884" s="6" t="n">
        <v>12</v>
      </c>
      <c r="I884" s="0" t="n"/>
      <c r="J884" s="0" t="n"/>
      <c r="K884" s="0" t="n"/>
      <c r="L884" t="inlineStr">
        <is>
          <t>Revolution EVO</t>
        </is>
      </c>
      <c r="M884" t="inlineStr">
        <is>
          <t>PRE</t>
        </is>
      </c>
    </row>
    <row r="885">
      <c r="A885" s="2" t="n">
        <v>2513283</v>
      </c>
      <c r="B885" s="2" t="inlineStr">
        <is>
          <t>74</t>
        </is>
      </c>
      <c r="C885" s="2" t="inlineStr">
        <is>
          <t>F</t>
        </is>
      </c>
      <c r="D885" s="2" t="inlineStr">
        <is>
          <t>100.0</t>
        </is>
      </c>
      <c r="E885" s="4">
        <f>HYPERLINK("./Results/DLO\1803\Osteo_Sarco_1.png","RPT")</f>
        <v/>
      </c>
      <c r="F885" s="2" t="n">
        <v>79</v>
      </c>
      <c r="G885" s="6" t="n">
        <v>7</v>
      </c>
      <c r="I885" s="0" t="n"/>
      <c r="J885" s="0" t="n"/>
      <c r="K885" s="0" t="n"/>
      <c r="L885" t="inlineStr">
        <is>
          <t>LightSpeed VCT</t>
        </is>
      </c>
      <c r="M885" t="inlineStr">
        <is>
          <t>PRE (CP angle~Pubic)</t>
        </is>
      </c>
    </row>
    <row r="886">
      <c r="A886" s="2" t="n">
        <v>3085464</v>
      </c>
      <c r="B886" s="2" t="inlineStr">
        <is>
          <t>62</t>
        </is>
      </c>
      <c r="C886" s="2" t="inlineStr">
        <is>
          <t>F</t>
        </is>
      </c>
      <c r="D886" s="2" t="inlineStr">
        <is>
          <t>100.0</t>
        </is>
      </c>
      <c r="E886" s="4">
        <f>HYPERLINK("./Results/DLO\1804\Osteo_Sarco_1.png","RPT")</f>
        <v/>
      </c>
      <c r="F886" s="2" t="n">
        <v>87</v>
      </c>
      <c r="G886" s="6" t="n">
        <v>11</v>
      </c>
      <c r="I886" s="0" t="n"/>
      <c r="J886" s="0" t="n"/>
      <c r="K886" s="0" t="n"/>
      <c r="L886" t="inlineStr">
        <is>
          <t>SOMATOM Definition...</t>
        </is>
      </c>
      <c r="M886" t="inlineStr">
        <is>
          <t>Pre 3mm</t>
        </is>
      </c>
    </row>
    <row r="887">
      <c r="A887" s="2" t="n">
        <v>4982484</v>
      </c>
      <c r="B887" s="2" t="inlineStr">
        <is>
          <t>58</t>
        </is>
      </c>
      <c r="C887" s="2" t="inlineStr">
        <is>
          <t>F</t>
        </is>
      </c>
      <c r="D887" s="2" t="inlineStr">
        <is>
          <t>120.0</t>
        </is>
      </c>
      <c r="E887" s="4">
        <f>HYPERLINK("./Results/DLO\1805\Osteo_Sarco_1.png","RPT")</f>
        <v/>
      </c>
      <c r="F887" s="2" t="n">
        <v>94</v>
      </c>
      <c r="G887" s="6" t="n">
        <v>10</v>
      </c>
      <c r="H887" t="n">
        <v>23.26</v>
      </c>
      <c r="L887" t="inlineStr">
        <is>
          <t>Discovery CT750 HD</t>
        </is>
      </c>
      <c r="M887" t="inlineStr">
        <is>
          <t>HVP 3mm</t>
        </is>
      </c>
    </row>
    <row r="888">
      <c r="A888" s="2" t="n">
        <v>2816482</v>
      </c>
      <c r="B888" s="2" t="inlineStr">
        <is>
          <t>66</t>
        </is>
      </c>
      <c r="C888" s="2" t="inlineStr">
        <is>
          <t>M</t>
        </is>
      </c>
      <c r="D888" s="2" t="inlineStr">
        <is>
          <t>100.0</t>
        </is>
      </c>
      <c r="E888" s="4">
        <f>HYPERLINK("./Results/DLO\1806\Osteo_Sarco_1.png","RPT")</f>
        <v/>
      </c>
      <c r="F888" s="2" t="n">
        <v>157</v>
      </c>
      <c r="G888" s="6" t="n">
        <v>18</v>
      </c>
      <c r="I888" s="0" t="n"/>
      <c r="J888" s="0" t="n"/>
      <c r="K888" s="0" t="n"/>
      <c r="L888" t="inlineStr">
        <is>
          <t>Discovery CT750 HD</t>
        </is>
      </c>
      <c r="M888" t="inlineStr">
        <is>
          <t>ax 3mm</t>
        </is>
      </c>
    </row>
    <row r="889">
      <c r="A889" s="2" t="n">
        <v>3916275</v>
      </c>
      <c r="B889" s="2" t="inlineStr">
        <is>
          <t>43</t>
        </is>
      </c>
      <c r="C889" s="2" t="inlineStr">
        <is>
          <t>M</t>
        </is>
      </c>
      <c r="D889" s="2" t="inlineStr">
        <is>
          <t>100.0</t>
        </is>
      </c>
      <c r="E889" s="4">
        <f>HYPERLINK("./Results/DLO\1807\Osteo_Sarco_1.png","RPT")</f>
        <v/>
      </c>
      <c r="F889" s="2" t="n">
        <v>153</v>
      </c>
      <c r="G889" s="6" t="n">
        <v>12</v>
      </c>
      <c r="H889" t="n">
        <v>19.67</v>
      </c>
      <c r="L889" t="inlineStr">
        <is>
          <t>Discovery CT750 HD</t>
        </is>
      </c>
      <c r="M889" t="inlineStr">
        <is>
          <t>ax 3mm</t>
        </is>
      </c>
    </row>
    <row r="890">
      <c r="A890" s="2" t="n">
        <v>2370962</v>
      </c>
      <c r="B890" s="2" t="inlineStr">
        <is>
          <t>73</t>
        </is>
      </c>
      <c r="C890" s="2" t="inlineStr">
        <is>
          <t>F</t>
        </is>
      </c>
      <c r="D890" s="2" t="inlineStr">
        <is>
          <t>120.0</t>
        </is>
      </c>
      <c r="E890" s="4">
        <f>HYPERLINK("./Results/DLO\1808\Osteo_Sarco_1.png","RPT")</f>
        <v/>
      </c>
      <c r="F890" s="2" t="n">
        <v>90</v>
      </c>
      <c r="G890" s="6" t="n">
        <v>14</v>
      </c>
      <c r="H890" t="n">
        <v>22.04</v>
      </c>
      <c r="L890" t="inlineStr">
        <is>
          <t>iCT 256</t>
        </is>
      </c>
      <c r="M890" t="inlineStr">
        <is>
          <t>HVP 3/3mm, iDose (3)</t>
        </is>
      </c>
    </row>
    <row r="891">
      <c r="A891" s="2" t="n">
        <v>4665325</v>
      </c>
      <c r="B891" s="2" t="inlineStr">
        <is>
          <t>67</t>
        </is>
      </c>
      <c r="C891" s="2" t="inlineStr">
        <is>
          <t>M</t>
        </is>
      </c>
      <c r="D891" s="2" t="inlineStr">
        <is>
          <t>100.0</t>
        </is>
      </c>
      <c r="E891" s="4">
        <f>HYPERLINK("./Results/DLO\1809\Osteo_Sarco_1.png","RPT")</f>
        <v/>
      </c>
      <c r="F891" s="2" t="n">
        <v>176</v>
      </c>
      <c r="G891" s="6" t="n">
        <v>8</v>
      </c>
      <c r="I891" s="0" t="n"/>
      <c r="J891" s="0" t="n"/>
      <c r="K891" s="0" t="n"/>
      <c r="L891" t="inlineStr">
        <is>
          <t>LightSpeed VCT</t>
        </is>
      </c>
      <c r="M891" t="inlineStr">
        <is>
          <t>PRE 3mm axial</t>
        </is>
      </c>
    </row>
    <row r="892">
      <c r="A892" s="2" t="n">
        <v>2843258</v>
      </c>
      <c r="B892" s="2" t="inlineStr">
        <is>
          <t>68</t>
        </is>
      </c>
      <c r="C892" s="2" t="inlineStr">
        <is>
          <t>M</t>
        </is>
      </c>
      <c r="D892" s="2" t="inlineStr">
        <is>
          <t>120.0</t>
        </is>
      </c>
      <c r="E892" s="4">
        <f>HYPERLINK("./Results/DLO\1810\Osteo_Sarco_1.png","RPT")</f>
        <v/>
      </c>
      <c r="F892" s="2" t="n">
        <v>122</v>
      </c>
      <c r="G892" s="6" t="n">
        <v>6</v>
      </c>
      <c r="I892" s="0" t="n"/>
      <c r="J892" s="0" t="n"/>
      <c r="K892" s="0" t="n"/>
      <c r="L892" t="inlineStr">
        <is>
          <t>Discovery CT750 HD</t>
        </is>
      </c>
      <c r="M892" t="inlineStr">
        <is>
          <t>HVP 3mm</t>
        </is>
      </c>
    </row>
    <row r="893">
      <c r="A893" s="2" t="n">
        <v>2731394</v>
      </c>
      <c r="B893" s="2" t="inlineStr">
        <is>
          <t>46</t>
        </is>
      </c>
      <c r="C893" s="2" t="inlineStr">
        <is>
          <t>M</t>
        </is>
      </c>
      <c r="D893" s="2" t="inlineStr">
        <is>
          <t>100.0</t>
        </is>
      </c>
      <c r="E893" s="4">
        <f>HYPERLINK("./Results/DLO\1811\Osteo_Sarco_1.png","RPT")</f>
        <v/>
      </c>
      <c r="F893" s="2" t="n">
        <v>164</v>
      </c>
      <c r="G893" s="6" t="n">
        <v>8</v>
      </c>
      <c r="I893" s="0" t="n"/>
      <c r="J893" s="0" t="n"/>
      <c r="K893" s="0" t="n"/>
      <c r="L893" t="inlineStr">
        <is>
          <t>iCT 256</t>
        </is>
      </c>
      <c r="M893" t="inlineStr">
        <is>
          <t>HVP 3/3mm, iDose (3)</t>
        </is>
      </c>
    </row>
    <row r="894">
      <c r="A894" s="2" t="n">
        <v>4830222</v>
      </c>
      <c r="B894" s="2" t="inlineStr">
        <is>
          <t>65</t>
        </is>
      </c>
      <c r="C894" s="2" t="inlineStr">
        <is>
          <t>M</t>
        </is>
      </c>
      <c r="D894" s="2" t="inlineStr">
        <is>
          <t>100.0</t>
        </is>
      </c>
      <c r="E894" s="4">
        <f>HYPERLINK("./Results/DLO\1812\Osteo_Sarco_1.png","RPT")</f>
        <v/>
      </c>
      <c r="F894" s="2" t="n">
        <v>177</v>
      </c>
      <c r="G894" s="6" t="n">
        <v>11</v>
      </c>
      <c r="H894" t="n">
        <v>28.66</v>
      </c>
      <c r="L894" t="inlineStr">
        <is>
          <t>SOMATOM Definition...</t>
        </is>
      </c>
      <c r="M894" t="inlineStr">
        <is>
          <t>Pre(cp~pubic ) 3.0 B30f</t>
        </is>
      </c>
    </row>
    <row r="895">
      <c r="A895" s="2" t="n">
        <v>3227139</v>
      </c>
      <c r="B895" s="2" t="inlineStr">
        <is>
          <t>43</t>
        </is>
      </c>
      <c r="C895" s="2" t="inlineStr">
        <is>
          <t>M</t>
        </is>
      </c>
      <c r="D895" s="2" t="inlineStr">
        <is>
          <t>100.0</t>
        </is>
      </c>
      <c r="E895" s="4">
        <f>HYPERLINK("./Results/DLO\1813\Osteo_Sarco_1.png","RPT")</f>
        <v/>
      </c>
      <c r="F895" s="2" t="n">
        <v>142</v>
      </c>
      <c r="G895" s="6" t="n">
        <v>5</v>
      </c>
      <c r="I895" s="0" t="n"/>
      <c r="J895" s="0" t="n"/>
      <c r="K895" s="0" t="n"/>
      <c r="L895" t="inlineStr">
        <is>
          <t>Revolution CT</t>
        </is>
      </c>
      <c r="M895" t="inlineStr">
        <is>
          <t>HVP 3mm(60kg/120cc/3cc/omni)</t>
        </is>
      </c>
    </row>
    <row r="896">
      <c r="A896" s="2" t="n">
        <v>1915834</v>
      </c>
      <c r="B896" s="2" t="inlineStr">
        <is>
          <t>60</t>
        </is>
      </c>
      <c r="C896" s="2" t="inlineStr">
        <is>
          <t>M</t>
        </is>
      </c>
      <c r="D896" s="2" t="inlineStr">
        <is>
          <t>100.0</t>
        </is>
      </c>
      <c r="E896" s="4">
        <f>HYPERLINK("./Results/DLO\1814\Osteo_Sarco_1.png","RPT")</f>
        <v/>
      </c>
      <c r="F896" s="2" t="n">
        <v>116</v>
      </c>
      <c r="G896" s="6" t="n">
        <v>5</v>
      </c>
      <c r="I896" s="0" t="n"/>
      <c r="J896" s="0" t="n"/>
      <c r="K896" s="0" t="n"/>
      <c r="L896" t="inlineStr">
        <is>
          <t>Revolution CT</t>
        </is>
      </c>
      <c r="M896" t="inlineStr">
        <is>
          <t>HVP 3mm-pacs(51kg/102cc/2.5cc...</t>
        </is>
      </c>
    </row>
    <row r="897">
      <c r="A897" s="2" t="n">
        <v>4220155</v>
      </c>
      <c r="B897" s="2" t="inlineStr">
        <is>
          <t>54</t>
        </is>
      </c>
      <c r="C897" s="2" t="inlineStr">
        <is>
          <t>F</t>
        </is>
      </c>
      <c r="D897" s="2" t="inlineStr">
        <is>
          <t>100.0</t>
        </is>
      </c>
      <c r="E897" s="4">
        <f>HYPERLINK("./Results/DLO\1815\Osteo_Sarco_1.png","RPT")</f>
        <v/>
      </c>
      <c r="F897" s="2" t="n">
        <v>117</v>
      </c>
      <c r="G897" s="6" t="n">
        <v>10</v>
      </c>
      <c r="I897" s="0" t="n"/>
      <c r="J897" s="0" t="n"/>
      <c r="K897" s="0" t="n"/>
      <c r="L897" t="inlineStr">
        <is>
          <t>SOMATOM Definition...</t>
        </is>
      </c>
      <c r="M897" t="inlineStr">
        <is>
          <t>HVP 2 3mm (52kg/104cc/2.5cc...</t>
        </is>
      </c>
    </row>
    <row r="898">
      <c r="A898" s="2" t="n">
        <v>3384292</v>
      </c>
      <c r="B898" s="2" t="inlineStr">
        <is>
          <t>76</t>
        </is>
      </c>
      <c r="C898" s="2" t="inlineStr">
        <is>
          <t>F</t>
        </is>
      </c>
      <c r="D898" s="2" t="inlineStr">
        <is>
          <t>120.0</t>
        </is>
      </c>
      <c r="E898" s="4">
        <f>HYPERLINK("./Results/DLO\1816\Osteo_Sarco_1.png","RPT")</f>
        <v/>
      </c>
      <c r="F898" s="2" t="n">
        <v>96</v>
      </c>
      <c r="G898" s="6" t="n">
        <v>12</v>
      </c>
      <c r="I898" s="0" t="n"/>
      <c r="J898" s="0" t="n"/>
      <c r="K898" s="0" t="n"/>
      <c r="L898" t="inlineStr">
        <is>
          <t>iCT 256</t>
        </is>
      </c>
      <c r="M898" t="inlineStr">
        <is>
          <t>HVP 3/3mm, iDose (3)</t>
        </is>
      </c>
    </row>
    <row r="899">
      <c r="A899" s="2" t="n">
        <v>4733772</v>
      </c>
      <c r="B899" s="2" t="inlineStr">
        <is>
          <t>57</t>
        </is>
      </c>
      <c r="C899" s="2" t="inlineStr">
        <is>
          <t>F</t>
        </is>
      </c>
      <c r="D899" s="2" t="inlineStr">
        <is>
          <t>100.0</t>
        </is>
      </c>
      <c r="E899" s="4">
        <f>HYPERLINK("./Results/DLO\1817\Osteo_Sarco_1.png","RPT")</f>
        <v/>
      </c>
      <c r="F899" s="2" t="n">
        <v>99</v>
      </c>
      <c r="G899" s="6" t="n">
        <v>7</v>
      </c>
      <c r="I899" s="0" t="n"/>
      <c r="J899" s="0" t="n"/>
      <c r="K899" s="0" t="n"/>
      <c r="L899" t="inlineStr">
        <is>
          <t>Revolution CT</t>
        </is>
      </c>
      <c r="M899" t="inlineStr">
        <is>
          <t>HVP 3mm-pacs(60kg/120cc/3cc/r...</t>
        </is>
      </c>
    </row>
    <row r="900">
      <c r="A900" s="2" t="n">
        <v>4800976</v>
      </c>
      <c r="B900" s="2" t="inlineStr">
        <is>
          <t>71</t>
        </is>
      </c>
      <c r="C900" s="2" t="inlineStr">
        <is>
          <t>M</t>
        </is>
      </c>
      <c r="D900" s="2" t="inlineStr">
        <is>
          <t>110.0</t>
        </is>
      </c>
      <c r="E900" s="4">
        <f>HYPERLINK("./Results/DLO\1818\Osteo_Sarco_1.png","RPT")</f>
        <v/>
      </c>
      <c r="F900" s="2" t="n">
        <v>177</v>
      </c>
      <c r="G900" s="6" t="n">
        <v>16</v>
      </c>
      <c r="H900" t="n">
        <v>29.55</v>
      </c>
      <c r="L900" t="inlineStr">
        <is>
          <t>SOMATOM Force</t>
        </is>
      </c>
      <c r="M900" t="inlineStr">
        <is>
          <t>Pre 3.0 Br40 2</t>
        </is>
      </c>
    </row>
    <row r="901">
      <c r="A901" s="2" t="n">
        <v>2549070</v>
      </c>
      <c r="B901" s="2" t="inlineStr">
        <is>
          <t>47</t>
        </is>
      </c>
      <c r="C901" s="2" t="inlineStr">
        <is>
          <t>F</t>
        </is>
      </c>
      <c r="D901" s="2" t="inlineStr">
        <is>
          <t>120.0</t>
        </is>
      </c>
      <c r="E901" s="4">
        <f>HYPERLINK("./Results/DLO\1819\Osteo_Sarco_1.png","RPT")</f>
        <v/>
      </c>
      <c r="F901" s="2" t="n">
        <v>113</v>
      </c>
      <c r="G901" s="6" t="n">
        <v>7</v>
      </c>
      <c r="I901" s="0" t="n"/>
      <c r="J901" s="0" t="n"/>
      <c r="K901" s="0" t="n"/>
      <c r="L901" t="inlineStr">
        <is>
          <t>Discovery CT750 HD</t>
        </is>
      </c>
      <c r="M901" t="inlineStr">
        <is>
          <t>HVP 3mm</t>
        </is>
      </c>
    </row>
    <row r="902">
      <c r="A902" s="2" t="n">
        <v>2487872</v>
      </c>
      <c r="B902" s="2" t="inlineStr">
        <is>
          <t>48</t>
        </is>
      </c>
      <c r="C902" s="2" t="inlineStr">
        <is>
          <t>F</t>
        </is>
      </c>
      <c r="D902" s="2" t="inlineStr">
        <is>
          <t>120.0</t>
        </is>
      </c>
      <c r="E902" s="4">
        <f>HYPERLINK("./Results/DLO\1820\Osteo_Sarco_1.png","RPT")</f>
        <v/>
      </c>
      <c r="F902" s="2" t="n">
        <v>114</v>
      </c>
      <c r="G902" s="6" t="n">
        <v>10</v>
      </c>
      <c r="I902" s="0" t="n"/>
      <c r="J902" s="0" t="n"/>
      <c r="K902" s="0" t="n"/>
      <c r="L902" t="inlineStr">
        <is>
          <t>iCT 256</t>
        </is>
      </c>
      <c r="M902" t="inlineStr">
        <is>
          <t>HVP 3/3mm, iDose (3)</t>
        </is>
      </c>
    </row>
    <row r="903">
      <c r="A903" s="2" t="n">
        <v>2969715</v>
      </c>
      <c r="B903" s="2" t="inlineStr">
        <is>
          <t>62</t>
        </is>
      </c>
      <c r="C903" s="2" t="inlineStr">
        <is>
          <t>F</t>
        </is>
      </c>
      <c r="D903" s="2" t="inlineStr">
        <is>
          <t>100.0</t>
        </is>
      </c>
      <c r="E903" s="4">
        <f>HYPERLINK("./Results/DLO\1821\Osteo_Sarco_1.png","RPT")</f>
        <v/>
      </c>
      <c r="F903" s="2" t="n">
        <v>97</v>
      </c>
      <c r="G903" s="6" t="n">
        <v>8</v>
      </c>
      <c r="I903" s="0" t="n"/>
      <c r="J903" s="0" t="n"/>
      <c r="K903" s="0" t="n"/>
      <c r="L903" t="inlineStr">
        <is>
          <t>LightSpeed VCT</t>
        </is>
      </c>
      <c r="M903" t="inlineStr">
        <is>
          <t>PRE (CP angle~Pubic)</t>
        </is>
      </c>
    </row>
    <row r="904">
      <c r="A904" s="2" t="n">
        <v>2303505</v>
      </c>
      <c r="B904" s="2" t="inlineStr">
        <is>
          <t>27</t>
        </is>
      </c>
      <c r="C904" s="2" t="inlineStr">
        <is>
          <t>F</t>
        </is>
      </c>
      <c r="D904" s="2" t="inlineStr">
        <is>
          <t>100.0</t>
        </is>
      </c>
      <c r="E904" s="4">
        <f>HYPERLINK("./Results/DLO\1822\Osteo_Sarco_1.png","RPT")</f>
        <v/>
      </c>
      <c r="F904" s="2" t="n">
        <v>102</v>
      </c>
      <c r="G904" s="6" t="n">
        <v>4</v>
      </c>
      <c r="I904" s="0" t="n"/>
      <c r="J904" s="0" t="n"/>
      <c r="K904" s="0" t="n"/>
      <c r="L904" t="inlineStr">
        <is>
          <t>SOMATOM Definition...</t>
        </is>
      </c>
      <c r="M904" t="inlineStr">
        <is>
          <t>Pre 3mm</t>
        </is>
      </c>
    </row>
    <row r="905">
      <c r="A905" s="2" t="n">
        <v>4821439</v>
      </c>
      <c r="B905" s="2" t="inlineStr">
        <is>
          <t>55</t>
        </is>
      </c>
      <c r="C905" s="2" t="inlineStr">
        <is>
          <t>M</t>
        </is>
      </c>
      <c r="D905" s="2" t="inlineStr">
        <is>
          <t>100.0</t>
        </is>
      </c>
      <c r="E905" s="4">
        <f>HYPERLINK("./Results/DLO\1823\Osteo_Sarco_1.png","RPT")</f>
        <v/>
      </c>
      <c r="F905" s="2" t="n">
        <v>163</v>
      </c>
      <c r="G905" s="6" t="n">
        <v>6</v>
      </c>
      <c r="I905" s="0" t="n"/>
      <c r="J905" s="0" t="n"/>
      <c r="K905" s="0" t="n"/>
      <c r="L905" t="inlineStr">
        <is>
          <t>SOMATOM Definition...</t>
        </is>
      </c>
      <c r="M905" t="inlineStr">
        <is>
          <t>HVP 2 3mm(59kg/118cc/3cc/RADI)</t>
        </is>
      </c>
    </row>
    <row r="906">
      <c r="A906" s="2" t="n">
        <v>2033806</v>
      </c>
      <c r="B906" s="2" t="inlineStr">
        <is>
          <t>60</t>
        </is>
      </c>
      <c r="C906" s="2" t="inlineStr">
        <is>
          <t>F</t>
        </is>
      </c>
      <c r="D906" s="2" t="inlineStr">
        <is>
          <t>100.0</t>
        </is>
      </c>
      <c r="E906" s="4">
        <f>HYPERLINK("./Results/DLO\1824\Osteo_Sarco_1.png","RPT")</f>
        <v/>
      </c>
      <c r="F906" s="2" t="n">
        <v>94</v>
      </c>
      <c r="G906" s="6" t="n">
        <v>5</v>
      </c>
      <c r="H906" t="n">
        <v>20.4</v>
      </c>
      <c r="L906" t="inlineStr">
        <is>
          <t>Revolution CT</t>
        </is>
      </c>
      <c r="M906" t="inlineStr">
        <is>
          <t>HVP 3mm-pacs(49kg/98cc/3cc/xene)</t>
        </is>
      </c>
    </row>
    <row r="907">
      <c r="A907" s="2" t="n">
        <v>3843182</v>
      </c>
      <c r="B907" s="2" t="inlineStr">
        <is>
          <t>59</t>
        </is>
      </c>
      <c r="C907" s="2" t="inlineStr">
        <is>
          <t>M</t>
        </is>
      </c>
      <c r="D907" s="2" t="inlineStr">
        <is>
          <t>100.0</t>
        </is>
      </c>
      <c r="E907" s="4">
        <f>HYPERLINK("./Results/DLO\1825\Osteo_Sarco_1.png","RPT")</f>
        <v/>
      </c>
      <c r="F907" s="2" t="n">
        <v>154</v>
      </c>
      <c r="G907" s="6" t="n">
        <v>10</v>
      </c>
      <c r="I907" s="0" t="n"/>
      <c r="J907" s="0" t="n"/>
      <c r="K907" s="0" t="n"/>
      <c r="L907" t="inlineStr">
        <is>
          <t>SOMATOM Definition...</t>
        </is>
      </c>
      <c r="M907" t="inlineStr">
        <is>
          <t>Pre 3mm</t>
        </is>
      </c>
    </row>
    <row r="908">
      <c r="A908" s="2" t="n">
        <v>4022907</v>
      </c>
      <c r="B908" s="2" t="inlineStr">
        <is>
          <t>54</t>
        </is>
      </c>
      <c r="C908" s="2" t="inlineStr">
        <is>
          <t>M</t>
        </is>
      </c>
      <c r="D908" s="2" t="inlineStr">
        <is>
          <t>120.0</t>
        </is>
      </c>
      <c r="E908" s="4">
        <f>HYPERLINK("./Results/DLO\1826\Osteo_Sarco_1.png","RPT")</f>
        <v/>
      </c>
      <c r="F908" s="2" t="n">
        <v>145</v>
      </c>
      <c r="G908" s="6" t="n">
        <v>7</v>
      </c>
      <c r="I908" s="0" t="n"/>
      <c r="J908" s="0" t="n"/>
      <c r="K908" s="0" t="n"/>
      <c r="L908" t="inlineStr">
        <is>
          <t>LightSpeed VCT</t>
        </is>
      </c>
      <c r="M908" t="inlineStr">
        <is>
          <t>HVP 55sec 3mm</t>
        </is>
      </c>
    </row>
    <row r="909">
      <c r="A909" s="2" t="n">
        <v>2634654</v>
      </c>
      <c r="B909" s="2" t="inlineStr">
        <is>
          <t>73</t>
        </is>
      </c>
      <c r="C909" s="2" t="inlineStr">
        <is>
          <t>F</t>
        </is>
      </c>
      <c r="D909" s="2" t="inlineStr">
        <is>
          <t>100.0</t>
        </is>
      </c>
      <c r="E909" s="4">
        <f>HYPERLINK("./Results/DLO\1827\Osteo_Sarco_1.png","RPT")</f>
        <v/>
      </c>
      <c r="F909" s="2" t="n">
        <v>93</v>
      </c>
      <c r="G909" s="6" t="n">
        <v>11</v>
      </c>
      <c r="I909" s="0" t="n"/>
      <c r="J909" s="0" t="n"/>
      <c r="K909" s="0" t="n"/>
      <c r="L909" t="inlineStr">
        <is>
          <t>LightSpeed VCT</t>
        </is>
      </c>
      <c r="M909" t="inlineStr">
        <is>
          <t>PRE 3mm</t>
        </is>
      </c>
    </row>
    <row r="910">
      <c r="A910" s="2" t="n">
        <v>2822344</v>
      </c>
      <c r="B910" s="2" t="inlineStr">
        <is>
          <t>67</t>
        </is>
      </c>
      <c r="C910" s="2" t="inlineStr">
        <is>
          <t>M</t>
        </is>
      </c>
      <c r="D910" s="2" t="inlineStr">
        <is>
          <t>100.0</t>
        </is>
      </c>
      <c r="E910" s="4">
        <f>HYPERLINK("./Results/DLO\1828\Osteo_Sarco_1.png","RPT")</f>
        <v/>
      </c>
      <c r="F910" s="2" t="n">
        <v>176</v>
      </c>
      <c r="G910" s="6" t="n">
        <v>17</v>
      </c>
      <c r="I910" s="0" t="n"/>
      <c r="J910" s="0" t="n"/>
      <c r="K910" s="0" t="n"/>
      <c r="L910" t="inlineStr">
        <is>
          <t>Sensation 64</t>
        </is>
      </c>
      <c r="M910" t="inlineStr">
        <is>
          <t>PRE 3mm</t>
        </is>
      </c>
    </row>
    <row r="911">
      <c r="A911" s="2" t="n">
        <v>2344488</v>
      </c>
      <c r="B911" s="2" t="inlineStr">
        <is>
          <t>44</t>
        </is>
      </c>
      <c r="C911" s="2" t="inlineStr">
        <is>
          <t>M</t>
        </is>
      </c>
      <c r="D911" s="2" t="inlineStr">
        <is>
          <t>100.0</t>
        </is>
      </c>
      <c r="E911" s="4">
        <f>HYPERLINK("./Results/DLO\1829\Osteo_Sarco_1.png","RPT")</f>
        <v/>
      </c>
      <c r="F911" s="2" t="n">
        <v>160</v>
      </c>
      <c r="G911" s="6" t="n">
        <v>14</v>
      </c>
      <c r="I911" s="0" t="n"/>
      <c r="J911" s="0" t="n"/>
      <c r="K911" s="0" t="n"/>
      <c r="L911" t="inlineStr">
        <is>
          <t>iCT 256</t>
        </is>
      </c>
      <c r="M911" t="inlineStr">
        <is>
          <t>HVP 3/3mm, iDose (3)</t>
        </is>
      </c>
    </row>
    <row r="912">
      <c r="A912" s="2" t="n">
        <v>4834290</v>
      </c>
      <c r="B912" s="2" t="inlineStr">
        <is>
          <t>77</t>
        </is>
      </c>
      <c r="C912" s="2" t="inlineStr">
        <is>
          <t>M</t>
        </is>
      </c>
      <c r="D912" s="2" t="inlineStr">
        <is>
          <t>120.0</t>
        </is>
      </c>
      <c r="E912" s="4">
        <f>HYPERLINK("./Results/DLO\183\Osteo_Sarco_1.png","RPT")</f>
        <v/>
      </c>
      <c r="F912" s="2" t="n">
        <v>127</v>
      </c>
      <c r="G912" s="6" t="n">
        <v>13</v>
      </c>
      <c r="H912" t="n">
        <v>19.89</v>
      </c>
      <c r="L912" t="inlineStr">
        <is>
          <t>Aquilion</t>
        </is>
      </c>
      <c r="M912" t="inlineStr">
        <is>
          <t>PRE Body 3.0</t>
        </is>
      </c>
    </row>
    <row r="913">
      <c r="A913" s="2" t="n">
        <v>2741218</v>
      </c>
      <c r="B913" s="2" t="inlineStr">
        <is>
          <t>52</t>
        </is>
      </c>
      <c r="C913" s="2" t="inlineStr">
        <is>
          <t>F</t>
        </is>
      </c>
      <c r="D913" s="2" t="inlineStr">
        <is>
          <t>120.0</t>
        </is>
      </c>
      <c r="E913" s="4">
        <f>HYPERLINK("./Results/DLO\1830\Osteo_Sarco_1.png","RPT")</f>
        <v/>
      </c>
      <c r="F913" s="2" t="n">
        <v>119</v>
      </c>
      <c r="G913" s="6" t="n">
        <v>9</v>
      </c>
      <c r="I913" s="0" t="n"/>
      <c r="J913" s="0" t="n"/>
      <c r="K913" s="0" t="n"/>
      <c r="L913" t="inlineStr">
        <is>
          <t>LightSpeed VCT</t>
        </is>
      </c>
      <c r="M913" t="inlineStr">
        <is>
          <t>HVP 55sec 3mm</t>
        </is>
      </c>
    </row>
    <row r="914">
      <c r="A914" s="2" t="n">
        <v>1961345</v>
      </c>
      <c r="B914" s="2" t="inlineStr">
        <is>
          <t>42</t>
        </is>
      </c>
      <c r="C914" s="2" t="inlineStr">
        <is>
          <t>M</t>
        </is>
      </c>
      <c r="D914" s="2" t="inlineStr">
        <is>
          <t>100.0</t>
        </is>
      </c>
      <c r="E914" s="4">
        <f>HYPERLINK("./Results/DLO\1831\Osteo_Sarco_1.png","RPT")</f>
        <v/>
      </c>
      <c r="F914" s="2" t="n">
        <v>153</v>
      </c>
      <c r="G914" s="6" t="n">
        <v>9</v>
      </c>
      <c r="H914" t="n">
        <v>23.12</v>
      </c>
      <c r="L914" t="inlineStr">
        <is>
          <t>SOMATOM Definition...</t>
        </is>
      </c>
      <c r="M914" t="inlineStr">
        <is>
          <t>Pre 3mm</t>
        </is>
      </c>
    </row>
    <row r="915">
      <c r="A915" s="2" t="n">
        <v>3247898</v>
      </c>
      <c r="B915" s="2" t="inlineStr">
        <is>
          <t>49</t>
        </is>
      </c>
      <c r="C915" s="2" t="inlineStr">
        <is>
          <t>F</t>
        </is>
      </c>
      <c r="D915" s="2" t="inlineStr">
        <is>
          <t>100.0</t>
        </is>
      </c>
      <c r="E915" s="4">
        <f>HYPERLINK("./Results/DLO\1832\Osteo_Sarco_1.png","RPT")</f>
        <v/>
      </c>
      <c r="F915" s="2" t="n">
        <v>103</v>
      </c>
      <c r="G915" s="6" t="n">
        <v>8</v>
      </c>
      <c r="H915" t="n">
        <v>25.65</v>
      </c>
      <c r="L915" t="inlineStr">
        <is>
          <t>SOMATOM Definition...</t>
        </is>
      </c>
      <c r="M915" t="inlineStr">
        <is>
          <t>HVP 2 3mm (60kg/120cc/3cc/omni)</t>
        </is>
      </c>
    </row>
    <row r="916">
      <c r="A916" s="2" t="n">
        <v>3164185</v>
      </c>
      <c r="B916" s="2" t="inlineStr">
        <is>
          <t>51</t>
        </is>
      </c>
      <c r="C916" s="2" t="inlineStr">
        <is>
          <t>M</t>
        </is>
      </c>
      <c r="D916" s="2" t="inlineStr">
        <is>
          <t>100.0</t>
        </is>
      </c>
      <c r="E916" s="4">
        <f>HYPERLINK("./Results/DLO\1833\Osteo_Sarco_1.png","RPT")</f>
        <v/>
      </c>
      <c r="F916" s="2" t="n">
        <v>193</v>
      </c>
      <c r="G916" s="6" t="n">
        <v>9</v>
      </c>
      <c r="I916" s="0" t="n"/>
      <c r="J916" s="0" t="n"/>
      <c r="K916" s="0" t="n"/>
      <c r="L916" t="inlineStr">
        <is>
          <t>SOMATOM Force</t>
        </is>
      </c>
      <c r="M916" t="inlineStr">
        <is>
          <t>Pre 3.0 Br40</t>
        </is>
      </c>
    </row>
    <row r="917">
      <c r="A917" s="2" t="n">
        <v>4235088</v>
      </c>
      <c r="B917" s="2" t="inlineStr">
        <is>
          <t>55</t>
        </is>
      </c>
      <c r="C917" s="2" t="inlineStr">
        <is>
          <t>M</t>
        </is>
      </c>
      <c r="D917" s="2" t="inlineStr">
        <is>
          <t>100.0</t>
        </is>
      </c>
      <c r="E917" s="4">
        <f>HYPERLINK("./Results/DLO\1834\Osteo_Sarco_1.png","RPT")</f>
        <v/>
      </c>
      <c r="F917" s="2" t="n">
        <v>118</v>
      </c>
      <c r="G917" s="6" t="n">
        <v>5</v>
      </c>
      <c r="I917" s="0" t="n"/>
      <c r="J917" s="0" t="n"/>
      <c r="K917" s="0" t="n"/>
      <c r="L917" t="inlineStr">
        <is>
          <t>SOMATOM Definition...</t>
        </is>
      </c>
      <c r="M917" t="inlineStr">
        <is>
          <t>Pre 3mm</t>
        </is>
      </c>
    </row>
    <row r="918">
      <c r="A918" s="2" t="n">
        <v>3701969</v>
      </c>
      <c r="B918" s="2" t="inlineStr">
        <is>
          <t>53</t>
        </is>
      </c>
      <c r="C918" s="2" t="inlineStr">
        <is>
          <t>M</t>
        </is>
      </c>
      <c r="D918" s="2" t="inlineStr">
        <is>
          <t>120.0</t>
        </is>
      </c>
      <c r="E918" s="4">
        <f>HYPERLINK("./Results/DLO\1835\Osteo_Sarco_1.png","RPT")</f>
        <v/>
      </c>
      <c r="F918" s="2" t="n">
        <v>138</v>
      </c>
      <c r="G918" s="6" t="n">
        <v>14</v>
      </c>
      <c r="I918" s="0" t="n"/>
      <c r="J918" s="0" t="n"/>
      <c r="K918" s="0" t="n"/>
      <c r="L918" t="inlineStr">
        <is>
          <t>SOMATOM Definition...</t>
        </is>
      </c>
      <c r="M918" t="inlineStr">
        <is>
          <t>PRE 3mm (120Kvp 60mAs)</t>
        </is>
      </c>
    </row>
    <row r="919">
      <c r="A919" s="2" t="n">
        <v>3220453</v>
      </c>
      <c r="B919" s="2" t="inlineStr">
        <is>
          <t>45</t>
        </is>
      </c>
      <c r="C919" s="2" t="inlineStr">
        <is>
          <t>F</t>
        </is>
      </c>
      <c r="D919" s="2" t="inlineStr">
        <is>
          <t>120.0</t>
        </is>
      </c>
      <c r="E919" s="4">
        <f>HYPERLINK("./Results/DLO\1836\Osteo_Sarco_1.png","RPT")</f>
        <v/>
      </c>
      <c r="F919" s="2" t="n">
        <v>92</v>
      </c>
      <c r="G919" s="6" t="n">
        <v>8</v>
      </c>
      <c r="I919" s="0" t="n"/>
      <c r="J919" s="0" t="n"/>
      <c r="K919" s="0" t="n"/>
      <c r="L919" t="inlineStr">
        <is>
          <t>Discovery CT750 HD</t>
        </is>
      </c>
      <c r="M919" t="inlineStr">
        <is>
          <t>HVP 3mm</t>
        </is>
      </c>
    </row>
    <row r="920">
      <c r="A920" s="2" t="n">
        <v>2753926</v>
      </c>
      <c r="B920" s="2" t="inlineStr">
        <is>
          <t>61</t>
        </is>
      </c>
      <c r="C920" s="2" t="inlineStr">
        <is>
          <t>F</t>
        </is>
      </c>
      <c r="D920" s="2" t="inlineStr">
        <is>
          <t>100.0</t>
        </is>
      </c>
      <c r="E920" s="4">
        <f>HYPERLINK("./Results/DLO\1837\Osteo_Sarco_1.png","RPT")</f>
        <v/>
      </c>
      <c r="F920" s="2" t="n">
        <v>106</v>
      </c>
      <c r="G920" s="6" t="n">
        <v>14</v>
      </c>
      <c r="I920" s="0" t="n"/>
      <c r="J920" s="0" t="n"/>
      <c r="K920" s="0" t="n"/>
      <c r="L920" t="inlineStr">
        <is>
          <t>SOMATOM Definition...</t>
        </is>
      </c>
      <c r="M920" t="inlineStr">
        <is>
          <t>Pre 3mm B30f</t>
        </is>
      </c>
    </row>
    <row r="921">
      <c r="A921" s="2" t="n">
        <v>2373250</v>
      </c>
      <c r="B921" s="2" t="inlineStr">
        <is>
          <t>38</t>
        </is>
      </c>
      <c r="C921" s="2" t="inlineStr">
        <is>
          <t>M</t>
        </is>
      </c>
      <c r="D921" s="2" t="inlineStr">
        <is>
          <t>120.0</t>
        </is>
      </c>
      <c r="E921" s="4">
        <f>HYPERLINK("./Results/DLO\1838\Osteo_Sarco_1.png","RPT")</f>
        <v/>
      </c>
      <c r="F921" s="2" t="n">
        <v>134</v>
      </c>
      <c r="G921" s="6" t="n">
        <v>4</v>
      </c>
      <c r="I921" s="0" t="n"/>
      <c r="J921" s="0" t="n"/>
      <c r="K921" s="0" t="n"/>
      <c r="L921" t="inlineStr">
        <is>
          <t>iCT 256</t>
        </is>
      </c>
      <c r="M921" t="inlineStr">
        <is>
          <t>HVP 3/3mm, iDose (3)</t>
        </is>
      </c>
    </row>
    <row r="922">
      <c r="A922" s="2" t="n">
        <v>2489320</v>
      </c>
      <c r="B922" s="2" t="inlineStr">
        <is>
          <t>80</t>
        </is>
      </c>
      <c r="C922" s="2" t="inlineStr">
        <is>
          <t>F</t>
        </is>
      </c>
      <c r="D922" s="2" t="inlineStr">
        <is>
          <t>120.0</t>
        </is>
      </c>
      <c r="E922" s="4">
        <f>HYPERLINK("./Results/DLO\1839\Osteo_Sarco_1.png","RPT")</f>
        <v/>
      </c>
      <c r="F922" s="2" t="n">
        <v>94</v>
      </c>
      <c r="G922" s="6" t="n">
        <v>16</v>
      </c>
      <c r="H922" t="n">
        <v>23.28</v>
      </c>
      <c r="L922" t="inlineStr">
        <is>
          <t>LightSpeed VCT</t>
        </is>
      </c>
      <c r="M922" t="inlineStr">
        <is>
          <t>HVP 55sec 3mm</t>
        </is>
      </c>
    </row>
    <row r="923">
      <c r="A923" s="2" t="n">
        <v>4265134</v>
      </c>
      <c r="B923" s="2" t="inlineStr">
        <is>
          <t>55</t>
        </is>
      </c>
      <c r="C923" s="2" t="inlineStr">
        <is>
          <t>M</t>
        </is>
      </c>
      <c r="D923" s="2" t="inlineStr">
        <is>
          <t>100.0</t>
        </is>
      </c>
      <c r="E923" s="4">
        <f>HYPERLINK("./Results/DLO\184\Osteo_Sarco_1.png","RPT")</f>
        <v/>
      </c>
      <c r="F923" s="2" t="n">
        <v>191</v>
      </c>
      <c r="G923" s="6" t="n">
        <v>11</v>
      </c>
      <c r="H923" t="n">
        <v>24.5</v>
      </c>
      <c r="L923" t="inlineStr">
        <is>
          <t>SOMATOM Definition...</t>
        </is>
      </c>
      <c r="M923" t="inlineStr">
        <is>
          <t>Pre 3mm</t>
        </is>
      </c>
    </row>
    <row r="924">
      <c r="A924" s="2" t="n">
        <v>1877621</v>
      </c>
      <c r="B924" s="2" t="inlineStr">
        <is>
          <t>34</t>
        </is>
      </c>
      <c r="C924" s="2" t="inlineStr">
        <is>
          <t>F</t>
        </is>
      </c>
      <c r="D924" s="2" t="inlineStr">
        <is>
          <t>100.0</t>
        </is>
      </c>
      <c r="E924" s="4">
        <f>HYPERLINK("./Results/DLO\1840\Osteo_Sarco_1.png","RPT")</f>
        <v/>
      </c>
      <c r="F924" s="2" t="n">
        <v>95</v>
      </c>
      <c r="G924" s="6" t="n">
        <v>15</v>
      </c>
      <c r="I924" s="0" t="n"/>
      <c r="J924" s="0" t="n"/>
      <c r="K924" s="0" t="n"/>
      <c r="L924" t="inlineStr">
        <is>
          <t>SOMATOM Definition...</t>
        </is>
      </c>
      <c r="M924" t="inlineStr">
        <is>
          <t>PRE 3mm</t>
        </is>
      </c>
    </row>
    <row r="925">
      <c r="A925" s="2" t="n">
        <v>3878302</v>
      </c>
      <c r="B925" s="2" t="inlineStr">
        <is>
          <t>60</t>
        </is>
      </c>
      <c r="C925" s="2" t="inlineStr">
        <is>
          <t>M</t>
        </is>
      </c>
      <c r="D925" s="2" t="inlineStr">
        <is>
          <t>120.0</t>
        </is>
      </c>
      <c r="E925" s="4">
        <f>HYPERLINK("./Results/DLO\1841\Osteo_Sarco_1.png","RPT")</f>
        <v/>
      </c>
      <c r="F925" s="2" t="n">
        <v>156</v>
      </c>
      <c r="G925" s="6" t="n">
        <v>8</v>
      </c>
      <c r="H925" t="n">
        <v>25.14</v>
      </c>
      <c r="L925" t="inlineStr">
        <is>
          <t>LightSpeed VCT</t>
        </is>
      </c>
      <c r="M925" t="inlineStr">
        <is>
          <t>HVP 3mm</t>
        </is>
      </c>
    </row>
    <row r="926">
      <c r="A926" s="2" t="n">
        <v>2833116</v>
      </c>
      <c r="B926" s="2" t="inlineStr">
        <is>
          <t>61</t>
        </is>
      </c>
      <c r="C926" s="2" t="inlineStr">
        <is>
          <t>F</t>
        </is>
      </c>
      <c r="D926" s="2" t="inlineStr">
        <is>
          <t>100.0</t>
        </is>
      </c>
      <c r="E926" s="4">
        <f>HYPERLINK("./Results/DLO\1842\Osteo_Sarco_1.png","RPT")</f>
        <v/>
      </c>
      <c r="F926" s="2" t="n">
        <v>96</v>
      </c>
      <c r="G926" s="6" t="n">
        <v>11</v>
      </c>
      <c r="I926" s="0" t="n"/>
      <c r="J926" s="0" t="n"/>
      <c r="K926" s="0" t="n"/>
      <c r="L926" t="inlineStr">
        <is>
          <t>Sensation 64</t>
        </is>
      </c>
      <c r="M926" t="inlineStr">
        <is>
          <t>Pre 3mm(100kvp100mAs)</t>
        </is>
      </c>
    </row>
    <row r="927">
      <c r="A927" s="2" t="n">
        <v>2530145</v>
      </c>
      <c r="B927" s="2" t="inlineStr">
        <is>
          <t>58</t>
        </is>
      </c>
      <c r="C927" s="2" t="inlineStr">
        <is>
          <t>M</t>
        </is>
      </c>
      <c r="D927" s="2" t="inlineStr">
        <is>
          <t>80.0</t>
        </is>
      </c>
      <c r="E927" s="4">
        <f>HYPERLINK("./Results/DLO\1843\Osteo_Sarco_1.png","RPT")</f>
        <v/>
      </c>
      <c r="F927" s="2" t="n">
        <v>136</v>
      </c>
      <c r="G927" s="6" t="n">
        <v>5</v>
      </c>
      <c r="I927" s="0" t="n"/>
      <c r="J927" s="0" t="n"/>
      <c r="K927" s="0" t="n"/>
      <c r="L927" t="inlineStr">
        <is>
          <t>SOMATOM Definition...</t>
        </is>
      </c>
      <c r="M927" t="inlineStr">
        <is>
          <t>LAP 3mm(55kg/110cc/3cc/radi)</t>
        </is>
      </c>
    </row>
    <row r="928">
      <c r="A928" s="2" t="n">
        <v>3643766</v>
      </c>
      <c r="B928" s="2" t="inlineStr">
        <is>
          <t>54</t>
        </is>
      </c>
      <c r="C928" s="2" t="inlineStr">
        <is>
          <t>F</t>
        </is>
      </c>
      <c r="D928" s="2" t="inlineStr">
        <is>
          <t>100.0</t>
        </is>
      </c>
      <c r="E928" s="4">
        <f>HYPERLINK("./Results/DLO\1844\Osteo_Sarco_1.png","RPT")</f>
        <v/>
      </c>
      <c r="F928" s="2" t="n">
        <v>107</v>
      </c>
      <c r="G928" s="6" t="n">
        <v>8</v>
      </c>
      <c r="I928" s="0" t="n"/>
      <c r="J928" s="0" t="n"/>
      <c r="K928" s="0" t="n"/>
      <c r="L928" t="inlineStr">
        <is>
          <t>SOMATOM Definition...</t>
        </is>
      </c>
      <c r="M928" t="inlineStr">
        <is>
          <t>HVP 2 3mm(52kg/104cc/3cc/bono)</t>
        </is>
      </c>
    </row>
    <row r="929">
      <c r="A929" s="2" t="n">
        <v>1730729</v>
      </c>
      <c r="B929" s="2" t="inlineStr">
        <is>
          <t>55</t>
        </is>
      </c>
      <c r="C929" s="2" t="inlineStr">
        <is>
          <t>M</t>
        </is>
      </c>
      <c r="D929" s="2" t="inlineStr">
        <is>
          <t>120.0</t>
        </is>
      </c>
      <c r="E929" s="4">
        <f>HYPERLINK("./Results/DLO\1845\Osteo_Sarco_1.png","RPT")</f>
        <v/>
      </c>
      <c r="F929" s="2" t="n">
        <v>148</v>
      </c>
      <c r="G929" s="6" t="n">
        <v>4</v>
      </c>
      <c r="I929" s="0" t="n"/>
      <c r="J929" s="0" t="n"/>
      <c r="K929" s="0" t="n"/>
      <c r="L929" t="inlineStr">
        <is>
          <t>LightSpeed VCT</t>
        </is>
      </c>
      <c r="M929" t="inlineStr">
        <is>
          <t>HVP 3mm</t>
        </is>
      </c>
    </row>
    <row r="930">
      <c r="A930" s="2" t="n">
        <v>2492058</v>
      </c>
      <c r="B930" s="2" t="inlineStr">
        <is>
          <t>51</t>
        </is>
      </c>
      <c r="C930" s="2" t="inlineStr">
        <is>
          <t>F</t>
        </is>
      </c>
      <c r="D930" s="2" t="inlineStr">
        <is>
          <t>100.0</t>
        </is>
      </c>
      <c r="E930" s="4">
        <f>HYPERLINK("./Results/DLO\1846\Osteo_Sarco_1.png","RPT")</f>
        <v/>
      </c>
      <c r="F930" s="2" t="n">
        <v>122</v>
      </c>
      <c r="G930" s="6" t="n">
        <v>9</v>
      </c>
      <c r="I930" s="0" t="n"/>
      <c r="J930" s="0" t="n"/>
      <c r="K930" s="0" t="n"/>
      <c r="L930" t="inlineStr">
        <is>
          <t>SOMATOM Definition...</t>
        </is>
      </c>
      <c r="M930" t="inlineStr">
        <is>
          <t>HVP 2 3mm(79Kg/150ml/3ml/xe...</t>
        </is>
      </c>
    </row>
    <row r="931">
      <c r="A931" s="2" t="n">
        <v>2665055</v>
      </c>
      <c r="B931" s="2" t="inlineStr">
        <is>
          <t>68</t>
        </is>
      </c>
      <c r="C931" s="2" t="inlineStr">
        <is>
          <t>F</t>
        </is>
      </c>
      <c r="D931" s="2" t="inlineStr">
        <is>
          <t>100.0</t>
        </is>
      </c>
      <c r="E931" s="4">
        <f>HYPERLINK("./Results/DLO\1847\Osteo_Sarco_1.png","RPT")</f>
        <v/>
      </c>
      <c r="F931" s="2" t="n">
        <v>111</v>
      </c>
      <c r="G931" s="6" t="n">
        <v>10</v>
      </c>
      <c r="H931" t="n">
        <v>25.24</v>
      </c>
      <c r="L931" t="inlineStr">
        <is>
          <t>Sensation 64</t>
        </is>
      </c>
      <c r="M931" t="inlineStr">
        <is>
          <t>HVP 3mm(62kg/124cc/3cc/xene</t>
        </is>
      </c>
    </row>
    <row r="932">
      <c r="A932" s="2" t="n">
        <v>2002267</v>
      </c>
      <c r="B932" s="2" t="inlineStr">
        <is>
          <t>72</t>
        </is>
      </c>
      <c r="C932" s="2" t="inlineStr">
        <is>
          <t>M</t>
        </is>
      </c>
      <c r="D932" s="2" t="inlineStr">
        <is>
          <t>100.0</t>
        </is>
      </c>
      <c r="E932" s="4">
        <f>HYPERLINK("./Results/DLO\1848\Osteo_Sarco_1.png","RPT")</f>
        <v/>
      </c>
      <c r="F932" s="2" t="n">
        <v>137</v>
      </c>
      <c r="G932" s="6" t="n">
        <v>6</v>
      </c>
      <c r="I932" s="0" t="n"/>
      <c r="J932" s="0" t="n"/>
      <c r="K932" s="0" t="n"/>
      <c r="L932" t="inlineStr">
        <is>
          <t>Revolution CT</t>
        </is>
      </c>
      <c r="M932" t="inlineStr">
        <is>
          <t>Pre Axial 3mm</t>
        </is>
      </c>
    </row>
    <row r="933">
      <c r="A933" s="2" t="n">
        <v>3272273</v>
      </c>
      <c r="B933" s="2" t="inlineStr">
        <is>
          <t>56</t>
        </is>
      </c>
      <c r="C933" s="2" t="inlineStr">
        <is>
          <t>F</t>
        </is>
      </c>
      <c r="D933" s="2" t="inlineStr">
        <is>
          <t>120.0</t>
        </is>
      </c>
      <c r="E933" s="4">
        <f>HYPERLINK("./Results/DLO\1849\Osteo_Sarco_1.png","RPT")</f>
        <v/>
      </c>
      <c r="F933" s="2" t="n">
        <v>98</v>
      </c>
      <c r="G933" s="6" t="n">
        <v>7</v>
      </c>
      <c r="H933" t="n">
        <v>25.13</v>
      </c>
      <c r="L933" t="inlineStr">
        <is>
          <t>Discovery CT750 HD</t>
        </is>
      </c>
      <c r="M933" t="inlineStr">
        <is>
          <t>HVP 3mm</t>
        </is>
      </c>
    </row>
    <row r="934">
      <c r="A934" s="2" t="n">
        <v>2577708</v>
      </c>
      <c r="B934" s="2" t="inlineStr">
        <is>
          <t>78</t>
        </is>
      </c>
      <c r="C934" s="2" t="inlineStr">
        <is>
          <t>M</t>
        </is>
      </c>
      <c r="D934" s="2" t="inlineStr">
        <is>
          <t>100.0</t>
        </is>
      </c>
      <c r="E934" s="4">
        <f>HYPERLINK("./Results/DLO\185\Osteo_Sarco_1.png","RPT")</f>
        <v/>
      </c>
      <c r="F934" s="2" t="n">
        <v>142</v>
      </c>
      <c r="G934" s="6" t="n">
        <v>15</v>
      </c>
      <c r="H934" t="n">
        <v>23.88</v>
      </c>
      <c r="L934" t="inlineStr">
        <is>
          <t>SOMATOM Definition...</t>
        </is>
      </c>
      <c r="M934" t="inlineStr">
        <is>
          <t>Pre 3mm</t>
        </is>
      </c>
    </row>
    <row r="935">
      <c r="A935" s="2" t="n">
        <v>3305475</v>
      </c>
      <c r="B935" s="2" t="inlineStr">
        <is>
          <t>42</t>
        </is>
      </c>
      <c r="C935" s="2" t="inlineStr">
        <is>
          <t>F</t>
        </is>
      </c>
      <c r="D935" s="2" t="inlineStr">
        <is>
          <t>100.0</t>
        </is>
      </c>
      <c r="E935" s="4">
        <f>HYPERLINK("./Results/DLO\1850\Osteo_Sarco_1.png","RPT")</f>
        <v/>
      </c>
      <c r="F935" s="2" t="n">
        <v>128</v>
      </c>
      <c r="G935" s="6" t="n">
        <v>9</v>
      </c>
      <c r="H935" t="n">
        <v>25.12</v>
      </c>
      <c r="L935" t="inlineStr">
        <is>
          <t>LightSpeed VCT</t>
        </is>
      </c>
      <c r="M935" t="inlineStr">
        <is>
          <t>PRE 3mm</t>
        </is>
      </c>
    </row>
    <row r="936">
      <c r="A936" s="2" t="n">
        <v>2670042</v>
      </c>
      <c r="B936" s="2" t="inlineStr">
        <is>
          <t>68</t>
        </is>
      </c>
      <c r="C936" s="2" t="inlineStr">
        <is>
          <t>F</t>
        </is>
      </c>
      <c r="D936" s="2" t="inlineStr">
        <is>
          <t>100.0</t>
        </is>
      </c>
      <c r="E936" s="4">
        <f>HYPERLINK("./Results/DLO\1851\Osteo_Sarco_1.png","RPT")</f>
        <v/>
      </c>
      <c r="F936" s="2" t="n">
        <v>104</v>
      </c>
      <c r="G936" s="6" t="n">
        <v>9</v>
      </c>
      <c r="H936" t="n">
        <v>22.27</v>
      </c>
      <c r="L936" t="inlineStr">
        <is>
          <t>SOMATOM Definition...</t>
        </is>
      </c>
      <c r="M936" t="inlineStr">
        <is>
          <t>PRE 3mm (100Kvp 100mAs)</t>
        </is>
      </c>
    </row>
    <row r="937">
      <c r="A937" s="2" t="n">
        <v>3159469</v>
      </c>
      <c r="B937" s="2" t="inlineStr">
        <is>
          <t>58</t>
        </is>
      </c>
      <c r="C937" s="2" t="inlineStr">
        <is>
          <t>M</t>
        </is>
      </c>
      <c r="D937" s="2" t="inlineStr">
        <is>
          <t>100.0</t>
        </is>
      </c>
      <c r="E937" s="4">
        <f>HYPERLINK("./Results/DLO\1852\Osteo_Sarco_1.png","RPT")</f>
        <v/>
      </c>
      <c r="F937" s="2" t="n">
        <v>161</v>
      </c>
      <c r="G937" s="6" t="n">
        <v>7</v>
      </c>
      <c r="I937" s="0" t="n"/>
      <c r="J937" s="0" t="n"/>
      <c r="K937" s="0" t="n"/>
      <c r="L937" t="inlineStr">
        <is>
          <t>Revolution CT</t>
        </is>
      </c>
      <c r="M937" t="inlineStr">
        <is>
          <t>HVP 3mm(69kg/138cc/3cc/omni)</t>
        </is>
      </c>
    </row>
    <row r="938">
      <c r="A938" s="2" t="n">
        <v>3245536</v>
      </c>
      <c r="B938" s="2" t="inlineStr">
        <is>
          <t>61</t>
        </is>
      </c>
      <c r="C938" s="2" t="inlineStr">
        <is>
          <t>M</t>
        </is>
      </c>
      <c r="D938" s="2" t="inlineStr">
        <is>
          <t>100.0</t>
        </is>
      </c>
      <c r="E938" s="4">
        <f>HYPERLINK("./Results/DLO\1853\Osteo_Sarco_1.png","RPT")</f>
        <v/>
      </c>
      <c r="F938" s="2" t="n">
        <v>152</v>
      </c>
      <c r="G938" s="6" t="n">
        <v>11</v>
      </c>
      <c r="I938" s="0" t="n"/>
      <c r="J938" s="0" t="n"/>
      <c r="K938" s="0" t="n"/>
      <c r="L938" t="inlineStr">
        <is>
          <t>Revolution CT</t>
        </is>
      </c>
      <c r="M938" t="inlineStr">
        <is>
          <t>Pre Axial 3mm</t>
        </is>
      </c>
    </row>
    <row r="939">
      <c r="A939" s="2" t="n">
        <v>3681019</v>
      </c>
      <c r="B939" s="2" t="inlineStr">
        <is>
          <t>47</t>
        </is>
      </c>
      <c r="C939" s="2" t="inlineStr">
        <is>
          <t>M</t>
        </is>
      </c>
      <c r="D939" s="2" t="inlineStr">
        <is>
          <t>120.0</t>
        </is>
      </c>
      <c r="E939" s="4">
        <f>HYPERLINK("./Results/DLO\1854\Osteo_Sarco_1.png","RPT")</f>
        <v/>
      </c>
      <c r="F939" s="2" t="n">
        <v>169</v>
      </c>
      <c r="G939" s="6" t="n">
        <v>13</v>
      </c>
      <c r="H939" t="n">
        <v>28.74</v>
      </c>
      <c r="L939" t="inlineStr">
        <is>
          <t>SOMATOM Definition...</t>
        </is>
      </c>
      <c r="M939" t="inlineStr">
        <is>
          <t>PRE 3mm (120Kvp 60mAs)</t>
        </is>
      </c>
    </row>
    <row r="940">
      <c r="A940" s="2" t="n">
        <v>3210872</v>
      </c>
      <c r="B940" s="2" t="inlineStr">
        <is>
          <t>61</t>
        </is>
      </c>
      <c r="C940" s="2" t="inlineStr">
        <is>
          <t>M</t>
        </is>
      </c>
      <c r="D940" s="2" t="inlineStr">
        <is>
          <t>120.0</t>
        </is>
      </c>
      <c r="E940" s="4">
        <f>HYPERLINK("./Results/DLO\1855\Osteo_Sarco_1.png","RPT")</f>
        <v/>
      </c>
      <c r="F940" s="2" t="n">
        <v>162</v>
      </c>
      <c r="G940" s="6" t="n">
        <v>5</v>
      </c>
      <c r="H940" t="n">
        <v>24.23</v>
      </c>
      <c r="L940" t="inlineStr">
        <is>
          <t>iCT 256</t>
        </is>
      </c>
      <c r="M940" t="inlineStr">
        <is>
          <t>HVP 3/3mm, iDose (3)</t>
        </is>
      </c>
    </row>
    <row r="941">
      <c r="A941" s="2" t="n">
        <v>4806047</v>
      </c>
      <c r="B941" s="2" t="inlineStr">
        <is>
          <t>42</t>
        </is>
      </c>
      <c r="C941" s="2" t="inlineStr">
        <is>
          <t>M</t>
        </is>
      </c>
      <c r="D941" s="2" t="inlineStr">
        <is>
          <t>120.0</t>
        </is>
      </c>
      <c r="E941" s="4">
        <f>HYPERLINK("./Results/DLO\1856\Osteo_Sarco_1.png","RPT")</f>
        <v/>
      </c>
      <c r="F941" s="2" t="n">
        <v>142</v>
      </c>
      <c r="G941" s="6" t="n">
        <v>8</v>
      </c>
      <c r="I941" s="0" t="n"/>
      <c r="J941" s="0" t="n"/>
      <c r="K941" s="0" t="n"/>
      <c r="L941" t="inlineStr">
        <is>
          <t>Revolution EVO</t>
        </is>
      </c>
      <c r="M941" t="inlineStr">
        <is>
          <t>HVP 3mm</t>
        </is>
      </c>
    </row>
    <row r="942">
      <c r="A942" s="2" t="n">
        <v>4663650</v>
      </c>
      <c r="B942" s="2" t="inlineStr">
        <is>
          <t>59</t>
        </is>
      </c>
      <c r="C942" s="2" t="inlineStr">
        <is>
          <t>F</t>
        </is>
      </c>
      <c r="D942" s="2" t="inlineStr">
        <is>
          <t>100.0</t>
        </is>
      </c>
      <c r="E942" s="4">
        <f>HYPERLINK("./Results/DLO\1857\Osteo_Sarco_1.png","RPT")</f>
        <v/>
      </c>
      <c r="F942" s="2" t="n">
        <v>108</v>
      </c>
      <c r="G942" s="6" t="n">
        <v>15</v>
      </c>
      <c r="I942" s="0" t="n"/>
      <c r="J942" s="0" t="n"/>
      <c r="K942" s="0" t="n"/>
      <c r="L942" t="inlineStr">
        <is>
          <t>Sensation 64</t>
        </is>
      </c>
      <c r="M942" t="inlineStr">
        <is>
          <t>PRE 3mm</t>
        </is>
      </c>
    </row>
    <row r="943">
      <c r="A943" s="2" t="n">
        <v>3658820</v>
      </c>
      <c r="B943" s="2" t="inlineStr">
        <is>
          <t>43</t>
        </is>
      </c>
      <c r="C943" s="2" t="inlineStr">
        <is>
          <t>M</t>
        </is>
      </c>
      <c r="D943" s="2" t="inlineStr">
        <is>
          <t>100.0</t>
        </is>
      </c>
      <c r="E943" s="4">
        <f>HYPERLINK("./Results/DLO\1858\Osteo_Sarco_1.png","RPT")</f>
        <v/>
      </c>
      <c r="F943" s="2" t="n">
        <v>156</v>
      </c>
      <c r="G943" s="6" t="n">
        <v>10</v>
      </c>
      <c r="I943" s="0" t="n"/>
      <c r="J943" s="0" t="n"/>
      <c r="K943" s="0" t="n"/>
      <c r="L943" t="inlineStr">
        <is>
          <t>iCT 256</t>
        </is>
      </c>
      <c r="M943" t="inlineStr">
        <is>
          <t>LAP 3/3mm, iDose (3)</t>
        </is>
      </c>
    </row>
    <row r="944">
      <c r="A944" s="2" t="n">
        <v>2764714</v>
      </c>
      <c r="B944" s="2" t="inlineStr">
        <is>
          <t>71</t>
        </is>
      </c>
      <c r="C944" s="2" t="inlineStr">
        <is>
          <t>M</t>
        </is>
      </c>
      <c r="D944" s="2" t="inlineStr">
        <is>
          <t>100.0</t>
        </is>
      </c>
      <c r="E944" s="4">
        <f>HYPERLINK("./Results/DLO\1859\Osteo_Sarco_1.png","RPT")</f>
        <v/>
      </c>
      <c r="F944" s="2" t="n">
        <v>127</v>
      </c>
      <c r="G944" s="6" t="n">
        <v>14</v>
      </c>
      <c r="I944" s="0" t="n"/>
      <c r="J944" s="0" t="n"/>
      <c r="K944" s="0" t="n"/>
      <c r="L944" t="inlineStr">
        <is>
          <t>Sensation 64</t>
        </is>
      </c>
      <c r="M944" t="inlineStr">
        <is>
          <t>PRE 3mm</t>
        </is>
      </c>
    </row>
    <row r="945">
      <c r="A945" s="2" t="n">
        <v>4290807</v>
      </c>
      <c r="B945" s="2" t="inlineStr">
        <is>
          <t>51</t>
        </is>
      </c>
      <c r="C945" s="2" t="inlineStr">
        <is>
          <t>F</t>
        </is>
      </c>
      <c r="D945" s="2" t="inlineStr">
        <is>
          <t>100.0</t>
        </is>
      </c>
      <c r="E945" s="4">
        <f>HYPERLINK("./Results/DLO\186\Osteo_Sarco_1.png","RPT")</f>
        <v/>
      </c>
      <c r="F945" s="2" t="n">
        <v>97</v>
      </c>
      <c r="G945" s="6" t="n">
        <v>6</v>
      </c>
      <c r="I945" s="0" t="n"/>
      <c r="J945" s="0" t="n"/>
      <c r="K945" s="0" t="n"/>
      <c r="L945" t="inlineStr">
        <is>
          <t>SOMATOM Definition...</t>
        </is>
      </c>
      <c r="M945" t="inlineStr">
        <is>
          <t>Pre 3mm</t>
        </is>
      </c>
    </row>
    <row r="946">
      <c r="A946" s="2" t="n">
        <v>4431939</v>
      </c>
      <c r="B946" s="2" t="inlineStr">
        <is>
          <t>69</t>
        </is>
      </c>
      <c r="C946" s="2" t="inlineStr">
        <is>
          <t>M</t>
        </is>
      </c>
      <c r="D946" s="2" t="inlineStr">
        <is>
          <t>120.0</t>
        </is>
      </c>
      <c r="E946" s="4">
        <f>HYPERLINK("./Results/DLO\1861\Osteo_Sarco_1.png","RPT")</f>
        <v/>
      </c>
      <c r="F946" s="2" t="n">
        <v>159</v>
      </c>
      <c r="G946" s="6" t="n">
        <v>6</v>
      </c>
      <c r="H946" t="n">
        <v>24.33</v>
      </c>
      <c r="L946" t="inlineStr">
        <is>
          <t>iCT 256</t>
        </is>
      </c>
      <c r="M946" t="inlineStr">
        <is>
          <t>HVP 3/3mm, iDose (3)</t>
        </is>
      </c>
    </row>
    <row r="947">
      <c r="A947" s="2" t="n">
        <v>2448090</v>
      </c>
      <c r="B947" s="2" t="inlineStr">
        <is>
          <t>54</t>
        </is>
      </c>
      <c r="C947" s="2" t="inlineStr">
        <is>
          <t>F</t>
        </is>
      </c>
      <c r="D947" s="2" t="inlineStr">
        <is>
          <t>100.0</t>
        </is>
      </c>
      <c r="E947" s="4">
        <f>HYPERLINK("./Results/DLO\1863\Osteo_Sarco_1.png","RPT")</f>
        <v/>
      </c>
      <c r="F947" s="2" t="n">
        <v>93</v>
      </c>
      <c r="G947" s="6" t="n">
        <v>6</v>
      </c>
      <c r="I947" s="0" t="n"/>
      <c r="J947" s="0" t="n"/>
      <c r="K947" s="0" t="n"/>
      <c r="L947" t="inlineStr">
        <is>
          <t>SOMATOM Definition...</t>
        </is>
      </c>
      <c r="M947" t="inlineStr">
        <is>
          <t>HVP 2 3mm(50kg/100cc/3cc/bono)</t>
        </is>
      </c>
    </row>
    <row r="948">
      <c r="A948" s="2" t="n">
        <v>1978654</v>
      </c>
      <c r="B948" s="2" t="inlineStr">
        <is>
          <t>44</t>
        </is>
      </c>
      <c r="C948" s="2" t="inlineStr">
        <is>
          <t>M</t>
        </is>
      </c>
      <c r="D948" s="2" t="inlineStr">
        <is>
          <t>100.0</t>
        </is>
      </c>
      <c r="E948" s="4">
        <f>HYPERLINK("./Results/DLO\1864\Osteo_Sarco_1.png","RPT")</f>
        <v/>
      </c>
      <c r="F948" s="2" t="n">
        <v>216</v>
      </c>
      <c r="G948" s="6" t="n">
        <v>12</v>
      </c>
      <c r="I948" s="0" t="n"/>
      <c r="J948" s="0" t="n"/>
      <c r="K948" s="0" t="n"/>
      <c r="L948" t="inlineStr">
        <is>
          <t>SOMATOM Definition...</t>
        </is>
      </c>
      <c r="M948" t="inlineStr">
        <is>
          <t>GU Pre 3mm</t>
        </is>
      </c>
    </row>
    <row r="949">
      <c r="A949" s="2" t="n">
        <v>4952426</v>
      </c>
      <c r="B949" s="2" t="inlineStr">
        <is>
          <t>63</t>
        </is>
      </c>
      <c r="C949" s="2" t="inlineStr">
        <is>
          <t>M</t>
        </is>
      </c>
      <c r="D949" s="2" t="inlineStr">
        <is>
          <t>100.0</t>
        </is>
      </c>
      <c r="E949" s="4">
        <f>HYPERLINK("./Results/DLO\1865\Osteo_Sarco_1.png","RPT")</f>
        <v/>
      </c>
      <c r="F949" s="2" t="n">
        <v>135</v>
      </c>
      <c r="G949" s="6" t="n">
        <v>8</v>
      </c>
      <c r="I949" s="0" t="n"/>
      <c r="J949" s="0" t="n"/>
      <c r="K949" s="0" t="n"/>
      <c r="L949" t="inlineStr">
        <is>
          <t>Revolution EVO</t>
        </is>
      </c>
      <c r="M949" t="inlineStr">
        <is>
          <t>PRE</t>
        </is>
      </c>
    </row>
    <row r="950">
      <c r="A950" s="2" t="n">
        <v>3721838</v>
      </c>
      <c r="B950" s="2" t="inlineStr">
        <is>
          <t>47</t>
        </is>
      </c>
      <c r="C950" s="2" t="inlineStr">
        <is>
          <t>F</t>
        </is>
      </c>
      <c r="D950" s="2" t="inlineStr">
        <is>
          <t>100.0</t>
        </is>
      </c>
      <c r="E950" s="4">
        <f>HYPERLINK("./Results/DLO\1866\Osteo_Sarco_1.png","RPT")</f>
        <v/>
      </c>
      <c r="F950" s="2" t="n">
        <v>105</v>
      </c>
      <c r="G950" s="6" t="n">
        <v>3</v>
      </c>
      <c r="I950" s="0" t="n"/>
      <c r="J950" s="0" t="n"/>
      <c r="K950" s="0" t="n"/>
      <c r="L950" t="inlineStr">
        <is>
          <t>SOMATOM Definition...</t>
        </is>
      </c>
      <c r="M950" t="inlineStr">
        <is>
          <t>HVP 2 3mm (45kg/90cc/2.5cc/...</t>
        </is>
      </c>
    </row>
    <row r="951">
      <c r="A951" s="2" t="n">
        <v>4925491</v>
      </c>
      <c r="B951" s="2" t="inlineStr">
        <is>
          <t>72</t>
        </is>
      </c>
      <c r="C951" s="2" t="inlineStr">
        <is>
          <t>M</t>
        </is>
      </c>
      <c r="D951" s="2" t="inlineStr">
        <is>
          <t>100.0</t>
        </is>
      </c>
      <c r="E951" s="4">
        <f>HYPERLINK("./Results/DLO\1867\Osteo_Sarco_1.png","RPT")</f>
        <v/>
      </c>
      <c r="F951" s="2" t="n">
        <v>135</v>
      </c>
      <c r="G951" s="6" t="n">
        <v>9</v>
      </c>
      <c r="I951" s="0" t="n"/>
      <c r="J951" s="0" t="n"/>
      <c r="K951" s="0" t="n"/>
      <c r="L951" t="inlineStr">
        <is>
          <t>SOMATOM Definition...</t>
        </is>
      </c>
      <c r="M951" t="inlineStr">
        <is>
          <t>HVP 2 3mm (62kg/124cc/3cc/omni)</t>
        </is>
      </c>
    </row>
    <row r="952">
      <c r="A952" s="2" t="n">
        <v>4307911</v>
      </c>
      <c r="B952" s="2" t="inlineStr">
        <is>
          <t>47</t>
        </is>
      </c>
      <c r="C952" s="2" t="inlineStr">
        <is>
          <t>F</t>
        </is>
      </c>
      <c r="D952" s="2" t="inlineStr">
        <is>
          <t>100.0</t>
        </is>
      </c>
      <c r="E952" s="4">
        <f>HYPERLINK("./Results/DLO\1868\Osteo_Sarco_1.png","RPT")</f>
        <v/>
      </c>
      <c r="F952" s="2" t="n">
        <v>137</v>
      </c>
      <c r="G952" s="6" t="n">
        <v>11</v>
      </c>
      <c r="I952" s="0" t="n"/>
      <c r="J952" s="0" t="n"/>
      <c r="K952" s="0" t="n"/>
      <c r="L952" t="inlineStr">
        <is>
          <t>SOMATOM Definition...</t>
        </is>
      </c>
      <c r="M952" t="inlineStr">
        <is>
          <t>HVP 2 3mm(64Kg/128ml/2.5ml/...</t>
        </is>
      </c>
    </row>
    <row r="953">
      <c r="A953" s="2" t="n">
        <v>2860827</v>
      </c>
      <c r="B953" s="2" t="inlineStr">
        <is>
          <t>26</t>
        </is>
      </c>
      <c r="C953" s="2" t="inlineStr">
        <is>
          <t>F</t>
        </is>
      </c>
      <c r="D953" s="2" t="inlineStr">
        <is>
          <t>100.0</t>
        </is>
      </c>
      <c r="E953" s="4">
        <f>HYPERLINK("./Results/DLO\1869\Osteo_Sarco_1.png","RPT")</f>
        <v/>
      </c>
      <c r="F953" s="2" t="n">
        <v>94</v>
      </c>
      <c r="G953" s="6" t="n">
        <v>5</v>
      </c>
      <c r="I953" s="0" t="n"/>
      <c r="J953" s="0" t="n"/>
      <c r="K953" s="0" t="n"/>
      <c r="L953" t="inlineStr">
        <is>
          <t>SOMATOM Definition...</t>
        </is>
      </c>
      <c r="M953" t="inlineStr">
        <is>
          <t>Pre(cp~pubic ) 3.0 B30f</t>
        </is>
      </c>
    </row>
    <row r="954">
      <c r="A954" s="2" t="n">
        <v>3151384</v>
      </c>
      <c r="B954" s="2" t="inlineStr">
        <is>
          <t>63</t>
        </is>
      </c>
      <c r="C954" s="2" t="inlineStr">
        <is>
          <t>F</t>
        </is>
      </c>
      <c r="D954" s="2" t="inlineStr">
        <is>
          <t>100.0</t>
        </is>
      </c>
      <c r="E954" s="4">
        <f>HYPERLINK("./Results/DLO\187\Osteo_Sarco_1.png","RPT")</f>
        <v/>
      </c>
      <c r="F954" s="2" t="n">
        <v>115</v>
      </c>
      <c r="G954" s="6" t="n">
        <v>12</v>
      </c>
      <c r="I954" s="0" t="n"/>
      <c r="J954" s="0" t="n"/>
      <c r="K954" s="0" t="n"/>
      <c r="L954" t="inlineStr">
        <is>
          <t>SOMATOM Definition...</t>
        </is>
      </c>
      <c r="M954" t="inlineStr">
        <is>
          <t>Pre 3mm</t>
        </is>
      </c>
    </row>
    <row r="955">
      <c r="A955" s="2" t="n">
        <v>1837377</v>
      </c>
      <c r="B955" s="2" t="inlineStr">
        <is>
          <t>58</t>
        </is>
      </c>
      <c r="C955" s="2" t="inlineStr">
        <is>
          <t>M</t>
        </is>
      </c>
      <c r="D955" s="2" t="inlineStr">
        <is>
          <t>120.0</t>
        </is>
      </c>
      <c r="E955" s="4">
        <f>HYPERLINK("./Results/DLO\1870\Osteo_Sarco_1.png","RPT")</f>
        <v/>
      </c>
      <c r="F955" s="2" t="n">
        <v>171</v>
      </c>
      <c r="G955" s="6" t="n">
        <v>7</v>
      </c>
      <c r="I955" s="0" t="n"/>
      <c r="J955" s="0" t="n"/>
      <c r="K955" s="0" t="n"/>
      <c r="L955" t="inlineStr">
        <is>
          <t>LightSpeed VCT</t>
        </is>
      </c>
      <c r="M955" t="inlineStr">
        <is>
          <t>HVP 55sec 3mm</t>
        </is>
      </c>
    </row>
    <row r="956">
      <c r="A956" s="2" t="n">
        <v>1684436</v>
      </c>
      <c r="B956" s="2" t="inlineStr">
        <is>
          <t>73</t>
        </is>
      </c>
      <c r="C956" s="2" t="inlineStr">
        <is>
          <t>F</t>
        </is>
      </c>
      <c r="D956" s="2" t="inlineStr">
        <is>
          <t>120.0</t>
        </is>
      </c>
      <c r="E956" s="4">
        <f>HYPERLINK("./Results/DLO\1871\Osteo_Sarco_1.png","RPT")</f>
        <v/>
      </c>
      <c r="F956" s="2" t="n">
        <v>133</v>
      </c>
      <c r="G956" s="6" t="n">
        <v>23</v>
      </c>
      <c r="I956" s="0" t="n"/>
      <c r="J956" s="0" t="n"/>
      <c r="K956" s="0" t="n"/>
      <c r="L956" t="inlineStr">
        <is>
          <t>LightSpeed VCT</t>
        </is>
      </c>
      <c r="M956" t="inlineStr">
        <is>
          <t>HVP 55sec 3mm</t>
        </is>
      </c>
    </row>
    <row r="957">
      <c r="A957" s="2" t="n">
        <v>2266478</v>
      </c>
      <c r="B957" s="2" t="inlineStr">
        <is>
          <t>49</t>
        </is>
      </c>
      <c r="C957" s="2" t="inlineStr">
        <is>
          <t>F</t>
        </is>
      </c>
      <c r="D957" s="2" t="inlineStr">
        <is>
          <t>100.0</t>
        </is>
      </c>
      <c r="E957" s="4">
        <f>HYPERLINK("./Results/DLO\1872\Osteo_Sarco_1.png","RPT")</f>
        <v/>
      </c>
      <c r="F957" s="2" t="n">
        <v>79</v>
      </c>
      <c r="G957" s="6" t="n">
        <v>6</v>
      </c>
      <c r="I957" s="0" t="n"/>
      <c r="J957" s="0" t="n"/>
      <c r="K957" s="0" t="n"/>
      <c r="L957" t="inlineStr">
        <is>
          <t>iCT 256</t>
        </is>
      </c>
      <c r="M957" t="inlineStr">
        <is>
          <t>Pre3/3mm_I-3, iDose (3)</t>
        </is>
      </c>
    </row>
    <row r="958">
      <c r="A958" s="2" t="n">
        <v>2325977</v>
      </c>
      <c r="B958" s="2" t="inlineStr">
        <is>
          <t>41</t>
        </is>
      </c>
      <c r="C958" s="2" t="inlineStr">
        <is>
          <t>F</t>
        </is>
      </c>
      <c r="D958" s="2" t="inlineStr">
        <is>
          <t>80.0</t>
        </is>
      </c>
      <c r="E958" s="4">
        <f>HYPERLINK("./Results/DLO\1873\Osteo_Sarco_1.png","RPT")</f>
        <v/>
      </c>
      <c r="F958" s="2" t="n">
        <v>94</v>
      </c>
      <c r="G958" s="6" t="n">
        <v>5</v>
      </c>
      <c r="I958" s="0" t="n"/>
      <c r="J958" s="0" t="n"/>
      <c r="K958" s="0" t="n"/>
      <c r="L958" t="inlineStr">
        <is>
          <t>SOMATOM Definition...</t>
        </is>
      </c>
      <c r="M958" t="inlineStr">
        <is>
          <t>LAP 3mm(42kg/84cc/2.5cc/radi)</t>
        </is>
      </c>
    </row>
    <row r="959">
      <c r="A959" s="2" t="n">
        <v>4721909</v>
      </c>
      <c r="B959" s="2" t="inlineStr">
        <is>
          <t>44</t>
        </is>
      </c>
      <c r="C959" s="2" t="inlineStr">
        <is>
          <t>M</t>
        </is>
      </c>
      <c r="D959" s="2" t="inlineStr">
        <is>
          <t>120.0</t>
        </is>
      </c>
      <c r="E959" s="4">
        <f>HYPERLINK("./Results/DLO\1874\Osteo_Sarco_1.png","RPT")</f>
        <v/>
      </c>
      <c r="F959" s="2" t="n">
        <v>162</v>
      </c>
      <c r="G959" s="6" t="n">
        <v>14</v>
      </c>
      <c r="I959" s="0" t="n"/>
      <c r="J959" s="0" t="n"/>
      <c r="K959" s="0" t="n"/>
      <c r="L959" t="inlineStr">
        <is>
          <t>LightSpeed VCT</t>
        </is>
      </c>
      <c r="M959" t="inlineStr">
        <is>
          <t>LAP 18sec 3mm</t>
        </is>
      </c>
    </row>
    <row r="960">
      <c r="A960" s="2" t="n">
        <v>3437174</v>
      </c>
      <c r="B960" s="2" t="inlineStr">
        <is>
          <t>66</t>
        </is>
      </c>
      <c r="C960" s="2" t="inlineStr">
        <is>
          <t>M</t>
        </is>
      </c>
      <c r="D960" s="2" t="inlineStr">
        <is>
          <t>100.0</t>
        </is>
      </c>
      <c r="E960" s="4">
        <f>HYPERLINK("./Results/DLO\1875\Osteo_Sarco_1.png","RPT")</f>
        <v/>
      </c>
      <c r="F960" s="2" t="n">
        <v>119</v>
      </c>
      <c r="G960" s="6" t="n">
        <v>4</v>
      </c>
      <c r="I960" s="0" t="n"/>
      <c r="J960" s="0" t="n"/>
      <c r="K960" s="0" t="n"/>
      <c r="L960" t="inlineStr">
        <is>
          <t>SOMATOM Definition...</t>
        </is>
      </c>
      <c r="M960" t="inlineStr">
        <is>
          <t>Pre 3mm</t>
        </is>
      </c>
    </row>
    <row r="961">
      <c r="A961" s="2" t="n">
        <v>9696543</v>
      </c>
      <c r="B961" s="2" t="inlineStr">
        <is>
          <t>57</t>
        </is>
      </c>
      <c r="C961" s="2" t="inlineStr">
        <is>
          <t>F</t>
        </is>
      </c>
      <c r="D961" s="2" t="inlineStr">
        <is>
          <t>100.0</t>
        </is>
      </c>
      <c r="E961" s="4">
        <f>HYPERLINK("./Results/DLO\2689\Osteo_Sarco_1.png","RPT")</f>
        <v/>
      </c>
      <c r="F961" s="2" t="n">
        <v>92</v>
      </c>
      <c r="G961" s="6" t="n">
        <v>8</v>
      </c>
      <c r="I961" s="0" t="n"/>
      <c r="J961" s="0" t="n"/>
      <c r="K961" s="0" t="n"/>
      <c r="L961" t="inlineStr">
        <is>
          <t>SOMATOM Force</t>
        </is>
      </c>
      <c r="M961" t="inlineStr">
        <is>
          <t>LAP 3.0 (50kg/100cc/2.5cc/h...</t>
        </is>
      </c>
    </row>
    <row r="962">
      <c r="A962" s="2" t="n">
        <v>4671437</v>
      </c>
      <c r="B962" s="2" t="inlineStr">
        <is>
          <t>83</t>
        </is>
      </c>
      <c r="C962" s="2" t="inlineStr">
        <is>
          <t>F</t>
        </is>
      </c>
      <c r="D962" s="2" t="inlineStr">
        <is>
          <t>120.0</t>
        </is>
      </c>
      <c r="E962" s="4">
        <f>HYPERLINK("./Results/DLO\269\Osteo_Sarco_1.png","RPT")</f>
        <v/>
      </c>
      <c r="F962" s="2" t="n">
        <v>101</v>
      </c>
      <c r="G962" s="6" t="n">
        <v>13</v>
      </c>
      <c r="H962" t="n">
        <v>17.9</v>
      </c>
      <c r="L962" t="inlineStr">
        <is>
          <t>LightSpeed VCT</t>
        </is>
      </c>
      <c r="M962" t="inlineStr">
        <is>
          <t>HVP 55sec 3mm</t>
        </is>
      </c>
    </row>
    <row r="963">
      <c r="A963" s="2" t="n">
        <v>9268529</v>
      </c>
      <c r="B963" s="2" t="inlineStr">
        <is>
          <t>60</t>
        </is>
      </c>
      <c r="C963" s="2" t="inlineStr">
        <is>
          <t>F</t>
        </is>
      </c>
      <c r="D963" s="2" t="inlineStr">
        <is>
          <t>120.0</t>
        </is>
      </c>
      <c r="E963" s="4">
        <f>HYPERLINK("./Results/DLO\2690\Osteo_Sarco_1.png","RPT")</f>
        <v/>
      </c>
      <c r="F963" s="2" t="n">
        <v>125</v>
      </c>
      <c r="G963" s="6" t="n">
        <v>10</v>
      </c>
      <c r="I963" s="0" t="n"/>
      <c r="J963" s="0" t="n"/>
      <c r="K963" s="0" t="n"/>
      <c r="L963" t="inlineStr">
        <is>
          <t>iCT 256</t>
        </is>
      </c>
      <c r="M963" t="inlineStr">
        <is>
          <t>HVP 3/3mm, iDose (3)</t>
        </is>
      </c>
    </row>
    <row r="964">
      <c r="A964" s="2" t="n">
        <v>9340738</v>
      </c>
      <c r="B964" s="2" t="inlineStr">
        <is>
          <t>62</t>
        </is>
      </c>
      <c r="C964" s="2" t="inlineStr">
        <is>
          <t>F</t>
        </is>
      </c>
      <c r="D964" s="2" t="inlineStr">
        <is>
          <t>100.0</t>
        </is>
      </c>
      <c r="E964" s="4">
        <f>HYPERLINK("./Results/DLO\2691\Osteo_Sarco_1.png","RPT")</f>
        <v/>
      </c>
      <c r="F964" s="2" t="n">
        <v>133</v>
      </c>
      <c r="G964" s="6" t="n">
        <v>26</v>
      </c>
      <c r="I964" s="0" t="n"/>
      <c r="J964" s="0" t="n"/>
      <c r="K964" s="0" t="n"/>
      <c r="L964" t="inlineStr">
        <is>
          <t>SOMATOM Definition...</t>
        </is>
      </c>
      <c r="M964" t="inlineStr">
        <is>
          <t>Pre(Abd) 3mm</t>
        </is>
      </c>
    </row>
    <row r="965">
      <c r="A965" s="2" t="n">
        <v>2647140</v>
      </c>
      <c r="B965" s="2" t="inlineStr">
        <is>
          <t>44</t>
        </is>
      </c>
      <c r="C965" s="2" t="inlineStr">
        <is>
          <t>F</t>
        </is>
      </c>
      <c r="D965" s="2" t="inlineStr">
        <is>
          <t>100.0</t>
        </is>
      </c>
      <c r="E965" s="4">
        <f>HYPERLINK("./Results/DLO\2692\Osteo_Sarco_1.png","RPT")</f>
        <v/>
      </c>
      <c r="F965" s="2" t="n">
        <v>108</v>
      </c>
      <c r="G965" s="6" t="n">
        <v>10</v>
      </c>
      <c r="I965" s="0" t="n"/>
      <c r="J965" s="0" t="n"/>
      <c r="K965" s="0" t="n"/>
      <c r="L965" t="inlineStr">
        <is>
          <t>SOMATOM Definition...</t>
        </is>
      </c>
      <c r="M965" t="inlineStr">
        <is>
          <t>HVP 2 3mm(52kg/104cc/3cc/bono)</t>
        </is>
      </c>
    </row>
    <row r="966">
      <c r="A966" s="2" t="n">
        <v>9593184</v>
      </c>
      <c r="B966" s="2" t="inlineStr">
        <is>
          <t>62</t>
        </is>
      </c>
      <c r="C966" s="2" t="inlineStr">
        <is>
          <t>M</t>
        </is>
      </c>
      <c r="D966" s="2" t="inlineStr">
        <is>
          <t>110.0</t>
        </is>
      </c>
      <c r="E966" s="4">
        <f>HYPERLINK("./Results/DLO\2693\Osteo_Sarco_1.png","RPT")</f>
        <v/>
      </c>
      <c r="F966" s="2" t="n">
        <v>158</v>
      </c>
      <c r="G966" s="6" t="n">
        <v>9</v>
      </c>
      <c r="I966" s="0" t="n"/>
      <c r="J966" s="0" t="n"/>
      <c r="K966" s="0" t="n"/>
      <c r="L966" t="inlineStr">
        <is>
          <t>SOMATOM Force</t>
        </is>
      </c>
      <c r="M966" t="inlineStr">
        <is>
          <t>Pre 3.0 Br40 2</t>
        </is>
      </c>
    </row>
    <row r="967">
      <c r="A967" s="2" t="n">
        <v>9661246</v>
      </c>
      <c r="B967" s="2" t="inlineStr">
        <is>
          <t>59</t>
        </is>
      </c>
      <c r="C967" s="2" t="inlineStr">
        <is>
          <t>M</t>
        </is>
      </c>
      <c r="D967" s="2" t="inlineStr">
        <is>
          <t>90.0</t>
        </is>
      </c>
      <c r="E967" s="4">
        <f>HYPERLINK("./Results/DLO\2694\Osteo_Sarco_1.png","RPT")</f>
        <v/>
      </c>
      <c r="F967" s="2" t="n">
        <v>132</v>
      </c>
      <c r="G967" s="6" t="n">
        <v>9</v>
      </c>
      <c r="H967" t="n">
        <v>21.08</v>
      </c>
      <c r="L967" t="inlineStr">
        <is>
          <t>SOMATOM Force</t>
        </is>
      </c>
      <c r="M967" t="inlineStr">
        <is>
          <t>GU Pre 3.0 Br40 1</t>
        </is>
      </c>
    </row>
    <row r="968">
      <c r="A968" s="2" t="n">
        <v>9661455</v>
      </c>
      <c r="B968" s="2" t="inlineStr">
        <is>
          <t>65</t>
        </is>
      </c>
      <c r="C968" s="2" t="inlineStr">
        <is>
          <t>M</t>
        </is>
      </c>
      <c r="D968" s="2" t="inlineStr">
        <is>
          <t>120.0</t>
        </is>
      </c>
      <c r="E968" s="4">
        <f>HYPERLINK("./Results/DLO\2695\Osteo_Sarco_1.png","RPT")</f>
        <v/>
      </c>
      <c r="F968" s="2" t="n">
        <v>152</v>
      </c>
      <c r="G968" s="6" t="n">
        <v>6</v>
      </c>
      <c r="H968" t="n">
        <v>24.93</v>
      </c>
      <c r="L968" t="inlineStr">
        <is>
          <t>Aquilion ONE</t>
        </is>
      </c>
      <c r="M968" t="inlineStr">
        <is>
          <t>Pre Abdomen 5.0</t>
        </is>
      </c>
    </row>
    <row r="969">
      <c r="A969" s="2" t="n">
        <v>9662093</v>
      </c>
      <c r="B969" s="2" t="inlineStr">
        <is>
          <t>62</t>
        </is>
      </c>
      <c r="C969" s="2" t="inlineStr">
        <is>
          <t>M</t>
        </is>
      </c>
      <c r="D969" s="2" t="inlineStr">
        <is>
          <t>120.0</t>
        </is>
      </c>
      <c r="E969" s="4">
        <f>HYPERLINK("./Results/DLO\2696\Osteo_Sarco_1.png","RPT")</f>
        <v/>
      </c>
      <c r="F969" s="2" t="n">
        <v>136</v>
      </c>
      <c r="G969" s="6" t="n">
        <v>8</v>
      </c>
      <c r="I969" s="0" t="n"/>
      <c r="J969" s="0" t="n"/>
      <c r="K969" s="0" t="n"/>
      <c r="L969" t="inlineStr">
        <is>
          <t>LightSpeed VCT</t>
        </is>
      </c>
      <c r="M969" t="inlineStr">
        <is>
          <t>LAP 18sec 3mm</t>
        </is>
      </c>
    </row>
    <row r="970">
      <c r="A970" s="2" t="n">
        <v>9663792</v>
      </c>
      <c r="B970" s="2" t="inlineStr">
        <is>
          <t>37</t>
        </is>
      </c>
      <c r="C970" s="2" t="inlineStr">
        <is>
          <t>F</t>
        </is>
      </c>
      <c r="D970" s="2" t="inlineStr">
        <is>
          <t>100.0</t>
        </is>
      </c>
      <c r="E970" s="4">
        <f>HYPERLINK("./Results/DLO\2697\Osteo_Sarco_1.png","RPT")</f>
        <v/>
      </c>
      <c r="F970" s="2" t="n">
        <v>120</v>
      </c>
      <c r="G970" s="6" t="n">
        <v>9</v>
      </c>
      <c r="I970" s="0" t="n"/>
      <c r="J970" s="0" t="n"/>
      <c r="K970" s="0" t="n"/>
      <c r="L970" t="inlineStr">
        <is>
          <t>Discovery CT750 HD</t>
        </is>
      </c>
      <c r="M970" t="inlineStr">
        <is>
          <t>CE 2.5mm(ASIR30%)</t>
        </is>
      </c>
    </row>
    <row r="971">
      <c r="A971" s="2" t="n">
        <v>9663538</v>
      </c>
      <c r="B971" s="2" t="inlineStr">
        <is>
          <t>59</t>
        </is>
      </c>
      <c r="C971" s="2" t="inlineStr">
        <is>
          <t>F</t>
        </is>
      </c>
      <c r="D971" s="2" t="inlineStr">
        <is>
          <t>120.0</t>
        </is>
      </c>
      <c r="E971" s="4">
        <f>HYPERLINK("./Results/DLO\2698\Osteo_Sarco_1.png","RPT")</f>
        <v/>
      </c>
      <c r="F971" s="2" t="n">
        <v>119</v>
      </c>
      <c r="G971" s="6" t="n">
        <v>12</v>
      </c>
      <c r="I971" s="0" t="n"/>
      <c r="J971" s="0" t="n"/>
      <c r="K971" s="0" t="n"/>
      <c r="L971" t="inlineStr">
        <is>
          <t>Ingenuity Core 128</t>
        </is>
      </c>
      <c r="M971" t="inlineStr">
        <is>
          <t>Pre</t>
        </is>
      </c>
    </row>
    <row r="972">
      <c r="A972" s="2" t="n">
        <v>9663798</v>
      </c>
      <c r="B972" s="2" t="inlineStr">
        <is>
          <t>40</t>
        </is>
      </c>
      <c r="C972" s="2" t="inlineStr">
        <is>
          <t>M</t>
        </is>
      </c>
      <c r="D972" s="2" t="inlineStr">
        <is>
          <t>120.0</t>
        </is>
      </c>
      <c r="E972" s="4">
        <f>HYPERLINK("./Results/DLO\2699\Osteo_Sarco_1.png","RPT")</f>
        <v/>
      </c>
      <c r="F972" s="2" t="n">
        <v>227</v>
      </c>
      <c r="G972" s="6" t="n">
        <v>10</v>
      </c>
      <c r="I972" s="0" t="n"/>
      <c r="J972" s="0" t="n"/>
      <c r="K972" s="0" t="n"/>
      <c r="L972" t="inlineStr">
        <is>
          <t>Revolution CT</t>
        </is>
      </c>
      <c r="M972" t="inlineStr">
        <is>
          <t>Pre</t>
        </is>
      </c>
    </row>
    <row r="973">
      <c r="A973" s="2" t="n">
        <v>1804093</v>
      </c>
      <c r="B973" s="2" t="inlineStr">
        <is>
          <t>76</t>
        </is>
      </c>
      <c r="C973" s="2" t="inlineStr">
        <is>
          <t>F</t>
        </is>
      </c>
      <c r="D973" s="2" t="inlineStr">
        <is>
          <t>100.0</t>
        </is>
      </c>
      <c r="E973" s="4">
        <f>HYPERLINK("./Results/DLO\27\Osteo_Sarco_1.png","RPT")</f>
        <v/>
      </c>
      <c r="F973" s="2" t="n">
        <v>107</v>
      </c>
      <c r="G973" s="6" t="n">
        <v>13</v>
      </c>
      <c r="I973" s="0" t="n"/>
      <c r="J973" s="0" t="n"/>
      <c r="K973" s="0" t="n"/>
      <c r="L973" t="inlineStr">
        <is>
          <t>SOMATOM Force</t>
        </is>
      </c>
      <c r="M973" t="inlineStr">
        <is>
          <t>HVP 3.0 Br40 2 (60kg/120cc...</t>
        </is>
      </c>
    </row>
    <row r="974">
      <c r="A974" s="2" t="n">
        <v>2777539</v>
      </c>
      <c r="B974" s="2" t="inlineStr">
        <is>
          <t>62</t>
        </is>
      </c>
      <c r="C974" s="2" t="inlineStr">
        <is>
          <t>M</t>
        </is>
      </c>
      <c r="D974" s="2" t="inlineStr">
        <is>
          <t>100.0</t>
        </is>
      </c>
      <c r="E974" s="4">
        <f>HYPERLINK("./Results/DLO\270\Osteo_Sarco_1.png","RPT")</f>
        <v/>
      </c>
      <c r="F974" s="2" t="n">
        <v>188</v>
      </c>
      <c r="G974" s="6" t="n">
        <v>15</v>
      </c>
      <c r="I974" s="0" t="n"/>
      <c r="J974" s="0" t="n"/>
      <c r="K974" s="0" t="n"/>
      <c r="L974" t="inlineStr">
        <is>
          <t>SOMATOM Definition...</t>
        </is>
      </c>
      <c r="M974" t="inlineStr">
        <is>
          <t>Pre 3mm</t>
        </is>
      </c>
    </row>
    <row r="975">
      <c r="A975" s="2" t="n">
        <v>9663083</v>
      </c>
      <c r="B975" s="2" t="inlineStr">
        <is>
          <t>32</t>
        </is>
      </c>
      <c r="C975" s="2" t="inlineStr">
        <is>
          <t>F</t>
        </is>
      </c>
      <c r="D975" s="2" t="inlineStr">
        <is>
          <t>100.0</t>
        </is>
      </c>
      <c r="E975" s="4">
        <f>HYPERLINK("./Results/DLO\2700\Osteo_Sarco_1.png","RPT")</f>
        <v/>
      </c>
      <c r="F975" s="2" t="n">
        <v>102</v>
      </c>
      <c r="G975" s="6" t="n">
        <v>6</v>
      </c>
      <c r="I975" s="0" t="n"/>
      <c r="J975" s="0" t="n"/>
      <c r="K975" s="0" t="n"/>
      <c r="L975" t="inlineStr">
        <is>
          <t>SOMATOM Definition...</t>
        </is>
      </c>
      <c r="M975" t="inlineStr">
        <is>
          <t>Pre 3mm</t>
        </is>
      </c>
    </row>
    <row r="976">
      <c r="A976" s="2" t="n">
        <v>9666379</v>
      </c>
      <c r="B976" s="2" t="inlineStr">
        <is>
          <t>52</t>
        </is>
      </c>
      <c r="C976" s="2" t="inlineStr">
        <is>
          <t>M</t>
        </is>
      </c>
      <c r="D976" s="2" t="inlineStr">
        <is>
          <t>100.0</t>
        </is>
      </c>
      <c r="E976" s="4">
        <f>HYPERLINK("./Results/DLO\2701\Osteo_Sarco_1.png","RPT")</f>
        <v/>
      </c>
      <c r="F976" s="2" t="n">
        <v>108</v>
      </c>
      <c r="G976" s="6" t="n">
        <v>9</v>
      </c>
      <c r="I976" s="0" t="n"/>
      <c r="J976" s="0" t="n"/>
      <c r="K976" s="0" t="n"/>
      <c r="L976" t="inlineStr">
        <is>
          <t>LightSpeed VCT</t>
        </is>
      </c>
      <c r="M976" t="inlineStr">
        <is>
          <t>PRE 2,5mm</t>
        </is>
      </c>
    </row>
    <row r="977">
      <c r="A977" s="2" t="n">
        <v>9666068</v>
      </c>
      <c r="B977" s="2" t="inlineStr">
        <is>
          <t>70</t>
        </is>
      </c>
      <c r="C977" s="2" t="inlineStr">
        <is>
          <t>F</t>
        </is>
      </c>
      <c r="D977" s="2" t="inlineStr">
        <is>
          <t>120.0</t>
        </is>
      </c>
      <c r="E977" s="4">
        <f>HYPERLINK("./Results/DLO\2702\Osteo_Sarco_1.png","RPT")</f>
        <v/>
      </c>
      <c r="F977" s="2" t="n">
        <v>106</v>
      </c>
      <c r="G977" s="6" t="n">
        <v>16</v>
      </c>
      <c r="H977" t="n">
        <v>22.51</v>
      </c>
      <c r="L977" t="inlineStr">
        <is>
          <t>Aquilion ONE</t>
        </is>
      </c>
      <c r="M977" t="inlineStr">
        <is>
          <t>PRE</t>
        </is>
      </c>
    </row>
    <row r="978">
      <c r="A978" s="2" t="n">
        <v>9666353</v>
      </c>
      <c r="B978" s="2" t="inlineStr">
        <is>
          <t>47</t>
        </is>
      </c>
      <c r="C978" s="2" t="inlineStr">
        <is>
          <t>F</t>
        </is>
      </c>
      <c r="D978" s="2" t="inlineStr">
        <is>
          <t>120.0</t>
        </is>
      </c>
      <c r="E978" s="4">
        <f>HYPERLINK("./Results/DLO\2703\Osteo_Sarco_1.png","RPT")</f>
        <v/>
      </c>
      <c r="F978" s="2" t="n">
        <v>106</v>
      </c>
      <c r="G978" s="6" t="n">
        <v>10</v>
      </c>
      <c r="I978" s="0" t="n"/>
      <c r="J978" s="0" t="n"/>
      <c r="K978" s="0" t="n"/>
      <c r="L978" t="inlineStr">
        <is>
          <t>Discovery CT750 HD</t>
        </is>
      </c>
      <c r="M978" t="inlineStr">
        <is>
          <t>LAP 3mm</t>
        </is>
      </c>
    </row>
    <row r="979">
      <c r="A979" s="2" t="n">
        <v>9666024</v>
      </c>
      <c r="B979" s="2" t="inlineStr">
        <is>
          <t>70</t>
        </is>
      </c>
      <c r="C979" s="2" t="inlineStr">
        <is>
          <t>M</t>
        </is>
      </c>
      <c r="D979" s="2" t="inlineStr">
        <is>
          <t>100.0</t>
        </is>
      </c>
      <c r="E979" s="4">
        <f>HYPERLINK("./Results/DLO\2704\Osteo_Sarco_1.png","RPT")</f>
        <v/>
      </c>
      <c r="F979" s="2" t="n">
        <v>111</v>
      </c>
      <c r="G979" s="6" t="n">
        <v>4</v>
      </c>
      <c r="I979" s="0" t="n"/>
      <c r="J979" s="0" t="n"/>
      <c r="K979" s="0" t="n"/>
      <c r="L979" t="inlineStr">
        <is>
          <t>SOMATOM Definition...</t>
        </is>
      </c>
      <c r="M979" t="inlineStr">
        <is>
          <t>Pre 3mm B30f</t>
        </is>
      </c>
    </row>
    <row r="980">
      <c r="A980" s="2" t="n">
        <v>9667525</v>
      </c>
      <c r="B980" s="2" t="inlineStr">
        <is>
          <t>69</t>
        </is>
      </c>
      <c r="C980" s="2" t="inlineStr">
        <is>
          <t>M</t>
        </is>
      </c>
      <c r="D980" s="2" t="inlineStr">
        <is>
          <t>100.0</t>
        </is>
      </c>
      <c r="E980" s="4">
        <f>HYPERLINK("./Results/DLO\2705\Osteo_Sarco_1.png","RPT")</f>
        <v/>
      </c>
      <c r="F980" s="2" t="n">
        <v>87</v>
      </c>
      <c r="G980" s="6" t="n">
        <v>15</v>
      </c>
      <c r="I980" s="0" t="n"/>
      <c r="J980" s="0" t="n"/>
      <c r="K980" s="0" t="n"/>
      <c r="L980" t="inlineStr">
        <is>
          <t>iCT 256</t>
        </is>
      </c>
      <c r="M980" t="inlineStr">
        <is>
          <t>Pre 3mm, iDose (3)</t>
        </is>
      </c>
    </row>
    <row r="981">
      <c r="A981" s="2" t="n">
        <v>9667329</v>
      </c>
      <c r="B981" s="2" t="inlineStr">
        <is>
          <t>76</t>
        </is>
      </c>
      <c r="C981" s="2" t="inlineStr">
        <is>
          <t>F</t>
        </is>
      </c>
      <c r="D981" s="2" t="inlineStr">
        <is>
          <t>120.0</t>
        </is>
      </c>
      <c r="E981" s="4">
        <f>HYPERLINK("./Results/DLO\2706\Osteo_Sarco_1.png","RPT")</f>
        <v/>
      </c>
      <c r="F981" s="2" t="n">
        <v>103</v>
      </c>
      <c r="G981" s="6" t="n">
        <v>16</v>
      </c>
      <c r="H981" t="n">
        <v>25.04</v>
      </c>
      <c r="L981" t="inlineStr">
        <is>
          <t>iCT 256</t>
        </is>
      </c>
      <c r="M981" t="inlineStr">
        <is>
          <t>LAP 3/3mm, iDose (3)</t>
        </is>
      </c>
    </row>
    <row r="982">
      <c r="A982" s="2" t="n">
        <v>9668035</v>
      </c>
      <c r="B982" s="2" t="inlineStr">
        <is>
          <t>64</t>
        </is>
      </c>
      <c r="C982" s="2" t="inlineStr">
        <is>
          <t>F</t>
        </is>
      </c>
      <c r="D982" s="2" t="inlineStr">
        <is>
          <t>120.0</t>
        </is>
      </c>
      <c r="E982" s="4">
        <f>HYPERLINK("./Results/DLO\2707\Osteo_Sarco_1.png","RPT")</f>
        <v/>
      </c>
      <c r="F982" s="2" t="n">
        <v>114</v>
      </c>
      <c r="G982" s="6" t="n">
        <v>7</v>
      </c>
      <c r="I982" s="0" t="n"/>
      <c r="J982" s="0" t="n"/>
      <c r="K982" s="0" t="n"/>
      <c r="L982" t="inlineStr">
        <is>
          <t>Aquilion PRIME</t>
        </is>
      </c>
      <c r="M982" t="inlineStr">
        <is>
          <t>Abdomen/3mm Body 3.0</t>
        </is>
      </c>
    </row>
    <row r="983">
      <c r="A983" s="2" t="n">
        <v>9668503</v>
      </c>
      <c r="B983" s="2" t="inlineStr">
        <is>
          <t>53</t>
        </is>
      </c>
      <c r="C983" s="2" t="inlineStr">
        <is>
          <t>F</t>
        </is>
      </c>
      <c r="D983" s="2" t="inlineStr">
        <is>
          <t>100.0</t>
        </is>
      </c>
      <c r="E983" s="4">
        <f>HYPERLINK("./Results/DLO\2708\Osteo_Sarco_1.png","RPT")</f>
        <v/>
      </c>
      <c r="F983" s="2" t="n">
        <v>87</v>
      </c>
      <c r="G983" s="6" t="n">
        <v>11</v>
      </c>
      <c r="I983" s="0" t="n"/>
      <c r="J983" s="0" t="n"/>
      <c r="K983" s="0" t="n"/>
      <c r="L983" t="inlineStr">
        <is>
          <t>iCT 256</t>
        </is>
      </c>
      <c r="M983" t="inlineStr">
        <is>
          <t>Pre 3/3mm, iDose (3)</t>
        </is>
      </c>
    </row>
    <row r="984">
      <c r="A984" s="2" t="n">
        <v>9668292</v>
      </c>
      <c r="B984" s="2" t="inlineStr">
        <is>
          <t>68</t>
        </is>
      </c>
      <c r="C984" s="2" t="inlineStr">
        <is>
          <t>F</t>
        </is>
      </c>
      <c r="D984" s="2" t="inlineStr">
        <is>
          <t>130.0</t>
        </is>
      </c>
      <c r="E984" s="4">
        <f>HYPERLINK("./Results/DLO\2709\Osteo_Sarco_1.png","RPT")</f>
        <v/>
      </c>
      <c r="F984" s="2" t="n">
        <v>106</v>
      </c>
      <c r="G984" s="6" t="n">
        <v>13</v>
      </c>
      <c r="H984" t="n">
        <v>24.49</v>
      </c>
      <c r="L984" t="inlineStr">
        <is>
          <t>Scope</t>
        </is>
      </c>
      <c r="M984" t="inlineStr">
        <is>
          <t>ABDOMEN PRE 5.0 B41S</t>
        </is>
      </c>
    </row>
    <row r="985">
      <c r="A985" s="2" t="n">
        <v>3374337</v>
      </c>
      <c r="B985" s="2" t="inlineStr">
        <is>
          <t>67</t>
        </is>
      </c>
      <c r="C985" s="2" t="inlineStr">
        <is>
          <t>M</t>
        </is>
      </c>
      <c r="D985" s="2" t="inlineStr">
        <is>
          <t>100.0</t>
        </is>
      </c>
      <c r="E985" s="4">
        <f>HYPERLINK("./Results/DLO\271\Osteo_Sarco_1.png","RPT")</f>
        <v/>
      </c>
      <c r="F985" s="2" t="n">
        <v>76</v>
      </c>
      <c r="G985" s="6" t="n">
        <v>2</v>
      </c>
      <c r="I985" s="0" t="n"/>
      <c r="J985" s="0" t="n"/>
      <c r="K985" s="0" t="n"/>
      <c r="L985" t="inlineStr">
        <is>
          <t>Revolution EVO</t>
        </is>
      </c>
      <c r="M985" t="inlineStr">
        <is>
          <t>PRE (CP angle~Pubic)</t>
        </is>
      </c>
    </row>
    <row r="986">
      <c r="A986" s="2" t="n">
        <v>9671666</v>
      </c>
      <c r="B986" s="2" t="inlineStr">
        <is>
          <t>36</t>
        </is>
      </c>
      <c r="C986" s="2" t="inlineStr">
        <is>
          <t>F</t>
        </is>
      </c>
      <c r="D986" s="2" t="inlineStr">
        <is>
          <t>100.0</t>
        </is>
      </c>
      <c r="E986" s="4">
        <f>HYPERLINK("./Results/DLO\2710\Osteo_Sarco_1.png","RPT")</f>
        <v/>
      </c>
      <c r="F986" s="2" t="n">
        <v>89</v>
      </c>
      <c r="G986" s="6" t="n">
        <v>3</v>
      </c>
      <c r="I986" s="0" t="n"/>
      <c r="J986" s="0" t="n"/>
      <c r="K986" s="0" t="n"/>
      <c r="L986" t="inlineStr">
        <is>
          <t>iCT 256</t>
        </is>
      </c>
      <c r="M986" t="inlineStr">
        <is>
          <t>LAP 3/3mm, iDose (3)</t>
        </is>
      </c>
    </row>
    <row r="987">
      <c r="A987" s="2" t="n">
        <v>9672963</v>
      </c>
      <c r="B987" s="2" t="inlineStr">
        <is>
          <t>65</t>
        </is>
      </c>
      <c r="C987" s="2" t="inlineStr">
        <is>
          <t>M</t>
        </is>
      </c>
      <c r="D987" s="2" t="inlineStr">
        <is>
          <t>100.0</t>
        </is>
      </c>
      <c r="E987" s="4">
        <f>HYPERLINK("./Results/DLO\2711\Osteo_Sarco_1.png","RPT")</f>
        <v/>
      </c>
      <c r="F987" s="2" t="n">
        <v>119</v>
      </c>
      <c r="G987" s="6" t="n">
        <v>4</v>
      </c>
      <c r="I987" s="0" t="n"/>
      <c r="J987" s="0" t="n"/>
      <c r="K987" s="0" t="n"/>
      <c r="L987" t="inlineStr">
        <is>
          <t>Revolution EVO</t>
        </is>
      </c>
      <c r="M987" t="inlineStr">
        <is>
          <t>PRE</t>
        </is>
      </c>
    </row>
    <row r="988">
      <c r="A988" s="2" t="n">
        <v>9672991</v>
      </c>
      <c r="B988" s="2" t="inlineStr">
        <is>
          <t>47</t>
        </is>
      </c>
      <c r="C988" s="2" t="inlineStr">
        <is>
          <t>F</t>
        </is>
      </c>
      <c r="D988" s="2" t="inlineStr">
        <is>
          <t>120.0</t>
        </is>
      </c>
      <c r="E988" s="4">
        <f>HYPERLINK("./Results/DLO\2712\Osteo_Sarco_1.png","RPT")</f>
        <v/>
      </c>
      <c r="F988" s="2" t="n">
        <v>104</v>
      </c>
      <c r="G988" s="6" t="n">
        <v>9</v>
      </c>
      <c r="I988" s="0" t="n"/>
      <c r="J988" s="0" t="n"/>
      <c r="K988" s="0" t="n"/>
      <c r="L988" t="inlineStr">
        <is>
          <t>Aquilion</t>
        </is>
      </c>
      <c r="M988" t="inlineStr">
        <is>
          <t>Body 3.0</t>
        </is>
      </c>
    </row>
    <row r="989">
      <c r="A989" s="2" t="n">
        <v>9674158</v>
      </c>
      <c r="B989" s="2" t="inlineStr">
        <is>
          <t>76</t>
        </is>
      </c>
      <c r="C989" s="2" t="inlineStr">
        <is>
          <t>M</t>
        </is>
      </c>
      <c r="D989" s="2" t="inlineStr">
        <is>
          <t>100.0</t>
        </is>
      </c>
      <c r="E989" s="4">
        <f>HYPERLINK("./Results/DLO\2713\Osteo_Sarco_1.png","RPT")</f>
        <v/>
      </c>
      <c r="F989" s="2" t="n">
        <v>105</v>
      </c>
      <c r="G989" s="6" t="n">
        <v>6</v>
      </c>
      <c r="I989" s="0" t="n"/>
      <c r="J989" s="0" t="n"/>
      <c r="K989" s="0" t="n"/>
      <c r="L989" t="inlineStr">
        <is>
          <t>Revolution CT</t>
        </is>
      </c>
      <c r="M989" t="inlineStr">
        <is>
          <t>LAP 3mm(60kg/120cc/3.0cc/xene...</t>
        </is>
      </c>
    </row>
    <row r="990">
      <c r="A990" s="2" t="n">
        <v>9674072</v>
      </c>
      <c r="B990" s="2" t="inlineStr">
        <is>
          <t>52</t>
        </is>
      </c>
      <c r="C990" s="2" t="inlineStr">
        <is>
          <t>M</t>
        </is>
      </c>
      <c r="D990" s="2" t="inlineStr">
        <is>
          <t>100.0</t>
        </is>
      </c>
      <c r="E990" s="4">
        <f>HYPERLINK("./Results/DLO\2714\Osteo_Sarco_1.png","RPT")</f>
        <v/>
      </c>
      <c r="F990" s="2" t="n">
        <v>168</v>
      </c>
      <c r="G990" s="6" t="n">
        <v>6</v>
      </c>
      <c r="I990" s="0" t="n"/>
      <c r="J990" s="0" t="n"/>
      <c r="K990" s="0" t="n"/>
      <c r="L990" t="inlineStr">
        <is>
          <t>Revolution CT</t>
        </is>
      </c>
      <c r="M990" t="inlineStr">
        <is>
          <t>Pre 3mm pacs</t>
        </is>
      </c>
    </row>
    <row r="991">
      <c r="A991" s="2" t="n">
        <v>9673662</v>
      </c>
      <c r="B991" s="2" t="inlineStr">
        <is>
          <t>53</t>
        </is>
      </c>
      <c r="C991" s="2" t="inlineStr">
        <is>
          <t>M</t>
        </is>
      </c>
      <c r="D991" s="2" t="inlineStr">
        <is>
          <t>100.0</t>
        </is>
      </c>
      <c r="E991" s="4">
        <f>HYPERLINK("./Results/DLO\2715\Osteo_Sarco_1.png","RPT")</f>
        <v/>
      </c>
      <c r="F991" s="2" t="n">
        <v>147</v>
      </c>
      <c r="G991" s="6" t="n">
        <v>7</v>
      </c>
      <c r="I991" s="0" t="n"/>
      <c r="J991" s="0" t="n"/>
      <c r="K991" s="0" t="n"/>
      <c r="L991" t="inlineStr">
        <is>
          <t>SOMATOM Definition...</t>
        </is>
      </c>
      <c r="M991" t="inlineStr">
        <is>
          <t>Pre(Abd) 3mm</t>
        </is>
      </c>
    </row>
    <row r="992">
      <c r="A992" s="2" t="n">
        <v>9674245</v>
      </c>
      <c r="B992" s="2" t="inlineStr">
        <is>
          <t>56</t>
        </is>
      </c>
      <c r="C992" s="2" t="inlineStr">
        <is>
          <t>F</t>
        </is>
      </c>
      <c r="D992" s="2" t="inlineStr">
        <is>
          <t>120.0</t>
        </is>
      </c>
      <c r="E992" s="4">
        <f>HYPERLINK("./Results/DLO\2717\Osteo_Sarco_1.png","RPT")</f>
        <v/>
      </c>
      <c r="F992" s="2" t="n">
        <v>84</v>
      </c>
      <c r="G992" s="6" t="n">
        <v>7</v>
      </c>
      <c r="I992" s="0" t="n"/>
      <c r="J992" s="0" t="n"/>
      <c r="K992" s="0" t="n"/>
      <c r="L992" t="inlineStr">
        <is>
          <t>iCT 256</t>
        </is>
      </c>
      <c r="M992" t="inlineStr">
        <is>
          <t>LAP 3/3mm, iDose (3)</t>
        </is>
      </c>
    </row>
    <row r="993">
      <c r="A993" s="2" t="n">
        <v>9673866</v>
      </c>
      <c r="B993" s="2" t="inlineStr">
        <is>
          <t>73</t>
        </is>
      </c>
      <c r="C993" s="2" t="inlineStr">
        <is>
          <t>F</t>
        </is>
      </c>
      <c r="D993" s="2" t="inlineStr">
        <is>
          <t>120.0</t>
        </is>
      </c>
      <c r="E993" s="4">
        <f>HYPERLINK("./Results/DLO\2718\Osteo_Sarco_1.png","RPT")</f>
        <v/>
      </c>
      <c r="F993" s="2" t="n">
        <v>109</v>
      </c>
      <c r="G993" s="6" t="n">
        <v>9</v>
      </c>
      <c r="I993" s="0" t="n"/>
      <c r="J993" s="0" t="n"/>
      <c r="K993" s="0" t="n"/>
      <c r="L993" t="inlineStr">
        <is>
          <t>LightSpeed VCT</t>
        </is>
      </c>
      <c r="M993" t="inlineStr">
        <is>
          <t>LAP 18sec 3mm</t>
        </is>
      </c>
    </row>
    <row r="994">
      <c r="A994" s="2" t="n">
        <v>9675880</v>
      </c>
      <c r="B994" s="2" t="inlineStr">
        <is>
          <t>76</t>
        </is>
      </c>
      <c r="C994" s="2" t="inlineStr">
        <is>
          <t>M</t>
        </is>
      </c>
      <c r="D994" s="2" t="inlineStr">
        <is>
          <t>90.0</t>
        </is>
      </c>
      <c r="E994" s="4">
        <f>HYPERLINK("./Results/DLO\2719\Osteo_Sarco_1.png","RPT")</f>
        <v/>
      </c>
      <c r="F994" s="2" t="n">
        <v>140</v>
      </c>
      <c r="G994" s="6" t="n">
        <v>11</v>
      </c>
      <c r="I994" s="0" t="n"/>
      <c r="J994" s="0" t="n"/>
      <c r="K994" s="0" t="n"/>
      <c r="L994" t="inlineStr">
        <is>
          <t>SOMATOM Force</t>
        </is>
      </c>
      <c r="M994" t="inlineStr">
        <is>
          <t>GU Pre 3.0 Br40 1</t>
        </is>
      </c>
    </row>
    <row r="995">
      <c r="A995" s="2" t="n">
        <v>3690126</v>
      </c>
      <c r="B995" s="2" t="inlineStr">
        <is>
          <t>70</t>
        </is>
      </c>
      <c r="C995" s="2" t="inlineStr">
        <is>
          <t>M</t>
        </is>
      </c>
      <c r="D995" s="2" t="inlineStr">
        <is>
          <t>100.0</t>
        </is>
      </c>
      <c r="E995" s="4">
        <f>HYPERLINK("./Results/DLO\272\Osteo_Sarco_1.png","RPT")</f>
        <v/>
      </c>
      <c r="F995" s="2" t="n">
        <v>141</v>
      </c>
      <c r="G995" s="6" t="n">
        <v>6</v>
      </c>
      <c r="I995" s="0" t="n"/>
      <c r="J995" s="0" t="n"/>
      <c r="K995" s="0" t="n"/>
      <c r="L995" t="inlineStr">
        <is>
          <t>iCT 256</t>
        </is>
      </c>
      <c r="M995" t="inlineStr">
        <is>
          <t>Pre 3/3mm, iDose (3)</t>
        </is>
      </c>
    </row>
    <row r="996">
      <c r="A996" s="2" t="n">
        <v>9676459</v>
      </c>
      <c r="B996" s="2" t="inlineStr">
        <is>
          <t>46</t>
        </is>
      </c>
      <c r="C996" s="2" t="inlineStr">
        <is>
          <t>F</t>
        </is>
      </c>
      <c r="D996" s="2" t="inlineStr">
        <is>
          <t>100.0</t>
        </is>
      </c>
      <c r="E996" s="4">
        <f>HYPERLINK("./Results/DLO\2720\Osteo_Sarco_1.png","RPT")</f>
        <v/>
      </c>
      <c r="F996" s="2" t="n">
        <v>90</v>
      </c>
      <c r="G996" s="6" t="n">
        <v>7</v>
      </c>
      <c r="I996" s="0" t="n"/>
      <c r="J996" s="0" t="n"/>
      <c r="K996" s="0" t="n"/>
      <c r="L996" t="inlineStr">
        <is>
          <t>SOMATOM Force</t>
        </is>
      </c>
      <c r="M996" t="inlineStr">
        <is>
          <t>HVP 3.0 Br40 2 (49kg/98cc/...</t>
        </is>
      </c>
    </row>
    <row r="997">
      <c r="A997" s="2" t="n">
        <v>9675784</v>
      </c>
      <c r="B997" s="2" t="inlineStr">
        <is>
          <t>71</t>
        </is>
      </c>
      <c r="C997" s="2" t="inlineStr">
        <is>
          <t>M</t>
        </is>
      </c>
      <c r="D997" s="2" t="inlineStr">
        <is>
          <t>100.0</t>
        </is>
      </c>
      <c r="E997" s="4">
        <f>HYPERLINK("./Results/DLO\2721\Osteo_Sarco_1.png","RPT")</f>
        <v/>
      </c>
      <c r="F997" s="2" t="n">
        <v>172</v>
      </c>
      <c r="G997" s="6" t="n">
        <v>18</v>
      </c>
      <c r="I997" s="0" t="n"/>
      <c r="J997" s="0" t="n"/>
      <c r="K997" s="0" t="n"/>
      <c r="L997" t="inlineStr">
        <is>
          <t>Ingenuity Core 128</t>
        </is>
      </c>
      <c r="M997" t="inlineStr">
        <is>
          <t>PRE, iDose (2)</t>
        </is>
      </c>
    </row>
    <row r="998">
      <c r="A998" s="2" t="n">
        <v>9677858</v>
      </c>
      <c r="B998" s="2" t="inlineStr">
        <is>
          <t>44</t>
        </is>
      </c>
      <c r="C998" s="2" t="inlineStr">
        <is>
          <t>F</t>
        </is>
      </c>
      <c r="D998" s="2" t="inlineStr">
        <is>
          <t>120.0</t>
        </is>
      </c>
      <c r="E998" s="4">
        <f>HYPERLINK("./Results/DLO\2722\Osteo_Sarco_1.png","RPT")</f>
        <v/>
      </c>
      <c r="F998" s="2" t="n">
        <v>117</v>
      </c>
      <c r="G998" s="6" t="n">
        <v>8</v>
      </c>
      <c r="H998" t="n">
        <v>20.36</v>
      </c>
      <c r="L998" t="inlineStr">
        <is>
          <t>Optima CT660</t>
        </is>
      </c>
      <c r="M998" t="inlineStr">
        <is>
          <t>Pre</t>
        </is>
      </c>
    </row>
    <row r="999">
      <c r="A999" s="2" t="n">
        <v>9677567</v>
      </c>
      <c r="B999" s="2" t="inlineStr">
        <is>
          <t>69</t>
        </is>
      </c>
      <c r="C999" s="2" t="inlineStr">
        <is>
          <t>M</t>
        </is>
      </c>
      <c r="D999" s="2" t="inlineStr">
        <is>
          <t>100.0</t>
        </is>
      </c>
      <c r="E999" s="4">
        <f>HYPERLINK("./Results/DLO\2723\Osteo_Sarco_1.png","RPT")</f>
        <v/>
      </c>
      <c r="F999" s="2" t="n">
        <v>132</v>
      </c>
      <c r="G999" s="6" t="n">
        <v>11</v>
      </c>
      <c r="I999" s="0" t="n"/>
      <c r="J999" s="0" t="n"/>
      <c r="K999" s="0" t="n"/>
      <c r="L999" t="inlineStr">
        <is>
          <t>SOMATOM Definition...</t>
        </is>
      </c>
      <c r="M999" t="inlineStr">
        <is>
          <t>PRE 3mm</t>
        </is>
      </c>
    </row>
    <row r="1000">
      <c r="A1000" s="2" t="n">
        <v>9677210</v>
      </c>
      <c r="B1000" s="2" t="inlineStr">
        <is>
          <t>27</t>
        </is>
      </c>
      <c r="C1000" s="2" t="inlineStr">
        <is>
          <t>F</t>
        </is>
      </c>
      <c r="D1000" s="2" t="inlineStr">
        <is>
          <t>100.0</t>
        </is>
      </c>
      <c r="E1000" s="4">
        <f>HYPERLINK("./Results/DLO\2724\Osteo_Sarco_1.png","RPT")</f>
        <v/>
      </c>
      <c r="F1000" s="2" t="n">
        <v>96</v>
      </c>
      <c r="G1000" s="6" t="n">
        <v>6</v>
      </c>
      <c r="I1000" s="0" t="n"/>
      <c r="J1000" s="0" t="n"/>
      <c r="K1000" s="0" t="n"/>
      <c r="L1000" t="inlineStr">
        <is>
          <t>SOMATOM Force</t>
        </is>
      </c>
      <c r="M1000" t="inlineStr">
        <is>
          <t>Pre 3.0 Br40</t>
        </is>
      </c>
    </row>
    <row r="1001">
      <c r="A1001" s="2" t="n">
        <v>9678472</v>
      </c>
      <c r="B1001" s="2" t="inlineStr">
        <is>
          <t>61</t>
        </is>
      </c>
      <c r="C1001" s="2" t="inlineStr">
        <is>
          <t>M</t>
        </is>
      </c>
      <c r="D1001" s="2" t="inlineStr">
        <is>
          <t>100.0</t>
        </is>
      </c>
      <c r="E1001" s="4">
        <f>HYPERLINK("./Results/DLO\2725\Osteo_Sarco_1.png","RPT")</f>
        <v/>
      </c>
      <c r="F1001" s="2" t="n">
        <v>162</v>
      </c>
      <c r="G1001" s="6" t="n">
        <v>5</v>
      </c>
      <c r="I1001" s="0" t="n"/>
      <c r="J1001" s="0" t="n"/>
      <c r="K1001" s="0" t="n"/>
      <c r="L1001" t="inlineStr">
        <is>
          <t>Revolution CT</t>
        </is>
      </c>
      <c r="M1001" t="inlineStr">
        <is>
          <t>LAP 3mm(72kg/144cc/3.0cc/radi...</t>
        </is>
      </c>
    </row>
    <row r="1002">
      <c r="A1002" s="2" t="n">
        <v>9679804</v>
      </c>
      <c r="B1002" s="2" t="inlineStr">
        <is>
          <t>38</t>
        </is>
      </c>
      <c r="C1002" s="2" t="inlineStr">
        <is>
          <t>M</t>
        </is>
      </c>
      <c r="D1002" s="2" t="inlineStr">
        <is>
          <t>100.0</t>
        </is>
      </c>
      <c r="E1002" s="4">
        <f>HYPERLINK("./Results/DLO\2726\Osteo_Sarco_1.png","RPT")</f>
        <v/>
      </c>
      <c r="F1002" s="2" t="n">
        <v>177</v>
      </c>
      <c r="G1002" s="6" t="n">
        <v>10</v>
      </c>
      <c r="I1002" s="0" t="n"/>
      <c r="J1002" s="0" t="n"/>
      <c r="K1002" s="0" t="n"/>
      <c r="L1002" t="inlineStr">
        <is>
          <t>SOMATOM Definition...</t>
        </is>
      </c>
      <c r="M1002" t="inlineStr">
        <is>
          <t>Pre 3mm</t>
        </is>
      </c>
    </row>
    <row r="1003">
      <c r="A1003" s="2" t="n">
        <v>9680149</v>
      </c>
      <c r="B1003" s="2" t="inlineStr">
        <is>
          <t>64</t>
        </is>
      </c>
      <c r="C1003" s="2" t="inlineStr">
        <is>
          <t>M</t>
        </is>
      </c>
      <c r="D1003" s="2" t="inlineStr">
        <is>
          <t>120.0</t>
        </is>
      </c>
      <c r="E1003" s="4">
        <f>HYPERLINK("./Results/DLO\2727\Osteo_Sarco_1.png","RPT")</f>
        <v/>
      </c>
      <c r="F1003" s="2" t="n">
        <v>128</v>
      </c>
      <c r="G1003" s="6" t="n">
        <v>10</v>
      </c>
      <c r="I1003" s="0" t="n"/>
      <c r="J1003" s="0" t="n"/>
      <c r="K1003" s="0" t="n"/>
      <c r="L1003" t="inlineStr">
        <is>
          <t>SOMATOM Definition...</t>
        </is>
      </c>
      <c r="M1003" t="inlineStr">
        <is>
          <t>Artery 3.0 I40f 3</t>
        </is>
      </c>
    </row>
    <row r="1004">
      <c r="A1004" s="2" t="n">
        <v>9680446</v>
      </c>
      <c r="B1004" s="2" t="inlineStr">
        <is>
          <t>69</t>
        </is>
      </c>
      <c r="C1004" s="2" t="inlineStr">
        <is>
          <t>M</t>
        </is>
      </c>
      <c r="D1004" s="2" t="inlineStr">
        <is>
          <t>100.0</t>
        </is>
      </c>
      <c r="E1004" s="4">
        <f>HYPERLINK("./Results/DLO\2728\Osteo_Sarco_1.png","RPT")</f>
        <v/>
      </c>
      <c r="F1004" s="2" t="n">
        <v>112</v>
      </c>
      <c r="G1004" s="6" t="n">
        <v>8</v>
      </c>
      <c r="H1004" t="n">
        <v>23.71</v>
      </c>
      <c r="L1004" t="inlineStr">
        <is>
          <t>LightSpeed VCT</t>
        </is>
      </c>
      <c r="M1004" t="inlineStr">
        <is>
          <t>PRE</t>
        </is>
      </c>
    </row>
    <row r="1005">
      <c r="A1005" s="2" t="n">
        <v>9680606</v>
      </c>
      <c r="B1005" s="2" t="inlineStr">
        <is>
          <t>55</t>
        </is>
      </c>
      <c r="C1005" s="2" t="inlineStr">
        <is>
          <t>F</t>
        </is>
      </c>
      <c r="D1005" s="2" t="inlineStr">
        <is>
          <t>100.0</t>
        </is>
      </c>
      <c r="E1005" s="4">
        <f>HYPERLINK("./Results/DLO\2729\Osteo_Sarco_1.png","RPT")</f>
        <v/>
      </c>
      <c r="F1005" s="2" t="n">
        <v>103</v>
      </c>
      <c r="G1005" s="6" t="n">
        <v>11</v>
      </c>
      <c r="I1005" s="0" t="n"/>
      <c r="J1005" s="0" t="n"/>
      <c r="K1005" s="0" t="n"/>
      <c r="L1005" t="inlineStr">
        <is>
          <t>LightSpeed VCT</t>
        </is>
      </c>
      <c r="M1005" t="inlineStr">
        <is>
          <t>PRE (CP angle~Pubic)</t>
        </is>
      </c>
    </row>
    <row r="1006">
      <c r="A1006" s="2" t="n">
        <v>3993063</v>
      </c>
      <c r="B1006" s="2" t="inlineStr">
        <is>
          <t>57</t>
        </is>
      </c>
      <c r="C1006" s="2" t="inlineStr">
        <is>
          <t>F</t>
        </is>
      </c>
      <c r="D1006" s="2" t="inlineStr">
        <is>
          <t>100.0</t>
        </is>
      </c>
      <c r="E1006" s="4">
        <f>HYPERLINK("./Results/DLO\273\Osteo_Sarco_1.png","RPT")</f>
        <v/>
      </c>
      <c r="F1006" s="2" t="n">
        <v>92</v>
      </c>
      <c r="G1006" s="6" t="n">
        <v>7</v>
      </c>
      <c r="I1006" s="0" t="n"/>
      <c r="J1006" s="0" t="n"/>
      <c r="K1006" s="0" t="n"/>
      <c r="L1006" t="inlineStr">
        <is>
          <t>Revolution EVO</t>
        </is>
      </c>
      <c r="M1006" t="inlineStr">
        <is>
          <t>PRE</t>
        </is>
      </c>
    </row>
    <row r="1007">
      <c r="A1007" s="2" t="n">
        <v>9681456</v>
      </c>
      <c r="B1007" s="2" t="inlineStr">
        <is>
          <t>63</t>
        </is>
      </c>
      <c r="C1007" s="2" t="inlineStr">
        <is>
          <t>F</t>
        </is>
      </c>
      <c r="D1007" s="2" t="inlineStr">
        <is>
          <t>100.0</t>
        </is>
      </c>
      <c r="E1007" s="4">
        <f>HYPERLINK("./Results/DLO\2730\Osteo_Sarco_1.png","RPT")</f>
        <v/>
      </c>
      <c r="F1007" s="2" t="n">
        <v>89</v>
      </c>
      <c r="G1007" s="6" t="n">
        <v>8</v>
      </c>
      <c r="H1007" t="n">
        <v>20.06</v>
      </c>
      <c r="L1007" t="inlineStr">
        <is>
          <t>SOMATOM Definition...</t>
        </is>
      </c>
      <c r="M1007" t="inlineStr">
        <is>
          <t>LAP 3mm(50kg/100cc/2.5cc/hexol)</t>
        </is>
      </c>
    </row>
    <row r="1008">
      <c r="A1008" s="2" t="n">
        <v>9681479</v>
      </c>
      <c r="B1008" s="2" t="inlineStr">
        <is>
          <t>31</t>
        </is>
      </c>
      <c r="C1008" s="2" t="inlineStr">
        <is>
          <t>F</t>
        </is>
      </c>
      <c r="D1008" s="2" t="inlineStr">
        <is>
          <t>100.0</t>
        </is>
      </c>
      <c r="E1008" s="4">
        <f>HYPERLINK("./Results/DLO\2731\Osteo_Sarco_1.png","RPT")</f>
        <v/>
      </c>
      <c r="F1008" s="2" t="n">
        <v>99</v>
      </c>
      <c r="G1008" s="6" t="n">
        <v>8</v>
      </c>
      <c r="I1008" s="0" t="n"/>
      <c r="J1008" s="0" t="n"/>
      <c r="K1008" s="0" t="n"/>
      <c r="L1008" t="inlineStr">
        <is>
          <t>Revolution EVO</t>
        </is>
      </c>
      <c r="M1008" t="inlineStr">
        <is>
          <t>PRE (CP angle~Pubic)</t>
        </is>
      </c>
    </row>
    <row r="1009">
      <c r="A1009" s="2" t="n">
        <v>9681624</v>
      </c>
      <c r="B1009" s="2" t="inlineStr">
        <is>
          <t>62</t>
        </is>
      </c>
      <c r="C1009" s="2" t="inlineStr">
        <is>
          <t>M</t>
        </is>
      </c>
      <c r="D1009" s="2" t="inlineStr">
        <is>
          <t>100.0</t>
        </is>
      </c>
      <c r="E1009" s="4">
        <f>HYPERLINK("./Results/DLO\2732\Osteo_Sarco_1.png","RPT")</f>
        <v/>
      </c>
      <c r="F1009" s="2" t="n">
        <v>122</v>
      </c>
      <c r="G1009" s="6" t="n">
        <v>9</v>
      </c>
      <c r="H1009" t="n">
        <v>21.48</v>
      </c>
      <c r="L1009" t="inlineStr">
        <is>
          <t>SOMATOM Definition...</t>
        </is>
      </c>
      <c r="M1009" t="inlineStr">
        <is>
          <t>Pre(cp~L5) 2.0 B30f</t>
        </is>
      </c>
    </row>
    <row r="1010">
      <c r="A1010" s="2" t="n">
        <v>9682359</v>
      </c>
      <c r="B1010" s="2" t="inlineStr">
        <is>
          <t>32</t>
        </is>
      </c>
      <c r="C1010" s="2" t="inlineStr">
        <is>
          <t>F</t>
        </is>
      </c>
      <c r="D1010" s="2" t="inlineStr">
        <is>
          <t>120.0</t>
        </is>
      </c>
      <c r="E1010" s="4">
        <f>HYPERLINK("./Results/DLO\2733\Osteo_Sarco_1.png","RPT")</f>
        <v/>
      </c>
      <c r="F1010" s="2" t="n">
        <v>109</v>
      </c>
      <c r="G1010" s="6" t="n">
        <v>6</v>
      </c>
      <c r="I1010" s="0" t="n"/>
      <c r="J1010" s="0" t="n"/>
      <c r="K1010" s="0" t="n"/>
      <c r="L1010" t="inlineStr">
        <is>
          <t>LightSpeed VCT</t>
        </is>
      </c>
      <c r="M1010" t="inlineStr">
        <is>
          <t>post contrast</t>
        </is>
      </c>
    </row>
    <row r="1011">
      <c r="A1011" s="2" t="n">
        <v>9683728</v>
      </c>
      <c r="B1011" s="2" t="inlineStr">
        <is>
          <t>49</t>
        </is>
      </c>
      <c r="C1011" s="2" t="inlineStr">
        <is>
          <t>F</t>
        </is>
      </c>
      <c r="D1011" s="2" t="inlineStr">
        <is>
          <t>100.0</t>
        </is>
      </c>
      <c r="E1011" s="4">
        <f>HYPERLINK("./Results/DLO\2735\Osteo_Sarco_1.png","RPT")</f>
        <v/>
      </c>
      <c r="F1011" s="2" t="n">
        <v>132</v>
      </c>
      <c r="G1011" s="6" t="n">
        <v>23</v>
      </c>
      <c r="H1011" t="n">
        <v>28.2</v>
      </c>
      <c r="L1011" t="inlineStr">
        <is>
          <t>SOMATOM Definition...</t>
        </is>
      </c>
      <c r="M1011" t="inlineStr">
        <is>
          <t>Pre 5.0 I40f 2</t>
        </is>
      </c>
    </row>
    <row r="1012">
      <c r="A1012" s="2" t="n">
        <v>9683380</v>
      </c>
      <c r="B1012" s="2" t="inlineStr">
        <is>
          <t>57</t>
        </is>
      </c>
      <c r="C1012" s="2" t="inlineStr">
        <is>
          <t>M</t>
        </is>
      </c>
      <c r="D1012" s="2" t="inlineStr">
        <is>
          <t>100.0</t>
        </is>
      </c>
      <c r="E1012" s="4">
        <f>HYPERLINK("./Results/DLO\2736\Osteo_Sarco_1.png","RPT")</f>
        <v/>
      </c>
      <c r="F1012" s="2" t="n">
        <v>155</v>
      </c>
      <c r="G1012" s="6" t="n">
        <v>11</v>
      </c>
      <c r="I1012" s="0" t="n"/>
      <c r="J1012" s="0" t="n"/>
      <c r="K1012" s="0" t="n"/>
      <c r="L1012" t="inlineStr">
        <is>
          <t>SOMATOM Definition...</t>
        </is>
      </c>
      <c r="M1012" t="inlineStr">
        <is>
          <t>DS_Abd Pre 3.0 I30f 2</t>
        </is>
      </c>
    </row>
    <row r="1013">
      <c r="A1013" s="2" t="n">
        <v>9683269</v>
      </c>
      <c r="B1013" s="2" t="inlineStr">
        <is>
          <t>77</t>
        </is>
      </c>
      <c r="C1013" s="2" t="inlineStr">
        <is>
          <t>F</t>
        </is>
      </c>
      <c r="D1013" s="2" t="inlineStr">
        <is>
          <t>100.0</t>
        </is>
      </c>
      <c r="E1013" s="4">
        <f>HYPERLINK("./Results/DLO\2737\Osteo_Sarco_1.png","RPT")</f>
        <v/>
      </c>
      <c r="F1013" s="2" t="n">
        <v>110</v>
      </c>
      <c r="G1013" s="6" t="n">
        <v>16</v>
      </c>
      <c r="I1013" s="0" t="n"/>
      <c r="J1013" s="0" t="n"/>
      <c r="K1013" s="0" t="n"/>
      <c r="L1013" t="inlineStr">
        <is>
          <t>iCT 256</t>
        </is>
      </c>
      <c r="M1013" t="inlineStr">
        <is>
          <t>LAP 3/3mm Full, iDose (3)</t>
        </is>
      </c>
    </row>
    <row r="1014">
      <c r="A1014" s="2" t="n">
        <v>9683976</v>
      </c>
      <c r="B1014" s="2" t="inlineStr">
        <is>
          <t>52</t>
        </is>
      </c>
      <c r="C1014" s="2" t="inlineStr">
        <is>
          <t>M</t>
        </is>
      </c>
      <c r="D1014" s="2" t="inlineStr">
        <is>
          <t>100.0</t>
        </is>
      </c>
      <c r="E1014" s="4">
        <f>HYPERLINK("./Results/DLO\2738\Osteo_Sarco_1.png","RPT")</f>
        <v/>
      </c>
      <c r="F1014" s="2" t="n">
        <v>217</v>
      </c>
      <c r="G1014" s="6" t="n">
        <v>19</v>
      </c>
      <c r="I1014" s="0" t="n"/>
      <c r="J1014" s="0" t="n"/>
      <c r="K1014" s="0" t="n"/>
      <c r="L1014" t="inlineStr">
        <is>
          <t>iCT 256</t>
        </is>
      </c>
      <c r="M1014" t="inlineStr">
        <is>
          <t>Pre 3/3mm, iDose (3)</t>
        </is>
      </c>
    </row>
    <row r="1015">
      <c r="A1015" s="2" t="n">
        <v>9683775</v>
      </c>
      <c r="B1015" s="2" t="inlineStr">
        <is>
          <t>54</t>
        </is>
      </c>
      <c r="C1015" s="2" t="inlineStr">
        <is>
          <t>M</t>
        </is>
      </c>
      <c r="D1015" s="2" t="inlineStr">
        <is>
          <t>100.0</t>
        </is>
      </c>
      <c r="E1015" s="4">
        <f>HYPERLINK("./Results/DLO\2739\Osteo_Sarco_1.png","RPT")</f>
        <v/>
      </c>
      <c r="F1015" s="2" t="n">
        <v>137</v>
      </c>
      <c r="G1015" s="6" t="n">
        <v>11</v>
      </c>
      <c r="I1015" s="0" t="n"/>
      <c r="J1015" s="0" t="n"/>
      <c r="K1015" s="0" t="n"/>
      <c r="L1015" t="inlineStr">
        <is>
          <t>SOMATOM Definition...</t>
        </is>
      </c>
      <c r="M1015" t="inlineStr">
        <is>
          <t>LAP 2 3mm(70kg/140ml/3ml/he...</t>
        </is>
      </c>
    </row>
    <row r="1016">
      <c r="A1016" s="2" t="n">
        <v>4186855</v>
      </c>
      <c r="B1016" s="2" t="inlineStr">
        <is>
          <t>58</t>
        </is>
      </c>
      <c r="C1016" s="2" t="inlineStr">
        <is>
          <t>M</t>
        </is>
      </c>
      <c r="D1016" s="2" t="inlineStr">
        <is>
          <t>100.0</t>
        </is>
      </c>
      <c r="E1016" s="4">
        <f>HYPERLINK("./Results/DLO\274\Osteo_Sarco_1.png","RPT")</f>
        <v/>
      </c>
      <c r="F1016" s="2" t="n">
        <v>138</v>
      </c>
      <c r="G1016" s="6" t="n">
        <v>5</v>
      </c>
      <c r="I1016" s="0" t="n"/>
      <c r="J1016" s="0" t="n"/>
      <c r="K1016" s="0" t="n"/>
      <c r="L1016" t="inlineStr">
        <is>
          <t>SOMATOM Force</t>
        </is>
      </c>
      <c r="M1016" t="inlineStr">
        <is>
          <t>HVP 3.0 Br40 2 (56kg/112cc...</t>
        </is>
      </c>
    </row>
    <row r="1017">
      <c r="A1017" s="2" t="n">
        <v>9683825</v>
      </c>
      <c r="B1017" s="2" t="inlineStr">
        <is>
          <t>46</t>
        </is>
      </c>
      <c r="C1017" s="2" t="inlineStr">
        <is>
          <t>F</t>
        </is>
      </c>
      <c r="D1017" s="2" t="inlineStr">
        <is>
          <t>100.0</t>
        </is>
      </c>
      <c r="E1017" s="4">
        <f>HYPERLINK("./Results/DLO\2740\Osteo_Sarco_1.png","RPT")</f>
        <v/>
      </c>
      <c r="F1017" s="2" t="n">
        <v>162</v>
      </c>
      <c r="G1017" s="6" t="n">
        <v>16</v>
      </c>
      <c r="I1017" s="0" t="n"/>
      <c r="J1017" s="0" t="n"/>
      <c r="K1017" s="0" t="n"/>
      <c r="L1017" t="inlineStr">
        <is>
          <t>LightSpeed VCT</t>
        </is>
      </c>
      <c r="M1017" t="inlineStr">
        <is>
          <t>PRE 3mm</t>
        </is>
      </c>
    </row>
    <row r="1018">
      <c r="A1018" s="2" t="n">
        <v>9686707</v>
      </c>
      <c r="B1018" s="2" t="inlineStr">
        <is>
          <t>49</t>
        </is>
      </c>
      <c r="C1018" s="2" t="inlineStr">
        <is>
          <t>F</t>
        </is>
      </c>
      <c r="D1018" s="2" t="inlineStr">
        <is>
          <t>100.0</t>
        </is>
      </c>
      <c r="E1018" s="4">
        <f>HYPERLINK("./Results/DLO\2742\Osteo_Sarco_1.png","RPT")</f>
        <v/>
      </c>
      <c r="F1018" s="2" t="n">
        <v>124</v>
      </c>
      <c r="G1018" s="6" t="n">
        <v>14</v>
      </c>
      <c r="I1018" s="0" t="n"/>
      <c r="J1018" s="0" t="n"/>
      <c r="K1018" s="0" t="n"/>
      <c r="L1018" t="inlineStr">
        <is>
          <t>Revolution CT</t>
        </is>
      </c>
      <c r="M1018" t="inlineStr">
        <is>
          <t>Pre 3mm pacs</t>
        </is>
      </c>
    </row>
    <row r="1019">
      <c r="A1019" s="2" t="n">
        <v>9687235</v>
      </c>
      <c r="B1019" s="2" t="inlineStr">
        <is>
          <t>71</t>
        </is>
      </c>
      <c r="C1019" s="2" t="inlineStr">
        <is>
          <t>M</t>
        </is>
      </c>
      <c r="D1019" s="2" t="inlineStr">
        <is>
          <t>100.0</t>
        </is>
      </c>
      <c r="E1019" s="4">
        <f>HYPERLINK("./Results/DLO\2743\Osteo_Sarco_1.png","RPT")</f>
        <v/>
      </c>
      <c r="F1019" s="2" t="n">
        <v>105</v>
      </c>
      <c r="G1019" s="6" t="n">
        <v>8</v>
      </c>
      <c r="I1019" s="0" t="n"/>
      <c r="J1019" s="0" t="n"/>
      <c r="K1019" s="0" t="n"/>
      <c r="L1019" t="inlineStr">
        <is>
          <t>SOMATOM Force</t>
        </is>
      </c>
      <c r="M1019" t="inlineStr">
        <is>
          <t>LAP 3.0 Br40 2 (53kg/106kg...</t>
        </is>
      </c>
    </row>
    <row r="1020">
      <c r="A1020" s="2" t="n">
        <v>9687194</v>
      </c>
      <c r="B1020" s="2" t="inlineStr">
        <is>
          <t>42</t>
        </is>
      </c>
      <c r="C1020" s="2" t="inlineStr">
        <is>
          <t>F</t>
        </is>
      </c>
      <c r="D1020" s="2" t="inlineStr">
        <is>
          <t>100.0</t>
        </is>
      </c>
      <c r="E1020" s="4">
        <f>HYPERLINK("./Results/DLO\2744\Osteo_Sarco_1.png","RPT")</f>
        <v/>
      </c>
      <c r="F1020" s="2" t="n">
        <v>110</v>
      </c>
      <c r="G1020" s="6" t="n">
        <v>8</v>
      </c>
      <c r="H1020" t="n">
        <v>22.98</v>
      </c>
      <c r="L1020" t="inlineStr">
        <is>
          <t>SOMATOM Definition...</t>
        </is>
      </c>
      <c r="M1020" t="inlineStr">
        <is>
          <t>Pre 3mm</t>
        </is>
      </c>
    </row>
    <row r="1021">
      <c r="A1021" s="2" t="n">
        <v>9687322</v>
      </c>
      <c r="B1021" s="2" t="inlineStr">
        <is>
          <t>60</t>
        </is>
      </c>
      <c r="C1021" s="2" t="inlineStr">
        <is>
          <t>M</t>
        </is>
      </c>
      <c r="D1021" s="2" t="inlineStr">
        <is>
          <t>100.0</t>
        </is>
      </c>
      <c r="E1021" s="4">
        <f>HYPERLINK("./Results/DLO\2745\Osteo_Sarco_1.png","RPT")</f>
        <v/>
      </c>
      <c r="F1021" s="2" t="n">
        <v>128</v>
      </c>
      <c r="G1021" s="6" t="n">
        <v>6</v>
      </c>
      <c r="I1021" s="0" t="n"/>
      <c r="J1021" s="0" t="n"/>
      <c r="K1021" s="0" t="n"/>
      <c r="L1021" t="inlineStr">
        <is>
          <t>SOMATOM Definition...</t>
        </is>
      </c>
      <c r="M1021" t="inlineStr">
        <is>
          <t>HVP 2 3mm (64kg/128cc/3cc/hexo)</t>
        </is>
      </c>
    </row>
    <row r="1022">
      <c r="A1022" s="2" t="n">
        <v>9687359</v>
      </c>
      <c r="B1022" s="2" t="inlineStr">
        <is>
          <t>68</t>
        </is>
      </c>
      <c r="C1022" s="2" t="inlineStr">
        <is>
          <t>F</t>
        </is>
      </c>
      <c r="D1022" s="2" t="inlineStr">
        <is>
          <t>100.0</t>
        </is>
      </c>
      <c r="E1022" s="4">
        <f>HYPERLINK("./Results/DLO\2746\Osteo_Sarco_1.png","RPT")</f>
        <v/>
      </c>
      <c r="F1022" s="2" t="n">
        <v>49</v>
      </c>
      <c r="G1022" s="6" t="n">
        <v>4</v>
      </c>
      <c r="I1022" s="0" t="n"/>
      <c r="J1022" s="0" t="n"/>
      <c r="K1022" s="0" t="n"/>
      <c r="L1022" t="inlineStr">
        <is>
          <t>Revolution CT</t>
        </is>
      </c>
      <c r="M1022" t="inlineStr">
        <is>
          <t>LAP 3mm(58kg/116cc/3.0cc/hexo...</t>
        </is>
      </c>
    </row>
    <row r="1023">
      <c r="A1023" s="2" t="n">
        <v>9687088</v>
      </c>
      <c r="B1023" s="2" t="inlineStr">
        <is>
          <t>43</t>
        </is>
      </c>
      <c r="C1023" s="2" t="inlineStr">
        <is>
          <t>F</t>
        </is>
      </c>
      <c r="D1023" s="2" t="inlineStr">
        <is>
          <t>100.0</t>
        </is>
      </c>
      <c r="E1023" s="4">
        <f>HYPERLINK("./Results/DLO\2747\Osteo_Sarco_1.png","RPT")</f>
        <v/>
      </c>
      <c r="F1023" s="2" t="n">
        <v>102</v>
      </c>
      <c r="G1023" s="6" t="n">
        <v>14</v>
      </c>
      <c r="I1023" s="0" t="n"/>
      <c r="J1023" s="0" t="n"/>
      <c r="K1023" s="0" t="n"/>
      <c r="L1023" t="inlineStr">
        <is>
          <t>LightSpeed VCT</t>
        </is>
      </c>
      <c r="M1023" t="inlineStr">
        <is>
          <t>PRE 3mm</t>
        </is>
      </c>
    </row>
    <row r="1024">
      <c r="A1024" s="2" t="n">
        <v>9687711</v>
      </c>
      <c r="B1024" s="2" t="inlineStr">
        <is>
          <t>54</t>
        </is>
      </c>
      <c r="C1024" s="2" t="inlineStr">
        <is>
          <t>M</t>
        </is>
      </c>
      <c r="D1024" s="2" t="inlineStr">
        <is>
          <t>120.0</t>
        </is>
      </c>
      <c r="E1024" s="4">
        <f>HYPERLINK("./Results/DLO\2748\Osteo_Sarco_1.png","RPT")</f>
        <v/>
      </c>
      <c r="F1024" s="2" t="n">
        <v>178</v>
      </c>
      <c r="G1024" s="6" t="n">
        <v>18</v>
      </c>
      <c r="I1024" s="0" t="n"/>
      <c r="J1024" s="0" t="n"/>
      <c r="K1024" s="0" t="n"/>
      <c r="L1024" t="inlineStr">
        <is>
          <t>Ingenuity CT</t>
        </is>
      </c>
      <c r="M1024" t="inlineStr">
        <is>
          <t>Pre 5mm, iDose (1)</t>
        </is>
      </c>
    </row>
    <row r="1025">
      <c r="A1025" s="2" t="n">
        <v>9687168</v>
      </c>
      <c r="B1025" s="2" t="inlineStr">
        <is>
          <t>49</t>
        </is>
      </c>
      <c r="C1025" s="2" t="inlineStr">
        <is>
          <t>M</t>
        </is>
      </c>
      <c r="D1025" s="2" t="inlineStr">
        <is>
          <t>80.0</t>
        </is>
      </c>
      <c r="E1025" s="4">
        <f>HYPERLINK("./Results/DLO\2749\Osteo_Sarco_1.png","RPT")</f>
        <v/>
      </c>
      <c r="F1025" s="2" t="n">
        <v>118</v>
      </c>
      <c r="G1025" s="6" t="n">
        <v>3</v>
      </c>
      <c r="I1025" s="0" t="n"/>
      <c r="J1025" s="0" t="n"/>
      <c r="K1025" s="0" t="n"/>
      <c r="L1025" t="inlineStr">
        <is>
          <t>SOMATOM Force</t>
        </is>
      </c>
      <c r="M1025" t="inlineStr">
        <is>
          <t>Pre 3.0 Br40 3</t>
        </is>
      </c>
    </row>
    <row r="1026">
      <c r="A1026" s="2" t="n">
        <v>1672122</v>
      </c>
      <c r="B1026" s="2" t="inlineStr">
        <is>
          <t>72</t>
        </is>
      </c>
      <c r="C1026" s="2" t="inlineStr">
        <is>
          <t>F</t>
        </is>
      </c>
      <c r="D1026" s="2" t="inlineStr">
        <is>
          <t>100.0</t>
        </is>
      </c>
      <c r="E1026" s="4">
        <f>HYPERLINK("./Results/DLO\275\Osteo_Sarco_1.png","RPT")</f>
        <v/>
      </c>
      <c r="F1026" s="2" t="n">
        <v>94</v>
      </c>
      <c r="G1026" s="6" t="n">
        <v>8</v>
      </c>
      <c r="I1026" s="0" t="n"/>
      <c r="J1026" s="0" t="n"/>
      <c r="K1026" s="0" t="n"/>
      <c r="L1026" t="inlineStr">
        <is>
          <t>SOMATOM Definition...</t>
        </is>
      </c>
      <c r="M1026" t="inlineStr">
        <is>
          <t>Pre 3mm(100kV-100mA)</t>
        </is>
      </c>
    </row>
    <row r="1027">
      <c r="A1027" s="2" t="n">
        <v>9688418</v>
      </c>
      <c r="B1027" s="2" t="inlineStr">
        <is>
          <t>69</t>
        </is>
      </c>
      <c r="C1027" s="2" t="inlineStr">
        <is>
          <t>F</t>
        </is>
      </c>
      <c r="D1027" s="2" t="inlineStr">
        <is>
          <t>100.0</t>
        </is>
      </c>
      <c r="E1027" s="4">
        <f>HYPERLINK("./Results/DLO\2750\Osteo_Sarco_1.png","RPT")</f>
        <v/>
      </c>
      <c r="F1027" s="2" t="n">
        <v>90</v>
      </c>
      <c r="G1027" s="6" t="n">
        <v>12</v>
      </c>
      <c r="I1027" s="0" t="n"/>
      <c r="J1027" s="0" t="n"/>
      <c r="K1027" s="0" t="n"/>
      <c r="L1027" t="inlineStr">
        <is>
          <t>iCT 256</t>
        </is>
      </c>
      <c r="M1027" t="inlineStr">
        <is>
          <t>Pre3/3mm_I-3, iDose (3)</t>
        </is>
      </c>
    </row>
    <row r="1028">
      <c r="A1028" s="2" t="n">
        <v>9688450</v>
      </c>
      <c r="B1028" s="2" t="inlineStr">
        <is>
          <t>46</t>
        </is>
      </c>
      <c r="C1028" s="2" t="inlineStr">
        <is>
          <t>M</t>
        </is>
      </c>
      <c r="D1028" s="2" t="inlineStr">
        <is>
          <t>100.0</t>
        </is>
      </c>
      <c r="E1028" s="4">
        <f>HYPERLINK("./Results/DLO\2751\Osteo_Sarco_1.png","RPT")</f>
        <v/>
      </c>
      <c r="F1028" s="2" t="n">
        <v>178</v>
      </c>
      <c r="G1028" s="6" t="n">
        <v>9</v>
      </c>
      <c r="I1028" s="0" t="n"/>
      <c r="J1028" s="0" t="n"/>
      <c r="K1028" s="0" t="n"/>
      <c r="L1028" t="inlineStr">
        <is>
          <t>LightSpeed VCT</t>
        </is>
      </c>
      <c r="M1028" t="inlineStr">
        <is>
          <t>PRE 3mm</t>
        </is>
      </c>
    </row>
    <row r="1029">
      <c r="A1029" s="2" t="n">
        <v>9689179</v>
      </c>
      <c r="B1029" s="2" t="inlineStr">
        <is>
          <t>52</t>
        </is>
      </c>
      <c r="C1029" s="2" t="inlineStr">
        <is>
          <t>F</t>
        </is>
      </c>
      <c r="D1029" s="2" t="inlineStr">
        <is>
          <t>100.0</t>
        </is>
      </c>
      <c r="E1029" s="4">
        <f>HYPERLINK("./Results/DLO\2752\Osteo_Sarco_1.png","RPT")</f>
        <v/>
      </c>
      <c r="F1029" s="2" t="n">
        <v>110</v>
      </c>
      <c r="G1029" s="6" t="n">
        <v>7</v>
      </c>
      <c r="I1029" s="0" t="n"/>
      <c r="J1029" s="0" t="n"/>
      <c r="K1029" s="0" t="n"/>
      <c r="L1029" t="inlineStr">
        <is>
          <t>Revolution EVO</t>
        </is>
      </c>
      <c r="M1029" t="inlineStr">
        <is>
          <t>PRE</t>
        </is>
      </c>
    </row>
    <row r="1030">
      <c r="A1030" s="2" t="n">
        <v>9690938</v>
      </c>
      <c r="B1030" s="2" t="inlineStr">
        <is>
          <t>70</t>
        </is>
      </c>
      <c r="C1030" s="2" t="inlineStr">
        <is>
          <t>M</t>
        </is>
      </c>
      <c r="D1030" s="2" t="inlineStr">
        <is>
          <t>100.0</t>
        </is>
      </c>
      <c r="E1030" s="4">
        <f>HYPERLINK("./Results/DLO\2753\Osteo_Sarco_1.png","RPT")</f>
        <v/>
      </c>
      <c r="F1030" s="2" t="n">
        <v>165</v>
      </c>
      <c r="G1030" s="6" t="n">
        <v>10</v>
      </c>
      <c r="H1030" t="n">
        <v>26.45</v>
      </c>
      <c r="L1030" t="inlineStr">
        <is>
          <t>SOMATOM Definition...</t>
        </is>
      </c>
      <c r="M1030" t="inlineStr">
        <is>
          <t>Pre(GU) 3mm</t>
        </is>
      </c>
    </row>
    <row r="1031">
      <c r="A1031" s="2" t="n">
        <v>9690733</v>
      </c>
      <c r="B1031" s="2" t="inlineStr">
        <is>
          <t>71</t>
        </is>
      </c>
      <c r="C1031" s="2" t="inlineStr">
        <is>
          <t>M</t>
        </is>
      </c>
      <c r="D1031" s="2" t="inlineStr">
        <is>
          <t>120.0</t>
        </is>
      </c>
      <c r="E1031" s="4">
        <f>HYPERLINK("./Results/DLO\2754\Osteo_Sarco_1.png","RPT")</f>
        <v/>
      </c>
      <c r="F1031" s="2" t="n">
        <v>158</v>
      </c>
      <c r="G1031" s="6" t="n">
        <v>10</v>
      </c>
      <c r="H1031" t="n">
        <v>28.07</v>
      </c>
      <c r="L1031" t="inlineStr">
        <is>
          <t>Discovery CT750 HD</t>
        </is>
      </c>
      <c r="M1031" t="inlineStr">
        <is>
          <t>PRE</t>
        </is>
      </c>
    </row>
    <row r="1032">
      <c r="A1032" s="2" t="n">
        <v>9690675</v>
      </c>
      <c r="B1032" s="2" t="inlineStr">
        <is>
          <t>78</t>
        </is>
      </c>
      <c r="C1032" s="2" t="inlineStr">
        <is>
          <t>F</t>
        </is>
      </c>
      <c r="D1032" s="2" t="inlineStr">
        <is>
          <t>120.0</t>
        </is>
      </c>
      <c r="E1032" s="4">
        <f>HYPERLINK("./Results/DLO\2755\Osteo_Sarco_1.png","RPT")</f>
        <v/>
      </c>
      <c r="F1032" s="2" t="n">
        <v>134</v>
      </c>
      <c r="G1032" s="6" t="n">
        <v>25</v>
      </c>
      <c r="H1032" t="n">
        <v>27.8</v>
      </c>
      <c r="L1032" t="inlineStr">
        <is>
          <t>iCT 256</t>
        </is>
      </c>
      <c r="M1032" t="inlineStr">
        <is>
          <t>LAP 3/3mm, iDose (3)</t>
        </is>
      </c>
    </row>
    <row r="1033">
      <c r="A1033" s="2" t="n">
        <v>9691400</v>
      </c>
      <c r="B1033" s="2" t="inlineStr">
        <is>
          <t>68</t>
        </is>
      </c>
      <c r="C1033" s="2" t="inlineStr">
        <is>
          <t>M</t>
        </is>
      </c>
      <c r="D1033" s="2" t="inlineStr">
        <is>
          <t>130.0</t>
        </is>
      </c>
      <c r="E1033" s="4">
        <f>HYPERLINK("./Results/DLO\2756\Osteo_Sarco_1.png","RPT")</f>
        <v/>
      </c>
      <c r="F1033" s="2" t="n">
        <v>151</v>
      </c>
      <c r="G1033" s="6" t="n">
        <v>9</v>
      </c>
      <c r="I1033" s="0" t="n"/>
      <c r="J1033" s="0" t="n"/>
      <c r="K1033" s="0" t="n"/>
      <c r="L1033" t="inlineStr">
        <is>
          <t>SOMATOM Perspective</t>
        </is>
      </c>
      <c r="M1033" t="inlineStr">
        <is>
          <t>Abdomen pre 3.0 B40s</t>
        </is>
      </c>
    </row>
    <row r="1034">
      <c r="A1034" s="2" t="n">
        <v>9693073</v>
      </c>
      <c r="B1034" s="2" t="inlineStr">
        <is>
          <t>66</t>
        </is>
      </c>
      <c r="C1034" s="2" t="inlineStr">
        <is>
          <t>M</t>
        </is>
      </c>
      <c r="D1034" s="2" t="inlineStr">
        <is>
          <t>120.0</t>
        </is>
      </c>
      <c r="E1034" s="4">
        <f>HYPERLINK("./Results/DLO\2757\Osteo_Sarco_1.png","RPT")</f>
        <v/>
      </c>
      <c r="F1034" s="2" t="n">
        <v>159</v>
      </c>
      <c r="G1034" s="6" t="n">
        <v>7</v>
      </c>
      <c r="I1034" s="0" t="n"/>
      <c r="J1034" s="0" t="n"/>
      <c r="K1034" s="0" t="n"/>
      <c r="L1034" t="inlineStr">
        <is>
          <t>LightSpeed VCT</t>
        </is>
      </c>
      <c r="M1034" t="inlineStr">
        <is>
          <t>pre contrast</t>
        </is>
      </c>
    </row>
    <row r="1035">
      <c r="A1035" s="2" t="n">
        <v>9693100</v>
      </c>
      <c r="B1035" s="2" t="inlineStr">
        <is>
          <t>57</t>
        </is>
      </c>
      <c r="C1035" s="2" t="inlineStr">
        <is>
          <t>F</t>
        </is>
      </c>
      <c r="D1035" s="2" t="inlineStr">
        <is>
          <t>100.0</t>
        </is>
      </c>
      <c r="E1035" s="4">
        <f>HYPERLINK("./Results/DLO\2758\Osteo_Sarco_1.png","RPT")</f>
        <v/>
      </c>
      <c r="F1035" s="2" t="n">
        <v>94</v>
      </c>
      <c r="G1035" s="6" t="n">
        <v>8</v>
      </c>
      <c r="I1035" s="0" t="n"/>
      <c r="J1035" s="0" t="n"/>
      <c r="K1035" s="0" t="n"/>
      <c r="L1035" t="inlineStr">
        <is>
          <t>LightSpeed VCT</t>
        </is>
      </c>
      <c r="M1035" t="inlineStr">
        <is>
          <t>PRE (CP angle~Pubic)</t>
        </is>
      </c>
    </row>
    <row r="1036">
      <c r="A1036" s="2" t="n">
        <v>9692862</v>
      </c>
      <c r="B1036" s="2" t="inlineStr">
        <is>
          <t>73</t>
        </is>
      </c>
      <c r="C1036" s="2" t="inlineStr">
        <is>
          <t>M</t>
        </is>
      </c>
      <c r="D1036" s="2" t="inlineStr">
        <is>
          <t>100.0</t>
        </is>
      </c>
      <c r="E1036" s="4">
        <f>HYPERLINK("./Results/DLO\2759\Osteo_Sarco_1.png","RPT")</f>
        <v/>
      </c>
      <c r="F1036" s="2" t="n">
        <v>91</v>
      </c>
      <c r="G1036" s="6" t="n">
        <v>12</v>
      </c>
      <c r="H1036" t="n">
        <v>27.28</v>
      </c>
      <c r="L1036" t="inlineStr">
        <is>
          <t>iCT 256</t>
        </is>
      </c>
      <c r="M1036" t="inlineStr">
        <is>
          <t>Pre 3mm, iDose (3)</t>
        </is>
      </c>
    </row>
    <row r="1037">
      <c r="A1037" s="2" t="n">
        <v>3353313</v>
      </c>
      <c r="B1037" s="2" t="inlineStr">
        <is>
          <t>48</t>
        </is>
      </c>
      <c r="C1037" s="2" t="inlineStr">
        <is>
          <t>F</t>
        </is>
      </c>
      <c r="D1037" s="2" t="inlineStr">
        <is>
          <t>100.0</t>
        </is>
      </c>
      <c r="E1037" s="4">
        <f>HYPERLINK("./Results/DLO\276\Osteo_Sarco_1.png","RPT")</f>
        <v/>
      </c>
      <c r="F1037" s="2" t="n">
        <v>127</v>
      </c>
      <c r="G1037" s="6" t="n">
        <v>4</v>
      </c>
      <c r="I1037" s="0" t="n"/>
      <c r="J1037" s="0" t="n"/>
      <c r="K1037" s="0" t="n"/>
      <c r="L1037" t="inlineStr">
        <is>
          <t>Discovery CT750 HD</t>
        </is>
      </c>
      <c r="M1037" t="inlineStr">
        <is>
          <t>CE 2.5mm(ASIR30%)</t>
        </is>
      </c>
    </row>
    <row r="1038">
      <c r="A1038" s="2" t="n">
        <v>9694193</v>
      </c>
      <c r="B1038" s="2" t="inlineStr">
        <is>
          <t>60</t>
        </is>
      </c>
      <c r="C1038" s="2" t="inlineStr">
        <is>
          <t>M</t>
        </is>
      </c>
      <c r="D1038" s="2" t="inlineStr">
        <is>
          <t>120.0</t>
        </is>
      </c>
      <c r="E1038" s="4">
        <f>HYPERLINK("./Results/DLO\2760\Osteo_Sarco_1.png","RPT")</f>
        <v/>
      </c>
      <c r="F1038" s="2" t="n">
        <v>180</v>
      </c>
      <c r="G1038" s="6" t="n">
        <v>8</v>
      </c>
      <c r="I1038" s="0" t="n"/>
      <c r="J1038" s="0" t="n"/>
      <c r="K1038" s="0" t="n"/>
      <c r="L1038" t="inlineStr">
        <is>
          <t>Discovery CT750 HD</t>
        </is>
      </c>
      <c r="M1038" t="inlineStr">
        <is>
          <t>ABD</t>
        </is>
      </c>
    </row>
    <row r="1039">
      <c r="A1039" s="2" t="n">
        <v>9694264</v>
      </c>
      <c r="B1039" s="2" t="inlineStr">
        <is>
          <t>57</t>
        </is>
      </c>
      <c r="C1039" s="2" t="inlineStr">
        <is>
          <t>F</t>
        </is>
      </c>
      <c r="D1039" s="2" t="inlineStr">
        <is>
          <t>120.0</t>
        </is>
      </c>
      <c r="E1039" s="4">
        <f>HYPERLINK("./Results/DLO\2761\Osteo_Sarco_1.png","RPT")</f>
        <v/>
      </c>
      <c r="F1039" s="2" t="n">
        <v>131</v>
      </c>
      <c r="G1039" s="6" t="n">
        <v>12</v>
      </c>
      <c r="H1039" t="n">
        <v>24.24</v>
      </c>
      <c r="L1039" t="inlineStr">
        <is>
          <t>LightSpeed VCT</t>
        </is>
      </c>
      <c r="M1039" t="inlineStr">
        <is>
          <t>LAP 18sec 3mm</t>
        </is>
      </c>
    </row>
    <row r="1040">
      <c r="A1040" s="2" t="n">
        <v>9694905</v>
      </c>
      <c r="B1040" s="2" t="inlineStr">
        <is>
          <t>37</t>
        </is>
      </c>
      <c r="C1040" s="2" t="inlineStr">
        <is>
          <t>F</t>
        </is>
      </c>
      <c r="D1040" s="2" t="inlineStr">
        <is>
          <t>100.0</t>
        </is>
      </c>
      <c r="E1040" s="4">
        <f>HYPERLINK("./Results/DLO\2762\Osteo_Sarco_1.png","RPT")</f>
        <v/>
      </c>
      <c r="F1040" s="2" t="n">
        <v>98</v>
      </c>
      <c r="G1040" s="6" t="n">
        <v>9</v>
      </c>
      <c r="I1040" s="0" t="n"/>
      <c r="J1040" s="0" t="n"/>
      <c r="K1040" s="0" t="n"/>
      <c r="L1040" t="inlineStr">
        <is>
          <t>SOMATOM Force</t>
        </is>
      </c>
      <c r="M1040" t="inlineStr">
        <is>
          <t>Pre 3.0 Br40 2</t>
        </is>
      </c>
    </row>
    <row r="1041">
      <c r="A1041" s="2" t="n">
        <v>9695018</v>
      </c>
      <c r="B1041" s="2" t="inlineStr">
        <is>
          <t>61</t>
        </is>
      </c>
      <c r="C1041" s="2" t="inlineStr">
        <is>
          <t>M</t>
        </is>
      </c>
      <c r="D1041" s="2" t="inlineStr">
        <is>
          <t>120.0</t>
        </is>
      </c>
      <c r="E1041" s="4">
        <f>HYPERLINK("./Results/DLO\2763\Osteo_Sarco_1.png","RPT")</f>
        <v/>
      </c>
      <c r="F1041" s="2" t="n">
        <v>152</v>
      </c>
      <c r="G1041" s="6" t="n">
        <v>6</v>
      </c>
      <c r="H1041" t="n">
        <v>25.34</v>
      </c>
      <c r="L1041" t="inlineStr">
        <is>
          <t>SOMATOM Definition...</t>
        </is>
      </c>
      <c r="M1041" t="inlineStr">
        <is>
          <t>PRE 3mm (120Kvp 60mAs)</t>
        </is>
      </c>
    </row>
    <row r="1042">
      <c r="A1042" s="2" t="n">
        <v>9694936</v>
      </c>
      <c r="B1042" s="2" t="inlineStr">
        <is>
          <t>58</t>
        </is>
      </c>
      <c r="C1042" s="2" t="inlineStr">
        <is>
          <t>M</t>
        </is>
      </c>
      <c r="D1042" s="2" t="inlineStr">
        <is>
          <t>100.0</t>
        </is>
      </c>
      <c r="E1042" s="4">
        <f>HYPERLINK("./Results/DLO\2764\Osteo_Sarco_1.png","RPT")</f>
        <v/>
      </c>
      <c r="F1042" s="2" t="n">
        <v>130</v>
      </c>
      <c r="G1042" s="6" t="n">
        <v>5</v>
      </c>
      <c r="I1042" s="0" t="n"/>
      <c r="J1042" s="0" t="n"/>
      <c r="K1042" s="0" t="n"/>
      <c r="L1042" t="inlineStr">
        <is>
          <t>Revolution CT</t>
        </is>
      </c>
      <c r="M1042" t="inlineStr">
        <is>
          <t>LAP 3mm(56kg/112cc/3.0cc/hexo)</t>
        </is>
      </c>
    </row>
    <row r="1043">
      <c r="A1043" s="2" t="n">
        <v>9697155</v>
      </c>
      <c r="B1043" s="2" t="inlineStr">
        <is>
          <t>66</t>
        </is>
      </c>
      <c r="C1043" s="2" t="inlineStr">
        <is>
          <t>F</t>
        </is>
      </c>
      <c r="D1043" s="2" t="inlineStr">
        <is>
          <t>100.0</t>
        </is>
      </c>
      <c r="E1043" s="4">
        <f>HYPERLINK("./Results/DLO\2765\Osteo_Sarco_1.png","RPT")</f>
        <v/>
      </c>
      <c r="F1043" s="2" t="n">
        <v>121</v>
      </c>
      <c r="G1043" s="6" t="n">
        <v>13</v>
      </c>
      <c r="I1043" s="0" t="n"/>
      <c r="J1043" s="0" t="n"/>
      <c r="K1043" s="0" t="n"/>
      <c r="L1043" t="inlineStr">
        <is>
          <t>Revolution CT</t>
        </is>
      </c>
      <c r="M1043" t="inlineStr">
        <is>
          <t>LAP 3mm(65kg/130cc/3.0cc/hexo...</t>
        </is>
      </c>
    </row>
    <row r="1044">
      <c r="A1044" s="2" t="n">
        <v>9697143</v>
      </c>
      <c r="B1044" s="2" t="inlineStr">
        <is>
          <t>63</t>
        </is>
      </c>
      <c r="C1044" s="2" t="inlineStr">
        <is>
          <t>M</t>
        </is>
      </c>
      <c r="D1044" s="2" t="inlineStr">
        <is>
          <t>120.0</t>
        </is>
      </c>
      <c r="E1044" s="4">
        <f>HYPERLINK("./Results/DLO\2766\Osteo_Sarco_1.png","RPT")</f>
        <v/>
      </c>
      <c r="F1044" s="2" t="n">
        <v>117</v>
      </c>
      <c r="G1044" s="6" t="n">
        <v>29</v>
      </c>
      <c r="H1044" t="n">
        <v>22.89</v>
      </c>
      <c r="L1044" t="inlineStr">
        <is>
          <t>Sensation 64</t>
        </is>
      </c>
      <c r="M1044" t="inlineStr">
        <is>
          <t>Pre 5.0 B30f</t>
        </is>
      </c>
    </row>
    <row r="1045">
      <c r="A1045" s="2" t="n">
        <v>9698417</v>
      </c>
      <c r="B1045" s="2" t="inlineStr">
        <is>
          <t>27</t>
        </is>
      </c>
      <c r="C1045" s="2" t="inlineStr">
        <is>
          <t>F</t>
        </is>
      </c>
      <c r="D1045" s="2" t="inlineStr">
        <is>
          <t>100.0</t>
        </is>
      </c>
      <c r="E1045" s="4">
        <f>HYPERLINK("./Results/DLO\2767\Osteo_Sarco_1.png","RPT")</f>
        <v/>
      </c>
      <c r="F1045" s="2" t="n">
        <v>107</v>
      </c>
      <c r="G1045" s="6" t="n">
        <v>8</v>
      </c>
      <c r="I1045" s="0" t="n"/>
      <c r="J1045" s="0" t="n"/>
      <c r="K1045" s="0" t="n"/>
      <c r="L1045" t="inlineStr">
        <is>
          <t>SOMATOM Definition...</t>
        </is>
      </c>
      <c r="M1045" t="inlineStr">
        <is>
          <t>Pre(Abd) 3mm</t>
        </is>
      </c>
    </row>
    <row r="1046">
      <c r="A1046" s="2" t="n">
        <v>9697984</v>
      </c>
      <c r="B1046" s="2" t="inlineStr">
        <is>
          <t>63</t>
        </is>
      </c>
      <c r="C1046" s="2" t="inlineStr">
        <is>
          <t>M</t>
        </is>
      </c>
      <c r="D1046" s="2" t="inlineStr">
        <is>
          <t>120.0</t>
        </is>
      </c>
      <c r="E1046" s="4">
        <f>HYPERLINK("./Results/DLO\2768\Osteo_Sarco_1.png","RPT")</f>
        <v/>
      </c>
      <c r="F1046" s="2" t="n">
        <v>127</v>
      </c>
      <c r="G1046" s="6" t="n">
        <v>11</v>
      </c>
      <c r="I1046" s="0" t="n"/>
      <c r="J1046" s="0" t="n"/>
      <c r="K1046" s="0" t="n"/>
      <c r="L1046" t="inlineStr">
        <is>
          <t>Discovery CT750 HD</t>
        </is>
      </c>
      <c r="M1046" t="inlineStr">
        <is>
          <t>LAP 3mm</t>
        </is>
      </c>
    </row>
    <row r="1047">
      <c r="A1047" s="2" t="n">
        <v>9698168</v>
      </c>
      <c r="B1047" s="2" t="inlineStr">
        <is>
          <t>38</t>
        </is>
      </c>
      <c r="C1047" s="2" t="inlineStr">
        <is>
          <t>F</t>
        </is>
      </c>
      <c r="D1047" s="2" t="inlineStr">
        <is>
          <t>100.0</t>
        </is>
      </c>
      <c r="E1047" s="4">
        <f>HYPERLINK("./Results/DLO\2769\Osteo_Sarco_1.png","RPT")</f>
        <v/>
      </c>
      <c r="F1047" s="2" t="n">
        <v>99</v>
      </c>
      <c r="G1047" s="6" t="n">
        <v>11</v>
      </c>
      <c r="I1047" s="0" t="n"/>
      <c r="J1047" s="0" t="n"/>
      <c r="K1047" s="0" t="n"/>
      <c r="L1047" t="inlineStr">
        <is>
          <t>iCT 256</t>
        </is>
      </c>
      <c r="M1047" t="inlineStr">
        <is>
          <t>Pre3/3mm_I-3, iDose (3)</t>
        </is>
      </c>
    </row>
    <row r="1048">
      <c r="A1048" s="2" t="n">
        <v>2941594</v>
      </c>
      <c r="B1048" s="2" t="inlineStr">
        <is>
          <t>62</t>
        </is>
      </c>
      <c r="C1048" s="2" t="inlineStr">
        <is>
          <t>F</t>
        </is>
      </c>
      <c r="D1048" s="2" t="inlineStr">
        <is>
          <t>100.0</t>
        </is>
      </c>
      <c r="E1048" s="4">
        <f>HYPERLINK("./Results/DLO\277\Osteo_Sarco_1.png","RPT")</f>
        <v/>
      </c>
      <c r="F1048" s="2" t="n">
        <v>100</v>
      </c>
      <c r="G1048" s="6" t="n">
        <v>7</v>
      </c>
      <c r="I1048" s="0" t="n"/>
      <c r="J1048" s="0" t="n"/>
      <c r="K1048" s="0" t="n"/>
      <c r="L1048" t="inlineStr">
        <is>
          <t>SOMATOM Definition...</t>
        </is>
      </c>
      <c r="M1048" t="inlineStr">
        <is>
          <t>HVP 2 3mm (56kg/112cc/2.5cc/....</t>
        </is>
      </c>
    </row>
    <row r="1049">
      <c r="A1049" s="2" t="n">
        <v>9698668</v>
      </c>
      <c r="B1049" s="2" t="inlineStr">
        <is>
          <t>41</t>
        </is>
      </c>
      <c r="C1049" s="2" t="inlineStr">
        <is>
          <t>F</t>
        </is>
      </c>
      <c r="D1049" s="2" t="inlineStr">
        <is>
          <t>120.0</t>
        </is>
      </c>
      <c r="E1049" s="4">
        <f>HYPERLINK("./Results/DLO\2770\Osteo_Sarco_1.png","RPT")</f>
        <v/>
      </c>
      <c r="F1049" s="2" t="n">
        <v>112</v>
      </c>
      <c r="G1049" s="6" t="n">
        <v>11</v>
      </c>
      <c r="I1049" s="0" t="n"/>
      <c r="J1049" s="0" t="n"/>
      <c r="K1049" s="0" t="n"/>
      <c r="L1049" t="inlineStr">
        <is>
          <t>Ingenuity CT Elite</t>
        </is>
      </c>
      <c r="M1049" t="inlineStr">
        <is>
          <t>PRE YA(-1)</t>
        </is>
      </c>
    </row>
    <row r="1050">
      <c r="A1050" s="2" t="n">
        <v>9699693</v>
      </c>
      <c r="B1050" s="2" t="inlineStr">
        <is>
          <t>41</t>
        </is>
      </c>
      <c r="C1050" s="2" t="inlineStr">
        <is>
          <t>M</t>
        </is>
      </c>
      <c r="D1050" s="2" t="inlineStr">
        <is>
          <t>100.0</t>
        </is>
      </c>
      <c r="E1050" s="4">
        <f>HYPERLINK("./Results/DLO\2771\Osteo_Sarco_1.png","RPT")</f>
        <v/>
      </c>
      <c r="F1050" s="2" t="n">
        <v>148</v>
      </c>
      <c r="G1050" s="6" t="n">
        <v>3</v>
      </c>
      <c r="I1050" s="0" t="n"/>
      <c r="J1050" s="0" t="n"/>
      <c r="K1050" s="0" t="n"/>
      <c r="L1050" t="inlineStr">
        <is>
          <t>SOMATOM Definition...</t>
        </is>
      </c>
      <c r="M1050" t="inlineStr">
        <is>
          <t>Abd PRE 3.0 I31f 2</t>
        </is>
      </c>
    </row>
    <row r="1051">
      <c r="A1051" s="2" t="n">
        <v>9703362</v>
      </c>
      <c r="B1051" s="2" t="inlineStr">
        <is>
          <t>44</t>
        </is>
      </c>
      <c r="C1051" s="2" t="inlineStr">
        <is>
          <t>F</t>
        </is>
      </c>
      <c r="D1051" s="2" t="inlineStr">
        <is>
          <t>100.0</t>
        </is>
      </c>
      <c r="E1051" s="4">
        <f>HYPERLINK("./Results/DLO\2773\Osteo_Sarco_1.png","RPT")</f>
        <v/>
      </c>
      <c r="F1051" s="2" t="n">
        <v>123</v>
      </c>
      <c r="G1051" s="6" t="n">
        <v>9</v>
      </c>
      <c r="I1051" s="0" t="n"/>
      <c r="J1051" s="0" t="n"/>
      <c r="K1051" s="0" t="n"/>
      <c r="L1051" t="inlineStr">
        <is>
          <t>SOMATOM Definition...</t>
        </is>
      </c>
      <c r="M1051" t="inlineStr">
        <is>
          <t>Pre 3mm</t>
        </is>
      </c>
    </row>
    <row r="1052">
      <c r="A1052" s="2" t="n">
        <v>9702798</v>
      </c>
      <c r="B1052" s="2" t="inlineStr">
        <is>
          <t>65</t>
        </is>
      </c>
      <c r="C1052" s="2" t="inlineStr">
        <is>
          <t>M</t>
        </is>
      </c>
      <c r="D1052" s="2" t="inlineStr">
        <is>
          <t>100.0</t>
        </is>
      </c>
      <c r="E1052" s="4">
        <f>HYPERLINK("./Results/DLO\2774\Osteo_Sarco_1.png","RPT")</f>
        <v/>
      </c>
      <c r="F1052" s="2" t="n">
        <v>132</v>
      </c>
      <c r="G1052" s="6" t="n">
        <v>4</v>
      </c>
      <c r="H1052" t="n">
        <v>21.34</v>
      </c>
      <c r="L1052" t="inlineStr">
        <is>
          <t>SOMATOM Definition...</t>
        </is>
      </c>
      <c r="M1052" t="inlineStr">
        <is>
          <t>LAP 3mm(58kg/116cc/3cc/radi)</t>
        </is>
      </c>
    </row>
    <row r="1053">
      <c r="A1053" s="2" t="n">
        <v>9702956</v>
      </c>
      <c r="B1053" s="2" t="inlineStr">
        <is>
          <t>57</t>
        </is>
      </c>
      <c r="C1053" s="2" t="inlineStr">
        <is>
          <t>F</t>
        </is>
      </c>
      <c r="D1053" s="2" t="inlineStr">
        <is>
          <t>100.0</t>
        </is>
      </c>
      <c r="E1053" s="4">
        <f>HYPERLINK("./Results/DLO\2775\Osteo_Sarco_1.png","RPT")</f>
        <v/>
      </c>
      <c r="F1053" s="2" t="n">
        <v>104</v>
      </c>
      <c r="G1053" s="6" t="n">
        <v>4</v>
      </c>
      <c r="I1053" s="0" t="n"/>
      <c r="J1053" s="0" t="n"/>
      <c r="K1053" s="0" t="n"/>
      <c r="L1053" t="inlineStr">
        <is>
          <t>iCT 256</t>
        </is>
      </c>
      <c r="M1053" t="inlineStr">
        <is>
          <t>HVP 3/3mm, iDose (3)</t>
        </is>
      </c>
    </row>
    <row r="1054">
      <c r="A1054" s="2" t="n">
        <v>9703324</v>
      </c>
      <c r="B1054" s="2" t="inlineStr">
        <is>
          <t>48</t>
        </is>
      </c>
      <c r="C1054" s="2" t="inlineStr">
        <is>
          <t>M</t>
        </is>
      </c>
      <c r="D1054" s="2" t="inlineStr">
        <is>
          <t>100.0</t>
        </is>
      </c>
      <c r="E1054" s="4">
        <f>HYPERLINK("./Results/DLO\2776\Osteo_Sarco_1.png","RPT")</f>
        <v/>
      </c>
      <c r="F1054" s="2" t="n">
        <v>166</v>
      </c>
      <c r="G1054" s="6" t="n">
        <v>9</v>
      </c>
      <c r="I1054" s="0" t="n"/>
      <c r="J1054" s="0" t="n"/>
      <c r="K1054" s="0" t="n"/>
      <c r="L1054" t="inlineStr">
        <is>
          <t>SOMATOM Definition...</t>
        </is>
      </c>
      <c r="M1054" t="inlineStr">
        <is>
          <t>LAP 2 3mm(57kg/114ml/3ml/he...</t>
        </is>
      </c>
    </row>
    <row r="1055">
      <c r="A1055" s="2" t="n">
        <v>9702843</v>
      </c>
      <c r="B1055" s="2" t="inlineStr">
        <is>
          <t>74</t>
        </is>
      </c>
      <c r="C1055" s="2" t="inlineStr">
        <is>
          <t>M</t>
        </is>
      </c>
      <c r="D1055" s="2" t="inlineStr">
        <is>
          <t>100.0</t>
        </is>
      </c>
      <c r="E1055" s="4">
        <f>HYPERLINK("./Results/DLO\2777\Osteo_Sarco_1.png","RPT")</f>
        <v/>
      </c>
      <c r="F1055" s="2" t="n">
        <v>159</v>
      </c>
      <c r="G1055" s="6" t="n">
        <v>27</v>
      </c>
      <c r="H1055" t="n">
        <v>28.84</v>
      </c>
      <c r="L1055" t="inlineStr">
        <is>
          <t>LightSpeed VCT</t>
        </is>
      </c>
      <c r="M1055" t="inlineStr">
        <is>
          <t>PRE 2,5mm</t>
        </is>
      </c>
    </row>
    <row r="1056">
      <c r="A1056" s="2" t="n">
        <v>9704126</v>
      </c>
      <c r="B1056" s="2" t="inlineStr">
        <is>
          <t>50</t>
        </is>
      </c>
      <c r="C1056" s="2" t="inlineStr">
        <is>
          <t>F</t>
        </is>
      </c>
      <c r="D1056" s="2" t="inlineStr">
        <is>
          <t>120.0</t>
        </is>
      </c>
      <c r="E1056" s="4">
        <f>HYPERLINK("./Results/DLO\2778\Osteo_Sarco_1.png","RPT")</f>
        <v/>
      </c>
      <c r="F1056" s="2" t="n">
        <v>95</v>
      </c>
      <c r="G1056" s="6" t="n">
        <v>9</v>
      </c>
      <c r="I1056" s="0" t="n"/>
      <c r="J1056" s="0" t="n"/>
      <c r="K1056" s="0" t="n"/>
      <c r="L1056" t="inlineStr">
        <is>
          <t>iCT 256</t>
        </is>
      </c>
      <c r="M1056" t="inlineStr">
        <is>
          <t>Pre ABD 5mm, iDose (2)</t>
        </is>
      </c>
    </row>
    <row r="1057">
      <c r="A1057" s="2" t="n">
        <v>9704629</v>
      </c>
      <c r="B1057" s="2" t="inlineStr">
        <is>
          <t>41</t>
        </is>
      </c>
      <c r="C1057" s="2" t="inlineStr">
        <is>
          <t>F</t>
        </is>
      </c>
      <c r="D1057" s="2" t="inlineStr">
        <is>
          <t>120.0</t>
        </is>
      </c>
      <c r="E1057" s="4">
        <f>HYPERLINK("./Results/DLO\2779\Osteo_Sarco_1.png","RPT")</f>
        <v/>
      </c>
      <c r="F1057" s="2" t="n">
        <v>110</v>
      </c>
      <c r="G1057" s="6" t="n">
        <v>13</v>
      </c>
      <c r="I1057" s="0" t="n"/>
      <c r="J1057" s="0" t="n"/>
      <c r="K1057" s="0" t="n"/>
      <c r="L1057" t="inlineStr">
        <is>
          <t>Sensation Open</t>
        </is>
      </c>
      <c r="M1057" t="inlineStr">
        <is>
          <t>04_RT_Chest 3.0 B31s empty</t>
        </is>
      </c>
    </row>
    <row r="1058">
      <c r="A1058" s="2" t="n">
        <v>4927741</v>
      </c>
      <c r="B1058" s="2" t="inlineStr">
        <is>
          <t>68</t>
        </is>
      </c>
      <c r="C1058" s="2" t="inlineStr">
        <is>
          <t>F</t>
        </is>
      </c>
      <c r="D1058" s="2" t="inlineStr">
        <is>
          <t>100.0</t>
        </is>
      </c>
      <c r="E1058" s="4">
        <f>HYPERLINK("./Results/DLO\278\Osteo_Sarco_1.png","RPT")</f>
        <v/>
      </c>
      <c r="F1058" s="2" t="n">
        <v>97</v>
      </c>
      <c r="G1058" s="6" t="n">
        <v>12</v>
      </c>
      <c r="I1058" s="0" t="n"/>
      <c r="J1058" s="0" t="n"/>
      <c r="K1058" s="0" t="n"/>
      <c r="L1058" t="inlineStr">
        <is>
          <t>Revolution CT</t>
        </is>
      </c>
      <c r="M1058" t="inlineStr">
        <is>
          <t>Pre Axial 3mm(AR40%)</t>
        </is>
      </c>
    </row>
    <row r="1059">
      <c r="A1059" s="2" t="n">
        <v>9705616</v>
      </c>
      <c r="B1059" s="2" t="inlineStr">
        <is>
          <t>67</t>
        </is>
      </c>
      <c r="C1059" s="2" t="inlineStr">
        <is>
          <t>M</t>
        </is>
      </c>
      <c r="D1059" s="2" t="inlineStr">
        <is>
          <t>100.0</t>
        </is>
      </c>
      <c r="E1059" s="4">
        <f>HYPERLINK("./Results/DLO\2780\Osteo_Sarco_1.png","RPT")</f>
        <v/>
      </c>
      <c r="F1059" s="2" t="n">
        <v>110</v>
      </c>
      <c r="G1059" s="6" t="n">
        <v>8</v>
      </c>
      <c r="H1059" t="n">
        <v>26.03</v>
      </c>
      <c r="L1059" t="inlineStr">
        <is>
          <t>SOMATOM Force</t>
        </is>
      </c>
      <c r="M1059" t="inlineStr">
        <is>
          <t>LAP 3.0 Br40 2 (77kg/150kg...</t>
        </is>
      </c>
    </row>
    <row r="1060">
      <c r="A1060" s="2" t="n">
        <v>9706594</v>
      </c>
      <c r="B1060" s="2" t="inlineStr">
        <is>
          <t>59</t>
        </is>
      </c>
      <c r="C1060" s="2" t="inlineStr">
        <is>
          <t>F</t>
        </is>
      </c>
      <c r="D1060" s="2" t="inlineStr">
        <is>
          <t>100.0</t>
        </is>
      </c>
      <c r="E1060" s="4">
        <f>HYPERLINK("./Results/DLO\2781\Osteo_Sarco_1.png","RPT")</f>
        <v/>
      </c>
      <c r="F1060" s="2" t="n">
        <v>142</v>
      </c>
      <c r="G1060" s="6" t="n">
        <v>18</v>
      </c>
      <c r="I1060" s="0" t="n"/>
      <c r="J1060" s="0" t="n"/>
      <c r="K1060" s="0" t="n"/>
      <c r="L1060" t="inlineStr">
        <is>
          <t>Sensation 16</t>
        </is>
      </c>
      <c r="M1060" t="inlineStr">
        <is>
          <t>Pre 3.0 B30f</t>
        </is>
      </c>
    </row>
    <row r="1061">
      <c r="A1061" s="2" t="n">
        <v>9707730</v>
      </c>
      <c r="B1061" s="2" t="inlineStr">
        <is>
          <t>85</t>
        </is>
      </c>
      <c r="C1061" s="2" t="inlineStr">
        <is>
          <t>M</t>
        </is>
      </c>
      <c r="D1061" s="2" t="inlineStr">
        <is>
          <t>100.0</t>
        </is>
      </c>
      <c r="E1061" s="4">
        <f>HYPERLINK("./Results/DLO\2782\Osteo_Sarco_1.png","RPT")</f>
        <v/>
      </c>
      <c r="F1061" s="2" t="n">
        <v>85</v>
      </c>
      <c r="G1061" s="6" t="n">
        <v>5</v>
      </c>
      <c r="H1061" t="n">
        <v>16.59</v>
      </c>
      <c r="L1061" t="inlineStr">
        <is>
          <t>SOMATOM Definition...</t>
        </is>
      </c>
      <c r="M1061" t="inlineStr">
        <is>
          <t>Pre 3mm</t>
        </is>
      </c>
    </row>
    <row r="1062">
      <c r="A1062" s="2" t="n">
        <v>9707509</v>
      </c>
      <c r="B1062" s="2" t="inlineStr">
        <is>
          <t>62</t>
        </is>
      </c>
      <c r="C1062" s="2" t="inlineStr">
        <is>
          <t>M</t>
        </is>
      </c>
      <c r="D1062" s="2" t="inlineStr">
        <is>
          <t>100.0</t>
        </is>
      </c>
      <c r="E1062" s="4">
        <f>HYPERLINK("./Results/DLO\2783\Osteo_Sarco_1.png","RPT")</f>
        <v/>
      </c>
      <c r="F1062" s="2" t="n">
        <v>160</v>
      </c>
      <c r="G1062" s="6" t="n">
        <v>8</v>
      </c>
      <c r="I1062" s="0" t="n"/>
      <c r="J1062" s="0" t="n"/>
      <c r="K1062" s="0" t="n"/>
      <c r="L1062" t="inlineStr">
        <is>
          <t>SOMATOM Definition...</t>
        </is>
      </c>
      <c r="M1062" t="inlineStr">
        <is>
          <t>Pre 5.0 B45f</t>
        </is>
      </c>
    </row>
    <row r="1063">
      <c r="A1063" s="2" t="n">
        <v>9707394</v>
      </c>
      <c r="B1063" s="2" t="inlineStr">
        <is>
          <t>56</t>
        </is>
      </c>
      <c r="C1063" s="2" t="inlineStr">
        <is>
          <t>M</t>
        </is>
      </c>
      <c r="D1063" s="2" t="inlineStr">
        <is>
          <t>100.0</t>
        </is>
      </c>
      <c r="E1063" s="4">
        <f>HYPERLINK("./Results/DLO\2784\Osteo_Sarco_1.png","RPT")</f>
        <v/>
      </c>
      <c r="F1063" s="2" t="n">
        <v>165</v>
      </c>
      <c r="G1063" s="6" t="n">
        <v>14</v>
      </c>
      <c r="I1063" s="0" t="n"/>
      <c r="J1063" s="0" t="n"/>
      <c r="K1063" s="0" t="n"/>
      <c r="L1063" t="inlineStr">
        <is>
          <t>Revolution CT</t>
        </is>
      </c>
      <c r="M1063" t="inlineStr">
        <is>
          <t>LAP 3mm(70kg/140cc/3.0cc/hexol</t>
        </is>
      </c>
    </row>
    <row r="1064">
      <c r="A1064" s="2" t="n">
        <v>9710080</v>
      </c>
      <c r="B1064" s="2" t="inlineStr">
        <is>
          <t>57</t>
        </is>
      </c>
      <c r="C1064" s="2" t="inlineStr">
        <is>
          <t>M</t>
        </is>
      </c>
      <c r="D1064" s="2" t="inlineStr">
        <is>
          <t>120.0</t>
        </is>
      </c>
      <c r="E1064" s="4">
        <f>HYPERLINK("./Results/DLO\2785\Osteo_Sarco_1.png","RPT")</f>
        <v/>
      </c>
      <c r="F1064" s="2" t="n">
        <v>207</v>
      </c>
      <c r="G1064" s="6" t="n">
        <v>8</v>
      </c>
      <c r="H1064" t="n">
        <v>30.4</v>
      </c>
      <c r="L1064" t="inlineStr">
        <is>
          <t>Brilliance 64</t>
        </is>
      </c>
      <c r="M1064" t="inlineStr">
        <is>
          <t>Pre</t>
        </is>
      </c>
    </row>
    <row r="1065">
      <c r="A1065" s="2" t="n">
        <v>9709147</v>
      </c>
      <c r="B1065" s="2" t="inlineStr">
        <is>
          <t>60</t>
        </is>
      </c>
      <c r="C1065" s="2" t="inlineStr">
        <is>
          <t>F</t>
        </is>
      </c>
      <c r="D1065" s="2" t="inlineStr">
        <is>
          <t>100.0</t>
        </is>
      </c>
      <c r="E1065" s="4">
        <f>HYPERLINK("./Results/DLO\2786\Osteo_Sarco_1.png","RPT")</f>
        <v/>
      </c>
      <c r="F1065" s="2" t="n">
        <v>128</v>
      </c>
      <c r="G1065" s="6" t="n">
        <v>21</v>
      </c>
      <c r="I1065" s="0" t="n"/>
      <c r="J1065" s="0" t="n"/>
      <c r="K1065" s="0" t="n"/>
      <c r="L1065" t="inlineStr">
        <is>
          <t>SOMATOM Definition...</t>
        </is>
      </c>
      <c r="M1065" t="inlineStr">
        <is>
          <t>Pre 3mm</t>
        </is>
      </c>
    </row>
    <row r="1066">
      <c r="A1066" s="2" t="n">
        <v>9710841</v>
      </c>
      <c r="B1066" s="2" t="inlineStr">
        <is>
          <t>59</t>
        </is>
      </c>
      <c r="C1066" s="2" t="inlineStr">
        <is>
          <t>F</t>
        </is>
      </c>
      <c r="D1066" s="2" t="inlineStr">
        <is>
          <t>100.0</t>
        </is>
      </c>
      <c r="E1066" s="4">
        <f>HYPERLINK("./Results/DLO\2787\Osteo_Sarco_1.png","RPT")</f>
        <v/>
      </c>
      <c r="F1066" s="2" t="n">
        <v>112</v>
      </c>
      <c r="G1066" s="6" t="n">
        <v>10</v>
      </c>
      <c r="I1066" s="0" t="n"/>
      <c r="J1066" s="0" t="n"/>
      <c r="K1066" s="0" t="n"/>
      <c r="L1066" t="inlineStr">
        <is>
          <t>SOMATOM Definition</t>
        </is>
      </c>
      <c r="M1066" t="inlineStr">
        <is>
          <t>Pre 3.0 B30f</t>
        </is>
      </c>
    </row>
    <row r="1067">
      <c r="A1067" s="2" t="n">
        <v>9712012</v>
      </c>
      <c r="B1067" s="2" t="inlineStr">
        <is>
          <t>69</t>
        </is>
      </c>
      <c r="C1067" s="2" t="inlineStr">
        <is>
          <t>M</t>
        </is>
      </c>
      <c r="D1067" s="2" t="inlineStr">
        <is>
          <t>100.0</t>
        </is>
      </c>
      <c r="E1067" s="4">
        <f>HYPERLINK("./Results/DLO\2788\Osteo_Sarco_1.png","RPT")</f>
        <v/>
      </c>
      <c r="F1067" s="2" t="n">
        <v>138</v>
      </c>
      <c r="G1067" s="6" t="n">
        <v>5</v>
      </c>
      <c r="I1067" s="0" t="n"/>
      <c r="J1067" s="0" t="n"/>
      <c r="K1067" s="0" t="n"/>
      <c r="L1067" t="inlineStr">
        <is>
          <t>Revolution CT</t>
        </is>
      </c>
      <c r="M1067" t="inlineStr">
        <is>
          <t>LAP 3mm(65kg/130cc/3.0cc/hexos)</t>
        </is>
      </c>
    </row>
    <row r="1068">
      <c r="A1068" s="2" t="n">
        <v>9712133</v>
      </c>
      <c r="B1068" s="2" t="inlineStr">
        <is>
          <t>40</t>
        </is>
      </c>
      <c r="C1068" s="2" t="inlineStr">
        <is>
          <t>F</t>
        </is>
      </c>
      <c r="D1068" s="2" t="inlineStr">
        <is>
          <t>100.0</t>
        </is>
      </c>
      <c r="E1068" s="4">
        <f>HYPERLINK("./Results/DLO\2789\Osteo_Sarco_1.png","RPT")</f>
        <v/>
      </c>
      <c r="F1068" s="2" t="n">
        <v>103</v>
      </c>
      <c r="G1068" s="6" t="n">
        <v>10</v>
      </c>
      <c r="I1068" s="0" t="n"/>
      <c r="J1068" s="0" t="n"/>
      <c r="K1068" s="0" t="n"/>
      <c r="L1068" t="inlineStr">
        <is>
          <t>iCT 256</t>
        </is>
      </c>
      <c r="M1068" t="inlineStr">
        <is>
          <t>Pre 3/3mm, iDose (3)</t>
        </is>
      </c>
    </row>
    <row r="1069">
      <c r="A1069" s="2" t="n">
        <v>1776503</v>
      </c>
      <c r="B1069" s="2" t="inlineStr">
        <is>
          <t>41</t>
        </is>
      </c>
      <c r="C1069" s="2" t="inlineStr">
        <is>
          <t>F</t>
        </is>
      </c>
      <c r="D1069" s="2" t="inlineStr">
        <is>
          <t>100.0</t>
        </is>
      </c>
      <c r="E1069" s="4">
        <f>HYPERLINK("./Results/DLO\279\Osteo_Sarco_1.png","RPT")</f>
        <v/>
      </c>
      <c r="F1069" s="2" t="n">
        <v>110</v>
      </c>
      <c r="G1069" s="6" t="n">
        <v>9</v>
      </c>
      <c r="I1069" s="0" t="n"/>
      <c r="J1069" s="0" t="n"/>
      <c r="K1069" s="0" t="n"/>
      <c r="L1069" t="inlineStr">
        <is>
          <t>Revolution CT</t>
        </is>
      </c>
      <c r="M1069" t="inlineStr">
        <is>
          <t>Pre Axial 3mm</t>
        </is>
      </c>
    </row>
    <row r="1070">
      <c r="A1070" s="2" t="n">
        <v>9712830</v>
      </c>
      <c r="B1070" s="2" t="inlineStr">
        <is>
          <t>45</t>
        </is>
      </c>
      <c r="C1070" s="2" t="inlineStr">
        <is>
          <t>M</t>
        </is>
      </c>
      <c r="D1070" s="2" t="inlineStr">
        <is>
          <t>100.0</t>
        </is>
      </c>
      <c r="E1070" s="4">
        <f>HYPERLINK("./Results/DLO\2790\Osteo_Sarco_1.png","RPT")</f>
        <v/>
      </c>
      <c r="F1070" s="2" t="n">
        <v>174</v>
      </c>
      <c r="G1070" s="6" t="n">
        <v>7</v>
      </c>
      <c r="I1070" s="0" t="n"/>
      <c r="J1070" s="0" t="n"/>
      <c r="K1070" s="0" t="n"/>
      <c r="L1070" t="inlineStr">
        <is>
          <t>SOMATOM Definition...</t>
        </is>
      </c>
      <c r="M1070" t="inlineStr">
        <is>
          <t>Pre 3.0 I30f 2</t>
        </is>
      </c>
    </row>
    <row r="1071">
      <c r="A1071" s="2" t="n">
        <v>9714099</v>
      </c>
      <c r="B1071" s="2" t="inlineStr">
        <is>
          <t>54</t>
        </is>
      </c>
      <c r="C1071" s="2" t="inlineStr">
        <is>
          <t>F</t>
        </is>
      </c>
      <c r="D1071" s="2" t="inlineStr">
        <is>
          <t>100.0</t>
        </is>
      </c>
      <c r="E1071" s="4">
        <f>HYPERLINK("./Results/DLO\2791\Osteo_Sarco_1.png","RPT")</f>
        <v/>
      </c>
      <c r="F1071" s="2" t="n">
        <v>94</v>
      </c>
      <c r="G1071" s="6" t="n">
        <v>7</v>
      </c>
      <c r="H1071" t="n">
        <v>20.83</v>
      </c>
      <c r="L1071" t="inlineStr">
        <is>
          <t>SOMATOM Definition...</t>
        </is>
      </c>
      <c r="M1071" t="inlineStr">
        <is>
          <t>LAP 3mm(52kg/104cc/3cc/HEXOL)</t>
        </is>
      </c>
    </row>
    <row r="1072">
      <c r="A1072" s="2" t="n">
        <v>9714786</v>
      </c>
      <c r="B1072" s="2" t="inlineStr">
        <is>
          <t>44</t>
        </is>
      </c>
      <c r="C1072" s="2" t="inlineStr">
        <is>
          <t>M</t>
        </is>
      </c>
      <c r="D1072" s="2" t="inlineStr">
        <is>
          <t>120.0</t>
        </is>
      </c>
      <c r="E1072" s="4">
        <f>HYPERLINK("./Results/DLO\2792\Osteo_Sarco_1.png","RPT")</f>
        <v/>
      </c>
      <c r="F1072" s="2" t="n">
        <v>156</v>
      </c>
      <c r="G1072" s="6" t="n">
        <v>4</v>
      </c>
      <c r="I1072" s="0" t="n"/>
      <c r="J1072" s="0" t="n"/>
      <c r="K1072" s="0" t="n"/>
      <c r="L1072" t="inlineStr">
        <is>
          <t>LightSpeed16</t>
        </is>
      </c>
      <c r="M1072" t="inlineStr">
        <is>
          <t>PRE</t>
        </is>
      </c>
    </row>
    <row r="1073">
      <c r="A1073" s="2" t="n">
        <v>9716633</v>
      </c>
      <c r="B1073" s="2" t="inlineStr">
        <is>
          <t>52</t>
        </is>
      </c>
      <c r="C1073" s="2" t="inlineStr">
        <is>
          <t>M</t>
        </is>
      </c>
      <c r="D1073" s="2" t="inlineStr">
        <is>
          <t>100.0</t>
        </is>
      </c>
      <c r="E1073" s="4">
        <f>HYPERLINK("./Results/DLO\2793\Osteo_Sarco_1.png","RPT")</f>
        <v/>
      </c>
      <c r="F1073" s="2" t="n">
        <v>181</v>
      </c>
      <c r="G1073" s="6" t="n">
        <v>10</v>
      </c>
      <c r="I1073" s="0" t="n"/>
      <c r="J1073" s="0" t="n"/>
      <c r="K1073" s="0" t="n"/>
      <c r="L1073" t="inlineStr">
        <is>
          <t>LightSpeed VCT</t>
        </is>
      </c>
      <c r="M1073" t="inlineStr">
        <is>
          <t>PRE 3mm</t>
        </is>
      </c>
    </row>
    <row r="1074">
      <c r="A1074" s="2" t="n">
        <v>9716589</v>
      </c>
      <c r="B1074" s="2" t="inlineStr">
        <is>
          <t>54</t>
        </is>
      </c>
      <c r="C1074" s="2" t="inlineStr">
        <is>
          <t>M</t>
        </is>
      </c>
      <c r="D1074" s="2" t="inlineStr">
        <is>
          <t>120.0</t>
        </is>
      </c>
      <c r="E1074" s="4">
        <f>HYPERLINK("./Results/DLO\2794\Osteo_Sarco_1.png","RPT")</f>
        <v/>
      </c>
      <c r="F1074" s="2" t="n">
        <v>207</v>
      </c>
      <c r="G1074" s="6" t="n">
        <v>9</v>
      </c>
      <c r="I1074" s="0" t="n"/>
      <c r="J1074" s="0" t="n"/>
      <c r="K1074" s="0" t="n"/>
      <c r="L1074" t="inlineStr">
        <is>
          <t>Aquilion ONE</t>
        </is>
      </c>
      <c r="M1074" t="inlineStr">
        <is>
          <t>FC08 5.0 AIDR 3D STD CE ABD...</t>
        </is>
      </c>
    </row>
    <row r="1075">
      <c r="A1075" s="2" t="n">
        <v>9716588</v>
      </c>
      <c r="B1075" s="2" t="inlineStr">
        <is>
          <t>66</t>
        </is>
      </c>
      <c r="C1075" s="2" t="inlineStr">
        <is>
          <t>F</t>
        </is>
      </c>
      <c r="D1075" s="2" t="inlineStr">
        <is>
          <t>120.0</t>
        </is>
      </c>
      <c r="E1075" s="4">
        <f>HYPERLINK("./Results/DLO\2795\Osteo_Sarco_1.png","RPT")</f>
        <v/>
      </c>
      <c r="F1075" s="2" t="n">
        <v>129</v>
      </c>
      <c r="G1075" s="6" t="n">
        <v>12</v>
      </c>
      <c r="H1075" t="n">
        <v>26.88</v>
      </c>
      <c r="L1075" t="inlineStr">
        <is>
          <t>Discovery CT750 HD</t>
        </is>
      </c>
      <c r="M1075" t="inlineStr">
        <is>
          <t>LAP 3mm</t>
        </is>
      </c>
    </row>
    <row r="1076">
      <c r="A1076" s="2" t="n">
        <v>9718515</v>
      </c>
      <c r="B1076" s="2" t="inlineStr">
        <is>
          <t>42</t>
        </is>
      </c>
      <c r="C1076" s="2" t="inlineStr">
        <is>
          <t>F</t>
        </is>
      </c>
      <c r="D1076" s="2" t="inlineStr">
        <is>
          <t>100.0</t>
        </is>
      </c>
      <c r="E1076" s="4">
        <f>HYPERLINK("./Results/DLO\2796\Osteo_Sarco_1.png","RPT")</f>
        <v/>
      </c>
      <c r="F1076" s="2" t="n">
        <v>92</v>
      </c>
      <c r="G1076" s="6" t="n">
        <v>6</v>
      </c>
      <c r="I1076" s="0" t="n"/>
      <c r="J1076" s="0" t="n"/>
      <c r="K1076" s="0" t="n"/>
      <c r="L1076" t="inlineStr">
        <is>
          <t>iCT 256</t>
        </is>
      </c>
      <c r="M1076" t="inlineStr">
        <is>
          <t>Pre (CP~Pubi)3mm, iDose (3)</t>
        </is>
      </c>
    </row>
    <row r="1077">
      <c r="A1077" s="2" t="n">
        <v>9718470</v>
      </c>
      <c r="B1077" s="2" t="inlineStr">
        <is>
          <t>48</t>
        </is>
      </c>
      <c r="C1077" s="2" t="inlineStr">
        <is>
          <t>M</t>
        </is>
      </c>
      <c r="D1077" s="2" t="inlineStr">
        <is>
          <t>100.0</t>
        </is>
      </c>
      <c r="E1077" s="4">
        <f>HYPERLINK("./Results/DLO\2797\Osteo_Sarco_1.png","RPT")</f>
        <v/>
      </c>
      <c r="F1077" s="2" t="n">
        <v>169</v>
      </c>
      <c r="G1077" s="6" t="n">
        <v>28</v>
      </c>
      <c r="I1077" s="0" t="n"/>
      <c r="J1077" s="0" t="n"/>
      <c r="K1077" s="0" t="n"/>
      <c r="L1077" t="inlineStr">
        <is>
          <t>LightSpeed VCT</t>
        </is>
      </c>
      <c r="M1077" t="inlineStr">
        <is>
          <t>PRE 3mm</t>
        </is>
      </c>
    </row>
    <row r="1078">
      <c r="A1078" s="2" t="n">
        <v>9718838</v>
      </c>
      <c r="B1078" s="2" t="inlineStr">
        <is>
          <t>58</t>
        </is>
      </c>
      <c r="C1078" s="2" t="inlineStr">
        <is>
          <t>M</t>
        </is>
      </c>
      <c r="D1078" s="2" t="inlineStr">
        <is>
          <t>100.0</t>
        </is>
      </c>
      <c r="E1078" s="4">
        <f>HYPERLINK("./Results/DLO\2798\Osteo_Sarco_1.png","RPT")</f>
        <v/>
      </c>
      <c r="F1078" s="2" t="n">
        <v>138</v>
      </c>
      <c r="G1078" s="6" t="n">
        <v>7</v>
      </c>
      <c r="I1078" s="0" t="n"/>
      <c r="J1078" s="0" t="n"/>
      <c r="K1078" s="0" t="n"/>
      <c r="L1078" t="inlineStr">
        <is>
          <t>Revolution EVO</t>
        </is>
      </c>
      <c r="M1078" t="inlineStr">
        <is>
          <t>PRE</t>
        </is>
      </c>
    </row>
    <row r="1079">
      <c r="A1079" s="2" t="n">
        <v>9719725</v>
      </c>
      <c r="B1079" s="2" t="inlineStr">
        <is>
          <t>64</t>
        </is>
      </c>
      <c r="C1079" s="2" t="inlineStr">
        <is>
          <t>F</t>
        </is>
      </c>
      <c r="D1079" s="2" t="inlineStr">
        <is>
          <t>100.0</t>
        </is>
      </c>
      <c r="E1079" s="4">
        <f>HYPERLINK("./Results/DLO\2799\Osteo_Sarco_1.png","RPT")</f>
        <v/>
      </c>
      <c r="F1079" s="2" t="n">
        <v>104</v>
      </c>
      <c r="G1079" s="6" t="n">
        <v>10</v>
      </c>
      <c r="H1079" t="n">
        <v>27.09</v>
      </c>
      <c r="L1079" t="inlineStr">
        <is>
          <t>Revolution CT</t>
        </is>
      </c>
      <c r="M1079" t="inlineStr">
        <is>
          <t>Pre 3mm pacs</t>
        </is>
      </c>
    </row>
    <row r="1080">
      <c r="A1080" s="2" t="n">
        <v>4483441</v>
      </c>
      <c r="B1080" s="2" t="inlineStr">
        <is>
          <t>68</t>
        </is>
      </c>
      <c r="C1080" s="2" t="inlineStr">
        <is>
          <t>F</t>
        </is>
      </c>
      <c r="D1080" s="2" t="inlineStr">
        <is>
          <t>100.0</t>
        </is>
      </c>
      <c r="E1080" s="4">
        <f>HYPERLINK("./Results/DLO\28\Osteo_Sarco_1.png","RPT")</f>
        <v/>
      </c>
      <c r="F1080" s="2" t="n">
        <v>116</v>
      </c>
      <c r="G1080" s="6" t="n">
        <v>5</v>
      </c>
      <c r="I1080" s="0" t="n"/>
      <c r="J1080" s="0" t="n"/>
      <c r="K1080" s="0" t="n"/>
      <c r="L1080" t="inlineStr">
        <is>
          <t>Revolution EVO</t>
        </is>
      </c>
      <c r="M1080" t="inlineStr">
        <is>
          <t>AX 3mm</t>
        </is>
      </c>
    </row>
    <row r="1081">
      <c r="A1081" s="2" t="n">
        <v>4059345</v>
      </c>
      <c r="B1081" s="2" t="inlineStr">
        <is>
          <t>64</t>
        </is>
      </c>
      <c r="C1081" s="2" t="inlineStr">
        <is>
          <t>M</t>
        </is>
      </c>
      <c r="D1081" s="2" t="inlineStr">
        <is>
          <t>100.0</t>
        </is>
      </c>
      <c r="E1081" s="4">
        <f>HYPERLINK("./Results/DLO\280\Osteo_Sarco_1.png","RPT")</f>
        <v/>
      </c>
      <c r="F1081" s="2" t="n">
        <v>169</v>
      </c>
      <c r="G1081" s="6" t="n">
        <v>8</v>
      </c>
      <c r="I1081" s="0" t="n"/>
      <c r="J1081" s="0" t="n"/>
      <c r="K1081" s="0" t="n"/>
      <c r="L1081" t="inlineStr">
        <is>
          <t>Revolution EVO</t>
        </is>
      </c>
      <c r="M1081" t="inlineStr">
        <is>
          <t>AX 3mm</t>
        </is>
      </c>
    </row>
    <row r="1082">
      <c r="A1082" s="2" t="n">
        <v>9720081</v>
      </c>
      <c r="B1082" s="2" t="inlineStr">
        <is>
          <t>75</t>
        </is>
      </c>
      <c r="C1082" s="2" t="inlineStr">
        <is>
          <t>M</t>
        </is>
      </c>
      <c r="D1082" s="2" t="inlineStr">
        <is>
          <t>100.0</t>
        </is>
      </c>
      <c r="E1082" s="4">
        <f>HYPERLINK("./Results/DLO\2800\Osteo_Sarco_1.png","RPT")</f>
        <v/>
      </c>
      <c r="F1082" s="2" t="n">
        <v>157</v>
      </c>
      <c r="G1082" s="6" t="n">
        <v>6</v>
      </c>
      <c r="I1082" s="0" t="n"/>
      <c r="J1082" s="0" t="n"/>
      <c r="K1082" s="0" t="n"/>
      <c r="L1082" t="inlineStr">
        <is>
          <t>SOMATOM Definition...</t>
        </is>
      </c>
      <c r="M1082" t="inlineStr">
        <is>
          <t>LAP 2 3mm(74kg/148ml/3ml/he...</t>
        </is>
      </c>
    </row>
    <row r="1083">
      <c r="A1083" s="2" t="n">
        <v>9719633</v>
      </c>
      <c r="B1083" s="2" t="inlineStr">
        <is>
          <t>62</t>
        </is>
      </c>
      <c r="C1083" s="2" t="inlineStr">
        <is>
          <t>M</t>
        </is>
      </c>
      <c r="D1083" s="2" t="inlineStr">
        <is>
          <t>100.0</t>
        </is>
      </c>
      <c r="E1083" s="4">
        <f>HYPERLINK("./Results/DLO\2801\Osteo_Sarco_1.png","RPT")</f>
        <v/>
      </c>
      <c r="F1083" s="2" t="n">
        <v>141</v>
      </c>
      <c r="G1083" s="6" t="n">
        <v>8</v>
      </c>
      <c r="I1083" s="0" t="n"/>
      <c r="J1083" s="0" t="n"/>
      <c r="K1083" s="0" t="n"/>
      <c r="L1083" t="inlineStr">
        <is>
          <t>SOMATOM Definition...</t>
        </is>
      </c>
      <c r="M1083" t="inlineStr">
        <is>
          <t>Pre 3mm</t>
        </is>
      </c>
    </row>
    <row r="1084">
      <c r="A1084" s="2" t="n">
        <v>9720066</v>
      </c>
      <c r="B1084" s="2" t="inlineStr">
        <is>
          <t>74</t>
        </is>
      </c>
      <c r="C1084" s="2" t="inlineStr">
        <is>
          <t>M</t>
        </is>
      </c>
      <c r="D1084" s="2" t="inlineStr">
        <is>
          <t>100.0</t>
        </is>
      </c>
      <c r="E1084" s="4">
        <f>HYPERLINK("./Results/DLO\2802\Osteo_Sarco_1.png","RPT")</f>
        <v/>
      </c>
      <c r="F1084" s="2" t="n">
        <v>137</v>
      </c>
      <c r="G1084" s="6" t="n">
        <v>15</v>
      </c>
      <c r="I1084" s="0" t="n"/>
      <c r="J1084" s="0" t="n"/>
      <c r="K1084" s="0" t="n"/>
      <c r="L1084" t="inlineStr">
        <is>
          <t>Revolution CT</t>
        </is>
      </c>
      <c r="M1084" t="inlineStr">
        <is>
          <t>M_PRE(ABD)</t>
        </is>
      </c>
    </row>
    <row r="1085">
      <c r="A1085" s="2" t="n">
        <v>9721059</v>
      </c>
      <c r="B1085" s="2" t="inlineStr">
        <is>
          <t>62</t>
        </is>
      </c>
      <c r="C1085" s="2" t="inlineStr">
        <is>
          <t>F</t>
        </is>
      </c>
      <c r="D1085" s="2" t="inlineStr">
        <is>
          <t>100.0</t>
        </is>
      </c>
      <c r="E1085" s="4">
        <f>HYPERLINK("./Results/DLO\2803\Osteo_Sarco_1.png","RPT")</f>
        <v/>
      </c>
      <c r="F1085" s="2" t="n">
        <v>81</v>
      </c>
      <c r="G1085" s="6" t="n">
        <v>9</v>
      </c>
      <c r="I1085" s="0" t="n"/>
      <c r="J1085" s="0" t="n"/>
      <c r="K1085" s="0" t="n"/>
      <c r="L1085" t="inlineStr">
        <is>
          <t>iCT 256</t>
        </is>
      </c>
      <c r="M1085" t="inlineStr">
        <is>
          <t>Pre 3/3mm, iDose (3)</t>
        </is>
      </c>
    </row>
    <row r="1086">
      <c r="A1086" s="2" t="n">
        <v>9720577</v>
      </c>
      <c r="B1086" s="2" t="inlineStr">
        <is>
          <t>27</t>
        </is>
      </c>
      <c r="C1086" s="2" t="inlineStr">
        <is>
          <t>F</t>
        </is>
      </c>
      <c r="D1086" s="2" t="inlineStr">
        <is>
          <t>120.0</t>
        </is>
      </c>
      <c r="E1086" s="4">
        <f>HYPERLINK("./Results/DLO\2804\Osteo_Sarco_1.png","RPT")</f>
        <v/>
      </c>
      <c r="F1086" s="2" t="n">
        <v>91</v>
      </c>
      <c r="G1086" s="6" t="n">
        <v>6</v>
      </c>
      <c r="I1086" s="0" t="n"/>
      <c r="J1086" s="0" t="n"/>
      <c r="K1086" s="0" t="n"/>
      <c r="L1086" t="inlineStr">
        <is>
          <t>Aquilion/LB</t>
        </is>
      </c>
      <c r="M1086" t="inlineStr">
        <is>
          <t>Full bladder Body 3.0</t>
        </is>
      </c>
    </row>
    <row r="1087">
      <c r="A1087" s="2" t="n">
        <v>9720506</v>
      </c>
      <c r="B1087" s="2" t="inlineStr">
        <is>
          <t>64</t>
        </is>
      </c>
      <c r="C1087" s="2" t="inlineStr">
        <is>
          <t>F</t>
        </is>
      </c>
      <c r="D1087" s="2" t="inlineStr">
        <is>
          <t>120.0</t>
        </is>
      </c>
      <c r="E1087" s="4">
        <f>HYPERLINK("./Results/DLO\2805\Osteo_Sarco_1.png","RPT")</f>
        <v/>
      </c>
      <c r="F1087" s="2" t="n">
        <v>112</v>
      </c>
      <c r="G1087" s="6" t="n">
        <v>13</v>
      </c>
      <c r="H1087" t="n">
        <v>21.15</v>
      </c>
      <c r="L1087" t="inlineStr">
        <is>
          <t>Brilliance 64</t>
        </is>
      </c>
      <c r="M1087" t="inlineStr">
        <is>
          <t>Pre</t>
        </is>
      </c>
    </row>
    <row r="1088">
      <c r="A1088" s="2" t="n">
        <v>9721801</v>
      </c>
      <c r="B1088" s="2" t="inlineStr">
        <is>
          <t>2</t>
        </is>
      </c>
      <c r="C1088" s="2" t="inlineStr">
        <is>
          <t>M</t>
        </is>
      </c>
      <c r="D1088" s="2" t="inlineStr">
        <is>
          <t>80.0</t>
        </is>
      </c>
      <c r="E1088" s="4">
        <f>HYPERLINK("./Results/DLO\2806\Osteo_Sarco_1.png","RPT")</f>
        <v/>
      </c>
      <c r="F1088" s="2" t="n">
        <v>33</v>
      </c>
      <c r="G1088" s="6" t="n">
        <v>1</v>
      </c>
      <c r="I1088" s="0" t="n"/>
      <c r="J1088" s="0" t="n"/>
      <c r="K1088" s="0" t="n"/>
      <c r="L1088" t="inlineStr">
        <is>
          <t>iCT 256</t>
        </is>
      </c>
      <c r="M1088" t="inlineStr">
        <is>
          <t>LAP 3mm CTDI 0.5, iDose (2)</t>
        </is>
      </c>
    </row>
    <row r="1089">
      <c r="A1089" s="2" t="n">
        <v>9723409</v>
      </c>
      <c r="B1089" s="2" t="inlineStr">
        <is>
          <t>66</t>
        </is>
      </c>
      <c r="C1089" s="2" t="inlineStr">
        <is>
          <t>F</t>
        </is>
      </c>
      <c r="D1089" s="2" t="inlineStr">
        <is>
          <t>100.0</t>
        </is>
      </c>
      <c r="E1089" s="4">
        <f>HYPERLINK("./Results/DLO\2807\Osteo_Sarco_1.png","RPT")</f>
        <v/>
      </c>
      <c r="F1089" s="2" t="n">
        <v>97</v>
      </c>
      <c r="G1089" s="6" t="n">
        <v>13</v>
      </c>
      <c r="H1089" t="n">
        <v>20.5</v>
      </c>
      <c r="L1089" t="inlineStr">
        <is>
          <t>Revolution EVO</t>
        </is>
      </c>
      <c r="M1089" t="inlineStr">
        <is>
          <t>Abdomen Pre 2.5mm</t>
        </is>
      </c>
    </row>
    <row r="1090">
      <c r="A1090" s="2" t="n">
        <v>9723431</v>
      </c>
      <c r="B1090" s="2" t="inlineStr">
        <is>
          <t>70</t>
        </is>
      </c>
      <c r="C1090" s="2" t="inlineStr">
        <is>
          <t>M</t>
        </is>
      </c>
      <c r="D1090" s="2" t="inlineStr">
        <is>
          <t>100.0</t>
        </is>
      </c>
      <c r="E1090" s="4">
        <f>HYPERLINK("./Results/DLO\2808\Osteo_Sarco_1.png","RPT")</f>
        <v/>
      </c>
      <c r="F1090" s="2" t="n">
        <v>168</v>
      </c>
      <c r="G1090" s="6" t="n">
        <v>7</v>
      </c>
      <c r="H1090" t="n">
        <v>24.09</v>
      </c>
      <c r="L1090" t="inlineStr">
        <is>
          <t>SOMATOM Definition...</t>
        </is>
      </c>
      <c r="M1090" t="inlineStr">
        <is>
          <t>Pre 3mm</t>
        </is>
      </c>
    </row>
    <row r="1091">
      <c r="A1091" s="2" t="n">
        <v>9723222</v>
      </c>
      <c r="B1091" s="2" t="inlineStr">
        <is>
          <t>51</t>
        </is>
      </c>
      <c r="C1091" s="2" t="inlineStr">
        <is>
          <t>F</t>
        </is>
      </c>
      <c r="D1091" s="2" t="inlineStr">
        <is>
          <t>100.0</t>
        </is>
      </c>
      <c r="E1091" s="4">
        <f>HYPERLINK("./Results/DLO\2809\Osteo_Sarco_1.png","RPT")</f>
        <v/>
      </c>
      <c r="F1091" s="2" t="n">
        <v>118</v>
      </c>
      <c r="G1091" s="6" t="n">
        <v>13</v>
      </c>
      <c r="I1091" s="0" t="n"/>
      <c r="J1091" s="0" t="n"/>
      <c r="K1091" s="0" t="n"/>
      <c r="L1091" t="inlineStr">
        <is>
          <t>Discovery CT750 HD</t>
        </is>
      </c>
      <c r="M1091" t="inlineStr">
        <is>
          <t>Pre 3mm</t>
        </is>
      </c>
    </row>
    <row r="1092">
      <c r="A1092" s="2" t="n">
        <v>3713094</v>
      </c>
      <c r="B1092" s="2" t="inlineStr">
        <is>
          <t>57</t>
        </is>
      </c>
      <c r="C1092" s="2" t="inlineStr">
        <is>
          <t>F</t>
        </is>
      </c>
      <c r="D1092" s="2" t="inlineStr">
        <is>
          <t>100.0</t>
        </is>
      </c>
      <c r="E1092" s="4">
        <f>HYPERLINK("./Results/DLO\281\Osteo_Sarco_1.png","RPT")</f>
        <v/>
      </c>
      <c r="F1092" s="2" t="n">
        <v>95</v>
      </c>
      <c r="G1092" s="6" t="n">
        <v>8</v>
      </c>
      <c r="I1092" s="0" t="n"/>
      <c r="J1092" s="0" t="n"/>
      <c r="K1092" s="0" t="n"/>
      <c r="L1092" t="inlineStr">
        <is>
          <t>iCT 256</t>
        </is>
      </c>
      <c r="M1092" t="inlineStr">
        <is>
          <t>HVP 3/3mm, iDose (3)</t>
        </is>
      </c>
    </row>
    <row r="1093">
      <c r="A1093" s="2" t="n">
        <v>9724048</v>
      </c>
      <c r="B1093" s="2" t="inlineStr">
        <is>
          <t>78</t>
        </is>
      </c>
      <c r="C1093" s="2" t="inlineStr">
        <is>
          <t>M</t>
        </is>
      </c>
      <c r="D1093" s="2" t="inlineStr">
        <is>
          <t>100.0</t>
        </is>
      </c>
      <c r="E1093" s="4">
        <f>HYPERLINK("./Results/DLO\2810\Osteo_Sarco_1.png","RPT")</f>
        <v/>
      </c>
      <c r="F1093" s="2" t="n">
        <v>158</v>
      </c>
      <c r="G1093" s="6" t="n">
        <v>22</v>
      </c>
      <c r="H1093" t="n">
        <v>25.34</v>
      </c>
      <c r="L1093" t="inlineStr">
        <is>
          <t>SOMATOM Force</t>
        </is>
      </c>
      <c r="M1093" t="inlineStr">
        <is>
          <t>Pre 3.0 Br40</t>
        </is>
      </c>
    </row>
    <row r="1094">
      <c r="A1094" s="2" t="n">
        <v>9726768</v>
      </c>
      <c r="B1094" s="2" t="inlineStr">
        <is>
          <t>58</t>
        </is>
      </c>
      <c r="C1094" s="2" t="inlineStr">
        <is>
          <t>F</t>
        </is>
      </c>
      <c r="D1094" s="2" t="inlineStr">
        <is>
          <t>100.0</t>
        </is>
      </c>
      <c r="E1094" s="4">
        <f>HYPERLINK("./Results/DLO\2811\Osteo_Sarco_1.png","RPT")</f>
        <v/>
      </c>
      <c r="F1094" s="2" t="n">
        <v>119</v>
      </c>
      <c r="G1094" s="6" t="n">
        <v>11</v>
      </c>
      <c r="I1094" s="0" t="n"/>
      <c r="J1094" s="0" t="n"/>
      <c r="K1094" s="0" t="n"/>
      <c r="L1094" t="inlineStr">
        <is>
          <t>SOMATOM Definition...</t>
        </is>
      </c>
      <c r="M1094" t="inlineStr">
        <is>
          <t>LAP 3mm(70kg/140cc/3cc/hexo)</t>
        </is>
      </c>
    </row>
    <row r="1095">
      <c r="A1095" s="2" t="n">
        <v>9727343</v>
      </c>
      <c r="B1095" s="2" t="inlineStr">
        <is>
          <t>76</t>
        </is>
      </c>
      <c r="C1095" s="2" t="inlineStr">
        <is>
          <t>F</t>
        </is>
      </c>
      <c r="D1095" s="2" t="inlineStr">
        <is>
          <t>100.0</t>
        </is>
      </c>
      <c r="E1095" s="4">
        <f>HYPERLINK("./Results/DLO\2812\Osteo_Sarco_1.png","RPT")</f>
        <v/>
      </c>
      <c r="F1095" s="2" t="n">
        <v>107</v>
      </c>
      <c r="G1095" s="6" t="n">
        <v>15</v>
      </c>
      <c r="H1095" t="n">
        <v>24.32</v>
      </c>
      <c r="L1095" t="inlineStr">
        <is>
          <t>SOMATOM Force</t>
        </is>
      </c>
      <c r="M1095" t="inlineStr">
        <is>
          <t>LAP 3.0 (58kg/116cc/3cc/xene)</t>
        </is>
      </c>
    </row>
    <row r="1096">
      <c r="A1096" s="2" t="n">
        <v>9727882</v>
      </c>
      <c r="B1096" s="2" t="inlineStr">
        <is>
          <t>58</t>
        </is>
      </c>
      <c r="C1096" s="2" t="inlineStr">
        <is>
          <t>F</t>
        </is>
      </c>
      <c r="D1096" s="2" t="inlineStr">
        <is>
          <t>120.0</t>
        </is>
      </c>
      <c r="E1096" s="4">
        <f>HYPERLINK("./Results/DLO\2814\Osteo_Sarco_1.png","RPT")</f>
        <v/>
      </c>
      <c r="F1096" s="2" t="n">
        <v>87</v>
      </c>
      <c r="G1096" s="6" t="n">
        <v>7</v>
      </c>
      <c r="I1096" s="0" t="n"/>
      <c r="J1096" s="0" t="n"/>
      <c r="K1096" s="0" t="n"/>
      <c r="L1096" t="inlineStr">
        <is>
          <t>Discovery CT750 HD</t>
        </is>
      </c>
      <c r="M1096" t="inlineStr">
        <is>
          <t>Abd Pre 5mm</t>
        </is>
      </c>
    </row>
    <row r="1097">
      <c r="A1097" s="2" t="n">
        <v>9728284</v>
      </c>
      <c r="B1097" s="2" t="inlineStr">
        <is>
          <t>33</t>
        </is>
      </c>
      <c r="C1097" s="2" t="inlineStr">
        <is>
          <t>F</t>
        </is>
      </c>
      <c r="D1097" s="2" t="inlineStr">
        <is>
          <t>100.0</t>
        </is>
      </c>
      <c r="E1097" s="4">
        <f>HYPERLINK("./Results/DLO\2815\Osteo_Sarco_1.png","RPT")</f>
        <v/>
      </c>
      <c r="F1097" s="2" t="n">
        <v>151</v>
      </c>
      <c r="G1097" s="6" t="n">
        <v>12</v>
      </c>
      <c r="I1097" s="0" t="n"/>
      <c r="J1097" s="0" t="n"/>
      <c r="K1097" s="0" t="n"/>
      <c r="L1097" t="inlineStr">
        <is>
          <t>iCT 256</t>
        </is>
      </c>
      <c r="M1097" t="inlineStr">
        <is>
          <t>Pre 3/3mm, iDose (3)</t>
        </is>
      </c>
    </row>
    <row r="1098">
      <c r="A1098" s="2" t="n">
        <v>9730042</v>
      </c>
      <c r="B1098" s="2" t="inlineStr">
        <is>
          <t>72</t>
        </is>
      </c>
      <c r="C1098" s="2" t="inlineStr">
        <is>
          <t>F</t>
        </is>
      </c>
      <c r="D1098" s="2" t="inlineStr">
        <is>
          <t>100.0</t>
        </is>
      </c>
      <c r="E1098" s="4">
        <f>HYPERLINK("./Results/DLO\2816\Osteo_Sarco_1.png","RPT")</f>
        <v/>
      </c>
      <c r="F1098" s="2" t="n">
        <v>78</v>
      </c>
      <c r="G1098" s="6" t="n">
        <v>6</v>
      </c>
      <c r="H1098" t="n">
        <v>19.42</v>
      </c>
      <c r="L1098" t="inlineStr">
        <is>
          <t>SOMATOM Force</t>
        </is>
      </c>
      <c r="M1098" t="inlineStr">
        <is>
          <t>LAP 3.0 Br40 2 (42kg/84kg/...</t>
        </is>
      </c>
    </row>
    <row r="1099">
      <c r="A1099" s="2" t="n">
        <v>9729867</v>
      </c>
      <c r="B1099" s="2" t="inlineStr">
        <is>
          <t>70</t>
        </is>
      </c>
      <c r="C1099" s="2" t="inlineStr">
        <is>
          <t>F</t>
        </is>
      </c>
      <c r="D1099" s="2" t="inlineStr">
        <is>
          <t>100.0</t>
        </is>
      </c>
      <c r="E1099" s="4">
        <f>HYPERLINK("./Results/DLO\2817\Osteo_Sarco_1.png","RPT")</f>
        <v/>
      </c>
      <c r="F1099" s="2" t="n">
        <v>78</v>
      </c>
      <c r="G1099" s="6" t="n">
        <v>8</v>
      </c>
      <c r="I1099" s="0" t="n"/>
      <c r="J1099" s="0" t="n"/>
      <c r="K1099" s="0" t="n"/>
      <c r="L1099" t="inlineStr">
        <is>
          <t>SOMATOM Definition...</t>
        </is>
      </c>
      <c r="M1099" t="inlineStr">
        <is>
          <t>Abd PRE 3.0 I31f 2</t>
        </is>
      </c>
    </row>
    <row r="1100">
      <c r="A1100" s="2" t="n">
        <v>9729329</v>
      </c>
      <c r="B1100" s="2" t="inlineStr">
        <is>
          <t>37</t>
        </is>
      </c>
      <c r="C1100" s="2" t="inlineStr">
        <is>
          <t>M</t>
        </is>
      </c>
      <c r="D1100" s="2" t="inlineStr">
        <is>
          <t>100.0</t>
        </is>
      </c>
      <c r="E1100" s="4">
        <f>HYPERLINK("./Results/DLO\2818\Osteo_Sarco_1.png","RPT")</f>
        <v/>
      </c>
      <c r="F1100" s="2" t="n">
        <v>180</v>
      </c>
      <c r="G1100" s="6" t="n">
        <v>10</v>
      </c>
      <c r="I1100" s="0" t="n"/>
      <c r="J1100" s="0" t="n"/>
      <c r="K1100" s="0" t="n"/>
      <c r="L1100" t="inlineStr">
        <is>
          <t>LightSpeed VCT</t>
        </is>
      </c>
      <c r="M1100" t="inlineStr">
        <is>
          <t>PRE</t>
        </is>
      </c>
    </row>
    <row r="1101">
      <c r="A1101" s="2" t="n">
        <v>9729255</v>
      </c>
      <c r="B1101" s="2" t="inlineStr">
        <is>
          <t>80</t>
        </is>
      </c>
      <c r="C1101" s="2" t="inlineStr">
        <is>
          <t>M</t>
        </is>
      </c>
      <c r="D1101" s="2" t="inlineStr">
        <is>
          <t>100.0</t>
        </is>
      </c>
      <c r="E1101" s="4">
        <f>HYPERLINK("./Results/DLO\2819\Osteo_Sarco_1.png","RPT")</f>
        <v/>
      </c>
      <c r="F1101" s="2" t="n">
        <v>126</v>
      </c>
      <c r="G1101" s="6" t="n">
        <v>13</v>
      </c>
      <c r="H1101" t="n">
        <v>24.44</v>
      </c>
      <c r="L1101" t="inlineStr">
        <is>
          <t>SOMATOM Definition...</t>
        </is>
      </c>
      <c r="M1101" t="inlineStr">
        <is>
          <t>Pre 5.0 B30f</t>
        </is>
      </c>
    </row>
    <row r="1102">
      <c r="A1102" s="2" t="n">
        <v>1020030</v>
      </c>
      <c r="B1102" s="2" t="inlineStr">
        <is>
          <t>64</t>
        </is>
      </c>
      <c r="C1102" s="2" t="inlineStr">
        <is>
          <t>F</t>
        </is>
      </c>
      <c r="D1102" s="2" t="inlineStr">
        <is>
          <t>120.0</t>
        </is>
      </c>
      <c r="E1102" s="4">
        <f>HYPERLINK("./Results/DLO\282\Osteo_Sarco_1.png","RPT")</f>
        <v/>
      </c>
      <c r="F1102" s="2" t="n">
        <v>156</v>
      </c>
      <c r="G1102" s="6" t="n">
        <v>18</v>
      </c>
      <c r="I1102" s="0" t="n"/>
      <c r="J1102" s="0" t="n"/>
      <c r="K1102" s="0" t="n"/>
      <c r="L1102" t="inlineStr">
        <is>
          <t>LightSpeed VCT</t>
        </is>
      </c>
      <c r="M1102" t="inlineStr">
        <is>
          <t>LAP 18sec 3mm</t>
        </is>
      </c>
    </row>
    <row r="1103">
      <c r="A1103" s="2" t="n">
        <v>9730633</v>
      </c>
      <c r="B1103" s="2" t="inlineStr">
        <is>
          <t>80</t>
        </is>
      </c>
      <c r="C1103" s="2" t="inlineStr">
        <is>
          <t>F</t>
        </is>
      </c>
      <c r="D1103" s="2" t="inlineStr">
        <is>
          <t>100.0</t>
        </is>
      </c>
      <c r="E1103" s="4">
        <f>HYPERLINK("./Results/DLO\2820\Osteo_Sarco_1.png","RPT")</f>
        <v/>
      </c>
      <c r="F1103" s="2" t="n">
        <v>117</v>
      </c>
      <c r="G1103" s="6" t="n">
        <v>17</v>
      </c>
      <c r="I1103" s="0" t="n"/>
      <c r="J1103" s="0" t="n"/>
      <c r="K1103" s="0" t="n"/>
      <c r="L1103" t="inlineStr">
        <is>
          <t>SOMATOM Force</t>
        </is>
      </c>
      <c r="M1103" t="inlineStr">
        <is>
          <t>Pre 3.0 Br40 1</t>
        </is>
      </c>
    </row>
    <row r="1104">
      <c r="A1104" s="2" t="n">
        <v>9732407</v>
      </c>
      <c r="B1104" s="2" t="inlineStr">
        <is>
          <t>60</t>
        </is>
      </c>
      <c r="C1104" s="2" t="inlineStr">
        <is>
          <t>M</t>
        </is>
      </c>
      <c r="D1104" s="2" t="inlineStr">
        <is>
          <t>100.0</t>
        </is>
      </c>
      <c r="E1104" s="4">
        <f>HYPERLINK("./Results/DLO\2823\Osteo_Sarco_1.png","RPT")</f>
        <v/>
      </c>
      <c r="F1104" s="2" t="n">
        <v>178</v>
      </c>
      <c r="G1104" s="6" t="n">
        <v>11</v>
      </c>
      <c r="H1104" t="n">
        <v>28.03</v>
      </c>
      <c r="L1104" t="inlineStr">
        <is>
          <t>LightSpeed VCT</t>
        </is>
      </c>
      <c r="M1104" t="inlineStr">
        <is>
          <t>PRE 3mm</t>
        </is>
      </c>
    </row>
    <row r="1105">
      <c r="A1105" s="2" t="n">
        <v>9732392</v>
      </c>
      <c r="B1105" s="2" t="inlineStr">
        <is>
          <t>54</t>
        </is>
      </c>
      <c r="C1105" s="2" t="inlineStr">
        <is>
          <t>F</t>
        </is>
      </c>
      <c r="D1105" s="2" t="inlineStr">
        <is>
          <t>100.0</t>
        </is>
      </c>
      <c r="E1105" s="4">
        <f>HYPERLINK("./Results/DLO\2824\Osteo_Sarco_1.png","RPT")</f>
        <v/>
      </c>
      <c r="F1105" s="2" t="n">
        <v>112</v>
      </c>
      <c r="G1105" s="6" t="n">
        <v>17</v>
      </c>
      <c r="I1105" s="0" t="n"/>
      <c r="J1105" s="0" t="n"/>
      <c r="K1105" s="0" t="n"/>
      <c r="L1105" t="inlineStr">
        <is>
          <t>SOMATOM Definition...</t>
        </is>
      </c>
      <c r="M1105" t="inlineStr">
        <is>
          <t>PRE 3mm</t>
        </is>
      </c>
    </row>
    <row r="1106">
      <c r="A1106" s="2" t="n">
        <v>9733360</v>
      </c>
      <c r="B1106" s="2" t="inlineStr">
        <is>
          <t>46</t>
        </is>
      </c>
      <c r="C1106" s="2" t="inlineStr">
        <is>
          <t>M</t>
        </is>
      </c>
      <c r="D1106" s="2" t="inlineStr">
        <is>
          <t>120.0</t>
        </is>
      </c>
      <c r="E1106" s="4">
        <f>HYPERLINK("./Results/DLO\2825\Osteo_Sarco_1.png","RPT")</f>
        <v/>
      </c>
      <c r="F1106" s="2" t="n">
        <v>166</v>
      </c>
      <c r="G1106" s="6" t="n">
        <v>5</v>
      </c>
      <c r="H1106" t="n">
        <v>25.83</v>
      </c>
      <c r="L1106" t="inlineStr">
        <is>
          <t>Sensation 64</t>
        </is>
      </c>
      <c r="M1106" t="inlineStr">
        <is>
          <t>DELAY 6.0 B31f</t>
        </is>
      </c>
    </row>
    <row r="1107">
      <c r="A1107" s="2" t="n">
        <v>9733209</v>
      </c>
      <c r="B1107" s="2" t="inlineStr">
        <is>
          <t>63</t>
        </is>
      </c>
      <c r="C1107" s="2" t="inlineStr">
        <is>
          <t>F</t>
        </is>
      </c>
      <c r="D1107" s="2" t="inlineStr">
        <is>
          <t>100.0</t>
        </is>
      </c>
      <c r="E1107" s="4">
        <f>HYPERLINK("./Results/DLO\2826\Osteo_Sarco_1.png","RPT")</f>
        <v/>
      </c>
      <c r="F1107" s="2" t="n">
        <v>107</v>
      </c>
      <c r="G1107" s="6" t="n">
        <v>15</v>
      </c>
      <c r="I1107" s="0" t="n"/>
      <c r="J1107" s="0" t="n"/>
      <c r="K1107" s="0" t="n"/>
      <c r="L1107" t="inlineStr">
        <is>
          <t>SOMATOM Definition...</t>
        </is>
      </c>
      <c r="M1107" t="inlineStr">
        <is>
          <t>Pre 3mm</t>
        </is>
      </c>
    </row>
    <row r="1108">
      <c r="A1108" s="2" t="n">
        <v>9735940</v>
      </c>
      <c r="B1108" s="2" t="inlineStr">
        <is>
          <t>44</t>
        </is>
      </c>
      <c r="C1108" s="2" t="inlineStr">
        <is>
          <t>M</t>
        </is>
      </c>
      <c r="D1108" s="2" t="inlineStr">
        <is>
          <t>130.0</t>
        </is>
      </c>
      <c r="E1108" s="4">
        <f>HYPERLINK("./Results/DLO\2828\Osteo_Sarco_1.png","RPT")</f>
        <v/>
      </c>
      <c r="F1108" s="2" t="n">
        <v>170</v>
      </c>
      <c r="G1108" s="6" t="n">
        <v>4</v>
      </c>
      <c r="H1108" t="n">
        <v>23.75</v>
      </c>
      <c r="L1108" t="inlineStr">
        <is>
          <t>SOMATOM Emotion 16</t>
        </is>
      </c>
      <c r="M1108" t="inlineStr">
        <is>
          <t>Abd pre 5.0 B4is</t>
        </is>
      </c>
    </row>
    <row r="1109">
      <c r="A1109" s="2" t="n">
        <v>9736303</v>
      </c>
      <c r="B1109" s="2" t="inlineStr">
        <is>
          <t>73</t>
        </is>
      </c>
      <c r="C1109" s="2" t="inlineStr">
        <is>
          <t>M</t>
        </is>
      </c>
      <c r="D1109" s="2" t="inlineStr">
        <is>
          <t>120.0</t>
        </is>
      </c>
      <c r="E1109" s="4">
        <f>HYPERLINK("./Results/DLO\2829\Osteo_Sarco_1.png","RPT")</f>
        <v/>
      </c>
      <c r="F1109" s="2" t="n">
        <v>144</v>
      </c>
      <c r="G1109" s="6" t="n">
        <v>16</v>
      </c>
      <c r="H1109" t="n">
        <v>20.79</v>
      </c>
      <c r="L1109" t="inlineStr">
        <is>
          <t>iCT 256</t>
        </is>
      </c>
      <c r="M1109" t="inlineStr">
        <is>
          <t>Pre 3/3mm, iDose (3)</t>
        </is>
      </c>
    </row>
    <row r="1110">
      <c r="A1110" s="2" t="n">
        <v>4165739</v>
      </c>
      <c r="B1110" s="2" t="inlineStr">
        <is>
          <t>49</t>
        </is>
      </c>
      <c r="C1110" s="2" t="inlineStr">
        <is>
          <t>F</t>
        </is>
      </c>
      <c r="D1110" s="2" t="inlineStr">
        <is>
          <t>120.0</t>
        </is>
      </c>
      <c r="E1110" s="4">
        <f>HYPERLINK("./Results/DLO\283\Osteo_Sarco_1.png","RPT")</f>
        <v/>
      </c>
      <c r="F1110" s="2" t="n">
        <v>113</v>
      </c>
      <c r="G1110" s="6" t="n">
        <v>9</v>
      </c>
      <c r="I1110" s="0" t="n"/>
      <c r="J1110" s="0" t="n"/>
      <c r="K1110" s="0" t="n"/>
      <c r="L1110" t="inlineStr">
        <is>
          <t>LightSpeed VCT</t>
        </is>
      </c>
      <c r="M1110" t="inlineStr">
        <is>
          <t>HVP 55sec 3mm</t>
        </is>
      </c>
    </row>
    <row r="1111">
      <c r="A1111" s="2" t="n">
        <v>9736160</v>
      </c>
      <c r="B1111" s="2" t="inlineStr">
        <is>
          <t>65</t>
        </is>
      </c>
      <c r="C1111" s="2" t="inlineStr">
        <is>
          <t>F</t>
        </is>
      </c>
      <c r="D1111" s="2" t="inlineStr">
        <is>
          <t>100.0</t>
        </is>
      </c>
      <c r="E1111" s="4">
        <f>HYPERLINK("./Results/DLO\2830\Osteo_Sarco_1.png","RPT")</f>
        <v/>
      </c>
      <c r="F1111" s="2" t="n">
        <v>123</v>
      </c>
      <c r="G1111" s="6" t="n">
        <v>12</v>
      </c>
      <c r="I1111" s="0" t="n"/>
      <c r="J1111" s="0" t="n"/>
      <c r="K1111" s="0" t="n"/>
      <c r="L1111" t="inlineStr">
        <is>
          <t>SOMATOM Definition...</t>
        </is>
      </c>
      <c r="M1111" t="inlineStr">
        <is>
          <t>Pre 3mm</t>
        </is>
      </c>
    </row>
    <row r="1112">
      <c r="A1112" s="2" t="n">
        <v>9735840</v>
      </c>
      <c r="B1112" s="2" t="inlineStr">
        <is>
          <t>58</t>
        </is>
      </c>
      <c r="C1112" s="2" t="inlineStr">
        <is>
          <t>M</t>
        </is>
      </c>
      <c r="D1112" s="2" t="inlineStr">
        <is>
          <t>100.0</t>
        </is>
      </c>
      <c r="E1112" s="4">
        <f>HYPERLINK("./Results/DLO\2831\Osteo_Sarco_1.png","RPT")</f>
        <v/>
      </c>
      <c r="F1112" s="2" t="n">
        <v>166</v>
      </c>
      <c r="G1112" s="6" t="n">
        <v>10</v>
      </c>
      <c r="H1112" t="n">
        <v>23.81</v>
      </c>
      <c r="L1112" t="inlineStr">
        <is>
          <t>Sensation 64</t>
        </is>
      </c>
      <c r="M1112" t="inlineStr">
        <is>
          <t>Pre 3mm(100kvp100mAs)</t>
        </is>
      </c>
    </row>
    <row r="1113">
      <c r="A1113" s="2" t="n">
        <v>9738319</v>
      </c>
      <c r="B1113" s="2" t="inlineStr">
        <is>
          <t>50</t>
        </is>
      </c>
      <c r="C1113" s="2" t="inlineStr">
        <is>
          <t>M</t>
        </is>
      </c>
      <c r="D1113" s="2" t="inlineStr">
        <is>
          <t>90.0</t>
        </is>
      </c>
      <c r="E1113" s="4">
        <f>HYPERLINK("./Results/DLO\2832\Osteo_Sarco_1.png","RPT")</f>
        <v/>
      </c>
      <c r="F1113" s="2" t="n">
        <v>145</v>
      </c>
      <c r="G1113" s="6" t="n">
        <v>5</v>
      </c>
      <c r="I1113" s="0" t="n"/>
      <c r="J1113" s="0" t="n"/>
      <c r="K1113" s="0" t="n"/>
      <c r="L1113" t="inlineStr">
        <is>
          <t>SOMATOM Force</t>
        </is>
      </c>
      <c r="M1113" t="inlineStr">
        <is>
          <t>CE Abd 3.0 Br40 3</t>
        </is>
      </c>
    </row>
    <row r="1114">
      <c r="A1114" s="2" t="n">
        <v>9739930</v>
      </c>
      <c r="B1114" s="2" t="inlineStr">
        <is>
          <t>69</t>
        </is>
      </c>
      <c r="C1114" s="2" t="inlineStr">
        <is>
          <t>M</t>
        </is>
      </c>
      <c r="D1114" s="2" t="inlineStr">
        <is>
          <t>120.0</t>
        </is>
      </c>
      <c r="E1114" s="4">
        <f>HYPERLINK("./Results/DLO\2833\Osteo_Sarco_1.png","RPT")</f>
        <v/>
      </c>
      <c r="F1114" s="2" t="n">
        <v>155</v>
      </c>
      <c r="G1114" s="6" t="n">
        <v>11</v>
      </c>
      <c r="I1114" s="0" t="n"/>
      <c r="J1114" s="0" t="n"/>
      <c r="K1114" s="0" t="n"/>
      <c r="L1114" t="inlineStr">
        <is>
          <t>LightSpeed VCT</t>
        </is>
      </c>
      <c r="M1114" t="inlineStr">
        <is>
          <t>LAP 18sec 3mm</t>
        </is>
      </c>
    </row>
    <row r="1115">
      <c r="A1115" s="2" t="n">
        <v>9739978</v>
      </c>
      <c r="B1115" s="2" t="inlineStr">
        <is>
          <t>72</t>
        </is>
      </c>
      <c r="C1115" s="2" t="inlineStr">
        <is>
          <t>F</t>
        </is>
      </c>
      <c r="D1115" s="2" t="inlineStr">
        <is>
          <t>100.0</t>
        </is>
      </c>
      <c r="E1115" s="4">
        <f>HYPERLINK("./Results/DLO\2834\Osteo_Sarco_1.png","RPT")</f>
        <v/>
      </c>
      <c r="F1115" s="2" t="n">
        <v>107</v>
      </c>
      <c r="G1115" s="6" t="n">
        <v>17</v>
      </c>
      <c r="I1115" s="0" t="n"/>
      <c r="J1115" s="0" t="n"/>
      <c r="K1115" s="0" t="n"/>
      <c r="L1115" t="inlineStr">
        <is>
          <t>Aquilion ONE</t>
        </is>
      </c>
      <c r="M1115" t="inlineStr">
        <is>
          <t>FC08 AIDR 3D</t>
        </is>
      </c>
    </row>
    <row r="1116">
      <c r="A1116" s="2" t="n">
        <v>9740731</v>
      </c>
      <c r="B1116" s="2" t="inlineStr">
        <is>
          <t>50</t>
        </is>
      </c>
      <c r="C1116" s="2" t="inlineStr">
        <is>
          <t>F</t>
        </is>
      </c>
      <c r="D1116" s="2" t="inlineStr">
        <is>
          <t>100.0</t>
        </is>
      </c>
      <c r="E1116" s="4">
        <f>HYPERLINK("./Results/DLO\2835\Osteo_Sarco_1.png","RPT")</f>
        <v/>
      </c>
      <c r="F1116" s="2" t="n">
        <v>121</v>
      </c>
      <c r="G1116" s="6" t="n">
        <v>8</v>
      </c>
      <c r="I1116" s="0" t="n"/>
      <c r="J1116" s="0" t="n"/>
      <c r="K1116" s="0" t="n"/>
      <c r="L1116" t="inlineStr">
        <is>
          <t>SOMATOM Definition...</t>
        </is>
      </c>
      <c r="M1116" t="inlineStr">
        <is>
          <t>Pre(Abd) 3mm</t>
        </is>
      </c>
    </row>
    <row r="1117">
      <c r="A1117" s="2" t="n">
        <v>9740577</v>
      </c>
      <c r="B1117" s="2" t="inlineStr">
        <is>
          <t>45</t>
        </is>
      </c>
      <c r="C1117" s="2" t="inlineStr">
        <is>
          <t>M</t>
        </is>
      </c>
      <c r="D1117" s="2" t="inlineStr">
        <is>
          <t>100.0</t>
        </is>
      </c>
      <c r="E1117" s="4">
        <f>HYPERLINK("./Results/DLO\2836\Osteo_Sarco_1.png","RPT")</f>
        <v/>
      </c>
      <c r="F1117" s="2" t="n">
        <v>170</v>
      </c>
      <c r="G1117" s="6" t="n">
        <v>24</v>
      </c>
      <c r="I1117" s="0" t="n"/>
      <c r="J1117" s="0" t="n"/>
      <c r="K1117" s="0" t="n"/>
      <c r="L1117" t="inlineStr">
        <is>
          <t>LightSpeed VCT</t>
        </is>
      </c>
      <c r="M1117" t="inlineStr">
        <is>
          <t>PRE 3mm</t>
        </is>
      </c>
    </row>
    <row r="1118">
      <c r="A1118" s="2" t="n">
        <v>9740950</v>
      </c>
      <c r="B1118" s="2" t="inlineStr">
        <is>
          <t>54</t>
        </is>
      </c>
      <c r="C1118" s="2" t="inlineStr">
        <is>
          <t>M</t>
        </is>
      </c>
      <c r="D1118" s="2" t="inlineStr">
        <is>
          <t>120.0</t>
        </is>
      </c>
      <c r="E1118" s="4">
        <f>HYPERLINK("./Results/DLO\2837\Osteo_Sarco_1.png","RPT")</f>
        <v/>
      </c>
      <c r="F1118" s="2" t="n">
        <v>121</v>
      </c>
      <c r="G1118" s="6" t="n">
        <v>7</v>
      </c>
      <c r="I1118" s="0" t="n"/>
      <c r="J1118" s="0" t="n"/>
      <c r="K1118" s="0" t="n"/>
      <c r="L1118" t="inlineStr">
        <is>
          <t>Ingenuity CT Elite</t>
        </is>
      </c>
      <c r="M1118" t="inlineStr">
        <is>
          <t>PRE YA(-1)</t>
        </is>
      </c>
    </row>
    <row r="1119">
      <c r="A1119" s="2" t="n">
        <v>9740426</v>
      </c>
      <c r="B1119" s="2" t="inlineStr">
        <is>
          <t>59</t>
        </is>
      </c>
      <c r="C1119" s="2" t="inlineStr">
        <is>
          <t>M</t>
        </is>
      </c>
      <c r="D1119" s="2" t="inlineStr">
        <is>
          <t>100.0</t>
        </is>
      </c>
      <c r="E1119" s="4">
        <f>HYPERLINK("./Results/DLO\2838\Osteo_Sarco_1.png","RPT")</f>
        <v/>
      </c>
      <c r="F1119" s="2" t="n">
        <v>150</v>
      </c>
      <c r="G1119" s="6" t="n">
        <v>5</v>
      </c>
      <c r="I1119" s="0" t="n"/>
      <c r="J1119" s="0" t="n"/>
      <c r="K1119" s="0" t="n"/>
      <c r="L1119" t="inlineStr">
        <is>
          <t>SOMATOM Definition...</t>
        </is>
      </c>
      <c r="M1119" t="inlineStr">
        <is>
          <t>LAP 2 3mm(59kg/118ml/3ml/he...</t>
        </is>
      </c>
    </row>
    <row r="1120">
      <c r="A1120" s="2" t="n">
        <v>9740372</v>
      </c>
      <c r="B1120" s="2" t="inlineStr">
        <is>
          <t>52</t>
        </is>
      </c>
      <c r="C1120" s="2" t="inlineStr">
        <is>
          <t>M</t>
        </is>
      </c>
      <c r="D1120" s="2" t="inlineStr">
        <is>
          <t>100.0</t>
        </is>
      </c>
      <c r="E1120" s="4">
        <f>HYPERLINK("./Results/DLO\2839\Osteo_Sarco_1.png","RPT")</f>
        <v/>
      </c>
      <c r="F1120" s="2" t="n">
        <v>151</v>
      </c>
      <c r="G1120" s="6" t="n">
        <v>5</v>
      </c>
      <c r="H1120" t="n">
        <v>22.41</v>
      </c>
      <c r="L1120" t="inlineStr">
        <is>
          <t>SOMATOM Definition</t>
        </is>
      </c>
      <c r="M1120" t="inlineStr">
        <is>
          <t>Pre Abdomen 3.0 B30f</t>
        </is>
      </c>
    </row>
    <row r="1121">
      <c r="A1121" s="2" t="n">
        <v>2276669</v>
      </c>
      <c r="B1121" s="2" t="inlineStr">
        <is>
          <t>59</t>
        </is>
      </c>
      <c r="C1121" s="2" t="inlineStr">
        <is>
          <t>M</t>
        </is>
      </c>
      <c r="D1121" s="2" t="inlineStr">
        <is>
          <t>100.0</t>
        </is>
      </c>
      <c r="E1121" s="4">
        <f>HYPERLINK("./Results/DLO\284\Osteo_Sarco_1.png","RPT")</f>
        <v/>
      </c>
      <c r="F1121" s="2" t="n">
        <v>143</v>
      </c>
      <c r="G1121" s="6" t="n">
        <v>5</v>
      </c>
      <c r="I1121" s="0" t="n"/>
      <c r="J1121" s="0" t="n"/>
      <c r="K1121" s="0" t="n"/>
      <c r="L1121" t="inlineStr">
        <is>
          <t>SOMATOM Definition...</t>
        </is>
      </c>
      <c r="M1121" t="inlineStr">
        <is>
          <t>HVP 2 3mm (58kg/116cc/2.7cc...</t>
        </is>
      </c>
    </row>
    <row r="1122">
      <c r="A1122" s="2" t="n">
        <v>9741708</v>
      </c>
      <c r="B1122" s="2" t="inlineStr">
        <is>
          <t>79</t>
        </is>
      </c>
      <c r="C1122" s="2" t="inlineStr">
        <is>
          <t>M</t>
        </is>
      </c>
      <c r="D1122" s="2" t="inlineStr">
        <is>
          <t>120.0</t>
        </is>
      </c>
      <c r="E1122" s="4">
        <f>HYPERLINK("./Results/DLO\2840\Osteo_Sarco_1.png","RPT")</f>
        <v/>
      </c>
      <c r="F1122" s="2" t="n">
        <v>108</v>
      </c>
      <c r="G1122" s="6" t="n">
        <v>7</v>
      </c>
      <c r="H1122" t="n">
        <v>20.32</v>
      </c>
      <c r="L1122" t="inlineStr">
        <is>
          <t>ECLOS</t>
        </is>
      </c>
      <c r="M1122" t="inlineStr">
        <is>
          <t>Axial</t>
        </is>
      </c>
    </row>
    <row r="1123">
      <c r="A1123" s="2" t="n">
        <v>9742586</v>
      </c>
      <c r="B1123" s="2" t="inlineStr">
        <is>
          <t>52</t>
        </is>
      </c>
      <c r="C1123" s="2" t="inlineStr">
        <is>
          <t>M</t>
        </is>
      </c>
      <c r="D1123" s="2" t="inlineStr">
        <is>
          <t>100.0</t>
        </is>
      </c>
      <c r="E1123" s="4">
        <f>HYPERLINK("./Results/DLO\2841\Osteo_Sarco_1.png","RPT")</f>
        <v/>
      </c>
      <c r="F1123" s="2" t="n">
        <v>135</v>
      </c>
      <c r="G1123" s="6" t="n">
        <v>4</v>
      </c>
      <c r="I1123" s="0" t="n"/>
      <c r="J1123" s="0" t="n"/>
      <c r="K1123" s="0" t="n"/>
      <c r="L1123" t="inlineStr">
        <is>
          <t>SOMATOM Force</t>
        </is>
      </c>
      <c r="M1123" t="inlineStr">
        <is>
          <t>LAP 3.0 Br40 2 (74kg/145kg...</t>
        </is>
      </c>
    </row>
    <row r="1124">
      <c r="A1124" s="2" t="n">
        <v>9743042</v>
      </c>
      <c r="B1124" s="2" t="inlineStr">
        <is>
          <t>57</t>
        </is>
      </c>
      <c r="C1124" s="2" t="inlineStr">
        <is>
          <t>M</t>
        </is>
      </c>
      <c r="D1124" s="2" t="inlineStr">
        <is>
          <t>100.0</t>
        </is>
      </c>
      <c r="E1124" s="4">
        <f>HYPERLINK("./Results/DLO\2842\Osteo_Sarco_1.png","RPT")</f>
        <v/>
      </c>
      <c r="F1124" s="2" t="n">
        <v>134</v>
      </c>
      <c r="G1124" s="6" t="n">
        <v>10</v>
      </c>
      <c r="I1124" s="0" t="n"/>
      <c r="J1124" s="0" t="n"/>
      <c r="K1124" s="0" t="n"/>
      <c r="L1124" t="inlineStr">
        <is>
          <t>iCT 256</t>
        </is>
      </c>
      <c r="M1124" t="inlineStr">
        <is>
          <t>Pre 3/3mm, iDose (3)</t>
        </is>
      </c>
    </row>
    <row r="1125">
      <c r="A1125" s="2" t="n">
        <v>9742698</v>
      </c>
      <c r="B1125" s="2" t="inlineStr">
        <is>
          <t>48</t>
        </is>
      </c>
      <c r="C1125" s="2" t="inlineStr">
        <is>
          <t>F</t>
        </is>
      </c>
      <c r="D1125" s="2" t="inlineStr">
        <is>
          <t>100.0</t>
        </is>
      </c>
      <c r="E1125" s="4">
        <f>HYPERLINK("./Results/DLO\2843\Osteo_Sarco_1.png","RPT")</f>
        <v/>
      </c>
      <c r="F1125" s="2" t="n">
        <v>118</v>
      </c>
      <c r="G1125" s="6" t="n">
        <v>7</v>
      </c>
      <c r="I1125" s="0" t="n"/>
      <c r="J1125" s="0" t="n"/>
      <c r="K1125" s="0" t="n"/>
      <c r="L1125" t="inlineStr">
        <is>
          <t>Revolution CT</t>
        </is>
      </c>
      <c r="M1125" t="inlineStr">
        <is>
          <t>GU Pre 3mm pacs</t>
        </is>
      </c>
    </row>
    <row r="1126">
      <c r="A1126" s="2" t="n">
        <v>9743640</v>
      </c>
      <c r="B1126" s="2" t="inlineStr">
        <is>
          <t>62</t>
        </is>
      </c>
      <c r="C1126" s="2" t="inlineStr">
        <is>
          <t>F</t>
        </is>
      </c>
      <c r="D1126" s="2" t="inlineStr">
        <is>
          <t>100.0</t>
        </is>
      </c>
      <c r="E1126" s="4">
        <f>HYPERLINK("./Results/DLO\2844\Osteo_Sarco_1.png","RPT")</f>
        <v/>
      </c>
      <c r="F1126" s="2" t="n">
        <v>96</v>
      </c>
      <c r="G1126" s="6" t="n">
        <v>18</v>
      </c>
      <c r="I1126" s="0" t="n"/>
      <c r="J1126" s="0" t="n"/>
      <c r="K1126" s="0" t="n"/>
      <c r="L1126" t="inlineStr">
        <is>
          <t>LightSpeed VCT</t>
        </is>
      </c>
      <c r="M1126" t="inlineStr">
        <is>
          <t>PRE 3mm</t>
        </is>
      </c>
    </row>
    <row r="1127">
      <c r="A1127" s="2" t="n">
        <v>9744999</v>
      </c>
      <c r="B1127" s="2" t="inlineStr">
        <is>
          <t>52</t>
        </is>
      </c>
      <c r="C1127" s="2" t="inlineStr">
        <is>
          <t>M</t>
        </is>
      </c>
      <c r="D1127" s="2" t="inlineStr">
        <is>
          <t>120.0</t>
        </is>
      </c>
      <c r="E1127" s="4">
        <f>HYPERLINK("./Results/DLO\2846\Osteo_Sarco_1.png","RPT")</f>
        <v/>
      </c>
      <c r="F1127" s="2" t="n">
        <v>162</v>
      </c>
      <c r="G1127" s="6" t="n">
        <v>12</v>
      </c>
      <c r="I1127" s="0" t="n"/>
      <c r="J1127" s="0" t="n"/>
      <c r="K1127" s="0" t="n"/>
      <c r="L1127" t="inlineStr">
        <is>
          <t>Brilliance 64</t>
        </is>
      </c>
      <c r="M1127" t="inlineStr">
        <is>
          <t>PRE</t>
        </is>
      </c>
    </row>
    <row r="1128">
      <c r="A1128" s="2" t="n">
        <v>9745188</v>
      </c>
      <c r="B1128" s="2" t="inlineStr">
        <is>
          <t>62</t>
        </is>
      </c>
      <c r="C1128" s="2" t="inlineStr">
        <is>
          <t>M</t>
        </is>
      </c>
      <c r="D1128" s="2" t="inlineStr">
        <is>
          <t>120.0</t>
        </is>
      </c>
      <c r="E1128" s="4">
        <f>HYPERLINK("./Results/DLO\2847\Osteo_Sarco_1.png","RPT")</f>
        <v/>
      </c>
      <c r="F1128" s="2" t="n">
        <v>132</v>
      </c>
      <c r="G1128" s="6" t="n">
        <v>9</v>
      </c>
      <c r="H1128" t="n">
        <v>24.28</v>
      </c>
      <c r="L1128" t="inlineStr">
        <is>
          <t>Aquilion PRIME</t>
        </is>
      </c>
      <c r="M1128" t="inlineStr">
        <is>
          <t>Abdomen/3mm Body 3.0</t>
        </is>
      </c>
    </row>
    <row r="1129">
      <c r="A1129" s="2" t="n">
        <v>9746575</v>
      </c>
      <c r="B1129" s="2" t="inlineStr">
        <is>
          <t>25</t>
        </is>
      </c>
      <c r="C1129" s="2" t="inlineStr">
        <is>
          <t>F</t>
        </is>
      </c>
      <c r="D1129" s="2" t="inlineStr">
        <is>
          <t>100.0</t>
        </is>
      </c>
      <c r="E1129" s="4">
        <f>HYPERLINK("./Results/DLO\2848\Osteo_Sarco_1.png","RPT")</f>
        <v/>
      </c>
      <c r="F1129" s="2" t="n">
        <v>105</v>
      </c>
      <c r="G1129" s="6" t="n">
        <v>4</v>
      </c>
      <c r="I1129" s="0" t="n"/>
      <c r="J1129" s="0" t="n"/>
      <c r="K1129" s="0" t="n"/>
      <c r="L1129" t="inlineStr">
        <is>
          <t>Revolution EVO</t>
        </is>
      </c>
      <c r="M1129" t="inlineStr">
        <is>
          <t>PRE 3mm</t>
        </is>
      </c>
    </row>
    <row r="1130">
      <c r="A1130" s="2" t="n">
        <v>9746936</v>
      </c>
      <c r="B1130" s="2" t="inlineStr">
        <is>
          <t>49</t>
        </is>
      </c>
      <c r="C1130" s="2" t="inlineStr">
        <is>
          <t>M</t>
        </is>
      </c>
      <c r="D1130" s="2" t="inlineStr">
        <is>
          <t>120.0</t>
        </is>
      </c>
      <c r="E1130" s="4">
        <f>HYPERLINK("./Results/DLO\2849\Osteo_Sarco_1.png","RPT")</f>
        <v/>
      </c>
      <c r="F1130" s="2" t="n">
        <v>175</v>
      </c>
      <c r="G1130" s="6" t="n">
        <v>7</v>
      </c>
      <c r="I1130" s="0" t="n"/>
      <c r="J1130" s="0" t="n"/>
      <c r="K1130" s="0" t="n"/>
      <c r="L1130" t="inlineStr">
        <is>
          <t>LightSpeed VCT</t>
        </is>
      </c>
      <c r="M1130" t="inlineStr">
        <is>
          <t>PRE</t>
        </is>
      </c>
    </row>
    <row r="1131">
      <c r="A1131" s="2" t="n">
        <v>3908795</v>
      </c>
      <c r="B1131" s="2" t="inlineStr">
        <is>
          <t>59</t>
        </is>
      </c>
      <c r="C1131" s="2" t="inlineStr">
        <is>
          <t>M</t>
        </is>
      </c>
      <c r="D1131" s="2" t="inlineStr">
        <is>
          <t>100.0</t>
        </is>
      </c>
      <c r="E1131" s="4">
        <f>HYPERLINK("./Results/DLO\285\Osteo_Sarco_1.png","RPT")</f>
        <v/>
      </c>
      <c r="F1131" s="2" t="n">
        <v>120</v>
      </c>
      <c r="G1131" s="6" t="n">
        <v>10</v>
      </c>
      <c r="I1131" s="0" t="n"/>
      <c r="J1131" s="0" t="n"/>
      <c r="K1131" s="0" t="n"/>
      <c r="L1131" t="inlineStr">
        <is>
          <t>LightSpeed VCT</t>
        </is>
      </c>
      <c r="M1131" t="inlineStr">
        <is>
          <t>AXL 3mm</t>
        </is>
      </c>
    </row>
    <row r="1132">
      <c r="A1132" s="2" t="n">
        <v>9747444</v>
      </c>
      <c r="B1132" s="2" t="inlineStr">
        <is>
          <t>51</t>
        </is>
      </c>
      <c r="C1132" s="2" t="inlineStr">
        <is>
          <t>F</t>
        </is>
      </c>
      <c r="D1132" s="2" t="inlineStr">
        <is>
          <t>120.0</t>
        </is>
      </c>
      <c r="E1132" s="4">
        <f>HYPERLINK("./Results/DLO\2850\Osteo_Sarco_1.png","RPT")</f>
        <v/>
      </c>
      <c r="F1132" s="2" t="n">
        <v>113</v>
      </c>
      <c r="G1132" s="6" t="n">
        <v>10</v>
      </c>
      <c r="I1132" s="0" t="n"/>
      <c r="J1132" s="0" t="n"/>
      <c r="K1132" s="0" t="n"/>
      <c r="L1132" t="inlineStr">
        <is>
          <t>SOMATOM Definition...</t>
        </is>
      </c>
      <c r="M1132" t="inlineStr">
        <is>
          <t>Pre 5.0 B30f</t>
        </is>
      </c>
    </row>
    <row r="1133">
      <c r="A1133" s="2" t="n">
        <v>9747133</v>
      </c>
      <c r="B1133" s="2" t="inlineStr">
        <is>
          <t>50</t>
        </is>
      </c>
      <c r="C1133" s="2" t="inlineStr">
        <is>
          <t>F</t>
        </is>
      </c>
      <c r="D1133" s="2" t="inlineStr">
        <is>
          <t>100.0</t>
        </is>
      </c>
      <c r="E1133" s="4">
        <f>HYPERLINK("./Results/DLO\2851\Osteo_Sarco_1.png","RPT")</f>
        <v/>
      </c>
      <c r="F1133" s="2" t="n">
        <v>121</v>
      </c>
      <c r="G1133" s="6" t="n">
        <v>10</v>
      </c>
      <c r="I1133" s="0" t="n"/>
      <c r="J1133" s="0" t="n"/>
      <c r="K1133" s="0" t="n"/>
      <c r="L1133" t="inlineStr">
        <is>
          <t>LightSpeed VCT</t>
        </is>
      </c>
      <c r="M1133" t="inlineStr">
        <is>
          <t>PRE 3mm</t>
        </is>
      </c>
    </row>
    <row r="1134">
      <c r="A1134" s="2" t="n">
        <v>9747905</v>
      </c>
      <c r="B1134" s="2" t="inlineStr">
        <is>
          <t>40</t>
        </is>
      </c>
      <c r="C1134" s="2" t="inlineStr">
        <is>
          <t>F</t>
        </is>
      </c>
      <c r="D1134" s="2" t="inlineStr">
        <is>
          <t>100.0</t>
        </is>
      </c>
      <c r="E1134" s="4">
        <f>HYPERLINK("./Results/DLO\2852\Osteo_Sarco_1.png","RPT")</f>
        <v/>
      </c>
      <c r="F1134" s="2" t="n">
        <v>112</v>
      </c>
      <c r="G1134" s="6" t="n">
        <v>8</v>
      </c>
      <c r="I1134" s="0" t="n"/>
      <c r="J1134" s="0" t="n"/>
      <c r="K1134" s="0" t="n"/>
      <c r="L1134" t="inlineStr">
        <is>
          <t>SOMATOM Definition...</t>
        </is>
      </c>
      <c r="M1134" t="inlineStr">
        <is>
          <t>PRE 3mm</t>
        </is>
      </c>
    </row>
    <row r="1135">
      <c r="A1135" s="2" t="n">
        <v>9749093</v>
      </c>
      <c r="B1135" s="2" t="inlineStr">
        <is>
          <t>69</t>
        </is>
      </c>
      <c r="C1135" s="2" t="inlineStr">
        <is>
          <t>M</t>
        </is>
      </c>
      <c r="D1135" s="2" t="inlineStr">
        <is>
          <t>120.0</t>
        </is>
      </c>
      <c r="E1135" s="4">
        <f>HYPERLINK("./Results/DLO\2853\Osteo_Sarco_1.png","RPT")</f>
        <v/>
      </c>
      <c r="F1135" s="2" t="n">
        <v>169</v>
      </c>
      <c r="G1135" s="6" t="n">
        <v>13</v>
      </c>
      <c r="I1135" s="0" t="n"/>
      <c r="J1135" s="0" t="n"/>
      <c r="K1135" s="0" t="n"/>
      <c r="L1135" t="inlineStr">
        <is>
          <t>iCT 256</t>
        </is>
      </c>
      <c r="M1135" t="inlineStr">
        <is>
          <t>LAP 3/3mm, iDose (3)</t>
        </is>
      </c>
    </row>
    <row r="1136">
      <c r="A1136" s="2" t="n">
        <v>9749570</v>
      </c>
      <c r="B1136" s="2" t="inlineStr">
        <is>
          <t>64</t>
        </is>
      </c>
      <c r="C1136" s="2" t="inlineStr">
        <is>
          <t>M</t>
        </is>
      </c>
      <c r="D1136" s="2" t="inlineStr">
        <is>
          <t>100.0</t>
        </is>
      </c>
      <c r="E1136" s="4">
        <f>HYPERLINK("./Results/DLO\2854\Osteo_Sarco_1.png","RPT")</f>
        <v/>
      </c>
      <c r="F1136" s="2" t="n">
        <v>116</v>
      </c>
      <c r="G1136" s="6" t="n">
        <v>6</v>
      </c>
      <c r="H1136" t="n">
        <v>19.32</v>
      </c>
      <c r="L1136" t="inlineStr">
        <is>
          <t>Revolution CT</t>
        </is>
      </c>
      <c r="M1136" t="inlineStr">
        <is>
          <t>Pre Axial 3mm</t>
        </is>
      </c>
    </row>
    <row r="1137">
      <c r="A1137" s="2" t="n">
        <v>9749036</v>
      </c>
      <c r="B1137" s="2" t="inlineStr">
        <is>
          <t>55</t>
        </is>
      </c>
      <c r="C1137" s="2" t="inlineStr">
        <is>
          <t>M</t>
        </is>
      </c>
      <c r="D1137" s="2" t="inlineStr">
        <is>
          <t>100.0</t>
        </is>
      </c>
      <c r="E1137" s="4">
        <f>HYPERLINK("./Results/DLO\2855\Osteo_Sarco_1.png","RPT")</f>
        <v/>
      </c>
      <c r="F1137" s="2" t="n">
        <v>132</v>
      </c>
      <c r="G1137" s="6" t="n">
        <v>6</v>
      </c>
      <c r="I1137" s="0" t="n"/>
      <c r="J1137" s="0" t="n"/>
      <c r="K1137" s="0" t="n"/>
      <c r="L1137" t="inlineStr">
        <is>
          <t>Revolution EVO</t>
        </is>
      </c>
      <c r="M1137" t="inlineStr">
        <is>
          <t>Pre 2.5mm</t>
        </is>
      </c>
    </row>
    <row r="1138">
      <c r="A1138" s="2" t="n">
        <v>9749556</v>
      </c>
      <c r="B1138" s="2" t="inlineStr">
        <is>
          <t>44</t>
        </is>
      </c>
      <c r="C1138" s="2" t="inlineStr">
        <is>
          <t>M</t>
        </is>
      </c>
      <c r="D1138" s="2" t="inlineStr">
        <is>
          <t>100.0</t>
        </is>
      </c>
      <c r="E1138" s="4">
        <f>HYPERLINK("./Results/DLO\2856\Osteo_Sarco_1.png","RPT")</f>
        <v/>
      </c>
      <c r="F1138" s="2" t="n">
        <v>160</v>
      </c>
      <c r="G1138" s="6" t="n">
        <v>8</v>
      </c>
      <c r="I1138" s="0" t="n"/>
      <c r="J1138" s="0" t="n"/>
      <c r="K1138" s="0" t="n"/>
      <c r="L1138" t="inlineStr">
        <is>
          <t>Revolution EVO</t>
        </is>
      </c>
      <c r="M1138" t="inlineStr">
        <is>
          <t>PRE</t>
        </is>
      </c>
    </row>
    <row r="1139">
      <c r="A1139" s="2" t="n">
        <v>9750038</v>
      </c>
      <c r="B1139" s="2" t="inlineStr">
        <is>
          <t>58</t>
        </is>
      </c>
      <c r="C1139" s="2" t="inlineStr">
        <is>
          <t>F</t>
        </is>
      </c>
      <c r="D1139" s="2" t="inlineStr">
        <is>
          <t>120.0</t>
        </is>
      </c>
      <c r="E1139" s="4">
        <f>HYPERLINK("./Results/DLO\2857\Osteo_Sarco_1.png","RPT")</f>
        <v/>
      </c>
      <c r="F1139" s="2" t="n">
        <v>114</v>
      </c>
      <c r="G1139" s="6" t="n">
        <v>8</v>
      </c>
      <c r="I1139" s="0" t="n"/>
      <c r="J1139" s="0" t="n"/>
      <c r="K1139" s="0" t="n"/>
      <c r="L1139" t="inlineStr">
        <is>
          <t>Aquilion ONE</t>
        </is>
      </c>
      <c r="M1139" t="inlineStr">
        <is>
          <t>Body 5.0</t>
        </is>
      </c>
    </row>
    <row r="1140">
      <c r="A1140" s="2" t="n">
        <v>9750731</v>
      </c>
      <c r="B1140" s="2" t="inlineStr">
        <is>
          <t>67</t>
        </is>
      </c>
      <c r="C1140" s="2" t="inlineStr">
        <is>
          <t>M</t>
        </is>
      </c>
      <c r="D1140" s="2" t="inlineStr">
        <is>
          <t>100.0</t>
        </is>
      </c>
      <c r="E1140" s="4">
        <f>HYPERLINK("./Results/DLO\2858\Osteo_Sarco_1.png","RPT")</f>
        <v/>
      </c>
      <c r="F1140" s="2" t="n">
        <v>202</v>
      </c>
      <c r="G1140" s="6" t="n">
        <v>8</v>
      </c>
      <c r="I1140" s="0" t="n"/>
      <c r="J1140" s="0" t="n"/>
      <c r="K1140" s="0" t="n"/>
      <c r="L1140" t="inlineStr">
        <is>
          <t>Revolution EVO</t>
        </is>
      </c>
      <c r="M1140" t="inlineStr">
        <is>
          <t>PRE(CP angle-pelvic)</t>
        </is>
      </c>
    </row>
    <row r="1141">
      <c r="A1141" s="2" t="n">
        <v>9751589</v>
      </c>
      <c r="B1141" s="2" t="inlineStr">
        <is>
          <t>51</t>
        </is>
      </c>
      <c r="C1141" s="2" t="inlineStr">
        <is>
          <t>F</t>
        </is>
      </c>
      <c r="D1141" s="2" t="inlineStr">
        <is>
          <t>100.0</t>
        </is>
      </c>
      <c r="E1141" s="4">
        <f>HYPERLINK("./Results/DLO\2859\Osteo_Sarco_1.png","RPT")</f>
        <v/>
      </c>
      <c r="F1141" s="2" t="n">
        <v>97</v>
      </c>
      <c r="G1141" s="6" t="n">
        <v>9</v>
      </c>
      <c r="I1141" s="0" t="n"/>
      <c r="J1141" s="0" t="n"/>
      <c r="K1141" s="0" t="n"/>
      <c r="L1141" t="inlineStr">
        <is>
          <t>LightSpeed VCT</t>
        </is>
      </c>
      <c r="M1141" t="inlineStr">
        <is>
          <t>PRE 2,5mm</t>
        </is>
      </c>
    </row>
    <row r="1142">
      <c r="A1142" s="2" t="n">
        <v>3164728</v>
      </c>
      <c r="B1142" s="2" t="inlineStr">
        <is>
          <t>60</t>
        </is>
      </c>
      <c r="C1142" s="2" t="inlineStr">
        <is>
          <t>M</t>
        </is>
      </c>
      <c r="D1142" s="2" t="inlineStr">
        <is>
          <t>100.0</t>
        </is>
      </c>
      <c r="E1142" s="4">
        <f>HYPERLINK("./Results/DLO\286\Osteo_Sarco_1.png","RPT")</f>
        <v/>
      </c>
      <c r="F1142" s="2" t="n">
        <v>118</v>
      </c>
      <c r="G1142" s="6" t="n">
        <v>3</v>
      </c>
      <c r="H1142" t="n">
        <v>18.87</v>
      </c>
      <c r="L1142" t="inlineStr">
        <is>
          <t>Revolution EVO</t>
        </is>
      </c>
      <c r="M1142" t="inlineStr">
        <is>
          <t>PRE</t>
        </is>
      </c>
    </row>
    <row r="1143">
      <c r="A1143" s="2" t="n">
        <v>9752803</v>
      </c>
      <c r="B1143" s="2" t="inlineStr">
        <is>
          <t>53</t>
        </is>
      </c>
      <c r="C1143" s="2" t="inlineStr">
        <is>
          <t>M</t>
        </is>
      </c>
      <c r="D1143" s="2" t="inlineStr">
        <is>
          <t>100.0</t>
        </is>
      </c>
      <c r="E1143" s="4">
        <f>HYPERLINK("./Results/DLO\2860\Osteo_Sarco_1.png","RPT")</f>
        <v/>
      </c>
      <c r="F1143" s="2" t="n">
        <v>109</v>
      </c>
      <c r="G1143" s="6" t="n">
        <v>4</v>
      </c>
      <c r="I1143" s="0" t="n"/>
      <c r="J1143" s="0" t="n"/>
      <c r="K1143" s="0" t="n"/>
      <c r="L1143" t="inlineStr">
        <is>
          <t>Sensation 64</t>
        </is>
      </c>
      <c r="M1143" t="inlineStr">
        <is>
          <t>Pre 3.0 B30f</t>
        </is>
      </c>
    </row>
    <row r="1144">
      <c r="A1144" s="2" t="n">
        <v>9752534</v>
      </c>
      <c r="B1144" s="2" t="inlineStr">
        <is>
          <t>55</t>
        </is>
      </c>
      <c r="C1144" s="2" t="inlineStr">
        <is>
          <t>F</t>
        </is>
      </c>
      <c r="D1144" s="2" t="inlineStr">
        <is>
          <t>100.0</t>
        </is>
      </c>
      <c r="E1144" s="4">
        <f>HYPERLINK("./Results/DLO\2861\Osteo_Sarco_1.png","RPT")</f>
        <v/>
      </c>
      <c r="F1144" s="2" t="n">
        <v>91</v>
      </c>
      <c r="G1144" s="6" t="n">
        <v>13</v>
      </c>
      <c r="I1144" s="0" t="n"/>
      <c r="J1144" s="0" t="n"/>
      <c r="K1144" s="0" t="n"/>
      <c r="L1144" t="inlineStr">
        <is>
          <t>Revolution EVO</t>
        </is>
      </c>
      <c r="M1144" t="inlineStr">
        <is>
          <t>PRE</t>
        </is>
      </c>
    </row>
    <row r="1145">
      <c r="A1145" s="2" t="n">
        <v>9752410</v>
      </c>
      <c r="B1145" s="2" t="inlineStr">
        <is>
          <t>58</t>
        </is>
      </c>
      <c r="C1145" s="2" t="inlineStr">
        <is>
          <t>F</t>
        </is>
      </c>
      <c r="D1145" s="2" t="inlineStr">
        <is>
          <t>120.0</t>
        </is>
      </c>
      <c r="E1145" s="4">
        <f>HYPERLINK("./Results/DLO\2862\Osteo_Sarco_1.png","RPT")</f>
        <v/>
      </c>
      <c r="F1145" s="2" t="n">
        <v>92</v>
      </c>
      <c r="G1145" s="6" t="n">
        <v>6</v>
      </c>
      <c r="I1145" s="0" t="n"/>
      <c r="J1145" s="0" t="n"/>
      <c r="K1145" s="0" t="n"/>
      <c r="L1145" t="inlineStr">
        <is>
          <t>iCT 256</t>
        </is>
      </c>
      <c r="M1145" t="inlineStr">
        <is>
          <t>ABD PRE, iDose (1)</t>
        </is>
      </c>
    </row>
    <row r="1146">
      <c r="A1146" s="2" t="n">
        <v>9752642</v>
      </c>
      <c r="B1146" s="2" t="inlineStr">
        <is>
          <t>75</t>
        </is>
      </c>
      <c r="C1146" s="2" t="inlineStr">
        <is>
          <t>M</t>
        </is>
      </c>
      <c r="D1146" s="2" t="inlineStr">
        <is>
          <t>100.0</t>
        </is>
      </c>
      <c r="E1146" s="4">
        <f>HYPERLINK("./Results/DLO\2863\Osteo_Sarco_1.png","RPT")</f>
        <v/>
      </c>
      <c r="F1146" s="2" t="n">
        <v>149</v>
      </c>
      <c r="G1146" s="6" t="n">
        <v>16</v>
      </c>
      <c r="H1146" t="n">
        <v>26.89</v>
      </c>
      <c r="L1146" t="inlineStr">
        <is>
          <t>Revolution CT</t>
        </is>
      </c>
      <c r="M1146" t="inlineStr">
        <is>
          <t>Pre 3mm pacs</t>
        </is>
      </c>
    </row>
    <row r="1147">
      <c r="A1147" s="2" t="n">
        <v>9752840</v>
      </c>
      <c r="B1147" s="2" t="inlineStr">
        <is>
          <t>59</t>
        </is>
      </c>
      <c r="C1147" s="2" t="inlineStr">
        <is>
          <t>M</t>
        </is>
      </c>
      <c r="D1147" s="2" t="inlineStr">
        <is>
          <t>100.0</t>
        </is>
      </c>
      <c r="E1147" s="4">
        <f>HYPERLINK("./Results/DLO\2864\Osteo_Sarco_1.png","RPT")</f>
        <v/>
      </c>
      <c r="F1147" s="2" t="n">
        <v>148</v>
      </c>
      <c r="G1147" s="6" t="n">
        <v>7</v>
      </c>
      <c r="H1147" t="n">
        <v>23.75</v>
      </c>
      <c r="L1147" t="inlineStr">
        <is>
          <t>SOMATOM Definition...</t>
        </is>
      </c>
      <c r="M1147" t="inlineStr">
        <is>
          <t>Pre 5.0 Br40 3</t>
        </is>
      </c>
    </row>
    <row r="1148">
      <c r="A1148" s="2" t="n">
        <v>9752394</v>
      </c>
      <c r="B1148" s="2" t="inlineStr">
        <is>
          <t>26</t>
        </is>
      </c>
      <c r="C1148" s="2" t="inlineStr">
        <is>
          <t>F</t>
        </is>
      </c>
      <c r="D1148" s="2" t="inlineStr">
        <is>
          <t>100.0</t>
        </is>
      </c>
      <c r="E1148" s="4">
        <f>HYPERLINK("./Results/DLO\2865\Osteo_Sarco_1.png","RPT")</f>
        <v/>
      </c>
      <c r="F1148" s="2" t="n">
        <v>75</v>
      </c>
      <c r="G1148" s="6" t="n">
        <v>4</v>
      </c>
      <c r="I1148" s="0" t="n"/>
      <c r="J1148" s="0" t="n"/>
      <c r="K1148" s="0" t="n"/>
      <c r="L1148" t="inlineStr">
        <is>
          <t>iCT 256</t>
        </is>
      </c>
      <c r="M1148" t="inlineStr">
        <is>
          <t>Pre 3/3mm, iDose (3)</t>
        </is>
      </c>
    </row>
    <row r="1149">
      <c r="A1149" s="2" t="n">
        <v>9752400</v>
      </c>
      <c r="B1149" s="2" t="inlineStr">
        <is>
          <t>60</t>
        </is>
      </c>
      <c r="C1149" s="2" t="inlineStr">
        <is>
          <t>M</t>
        </is>
      </c>
      <c r="D1149" s="2" t="inlineStr">
        <is>
          <t>100.0</t>
        </is>
      </c>
      <c r="E1149" s="4">
        <f>HYPERLINK("./Results/DLO\2866\Osteo_Sarco_1.png","RPT")</f>
        <v/>
      </c>
      <c r="F1149" s="2" t="n">
        <v>149</v>
      </c>
      <c r="G1149" s="6" t="n">
        <v>16</v>
      </c>
      <c r="I1149" s="0" t="n"/>
      <c r="J1149" s="0" t="n"/>
      <c r="K1149" s="0" t="n"/>
      <c r="L1149" t="inlineStr">
        <is>
          <t>LightSpeed VCT</t>
        </is>
      </c>
      <c r="M1149" t="inlineStr">
        <is>
          <t>PRE 3mm</t>
        </is>
      </c>
    </row>
    <row r="1150">
      <c r="A1150" s="2" t="n">
        <v>9752186</v>
      </c>
      <c r="B1150" s="2" t="inlineStr">
        <is>
          <t>71</t>
        </is>
      </c>
      <c r="C1150" s="2" t="inlineStr">
        <is>
          <t>M</t>
        </is>
      </c>
      <c r="D1150" s="2" t="inlineStr">
        <is>
          <t>100.0</t>
        </is>
      </c>
      <c r="E1150" s="4">
        <f>HYPERLINK("./Results/DLO\2867\Osteo_Sarco_1.png","RPT")</f>
        <v/>
      </c>
      <c r="F1150" s="2" t="n">
        <v>127</v>
      </c>
      <c r="G1150" s="6" t="n">
        <v>8</v>
      </c>
      <c r="I1150" s="0" t="n"/>
      <c r="J1150" s="0" t="n"/>
      <c r="K1150" s="0" t="n"/>
      <c r="L1150" t="inlineStr">
        <is>
          <t>LightSpeed VCT</t>
        </is>
      </c>
      <c r="M1150" t="inlineStr">
        <is>
          <t>PRE 3mm</t>
        </is>
      </c>
    </row>
    <row r="1151">
      <c r="A1151" s="2" t="n">
        <v>6215493</v>
      </c>
      <c r="B1151" s="2" t="inlineStr">
        <is>
          <t>84</t>
        </is>
      </c>
      <c r="C1151" s="2" t="inlineStr">
        <is>
          <t>M</t>
        </is>
      </c>
      <c r="D1151" s="2" t="inlineStr">
        <is>
          <t>100.0</t>
        </is>
      </c>
      <c r="E1151" s="4">
        <f>HYPERLINK("./Results/DLO\2869\Osteo_Sarco_1.png","RPT")</f>
        <v/>
      </c>
      <c r="F1151" s="2" t="n">
        <v>133</v>
      </c>
      <c r="G1151" s="6" t="n">
        <v>17</v>
      </c>
      <c r="I1151" s="0" t="n"/>
      <c r="J1151" s="0" t="n"/>
      <c r="K1151" s="0" t="n"/>
      <c r="L1151" t="inlineStr">
        <is>
          <t>Revolution CT</t>
        </is>
      </c>
      <c r="M1151" t="inlineStr">
        <is>
          <t>Pre 3mm pacs</t>
        </is>
      </c>
    </row>
    <row r="1152">
      <c r="A1152" s="2" t="n">
        <v>4882514</v>
      </c>
      <c r="B1152" s="2" t="inlineStr">
        <is>
          <t>75</t>
        </is>
      </c>
      <c r="C1152" s="2" t="inlineStr">
        <is>
          <t>F</t>
        </is>
      </c>
      <c r="D1152" s="2" t="inlineStr">
        <is>
          <t>100.0</t>
        </is>
      </c>
      <c r="E1152" s="4">
        <f>HYPERLINK("./Results/DLO\287\Osteo_Sarco_1.png","RPT")</f>
        <v/>
      </c>
      <c r="F1152" s="2" t="n">
        <v>114</v>
      </c>
      <c r="G1152" s="6" t="n">
        <v>35</v>
      </c>
      <c r="I1152" s="0" t="n"/>
      <c r="J1152" s="0" t="n"/>
      <c r="K1152" s="0" t="n"/>
      <c r="L1152" t="inlineStr">
        <is>
          <t>LightSpeed VCT</t>
        </is>
      </c>
      <c r="M1152" t="inlineStr">
        <is>
          <t>PRE 3mm</t>
        </is>
      </c>
    </row>
    <row r="1153">
      <c r="A1153" s="2" t="n">
        <v>9756660</v>
      </c>
      <c r="B1153" s="2" t="inlineStr">
        <is>
          <t>43</t>
        </is>
      </c>
      <c r="C1153" s="2" t="inlineStr">
        <is>
          <t>M</t>
        </is>
      </c>
      <c r="D1153" s="2" t="inlineStr">
        <is>
          <t>120.0</t>
        </is>
      </c>
      <c r="E1153" s="4">
        <f>HYPERLINK("./Results/DLO\2870\Osteo_Sarco_1.png","RPT")</f>
        <v/>
      </c>
      <c r="F1153" s="2" t="n">
        <v>161</v>
      </c>
      <c r="G1153" s="6" t="n">
        <v>9</v>
      </c>
      <c r="H1153" t="n">
        <v>25.31</v>
      </c>
      <c r="L1153" t="inlineStr">
        <is>
          <t>Brivo CT385 Series</t>
        </is>
      </c>
      <c r="M1153" t="inlineStr">
        <is>
          <t>PRE</t>
        </is>
      </c>
    </row>
    <row r="1154">
      <c r="A1154" s="2" t="n">
        <v>9756472</v>
      </c>
      <c r="B1154" s="2" t="inlineStr">
        <is>
          <t>58</t>
        </is>
      </c>
      <c r="C1154" s="2" t="inlineStr">
        <is>
          <t>M</t>
        </is>
      </c>
      <c r="D1154" s="2" t="inlineStr">
        <is>
          <t>100.0</t>
        </is>
      </c>
      <c r="E1154" s="4">
        <f>HYPERLINK("./Results/DLO\2871\Osteo_Sarco_1.png","RPT")</f>
        <v/>
      </c>
      <c r="F1154" s="2" t="n">
        <v>192</v>
      </c>
      <c r="G1154" s="6" t="n">
        <v>8</v>
      </c>
      <c r="I1154" s="0" t="n"/>
      <c r="J1154" s="0" t="n"/>
      <c r="K1154" s="0" t="n"/>
      <c r="L1154" t="inlineStr">
        <is>
          <t>iCT 256</t>
        </is>
      </c>
      <c r="M1154" t="inlineStr">
        <is>
          <t>LAP 3/3mm Full, iDose (3)</t>
        </is>
      </c>
    </row>
    <row r="1155">
      <c r="A1155" s="2" t="n">
        <v>9757462</v>
      </c>
      <c r="B1155" s="2" t="inlineStr">
        <is>
          <t>52</t>
        </is>
      </c>
      <c r="C1155" s="2" t="inlineStr">
        <is>
          <t>M</t>
        </is>
      </c>
      <c r="D1155" s="2" t="inlineStr">
        <is>
          <t>100.0</t>
        </is>
      </c>
      <c r="E1155" s="4">
        <f>HYPERLINK("./Results/DLO\2872\Osteo_Sarco_1.png","RPT")</f>
        <v/>
      </c>
      <c r="F1155" s="2" t="n">
        <v>218</v>
      </c>
      <c r="G1155" s="6" t="n">
        <v>20</v>
      </c>
      <c r="I1155" s="0" t="n"/>
      <c r="J1155" s="0" t="n"/>
      <c r="K1155" s="0" t="n"/>
      <c r="L1155" t="inlineStr">
        <is>
          <t>GMS Revolution FT</t>
        </is>
      </c>
      <c r="M1155" t="inlineStr">
        <is>
          <t>PRE</t>
        </is>
      </c>
    </row>
    <row r="1156">
      <c r="A1156" s="2" t="n">
        <v>9760423</v>
      </c>
      <c r="B1156" s="2" t="inlineStr">
        <is>
          <t>69</t>
        </is>
      </c>
      <c r="C1156" s="2" t="inlineStr">
        <is>
          <t>F</t>
        </is>
      </c>
      <c r="D1156" s="2" t="inlineStr">
        <is>
          <t>100.0</t>
        </is>
      </c>
      <c r="E1156" s="4">
        <f>HYPERLINK("./Results/DLO\2874\Osteo_Sarco_1.png","RPT")</f>
        <v/>
      </c>
      <c r="F1156" s="2" t="n">
        <v>96</v>
      </c>
      <c r="G1156" s="6" t="n">
        <v>13</v>
      </c>
      <c r="I1156" s="0" t="n"/>
      <c r="J1156" s="0" t="n"/>
      <c r="K1156" s="0" t="n"/>
      <c r="L1156" t="inlineStr">
        <is>
          <t>Revolution EVO</t>
        </is>
      </c>
      <c r="M1156" t="inlineStr">
        <is>
          <t>Pre 2.5mm</t>
        </is>
      </c>
    </row>
    <row r="1157">
      <c r="A1157" s="2" t="n">
        <v>9759668</v>
      </c>
      <c r="B1157" s="2" t="inlineStr">
        <is>
          <t>47</t>
        </is>
      </c>
      <c r="C1157" s="2" t="inlineStr">
        <is>
          <t>F</t>
        </is>
      </c>
      <c r="D1157" s="2" t="inlineStr">
        <is>
          <t>100.0</t>
        </is>
      </c>
      <c r="E1157" s="4">
        <f>HYPERLINK("./Results/DLO\2875\Osteo_Sarco_1.png","RPT")</f>
        <v/>
      </c>
      <c r="F1157" s="2" t="n">
        <v>99</v>
      </c>
      <c r="G1157" s="6" t="n">
        <v>12</v>
      </c>
      <c r="I1157" s="0" t="n"/>
      <c r="J1157" s="0" t="n"/>
      <c r="K1157" s="0" t="n"/>
      <c r="L1157" t="inlineStr">
        <is>
          <t>SOMATOM Definition...</t>
        </is>
      </c>
      <c r="M1157" t="inlineStr">
        <is>
          <t>PRE 3mm</t>
        </is>
      </c>
    </row>
    <row r="1158">
      <c r="A1158" s="2" t="n">
        <v>9760935</v>
      </c>
      <c r="B1158" s="2" t="inlineStr">
        <is>
          <t>53</t>
        </is>
      </c>
      <c r="C1158" s="2" t="inlineStr">
        <is>
          <t>F</t>
        </is>
      </c>
      <c r="D1158" s="2" t="inlineStr">
        <is>
          <t>120.0</t>
        </is>
      </c>
      <c r="E1158" s="4">
        <f>HYPERLINK("./Results/DLO\2876\Osteo_Sarco_1.png","RPT")</f>
        <v/>
      </c>
      <c r="F1158" s="2" t="n">
        <v>119</v>
      </c>
      <c r="G1158" s="6" t="n">
        <v>6</v>
      </c>
      <c r="H1158" t="n">
        <v>20.31</v>
      </c>
      <c r="L1158" t="inlineStr">
        <is>
          <t>Revolution HD</t>
        </is>
      </c>
      <c r="M1158" t="inlineStr">
        <is>
          <t>AXL</t>
        </is>
      </c>
    </row>
    <row r="1159">
      <c r="A1159" s="2" t="n">
        <v>9763301</v>
      </c>
      <c r="B1159" s="2" t="inlineStr">
        <is>
          <t>39</t>
        </is>
      </c>
      <c r="C1159" s="2" t="inlineStr">
        <is>
          <t>F</t>
        </is>
      </c>
      <c r="D1159" s="2" t="inlineStr">
        <is>
          <t>100.0</t>
        </is>
      </c>
      <c r="E1159" s="4">
        <f>HYPERLINK("./Results/DLO\2877\Osteo_Sarco_1.png","RPT")</f>
        <v/>
      </c>
      <c r="F1159" s="2" t="n">
        <v>138</v>
      </c>
      <c r="G1159" s="6" t="n">
        <v>13</v>
      </c>
      <c r="I1159" s="0" t="n"/>
      <c r="J1159" s="0" t="n"/>
      <c r="K1159" s="0" t="n"/>
      <c r="L1159" t="inlineStr">
        <is>
          <t>SOMATOM Definition...</t>
        </is>
      </c>
      <c r="M1159" t="inlineStr">
        <is>
          <t>Pre 3mm</t>
        </is>
      </c>
    </row>
    <row r="1160">
      <c r="A1160" s="2" t="n">
        <v>9763726</v>
      </c>
      <c r="B1160" s="2" t="inlineStr">
        <is>
          <t>54</t>
        </is>
      </c>
      <c r="C1160" s="2" t="inlineStr">
        <is>
          <t>M</t>
        </is>
      </c>
      <c r="D1160" s="2" t="inlineStr">
        <is>
          <t>100.0</t>
        </is>
      </c>
      <c r="E1160" s="4">
        <f>HYPERLINK("./Results/DLO\2878\Osteo_Sarco_1.png","RPT")</f>
        <v/>
      </c>
      <c r="F1160" s="2" t="n">
        <v>157</v>
      </c>
      <c r="G1160" s="6" t="n">
        <v>14</v>
      </c>
      <c r="H1160" t="n">
        <v>24.52</v>
      </c>
      <c r="L1160" t="inlineStr">
        <is>
          <t>Revolution CT</t>
        </is>
      </c>
      <c r="M1160" t="inlineStr">
        <is>
          <t>Pre Axial 3mm</t>
        </is>
      </c>
    </row>
    <row r="1161">
      <c r="A1161" s="2" t="n">
        <v>9764318</v>
      </c>
      <c r="B1161" s="2" t="inlineStr">
        <is>
          <t>57</t>
        </is>
      </c>
      <c r="C1161" s="2" t="inlineStr">
        <is>
          <t>F</t>
        </is>
      </c>
      <c r="D1161" s="2" t="inlineStr">
        <is>
          <t>120.0</t>
        </is>
      </c>
      <c r="E1161" s="4">
        <f>HYPERLINK("./Results/DLO\2879\Osteo_Sarco_1.png","RPT")</f>
        <v/>
      </c>
      <c r="F1161" s="2" t="n">
        <v>100</v>
      </c>
      <c r="G1161" s="6" t="n">
        <v>4</v>
      </c>
      <c r="I1161" s="0" t="n"/>
      <c r="J1161" s="0" t="n"/>
      <c r="K1161" s="0" t="n"/>
      <c r="L1161" t="inlineStr">
        <is>
          <t>SOMATOM Definition...</t>
        </is>
      </c>
      <c r="M1161" t="inlineStr">
        <is>
          <t>Pre 3.0 B30f</t>
        </is>
      </c>
    </row>
    <row r="1162">
      <c r="A1162" s="2" t="n">
        <v>4790060</v>
      </c>
      <c r="B1162" s="2" t="inlineStr">
        <is>
          <t>77</t>
        </is>
      </c>
      <c r="C1162" s="2" t="inlineStr">
        <is>
          <t>M</t>
        </is>
      </c>
      <c r="D1162" s="2" t="inlineStr">
        <is>
          <t>100.0</t>
        </is>
      </c>
      <c r="E1162" s="4">
        <f>HYPERLINK("./Results/DLO\288\Osteo_Sarco_1.png","RPT")</f>
        <v/>
      </c>
      <c r="F1162" s="2" t="n">
        <v>132</v>
      </c>
      <c r="G1162" s="6" t="n">
        <v>24</v>
      </c>
      <c r="I1162" s="0" t="n"/>
      <c r="J1162" s="0" t="n"/>
      <c r="K1162" s="0" t="n"/>
      <c r="L1162" t="inlineStr">
        <is>
          <t>iCT 256</t>
        </is>
      </c>
      <c r="M1162" t="inlineStr">
        <is>
          <t>Pre (CP~Pubi)3mm, iDose (3)</t>
        </is>
      </c>
    </row>
    <row r="1163">
      <c r="A1163" s="2" t="n">
        <v>9764897</v>
      </c>
      <c r="B1163" s="2" t="inlineStr">
        <is>
          <t>68</t>
        </is>
      </c>
      <c r="C1163" s="2" t="inlineStr">
        <is>
          <t>M</t>
        </is>
      </c>
      <c r="D1163" s="2" t="inlineStr">
        <is>
          <t>100.0</t>
        </is>
      </c>
      <c r="E1163" s="4">
        <f>HYPERLINK("./Results/DLO\2880\Osteo_Sarco_1.png","RPT")</f>
        <v/>
      </c>
      <c r="F1163" s="2" t="n">
        <v>139</v>
      </c>
      <c r="G1163" s="6" t="n">
        <v>7</v>
      </c>
      <c r="H1163" t="n">
        <v>29.33</v>
      </c>
      <c r="L1163" t="inlineStr">
        <is>
          <t>LightSpeed VCT</t>
        </is>
      </c>
      <c r="M1163" t="inlineStr">
        <is>
          <t>PRE</t>
        </is>
      </c>
    </row>
    <row r="1164">
      <c r="A1164" s="2" t="n">
        <v>9764401</v>
      </c>
      <c r="B1164" s="2" t="inlineStr">
        <is>
          <t>54</t>
        </is>
      </c>
      <c r="C1164" s="2" t="inlineStr">
        <is>
          <t>M</t>
        </is>
      </c>
      <c r="D1164" s="2" t="inlineStr">
        <is>
          <t>100.0</t>
        </is>
      </c>
      <c r="E1164" s="4">
        <f>HYPERLINK("./Results/DLO\2881\Osteo_Sarco_1.png","RPT")</f>
        <v/>
      </c>
      <c r="F1164" s="2" t="n">
        <v>158</v>
      </c>
      <c r="G1164" s="6" t="n">
        <v>6</v>
      </c>
      <c r="I1164" s="0" t="n"/>
      <c r="J1164" s="0" t="n"/>
      <c r="K1164" s="0" t="n"/>
      <c r="L1164" t="inlineStr">
        <is>
          <t>Revolution CT</t>
        </is>
      </c>
      <c r="M1164" t="inlineStr">
        <is>
          <t>Pre Axial 3mm</t>
        </is>
      </c>
    </row>
    <row r="1165">
      <c r="A1165" s="2" t="n">
        <v>9764657</v>
      </c>
      <c r="B1165" s="2" t="inlineStr">
        <is>
          <t>42</t>
        </is>
      </c>
      <c r="C1165" s="2" t="inlineStr">
        <is>
          <t>M</t>
        </is>
      </c>
      <c r="D1165" s="2" t="inlineStr">
        <is>
          <t>120.0</t>
        </is>
      </c>
      <c r="E1165" s="4">
        <f>HYPERLINK("./Results/DLO\2882\Osteo_Sarco_1.png","RPT")</f>
        <v/>
      </c>
      <c r="F1165" s="2" t="n">
        <v>209</v>
      </c>
      <c r="G1165" s="6" t="n">
        <v>17</v>
      </c>
      <c r="I1165" s="0" t="n"/>
      <c r="J1165" s="0" t="n"/>
      <c r="K1165" s="0" t="n"/>
      <c r="L1165" t="inlineStr">
        <is>
          <t>SOMATOM Force</t>
        </is>
      </c>
      <c r="M1165" t="inlineStr">
        <is>
          <t>Kid~Pel.D 5.0 Br40 2</t>
        </is>
      </c>
    </row>
    <row r="1166">
      <c r="A1166" s="2" t="n">
        <v>9765833</v>
      </c>
      <c r="B1166" s="2" t="inlineStr">
        <is>
          <t>42</t>
        </is>
      </c>
      <c r="C1166" s="2" t="inlineStr">
        <is>
          <t>F</t>
        </is>
      </c>
      <c r="D1166" s="2" t="inlineStr">
        <is>
          <t>100.0</t>
        </is>
      </c>
      <c r="E1166" s="4">
        <f>HYPERLINK("./Results/DLO\2883\Osteo_Sarco_1.png","RPT")</f>
        <v/>
      </c>
      <c r="F1166" s="2" t="n">
        <v>114</v>
      </c>
      <c r="G1166" s="6" t="n">
        <v>15</v>
      </c>
      <c r="I1166" s="0" t="n"/>
      <c r="J1166" s="0" t="n"/>
      <c r="K1166" s="0" t="n"/>
      <c r="L1166" t="inlineStr">
        <is>
          <t>iCT 256</t>
        </is>
      </c>
      <c r="M1166" t="inlineStr">
        <is>
          <t>Pre 3/3mm, iDose (3)</t>
        </is>
      </c>
    </row>
    <row r="1167">
      <c r="A1167" s="2" t="n">
        <v>9766086</v>
      </c>
      <c r="B1167" s="2" t="inlineStr">
        <is>
          <t>39</t>
        </is>
      </c>
      <c r="C1167" s="2" t="inlineStr">
        <is>
          <t>M</t>
        </is>
      </c>
      <c r="D1167" s="2" t="inlineStr">
        <is>
          <t>100.0</t>
        </is>
      </c>
      <c r="E1167" s="4">
        <f>HYPERLINK("./Results/DLO\2884\Osteo_Sarco_1.png","RPT")</f>
        <v/>
      </c>
      <c r="F1167" s="2" t="n">
        <v>168</v>
      </c>
      <c r="G1167" s="6" t="n">
        <v>6</v>
      </c>
      <c r="I1167" s="0" t="n"/>
      <c r="J1167" s="0" t="n"/>
      <c r="K1167" s="0" t="n"/>
      <c r="L1167" t="inlineStr">
        <is>
          <t>LightSpeed VCT</t>
        </is>
      </c>
      <c r="M1167" t="inlineStr">
        <is>
          <t>PRE 3mm</t>
        </is>
      </c>
    </row>
    <row r="1168">
      <c r="A1168" s="2" t="n">
        <v>9766702</v>
      </c>
      <c r="B1168" s="2" t="inlineStr">
        <is>
          <t>31</t>
        </is>
      </c>
      <c r="C1168" s="2" t="inlineStr">
        <is>
          <t>M</t>
        </is>
      </c>
      <c r="D1168" s="2" t="inlineStr">
        <is>
          <t>100.0</t>
        </is>
      </c>
      <c r="E1168" s="4">
        <f>HYPERLINK("./Results/DLO\2886\Osteo_Sarco_1.png","RPT")</f>
        <v/>
      </c>
      <c r="F1168" s="2" t="n">
        <v>164</v>
      </c>
      <c r="G1168" s="6" t="n">
        <v>8</v>
      </c>
      <c r="I1168" s="0" t="n"/>
      <c r="J1168" s="0" t="n"/>
      <c r="K1168" s="0" t="n"/>
      <c r="L1168" t="inlineStr">
        <is>
          <t>LightSpeed VCT</t>
        </is>
      </c>
      <c r="M1168" t="inlineStr">
        <is>
          <t>PRE 2,5mm</t>
        </is>
      </c>
    </row>
    <row r="1169">
      <c r="A1169" s="2" t="n">
        <v>9765838</v>
      </c>
      <c r="B1169" s="2" t="inlineStr">
        <is>
          <t>76</t>
        </is>
      </c>
      <c r="C1169" s="2" t="inlineStr">
        <is>
          <t>M</t>
        </is>
      </c>
      <c r="D1169" s="2" t="inlineStr">
        <is>
          <t>100.0</t>
        </is>
      </c>
      <c r="E1169" s="4">
        <f>HYPERLINK("./Results/DLO\2887\Osteo_Sarco_1.png","RPT")</f>
        <v/>
      </c>
      <c r="F1169" s="2" t="n">
        <v>98</v>
      </c>
      <c r="G1169" s="6" t="n">
        <v>9</v>
      </c>
      <c r="I1169" s="0" t="n"/>
      <c r="J1169" s="0" t="n"/>
      <c r="K1169" s="0" t="n"/>
      <c r="L1169" t="inlineStr">
        <is>
          <t>SOMATOM Definition...</t>
        </is>
      </c>
      <c r="M1169" t="inlineStr">
        <is>
          <t>Pre 3mm</t>
        </is>
      </c>
    </row>
    <row r="1170">
      <c r="A1170" s="2" t="n">
        <v>9769809</v>
      </c>
      <c r="B1170" s="2" t="inlineStr">
        <is>
          <t>67</t>
        </is>
      </c>
      <c r="C1170" s="2" t="inlineStr">
        <is>
          <t>M</t>
        </is>
      </c>
      <c r="D1170" s="2" t="inlineStr">
        <is>
          <t>100.0</t>
        </is>
      </c>
      <c r="E1170" s="4">
        <f>HYPERLINK("./Results/DLO\2888\Osteo_Sarco_1.png","RPT")</f>
        <v/>
      </c>
      <c r="F1170" s="2" t="n">
        <v>171</v>
      </c>
      <c r="G1170" s="6" t="n">
        <v>9</v>
      </c>
      <c r="I1170" s="0" t="n"/>
      <c r="J1170" s="0" t="n"/>
      <c r="K1170" s="0" t="n"/>
      <c r="L1170" t="inlineStr">
        <is>
          <t>SOMATOM Definition...</t>
        </is>
      </c>
      <c r="M1170" t="inlineStr">
        <is>
          <t>Pre 5.0 B30f</t>
        </is>
      </c>
    </row>
    <row r="1171">
      <c r="A1171" s="2" t="n">
        <v>9770072</v>
      </c>
      <c r="B1171" s="2" t="inlineStr">
        <is>
          <t>62</t>
        </is>
      </c>
      <c r="C1171" s="2" t="inlineStr">
        <is>
          <t>M</t>
        </is>
      </c>
      <c r="D1171" s="2" t="inlineStr">
        <is>
          <t>100.0</t>
        </is>
      </c>
      <c r="E1171" s="4">
        <f>HYPERLINK("./Results/DLO\2889\Osteo_Sarco_1.png","RPT")</f>
        <v/>
      </c>
      <c r="F1171" s="2" t="n">
        <v>138</v>
      </c>
      <c r="G1171" s="6" t="n">
        <v>6</v>
      </c>
      <c r="I1171" s="0" t="n"/>
      <c r="J1171" s="0" t="n"/>
      <c r="K1171" s="0" t="n"/>
      <c r="L1171" t="inlineStr">
        <is>
          <t>SOMATOM Force</t>
        </is>
      </c>
      <c r="M1171" t="inlineStr">
        <is>
          <t>LAP 3.0 Br40 2 (56kg/112kg...</t>
        </is>
      </c>
    </row>
    <row r="1172">
      <c r="A1172" s="2" t="n">
        <v>814377</v>
      </c>
      <c r="B1172" s="2" t="inlineStr">
        <is>
          <t>62</t>
        </is>
      </c>
      <c r="C1172" s="2" t="inlineStr">
        <is>
          <t>F</t>
        </is>
      </c>
      <c r="D1172" s="2" t="inlineStr">
        <is>
          <t>100.0</t>
        </is>
      </c>
      <c r="E1172" s="4">
        <f>HYPERLINK("./Results/DLO\289\Osteo_Sarco_1.png","RPT")</f>
        <v/>
      </c>
      <c r="F1172" s="2" t="n">
        <v>78</v>
      </c>
      <c r="G1172" s="6" t="n">
        <v>7</v>
      </c>
      <c r="I1172" s="0" t="n"/>
      <c r="J1172" s="0" t="n"/>
      <c r="K1172" s="0" t="n"/>
      <c r="L1172" t="inlineStr">
        <is>
          <t>Revolution CT</t>
        </is>
      </c>
      <c r="M1172" t="inlineStr">
        <is>
          <t>Pre Axial 3mm(AR40%)</t>
        </is>
      </c>
    </row>
    <row r="1173">
      <c r="A1173" s="2" t="n">
        <v>9769566</v>
      </c>
      <c r="B1173" s="2" t="inlineStr">
        <is>
          <t>55</t>
        </is>
      </c>
      <c r="C1173" s="2" t="inlineStr">
        <is>
          <t>F</t>
        </is>
      </c>
      <c r="D1173" s="2" t="inlineStr">
        <is>
          <t>120.0</t>
        </is>
      </c>
      <c r="E1173" s="4">
        <f>HYPERLINK("./Results/DLO\2890\Osteo_Sarco_1.png","RPT")</f>
        <v/>
      </c>
      <c r="F1173" s="2" t="n">
        <v>101</v>
      </c>
      <c r="G1173" s="6" t="n">
        <v>7</v>
      </c>
      <c r="I1173" s="0" t="n"/>
      <c r="J1173" s="0" t="n"/>
      <c r="K1173" s="0" t="n"/>
      <c r="L1173" t="inlineStr">
        <is>
          <t>LightSpeed VCT</t>
        </is>
      </c>
      <c r="M1173" t="inlineStr">
        <is>
          <t>HVP 55sec 3mm</t>
        </is>
      </c>
    </row>
    <row r="1174">
      <c r="A1174" s="2" t="n">
        <v>9770075</v>
      </c>
      <c r="B1174" s="2" t="inlineStr">
        <is>
          <t>51</t>
        </is>
      </c>
      <c r="C1174" s="2" t="inlineStr">
        <is>
          <t>M</t>
        </is>
      </c>
      <c r="D1174" s="2" t="inlineStr">
        <is>
          <t>120.0</t>
        </is>
      </c>
      <c r="E1174" s="4">
        <f>HYPERLINK("./Results/DLO\2891\Osteo_Sarco_1.png","RPT")</f>
        <v/>
      </c>
      <c r="F1174" s="2" t="n">
        <v>130</v>
      </c>
      <c r="G1174" s="6" t="n">
        <v>5</v>
      </c>
      <c r="I1174" s="0" t="n"/>
      <c r="J1174" s="0" t="n"/>
      <c r="K1174" s="0" t="n"/>
      <c r="L1174" t="inlineStr">
        <is>
          <t>SOMATOM Definition...</t>
        </is>
      </c>
      <c r="M1174" t="inlineStr">
        <is>
          <t>Abd Pre 3.0 B30f</t>
        </is>
      </c>
    </row>
    <row r="1175">
      <c r="A1175" s="2" t="n">
        <v>9770073</v>
      </c>
      <c r="B1175" s="2" t="inlineStr">
        <is>
          <t>42</t>
        </is>
      </c>
      <c r="C1175" s="2" t="inlineStr">
        <is>
          <t>F</t>
        </is>
      </c>
      <c r="D1175" s="2" t="inlineStr">
        <is>
          <t>100.0</t>
        </is>
      </c>
      <c r="E1175" s="4">
        <f>HYPERLINK("./Results/DLO\2892\Osteo_Sarco_1.png","RPT")</f>
        <v/>
      </c>
      <c r="F1175" s="2" t="n">
        <v>121</v>
      </c>
      <c r="G1175" s="6" t="n">
        <v>8</v>
      </c>
      <c r="I1175" s="0" t="n"/>
      <c r="J1175" s="0" t="n"/>
      <c r="K1175" s="0" t="n"/>
      <c r="L1175" t="inlineStr">
        <is>
          <t>Revolution CT</t>
        </is>
      </c>
      <c r="M1175" t="inlineStr">
        <is>
          <t>LAP 3mm(61kg/122cc/3.0cc/hexos)</t>
        </is>
      </c>
    </row>
    <row r="1176">
      <c r="A1176" s="2" t="n">
        <v>9772166</v>
      </c>
      <c r="B1176" s="2" t="inlineStr">
        <is>
          <t>57</t>
        </is>
      </c>
      <c r="C1176" s="2" t="inlineStr">
        <is>
          <t>F</t>
        </is>
      </c>
      <c r="D1176" s="2" t="inlineStr">
        <is>
          <t>120.0</t>
        </is>
      </c>
      <c r="E1176" s="4">
        <f>HYPERLINK("./Results/DLO\2893\Osteo_Sarco_1.png","RPT")</f>
        <v/>
      </c>
      <c r="F1176" s="2" t="n">
        <v>105</v>
      </c>
      <c r="G1176" s="6" t="n">
        <v>9</v>
      </c>
      <c r="I1176" s="0" t="n"/>
      <c r="J1176" s="0" t="n"/>
      <c r="K1176" s="0" t="n"/>
      <c r="L1176" t="inlineStr">
        <is>
          <t>iCT 256</t>
        </is>
      </c>
      <c r="M1176" t="inlineStr">
        <is>
          <t>ABD -PRE, iDose (1)</t>
        </is>
      </c>
    </row>
    <row r="1177">
      <c r="A1177" s="2" t="n">
        <v>9771887</v>
      </c>
      <c r="B1177" s="2" t="inlineStr">
        <is>
          <t>58</t>
        </is>
      </c>
      <c r="C1177" s="2" t="inlineStr">
        <is>
          <t>M</t>
        </is>
      </c>
      <c r="D1177" s="2" t="inlineStr">
        <is>
          <t>100.0</t>
        </is>
      </c>
      <c r="E1177" s="4">
        <f>HYPERLINK("./Results/DLO\2894\Osteo_Sarco_1.png","RPT")</f>
        <v/>
      </c>
      <c r="F1177" s="2" t="n">
        <v>144</v>
      </c>
      <c r="G1177" s="6" t="n">
        <v>9</v>
      </c>
      <c r="I1177" s="0" t="n"/>
      <c r="J1177" s="0" t="n"/>
      <c r="K1177" s="0" t="n"/>
      <c r="L1177" t="inlineStr">
        <is>
          <t>SOMATOM Definition...</t>
        </is>
      </c>
      <c r="M1177" t="inlineStr">
        <is>
          <t>PRE 3mm</t>
        </is>
      </c>
    </row>
    <row r="1178">
      <c r="A1178" s="2" t="n">
        <v>9771963</v>
      </c>
      <c r="B1178" s="2" t="inlineStr">
        <is>
          <t>64</t>
        </is>
      </c>
      <c r="C1178" s="2" t="inlineStr">
        <is>
          <t>F</t>
        </is>
      </c>
      <c r="D1178" s="2" t="inlineStr">
        <is>
          <t>120.0</t>
        </is>
      </c>
      <c r="E1178" s="4">
        <f>HYPERLINK("./Results/DLO\2895\Osteo_Sarco_1.png","RPT")</f>
        <v/>
      </c>
      <c r="F1178" s="2" t="n">
        <v>112</v>
      </c>
      <c r="G1178" s="6" t="n">
        <v>15</v>
      </c>
      <c r="I1178" s="0" t="n"/>
      <c r="J1178" s="0" t="n"/>
      <c r="K1178" s="0" t="n"/>
      <c r="L1178" t="inlineStr">
        <is>
          <t>Revolution CT</t>
        </is>
      </c>
      <c r="M1178" t="inlineStr">
        <is>
          <t>ABD</t>
        </is>
      </c>
    </row>
    <row r="1179">
      <c r="A1179" s="2" t="n">
        <v>9773258</v>
      </c>
      <c r="B1179" s="2" t="inlineStr">
        <is>
          <t>55</t>
        </is>
      </c>
      <c r="C1179" s="2" t="inlineStr">
        <is>
          <t>F</t>
        </is>
      </c>
      <c r="D1179" s="2" t="inlineStr">
        <is>
          <t>120.0</t>
        </is>
      </c>
      <c r="E1179" s="4">
        <f>HYPERLINK("./Results/DLO\2896\Osteo_Sarco_1.png","RPT")</f>
        <v/>
      </c>
      <c r="F1179" s="2" t="n">
        <v>92</v>
      </c>
      <c r="G1179" s="6" t="n">
        <v>5</v>
      </c>
      <c r="I1179" s="0" t="n"/>
      <c r="J1179" s="0" t="n"/>
      <c r="K1179" s="0" t="n"/>
      <c r="L1179" t="inlineStr">
        <is>
          <t>LightSpeed VCT</t>
        </is>
      </c>
      <c r="M1179" t="inlineStr">
        <is>
          <t>LAP 18sec 3mm</t>
        </is>
      </c>
    </row>
    <row r="1180">
      <c r="A1180" s="2" t="n">
        <v>9773109</v>
      </c>
      <c r="B1180" s="2" t="inlineStr">
        <is>
          <t>61</t>
        </is>
      </c>
      <c r="C1180" s="2" t="inlineStr">
        <is>
          <t>M</t>
        </is>
      </c>
      <c r="D1180" s="2" t="inlineStr">
        <is>
          <t>100.0</t>
        </is>
      </c>
      <c r="E1180" s="4">
        <f>HYPERLINK("./Results/DLO\2897\Osteo_Sarco_1.png","RPT")</f>
        <v/>
      </c>
      <c r="F1180" s="2" t="n">
        <v>124</v>
      </c>
      <c r="G1180" s="6" t="n">
        <v>7</v>
      </c>
      <c r="I1180" s="0" t="n"/>
      <c r="J1180" s="0" t="n"/>
      <c r="K1180" s="0" t="n"/>
      <c r="L1180" t="inlineStr">
        <is>
          <t>SOMATOM Definition...</t>
        </is>
      </c>
      <c r="M1180" t="inlineStr">
        <is>
          <t>PRE 3mm (100Kvp 100mAs)</t>
        </is>
      </c>
    </row>
    <row r="1181">
      <c r="A1181" s="2" t="n">
        <v>9775648</v>
      </c>
      <c r="B1181" s="2" t="inlineStr">
        <is>
          <t>72</t>
        </is>
      </c>
      <c r="C1181" s="2" t="inlineStr">
        <is>
          <t>M</t>
        </is>
      </c>
      <c r="D1181" s="2" t="inlineStr">
        <is>
          <t>120.0</t>
        </is>
      </c>
      <c r="E1181" s="4">
        <f>HYPERLINK("./Results/DLO\2898\Osteo_Sarco_1.png","RPT")</f>
        <v/>
      </c>
      <c r="F1181" s="2" t="n">
        <v>134</v>
      </c>
      <c r="G1181" s="6" t="n">
        <v>5</v>
      </c>
      <c r="H1181" t="n">
        <v>22.87</v>
      </c>
      <c r="L1181" t="inlineStr">
        <is>
          <t>LightSpeed VCT</t>
        </is>
      </c>
      <c r="M1181" t="inlineStr">
        <is>
          <t>LAP 18sec 3mm</t>
        </is>
      </c>
    </row>
    <row r="1182">
      <c r="A1182" s="2" t="n">
        <v>9776490</v>
      </c>
      <c r="B1182" s="2" t="inlineStr">
        <is>
          <t>38</t>
        </is>
      </c>
      <c r="C1182" s="2" t="inlineStr">
        <is>
          <t>M</t>
        </is>
      </c>
      <c r="D1182" s="2" t="inlineStr">
        <is>
          <t>100.0</t>
        </is>
      </c>
      <c r="E1182" s="4">
        <f>HYPERLINK("./Results/DLO\2899\Osteo_Sarco_1.png","RPT")</f>
        <v/>
      </c>
      <c r="F1182" s="2" t="n">
        <v>136</v>
      </c>
      <c r="G1182" s="6" t="n">
        <v>5</v>
      </c>
      <c r="I1182" s="0" t="n"/>
      <c r="J1182" s="0" t="n"/>
      <c r="K1182" s="0" t="n"/>
      <c r="L1182" t="inlineStr">
        <is>
          <t>Discovery CT750 HD</t>
        </is>
      </c>
      <c r="M1182" t="inlineStr">
        <is>
          <t>CMP 2.5mm(ASIR30%)</t>
        </is>
      </c>
    </row>
    <row r="1183">
      <c r="A1183" s="2" t="n">
        <v>1993276</v>
      </c>
      <c r="B1183" s="2" t="inlineStr">
        <is>
          <t>80</t>
        </is>
      </c>
      <c r="C1183" s="2" t="inlineStr">
        <is>
          <t>M</t>
        </is>
      </c>
      <c r="D1183" s="2" t="inlineStr">
        <is>
          <t>100.0</t>
        </is>
      </c>
      <c r="E1183" s="4">
        <f>HYPERLINK("./Results/DLO\29\Osteo_Sarco_1.png","RPT")</f>
        <v/>
      </c>
      <c r="F1183" s="2" t="n">
        <v>136</v>
      </c>
      <c r="G1183" s="6" t="n">
        <v>15</v>
      </c>
      <c r="H1183" t="n">
        <v>25.43</v>
      </c>
      <c r="L1183" t="inlineStr">
        <is>
          <t>LightSpeed VCT</t>
        </is>
      </c>
      <c r="M1183" t="inlineStr">
        <is>
          <t>PRE (</t>
        </is>
      </c>
    </row>
    <row r="1184">
      <c r="A1184" s="2" t="n">
        <v>2405774</v>
      </c>
      <c r="B1184" s="2" t="inlineStr">
        <is>
          <t>57</t>
        </is>
      </c>
      <c r="C1184" s="2" t="inlineStr">
        <is>
          <t>F</t>
        </is>
      </c>
      <c r="D1184" s="2" t="inlineStr">
        <is>
          <t>120.0</t>
        </is>
      </c>
      <c r="E1184" s="4">
        <f>HYPERLINK("./Results/DLO\290\Osteo_Sarco_1.png","RPT")</f>
        <v/>
      </c>
      <c r="F1184" s="2" t="n">
        <v>115</v>
      </c>
      <c r="G1184" s="6" t="n">
        <v>11</v>
      </c>
      <c r="H1184" t="n">
        <v>24.69</v>
      </c>
      <c r="L1184" t="inlineStr">
        <is>
          <t>LightSpeed VCT</t>
        </is>
      </c>
      <c r="M1184" t="inlineStr">
        <is>
          <t>HVP 55sec 3mm</t>
        </is>
      </c>
    </row>
    <row r="1185">
      <c r="A1185" s="2" t="n">
        <v>9778722</v>
      </c>
      <c r="B1185" s="2" t="inlineStr">
        <is>
          <t>41</t>
        </is>
      </c>
      <c r="C1185" s="2" t="inlineStr">
        <is>
          <t>M</t>
        </is>
      </c>
      <c r="D1185" s="2" t="inlineStr">
        <is>
          <t>100.0</t>
        </is>
      </c>
      <c r="E1185" s="4">
        <f>HYPERLINK("./Results/DLO\2900\Osteo_Sarco_1.png","RPT")</f>
        <v/>
      </c>
      <c r="F1185" s="2" t="n">
        <v>162</v>
      </c>
      <c r="G1185" s="6" t="n">
        <v>11</v>
      </c>
      <c r="I1185" s="0" t="n"/>
      <c r="J1185" s="0" t="n"/>
      <c r="K1185" s="0" t="n"/>
      <c r="L1185" t="inlineStr">
        <is>
          <t>LightSpeed VCT</t>
        </is>
      </c>
      <c r="M1185" t="inlineStr">
        <is>
          <t>PRE 3mm</t>
        </is>
      </c>
    </row>
    <row r="1186">
      <c r="A1186" s="2" t="n">
        <v>9778785</v>
      </c>
      <c r="B1186" s="2" t="inlineStr">
        <is>
          <t>60</t>
        </is>
      </c>
      <c r="C1186" s="2" t="inlineStr">
        <is>
          <t>M</t>
        </is>
      </c>
      <c r="D1186" s="2" t="inlineStr">
        <is>
          <t>120.0</t>
        </is>
      </c>
      <c r="E1186" s="4">
        <f>HYPERLINK("./Results/DLO\2901\Osteo_Sarco_1.png","RPT")</f>
        <v/>
      </c>
      <c r="F1186" s="2" t="n">
        <v>150</v>
      </c>
      <c r="G1186" s="6" t="n">
        <v>12</v>
      </c>
      <c r="H1186" t="n">
        <v>24.91</v>
      </c>
      <c r="L1186" t="inlineStr">
        <is>
          <t>iCT 256</t>
        </is>
      </c>
      <c r="M1186" t="inlineStr">
        <is>
          <t>LAP 3/3mm, iDose (3)</t>
        </is>
      </c>
    </row>
    <row r="1187">
      <c r="A1187" s="2" t="n">
        <v>9779030</v>
      </c>
      <c r="B1187" s="2" t="inlineStr">
        <is>
          <t>55</t>
        </is>
      </c>
      <c r="C1187" s="2" t="inlineStr">
        <is>
          <t>M</t>
        </is>
      </c>
      <c r="D1187" s="2" t="inlineStr">
        <is>
          <t>100.0</t>
        </is>
      </c>
      <c r="E1187" s="4">
        <f>HYPERLINK("./Results/DLO\2902\Osteo_Sarco_1.png","RPT")</f>
        <v/>
      </c>
      <c r="F1187" s="2" t="n">
        <v>140</v>
      </c>
      <c r="G1187" s="6" t="n">
        <v>4</v>
      </c>
      <c r="I1187" s="0" t="n"/>
      <c r="J1187" s="0" t="n"/>
      <c r="K1187" s="0" t="n"/>
      <c r="L1187" t="inlineStr">
        <is>
          <t>LightSpeed VCT</t>
        </is>
      </c>
      <c r="M1187" t="inlineStr">
        <is>
          <t>PRE</t>
        </is>
      </c>
    </row>
    <row r="1188">
      <c r="A1188" s="2" t="n">
        <v>9779623</v>
      </c>
      <c r="B1188" s="2" t="inlineStr">
        <is>
          <t>70</t>
        </is>
      </c>
      <c r="C1188" s="2" t="inlineStr">
        <is>
          <t>M</t>
        </is>
      </c>
      <c r="D1188" s="2" t="inlineStr">
        <is>
          <t>120.0</t>
        </is>
      </c>
      <c r="E1188" s="4">
        <f>HYPERLINK("./Results/DLO\2903\Osteo_Sarco_1.png","RPT")</f>
        <v/>
      </c>
      <c r="F1188" s="2" t="n">
        <v>115</v>
      </c>
      <c r="G1188" s="6" t="n">
        <v>7</v>
      </c>
      <c r="I1188" s="0" t="n"/>
      <c r="J1188" s="0" t="n"/>
      <c r="K1188" s="0" t="n"/>
      <c r="L1188" t="inlineStr">
        <is>
          <t>Ingenuity CT Elite</t>
        </is>
      </c>
      <c r="M1188" t="inlineStr">
        <is>
          <t>PRE YA(-1)</t>
        </is>
      </c>
    </row>
    <row r="1189">
      <c r="A1189" s="2" t="n">
        <v>9780132</v>
      </c>
      <c r="B1189" s="2" t="inlineStr">
        <is>
          <t>56</t>
        </is>
      </c>
      <c r="C1189" s="2" t="inlineStr">
        <is>
          <t>F</t>
        </is>
      </c>
      <c r="D1189" s="2" t="inlineStr">
        <is>
          <t>100.0</t>
        </is>
      </c>
      <c r="E1189" s="4">
        <f>HYPERLINK("./Results/DLO\2904\Osteo_Sarco_1.png","RPT")</f>
        <v/>
      </c>
      <c r="F1189" s="2" t="n">
        <v>103</v>
      </c>
      <c r="G1189" s="6" t="n">
        <v>11</v>
      </c>
      <c r="I1189" s="0" t="n"/>
      <c r="J1189" s="0" t="n"/>
      <c r="K1189" s="0" t="n"/>
      <c r="L1189" t="inlineStr">
        <is>
          <t>Revolution CT</t>
        </is>
      </c>
      <c r="M1189" t="inlineStr">
        <is>
          <t>Pre 3mm pacs</t>
        </is>
      </c>
    </row>
    <row r="1190">
      <c r="A1190" s="2" t="n">
        <v>9780400</v>
      </c>
      <c r="B1190" s="2" t="inlineStr">
        <is>
          <t>49</t>
        </is>
      </c>
      <c r="C1190" s="2" t="inlineStr">
        <is>
          <t>F</t>
        </is>
      </c>
      <c r="D1190" s="2" t="inlineStr">
        <is>
          <t>100.0</t>
        </is>
      </c>
      <c r="E1190" s="4">
        <f>HYPERLINK("./Results/DLO\2905\Osteo_Sarco_1.png","RPT")</f>
        <v/>
      </c>
      <c r="F1190" s="2" t="n">
        <v>134</v>
      </c>
      <c r="G1190" s="6" t="n">
        <v>22</v>
      </c>
      <c r="I1190" s="0" t="n"/>
      <c r="J1190" s="0" t="n"/>
      <c r="K1190" s="0" t="n"/>
      <c r="L1190" t="inlineStr">
        <is>
          <t>iCT 256</t>
        </is>
      </c>
      <c r="M1190" t="inlineStr">
        <is>
          <t>Pre 3/3mm, iDose (3)</t>
        </is>
      </c>
    </row>
    <row r="1191">
      <c r="A1191" s="2" t="n">
        <v>9780380</v>
      </c>
      <c r="B1191" s="2" t="inlineStr">
        <is>
          <t>44</t>
        </is>
      </c>
      <c r="C1191" s="2" t="inlineStr">
        <is>
          <t>M</t>
        </is>
      </c>
      <c r="D1191" s="2" t="inlineStr">
        <is>
          <t>100.0</t>
        </is>
      </c>
      <c r="E1191" s="4">
        <f>HYPERLINK("./Results/DLO\2906\Osteo_Sarco_1.png","RPT")</f>
        <v/>
      </c>
      <c r="F1191" s="2" t="n">
        <v>157</v>
      </c>
      <c r="G1191" s="6" t="n">
        <v>13</v>
      </c>
      <c r="H1191" t="n">
        <v>26.68</v>
      </c>
      <c r="L1191" t="inlineStr">
        <is>
          <t>SOMATOM Definition...</t>
        </is>
      </c>
      <c r="M1191" t="inlineStr">
        <is>
          <t>Pre(Abd) 3mm</t>
        </is>
      </c>
    </row>
    <row r="1192">
      <c r="A1192" s="2" t="n">
        <v>9780407</v>
      </c>
      <c r="B1192" s="2" t="inlineStr">
        <is>
          <t>63</t>
        </is>
      </c>
      <c r="C1192" s="2" t="inlineStr">
        <is>
          <t>M</t>
        </is>
      </c>
      <c r="D1192" s="2" t="inlineStr">
        <is>
          <t>100.0</t>
        </is>
      </c>
      <c r="E1192" s="4">
        <f>HYPERLINK("./Results/DLO\2907\Osteo_Sarco_1.png","RPT")</f>
        <v/>
      </c>
      <c r="F1192" s="2" t="n">
        <v>151</v>
      </c>
      <c r="G1192" s="6" t="n">
        <v>12</v>
      </c>
      <c r="H1192" t="n">
        <v>18.94</v>
      </c>
      <c r="L1192" t="inlineStr">
        <is>
          <t>Revolution EVO</t>
        </is>
      </c>
      <c r="M1192" t="inlineStr">
        <is>
          <t>Pre 2.5mm</t>
        </is>
      </c>
    </row>
    <row r="1193">
      <c r="A1193" s="2" t="n">
        <v>9780829</v>
      </c>
      <c r="B1193" s="2" t="inlineStr">
        <is>
          <t>56</t>
        </is>
      </c>
      <c r="C1193" s="2" t="inlineStr">
        <is>
          <t>M</t>
        </is>
      </c>
      <c r="D1193" s="2" t="inlineStr">
        <is>
          <t>100.0</t>
        </is>
      </c>
      <c r="E1193" s="4">
        <f>HYPERLINK("./Results/DLO\2908\Osteo_Sarco_1.png","RPT")</f>
        <v/>
      </c>
      <c r="F1193" s="2" t="n">
        <v>112</v>
      </c>
      <c r="G1193" s="6" t="n">
        <v>5</v>
      </c>
      <c r="H1193" t="n">
        <v>19.53</v>
      </c>
      <c r="L1193" t="inlineStr">
        <is>
          <t>Revolution EVO</t>
        </is>
      </c>
      <c r="M1193" t="inlineStr">
        <is>
          <t>Pre 2.5mm</t>
        </is>
      </c>
    </row>
    <row r="1194">
      <c r="A1194" s="2" t="n">
        <v>9781458</v>
      </c>
      <c r="B1194" s="2" t="inlineStr">
        <is>
          <t>67</t>
        </is>
      </c>
      <c r="C1194" s="2" t="inlineStr">
        <is>
          <t>F</t>
        </is>
      </c>
      <c r="D1194" s="2" t="inlineStr">
        <is>
          <t>100.0</t>
        </is>
      </c>
      <c r="E1194" s="4">
        <f>HYPERLINK("./Results/DLO\2909\Osteo_Sarco_1.png","RPT")</f>
        <v/>
      </c>
      <c r="F1194" s="2" t="n">
        <v>116</v>
      </c>
      <c r="G1194" s="6" t="n">
        <v>11</v>
      </c>
      <c r="I1194" s="0" t="n"/>
      <c r="J1194" s="0" t="n"/>
      <c r="K1194" s="0" t="n"/>
      <c r="L1194" t="inlineStr">
        <is>
          <t>Revolution CT</t>
        </is>
      </c>
      <c r="M1194" t="inlineStr">
        <is>
          <t>LAP 3mm(63kg/126cc/3.0cc/hexo)</t>
        </is>
      </c>
    </row>
    <row r="1195">
      <c r="A1195" s="2" t="n">
        <v>1958223</v>
      </c>
      <c r="B1195" s="2" t="inlineStr">
        <is>
          <t>75</t>
        </is>
      </c>
      <c r="C1195" s="2" t="inlineStr">
        <is>
          <t>M</t>
        </is>
      </c>
      <c r="D1195" s="2" t="inlineStr">
        <is>
          <t>100.0</t>
        </is>
      </c>
      <c r="E1195" s="4">
        <f>HYPERLINK("./Results/DLO\291\Osteo_Sarco_1.png","RPT")</f>
        <v/>
      </c>
      <c r="F1195" s="2" t="n">
        <v>115</v>
      </c>
      <c r="G1195" s="6" t="n">
        <v>7</v>
      </c>
      <c r="I1195" s="0" t="n"/>
      <c r="J1195" s="0" t="n"/>
      <c r="K1195" s="0" t="n"/>
      <c r="L1195" t="inlineStr">
        <is>
          <t>Revolution CT</t>
        </is>
      </c>
      <c r="M1195" t="inlineStr">
        <is>
          <t>LAP 3mm(55kg/110cc/3.0cc/hexol)</t>
        </is>
      </c>
    </row>
    <row r="1196">
      <c r="A1196" s="2" t="n">
        <v>9781623</v>
      </c>
      <c r="B1196" s="2" t="inlineStr">
        <is>
          <t>24</t>
        </is>
      </c>
      <c r="C1196" s="2" t="inlineStr">
        <is>
          <t>F</t>
        </is>
      </c>
      <c r="D1196" s="2" t="inlineStr">
        <is>
          <t>120.0</t>
        </is>
      </c>
      <c r="E1196" s="4">
        <f>HYPERLINK("./Results/DLO\2910\Osteo_Sarco_1.png","RPT")</f>
        <v/>
      </c>
      <c r="F1196" s="2" t="n">
        <v>103</v>
      </c>
      <c r="G1196" s="6" t="n">
        <v>6</v>
      </c>
      <c r="I1196" s="0" t="n"/>
      <c r="J1196" s="0" t="n"/>
      <c r="K1196" s="0" t="n"/>
      <c r="L1196" t="inlineStr">
        <is>
          <t>SOMATOM Definition...</t>
        </is>
      </c>
      <c r="M1196" t="inlineStr">
        <is>
          <t>4MINDelay 5.0 I40f 1</t>
        </is>
      </c>
    </row>
    <row r="1197">
      <c r="A1197" s="2" t="n">
        <v>9781776</v>
      </c>
      <c r="B1197" s="2" t="inlineStr">
        <is>
          <t>36</t>
        </is>
      </c>
      <c r="C1197" s="2" t="inlineStr">
        <is>
          <t>F</t>
        </is>
      </c>
      <c r="D1197" s="2" t="inlineStr">
        <is>
          <t>120.0</t>
        </is>
      </c>
      <c r="E1197" s="4">
        <f>HYPERLINK("./Results/DLO\2911\Osteo_Sarco_1.png","RPT")</f>
        <v/>
      </c>
      <c r="F1197" s="2" t="inlineStr">
        <is>
          <t>105</t>
        </is>
      </c>
      <c r="G1197" s="6" t="n"/>
      <c r="I1197" s="0" t="n"/>
      <c r="J1197" s="0" t="n"/>
      <c r="K1197" s="0" t="n"/>
      <c r="L1197" t="inlineStr">
        <is>
          <t>Aquilion/LB</t>
        </is>
      </c>
      <c r="M1197" t="inlineStr">
        <is>
          <t>Body 3.0</t>
        </is>
      </c>
    </row>
    <row r="1198">
      <c r="A1198" s="2" t="n">
        <v>9781492</v>
      </c>
      <c r="B1198" s="2" t="inlineStr">
        <is>
          <t>60</t>
        </is>
      </c>
      <c r="C1198" s="2" t="inlineStr">
        <is>
          <t>M</t>
        </is>
      </c>
      <c r="D1198" s="2" t="inlineStr">
        <is>
          <t>100.0</t>
        </is>
      </c>
      <c r="E1198" s="4">
        <f>HYPERLINK("./Results/DLO\2912\Osteo_Sarco_1.png","RPT")</f>
        <v/>
      </c>
      <c r="F1198" s="2" t="n">
        <v>159</v>
      </c>
      <c r="G1198" s="6" t="n">
        <v>9</v>
      </c>
      <c r="H1198" t="n">
        <v>20.02</v>
      </c>
      <c r="L1198" t="inlineStr">
        <is>
          <t>SOMATOM Definition...</t>
        </is>
      </c>
      <c r="M1198" t="inlineStr">
        <is>
          <t>LAP 3mm(62kg/124cc/3cc/hexo)</t>
        </is>
      </c>
    </row>
    <row r="1199">
      <c r="A1199" s="2" t="n">
        <v>9781543</v>
      </c>
      <c r="B1199" s="2" t="inlineStr">
        <is>
          <t>75</t>
        </is>
      </c>
      <c r="C1199" s="2" t="inlineStr">
        <is>
          <t>M</t>
        </is>
      </c>
      <c r="D1199" s="2" t="inlineStr">
        <is>
          <t>100.0</t>
        </is>
      </c>
      <c r="E1199" s="4">
        <f>HYPERLINK("./Results/DLO\2913\Osteo_Sarco_1.png","RPT")</f>
        <v/>
      </c>
      <c r="F1199" s="2" t="n">
        <v>136</v>
      </c>
      <c r="G1199" s="6" t="n">
        <v>11</v>
      </c>
      <c r="H1199" t="n">
        <v>22.58</v>
      </c>
      <c r="L1199" t="inlineStr">
        <is>
          <t>SOMATOM Force</t>
        </is>
      </c>
      <c r="M1199" t="inlineStr">
        <is>
          <t>LAP 3.0 Br40 2 (66kg/132kg...</t>
        </is>
      </c>
    </row>
    <row r="1200">
      <c r="A1200" s="2" t="n">
        <v>9784234</v>
      </c>
      <c r="B1200" s="2" t="inlineStr">
        <is>
          <t>77</t>
        </is>
      </c>
      <c r="C1200" s="2" t="inlineStr">
        <is>
          <t>F</t>
        </is>
      </c>
      <c r="D1200" s="2" t="inlineStr">
        <is>
          <t>120.0</t>
        </is>
      </c>
      <c r="E1200" s="4">
        <f>HYPERLINK("./Results/DLO\2915\Osteo_Sarco_1.png","RPT")</f>
        <v/>
      </c>
      <c r="F1200" s="2" t="n">
        <v>125</v>
      </c>
      <c r="G1200" s="6" t="n">
        <v>12</v>
      </c>
      <c r="H1200" t="n">
        <v>26.52</v>
      </c>
      <c r="L1200" t="inlineStr">
        <is>
          <t>LightSpeed VCT</t>
        </is>
      </c>
      <c r="M1200" t="inlineStr">
        <is>
          <t>LAP 18sec 3mm</t>
        </is>
      </c>
    </row>
    <row r="1201">
      <c r="A1201" s="2" t="n">
        <v>9783920</v>
      </c>
      <c r="B1201" s="2" t="inlineStr">
        <is>
          <t>44</t>
        </is>
      </c>
      <c r="C1201" s="2" t="inlineStr">
        <is>
          <t>F</t>
        </is>
      </c>
      <c r="D1201" s="2" t="inlineStr">
        <is>
          <t>100.0</t>
        </is>
      </c>
      <c r="E1201" s="4">
        <f>HYPERLINK("./Results/DLO\2916\Osteo_Sarco_1.png","RPT")</f>
        <v/>
      </c>
      <c r="F1201" s="2" t="n">
        <v>93</v>
      </c>
      <c r="G1201" s="6" t="n">
        <v>5</v>
      </c>
      <c r="I1201" s="0" t="n"/>
      <c r="J1201" s="0" t="n"/>
      <c r="K1201" s="0" t="n"/>
      <c r="L1201" t="inlineStr">
        <is>
          <t>Revolution CT</t>
        </is>
      </c>
      <c r="M1201" t="inlineStr">
        <is>
          <t>PRE(A30)</t>
        </is>
      </c>
    </row>
    <row r="1202">
      <c r="A1202" s="2" t="n">
        <v>9785116</v>
      </c>
      <c r="B1202" s="2" t="inlineStr">
        <is>
          <t>63</t>
        </is>
      </c>
      <c r="C1202" s="2" t="inlineStr">
        <is>
          <t>F</t>
        </is>
      </c>
      <c r="D1202" s="2" t="inlineStr">
        <is>
          <t>120.0</t>
        </is>
      </c>
      <c r="E1202" s="4">
        <f>HYPERLINK("./Results/DLO\2918\Osteo_Sarco_1.png","RPT")</f>
        <v/>
      </c>
      <c r="F1202" s="2" t="n">
        <v>117</v>
      </c>
      <c r="G1202" s="6" t="n">
        <v>16</v>
      </c>
      <c r="H1202" t="n">
        <v>25.06</v>
      </c>
      <c r="L1202" t="inlineStr">
        <is>
          <t>SOMATOM Definition...</t>
        </is>
      </c>
      <c r="M1202" t="inlineStr">
        <is>
          <t>Abdomen_Pre 3.0 I30f 1</t>
        </is>
      </c>
    </row>
    <row r="1203">
      <c r="A1203" s="2" t="n">
        <v>9784818</v>
      </c>
      <c r="B1203" s="2" t="inlineStr">
        <is>
          <t>52</t>
        </is>
      </c>
      <c r="C1203" s="2" t="inlineStr">
        <is>
          <t>M</t>
        </is>
      </c>
      <c r="D1203" s="2" t="inlineStr">
        <is>
          <t>120.0</t>
        </is>
      </c>
      <c r="E1203" s="4">
        <f>HYPERLINK("./Results/DLO\2919\Osteo_Sarco_1.png","RPT")</f>
        <v/>
      </c>
      <c r="F1203" s="2" t="n">
        <v>160</v>
      </c>
      <c r="G1203" s="6" t="n">
        <v>11</v>
      </c>
      <c r="H1203" t="n">
        <v>23.74</v>
      </c>
      <c r="L1203" t="inlineStr">
        <is>
          <t>iCT 256</t>
        </is>
      </c>
      <c r="M1203" t="inlineStr">
        <is>
          <t>LAP 3/3mm, iDose (3)</t>
        </is>
      </c>
    </row>
    <row r="1204">
      <c r="A1204" s="2" t="n">
        <v>3000814</v>
      </c>
      <c r="B1204" s="2" t="inlineStr">
        <is>
          <t>70</t>
        </is>
      </c>
      <c r="C1204" s="2" t="inlineStr">
        <is>
          <t>M</t>
        </is>
      </c>
      <c r="D1204" s="2" t="inlineStr">
        <is>
          <t>100.0</t>
        </is>
      </c>
      <c r="E1204" s="4">
        <f>HYPERLINK("./Results/DLO\292\Osteo_Sarco_1.png","RPT")</f>
        <v/>
      </c>
      <c r="F1204" s="2" t="n">
        <v>135</v>
      </c>
      <c r="G1204" s="6" t="n">
        <v>6</v>
      </c>
      <c r="I1204" s="0" t="n"/>
      <c r="J1204" s="0" t="n"/>
      <c r="K1204" s="0" t="n"/>
      <c r="L1204" t="inlineStr">
        <is>
          <t>Revolution EVO</t>
        </is>
      </c>
      <c r="M1204" t="inlineStr">
        <is>
          <t>PRE</t>
        </is>
      </c>
    </row>
    <row r="1205">
      <c r="A1205" s="2" t="n">
        <v>9784812</v>
      </c>
      <c r="B1205" s="2" t="inlineStr">
        <is>
          <t>83</t>
        </is>
      </c>
      <c r="C1205" s="2" t="inlineStr">
        <is>
          <t>F</t>
        </is>
      </c>
      <c r="D1205" s="2" t="inlineStr">
        <is>
          <t>100.0</t>
        </is>
      </c>
      <c r="E1205" s="4">
        <f>HYPERLINK("./Results/DLO\2920\Osteo_Sarco_1.png","RPT")</f>
        <v/>
      </c>
      <c r="F1205" s="2" t="n">
        <v>76</v>
      </c>
      <c r="G1205" s="6" t="n">
        <v>15</v>
      </c>
      <c r="H1205" t="n">
        <v>16.65</v>
      </c>
      <c r="L1205" t="inlineStr">
        <is>
          <t>Revolution EVO</t>
        </is>
      </c>
      <c r="M1205" t="inlineStr">
        <is>
          <t>PRE</t>
        </is>
      </c>
    </row>
    <row r="1206">
      <c r="A1206" s="2" t="n">
        <v>9785181</v>
      </c>
      <c r="B1206" s="2" t="inlineStr">
        <is>
          <t>47</t>
        </is>
      </c>
      <c r="C1206" s="2" t="inlineStr">
        <is>
          <t>F</t>
        </is>
      </c>
      <c r="D1206" s="2" t="inlineStr">
        <is>
          <t>100.0</t>
        </is>
      </c>
      <c r="E1206" s="4">
        <f>HYPERLINK("./Results/DLO\2921\Osteo_Sarco_1.png","RPT")</f>
        <v/>
      </c>
      <c r="F1206" s="2" t="n">
        <v>97</v>
      </c>
      <c r="G1206" s="6" t="n">
        <v>5</v>
      </c>
      <c r="I1206" s="0" t="n"/>
      <c r="J1206" s="0" t="n"/>
      <c r="K1206" s="0" t="n"/>
      <c r="L1206" t="inlineStr">
        <is>
          <t>LightSpeed VCT</t>
        </is>
      </c>
      <c r="M1206" t="inlineStr">
        <is>
          <t>PRE 2,5mm</t>
        </is>
      </c>
    </row>
    <row r="1207">
      <c r="A1207" s="2" t="n">
        <v>9785252</v>
      </c>
      <c r="B1207" s="2" t="inlineStr">
        <is>
          <t>47</t>
        </is>
      </c>
      <c r="C1207" s="2" t="inlineStr">
        <is>
          <t>F</t>
        </is>
      </c>
      <c r="D1207" s="2" t="inlineStr">
        <is>
          <t>100.0</t>
        </is>
      </c>
      <c r="E1207" s="4">
        <f>HYPERLINK("./Results/DLO\2922\Osteo_Sarco_1.png","RPT")</f>
        <v/>
      </c>
      <c r="F1207" s="2" t="n">
        <v>118</v>
      </c>
      <c r="G1207" s="6" t="n">
        <v>7</v>
      </c>
      <c r="I1207" s="0" t="n"/>
      <c r="J1207" s="0" t="n"/>
      <c r="K1207" s="0" t="n"/>
      <c r="L1207" t="inlineStr">
        <is>
          <t>Revolution EVO</t>
        </is>
      </c>
      <c r="M1207" t="inlineStr">
        <is>
          <t>PRE</t>
        </is>
      </c>
    </row>
    <row r="1208">
      <c r="A1208" s="2" t="n">
        <v>9785711</v>
      </c>
      <c r="B1208" s="2" t="inlineStr">
        <is>
          <t>63</t>
        </is>
      </c>
      <c r="C1208" s="2" t="inlineStr">
        <is>
          <t>F</t>
        </is>
      </c>
      <c r="D1208" s="2" t="inlineStr">
        <is>
          <t>100.0</t>
        </is>
      </c>
      <c r="E1208" s="4">
        <f>HYPERLINK("./Results/DLO\2923\Osteo_Sarco_1.png","RPT")</f>
        <v/>
      </c>
      <c r="F1208" s="2" t="n">
        <v>104</v>
      </c>
      <c r="G1208" s="6" t="n">
        <v>8</v>
      </c>
      <c r="H1208" t="n">
        <v>24.03</v>
      </c>
      <c r="L1208" t="inlineStr">
        <is>
          <t>SOMATOM Definition...</t>
        </is>
      </c>
      <c r="M1208" t="inlineStr">
        <is>
          <t>Pre(Abd) 3mm</t>
        </is>
      </c>
    </row>
    <row r="1209">
      <c r="A1209" s="2" t="n">
        <v>9786053</v>
      </c>
      <c r="B1209" s="2" t="inlineStr">
        <is>
          <t>34</t>
        </is>
      </c>
      <c r="C1209" s="2" t="inlineStr">
        <is>
          <t>M</t>
        </is>
      </c>
      <c r="D1209" s="2" t="inlineStr">
        <is>
          <t>120.0</t>
        </is>
      </c>
      <c r="E1209" s="4">
        <f>HYPERLINK("./Results/DLO\2924\Osteo_Sarco_1.png","RPT")</f>
        <v/>
      </c>
      <c r="F1209" s="2" t="n">
        <v>133</v>
      </c>
      <c r="G1209" s="6" t="n">
        <v>3</v>
      </c>
      <c r="I1209" s="0" t="n"/>
      <c r="J1209" s="0" t="n"/>
      <c r="K1209" s="0" t="n"/>
      <c r="L1209" t="inlineStr">
        <is>
          <t>SOMATOM Definition...</t>
        </is>
      </c>
      <c r="M1209" t="inlineStr">
        <is>
          <t>4MINDelay 5.0 I40f 1</t>
        </is>
      </c>
    </row>
    <row r="1210">
      <c r="A1210" s="2" t="n">
        <v>9786626</v>
      </c>
      <c r="B1210" s="2" t="inlineStr">
        <is>
          <t>60</t>
        </is>
      </c>
      <c r="C1210" s="2" t="inlineStr">
        <is>
          <t>M</t>
        </is>
      </c>
      <c r="D1210" s="2" t="inlineStr">
        <is>
          <t>100.0</t>
        </is>
      </c>
      <c r="E1210" s="4">
        <f>HYPERLINK("./Results/DLO\2925\Osteo_Sarco_1.png","RPT")</f>
        <v/>
      </c>
      <c r="F1210" s="2" t="n">
        <v>124</v>
      </c>
      <c r="G1210" s="6" t="n">
        <v>8</v>
      </c>
      <c r="H1210" t="n">
        <v>20.02</v>
      </c>
      <c r="L1210" t="inlineStr">
        <is>
          <t>Revolution EVO</t>
        </is>
      </c>
      <c r="M1210" t="inlineStr">
        <is>
          <t>Abdomen Pre 2.5mm</t>
        </is>
      </c>
    </row>
    <row r="1211">
      <c r="A1211" s="2" t="n">
        <v>9789132</v>
      </c>
      <c r="B1211" s="2" t="inlineStr">
        <is>
          <t>42</t>
        </is>
      </c>
      <c r="C1211" s="2" t="inlineStr">
        <is>
          <t>M</t>
        </is>
      </c>
      <c r="D1211" s="2" t="inlineStr">
        <is>
          <t>100.0</t>
        </is>
      </c>
      <c r="E1211" s="4">
        <f>HYPERLINK("./Results/DLO\2926\Osteo_Sarco_1.png","RPT")</f>
        <v/>
      </c>
      <c r="F1211" s="2" t="n">
        <v>96</v>
      </c>
      <c r="G1211" s="6" t="n">
        <v>3</v>
      </c>
      <c r="I1211" s="0" t="n"/>
      <c r="J1211" s="0" t="n"/>
      <c r="K1211" s="0" t="n"/>
      <c r="L1211" t="inlineStr">
        <is>
          <t>Revolution CT</t>
        </is>
      </c>
      <c r="M1211" t="inlineStr">
        <is>
          <t>Pre</t>
        </is>
      </c>
    </row>
    <row r="1212">
      <c r="A1212" s="2" t="n">
        <v>9788976</v>
      </c>
      <c r="B1212" s="2" t="inlineStr">
        <is>
          <t>50</t>
        </is>
      </c>
      <c r="C1212" s="2" t="inlineStr">
        <is>
          <t>F</t>
        </is>
      </c>
      <c r="D1212" s="2" t="inlineStr">
        <is>
          <t>100.0</t>
        </is>
      </c>
      <c r="E1212" s="4">
        <f>HYPERLINK("./Results/DLO\2927\Osteo_Sarco_1.png","RPT")</f>
        <v/>
      </c>
      <c r="F1212" s="2" t="n">
        <v>139</v>
      </c>
      <c r="G1212" s="6" t="n">
        <v>19</v>
      </c>
      <c r="H1212" t="n">
        <v>30.93</v>
      </c>
      <c r="L1212" t="inlineStr">
        <is>
          <t>LightSpeed VCT</t>
        </is>
      </c>
      <c r="M1212" t="inlineStr">
        <is>
          <t>PRE (CP angle~Pubic)</t>
        </is>
      </c>
    </row>
    <row r="1213">
      <c r="A1213" s="2" t="n">
        <v>9788829</v>
      </c>
      <c r="B1213" s="2" t="inlineStr">
        <is>
          <t>76</t>
        </is>
      </c>
      <c r="C1213" s="2" t="inlineStr">
        <is>
          <t>M</t>
        </is>
      </c>
      <c r="D1213" s="2" t="inlineStr">
        <is>
          <t>100.0</t>
        </is>
      </c>
      <c r="E1213" s="4">
        <f>HYPERLINK("./Results/DLO\2928\Osteo_Sarco_1.png","RPT")</f>
        <v/>
      </c>
      <c r="F1213" s="2" t="n">
        <v>152</v>
      </c>
      <c r="G1213" s="6" t="n">
        <v>16</v>
      </c>
      <c r="I1213" s="0" t="n"/>
      <c r="J1213" s="0" t="n"/>
      <c r="K1213" s="0" t="n"/>
      <c r="L1213" t="inlineStr">
        <is>
          <t>Revolution EVO</t>
        </is>
      </c>
      <c r="M1213" t="inlineStr">
        <is>
          <t>AX 3mm</t>
        </is>
      </c>
    </row>
    <row r="1214">
      <c r="A1214" s="2" t="n">
        <v>9790231</v>
      </c>
      <c r="B1214" s="2" t="inlineStr">
        <is>
          <t>58</t>
        </is>
      </c>
      <c r="C1214" s="2" t="inlineStr">
        <is>
          <t>F</t>
        </is>
      </c>
      <c r="D1214" s="2" t="inlineStr">
        <is>
          <t>120.0</t>
        </is>
      </c>
      <c r="E1214" s="4">
        <f>HYPERLINK("./Results/DLO\2929\Osteo_Sarco_1.png","RPT")</f>
        <v/>
      </c>
      <c r="F1214" s="2" t="n">
        <v>96</v>
      </c>
      <c r="G1214" s="6" t="n">
        <v>9</v>
      </c>
      <c r="I1214" s="0" t="n"/>
      <c r="J1214" s="0" t="n"/>
      <c r="K1214" s="0" t="n"/>
      <c r="L1214" t="inlineStr">
        <is>
          <t>Discovery CT750 HD</t>
        </is>
      </c>
      <c r="M1214" t="inlineStr">
        <is>
          <t>ABD</t>
        </is>
      </c>
    </row>
    <row r="1215">
      <c r="A1215" s="2" t="n">
        <v>3525196</v>
      </c>
      <c r="B1215" s="2" t="inlineStr">
        <is>
          <t>57</t>
        </is>
      </c>
      <c r="C1215" s="2" t="inlineStr">
        <is>
          <t>M</t>
        </is>
      </c>
      <c r="D1215" s="2" t="inlineStr">
        <is>
          <t>100.0</t>
        </is>
      </c>
      <c r="E1215" s="4">
        <f>HYPERLINK("./Results/DLO\293\Osteo_Sarco_1.png","RPT")</f>
        <v/>
      </c>
      <c r="F1215" s="2" t="n">
        <v>147</v>
      </c>
      <c r="G1215" s="6" t="n">
        <v>9</v>
      </c>
      <c r="I1215" s="0" t="n"/>
      <c r="J1215" s="0" t="n"/>
      <c r="K1215" s="0" t="n"/>
      <c r="L1215" t="inlineStr">
        <is>
          <t>Revolution CT</t>
        </is>
      </c>
      <c r="M1215" t="inlineStr">
        <is>
          <t>Pre Axial 3mm</t>
        </is>
      </c>
    </row>
    <row r="1216">
      <c r="A1216" s="2" t="n">
        <v>9790180</v>
      </c>
      <c r="B1216" s="2" t="inlineStr">
        <is>
          <t>59</t>
        </is>
      </c>
      <c r="C1216" s="2" t="inlineStr">
        <is>
          <t>M</t>
        </is>
      </c>
      <c r="D1216" s="2" t="inlineStr">
        <is>
          <t>100.0</t>
        </is>
      </c>
      <c r="E1216" s="4">
        <f>HYPERLINK("./Results/DLO\2930\Osteo_Sarco_1.png","RPT")</f>
        <v/>
      </c>
      <c r="F1216" s="2" t="n">
        <v>209</v>
      </c>
      <c r="G1216" s="6" t="n">
        <v>8</v>
      </c>
      <c r="I1216" s="0" t="n"/>
      <c r="J1216" s="0" t="n"/>
      <c r="K1216" s="0" t="n"/>
      <c r="L1216" t="inlineStr">
        <is>
          <t>Revolution EVO</t>
        </is>
      </c>
      <c r="M1216" t="inlineStr">
        <is>
          <t>PRE (CP angle~Pubic)</t>
        </is>
      </c>
    </row>
    <row r="1217">
      <c r="A1217" s="2" t="n">
        <v>9789784</v>
      </c>
      <c r="B1217" s="2" t="inlineStr">
        <is>
          <t>61</t>
        </is>
      </c>
      <c r="C1217" s="2" t="inlineStr">
        <is>
          <t>M</t>
        </is>
      </c>
      <c r="D1217" s="2" t="inlineStr">
        <is>
          <t>100.0</t>
        </is>
      </c>
      <c r="E1217" s="4">
        <f>HYPERLINK("./Results/DLO\2931\Osteo_Sarco_1.png","RPT")</f>
        <v/>
      </c>
      <c r="F1217" s="2" t="n">
        <v>180</v>
      </c>
      <c r="G1217" s="6" t="n">
        <v>15</v>
      </c>
      <c r="H1217" t="n">
        <v>26.15</v>
      </c>
      <c r="L1217" t="inlineStr">
        <is>
          <t>Sensation 64</t>
        </is>
      </c>
      <c r="M1217" t="inlineStr">
        <is>
          <t>PRE 3.0 B31f</t>
        </is>
      </c>
    </row>
    <row r="1218">
      <c r="A1218" s="2" t="n">
        <v>9790244</v>
      </c>
      <c r="B1218" s="2" t="inlineStr">
        <is>
          <t>47</t>
        </is>
      </c>
      <c r="C1218" s="2" t="inlineStr">
        <is>
          <t>M</t>
        </is>
      </c>
      <c r="D1218" s="2" t="inlineStr">
        <is>
          <t>100.0</t>
        </is>
      </c>
      <c r="E1218" s="4">
        <f>HYPERLINK("./Results/DLO\2932\Osteo_Sarco_1.png","RPT")</f>
        <v/>
      </c>
      <c r="F1218" s="2" t="n">
        <v>199</v>
      </c>
      <c r="G1218" s="6" t="n">
        <v>11</v>
      </c>
      <c r="I1218" s="0" t="n"/>
      <c r="J1218" s="0" t="n"/>
      <c r="K1218" s="0" t="n"/>
      <c r="L1218" t="inlineStr">
        <is>
          <t>SOMATOM Definition...</t>
        </is>
      </c>
      <c r="M1218" t="inlineStr">
        <is>
          <t>LIVER Pre 3.0 I30f 1</t>
        </is>
      </c>
    </row>
    <row r="1219">
      <c r="A1219" s="2" t="n">
        <v>9790307</v>
      </c>
      <c r="B1219" s="2" t="inlineStr">
        <is>
          <t>50</t>
        </is>
      </c>
      <c r="C1219" s="2" t="inlineStr">
        <is>
          <t>M</t>
        </is>
      </c>
      <c r="D1219" s="2" t="inlineStr">
        <is>
          <t>100.0</t>
        </is>
      </c>
      <c r="E1219" s="4">
        <f>HYPERLINK("./Results/DLO\2933\Osteo_Sarco_1.png","RPT")</f>
        <v/>
      </c>
      <c r="F1219" s="2" t="n">
        <v>175</v>
      </c>
      <c r="G1219" s="6" t="n">
        <v>13</v>
      </c>
      <c r="I1219" s="0" t="n"/>
      <c r="J1219" s="0" t="n"/>
      <c r="K1219" s="0" t="n"/>
      <c r="L1219" t="inlineStr">
        <is>
          <t>SOMATOM Definition...</t>
        </is>
      </c>
      <c r="M1219" t="inlineStr">
        <is>
          <t>LAP 3mm(78kg/150cc/3cc/hexo)</t>
        </is>
      </c>
    </row>
    <row r="1220">
      <c r="A1220" s="2" t="n">
        <v>9789698</v>
      </c>
      <c r="B1220" s="2" t="inlineStr">
        <is>
          <t>64</t>
        </is>
      </c>
      <c r="C1220" s="2" t="inlineStr">
        <is>
          <t>M</t>
        </is>
      </c>
      <c r="D1220" s="2" t="inlineStr">
        <is>
          <t>100.0</t>
        </is>
      </c>
      <c r="E1220" s="4">
        <f>HYPERLINK("./Results/DLO\2934\Osteo_Sarco_1.png","RPT")</f>
        <v/>
      </c>
      <c r="F1220" s="2" t="n">
        <v>157</v>
      </c>
      <c r="G1220" s="6" t="n">
        <v>8</v>
      </c>
      <c r="I1220" s="0" t="n"/>
      <c r="J1220" s="0" t="n"/>
      <c r="K1220" s="0" t="n"/>
      <c r="L1220" t="inlineStr">
        <is>
          <t>SOMATOM Definition...</t>
        </is>
      </c>
      <c r="M1220" t="inlineStr">
        <is>
          <t>Pre(GU) 3mm</t>
        </is>
      </c>
    </row>
    <row r="1221">
      <c r="A1221" s="2" t="n">
        <v>9791083</v>
      </c>
      <c r="B1221" s="2" t="inlineStr">
        <is>
          <t>24</t>
        </is>
      </c>
      <c r="C1221" s="2" t="inlineStr">
        <is>
          <t>F</t>
        </is>
      </c>
      <c r="D1221" s="2" t="inlineStr">
        <is>
          <t>120.0</t>
        </is>
      </c>
      <c r="E1221" s="4">
        <f>HYPERLINK("./Results/DLO\2935\Osteo_Sarco_1.png","RPT")</f>
        <v/>
      </c>
      <c r="F1221" s="2" t="n">
        <v>96</v>
      </c>
      <c r="G1221" s="6" t="n">
        <v>7</v>
      </c>
      <c r="I1221" s="0" t="n"/>
      <c r="J1221" s="0" t="n"/>
      <c r="K1221" s="0" t="n"/>
      <c r="L1221" t="inlineStr">
        <is>
          <t>Aquilion</t>
        </is>
      </c>
      <c r="M1221" t="inlineStr">
        <is>
          <t>N/A</t>
        </is>
      </c>
    </row>
    <row r="1222">
      <c r="A1222" s="2" t="n">
        <v>9792737</v>
      </c>
      <c r="B1222" s="2" t="inlineStr">
        <is>
          <t>54</t>
        </is>
      </c>
      <c r="C1222" s="2" t="inlineStr">
        <is>
          <t>M</t>
        </is>
      </c>
      <c r="D1222" s="2" t="inlineStr">
        <is>
          <t>100.0</t>
        </is>
      </c>
      <c r="E1222" s="4">
        <f>HYPERLINK("./Results/DLO\2936\Osteo_Sarco_1.png","RPT")</f>
        <v/>
      </c>
      <c r="F1222" s="2" t="n">
        <v>167</v>
      </c>
      <c r="G1222" s="6" t="n">
        <v>10</v>
      </c>
      <c r="H1222" t="n">
        <v>30.39</v>
      </c>
      <c r="L1222" t="inlineStr">
        <is>
          <t>SOMATOM Definition...</t>
        </is>
      </c>
      <c r="M1222" t="inlineStr">
        <is>
          <t>LAP 2 3mm(84kg/150ml/3ml/he...</t>
        </is>
      </c>
    </row>
    <row r="1223">
      <c r="A1223" s="2" t="n">
        <v>9792651</v>
      </c>
      <c r="B1223" s="2" t="inlineStr">
        <is>
          <t>50</t>
        </is>
      </c>
      <c r="C1223" s="2" t="inlineStr">
        <is>
          <t>M</t>
        </is>
      </c>
      <c r="D1223" s="2" t="inlineStr">
        <is>
          <t>100.0</t>
        </is>
      </c>
      <c r="E1223" s="4">
        <f>HYPERLINK("./Results/DLO\2937\Osteo_Sarco_1.png","RPT")</f>
        <v/>
      </c>
      <c r="F1223" s="2" t="n">
        <v>147</v>
      </c>
      <c r="G1223" s="6" t="n">
        <v>4</v>
      </c>
      <c r="I1223" s="0" t="n"/>
      <c r="J1223" s="0" t="n"/>
      <c r="K1223" s="0" t="n"/>
      <c r="L1223" t="inlineStr">
        <is>
          <t>SOMATOM Definition...</t>
        </is>
      </c>
      <c r="M1223" t="inlineStr">
        <is>
          <t>PRE 5.0 B30f</t>
        </is>
      </c>
    </row>
    <row r="1224">
      <c r="A1224" s="2" t="n">
        <v>9792576</v>
      </c>
      <c r="B1224" s="2" t="inlineStr">
        <is>
          <t>64</t>
        </is>
      </c>
      <c r="C1224" s="2" t="inlineStr">
        <is>
          <t>M</t>
        </is>
      </c>
      <c r="D1224" s="2" t="inlineStr">
        <is>
          <t>120.0</t>
        </is>
      </c>
      <c r="E1224" s="4">
        <f>HYPERLINK("./Results/DLO\2938\Osteo_Sarco_1.png","RPT")</f>
        <v/>
      </c>
      <c r="F1224" s="2" t="n">
        <v>147</v>
      </c>
      <c r="G1224" s="6" t="n">
        <v>9</v>
      </c>
      <c r="H1224" t="n">
        <v>24.8</v>
      </c>
      <c r="L1224" t="inlineStr">
        <is>
          <t>iCT 256</t>
        </is>
      </c>
      <c r="M1224" t="inlineStr">
        <is>
          <t>LAP 3/3mm, iDose (3)</t>
        </is>
      </c>
    </row>
    <row r="1225">
      <c r="A1225" s="2" t="n">
        <v>9793004</v>
      </c>
      <c r="B1225" s="2" t="inlineStr">
        <is>
          <t>54</t>
        </is>
      </c>
      <c r="C1225" s="2" t="inlineStr">
        <is>
          <t>F</t>
        </is>
      </c>
      <c r="D1225" s="2" t="inlineStr">
        <is>
          <t>100.0</t>
        </is>
      </c>
      <c r="E1225" s="4">
        <f>HYPERLINK("./Results/DLO\2939\Osteo_Sarco_1.png","RPT")</f>
        <v/>
      </c>
      <c r="F1225" s="2" t="n">
        <v>98</v>
      </c>
      <c r="G1225" s="6" t="n">
        <v>13</v>
      </c>
      <c r="I1225" s="0" t="n"/>
      <c r="J1225" s="0" t="n"/>
      <c r="K1225" s="0" t="n"/>
      <c r="L1225" t="inlineStr">
        <is>
          <t>LightSpeed VCT</t>
        </is>
      </c>
      <c r="M1225" t="inlineStr">
        <is>
          <t>PRE 2,5mm</t>
        </is>
      </c>
    </row>
    <row r="1226">
      <c r="A1226" s="2" t="n">
        <v>4915401</v>
      </c>
      <c r="B1226" s="2" t="inlineStr">
        <is>
          <t>66</t>
        </is>
      </c>
      <c r="C1226" s="2" t="inlineStr">
        <is>
          <t>F</t>
        </is>
      </c>
      <c r="D1226" s="2" t="inlineStr">
        <is>
          <t>100.0</t>
        </is>
      </c>
      <c r="E1226" s="4">
        <f>HYPERLINK("./Results/DLO\294\Osteo_Sarco_1.png","RPT")</f>
        <v/>
      </c>
      <c r="F1226" s="2" t="n">
        <v>118</v>
      </c>
      <c r="G1226" s="6" t="n">
        <v>16</v>
      </c>
      <c r="I1226" s="0" t="n"/>
      <c r="J1226" s="0" t="n"/>
      <c r="K1226" s="0" t="n"/>
      <c r="L1226" t="inlineStr">
        <is>
          <t>SOMATOM Definition...</t>
        </is>
      </c>
      <c r="M1226" t="inlineStr">
        <is>
          <t>HVP 2 3mm(58kg/116cc/3cc/radi)</t>
        </is>
      </c>
    </row>
    <row r="1227">
      <c r="A1227" s="2" t="n">
        <v>9792424</v>
      </c>
      <c r="B1227" s="2" t="inlineStr">
        <is>
          <t>51</t>
        </is>
      </c>
      <c r="C1227" s="2" t="inlineStr">
        <is>
          <t>M</t>
        </is>
      </c>
      <c r="D1227" s="2" t="inlineStr">
        <is>
          <t>120.0</t>
        </is>
      </c>
      <c r="E1227" s="4">
        <f>HYPERLINK("./Results/DLO\2940\Osteo_Sarco_1.png","RPT")</f>
        <v/>
      </c>
      <c r="F1227" s="2" t="n">
        <v>167</v>
      </c>
      <c r="G1227" s="6" t="n">
        <v>8</v>
      </c>
      <c r="H1227" t="n">
        <v>31.32</v>
      </c>
      <c r="L1227" t="inlineStr">
        <is>
          <t>LightSpeed16</t>
        </is>
      </c>
      <c r="M1227" t="inlineStr">
        <is>
          <t>PRE</t>
        </is>
      </c>
    </row>
    <row r="1228">
      <c r="A1228" s="2" t="n">
        <v>9793995</v>
      </c>
      <c r="B1228" s="2" t="inlineStr">
        <is>
          <t>71</t>
        </is>
      </c>
      <c r="C1228" s="2" t="inlineStr">
        <is>
          <t>F</t>
        </is>
      </c>
      <c r="D1228" s="2" t="inlineStr">
        <is>
          <t>100.0</t>
        </is>
      </c>
      <c r="E1228" s="4">
        <f>HYPERLINK("./Results/DLO\2941\Osteo_Sarco_1.png","RPT")</f>
        <v/>
      </c>
      <c r="F1228" s="2" t="n">
        <v>112</v>
      </c>
      <c r="G1228" s="6" t="n">
        <v>8</v>
      </c>
      <c r="H1228" t="n">
        <v>22.63</v>
      </c>
      <c r="L1228" t="inlineStr">
        <is>
          <t>Revolution EVO</t>
        </is>
      </c>
      <c r="M1228" t="inlineStr">
        <is>
          <t>Pre 2.5mm</t>
        </is>
      </c>
    </row>
    <row r="1229">
      <c r="A1229" s="2" t="n">
        <v>9795151</v>
      </c>
      <c r="B1229" s="2" t="inlineStr">
        <is>
          <t>77</t>
        </is>
      </c>
      <c r="C1229" s="2" t="inlineStr">
        <is>
          <t>F</t>
        </is>
      </c>
      <c r="D1229" s="2" t="inlineStr">
        <is>
          <t>120.0</t>
        </is>
      </c>
      <c r="E1229" s="4">
        <f>HYPERLINK("./Results/DLO\2942\Osteo_Sarco_1.png","RPT")</f>
        <v/>
      </c>
      <c r="F1229" s="2" t="n">
        <v>87</v>
      </c>
      <c r="G1229" s="6" t="n">
        <v>10</v>
      </c>
      <c r="H1229" t="n">
        <v>24.56</v>
      </c>
      <c r="L1229" t="inlineStr">
        <is>
          <t>Aquilion PRIME</t>
        </is>
      </c>
      <c r="M1229" t="inlineStr">
        <is>
          <t>Body 5.0</t>
        </is>
      </c>
    </row>
    <row r="1230">
      <c r="A1230" s="2" t="n">
        <v>9796952</v>
      </c>
      <c r="B1230" s="2" t="inlineStr">
        <is>
          <t>62</t>
        </is>
      </c>
      <c r="C1230" s="2" t="inlineStr">
        <is>
          <t>F</t>
        </is>
      </c>
      <c r="D1230" s="2" t="inlineStr">
        <is>
          <t>100.0</t>
        </is>
      </c>
      <c r="E1230" s="4">
        <f>HYPERLINK("./Results/DLO\2943\Osteo_Sarco_1.png","RPT")</f>
        <v/>
      </c>
      <c r="F1230" s="2" t="n">
        <v>118</v>
      </c>
      <c r="G1230" s="6" t="n">
        <v>16</v>
      </c>
      <c r="I1230" s="0" t="n"/>
      <c r="J1230" s="0" t="n"/>
      <c r="K1230" s="0" t="n"/>
      <c r="L1230" t="inlineStr">
        <is>
          <t>Revolution EVO</t>
        </is>
      </c>
      <c r="M1230" t="inlineStr">
        <is>
          <t>PRE (CP angle~Pubic)</t>
        </is>
      </c>
    </row>
    <row r="1231">
      <c r="A1231" s="2" t="n">
        <v>9796796</v>
      </c>
      <c r="B1231" s="2" t="inlineStr">
        <is>
          <t>62</t>
        </is>
      </c>
      <c r="C1231" s="2" t="inlineStr">
        <is>
          <t>F</t>
        </is>
      </c>
      <c r="D1231" s="2" t="inlineStr">
        <is>
          <t>100.0</t>
        </is>
      </c>
      <c r="E1231" s="4">
        <f>HYPERLINK("./Results/DLO\2944\Osteo_Sarco_1.png","RPT")</f>
        <v/>
      </c>
      <c r="F1231" s="2" t="n">
        <v>96</v>
      </c>
      <c r="G1231" s="6" t="n">
        <v>8</v>
      </c>
      <c r="I1231" s="0" t="n"/>
      <c r="J1231" s="0" t="n"/>
      <c r="K1231" s="0" t="n"/>
      <c r="L1231" t="inlineStr">
        <is>
          <t>SOMATOM Force</t>
        </is>
      </c>
      <c r="M1231" t="inlineStr">
        <is>
          <t>LAP</t>
        </is>
      </c>
    </row>
    <row r="1232">
      <c r="A1232" s="2" t="n">
        <v>9796732</v>
      </c>
      <c r="B1232" s="2" t="inlineStr">
        <is>
          <t>65</t>
        </is>
      </c>
      <c r="C1232" s="2" t="inlineStr">
        <is>
          <t>M</t>
        </is>
      </c>
      <c r="D1232" s="2" t="inlineStr">
        <is>
          <t>120.0</t>
        </is>
      </c>
      <c r="E1232" s="4">
        <f>HYPERLINK("./Results/DLO\2945\Osteo_Sarco_1.png","RPT")</f>
        <v/>
      </c>
      <c r="F1232" s="2" t="n">
        <v>139</v>
      </c>
      <c r="G1232" s="6" t="n">
        <v>8</v>
      </c>
      <c r="I1232" s="0" t="n"/>
      <c r="J1232" s="0" t="n"/>
      <c r="K1232" s="0" t="n"/>
      <c r="L1232" t="inlineStr">
        <is>
          <t>Brilliance 64</t>
        </is>
      </c>
      <c r="M1232" t="inlineStr">
        <is>
          <t>Pre</t>
        </is>
      </c>
    </row>
    <row r="1233">
      <c r="A1233" s="2" t="n">
        <v>9797709</v>
      </c>
      <c r="B1233" s="2" t="inlineStr">
        <is>
          <t>59</t>
        </is>
      </c>
      <c r="C1233" s="2" t="inlineStr">
        <is>
          <t>M</t>
        </is>
      </c>
      <c r="D1233" s="2" t="inlineStr">
        <is>
          <t>100.0</t>
        </is>
      </c>
      <c r="E1233" s="4">
        <f>HYPERLINK("./Results/DLO\2947\Osteo_Sarco_1.png","RPT")</f>
        <v/>
      </c>
      <c r="F1233" s="2" t="n">
        <v>193</v>
      </c>
      <c r="G1233" s="6" t="n">
        <v>9</v>
      </c>
      <c r="I1233" s="0" t="n"/>
      <c r="J1233" s="0" t="n"/>
      <c r="K1233" s="0" t="n"/>
      <c r="L1233" t="inlineStr">
        <is>
          <t>SOMATOM Force</t>
        </is>
      </c>
      <c r="M1233" t="inlineStr">
        <is>
          <t>LAP 3.0 (77kg/150cc/3cc/radi)</t>
        </is>
      </c>
    </row>
    <row r="1234">
      <c r="A1234" s="2" t="n">
        <v>9797610</v>
      </c>
      <c r="B1234" s="2" t="inlineStr">
        <is>
          <t>62</t>
        </is>
      </c>
      <c r="C1234" s="2" t="inlineStr">
        <is>
          <t>F</t>
        </is>
      </c>
      <c r="D1234" s="2" t="inlineStr">
        <is>
          <t>100.0</t>
        </is>
      </c>
      <c r="E1234" s="4">
        <f>HYPERLINK("./Results/DLO\2948\Osteo_Sarco_1.png","RPT")</f>
        <v/>
      </c>
      <c r="F1234" s="2" t="n">
        <v>113</v>
      </c>
      <c r="G1234" s="6" t="n">
        <v>17</v>
      </c>
      <c r="I1234" s="0" t="n"/>
      <c r="J1234" s="0" t="n"/>
      <c r="K1234" s="0" t="n"/>
      <c r="L1234" t="inlineStr">
        <is>
          <t>iCT 256</t>
        </is>
      </c>
      <c r="M1234" t="inlineStr">
        <is>
          <t>Pre3/3mm_I-3, iDose (3)</t>
        </is>
      </c>
    </row>
    <row r="1235">
      <c r="A1235" s="2" t="n">
        <v>9797377</v>
      </c>
      <c r="B1235" s="2" t="inlineStr">
        <is>
          <t>69</t>
        </is>
      </c>
      <c r="C1235" s="2" t="inlineStr">
        <is>
          <t>M</t>
        </is>
      </c>
      <c r="D1235" s="2" t="inlineStr">
        <is>
          <t>100.0</t>
        </is>
      </c>
      <c r="E1235" s="4">
        <f>HYPERLINK("./Results/DLO\2949\Osteo_Sarco_1.png","RPT")</f>
        <v/>
      </c>
      <c r="F1235" s="2" t="n">
        <v>156</v>
      </c>
      <c r="G1235" s="6" t="n">
        <v>19</v>
      </c>
      <c r="H1235" t="n">
        <v>32.29</v>
      </c>
      <c r="L1235" t="inlineStr">
        <is>
          <t>SOMATOM Definition...</t>
        </is>
      </c>
      <c r="M1235" t="inlineStr">
        <is>
          <t>Pre 3mm</t>
        </is>
      </c>
    </row>
    <row r="1236">
      <c r="A1236" s="2" t="n">
        <v>4222906</v>
      </c>
      <c r="B1236" s="2" t="inlineStr">
        <is>
          <t>54</t>
        </is>
      </c>
      <c r="C1236" s="2" t="inlineStr">
        <is>
          <t>F</t>
        </is>
      </c>
      <c r="D1236" s="2" t="inlineStr">
        <is>
          <t>120.0</t>
        </is>
      </c>
      <c r="E1236" s="4">
        <f>HYPERLINK("./Results/DLO\295\Osteo_Sarco_1.png","RPT")</f>
        <v/>
      </c>
      <c r="F1236" s="2" t="n">
        <v>89</v>
      </c>
      <c r="G1236" s="6" t="n">
        <v>13</v>
      </c>
      <c r="I1236" s="0" t="n"/>
      <c r="J1236" s="0" t="n"/>
      <c r="K1236" s="0" t="n"/>
      <c r="L1236" t="inlineStr">
        <is>
          <t>Discovery CT750 HD</t>
        </is>
      </c>
      <c r="M1236" t="inlineStr">
        <is>
          <t>HVP 3mm</t>
        </is>
      </c>
    </row>
    <row r="1237">
      <c r="A1237" s="2" t="n">
        <v>9798377</v>
      </c>
      <c r="B1237" s="2" t="inlineStr">
        <is>
          <t>74</t>
        </is>
      </c>
      <c r="C1237" s="2" t="inlineStr">
        <is>
          <t>M</t>
        </is>
      </c>
      <c r="D1237" s="2" t="inlineStr">
        <is>
          <t>120.0</t>
        </is>
      </c>
      <c r="E1237" s="4">
        <f>HYPERLINK("./Results/DLO\2950\Osteo_Sarco_1.png","RPT")</f>
        <v/>
      </c>
      <c r="F1237" s="2" t="n">
        <v>137</v>
      </c>
      <c r="G1237" s="6" t="n">
        <v>7</v>
      </c>
      <c r="I1237" s="0" t="n"/>
      <c r="J1237" s="0" t="n"/>
      <c r="K1237" s="0" t="n"/>
      <c r="L1237" t="inlineStr">
        <is>
          <t>LightSpeed VCT</t>
        </is>
      </c>
      <c r="M1237" t="inlineStr">
        <is>
          <t>ABD pre contrast</t>
        </is>
      </c>
    </row>
    <row r="1238">
      <c r="A1238" s="2" t="n">
        <v>9799336</v>
      </c>
      <c r="B1238" s="2" t="inlineStr">
        <is>
          <t>57</t>
        </is>
      </c>
      <c r="C1238" s="2" t="inlineStr">
        <is>
          <t>M</t>
        </is>
      </c>
      <c r="D1238" s="2" t="inlineStr">
        <is>
          <t>100.0</t>
        </is>
      </c>
      <c r="E1238" s="4">
        <f>HYPERLINK("./Results/DLO\2951\Osteo_Sarco_1.png","RPT")</f>
        <v/>
      </c>
      <c r="F1238" s="2" t="n">
        <v>192</v>
      </c>
      <c r="G1238" s="6" t="n">
        <v>17</v>
      </c>
      <c r="I1238" s="0" t="n"/>
      <c r="J1238" s="0" t="n"/>
      <c r="K1238" s="0" t="n"/>
      <c r="L1238" t="inlineStr">
        <is>
          <t>SOMATOM Definition...</t>
        </is>
      </c>
      <c r="M1238" t="inlineStr">
        <is>
          <t>Pre 3.0 I40f 2</t>
        </is>
      </c>
    </row>
    <row r="1239">
      <c r="A1239" s="2" t="n">
        <v>9799847</v>
      </c>
      <c r="B1239" s="2" t="inlineStr">
        <is>
          <t>62</t>
        </is>
      </c>
      <c r="C1239" s="2" t="inlineStr">
        <is>
          <t>M</t>
        </is>
      </c>
      <c r="D1239" s="2" t="inlineStr">
        <is>
          <t>130.0</t>
        </is>
      </c>
      <c r="E1239" s="4">
        <f>HYPERLINK("./Results/DLO\2953\Osteo_Sarco_1.png","RPT")</f>
        <v/>
      </c>
      <c r="F1239" s="2" t="n">
        <v>153</v>
      </c>
      <c r="G1239" s="6" t="n">
        <v>7</v>
      </c>
      <c r="I1239" s="0" t="n"/>
      <c r="J1239" s="0" t="n"/>
      <c r="K1239" s="0" t="n"/>
      <c r="L1239" t="inlineStr">
        <is>
          <t>Emotion 16</t>
        </is>
      </c>
      <c r="M1239" t="inlineStr">
        <is>
          <t>Delay 10min 5.0 B40s</t>
        </is>
      </c>
    </row>
    <row r="1240">
      <c r="A1240" s="2" t="n">
        <v>9799504</v>
      </c>
      <c r="B1240" s="2" t="inlineStr">
        <is>
          <t>41</t>
        </is>
      </c>
      <c r="C1240" s="2" t="inlineStr">
        <is>
          <t>F</t>
        </is>
      </c>
      <c r="D1240" s="2" t="inlineStr">
        <is>
          <t>100.0</t>
        </is>
      </c>
      <c r="E1240" s="4">
        <f>HYPERLINK("./Results/DLO\2954\Osteo_Sarco_1.png","RPT")</f>
        <v/>
      </c>
      <c r="F1240" s="2" t="n">
        <v>136</v>
      </c>
      <c r="G1240" s="6" t="n">
        <v>8</v>
      </c>
      <c r="I1240" s="0" t="n"/>
      <c r="J1240" s="0" t="n"/>
      <c r="K1240" s="0" t="n"/>
      <c r="L1240" t="inlineStr">
        <is>
          <t>SOMATOM Definition...</t>
        </is>
      </c>
      <c r="M1240" t="inlineStr">
        <is>
          <t>Pre(Abd) 3mm</t>
        </is>
      </c>
    </row>
    <row r="1241">
      <c r="A1241" s="2" t="n">
        <v>9799998</v>
      </c>
      <c r="B1241" s="2" t="inlineStr">
        <is>
          <t>67</t>
        </is>
      </c>
      <c r="C1241" s="2" t="inlineStr">
        <is>
          <t>M</t>
        </is>
      </c>
      <c r="D1241" s="2" t="inlineStr">
        <is>
          <t>100.0</t>
        </is>
      </c>
      <c r="E1241" s="4">
        <f>HYPERLINK("./Results/DLO\2955\Osteo_Sarco_1.png","RPT")</f>
        <v/>
      </c>
      <c r="F1241" s="2" t="n">
        <v>132</v>
      </c>
      <c r="G1241" s="6" t="n">
        <v>11</v>
      </c>
      <c r="H1241" t="n">
        <v>21.83</v>
      </c>
      <c r="L1241" t="inlineStr">
        <is>
          <t>Revolution CT</t>
        </is>
      </c>
      <c r="M1241" t="inlineStr">
        <is>
          <t>Pre Axial 3mm</t>
        </is>
      </c>
    </row>
    <row r="1242">
      <c r="A1242" s="2" t="n">
        <v>9799315</v>
      </c>
      <c r="B1242" s="2" t="inlineStr">
        <is>
          <t>67</t>
        </is>
      </c>
      <c r="C1242" s="2" t="inlineStr">
        <is>
          <t>F</t>
        </is>
      </c>
      <c r="D1242" s="2" t="inlineStr">
        <is>
          <t>120.0</t>
        </is>
      </c>
      <c r="E1242" s="4">
        <f>HYPERLINK("./Results/DLO\2956\Osteo_Sarco_1.png","RPT")</f>
        <v/>
      </c>
      <c r="F1242" s="2" t="n">
        <v>90</v>
      </c>
      <c r="G1242" s="6" t="n">
        <v>20</v>
      </c>
      <c r="I1242" s="0" t="n"/>
      <c r="J1242" s="0" t="n"/>
      <c r="K1242" s="0" t="n"/>
      <c r="L1242" t="inlineStr">
        <is>
          <t>Aquilion</t>
        </is>
      </c>
      <c r="M1242" t="inlineStr">
        <is>
          <t>Body 3.0</t>
        </is>
      </c>
    </row>
    <row r="1243">
      <c r="A1243" s="2" t="n">
        <v>9799734</v>
      </c>
      <c r="B1243" s="2" t="inlineStr">
        <is>
          <t>66</t>
        </is>
      </c>
      <c r="C1243" s="2" t="inlineStr">
        <is>
          <t>M</t>
        </is>
      </c>
      <c r="D1243" s="2" t="inlineStr">
        <is>
          <t>100.0</t>
        </is>
      </c>
      <c r="E1243" s="4">
        <f>HYPERLINK("./Results/DLO\2957\Osteo_Sarco_1.png","RPT")</f>
        <v/>
      </c>
      <c r="F1243" s="2" t="n">
        <v>112</v>
      </c>
      <c r="G1243" s="6" t="n">
        <v>7</v>
      </c>
      <c r="I1243" s="0" t="n"/>
      <c r="J1243" s="0" t="n"/>
      <c r="K1243" s="0" t="n"/>
      <c r="L1243" t="inlineStr">
        <is>
          <t>Revolution CT</t>
        </is>
      </c>
      <c r="M1243" t="inlineStr">
        <is>
          <t>Pre 3mm pacs</t>
        </is>
      </c>
    </row>
    <row r="1244">
      <c r="A1244" s="2" t="n">
        <v>9802034</v>
      </c>
      <c r="B1244" s="2" t="inlineStr">
        <is>
          <t>68</t>
        </is>
      </c>
      <c r="C1244" s="2" t="inlineStr">
        <is>
          <t>M</t>
        </is>
      </c>
      <c r="D1244" s="2" t="inlineStr">
        <is>
          <t>120.0</t>
        </is>
      </c>
      <c r="E1244" s="4">
        <f>HYPERLINK("./Results/DLO\2958\Osteo_Sarco_1.png","RPT")</f>
        <v/>
      </c>
      <c r="F1244" s="2" t="n">
        <v>143</v>
      </c>
      <c r="G1244" s="6" t="n">
        <v>8</v>
      </c>
      <c r="H1244" t="n">
        <v>23.05</v>
      </c>
      <c r="L1244" t="inlineStr">
        <is>
          <t>LightSpeed16</t>
        </is>
      </c>
      <c r="M1244" t="inlineStr">
        <is>
          <t>pre</t>
        </is>
      </c>
    </row>
    <row r="1245">
      <c r="A1245" s="2" t="n">
        <v>9802781</v>
      </c>
      <c r="B1245" s="2" t="inlineStr">
        <is>
          <t>42</t>
        </is>
      </c>
      <c r="C1245" s="2" t="inlineStr">
        <is>
          <t>F</t>
        </is>
      </c>
      <c r="D1245" s="2" t="inlineStr">
        <is>
          <t>100.0</t>
        </is>
      </c>
      <c r="E1245" s="4">
        <f>HYPERLINK("./Results/DLO\2959\Osteo_Sarco_1.png","RPT")</f>
        <v/>
      </c>
      <c r="F1245" s="2" t="n">
        <v>90</v>
      </c>
      <c r="G1245" s="6" t="n">
        <v>6</v>
      </c>
      <c r="I1245" s="0" t="n"/>
      <c r="J1245" s="0" t="n"/>
      <c r="K1245" s="0" t="n"/>
      <c r="L1245" t="inlineStr">
        <is>
          <t>SOMATOM Definition...</t>
        </is>
      </c>
      <c r="M1245" t="inlineStr">
        <is>
          <t>LAP 2 3mm(46kg/92ml/2.5cc/h...</t>
        </is>
      </c>
    </row>
    <row r="1246">
      <c r="A1246" s="2" t="n">
        <v>3561878</v>
      </c>
      <c r="B1246" s="2" t="inlineStr">
        <is>
          <t>58</t>
        </is>
      </c>
      <c r="C1246" s="2" t="inlineStr">
        <is>
          <t>F</t>
        </is>
      </c>
      <c r="D1246" s="2" t="inlineStr">
        <is>
          <t>100.0</t>
        </is>
      </c>
      <c r="E1246" s="4">
        <f>HYPERLINK("./Results/DLO\296\Osteo_Sarco_1.png","RPT")</f>
        <v/>
      </c>
      <c r="F1246" s="2" t="n">
        <v>106</v>
      </c>
      <c r="G1246" s="6" t="n">
        <v>6</v>
      </c>
      <c r="I1246" s="0" t="n"/>
      <c r="J1246" s="0" t="n"/>
      <c r="K1246" s="0" t="n"/>
      <c r="L1246" t="inlineStr">
        <is>
          <t>SOMATOM Force</t>
        </is>
      </c>
      <c r="M1246" t="inlineStr">
        <is>
          <t>HVP 3.0 Br40 2 (5ikg/102cc...</t>
        </is>
      </c>
    </row>
    <row r="1247">
      <c r="A1247" s="2" t="n">
        <v>9803316</v>
      </c>
      <c r="B1247" s="2" t="inlineStr">
        <is>
          <t>55</t>
        </is>
      </c>
      <c r="C1247" s="2" t="inlineStr">
        <is>
          <t>M</t>
        </is>
      </c>
      <c r="D1247" s="2" t="inlineStr">
        <is>
          <t>100.0</t>
        </is>
      </c>
      <c r="E1247" s="4">
        <f>HYPERLINK("./Results/DLO\2960\Osteo_Sarco_1.png","RPT")</f>
        <v/>
      </c>
      <c r="F1247" s="2" t="n">
        <v>182</v>
      </c>
      <c r="G1247" s="6" t="n">
        <v>9</v>
      </c>
      <c r="I1247" s="0" t="n"/>
      <c r="J1247" s="0" t="n"/>
      <c r="K1247" s="0" t="n"/>
      <c r="L1247" t="inlineStr">
        <is>
          <t>LightSpeed VCT</t>
        </is>
      </c>
      <c r="M1247" t="inlineStr">
        <is>
          <t>PRE 3mm</t>
        </is>
      </c>
    </row>
    <row r="1248">
      <c r="A1248" s="2" t="n">
        <v>9803906</v>
      </c>
      <c r="B1248" s="2" t="inlineStr">
        <is>
          <t>49</t>
        </is>
      </c>
      <c r="C1248" s="2" t="inlineStr">
        <is>
          <t>F</t>
        </is>
      </c>
      <c r="D1248" s="2" t="inlineStr">
        <is>
          <t>120.0</t>
        </is>
      </c>
      <c r="E1248" s="4">
        <f>HYPERLINK("./Results/DLO\2961\Osteo_Sarco_1.png","RPT")</f>
        <v/>
      </c>
      <c r="F1248" s="2" t="n">
        <v>92</v>
      </c>
      <c r="G1248" s="6" t="n">
        <v>9</v>
      </c>
      <c r="H1248" t="n">
        <v>22.42</v>
      </c>
      <c r="L1248" t="inlineStr">
        <is>
          <t>LightSpeed VCT</t>
        </is>
      </c>
      <c r="M1248" t="inlineStr">
        <is>
          <t>P AXI 3MM</t>
        </is>
      </c>
    </row>
    <row r="1249">
      <c r="A1249" s="2" t="n">
        <v>9803779</v>
      </c>
      <c r="B1249" s="2" t="inlineStr">
        <is>
          <t>51</t>
        </is>
      </c>
      <c r="C1249" s="2" t="inlineStr">
        <is>
          <t>M</t>
        </is>
      </c>
      <c r="D1249" s="2" t="inlineStr">
        <is>
          <t>120.0</t>
        </is>
      </c>
      <c r="E1249" s="4">
        <f>HYPERLINK("./Results/DLO\2962\Osteo_Sarco_1.png","RPT")</f>
        <v/>
      </c>
      <c r="F1249" s="2" t="n">
        <v>166</v>
      </c>
      <c r="G1249" s="6" t="n">
        <v>9</v>
      </c>
      <c r="I1249" s="0" t="n"/>
      <c r="J1249" s="0" t="n"/>
      <c r="K1249" s="0" t="n"/>
      <c r="L1249" t="inlineStr">
        <is>
          <t>Brilliance 64</t>
        </is>
      </c>
      <c r="M1249" t="inlineStr">
        <is>
          <t>PRE</t>
        </is>
      </c>
    </row>
    <row r="1250">
      <c r="A1250" s="2" t="n">
        <v>9803928</v>
      </c>
      <c r="B1250" s="2" t="inlineStr">
        <is>
          <t>42</t>
        </is>
      </c>
      <c r="C1250" s="2" t="inlineStr">
        <is>
          <t>M</t>
        </is>
      </c>
      <c r="D1250" s="2" t="inlineStr">
        <is>
          <t>100.0</t>
        </is>
      </c>
      <c r="E1250" s="4">
        <f>HYPERLINK("./Results/DLO\2963\Osteo_Sarco_1.png","RPT")</f>
        <v/>
      </c>
      <c r="F1250" s="2" t="n">
        <v>144</v>
      </c>
      <c r="G1250" s="6" t="n">
        <v>6</v>
      </c>
      <c r="I1250" s="0" t="n"/>
      <c r="J1250" s="0" t="n"/>
      <c r="K1250" s="0" t="n"/>
      <c r="L1250" t="inlineStr">
        <is>
          <t>iCT 256</t>
        </is>
      </c>
      <c r="M1250" t="inlineStr">
        <is>
          <t>Pre 3/3mm, iDose (3)</t>
        </is>
      </c>
    </row>
    <row r="1251">
      <c r="A1251" s="2" t="n">
        <v>9804671</v>
      </c>
      <c r="B1251" s="2" t="inlineStr">
        <is>
          <t>57</t>
        </is>
      </c>
      <c r="C1251" s="2" t="inlineStr">
        <is>
          <t>M</t>
        </is>
      </c>
      <c r="D1251" s="2" t="inlineStr">
        <is>
          <t>100.0</t>
        </is>
      </c>
      <c r="E1251" s="4">
        <f>HYPERLINK("./Results/DLO\2964\Osteo_Sarco_1.png","RPT")</f>
        <v/>
      </c>
      <c r="F1251" s="2" t="n">
        <v>140</v>
      </c>
      <c r="G1251" s="6" t="n">
        <v>9</v>
      </c>
      <c r="I1251" s="0" t="n"/>
      <c r="J1251" s="0" t="n"/>
      <c r="K1251" s="0" t="n"/>
      <c r="L1251" t="inlineStr">
        <is>
          <t>SOMATOM Definition...</t>
        </is>
      </c>
      <c r="M1251" t="inlineStr">
        <is>
          <t>Pre 3mm</t>
        </is>
      </c>
    </row>
    <row r="1252">
      <c r="A1252" s="2" t="n">
        <v>9805927</v>
      </c>
      <c r="B1252" s="2" t="inlineStr">
        <is>
          <t>60</t>
        </is>
      </c>
      <c r="C1252" s="2" t="inlineStr">
        <is>
          <t>M</t>
        </is>
      </c>
      <c r="D1252" s="2" t="inlineStr">
        <is>
          <t>100.0</t>
        </is>
      </c>
      <c r="E1252" s="4">
        <f>HYPERLINK("./Results/DLO\2965\Osteo_Sarco_1.png","RPT")</f>
        <v/>
      </c>
      <c r="F1252" s="2" t="n">
        <v>149</v>
      </c>
      <c r="G1252" s="6" t="n">
        <v>9</v>
      </c>
      <c r="I1252" s="0" t="n"/>
      <c r="J1252" s="0" t="n"/>
      <c r="K1252" s="0" t="n"/>
      <c r="L1252" t="inlineStr">
        <is>
          <t>SOMATOM Force</t>
        </is>
      </c>
      <c r="M1252" t="inlineStr">
        <is>
          <t>LAP 3.0 (70kg/140cc/3cc/hexol)</t>
        </is>
      </c>
    </row>
    <row r="1253">
      <c r="A1253" s="2" t="n">
        <v>9806141</v>
      </c>
      <c r="B1253" s="2" t="inlineStr">
        <is>
          <t>63</t>
        </is>
      </c>
      <c r="C1253" s="2" t="inlineStr">
        <is>
          <t>F</t>
        </is>
      </c>
      <c r="D1253" s="2" t="inlineStr">
        <is>
          <t>100.0</t>
        </is>
      </c>
      <c r="E1253" s="4">
        <f>HYPERLINK("./Results/DLO\2966\Osteo_Sarco_1.png","RPT")</f>
        <v/>
      </c>
      <c r="F1253" s="2" t="n">
        <v>135</v>
      </c>
      <c r="G1253" s="6" t="n">
        <v>24</v>
      </c>
      <c r="H1253" t="n">
        <v>31.19</v>
      </c>
      <c r="L1253" t="inlineStr">
        <is>
          <t>iCT 256</t>
        </is>
      </c>
      <c r="M1253" t="inlineStr">
        <is>
          <t>LAP 3/3mm Full, iDose (3)</t>
        </is>
      </c>
    </row>
    <row r="1254">
      <c r="A1254" s="2" t="n">
        <v>9807298</v>
      </c>
      <c r="B1254" s="2" t="inlineStr">
        <is>
          <t>65</t>
        </is>
      </c>
      <c r="C1254" s="2" t="inlineStr">
        <is>
          <t>M</t>
        </is>
      </c>
      <c r="D1254" s="2" t="inlineStr">
        <is>
          <t>100.0</t>
        </is>
      </c>
      <c r="E1254" s="4">
        <f>HYPERLINK("./Results/DLO\2967\Osteo_Sarco_1.png","RPT")</f>
        <v/>
      </c>
      <c r="F1254" s="2" t="n">
        <v>131</v>
      </c>
      <c r="G1254" s="6" t="n">
        <v>6</v>
      </c>
      <c r="I1254" s="0" t="n"/>
      <c r="J1254" s="0" t="n"/>
      <c r="K1254" s="0" t="n"/>
      <c r="L1254" t="inlineStr">
        <is>
          <t>SOMATOM go.Top</t>
        </is>
      </c>
      <c r="M1254" t="inlineStr">
        <is>
          <t>PORTAL PHASE 3.00 BR40 S2</t>
        </is>
      </c>
    </row>
    <row r="1255">
      <c r="A1255" s="2" t="n">
        <v>9807378</v>
      </c>
      <c r="B1255" s="2" t="inlineStr">
        <is>
          <t>0</t>
        </is>
      </c>
      <c r="C1255" s="2" t="inlineStr">
        <is>
          <t>F</t>
        </is>
      </c>
      <c r="D1255" s="2" t="inlineStr">
        <is>
          <t>120.0</t>
        </is>
      </c>
      <c r="E1255" s="4">
        <f>HYPERLINK("./Results/DLO\2968\Osteo_Sarco_1.png","RPT")</f>
        <v/>
      </c>
      <c r="F1255" s="2" t="n">
        <v>91</v>
      </c>
      <c r="G1255" s="6" t="n">
        <v>8</v>
      </c>
      <c r="I1255" s="0" t="n"/>
      <c r="J1255" s="0" t="n"/>
      <c r="K1255" s="0" t="n"/>
      <c r="L1255" t="inlineStr">
        <is>
          <t>Aquilion</t>
        </is>
      </c>
      <c r="M1255" t="inlineStr">
        <is>
          <t>Body 3.0</t>
        </is>
      </c>
    </row>
    <row r="1256">
      <c r="A1256" s="2" t="n">
        <v>9806820</v>
      </c>
      <c r="B1256" s="2" t="inlineStr">
        <is>
          <t>23</t>
        </is>
      </c>
      <c r="C1256" s="2" t="inlineStr">
        <is>
          <t>M</t>
        </is>
      </c>
      <c r="D1256" s="2" t="inlineStr">
        <is>
          <t>100.0</t>
        </is>
      </c>
      <c r="E1256" s="4">
        <f>HYPERLINK("./Results/DLO\2969\Osteo_Sarco_1.png","RPT")</f>
        <v/>
      </c>
      <c r="F1256" s="2" t="n">
        <v>154</v>
      </c>
      <c r="G1256" s="6" t="n">
        <v>18</v>
      </c>
      <c r="I1256" s="0" t="n"/>
      <c r="J1256" s="0" t="n"/>
      <c r="K1256" s="0" t="n"/>
      <c r="L1256" t="inlineStr">
        <is>
          <t>SOMATOM Definition...</t>
        </is>
      </c>
      <c r="M1256" t="inlineStr">
        <is>
          <t>Pre 3mm</t>
        </is>
      </c>
    </row>
    <row r="1257">
      <c r="A1257" s="2" t="n">
        <v>1037167</v>
      </c>
      <c r="B1257" s="2" t="inlineStr">
        <is>
          <t>65</t>
        </is>
      </c>
      <c r="C1257" s="2" t="inlineStr">
        <is>
          <t>M</t>
        </is>
      </c>
      <c r="D1257" s="2" t="inlineStr">
        <is>
          <t>100.0</t>
        </is>
      </c>
      <c r="E1257" s="4">
        <f>HYPERLINK("./Results/DLO\297\Osteo_Sarco_1.png","RPT")</f>
        <v/>
      </c>
      <c r="F1257" s="2" t="n">
        <v>137</v>
      </c>
      <c r="G1257" s="6" t="n">
        <v>7</v>
      </c>
      <c r="I1257" s="0" t="n"/>
      <c r="J1257" s="0" t="n"/>
      <c r="K1257" s="0" t="n"/>
      <c r="L1257" t="inlineStr">
        <is>
          <t>LightSpeed VCT</t>
        </is>
      </c>
      <c r="M1257" t="inlineStr">
        <is>
          <t>PRE 3mm axial</t>
        </is>
      </c>
    </row>
    <row r="1258">
      <c r="A1258" s="2" t="n">
        <v>9807213</v>
      </c>
      <c r="B1258" s="2" t="inlineStr">
        <is>
          <t>40</t>
        </is>
      </c>
      <c r="C1258" s="2" t="inlineStr">
        <is>
          <t>M</t>
        </is>
      </c>
      <c r="D1258" s="2" t="inlineStr">
        <is>
          <t>120.0</t>
        </is>
      </c>
      <c r="E1258" s="4">
        <f>HYPERLINK("./Results/DLO\2970\Osteo_Sarco_1.png","RPT")</f>
        <v/>
      </c>
      <c r="F1258" s="2" t="n">
        <v>121</v>
      </c>
      <c r="G1258" s="6" t="n">
        <v>5</v>
      </c>
      <c r="I1258" s="0" t="n"/>
      <c r="J1258" s="0" t="n"/>
      <c r="K1258" s="0" t="n"/>
      <c r="L1258" t="inlineStr">
        <is>
          <t>iCT SP</t>
        </is>
      </c>
      <c r="M1258" t="inlineStr">
        <is>
          <t>Pre, iDose (1)</t>
        </is>
      </c>
    </row>
    <row r="1259">
      <c r="A1259" s="2" t="n">
        <v>9807980</v>
      </c>
      <c r="B1259" s="2" t="inlineStr">
        <is>
          <t>61</t>
        </is>
      </c>
      <c r="C1259" s="2" t="inlineStr">
        <is>
          <t>M</t>
        </is>
      </c>
      <c r="D1259" s="2" t="inlineStr">
        <is>
          <t>90.0</t>
        </is>
      </c>
      <c r="E1259" s="4">
        <f>HYPERLINK("./Results/DLO\2971\Osteo_Sarco_1.png","RPT")</f>
        <v/>
      </c>
      <c r="F1259" s="2" t="n">
        <v>135</v>
      </c>
      <c r="G1259" s="6" t="n">
        <v>12</v>
      </c>
      <c r="I1259" s="0" t="n"/>
      <c r="J1259" s="0" t="n"/>
      <c r="K1259" s="0" t="n"/>
      <c r="L1259" t="inlineStr">
        <is>
          <t>SOMATOM Force</t>
        </is>
      </c>
      <c r="M1259" t="inlineStr">
        <is>
          <t>Pre 3.0 Br32</t>
        </is>
      </c>
    </row>
    <row r="1260">
      <c r="A1260" s="2" t="n">
        <v>9807983</v>
      </c>
      <c r="B1260" s="2" t="inlineStr">
        <is>
          <t>61</t>
        </is>
      </c>
      <c r="C1260" s="2" t="inlineStr">
        <is>
          <t>F</t>
        </is>
      </c>
      <c r="D1260" s="2" t="inlineStr">
        <is>
          <t>100.0</t>
        </is>
      </c>
      <c r="E1260" s="4">
        <f>HYPERLINK("./Results/DLO\2972\Osteo_Sarco_1.png","RPT")</f>
        <v/>
      </c>
      <c r="F1260" s="2" t="n">
        <v>104</v>
      </c>
      <c r="G1260" s="6" t="n">
        <v>16</v>
      </c>
      <c r="H1260" t="n">
        <v>28.72</v>
      </c>
      <c r="L1260" t="inlineStr">
        <is>
          <t>SOMATOM Definition...</t>
        </is>
      </c>
      <c r="M1260" t="inlineStr">
        <is>
          <t>Pre(Abd) 3mm</t>
        </is>
      </c>
    </row>
    <row r="1261">
      <c r="A1261" s="2" t="n">
        <v>9809675</v>
      </c>
      <c r="B1261" s="2" t="inlineStr">
        <is>
          <t>52</t>
        </is>
      </c>
      <c r="C1261" s="2" t="inlineStr">
        <is>
          <t>M</t>
        </is>
      </c>
      <c r="D1261" s="2" t="inlineStr">
        <is>
          <t>100.0</t>
        </is>
      </c>
      <c r="E1261" s="4">
        <f>HYPERLINK("./Results/DLO\2973\Osteo_Sarco_1.png","RPT")</f>
        <v/>
      </c>
      <c r="F1261" s="2" t="n">
        <v>193</v>
      </c>
      <c r="G1261" s="6" t="n">
        <v>12</v>
      </c>
      <c r="I1261" s="0" t="n"/>
      <c r="J1261" s="0" t="n"/>
      <c r="K1261" s="0" t="n"/>
      <c r="L1261" t="inlineStr">
        <is>
          <t>Revolution CT</t>
        </is>
      </c>
      <c r="M1261" t="inlineStr">
        <is>
          <t>Pre 3mm pacs</t>
        </is>
      </c>
    </row>
    <row r="1262">
      <c r="A1262" s="2" t="n">
        <v>9810302</v>
      </c>
      <c r="B1262" s="2" t="inlineStr">
        <is>
          <t>72</t>
        </is>
      </c>
      <c r="C1262" s="2" t="inlineStr">
        <is>
          <t>F</t>
        </is>
      </c>
      <c r="D1262" s="2" t="inlineStr">
        <is>
          <t>120.0</t>
        </is>
      </c>
      <c r="E1262" s="4">
        <f>HYPERLINK("./Results/DLO\2975\Osteo_Sarco_1.png","RPT")</f>
        <v/>
      </c>
      <c r="F1262" s="2" t="n">
        <v>124</v>
      </c>
      <c r="G1262" s="6" t="n">
        <v>8</v>
      </c>
      <c r="H1262" t="n">
        <v>26.58</v>
      </c>
      <c r="L1262" t="inlineStr">
        <is>
          <t>SOMATOM Definition...</t>
        </is>
      </c>
      <c r="M1262" t="inlineStr">
        <is>
          <t>Artery 3.0 I40f 3</t>
        </is>
      </c>
    </row>
    <row r="1263">
      <c r="A1263" s="2" t="n">
        <v>9809862</v>
      </c>
      <c r="B1263" s="2" t="inlineStr">
        <is>
          <t>37</t>
        </is>
      </c>
      <c r="C1263" s="2" t="inlineStr">
        <is>
          <t>F</t>
        </is>
      </c>
      <c r="D1263" s="2" t="inlineStr">
        <is>
          <t>100.0</t>
        </is>
      </c>
      <c r="E1263" s="4">
        <f>HYPERLINK("./Results/DLO\2976\Osteo_Sarco_1.png","RPT")</f>
        <v/>
      </c>
      <c r="F1263" s="2" t="n">
        <v>118</v>
      </c>
      <c r="G1263" s="6" t="n">
        <v>8</v>
      </c>
      <c r="I1263" s="0" t="n"/>
      <c r="J1263" s="0" t="n"/>
      <c r="K1263" s="0" t="n"/>
      <c r="L1263" t="inlineStr">
        <is>
          <t>SOMATOM Definition...</t>
        </is>
      </c>
      <c r="M1263" t="inlineStr">
        <is>
          <t>PRE 3mm</t>
        </is>
      </c>
    </row>
    <row r="1264">
      <c r="A1264" s="2" t="n">
        <v>9809556</v>
      </c>
      <c r="B1264" s="2" t="inlineStr">
        <is>
          <t>39</t>
        </is>
      </c>
      <c r="C1264" s="2" t="inlineStr">
        <is>
          <t>M</t>
        </is>
      </c>
      <c r="D1264" s="2" t="inlineStr">
        <is>
          <t>100.0</t>
        </is>
      </c>
      <c r="E1264" s="4">
        <f>HYPERLINK("./Results/DLO\2977\Osteo_Sarco_1.png","RPT")</f>
        <v/>
      </c>
      <c r="F1264" s="2" t="n">
        <v>206</v>
      </c>
      <c r="G1264" s="6" t="n">
        <v>11</v>
      </c>
      <c r="I1264" s="0" t="n"/>
      <c r="J1264" s="0" t="n"/>
      <c r="K1264" s="0" t="n"/>
      <c r="L1264" t="inlineStr">
        <is>
          <t>SOMATOM Definition...</t>
        </is>
      </c>
      <c r="M1264" t="inlineStr">
        <is>
          <t>Artery 5.0 Br38</t>
        </is>
      </c>
    </row>
    <row r="1265">
      <c r="A1265" s="2" t="n">
        <v>9810205</v>
      </c>
      <c r="B1265" s="2" t="inlineStr">
        <is>
          <t>63</t>
        </is>
      </c>
      <c r="C1265" s="2" t="inlineStr">
        <is>
          <t>M</t>
        </is>
      </c>
      <c r="D1265" s="2" t="inlineStr">
        <is>
          <t>100.0</t>
        </is>
      </c>
      <c r="E1265" s="4">
        <f>HYPERLINK("./Results/DLO\2978\Osteo_Sarco_1.png","RPT")</f>
        <v/>
      </c>
      <c r="F1265" s="2" t="n">
        <v>163</v>
      </c>
      <c r="G1265" s="6" t="n">
        <v>9</v>
      </c>
      <c r="I1265" s="0" t="n"/>
      <c r="J1265" s="0" t="n"/>
      <c r="K1265" s="0" t="n"/>
      <c r="L1265" t="inlineStr">
        <is>
          <t>SOMATOM Definition...</t>
        </is>
      </c>
      <c r="M1265" t="inlineStr">
        <is>
          <t>Abd_Pre 5.0 I30f 2</t>
        </is>
      </c>
    </row>
    <row r="1266">
      <c r="A1266" s="2" t="n">
        <v>9812186</v>
      </c>
      <c r="B1266" s="2" t="inlineStr">
        <is>
          <t>68</t>
        </is>
      </c>
      <c r="C1266" s="2" t="inlineStr">
        <is>
          <t>M</t>
        </is>
      </c>
      <c r="D1266" s="2" t="inlineStr">
        <is>
          <t>120.0</t>
        </is>
      </c>
      <c r="E1266" s="4">
        <f>HYPERLINK("./Results/DLO\2979\Osteo_Sarco_1.png","RPT")</f>
        <v/>
      </c>
      <c r="F1266" s="2" t="n">
        <v>149</v>
      </c>
      <c r="G1266" s="6" t="n">
        <v>10</v>
      </c>
      <c r="I1266" s="0" t="n"/>
      <c r="J1266" s="0" t="n"/>
      <c r="K1266" s="0" t="n"/>
      <c r="L1266" t="inlineStr">
        <is>
          <t>Optima CT660</t>
        </is>
      </c>
      <c r="M1266" t="inlineStr">
        <is>
          <t>PRE</t>
        </is>
      </c>
    </row>
    <row r="1267">
      <c r="A1267" s="2" t="n">
        <v>1015069</v>
      </c>
      <c r="B1267" s="2" t="inlineStr">
        <is>
          <t>22</t>
        </is>
      </c>
      <c r="C1267" s="2" t="inlineStr">
        <is>
          <t>M</t>
        </is>
      </c>
      <c r="D1267" s="2" t="inlineStr">
        <is>
          <t>100.0</t>
        </is>
      </c>
      <c r="E1267" s="4">
        <f>HYPERLINK("./Results/DLO\298\Osteo_Sarco_1.png","RPT")</f>
        <v/>
      </c>
      <c r="F1267" s="2" t="n">
        <v>114</v>
      </c>
      <c r="G1267" s="6" t="n">
        <v>4</v>
      </c>
      <c r="I1267" s="0" t="n"/>
      <c r="J1267" s="0" t="n"/>
      <c r="K1267" s="0" t="n"/>
      <c r="L1267" t="inlineStr">
        <is>
          <t>Revolution CT</t>
        </is>
      </c>
      <c r="M1267" t="inlineStr">
        <is>
          <t>Pre Axial 3mm</t>
        </is>
      </c>
    </row>
    <row r="1268">
      <c r="A1268" s="2" t="n">
        <v>9813339</v>
      </c>
      <c r="B1268" s="2" t="inlineStr">
        <is>
          <t>49</t>
        </is>
      </c>
      <c r="C1268" s="2" t="inlineStr">
        <is>
          <t>F</t>
        </is>
      </c>
      <c r="D1268" s="2" t="inlineStr">
        <is>
          <t>100.0</t>
        </is>
      </c>
      <c r="E1268" s="4">
        <f>HYPERLINK("./Results/DLO\2980\Osteo_Sarco_1.png","RPT")</f>
        <v/>
      </c>
      <c r="F1268" s="2" t="n">
        <v>88</v>
      </c>
      <c r="G1268" s="6" t="n">
        <v>6</v>
      </c>
      <c r="I1268" s="0" t="n"/>
      <c r="J1268" s="0" t="n"/>
      <c r="K1268" s="0" t="n"/>
      <c r="L1268" t="inlineStr">
        <is>
          <t>LightSpeed VCT</t>
        </is>
      </c>
      <c r="M1268" t="inlineStr">
        <is>
          <t>PRE 2,5mm</t>
        </is>
      </c>
    </row>
    <row r="1269">
      <c r="A1269" s="2" t="n">
        <v>9815159</v>
      </c>
      <c r="B1269" s="2" t="inlineStr">
        <is>
          <t>79</t>
        </is>
      </c>
      <c r="C1269" s="2" t="inlineStr">
        <is>
          <t>F</t>
        </is>
      </c>
      <c r="D1269" s="2" t="inlineStr">
        <is>
          <t>100.0</t>
        </is>
      </c>
      <c r="E1269" s="4">
        <f>HYPERLINK("./Results/DLO\2981\Osteo_Sarco_1.png","RPT")</f>
        <v/>
      </c>
      <c r="F1269" s="2" t="n">
        <v>90</v>
      </c>
      <c r="G1269" s="6" t="n">
        <v>8</v>
      </c>
      <c r="H1269" t="n">
        <v>24.36</v>
      </c>
      <c r="L1269" t="inlineStr">
        <is>
          <t>LightSpeed VCT</t>
        </is>
      </c>
      <c r="M1269" t="inlineStr">
        <is>
          <t>PRE 2,5mm</t>
        </is>
      </c>
    </row>
    <row r="1270">
      <c r="A1270" s="2" t="n">
        <v>9815280</v>
      </c>
      <c r="B1270" s="2" t="inlineStr">
        <is>
          <t>62</t>
        </is>
      </c>
      <c r="C1270" s="2" t="inlineStr">
        <is>
          <t>M</t>
        </is>
      </c>
      <c r="D1270" s="2" t="inlineStr">
        <is>
          <t>120.0</t>
        </is>
      </c>
      <c r="E1270" s="4">
        <f>HYPERLINK("./Results/DLO\2982\Osteo_Sarco_1.png","RPT")</f>
        <v/>
      </c>
      <c r="F1270" s="2" t="n">
        <v>141</v>
      </c>
      <c r="G1270" s="6" t="n">
        <v>13</v>
      </c>
      <c r="I1270" s="0" t="n"/>
      <c r="J1270" s="0" t="n"/>
      <c r="K1270" s="0" t="n"/>
      <c r="L1270" t="inlineStr">
        <is>
          <t>LightSpeed VCT</t>
        </is>
      </c>
      <c r="M1270" t="inlineStr">
        <is>
          <t>LAP 18sec 3mm</t>
        </is>
      </c>
    </row>
    <row r="1271">
      <c r="A1271" s="2" t="n">
        <v>9815164</v>
      </c>
      <c r="B1271" s="2" t="inlineStr">
        <is>
          <t>64</t>
        </is>
      </c>
      <c r="C1271" s="2" t="inlineStr">
        <is>
          <t>F</t>
        </is>
      </c>
      <c r="D1271" s="2" t="inlineStr">
        <is>
          <t>120.0</t>
        </is>
      </c>
      <c r="E1271" s="4">
        <f>HYPERLINK("./Results/DLO\2983\Osteo_Sarco_1.png","RPT")</f>
        <v/>
      </c>
      <c r="F1271" s="2" t="n">
        <v>103</v>
      </c>
      <c r="G1271" s="6" t="n">
        <v>7</v>
      </c>
      <c r="H1271" t="n">
        <v>22.66</v>
      </c>
      <c r="L1271" t="inlineStr">
        <is>
          <t>Optima CT660</t>
        </is>
      </c>
      <c r="M1271" t="inlineStr">
        <is>
          <t>ABD 3mm</t>
        </is>
      </c>
    </row>
    <row r="1272">
      <c r="A1272" s="2" t="n">
        <v>9814547</v>
      </c>
      <c r="B1272" s="2" t="inlineStr">
        <is>
          <t>60</t>
        </is>
      </c>
      <c r="C1272" s="2" t="inlineStr">
        <is>
          <t>M</t>
        </is>
      </c>
      <c r="D1272" s="2" t="inlineStr">
        <is>
          <t>100.0</t>
        </is>
      </c>
      <c r="E1272" s="4">
        <f>HYPERLINK("./Results/DLO\2984\Osteo_Sarco_1.png","RPT")</f>
        <v/>
      </c>
      <c r="F1272" s="2" t="n">
        <v>123</v>
      </c>
      <c r="G1272" s="6" t="n">
        <v>5</v>
      </c>
      <c r="I1272" s="0" t="n"/>
      <c r="J1272" s="0" t="n"/>
      <c r="K1272" s="0" t="n"/>
      <c r="L1272" t="inlineStr">
        <is>
          <t>LightSpeed VCT</t>
        </is>
      </c>
      <c r="M1272" t="inlineStr">
        <is>
          <t>PRE</t>
        </is>
      </c>
    </row>
    <row r="1273">
      <c r="A1273" s="2" t="n">
        <v>9815811</v>
      </c>
      <c r="B1273" s="2" t="inlineStr">
        <is>
          <t>79</t>
        </is>
      </c>
      <c r="C1273" s="2" t="inlineStr">
        <is>
          <t>F</t>
        </is>
      </c>
      <c r="D1273" s="2" t="inlineStr">
        <is>
          <t>120.0</t>
        </is>
      </c>
      <c r="E1273" s="4">
        <f>HYPERLINK("./Results/DLO\2986\Osteo_Sarco_1.png","RPT")</f>
        <v/>
      </c>
      <c r="F1273" s="2" t="n">
        <v>108</v>
      </c>
      <c r="G1273" s="6" t="n">
        <v>24</v>
      </c>
      <c r="I1273" s="0" t="n"/>
      <c r="J1273" s="0" t="n"/>
      <c r="K1273" s="0" t="n"/>
      <c r="L1273" t="inlineStr">
        <is>
          <t>iCT 256</t>
        </is>
      </c>
      <c r="M1273" t="inlineStr">
        <is>
          <t>LAP 3/3mm, iDose (3)</t>
        </is>
      </c>
    </row>
    <row r="1274">
      <c r="A1274" s="2" t="n">
        <v>9815740</v>
      </c>
      <c r="B1274" s="2" t="inlineStr">
        <is>
          <t>32</t>
        </is>
      </c>
      <c r="C1274" s="2" t="inlineStr">
        <is>
          <t>F</t>
        </is>
      </c>
      <c r="D1274" s="2" t="inlineStr">
        <is>
          <t>120.0</t>
        </is>
      </c>
      <c r="E1274" s="4">
        <f>HYPERLINK("./Results/DLO\2987\Osteo_Sarco_1.png","RPT")</f>
        <v/>
      </c>
      <c r="F1274" s="2" t="n">
        <v>141</v>
      </c>
      <c r="G1274" s="6" t="n">
        <v>9</v>
      </c>
      <c r="I1274" s="0" t="n"/>
      <c r="J1274" s="0" t="n"/>
      <c r="K1274" s="0" t="n"/>
      <c r="L1274" t="inlineStr">
        <is>
          <t>Aquilion</t>
        </is>
      </c>
      <c r="M1274" t="inlineStr">
        <is>
          <t>15min delay/ 15min de</t>
        </is>
      </c>
    </row>
    <row r="1275">
      <c r="A1275" s="2" t="n">
        <v>9815700</v>
      </c>
      <c r="B1275" s="2" t="inlineStr">
        <is>
          <t>63</t>
        </is>
      </c>
      <c r="C1275" s="2" t="inlineStr">
        <is>
          <t>M</t>
        </is>
      </c>
      <c r="D1275" s="2" t="inlineStr">
        <is>
          <t>120.0</t>
        </is>
      </c>
      <c r="E1275" s="4">
        <f>HYPERLINK("./Results/DLO\2988\Osteo_Sarco_1.png","RPT")</f>
        <v/>
      </c>
      <c r="F1275" s="2" t="n">
        <v>146</v>
      </c>
      <c r="G1275" s="6" t="n">
        <v>8</v>
      </c>
      <c r="H1275" t="n">
        <v>20.44</v>
      </c>
      <c r="L1275" t="inlineStr">
        <is>
          <t>Revolution HD</t>
        </is>
      </c>
      <c r="M1275" t="inlineStr">
        <is>
          <t>AXL</t>
        </is>
      </c>
    </row>
    <row r="1276">
      <c r="A1276" s="2" t="n">
        <v>9816531</v>
      </c>
      <c r="B1276" s="2" t="inlineStr">
        <is>
          <t>56</t>
        </is>
      </c>
      <c r="C1276" s="2" t="inlineStr">
        <is>
          <t>M</t>
        </is>
      </c>
      <c r="D1276" s="2" t="inlineStr">
        <is>
          <t>120.0</t>
        </is>
      </c>
      <c r="E1276" s="4">
        <f>HYPERLINK("./Results/DLO\2989\Osteo_Sarco_1.png","RPT")</f>
        <v/>
      </c>
      <c r="F1276" s="2" t="n">
        <v>190</v>
      </c>
      <c r="G1276" s="6" t="n">
        <v>6</v>
      </c>
      <c r="I1276" s="0" t="n"/>
      <c r="J1276" s="0" t="n"/>
      <c r="K1276" s="0" t="n"/>
      <c r="L1276" t="inlineStr">
        <is>
          <t>Sensation 64</t>
        </is>
      </c>
      <c r="M1276" t="inlineStr">
        <is>
          <t>Portal Phase 3.0 B30f</t>
        </is>
      </c>
    </row>
    <row r="1277">
      <c r="A1277" s="2" t="n">
        <v>2250298</v>
      </c>
      <c r="B1277" s="2" t="inlineStr">
        <is>
          <t>53</t>
        </is>
      </c>
      <c r="C1277" s="2" t="inlineStr">
        <is>
          <t>M</t>
        </is>
      </c>
      <c r="D1277" s="2" t="inlineStr">
        <is>
          <t>120.0</t>
        </is>
      </c>
      <c r="E1277" s="4">
        <f>HYPERLINK("./Results/DLO\299\Osteo_Sarco_1.png","RPT")</f>
        <v/>
      </c>
      <c r="F1277" s="2" t="n">
        <v>154</v>
      </c>
      <c r="G1277" s="6" t="n">
        <v>9</v>
      </c>
      <c r="I1277" s="0" t="n"/>
      <c r="J1277" s="0" t="n"/>
      <c r="K1277" s="0" t="n"/>
      <c r="L1277" t="inlineStr">
        <is>
          <t>Discovery CT750 HD</t>
        </is>
      </c>
      <c r="M1277" t="inlineStr">
        <is>
          <t>LAP 3mm</t>
        </is>
      </c>
    </row>
    <row r="1278">
      <c r="A1278" s="2" t="n">
        <v>9818807</v>
      </c>
      <c r="B1278" s="2" t="inlineStr">
        <is>
          <t>58</t>
        </is>
      </c>
      <c r="C1278" s="2" t="inlineStr">
        <is>
          <t>F</t>
        </is>
      </c>
      <c r="D1278" s="2" t="inlineStr">
        <is>
          <t>100.0</t>
        </is>
      </c>
      <c r="E1278" s="4">
        <f>HYPERLINK("./Results/DLO\2990\Osteo_Sarco_1.png","RPT")</f>
        <v/>
      </c>
      <c r="F1278" s="2" t="n">
        <v>100</v>
      </c>
      <c r="G1278" s="6" t="n">
        <v>9</v>
      </c>
      <c r="I1278" s="0" t="n"/>
      <c r="J1278" s="0" t="n"/>
      <c r="K1278" s="0" t="n"/>
      <c r="L1278" t="inlineStr">
        <is>
          <t>SOMATOM Definition...</t>
        </is>
      </c>
      <c r="M1278" t="inlineStr">
        <is>
          <t>Pre(Abd) 3mm</t>
        </is>
      </c>
    </row>
    <row r="1279">
      <c r="A1279" s="2" t="n">
        <v>9819499</v>
      </c>
      <c r="B1279" s="2" t="inlineStr">
        <is>
          <t>57</t>
        </is>
      </c>
      <c r="C1279" s="2" t="inlineStr">
        <is>
          <t>M</t>
        </is>
      </c>
      <c r="D1279" s="2" t="inlineStr">
        <is>
          <t>100.0</t>
        </is>
      </c>
      <c r="E1279" s="4">
        <f>HYPERLINK("./Results/DLO\2991\Osteo_Sarco_1.png","RPT")</f>
        <v/>
      </c>
      <c r="F1279" s="2" t="n">
        <v>151</v>
      </c>
      <c r="G1279" s="6" t="n">
        <v>6</v>
      </c>
      <c r="I1279" s="0" t="n"/>
      <c r="J1279" s="0" t="n"/>
      <c r="K1279" s="0" t="n"/>
      <c r="L1279" t="inlineStr">
        <is>
          <t>Revolution CT</t>
        </is>
      </c>
      <c r="M1279" t="inlineStr">
        <is>
          <t>Pre Axial 3mm</t>
        </is>
      </c>
    </row>
    <row r="1280">
      <c r="A1280" s="2" t="n">
        <v>9820001</v>
      </c>
      <c r="B1280" s="2" t="inlineStr">
        <is>
          <t>54</t>
        </is>
      </c>
      <c r="C1280" s="2" t="inlineStr">
        <is>
          <t>M</t>
        </is>
      </c>
      <c r="D1280" s="2" t="inlineStr">
        <is>
          <t>100.0</t>
        </is>
      </c>
      <c r="E1280" s="4">
        <f>HYPERLINK("./Results/DLO\2993\Osteo_Sarco_1.png","RPT")</f>
        <v/>
      </c>
      <c r="F1280" s="2" t="n">
        <v>127</v>
      </c>
      <c r="G1280" s="6" t="n">
        <v>10</v>
      </c>
      <c r="I1280" s="0" t="n"/>
      <c r="J1280" s="0" t="n"/>
      <c r="K1280" s="0" t="n"/>
      <c r="L1280" t="inlineStr">
        <is>
          <t>Optima CT660</t>
        </is>
      </c>
      <c r="M1280" t="inlineStr">
        <is>
          <t>pre 3mm</t>
        </is>
      </c>
    </row>
    <row r="1281">
      <c r="A1281" s="2" t="n">
        <v>9821503</v>
      </c>
      <c r="B1281" s="2" t="inlineStr">
        <is>
          <t>65</t>
        </is>
      </c>
      <c r="C1281" s="2" t="inlineStr">
        <is>
          <t>F</t>
        </is>
      </c>
      <c r="D1281" s="2" t="inlineStr">
        <is>
          <t>100.0</t>
        </is>
      </c>
      <c r="E1281" s="4">
        <f>HYPERLINK("./Results/DLO\2994\Osteo_Sarco_1.png","RPT")</f>
        <v/>
      </c>
      <c r="F1281" s="2" t="n">
        <v>120</v>
      </c>
      <c r="G1281" s="6" t="n">
        <v>18</v>
      </c>
      <c r="I1281" s="0" t="n"/>
      <c r="J1281" s="0" t="n"/>
      <c r="K1281" s="0" t="n"/>
      <c r="L1281" t="inlineStr">
        <is>
          <t>iCT 256</t>
        </is>
      </c>
      <c r="M1281" t="inlineStr">
        <is>
          <t>Pre 3/3mm, iDose (3)</t>
        </is>
      </c>
    </row>
    <row r="1282">
      <c r="A1282" s="2" t="n">
        <v>9821400</v>
      </c>
      <c r="B1282" s="2" t="inlineStr">
        <is>
          <t>45</t>
        </is>
      </c>
      <c r="C1282" s="2" t="inlineStr">
        <is>
          <t>M</t>
        </is>
      </c>
      <c r="D1282" s="2" t="inlineStr">
        <is>
          <t>100.0</t>
        </is>
      </c>
      <c r="E1282" s="4">
        <f>HYPERLINK("./Results/DLO\2995\Osteo_Sarco_1.png","RPT")</f>
        <v/>
      </c>
      <c r="F1282" s="2" t="n">
        <v>174</v>
      </c>
      <c r="G1282" s="6" t="n">
        <v>5</v>
      </c>
      <c r="I1282" s="0" t="n"/>
      <c r="J1282" s="0" t="n"/>
      <c r="K1282" s="0" t="n"/>
      <c r="L1282" t="inlineStr">
        <is>
          <t>LightSpeed VCT</t>
        </is>
      </c>
      <c r="M1282" t="inlineStr">
        <is>
          <t>PRE 3mm</t>
        </is>
      </c>
    </row>
    <row r="1283">
      <c r="A1283" s="2" t="n">
        <v>9821243</v>
      </c>
      <c r="B1283" s="2" t="inlineStr">
        <is>
          <t>44</t>
        </is>
      </c>
      <c r="C1283" s="2" t="inlineStr">
        <is>
          <t>M</t>
        </is>
      </c>
      <c r="D1283" s="2" t="inlineStr">
        <is>
          <t>100.0</t>
        </is>
      </c>
      <c r="E1283" s="4">
        <f>HYPERLINK("./Results/DLO\2996\Osteo_Sarco_1.png","RPT")</f>
        <v/>
      </c>
      <c r="F1283" s="2" t="n">
        <v>173</v>
      </c>
      <c r="G1283" s="6" t="n">
        <v>5</v>
      </c>
      <c r="I1283" s="0" t="n"/>
      <c r="J1283" s="0" t="n"/>
      <c r="K1283" s="0" t="n"/>
      <c r="L1283" t="inlineStr">
        <is>
          <t>Discovery CT750 HD</t>
        </is>
      </c>
      <c r="M1283" t="inlineStr">
        <is>
          <t>Pre 2.5mm(ASIR30% 100/100)</t>
        </is>
      </c>
    </row>
    <row r="1284">
      <c r="A1284" s="2" t="n">
        <v>9822223</v>
      </c>
      <c r="B1284" s="2" t="inlineStr">
        <is>
          <t>56</t>
        </is>
      </c>
      <c r="C1284" s="2" t="inlineStr">
        <is>
          <t>M</t>
        </is>
      </c>
      <c r="D1284" s="2" t="inlineStr">
        <is>
          <t>100.0</t>
        </is>
      </c>
      <c r="E1284" s="4">
        <f>HYPERLINK("./Results/DLO\2997\Osteo_Sarco_1.png","RPT")</f>
        <v/>
      </c>
      <c r="F1284" s="2" t="n">
        <v>163</v>
      </c>
      <c r="G1284" s="6" t="n">
        <v>8</v>
      </c>
      <c r="I1284" s="0" t="n"/>
      <c r="J1284" s="0" t="n"/>
      <c r="K1284" s="0" t="n"/>
      <c r="L1284" t="inlineStr">
        <is>
          <t>SOMATOM Definition...</t>
        </is>
      </c>
      <c r="M1284" t="inlineStr">
        <is>
          <t>Pre(Abd) 3mm</t>
        </is>
      </c>
    </row>
    <row r="1285">
      <c r="A1285" s="2" t="n">
        <v>9822895</v>
      </c>
      <c r="B1285" s="2" t="inlineStr">
        <is>
          <t>59</t>
        </is>
      </c>
      <c r="C1285" s="2" t="inlineStr">
        <is>
          <t>M</t>
        </is>
      </c>
      <c r="D1285" s="2" t="inlineStr">
        <is>
          <t>100.0</t>
        </is>
      </c>
      <c r="E1285" s="4">
        <f>HYPERLINK("./Results/DLO\2998\Osteo_Sarco_1.png","RPT")</f>
        <v/>
      </c>
      <c r="F1285" s="2" t="n">
        <v>156</v>
      </c>
      <c r="G1285" s="6" t="n">
        <v>10</v>
      </c>
      <c r="H1285" t="n">
        <v>23.51</v>
      </c>
      <c r="L1285" t="inlineStr">
        <is>
          <t>SOMATOM Force</t>
        </is>
      </c>
      <c r="M1285" t="inlineStr">
        <is>
          <t>Pre 3.0 Br40 1</t>
        </is>
      </c>
    </row>
    <row r="1286">
      <c r="A1286" s="2" t="n">
        <v>9824289</v>
      </c>
      <c r="B1286" s="2" t="inlineStr">
        <is>
          <t>48</t>
        </is>
      </c>
      <c r="C1286" s="2" t="inlineStr">
        <is>
          <t>F</t>
        </is>
      </c>
      <c r="D1286" s="2" t="inlineStr">
        <is>
          <t>100.0</t>
        </is>
      </c>
      <c r="E1286" s="4">
        <f>HYPERLINK("./Results/DLO\2999\Osteo_Sarco_1.png","RPT")</f>
        <v/>
      </c>
      <c r="F1286" s="2" t="n">
        <v>191</v>
      </c>
      <c r="G1286" s="6" t="n">
        <v>9</v>
      </c>
      <c r="I1286" s="0" t="n"/>
      <c r="J1286" s="0" t="n"/>
      <c r="K1286" s="0" t="n"/>
      <c r="L1286" t="inlineStr">
        <is>
          <t>LightSpeed VCT</t>
        </is>
      </c>
      <c r="M1286" t="inlineStr">
        <is>
          <t>PRE 3mm</t>
        </is>
      </c>
    </row>
    <row r="1287">
      <c r="A1287" s="2" t="n">
        <v>3915220</v>
      </c>
      <c r="B1287" s="2" t="inlineStr">
        <is>
          <t>66</t>
        </is>
      </c>
      <c r="C1287" s="2" t="inlineStr">
        <is>
          <t>M</t>
        </is>
      </c>
      <c r="D1287" s="2" t="inlineStr">
        <is>
          <t>120.0</t>
        </is>
      </c>
      <c r="E1287" s="4">
        <f>HYPERLINK("./Results/DLO\3\Osteo_Sarco_1.png","RPT")</f>
        <v/>
      </c>
      <c r="F1287" s="2" t="n">
        <v>125</v>
      </c>
      <c r="G1287" s="6" t="n">
        <v>5</v>
      </c>
      <c r="I1287" s="0" t="n"/>
      <c r="J1287" s="0" t="n"/>
      <c r="K1287" s="0" t="n"/>
      <c r="L1287" t="inlineStr">
        <is>
          <t>Revolution EVO</t>
        </is>
      </c>
      <c r="M1287" t="inlineStr">
        <is>
          <t>HVP 3mm</t>
        </is>
      </c>
    </row>
    <row r="1288">
      <c r="A1288" s="2" t="n">
        <v>1930483</v>
      </c>
      <c r="B1288" s="2" t="inlineStr">
        <is>
          <t>69</t>
        </is>
      </c>
      <c r="C1288" s="2" t="inlineStr">
        <is>
          <t>F</t>
        </is>
      </c>
      <c r="D1288" s="2" t="inlineStr">
        <is>
          <t>100.0</t>
        </is>
      </c>
      <c r="E1288" s="4">
        <f>HYPERLINK("./Results/DLO\30\Osteo_Sarco_1.png","RPT")</f>
        <v/>
      </c>
      <c r="F1288" s="2" t="n">
        <v>108</v>
      </c>
      <c r="G1288" s="6" t="n">
        <v>10</v>
      </c>
      <c r="I1288" s="0" t="n"/>
      <c r="J1288" s="0" t="n"/>
      <c r="K1288" s="0" t="n"/>
      <c r="L1288" t="inlineStr">
        <is>
          <t>SOMATOM Definition...</t>
        </is>
      </c>
      <c r="M1288" t="inlineStr">
        <is>
          <t>HVP 2 3mm(63kg/126cc/3cc/xene)</t>
        </is>
      </c>
    </row>
    <row r="1289">
      <c r="A1289" s="2" t="n">
        <v>4570624</v>
      </c>
      <c r="B1289" s="2" t="inlineStr">
        <is>
          <t>80</t>
        </is>
      </c>
      <c r="C1289" s="2" t="inlineStr">
        <is>
          <t>M</t>
        </is>
      </c>
      <c r="D1289" s="2" t="inlineStr">
        <is>
          <t>100.0</t>
        </is>
      </c>
      <c r="E1289" s="4">
        <f>HYPERLINK("./Results/DLO\300\Osteo_Sarco_1.png","RPT")</f>
        <v/>
      </c>
      <c r="F1289" s="2" t="n">
        <v>115</v>
      </c>
      <c r="G1289" s="6" t="n">
        <v>6</v>
      </c>
      <c r="H1289" t="n">
        <v>22.66</v>
      </c>
      <c r="L1289" t="inlineStr">
        <is>
          <t>Revolution CT</t>
        </is>
      </c>
      <c r="M1289" t="inlineStr">
        <is>
          <t>Pre Axial 3mm</t>
        </is>
      </c>
    </row>
    <row r="1290">
      <c r="A1290" s="2" t="n">
        <v>9825119</v>
      </c>
      <c r="B1290" s="2" t="inlineStr">
        <is>
          <t>62</t>
        </is>
      </c>
      <c r="C1290" s="2" t="inlineStr">
        <is>
          <t>M</t>
        </is>
      </c>
      <c r="D1290" s="2" t="inlineStr">
        <is>
          <t>100.0</t>
        </is>
      </c>
      <c r="E1290" s="4">
        <f>HYPERLINK("./Results/DLO\3000\Osteo_Sarco_1.png","RPT")</f>
        <v/>
      </c>
      <c r="F1290" s="2" t="n">
        <v>152</v>
      </c>
      <c r="G1290" s="6" t="n">
        <v>8</v>
      </c>
      <c r="I1290" s="0" t="n"/>
      <c r="J1290" s="0" t="n"/>
      <c r="K1290" s="0" t="n"/>
      <c r="L1290" t="inlineStr">
        <is>
          <t>iCT 256</t>
        </is>
      </c>
      <c r="M1290" t="inlineStr">
        <is>
          <t>Pre 3/3mm, iDose (3)</t>
        </is>
      </c>
    </row>
    <row r="1291">
      <c r="A1291" s="2" t="n">
        <v>9824032</v>
      </c>
      <c r="B1291" s="2" t="inlineStr">
        <is>
          <t>51</t>
        </is>
      </c>
      <c r="C1291" s="2" t="inlineStr">
        <is>
          <t>F</t>
        </is>
      </c>
      <c r="D1291" s="2" t="inlineStr">
        <is>
          <t>100.0</t>
        </is>
      </c>
      <c r="E1291" s="4">
        <f>HYPERLINK("./Results/DLO\3001\Osteo_Sarco_1.png","RPT")</f>
        <v/>
      </c>
      <c r="F1291" s="2" t="n">
        <v>130</v>
      </c>
      <c r="G1291" s="6" t="n">
        <v>9</v>
      </c>
      <c r="I1291" s="0" t="n"/>
      <c r="J1291" s="0" t="n"/>
      <c r="K1291" s="0" t="n"/>
      <c r="L1291" t="inlineStr">
        <is>
          <t>LightSpeed VCT</t>
        </is>
      </c>
      <c r="M1291" t="inlineStr">
        <is>
          <t>PRE 3mm</t>
        </is>
      </c>
    </row>
    <row r="1292">
      <c r="A1292" s="2" t="n">
        <v>9823912</v>
      </c>
      <c r="B1292" s="2" t="inlineStr">
        <is>
          <t>64</t>
        </is>
      </c>
      <c r="C1292" s="2" t="inlineStr">
        <is>
          <t>F</t>
        </is>
      </c>
      <c r="D1292" s="2" t="inlineStr">
        <is>
          <t>120.0</t>
        </is>
      </c>
      <c r="E1292" s="4">
        <f>HYPERLINK("./Results/DLO\3002\Osteo_Sarco_1.png","RPT")</f>
        <v/>
      </c>
      <c r="F1292" s="2" t="n">
        <v>97</v>
      </c>
      <c r="G1292" s="6" t="n">
        <v>8</v>
      </c>
      <c r="I1292" s="0" t="n"/>
      <c r="J1292" s="0" t="n"/>
      <c r="K1292" s="0" t="n"/>
      <c r="L1292" t="inlineStr">
        <is>
          <t>Discovery CT750 HD</t>
        </is>
      </c>
      <c r="M1292" t="inlineStr">
        <is>
          <t>3.75 post 72s supine</t>
        </is>
      </c>
    </row>
    <row r="1293">
      <c r="A1293" s="2" t="n">
        <v>9824883</v>
      </c>
      <c r="B1293" s="2" t="inlineStr">
        <is>
          <t>36</t>
        </is>
      </c>
      <c r="C1293" s="2" t="inlineStr">
        <is>
          <t>M</t>
        </is>
      </c>
      <c r="D1293" s="2" t="inlineStr">
        <is>
          <t>100.0</t>
        </is>
      </c>
      <c r="E1293" s="4">
        <f>HYPERLINK("./Results/DLO\3003\Osteo_Sarco_1.png","RPT")</f>
        <v/>
      </c>
      <c r="F1293" s="2" t="n">
        <v>186</v>
      </c>
      <c r="G1293" s="6" t="n">
        <v>8</v>
      </c>
      <c r="I1293" s="0" t="n"/>
      <c r="J1293" s="0" t="n"/>
      <c r="K1293" s="0" t="n"/>
      <c r="L1293" t="inlineStr">
        <is>
          <t>Revolution CT</t>
        </is>
      </c>
      <c r="M1293" t="inlineStr">
        <is>
          <t>Pre Axial 3mm</t>
        </is>
      </c>
    </row>
    <row r="1294">
      <c r="A1294" s="2" t="n">
        <v>9826487</v>
      </c>
      <c r="B1294" s="2" t="inlineStr">
        <is>
          <t>65</t>
        </is>
      </c>
      <c r="C1294" s="2" t="inlineStr">
        <is>
          <t>M</t>
        </is>
      </c>
      <c r="D1294" s="2" t="inlineStr">
        <is>
          <t>120.0</t>
        </is>
      </c>
      <c r="E1294" s="4">
        <f>HYPERLINK("./Results/DLO\3004\Osteo_Sarco_1.png","RPT")</f>
        <v/>
      </c>
      <c r="F1294" s="2" t="n">
        <v>168</v>
      </c>
      <c r="G1294" s="6" t="n">
        <v>6</v>
      </c>
      <c r="I1294" s="0" t="n"/>
      <c r="J1294" s="0" t="n"/>
      <c r="K1294" s="0" t="n"/>
      <c r="L1294" t="inlineStr">
        <is>
          <t>LightSpeed VCT</t>
        </is>
      </c>
      <c r="M1294" t="inlineStr">
        <is>
          <t>LAP 18sec 3mm</t>
        </is>
      </c>
    </row>
    <row r="1295">
      <c r="A1295" s="2" t="n">
        <v>6685445</v>
      </c>
      <c r="B1295" s="2" t="inlineStr">
        <is>
          <t>53</t>
        </is>
      </c>
      <c r="C1295" s="2" t="inlineStr">
        <is>
          <t>M</t>
        </is>
      </c>
      <c r="D1295" s="2" t="inlineStr">
        <is>
          <t>120.0</t>
        </is>
      </c>
      <c r="E1295" s="4">
        <f>HYPERLINK("./Results/DLO\3005\Osteo_Sarco_1.png","RPT")</f>
        <v/>
      </c>
      <c r="F1295" s="2" t="n">
        <v>169</v>
      </c>
      <c r="G1295" s="6" t="n">
        <v>9</v>
      </c>
      <c r="I1295" s="0" t="n"/>
      <c r="J1295" s="0" t="n"/>
      <c r="K1295" s="0" t="n"/>
      <c r="L1295" t="inlineStr">
        <is>
          <t>Optima CT660</t>
        </is>
      </c>
      <c r="M1295" t="inlineStr">
        <is>
          <t>PREE</t>
        </is>
      </c>
    </row>
    <row r="1296">
      <c r="A1296" s="2" t="n">
        <v>9826933</v>
      </c>
      <c r="B1296" s="2" t="inlineStr">
        <is>
          <t>46</t>
        </is>
      </c>
      <c r="C1296" s="2" t="inlineStr">
        <is>
          <t>M</t>
        </is>
      </c>
      <c r="D1296" s="2" t="inlineStr">
        <is>
          <t>100.0</t>
        </is>
      </c>
      <c r="E1296" s="4">
        <f>HYPERLINK("./Results/DLO\3006\Osteo_Sarco_1.png","RPT")</f>
        <v/>
      </c>
      <c r="F1296" s="2" t="n">
        <v>177</v>
      </c>
      <c r="G1296" s="6" t="n">
        <v>27</v>
      </c>
      <c r="I1296" s="0" t="n"/>
      <c r="J1296" s="0" t="n"/>
      <c r="K1296" s="0" t="n"/>
      <c r="L1296" t="inlineStr">
        <is>
          <t>SOMATOM Definition...</t>
        </is>
      </c>
      <c r="M1296" t="inlineStr">
        <is>
          <t>Pre 3mm</t>
        </is>
      </c>
    </row>
    <row r="1297">
      <c r="A1297" s="2" t="n">
        <v>9827751</v>
      </c>
      <c r="B1297" s="2" t="inlineStr">
        <is>
          <t>44</t>
        </is>
      </c>
      <c r="C1297" s="2" t="inlineStr">
        <is>
          <t>F</t>
        </is>
      </c>
      <c r="D1297" s="2" t="inlineStr">
        <is>
          <t>100.0</t>
        </is>
      </c>
      <c r="E1297" s="4">
        <f>HYPERLINK("./Results/DLO\3007\Osteo_Sarco_1.png","RPT")</f>
        <v/>
      </c>
      <c r="F1297" s="2" t="n">
        <v>109</v>
      </c>
      <c r="G1297" s="6" t="n">
        <v>5</v>
      </c>
      <c r="H1297" t="n">
        <v>22.61</v>
      </c>
      <c r="L1297" t="inlineStr">
        <is>
          <t>SOMATOM Force</t>
        </is>
      </c>
      <c r="M1297" t="inlineStr">
        <is>
          <t>Pre 3.0 Br40 2</t>
        </is>
      </c>
    </row>
    <row r="1298">
      <c r="A1298" s="2" t="n">
        <v>9827908</v>
      </c>
      <c r="B1298" s="2" t="inlineStr">
        <is>
          <t>60</t>
        </is>
      </c>
      <c r="C1298" s="2" t="inlineStr">
        <is>
          <t>F</t>
        </is>
      </c>
      <c r="D1298" s="2" t="inlineStr">
        <is>
          <t>100.0</t>
        </is>
      </c>
      <c r="E1298" s="4">
        <f>HYPERLINK("./Results/DLO\3008\Osteo_Sarco_1.png","RPT")</f>
        <v/>
      </c>
      <c r="F1298" s="2" t="n">
        <v>114</v>
      </c>
      <c r="G1298" s="6" t="n">
        <v>10</v>
      </c>
      <c r="H1298" t="n">
        <v>21.82</v>
      </c>
      <c r="L1298" t="inlineStr">
        <is>
          <t>SOMATOM Definition...</t>
        </is>
      </c>
      <c r="M1298" t="inlineStr">
        <is>
          <t>Pre(Abd) 3mm</t>
        </is>
      </c>
    </row>
    <row r="1299">
      <c r="A1299" s="2" t="n">
        <v>9828955</v>
      </c>
      <c r="B1299" s="2" t="inlineStr">
        <is>
          <t>45</t>
        </is>
      </c>
      <c r="C1299" s="2" t="inlineStr">
        <is>
          <t>M</t>
        </is>
      </c>
      <c r="D1299" s="2" t="inlineStr">
        <is>
          <t>100.0</t>
        </is>
      </c>
      <c r="E1299" s="4">
        <f>HYPERLINK("./Results/DLO\3009\Osteo_Sarco_1.png","RPT")</f>
        <v/>
      </c>
      <c r="F1299" s="2" t="n">
        <v>154</v>
      </c>
      <c r="G1299" s="6" t="n">
        <v>10</v>
      </c>
      <c r="I1299" s="0" t="n"/>
      <c r="J1299" s="0" t="n"/>
      <c r="K1299" s="0" t="n"/>
      <c r="L1299" t="inlineStr">
        <is>
          <t>Revolution CT</t>
        </is>
      </c>
      <c r="M1299" t="inlineStr">
        <is>
          <t>LAP 3mm(78kg/150cc/3.0cc/hexo...</t>
        </is>
      </c>
    </row>
    <row r="1300">
      <c r="A1300" s="2" t="n">
        <v>4299541</v>
      </c>
      <c r="B1300" s="2" t="inlineStr">
        <is>
          <t>70</t>
        </is>
      </c>
      <c r="C1300" s="2" t="inlineStr">
        <is>
          <t>M</t>
        </is>
      </c>
      <c r="D1300" s="2" t="inlineStr">
        <is>
          <t>100.0</t>
        </is>
      </c>
      <c r="E1300" s="4">
        <f>HYPERLINK("./Results/DLO\301\Osteo_Sarco_1.png","RPT")</f>
        <v/>
      </c>
      <c r="F1300" s="2" t="n">
        <v>137</v>
      </c>
      <c r="G1300" s="6" t="n">
        <v>5</v>
      </c>
      <c r="H1300" t="n">
        <v>25.01</v>
      </c>
      <c r="L1300" t="inlineStr">
        <is>
          <t>SOMATOM Definition...</t>
        </is>
      </c>
      <c r="M1300" t="inlineStr">
        <is>
          <t>HVP 2 3mm (67kg/134cc/3cc/ul...</t>
        </is>
      </c>
    </row>
    <row r="1301">
      <c r="A1301" s="2" t="n">
        <v>9829339</v>
      </c>
      <c r="B1301" s="2" t="inlineStr">
        <is>
          <t>58</t>
        </is>
      </c>
      <c r="C1301" s="2" t="inlineStr">
        <is>
          <t>F</t>
        </is>
      </c>
      <c r="D1301" s="2" t="inlineStr">
        <is>
          <t>120.0</t>
        </is>
      </c>
      <c r="E1301" s="4">
        <f>HYPERLINK("./Results/DLO\3010\Osteo_Sarco_1.png","RPT")</f>
        <v/>
      </c>
      <c r="F1301" s="2" t="n">
        <v>125</v>
      </c>
      <c r="G1301" s="6" t="n">
        <v>10</v>
      </c>
      <c r="H1301" t="n">
        <v>23.68</v>
      </c>
      <c r="L1301" t="inlineStr">
        <is>
          <t>SOMATOM Definition...</t>
        </is>
      </c>
      <c r="M1301" t="inlineStr">
        <is>
          <t>Pre 5.0 B30f</t>
        </is>
      </c>
    </row>
    <row r="1302">
      <c r="A1302" s="2" t="n">
        <v>9830626</v>
      </c>
      <c r="B1302" s="2" t="inlineStr">
        <is>
          <t>63</t>
        </is>
      </c>
      <c r="C1302" s="2" t="inlineStr">
        <is>
          <t>F</t>
        </is>
      </c>
      <c r="D1302" s="2" t="inlineStr">
        <is>
          <t>100.0</t>
        </is>
      </c>
      <c r="E1302" s="4">
        <f>HYPERLINK("./Results/DLO\3011\Osteo_Sarco_1.png","RPT")</f>
        <v/>
      </c>
      <c r="F1302" s="2" t="n">
        <v>102</v>
      </c>
      <c r="G1302" s="6" t="n">
        <v>15</v>
      </c>
      <c r="H1302" t="n">
        <v>25.39</v>
      </c>
      <c r="L1302" t="inlineStr">
        <is>
          <t>SOMATOM Definition...</t>
        </is>
      </c>
      <c r="M1302" t="inlineStr">
        <is>
          <t>PRE 3mm</t>
        </is>
      </c>
    </row>
    <row r="1303">
      <c r="A1303" s="2" t="n">
        <v>9830099</v>
      </c>
      <c r="B1303" s="2" t="inlineStr">
        <is>
          <t>0</t>
        </is>
      </c>
      <c r="C1303" s="2" t="inlineStr">
        <is>
          <t>M</t>
        </is>
      </c>
      <c r="D1303" s="2" t="inlineStr">
        <is>
          <t>120.0</t>
        </is>
      </c>
      <c r="E1303" s="4">
        <f>HYPERLINK("./Results/DLO\3012\Osteo_Sarco_1.png","RPT")</f>
        <v/>
      </c>
      <c r="F1303" s="2" t="n">
        <v>165</v>
      </c>
      <c r="G1303" s="6" t="n">
        <v>12</v>
      </c>
      <c r="H1303" t="n">
        <v>27.51</v>
      </c>
      <c r="L1303" t="inlineStr">
        <is>
          <t>Aquilion</t>
        </is>
      </c>
      <c r="M1303" t="inlineStr">
        <is>
          <t>Body 5.0</t>
        </is>
      </c>
    </row>
    <row r="1304">
      <c r="A1304" s="2" t="n">
        <v>9830381</v>
      </c>
      <c r="B1304" s="2" t="inlineStr">
        <is>
          <t>65</t>
        </is>
      </c>
      <c r="C1304" s="2" t="inlineStr">
        <is>
          <t>M</t>
        </is>
      </c>
      <c r="D1304" s="2" t="inlineStr">
        <is>
          <t>100.0</t>
        </is>
      </c>
      <c r="E1304" s="4">
        <f>HYPERLINK("./Results/DLO\3013\Osteo_Sarco_1.png","RPT")</f>
        <v/>
      </c>
      <c r="F1304" s="2" t="n">
        <v>147</v>
      </c>
      <c r="G1304" s="6" t="n">
        <v>6</v>
      </c>
      <c r="I1304" s="0" t="n"/>
      <c r="J1304" s="0" t="n"/>
      <c r="K1304" s="0" t="n"/>
      <c r="L1304" t="inlineStr">
        <is>
          <t>SOMATOM Definition...</t>
        </is>
      </c>
      <c r="M1304" t="inlineStr">
        <is>
          <t>DELAY 5.0 Br38 2</t>
        </is>
      </c>
    </row>
    <row r="1305">
      <c r="A1305" s="2" t="n">
        <v>9831522</v>
      </c>
      <c r="B1305" s="2" t="inlineStr">
        <is>
          <t>43</t>
        </is>
      </c>
      <c r="C1305" s="2" t="inlineStr">
        <is>
          <t>F</t>
        </is>
      </c>
      <c r="D1305" s="2" t="inlineStr">
        <is>
          <t>120.0</t>
        </is>
      </c>
      <c r="E1305" s="4">
        <f>HYPERLINK("./Results/DLO\3014\Osteo_Sarco_1.png","RPT")</f>
        <v/>
      </c>
      <c r="F1305" s="2" t="n">
        <v>111</v>
      </c>
      <c r="G1305" s="6" t="n">
        <v>7</v>
      </c>
      <c r="I1305" s="0" t="n"/>
      <c r="J1305" s="0" t="n"/>
      <c r="K1305" s="0" t="n"/>
      <c r="L1305" t="inlineStr">
        <is>
          <t>Definition Edge</t>
        </is>
      </c>
      <c r="M1305" t="inlineStr">
        <is>
          <t>PRE 3.0 Br38 3</t>
        </is>
      </c>
    </row>
    <row r="1306">
      <c r="A1306" s="2" t="n">
        <v>9831700</v>
      </c>
      <c r="B1306" s="2" t="inlineStr">
        <is>
          <t>73</t>
        </is>
      </c>
      <c r="C1306" s="2" t="inlineStr">
        <is>
          <t>F</t>
        </is>
      </c>
      <c r="D1306" s="2" t="inlineStr">
        <is>
          <t>120.0</t>
        </is>
      </c>
      <c r="E1306" s="4">
        <f>HYPERLINK("./Results/DLO\3015\Osteo_Sarco_1.png","RPT")</f>
        <v/>
      </c>
      <c r="F1306" s="2" t="n">
        <v>119</v>
      </c>
      <c r="G1306" s="6" t="n">
        <v>19</v>
      </c>
      <c r="H1306" t="n">
        <v>28.73</v>
      </c>
      <c r="L1306" t="inlineStr">
        <is>
          <t>Aquilion ONE</t>
        </is>
      </c>
      <c r="M1306" t="inlineStr">
        <is>
          <t>Body 5.0</t>
        </is>
      </c>
    </row>
    <row r="1307">
      <c r="A1307" s="2" t="n">
        <v>9831469</v>
      </c>
      <c r="B1307" s="2" t="inlineStr">
        <is>
          <t>66</t>
        </is>
      </c>
      <c r="C1307" s="2" t="inlineStr">
        <is>
          <t>M</t>
        </is>
      </c>
      <c r="D1307" s="2" t="inlineStr">
        <is>
          <t>100.0</t>
        </is>
      </c>
      <c r="E1307" s="4">
        <f>HYPERLINK("./Results/DLO\3016\Osteo_Sarco_1.png","RPT")</f>
        <v/>
      </c>
      <c r="F1307" s="2" t="n">
        <v>120</v>
      </c>
      <c r="G1307" s="6" t="n">
        <v>9</v>
      </c>
      <c r="I1307" s="0" t="n"/>
      <c r="J1307" s="0" t="n"/>
      <c r="K1307" s="0" t="n"/>
      <c r="L1307" t="inlineStr">
        <is>
          <t>SOMATOM Definition...</t>
        </is>
      </c>
      <c r="M1307" t="inlineStr">
        <is>
          <t>Pre 3mm B30f</t>
        </is>
      </c>
    </row>
    <row r="1308">
      <c r="A1308" s="2" t="n">
        <v>9832976</v>
      </c>
      <c r="B1308" s="2" t="inlineStr">
        <is>
          <t>60</t>
        </is>
      </c>
      <c r="C1308" s="2" t="inlineStr">
        <is>
          <t>M</t>
        </is>
      </c>
      <c r="D1308" s="2" t="inlineStr">
        <is>
          <t>100.0</t>
        </is>
      </c>
      <c r="E1308" s="4">
        <f>HYPERLINK("./Results/DLO\3017\Osteo_Sarco_1.png","RPT")</f>
        <v/>
      </c>
      <c r="F1308" s="2" t="n">
        <v>145</v>
      </c>
      <c r="G1308" s="6" t="n">
        <v>8</v>
      </c>
      <c r="I1308" s="0" t="n"/>
      <c r="J1308" s="0" t="n"/>
      <c r="K1308" s="0" t="n"/>
      <c r="L1308" t="inlineStr">
        <is>
          <t>LightSpeed VCT</t>
        </is>
      </c>
      <c r="M1308" t="inlineStr">
        <is>
          <t>PRE (CP angle~Pubic)</t>
        </is>
      </c>
    </row>
    <row r="1309">
      <c r="A1309" s="2" t="n">
        <v>9832429</v>
      </c>
      <c r="B1309" s="2" t="inlineStr">
        <is>
          <t>71</t>
        </is>
      </c>
      <c r="C1309" s="2" t="inlineStr">
        <is>
          <t>M</t>
        </is>
      </c>
      <c r="D1309" s="2" t="inlineStr">
        <is>
          <t>100.0</t>
        </is>
      </c>
      <c r="E1309" s="4">
        <f>HYPERLINK("./Results/DLO\3018\Osteo_Sarco_1.png","RPT")</f>
        <v/>
      </c>
      <c r="F1309" s="2" t="n">
        <v>150</v>
      </c>
      <c r="G1309" s="6" t="n">
        <v>22</v>
      </c>
      <c r="H1309" t="n">
        <v>22.22</v>
      </c>
      <c r="L1309" t="inlineStr">
        <is>
          <t>LightSpeed VCT</t>
        </is>
      </c>
      <c r="M1309" t="inlineStr">
        <is>
          <t>PRE 3mm</t>
        </is>
      </c>
    </row>
    <row r="1310">
      <c r="A1310" s="2" t="n">
        <v>9832573</v>
      </c>
      <c r="B1310" s="2" t="inlineStr">
        <is>
          <t>67</t>
        </is>
      </c>
      <c r="C1310" s="2" t="inlineStr">
        <is>
          <t>M</t>
        </is>
      </c>
      <c r="D1310" s="2" t="inlineStr">
        <is>
          <t>120.0</t>
        </is>
      </c>
      <c r="E1310" s="4">
        <f>HYPERLINK("./Results/DLO\3019\Osteo_Sarco_1.png","RPT")</f>
        <v/>
      </c>
      <c r="F1310" s="2" t="n">
        <v>159</v>
      </c>
      <c r="G1310" s="6" t="n">
        <v>8</v>
      </c>
      <c r="I1310" s="0" t="n"/>
      <c r="J1310" s="0" t="n"/>
      <c r="K1310" s="0" t="n"/>
      <c r="L1310" t="inlineStr">
        <is>
          <t>iCT 128</t>
        </is>
      </c>
      <c r="M1310" t="inlineStr">
        <is>
          <t>PRE</t>
        </is>
      </c>
    </row>
    <row r="1311">
      <c r="A1311" s="2" t="n">
        <v>2232073</v>
      </c>
      <c r="B1311" s="2" t="inlineStr">
        <is>
          <t>73</t>
        </is>
      </c>
      <c r="C1311" s="2" t="inlineStr">
        <is>
          <t>F</t>
        </is>
      </c>
      <c r="D1311" s="2" t="inlineStr">
        <is>
          <t>120.0</t>
        </is>
      </c>
      <c r="E1311" s="4">
        <f>HYPERLINK("./Results/DLO\302\Osteo_Sarco_1.png","RPT")</f>
        <v/>
      </c>
      <c r="F1311" s="2" t="n">
        <v>101</v>
      </c>
      <c r="G1311" s="6" t="n">
        <v>9</v>
      </c>
      <c r="H1311" t="n">
        <v>22.22</v>
      </c>
      <c r="L1311" t="inlineStr">
        <is>
          <t>LightSpeed VCT</t>
        </is>
      </c>
      <c r="M1311" t="inlineStr">
        <is>
          <t>HVP 55sec 3mm</t>
        </is>
      </c>
    </row>
    <row r="1312">
      <c r="A1312" s="2" t="n">
        <v>9833346</v>
      </c>
      <c r="B1312" s="2" t="inlineStr">
        <is>
          <t>50</t>
        </is>
      </c>
      <c r="C1312" s="2" t="inlineStr">
        <is>
          <t>F</t>
        </is>
      </c>
      <c r="D1312" s="2" t="inlineStr">
        <is>
          <t>100.0</t>
        </is>
      </c>
      <c r="E1312" s="4">
        <f>HYPERLINK("./Results/DLO\3020\Osteo_Sarco_1.png","RPT")</f>
        <v/>
      </c>
      <c r="F1312" s="2" t="n">
        <v>95</v>
      </c>
      <c r="G1312" s="6" t="n">
        <v>12</v>
      </c>
      <c r="I1312" s="0" t="n"/>
      <c r="J1312" s="0" t="n"/>
      <c r="K1312" s="0" t="n"/>
      <c r="L1312" t="inlineStr">
        <is>
          <t>Revolution CT</t>
        </is>
      </c>
      <c r="M1312" t="inlineStr">
        <is>
          <t>Pre 3mm pacs</t>
        </is>
      </c>
    </row>
    <row r="1313">
      <c r="A1313" s="2" t="n">
        <v>9833644</v>
      </c>
      <c r="B1313" s="2" t="inlineStr">
        <is>
          <t>62</t>
        </is>
      </c>
      <c r="C1313" s="2" t="inlineStr">
        <is>
          <t>M</t>
        </is>
      </c>
      <c r="D1313" s="2" t="inlineStr">
        <is>
          <t>100.0</t>
        </is>
      </c>
      <c r="E1313" s="4">
        <f>HYPERLINK("./Results/DLO\3021\Osteo_Sarco_1.png","RPT")</f>
        <v/>
      </c>
      <c r="F1313" s="2" t="n">
        <v>181</v>
      </c>
      <c r="G1313" s="6" t="n">
        <v>10</v>
      </c>
      <c r="H1313" t="n">
        <v>26.99</v>
      </c>
      <c r="L1313" t="inlineStr">
        <is>
          <t>SOMATOM Definition...</t>
        </is>
      </c>
      <c r="M1313" t="inlineStr">
        <is>
          <t>Dia~Pel.P 5.0 Br38 2</t>
        </is>
      </c>
    </row>
    <row r="1314">
      <c r="A1314" s="2" t="n">
        <v>9834366</v>
      </c>
      <c r="B1314" s="2" t="inlineStr">
        <is>
          <t>69</t>
        </is>
      </c>
      <c r="C1314" s="2" t="inlineStr">
        <is>
          <t>M</t>
        </is>
      </c>
      <c r="D1314" s="2" t="inlineStr">
        <is>
          <t>120.0</t>
        </is>
      </c>
      <c r="E1314" s="4">
        <f>HYPERLINK("./Results/DLO\3022\Osteo_Sarco_1.png","RPT")</f>
        <v/>
      </c>
      <c r="F1314" s="2" t="n">
        <v>166</v>
      </c>
      <c r="G1314" s="6" t="n">
        <v>10</v>
      </c>
      <c r="I1314" s="0" t="n"/>
      <c r="J1314" s="0" t="n"/>
      <c r="K1314" s="0" t="n"/>
      <c r="L1314" t="inlineStr">
        <is>
          <t>Aquilion PRIME</t>
        </is>
      </c>
      <c r="M1314" t="inlineStr">
        <is>
          <t>3mm Body 3.0</t>
        </is>
      </c>
    </row>
    <row r="1315">
      <c r="A1315" s="2" t="n">
        <v>9834580</v>
      </c>
      <c r="B1315" s="2" t="inlineStr">
        <is>
          <t>76</t>
        </is>
      </c>
      <c r="C1315" s="2" t="inlineStr">
        <is>
          <t>F</t>
        </is>
      </c>
      <c r="D1315" s="2" t="inlineStr">
        <is>
          <t>100.0</t>
        </is>
      </c>
      <c r="E1315" s="4">
        <f>HYPERLINK("./Results/DLO\3023\Osteo_Sarco_1.png","RPT")</f>
        <v/>
      </c>
      <c r="F1315" s="2" t="n">
        <v>100</v>
      </c>
      <c r="G1315" s="6" t="n">
        <v>11</v>
      </c>
      <c r="H1315" t="n">
        <v>29.21</v>
      </c>
      <c r="L1315" t="inlineStr">
        <is>
          <t>LightSpeed VCT</t>
        </is>
      </c>
      <c r="M1315" t="inlineStr">
        <is>
          <t>PRE 3mm</t>
        </is>
      </c>
    </row>
    <row r="1316">
      <c r="A1316" s="2" t="n">
        <v>9835136</v>
      </c>
      <c r="B1316" s="2" t="inlineStr">
        <is>
          <t>34</t>
        </is>
      </c>
      <c r="C1316" s="2" t="inlineStr">
        <is>
          <t>M</t>
        </is>
      </c>
      <c r="D1316" s="2" t="inlineStr">
        <is>
          <t>100.0</t>
        </is>
      </c>
      <c r="E1316" s="4">
        <f>HYPERLINK("./Results/DLO\3025\Osteo_Sarco_1.png","RPT")</f>
        <v/>
      </c>
      <c r="F1316" s="2" t="n">
        <v>168</v>
      </c>
      <c r="G1316" s="6" t="n">
        <v>6</v>
      </c>
      <c r="I1316" s="0" t="n"/>
      <c r="J1316" s="0" t="n"/>
      <c r="K1316" s="0" t="n"/>
      <c r="L1316" t="inlineStr">
        <is>
          <t>iCT 256</t>
        </is>
      </c>
      <c r="M1316" t="inlineStr">
        <is>
          <t>Pre (CP~Pubi)3mm, iDose (3)</t>
        </is>
      </c>
    </row>
    <row r="1317">
      <c r="A1317" s="2" t="n">
        <v>9835327</v>
      </c>
      <c r="B1317" s="2" t="inlineStr">
        <is>
          <t>65</t>
        </is>
      </c>
      <c r="C1317" s="2" t="inlineStr">
        <is>
          <t>F</t>
        </is>
      </c>
      <c r="D1317" s="2" t="inlineStr">
        <is>
          <t>100.0</t>
        </is>
      </c>
      <c r="E1317" s="4">
        <f>HYPERLINK("./Results/DLO\3026\Osteo_Sarco_1.png","RPT")</f>
        <v/>
      </c>
      <c r="F1317" s="2" t="n">
        <v>114</v>
      </c>
      <c r="G1317" s="6" t="n">
        <v>14</v>
      </c>
      <c r="I1317" s="0" t="n"/>
      <c r="J1317" s="0" t="n"/>
      <c r="K1317" s="0" t="n"/>
      <c r="L1317" t="inlineStr">
        <is>
          <t>SOMATOM Force</t>
        </is>
      </c>
      <c r="M1317" t="inlineStr">
        <is>
          <t>Pre 3.0 Br40</t>
        </is>
      </c>
    </row>
    <row r="1318">
      <c r="A1318" s="2" t="n">
        <v>9836240</v>
      </c>
      <c r="B1318" s="2" t="inlineStr">
        <is>
          <t>78</t>
        </is>
      </c>
      <c r="C1318" s="2" t="inlineStr">
        <is>
          <t>M</t>
        </is>
      </c>
      <c r="D1318" s="2" t="inlineStr">
        <is>
          <t>100.0</t>
        </is>
      </c>
      <c r="E1318" s="4">
        <f>HYPERLINK("./Results/DLO\3027\Osteo_Sarco_1.png","RPT")</f>
        <v/>
      </c>
      <c r="F1318" s="2" t="n">
        <v>117</v>
      </c>
      <c r="G1318" s="6" t="n">
        <v>7</v>
      </c>
      <c r="I1318" s="0" t="n"/>
      <c r="J1318" s="0" t="n"/>
      <c r="K1318" s="0" t="n"/>
      <c r="L1318" t="inlineStr">
        <is>
          <t>Revolution EVO</t>
        </is>
      </c>
      <c r="M1318" t="inlineStr">
        <is>
          <t>AX 3mm</t>
        </is>
      </c>
    </row>
    <row r="1319">
      <c r="A1319" s="2" t="n">
        <v>9836598</v>
      </c>
      <c r="B1319" s="2" t="inlineStr">
        <is>
          <t>65</t>
        </is>
      </c>
      <c r="C1319" s="2" t="inlineStr">
        <is>
          <t>F</t>
        </is>
      </c>
      <c r="D1319" s="2" t="inlineStr">
        <is>
          <t>100.0</t>
        </is>
      </c>
      <c r="E1319" s="4">
        <f>HYPERLINK("./Results/DLO\3028\Osteo_Sarco_1.png","RPT")</f>
        <v/>
      </c>
      <c r="F1319" s="2" t="n">
        <v>70</v>
      </c>
      <c r="G1319" s="6" t="n">
        <v>9</v>
      </c>
      <c r="I1319" s="0" t="n"/>
      <c r="J1319" s="0" t="n"/>
      <c r="K1319" s="0" t="n"/>
      <c r="L1319" t="inlineStr">
        <is>
          <t>LightSpeed VCT</t>
        </is>
      </c>
      <c r="M1319" t="inlineStr">
        <is>
          <t>PRE 2,5mm</t>
        </is>
      </c>
    </row>
    <row r="1320">
      <c r="A1320" s="2" t="n">
        <v>9836300</v>
      </c>
      <c r="B1320" s="2" t="inlineStr">
        <is>
          <t>74</t>
        </is>
      </c>
      <c r="C1320" s="2" t="inlineStr">
        <is>
          <t>M</t>
        </is>
      </c>
      <c r="D1320" s="2" t="inlineStr">
        <is>
          <t>100.0</t>
        </is>
      </c>
      <c r="E1320" s="4">
        <f>HYPERLINK("./Results/DLO\3029\Osteo_Sarco_1.png","RPT")</f>
        <v/>
      </c>
      <c r="F1320" s="2" t="n">
        <v>137</v>
      </c>
      <c r="G1320" s="6" t="n">
        <v>10</v>
      </c>
      <c r="H1320" t="n">
        <v>24.41</v>
      </c>
      <c r="L1320" t="inlineStr">
        <is>
          <t>SOMATOM Definition...</t>
        </is>
      </c>
      <c r="M1320" t="inlineStr">
        <is>
          <t>Pre 3mm B30f</t>
        </is>
      </c>
    </row>
    <row r="1321">
      <c r="A1321" s="2" t="n">
        <v>4171050</v>
      </c>
      <c r="B1321" s="2" t="inlineStr">
        <is>
          <t>62</t>
        </is>
      </c>
      <c r="C1321" s="2" t="inlineStr">
        <is>
          <t>M</t>
        </is>
      </c>
      <c r="D1321" s="2" t="inlineStr">
        <is>
          <t>100.0</t>
        </is>
      </c>
      <c r="E1321" s="4">
        <f>HYPERLINK("./Results/DLO\303\Osteo_Sarco_1.png","RPT")</f>
        <v/>
      </c>
      <c r="F1321" s="2" t="n">
        <v>129</v>
      </c>
      <c r="G1321" s="6" t="n">
        <v>8</v>
      </c>
      <c r="I1321" s="0" t="n"/>
      <c r="J1321" s="0" t="n"/>
      <c r="K1321" s="0" t="n"/>
      <c r="L1321" t="inlineStr">
        <is>
          <t>Revolution EVO</t>
        </is>
      </c>
      <c r="M1321" t="inlineStr">
        <is>
          <t>Pre(CP~Pelvic)</t>
        </is>
      </c>
    </row>
    <row r="1322">
      <c r="A1322" s="2" t="n">
        <v>9836088</v>
      </c>
      <c r="B1322" s="2" t="inlineStr">
        <is>
          <t>55</t>
        </is>
      </c>
      <c r="C1322" s="2" t="inlineStr">
        <is>
          <t>M</t>
        </is>
      </c>
      <c r="D1322" s="2" t="inlineStr">
        <is>
          <t>120.0</t>
        </is>
      </c>
      <c r="E1322" s="4">
        <f>HYPERLINK("./Results/DLO\3030\Osteo_Sarco_1.png","RPT")</f>
        <v/>
      </c>
      <c r="F1322" s="2" t="n">
        <v>146</v>
      </c>
      <c r="G1322" s="6" t="n">
        <v>7</v>
      </c>
      <c r="H1322" t="n">
        <v>22.41</v>
      </c>
      <c r="L1322" t="inlineStr">
        <is>
          <t>Ingenuity Core 128</t>
        </is>
      </c>
      <c r="M1322" t="inlineStr">
        <is>
          <t>PRE-AX, iDose (2)</t>
        </is>
      </c>
    </row>
    <row r="1323">
      <c r="A1323" s="2" t="n">
        <v>9836530</v>
      </c>
      <c r="B1323" s="2" t="inlineStr">
        <is>
          <t>48</t>
        </is>
      </c>
      <c r="C1323" s="2" t="inlineStr">
        <is>
          <t>M</t>
        </is>
      </c>
      <c r="D1323" s="2" t="inlineStr">
        <is>
          <t>100.0</t>
        </is>
      </c>
      <c r="E1323" s="4">
        <f>HYPERLINK("./Results/DLO\3031\Osteo_Sarco_1.png","RPT")</f>
        <v/>
      </c>
      <c r="F1323" s="2" t="n">
        <v>147</v>
      </c>
      <c r="G1323" s="6" t="n">
        <v>10</v>
      </c>
      <c r="I1323" s="0" t="n"/>
      <c r="J1323" s="0" t="n"/>
      <c r="K1323" s="0" t="n"/>
      <c r="L1323" t="inlineStr">
        <is>
          <t>SOMATOM Definition...</t>
        </is>
      </c>
      <c r="M1323" t="inlineStr">
        <is>
          <t>Pre(Abd) 3mm</t>
        </is>
      </c>
    </row>
    <row r="1324">
      <c r="A1324" s="2" t="n">
        <v>9836535</v>
      </c>
      <c r="B1324" s="2" t="inlineStr">
        <is>
          <t>49</t>
        </is>
      </c>
      <c r="C1324" s="2" t="inlineStr">
        <is>
          <t>M</t>
        </is>
      </c>
      <c r="D1324" s="2" t="inlineStr">
        <is>
          <t>100.0</t>
        </is>
      </c>
      <c r="E1324" s="4">
        <f>HYPERLINK("./Results/DLO\3032\Osteo_Sarco_1.png","RPT")</f>
        <v/>
      </c>
      <c r="F1324" s="2" t="n">
        <v>144</v>
      </c>
      <c r="G1324" s="6" t="n">
        <v>22</v>
      </c>
      <c r="I1324" s="0" t="n"/>
      <c r="J1324" s="0" t="n"/>
      <c r="K1324" s="0" t="n"/>
      <c r="L1324" t="inlineStr">
        <is>
          <t>SOMATOM Definition...</t>
        </is>
      </c>
      <c r="M1324" t="inlineStr">
        <is>
          <t>Abd Pre 3.0 I30f</t>
        </is>
      </c>
    </row>
    <row r="1325">
      <c r="A1325" s="2" t="n">
        <v>9836079</v>
      </c>
      <c r="B1325" s="2" t="inlineStr">
        <is>
          <t>62</t>
        </is>
      </c>
      <c r="C1325" s="2" t="inlineStr">
        <is>
          <t>F</t>
        </is>
      </c>
      <c r="D1325" s="2" t="inlineStr">
        <is>
          <t>100.0</t>
        </is>
      </c>
      <c r="E1325" s="4">
        <f>HYPERLINK("./Results/DLO\3033\Osteo_Sarco_1.png","RPT")</f>
        <v/>
      </c>
      <c r="F1325" s="2" t="n">
        <v>114</v>
      </c>
      <c r="G1325" s="6" t="n">
        <v>5</v>
      </c>
      <c r="H1325" t="n">
        <v>24.03</v>
      </c>
      <c r="L1325" t="inlineStr">
        <is>
          <t>Discovery CT750 HD</t>
        </is>
      </c>
      <c r="M1325" t="inlineStr">
        <is>
          <t>PRE</t>
        </is>
      </c>
    </row>
    <row r="1326">
      <c r="A1326" s="2" t="n">
        <v>9836951</v>
      </c>
      <c r="B1326" s="2" t="inlineStr">
        <is>
          <t>43</t>
        </is>
      </c>
      <c r="C1326" s="2" t="inlineStr">
        <is>
          <t>M</t>
        </is>
      </c>
      <c r="D1326" s="2" t="inlineStr">
        <is>
          <t>100.0</t>
        </is>
      </c>
      <c r="E1326" s="4">
        <f>HYPERLINK("./Results/DLO\3034\Osteo_Sarco_1.png","RPT")</f>
        <v/>
      </c>
      <c r="F1326" s="2" t="n">
        <v>160</v>
      </c>
      <c r="G1326" s="6" t="n">
        <v>4</v>
      </c>
      <c r="I1326" s="0" t="n"/>
      <c r="J1326" s="0" t="n"/>
      <c r="K1326" s="0" t="n"/>
      <c r="L1326" t="inlineStr">
        <is>
          <t>Revolution CT</t>
        </is>
      </c>
      <c r="M1326" t="inlineStr">
        <is>
          <t>Pre 3mm pacs</t>
        </is>
      </c>
    </row>
    <row r="1327">
      <c r="A1327" s="2" t="n">
        <v>9836086</v>
      </c>
      <c r="B1327" s="2" t="inlineStr">
        <is>
          <t>64</t>
        </is>
      </c>
      <c r="C1327" s="2" t="inlineStr">
        <is>
          <t>M</t>
        </is>
      </c>
      <c r="D1327" s="2" t="inlineStr">
        <is>
          <t>100.0</t>
        </is>
      </c>
      <c r="E1327" s="4">
        <f>HYPERLINK("./Results/DLO\3035\Osteo_Sarco_1.png","RPT")</f>
        <v/>
      </c>
      <c r="F1327" s="2" t="n">
        <v>136</v>
      </c>
      <c r="G1327" s="6" t="n">
        <v>7</v>
      </c>
      <c r="H1327" t="n">
        <v>21.55</v>
      </c>
      <c r="L1327" t="inlineStr">
        <is>
          <t>SOMATOM Definition...</t>
        </is>
      </c>
      <c r="M1327" t="inlineStr">
        <is>
          <t>Pre 5.0 I30f 1</t>
        </is>
      </c>
    </row>
    <row r="1328">
      <c r="A1328" s="2" t="n">
        <v>9838117</v>
      </c>
      <c r="B1328" s="2" t="inlineStr">
        <is>
          <t>49</t>
        </is>
      </c>
      <c r="C1328" s="2" t="inlineStr">
        <is>
          <t>F</t>
        </is>
      </c>
      <c r="D1328" s="2" t="inlineStr">
        <is>
          <t>100.0</t>
        </is>
      </c>
      <c r="E1328" s="4">
        <f>HYPERLINK("./Results/DLO\3036\Osteo_Sarco_1.png","RPT")</f>
        <v/>
      </c>
      <c r="F1328" s="2" t="n">
        <v>114</v>
      </c>
      <c r="G1328" s="6" t="n">
        <v>12</v>
      </c>
      <c r="I1328" s="0" t="n"/>
      <c r="J1328" s="0" t="n"/>
      <c r="K1328" s="0" t="n"/>
      <c r="L1328" t="inlineStr">
        <is>
          <t>SOMATOM Definition...</t>
        </is>
      </c>
      <c r="M1328" t="inlineStr">
        <is>
          <t>LAP 3mm (60kg/120cc/3cc/hexo)</t>
        </is>
      </c>
    </row>
    <row r="1329">
      <c r="A1329" s="2" t="n">
        <v>9837496</v>
      </c>
      <c r="B1329" s="2" t="inlineStr">
        <is>
          <t>68</t>
        </is>
      </c>
      <c r="C1329" s="2" t="inlineStr">
        <is>
          <t>F</t>
        </is>
      </c>
      <c r="D1329" s="2" t="inlineStr">
        <is>
          <t>120.0</t>
        </is>
      </c>
      <c r="E1329" s="4">
        <f>HYPERLINK("./Results/DLO\3037\Osteo_Sarco_1.png","RPT")</f>
        <v/>
      </c>
      <c r="F1329" s="2" t="n">
        <v>99</v>
      </c>
      <c r="G1329" s="6" t="n">
        <v>15</v>
      </c>
      <c r="H1329" t="n">
        <v>26.24</v>
      </c>
      <c r="L1329" t="inlineStr">
        <is>
          <t>iCT 256</t>
        </is>
      </c>
      <c r="M1329" t="inlineStr">
        <is>
          <t>ABD portal</t>
        </is>
      </c>
    </row>
    <row r="1330">
      <c r="A1330" s="2" t="n">
        <v>9837653</v>
      </c>
      <c r="B1330" s="2" t="inlineStr">
        <is>
          <t>61</t>
        </is>
      </c>
      <c r="C1330" s="2" t="inlineStr">
        <is>
          <t>F</t>
        </is>
      </c>
      <c r="D1330" s="2" t="inlineStr">
        <is>
          <t>120.0</t>
        </is>
      </c>
      <c r="E1330" s="4">
        <f>HYPERLINK("./Results/DLO\3038\Osteo_Sarco_1.png","RPT")</f>
        <v/>
      </c>
      <c r="F1330" s="2" t="n">
        <v>107</v>
      </c>
      <c r="G1330" s="6" t="n">
        <v>16</v>
      </c>
      <c r="I1330" s="0" t="n"/>
      <c r="J1330" s="0" t="n"/>
      <c r="K1330" s="0" t="n"/>
      <c r="L1330" t="inlineStr">
        <is>
          <t>Aquilion</t>
        </is>
      </c>
      <c r="M1330" t="inlineStr">
        <is>
          <t>Body 5.0</t>
        </is>
      </c>
    </row>
    <row r="1331">
      <c r="A1331" s="2" t="n">
        <v>9838499</v>
      </c>
      <c r="B1331" s="2" t="inlineStr">
        <is>
          <t>58</t>
        </is>
      </c>
      <c r="C1331" s="2" t="inlineStr">
        <is>
          <t>M</t>
        </is>
      </c>
      <c r="D1331" s="2" t="inlineStr">
        <is>
          <t>120.0</t>
        </is>
      </c>
      <c r="E1331" s="4">
        <f>HYPERLINK("./Results/DLO\3039\Osteo_Sarco_1.png","RPT")</f>
        <v/>
      </c>
      <c r="F1331" s="2" t="n">
        <v>167</v>
      </c>
      <c r="G1331" s="6" t="n">
        <v>7</v>
      </c>
      <c r="I1331" s="0" t="n"/>
      <c r="J1331" s="0" t="n"/>
      <c r="K1331" s="0" t="n"/>
      <c r="L1331" t="inlineStr">
        <is>
          <t>iCT 256</t>
        </is>
      </c>
      <c r="M1331" t="inlineStr">
        <is>
          <t>LAP 3/3mm, iDose (3)</t>
        </is>
      </c>
    </row>
    <row r="1332">
      <c r="A1332" s="2" t="n">
        <v>1763698</v>
      </c>
      <c r="B1332" s="2" t="inlineStr">
        <is>
          <t>63</t>
        </is>
      </c>
      <c r="C1332" s="2" t="inlineStr">
        <is>
          <t>F</t>
        </is>
      </c>
      <c r="D1332" s="2" t="inlineStr">
        <is>
          <t>120.0</t>
        </is>
      </c>
      <c r="E1332" s="4">
        <f>HYPERLINK("./Results/DLO\304\Osteo_Sarco_1.png","RPT")</f>
        <v/>
      </c>
      <c r="F1332" s="2" t="n">
        <v>96</v>
      </c>
      <c r="G1332" s="6" t="n">
        <v>7</v>
      </c>
      <c r="I1332" s="0" t="n"/>
      <c r="J1332" s="0" t="n"/>
      <c r="K1332" s="0" t="n"/>
      <c r="L1332" t="inlineStr">
        <is>
          <t>Discovery CT750 HD</t>
        </is>
      </c>
      <c r="M1332" t="inlineStr">
        <is>
          <t>HVP 3mm</t>
        </is>
      </c>
    </row>
    <row r="1333">
      <c r="A1333" s="2" t="n">
        <v>9838761</v>
      </c>
      <c r="B1333" s="2" t="inlineStr">
        <is>
          <t>74</t>
        </is>
      </c>
      <c r="C1333" s="2" t="inlineStr">
        <is>
          <t>M</t>
        </is>
      </c>
      <c r="D1333" s="2" t="inlineStr">
        <is>
          <t>120.0</t>
        </is>
      </c>
      <c r="E1333" s="4">
        <f>HYPERLINK("./Results/DLO\3040\Osteo_Sarco_1.png","RPT")</f>
        <v/>
      </c>
      <c r="F1333" s="2" t="n">
        <v>188</v>
      </c>
      <c r="G1333" s="6" t="n">
        <v>15</v>
      </c>
      <c r="H1333" t="n">
        <v>30.84</v>
      </c>
      <c r="L1333" t="inlineStr">
        <is>
          <t>LightSpeed VCT</t>
        </is>
      </c>
      <c r="M1333" t="inlineStr">
        <is>
          <t>LAP 18sec 3mm</t>
        </is>
      </c>
    </row>
    <row r="1334">
      <c r="A1334" s="2" t="n">
        <v>9839059</v>
      </c>
      <c r="B1334" s="2" t="inlineStr">
        <is>
          <t>72</t>
        </is>
      </c>
      <c r="C1334" s="2" t="inlineStr">
        <is>
          <t>M</t>
        </is>
      </c>
      <c r="D1334" s="2" t="inlineStr">
        <is>
          <t>120.0</t>
        </is>
      </c>
      <c r="E1334" s="4">
        <f>HYPERLINK("./Results/DLO\3041\Osteo_Sarco_1.png","RPT")</f>
        <v/>
      </c>
      <c r="F1334" s="2" t="n">
        <v>130</v>
      </c>
      <c r="G1334" s="6" t="n">
        <v>10</v>
      </c>
      <c r="H1334" t="n">
        <v>22.86</v>
      </c>
      <c r="L1334" t="inlineStr">
        <is>
          <t>iCT 256</t>
        </is>
      </c>
      <c r="M1334" t="inlineStr">
        <is>
          <t>LAP 3/3mm, iDose (3)</t>
        </is>
      </c>
    </row>
    <row r="1335">
      <c r="A1335" s="2" t="n">
        <v>9839288</v>
      </c>
      <c r="B1335" s="2" t="inlineStr">
        <is>
          <t>60</t>
        </is>
      </c>
      <c r="C1335" s="2" t="inlineStr">
        <is>
          <t>M</t>
        </is>
      </c>
      <c r="D1335" s="2" t="inlineStr">
        <is>
          <t>130.0</t>
        </is>
      </c>
      <c r="E1335" s="4">
        <f>HYPERLINK("./Results/DLO\3042\Osteo_Sarco_1.png","RPT")</f>
        <v/>
      </c>
      <c r="F1335" s="2" t="n">
        <v>142</v>
      </c>
      <c r="G1335" s="6" t="n">
        <v>9</v>
      </c>
      <c r="H1335" t="n">
        <v>23.13</v>
      </c>
      <c r="L1335" t="inlineStr">
        <is>
          <t>SOMATOM Scope</t>
        </is>
      </c>
      <c r="M1335" t="inlineStr">
        <is>
          <t>Abdomen pre 5.0 B30s</t>
        </is>
      </c>
    </row>
    <row r="1336">
      <c r="A1336" s="2" t="n">
        <v>9839670</v>
      </c>
      <c r="B1336" s="2" t="inlineStr">
        <is>
          <t>72</t>
        </is>
      </c>
      <c r="C1336" s="2" t="inlineStr">
        <is>
          <t>M</t>
        </is>
      </c>
      <c r="D1336" s="2" t="inlineStr">
        <is>
          <t>100.0</t>
        </is>
      </c>
      <c r="E1336" s="4">
        <f>HYPERLINK("./Results/DLO\3043\Osteo_Sarco_1.png","RPT")</f>
        <v/>
      </c>
      <c r="F1336" s="2" t="n">
        <v>116</v>
      </c>
      <c r="G1336" s="6" t="n">
        <v>8</v>
      </c>
      <c r="I1336" s="0" t="n"/>
      <c r="J1336" s="0" t="n"/>
      <c r="K1336" s="0" t="n"/>
      <c r="L1336" t="inlineStr">
        <is>
          <t>Revolution CT</t>
        </is>
      </c>
      <c r="M1336" t="inlineStr">
        <is>
          <t>LAP 3mm(63kg/126cc/3.0cc/hexos)</t>
        </is>
      </c>
    </row>
    <row r="1337">
      <c r="A1337" s="2" t="n">
        <v>9839813</v>
      </c>
      <c r="B1337" s="2" t="inlineStr">
        <is>
          <t>53</t>
        </is>
      </c>
      <c r="C1337" s="2" t="inlineStr">
        <is>
          <t>M</t>
        </is>
      </c>
      <c r="D1337" s="2" t="inlineStr">
        <is>
          <t>100.0</t>
        </is>
      </c>
      <c r="E1337" s="4">
        <f>HYPERLINK("./Results/DLO\3044\Osteo_Sarco_1.png","RPT")</f>
        <v/>
      </c>
      <c r="F1337" s="2" t="n">
        <v>128</v>
      </c>
      <c r="G1337" s="6" t="n">
        <v>22</v>
      </c>
      <c r="I1337" s="0" t="n"/>
      <c r="J1337" s="0" t="n"/>
      <c r="K1337" s="0" t="n"/>
      <c r="L1337" t="inlineStr">
        <is>
          <t>SOMATOM Definition...</t>
        </is>
      </c>
      <c r="M1337" t="inlineStr">
        <is>
          <t>LAP 2 3mm(53kg/106ml/3cc/radi)</t>
        </is>
      </c>
    </row>
    <row r="1338">
      <c r="A1338" s="2" t="n">
        <v>9839501</v>
      </c>
      <c r="B1338" s="2" t="inlineStr">
        <is>
          <t>56</t>
        </is>
      </c>
      <c r="C1338" s="2" t="inlineStr">
        <is>
          <t>F</t>
        </is>
      </c>
      <c r="D1338" s="2" t="inlineStr">
        <is>
          <t>100.0</t>
        </is>
      </c>
      <c r="E1338" s="4">
        <f>HYPERLINK("./Results/DLO\3045\Osteo_Sarco_1.png","RPT")</f>
        <v/>
      </c>
      <c r="F1338" s="2" t="n">
        <v>74</v>
      </c>
      <c r="G1338" s="6" t="n">
        <v>4</v>
      </c>
      <c r="I1338" s="0" t="n"/>
      <c r="J1338" s="0" t="n"/>
      <c r="K1338" s="0" t="n"/>
      <c r="L1338" t="inlineStr">
        <is>
          <t>Ingenuity Core 128</t>
        </is>
      </c>
      <c r="M1338" t="inlineStr">
        <is>
          <t>Arterial 3mm, iDose (3)</t>
        </is>
      </c>
    </row>
    <row r="1339">
      <c r="A1339" s="2" t="n">
        <v>9840710</v>
      </c>
      <c r="B1339" s="2" t="inlineStr">
        <is>
          <t>40</t>
        </is>
      </c>
      <c r="C1339" s="2" t="inlineStr">
        <is>
          <t>F</t>
        </is>
      </c>
      <c r="D1339" s="2" t="inlineStr">
        <is>
          <t>120.0</t>
        </is>
      </c>
      <c r="E1339" s="4">
        <f>HYPERLINK("./Results/DLO\3046\Osteo_Sarco_1.png","RPT")</f>
        <v/>
      </c>
      <c r="F1339" s="2" t="n">
        <v>118</v>
      </c>
      <c r="G1339" s="6" t="n">
        <v>7</v>
      </c>
      <c r="I1339" s="0" t="n"/>
      <c r="J1339" s="0" t="n"/>
      <c r="K1339" s="0" t="n"/>
      <c r="L1339" t="inlineStr">
        <is>
          <t>iCT 256</t>
        </is>
      </c>
      <c r="M1339" t="inlineStr">
        <is>
          <t>LAP 3/3mm, iDose (3)</t>
        </is>
      </c>
    </row>
    <row r="1340">
      <c r="A1340" s="2" t="n">
        <v>8654169</v>
      </c>
      <c r="B1340" s="2" t="inlineStr">
        <is>
          <t>62</t>
        </is>
      </c>
      <c r="C1340" s="2" t="inlineStr">
        <is>
          <t>F</t>
        </is>
      </c>
      <c r="D1340" s="2" t="inlineStr">
        <is>
          <t>120.0</t>
        </is>
      </c>
      <c r="E1340" s="4">
        <f>HYPERLINK("./Results/DLO\3047\Osteo_Sarco_1.png","RPT")</f>
        <v/>
      </c>
      <c r="F1340" s="2" t="n">
        <v>116</v>
      </c>
      <c r="G1340" s="6" t="n">
        <v>13</v>
      </c>
      <c r="I1340" s="0" t="n"/>
      <c r="J1340" s="0" t="n"/>
      <c r="K1340" s="0" t="n"/>
      <c r="L1340" t="inlineStr">
        <is>
          <t>iCT 256</t>
        </is>
      </c>
      <c r="M1340" t="inlineStr">
        <is>
          <t>LAP 3/3mm, iDose (3)</t>
        </is>
      </c>
    </row>
    <row r="1341">
      <c r="A1341" s="2" t="n">
        <v>9841578</v>
      </c>
      <c r="B1341" s="2" t="inlineStr">
        <is>
          <t>64</t>
        </is>
      </c>
      <c r="C1341" s="2" t="inlineStr">
        <is>
          <t>F</t>
        </is>
      </c>
      <c r="D1341" s="2" t="inlineStr">
        <is>
          <t>100.0</t>
        </is>
      </c>
      <c r="E1341" s="4">
        <f>HYPERLINK("./Results/DLO\3048\Osteo_Sarco_1.png","RPT")</f>
        <v/>
      </c>
      <c r="F1341" s="2" t="n">
        <v>109</v>
      </c>
      <c r="G1341" s="6" t="n">
        <v>18</v>
      </c>
      <c r="I1341" s="0" t="n"/>
      <c r="J1341" s="0" t="n"/>
      <c r="K1341" s="0" t="n"/>
      <c r="L1341" t="inlineStr">
        <is>
          <t>Revolution CT</t>
        </is>
      </c>
      <c r="M1341" t="inlineStr">
        <is>
          <t>LAP 3mm(61kg/122cc/3.0cc/hexos)</t>
        </is>
      </c>
    </row>
    <row r="1342">
      <c r="A1342" s="2" t="n">
        <v>9841370</v>
      </c>
      <c r="B1342" s="2" t="inlineStr">
        <is>
          <t>44</t>
        </is>
      </c>
      <c r="C1342" s="2" t="inlineStr">
        <is>
          <t>M</t>
        </is>
      </c>
      <c r="D1342" s="2" t="inlineStr">
        <is>
          <t>120.0</t>
        </is>
      </c>
      <c r="E1342" s="4">
        <f>HYPERLINK("./Results/DLO\3049\Osteo_Sarco_1.png","RPT")</f>
        <v/>
      </c>
      <c r="F1342" s="2" t="n">
        <v>152</v>
      </c>
      <c r="G1342" s="6" t="n">
        <v>6</v>
      </c>
      <c r="I1342" s="0" t="n"/>
      <c r="J1342" s="0" t="n"/>
      <c r="K1342" s="0" t="n"/>
      <c r="L1342" t="inlineStr">
        <is>
          <t>MX 16</t>
        </is>
      </c>
      <c r="M1342" t="inlineStr">
        <is>
          <t>Pre</t>
        </is>
      </c>
    </row>
    <row r="1343">
      <c r="A1343" s="2" t="n">
        <v>1574175</v>
      </c>
      <c r="B1343" s="2" t="inlineStr">
        <is>
          <t>50</t>
        </is>
      </c>
      <c r="C1343" s="2" t="inlineStr">
        <is>
          <t>M</t>
        </is>
      </c>
      <c r="D1343" s="2" t="inlineStr">
        <is>
          <t>120.0</t>
        </is>
      </c>
      <c r="E1343" s="4">
        <f>HYPERLINK("./Results/DLO\305\Osteo_Sarco_1.png","RPT")</f>
        <v/>
      </c>
      <c r="F1343" s="2" t="n">
        <v>143</v>
      </c>
      <c r="G1343" s="6" t="n">
        <v>9</v>
      </c>
      <c r="I1343" s="0" t="n"/>
      <c r="J1343" s="0" t="n"/>
      <c r="K1343" s="0" t="n"/>
      <c r="L1343" t="inlineStr">
        <is>
          <t>LightSpeed VCT</t>
        </is>
      </c>
      <c r="M1343" t="inlineStr">
        <is>
          <t>HVP 3mm</t>
        </is>
      </c>
    </row>
    <row r="1344">
      <c r="A1344" s="2" t="n">
        <v>9841419</v>
      </c>
      <c r="B1344" s="2" t="inlineStr">
        <is>
          <t>52</t>
        </is>
      </c>
      <c r="C1344" s="2" t="inlineStr">
        <is>
          <t>F</t>
        </is>
      </c>
      <c r="D1344" s="2" t="inlineStr">
        <is>
          <t>120.0</t>
        </is>
      </c>
      <c r="E1344" s="4">
        <f>HYPERLINK("./Results/DLO\3050\Osteo_Sarco_1.png","RPT")</f>
        <v/>
      </c>
      <c r="F1344" s="2" t="n">
        <v>108</v>
      </c>
      <c r="G1344" s="6" t="n">
        <v>5</v>
      </c>
      <c r="I1344" s="0" t="n"/>
      <c r="J1344" s="0" t="n"/>
      <c r="K1344" s="0" t="n"/>
      <c r="L1344" t="inlineStr">
        <is>
          <t>iCT 256</t>
        </is>
      </c>
      <c r="M1344" t="inlineStr">
        <is>
          <t>LAP 3/3mm, iDose (3)</t>
        </is>
      </c>
    </row>
    <row r="1345">
      <c r="A1345" s="2" t="n">
        <v>9842463</v>
      </c>
      <c r="B1345" s="2" t="inlineStr">
        <is>
          <t>65</t>
        </is>
      </c>
      <c r="C1345" s="2" t="inlineStr">
        <is>
          <t>M</t>
        </is>
      </c>
      <c r="D1345" s="2" t="inlineStr">
        <is>
          <t>100.0</t>
        </is>
      </c>
      <c r="E1345" s="4">
        <f>HYPERLINK("./Results/DLO\3051\Osteo_Sarco_1.png","RPT")</f>
        <v/>
      </c>
      <c r="F1345" s="2" t="n">
        <v>207</v>
      </c>
      <c r="G1345" s="6" t="n">
        <v>35</v>
      </c>
      <c r="I1345" s="0" t="n"/>
      <c r="J1345" s="0" t="n"/>
      <c r="K1345" s="0" t="n"/>
      <c r="L1345" t="inlineStr">
        <is>
          <t>SOMATOM Definition...</t>
        </is>
      </c>
      <c r="M1345" t="inlineStr">
        <is>
          <t>Pre(CP~pubic) 3mm</t>
        </is>
      </c>
    </row>
    <row r="1346">
      <c r="A1346" s="2" t="n">
        <v>9842501</v>
      </c>
      <c r="B1346" s="2" t="inlineStr">
        <is>
          <t>53</t>
        </is>
      </c>
      <c r="C1346" s="2" t="inlineStr">
        <is>
          <t>M</t>
        </is>
      </c>
      <c r="D1346" s="2" t="inlineStr">
        <is>
          <t>100.0</t>
        </is>
      </c>
      <c r="E1346" s="4">
        <f>HYPERLINK("./Results/DLO\3052\Osteo_Sarco_1.png","RPT")</f>
        <v/>
      </c>
      <c r="F1346" s="2" t="n">
        <v>137</v>
      </c>
      <c r="G1346" s="6" t="n">
        <v>6</v>
      </c>
      <c r="I1346" s="0" t="n"/>
      <c r="J1346" s="0" t="n"/>
      <c r="K1346" s="0" t="n"/>
      <c r="L1346" t="inlineStr">
        <is>
          <t>Revolution EVO</t>
        </is>
      </c>
      <c r="M1346" t="inlineStr">
        <is>
          <t>PRE</t>
        </is>
      </c>
    </row>
    <row r="1347">
      <c r="A1347" s="2" t="n">
        <v>9842459</v>
      </c>
      <c r="B1347" s="2" t="inlineStr">
        <is>
          <t>60</t>
        </is>
      </c>
      <c r="C1347" s="2" t="inlineStr">
        <is>
          <t>F</t>
        </is>
      </c>
      <c r="D1347" s="2" t="inlineStr">
        <is>
          <t>100.0</t>
        </is>
      </c>
      <c r="E1347" s="4">
        <f>HYPERLINK("./Results/DLO\3053\Osteo_Sarco_1.png","RPT")</f>
        <v/>
      </c>
      <c r="F1347" s="2" t="n">
        <v>127</v>
      </c>
      <c r="G1347" s="6" t="n">
        <v>12</v>
      </c>
      <c r="I1347" s="0" t="n"/>
      <c r="J1347" s="0" t="n"/>
      <c r="K1347" s="0" t="n"/>
      <c r="L1347" t="inlineStr">
        <is>
          <t>LightSpeed VCT</t>
        </is>
      </c>
      <c r="M1347" t="inlineStr">
        <is>
          <t>PRE (CP angle~Pubic)</t>
        </is>
      </c>
    </row>
    <row r="1348">
      <c r="A1348" s="2" t="n">
        <v>9842394</v>
      </c>
      <c r="B1348" s="2" t="inlineStr">
        <is>
          <t>61</t>
        </is>
      </c>
      <c r="C1348" s="2" t="inlineStr">
        <is>
          <t>M</t>
        </is>
      </c>
      <c r="D1348" s="2" t="inlineStr">
        <is>
          <t>100.0</t>
        </is>
      </c>
      <c r="E1348" s="4">
        <f>HYPERLINK("./Results/DLO\3054\Osteo_Sarco_1.png","RPT")</f>
        <v/>
      </c>
      <c r="F1348" s="2" t="n">
        <v>161</v>
      </c>
      <c r="G1348" s="6" t="n">
        <v>15</v>
      </c>
      <c r="H1348" t="n">
        <v>25.32</v>
      </c>
      <c r="L1348" t="inlineStr">
        <is>
          <t>iCT 256</t>
        </is>
      </c>
      <c r="M1348" t="inlineStr">
        <is>
          <t>Pre (CP~Pubi)3mm, iDose (3)</t>
        </is>
      </c>
    </row>
    <row r="1349">
      <c r="A1349" s="2" t="n">
        <v>9844223</v>
      </c>
      <c r="B1349" s="2" t="inlineStr">
        <is>
          <t>64</t>
        </is>
      </c>
      <c r="C1349" s="2" t="inlineStr">
        <is>
          <t>F</t>
        </is>
      </c>
      <c r="D1349" s="2" t="inlineStr">
        <is>
          <t>120.0</t>
        </is>
      </c>
      <c r="E1349" s="4">
        <f>HYPERLINK("./Results/DLO\3055\Osteo_Sarco_1.png","RPT")</f>
        <v/>
      </c>
      <c r="F1349" s="2" t="n">
        <v>96</v>
      </c>
      <c r="G1349" s="6" t="n">
        <v>16</v>
      </c>
      <c r="I1349" s="0" t="n"/>
      <c r="J1349" s="0" t="n"/>
      <c r="K1349" s="0" t="n"/>
      <c r="L1349" t="inlineStr">
        <is>
          <t>SOMATOM Definition...</t>
        </is>
      </c>
      <c r="M1349" t="inlineStr">
        <is>
          <t>Pre.NON 3.0 B30f</t>
        </is>
      </c>
    </row>
    <row r="1350">
      <c r="A1350" s="2" t="n">
        <v>9845207</v>
      </c>
      <c r="B1350" s="2" t="inlineStr">
        <is>
          <t>58</t>
        </is>
      </c>
      <c r="C1350" s="2" t="inlineStr">
        <is>
          <t>M</t>
        </is>
      </c>
      <c r="D1350" s="2" t="inlineStr">
        <is>
          <t>120.0</t>
        </is>
      </c>
      <c r="E1350" s="4">
        <f>HYPERLINK("./Results/DLO\3056\Osteo_Sarco_1.png","RPT")</f>
        <v/>
      </c>
      <c r="F1350" s="2" t="n">
        <v>159</v>
      </c>
      <c r="G1350" s="6" t="n">
        <v>9</v>
      </c>
      <c r="I1350" s="0" t="n"/>
      <c r="J1350" s="0" t="n"/>
      <c r="K1350" s="0" t="n"/>
      <c r="L1350" t="inlineStr">
        <is>
          <t>LightSpeed VCT</t>
        </is>
      </c>
      <c r="M1350" t="inlineStr">
        <is>
          <t>LAP 18sec 3mm</t>
        </is>
      </c>
    </row>
    <row r="1351">
      <c r="A1351" s="2" t="n">
        <v>9847594</v>
      </c>
      <c r="B1351" s="2" t="inlineStr">
        <is>
          <t>57</t>
        </is>
      </c>
      <c r="C1351" s="2" t="inlineStr">
        <is>
          <t>M</t>
        </is>
      </c>
      <c r="D1351" s="2" t="inlineStr">
        <is>
          <t>100.0</t>
        </is>
      </c>
      <c r="E1351" s="4">
        <f>HYPERLINK("./Results/DLO\3057\Osteo_Sarco_1.png","RPT")</f>
        <v/>
      </c>
      <c r="F1351" s="2" t="n">
        <v>148</v>
      </c>
      <c r="G1351" s="6" t="n">
        <v>5</v>
      </c>
      <c r="I1351" s="0" t="n"/>
      <c r="J1351" s="0" t="n"/>
      <c r="K1351" s="0" t="n"/>
      <c r="L1351" t="inlineStr">
        <is>
          <t>Ingenuity Core 128</t>
        </is>
      </c>
      <c r="M1351" t="inlineStr">
        <is>
          <t>PRE, IDOSE (2)</t>
        </is>
      </c>
    </row>
    <row r="1352">
      <c r="A1352" s="2" t="n">
        <v>9849005</v>
      </c>
      <c r="B1352" s="2" t="inlineStr">
        <is>
          <t>54</t>
        </is>
      </c>
      <c r="C1352" s="2" t="inlineStr">
        <is>
          <t>F</t>
        </is>
      </c>
      <c r="D1352" s="2" t="inlineStr">
        <is>
          <t>120.0</t>
        </is>
      </c>
      <c r="E1352" s="4">
        <f>HYPERLINK("./Results/DLO\3058\Osteo_Sarco_1.png","RPT")</f>
        <v/>
      </c>
      <c r="F1352" s="2" t="n">
        <v>87</v>
      </c>
      <c r="G1352" s="6" t="n">
        <v>8</v>
      </c>
      <c r="I1352" s="0" t="n"/>
      <c r="J1352" s="0" t="n"/>
      <c r="K1352" s="0" t="n"/>
      <c r="L1352" t="inlineStr">
        <is>
          <t>Aquilion</t>
        </is>
      </c>
      <c r="M1352" t="inlineStr">
        <is>
          <t>Body 5.0</t>
        </is>
      </c>
    </row>
    <row r="1353">
      <c r="A1353" s="2" t="n">
        <v>9848717</v>
      </c>
      <c r="B1353" s="2" t="inlineStr">
        <is>
          <t>43</t>
        </is>
      </c>
      <c r="C1353" s="2" t="inlineStr">
        <is>
          <t>M</t>
        </is>
      </c>
      <c r="D1353" s="2" t="inlineStr">
        <is>
          <t>120.0</t>
        </is>
      </c>
      <c r="E1353" s="4">
        <f>HYPERLINK("./Results/DLO\3059\Osteo_Sarco_1.png","RPT")</f>
        <v/>
      </c>
      <c r="F1353" s="2" t="n">
        <v>217</v>
      </c>
      <c r="G1353" s="6" t="n">
        <v>8</v>
      </c>
      <c r="H1353" t="n">
        <v>27.5</v>
      </c>
      <c r="L1353" t="inlineStr">
        <is>
          <t>Discovery CT750 HD</t>
        </is>
      </c>
      <c r="M1353" t="inlineStr">
        <is>
          <t>Kid~Pel.</t>
        </is>
      </c>
    </row>
    <row r="1354">
      <c r="A1354" s="2" t="n">
        <v>3984474</v>
      </c>
      <c r="B1354" s="2" t="inlineStr">
        <is>
          <t>60</t>
        </is>
      </c>
      <c r="C1354" s="2" t="inlineStr">
        <is>
          <t>F</t>
        </is>
      </c>
      <c r="D1354" s="2" t="inlineStr">
        <is>
          <t>100.0</t>
        </is>
      </c>
      <c r="E1354" s="4">
        <f>HYPERLINK("./Results/DLO\306\Osteo_Sarco_1.png","RPT")</f>
        <v/>
      </c>
      <c r="F1354" s="2" t="n">
        <v>98</v>
      </c>
      <c r="G1354" s="6" t="n">
        <v>9</v>
      </c>
      <c r="I1354" s="0" t="n"/>
      <c r="J1354" s="0" t="n"/>
      <c r="K1354" s="0" t="n"/>
      <c r="L1354" t="inlineStr">
        <is>
          <t>SOMATOM Force</t>
        </is>
      </c>
      <c r="M1354" t="inlineStr">
        <is>
          <t>HVP 3.0 Br40 2 (52kg/102cc...</t>
        </is>
      </c>
    </row>
    <row r="1355">
      <c r="A1355" s="2" t="n">
        <v>9850080</v>
      </c>
      <c r="B1355" s="2" t="inlineStr">
        <is>
          <t>59</t>
        </is>
      </c>
      <c r="C1355" s="2" t="inlineStr">
        <is>
          <t>M</t>
        </is>
      </c>
      <c r="D1355" s="2" t="inlineStr">
        <is>
          <t>90.0</t>
        </is>
      </c>
      <c r="E1355" s="4">
        <f>HYPERLINK("./Results/DLO\3060\Osteo_Sarco_1.png","RPT")</f>
        <v/>
      </c>
      <c r="F1355" s="2" t="n">
        <v>184</v>
      </c>
      <c r="G1355" s="6" t="n">
        <v>9</v>
      </c>
      <c r="I1355" s="0" t="n"/>
      <c r="J1355" s="0" t="n"/>
      <c r="K1355" s="0" t="n"/>
      <c r="L1355" t="inlineStr">
        <is>
          <t>SOMATOM Force</t>
        </is>
      </c>
      <c r="M1355" t="inlineStr">
        <is>
          <t>Dia~Pel.N 5.0 Br40 2</t>
        </is>
      </c>
    </row>
    <row r="1356">
      <c r="A1356" s="2" t="n">
        <v>9849834</v>
      </c>
      <c r="B1356" s="2" t="inlineStr">
        <is>
          <t>54</t>
        </is>
      </c>
      <c r="C1356" s="2" t="inlineStr">
        <is>
          <t>F</t>
        </is>
      </c>
      <c r="D1356" s="2" t="inlineStr">
        <is>
          <t>100.0</t>
        </is>
      </c>
      <c r="E1356" s="4">
        <f>HYPERLINK("./Results/DLO\3061\Osteo_Sarco_1.png","RPT")</f>
        <v/>
      </c>
      <c r="F1356" s="2" t="n">
        <v>94</v>
      </c>
      <c r="G1356" s="6" t="n">
        <v>6</v>
      </c>
      <c r="I1356" s="0" t="n"/>
      <c r="J1356" s="0" t="n"/>
      <c r="K1356" s="0" t="n"/>
      <c r="L1356" t="inlineStr">
        <is>
          <t>iCT 256</t>
        </is>
      </c>
      <c r="M1356" t="inlineStr">
        <is>
          <t>Pre3/3mm_I-3, iDose (3)</t>
        </is>
      </c>
    </row>
    <row r="1357">
      <c r="A1357" s="2" t="n">
        <v>9851076</v>
      </c>
      <c r="B1357" s="2" t="inlineStr">
        <is>
          <t>57</t>
        </is>
      </c>
      <c r="C1357" s="2" t="inlineStr">
        <is>
          <t>M</t>
        </is>
      </c>
      <c r="D1357" s="2" t="inlineStr">
        <is>
          <t>120.0</t>
        </is>
      </c>
      <c r="E1357" s="4">
        <f>HYPERLINK("./Results/DLO\3062\Osteo_Sarco_1.png","RPT")</f>
        <v/>
      </c>
      <c r="F1357" s="2" t="n">
        <v>136</v>
      </c>
      <c r="G1357" s="6" t="n">
        <v>14</v>
      </c>
      <c r="I1357" s="0" t="n"/>
      <c r="J1357" s="0" t="n"/>
      <c r="K1357" s="0" t="n"/>
      <c r="L1357" t="inlineStr">
        <is>
          <t>iCT 256</t>
        </is>
      </c>
      <c r="M1357" t="inlineStr">
        <is>
          <t>Pre 3/3mm, iDose (3)</t>
        </is>
      </c>
    </row>
    <row r="1358">
      <c r="A1358" s="2" t="n">
        <v>9850863</v>
      </c>
      <c r="B1358" s="2" t="inlineStr">
        <is>
          <t>75</t>
        </is>
      </c>
      <c r="C1358" s="2" t="inlineStr">
        <is>
          <t>F</t>
        </is>
      </c>
      <c r="D1358" s="2" t="inlineStr">
        <is>
          <t>120.0</t>
        </is>
      </c>
      <c r="E1358" s="4">
        <f>HYPERLINK("./Results/DLO\3063\Osteo_Sarco_1.png","RPT")</f>
        <v/>
      </c>
      <c r="F1358" s="2" t="n">
        <v>95</v>
      </c>
      <c r="G1358" s="6" t="n">
        <v>28</v>
      </c>
      <c r="H1358" t="n">
        <v>26.64</v>
      </c>
      <c r="L1358" t="inlineStr">
        <is>
          <t>Supria</t>
        </is>
      </c>
      <c r="M1358" t="inlineStr">
        <is>
          <t>N/A</t>
        </is>
      </c>
    </row>
    <row r="1359">
      <c r="A1359" s="2" t="n">
        <v>9851739</v>
      </c>
      <c r="B1359" s="2" t="inlineStr">
        <is>
          <t>27</t>
        </is>
      </c>
      <c r="C1359" s="2" t="inlineStr">
        <is>
          <t>F</t>
        </is>
      </c>
      <c r="D1359" s="2" t="inlineStr">
        <is>
          <t>120.0</t>
        </is>
      </c>
      <c r="E1359" s="4">
        <f>HYPERLINK("./Results/DLO\3064\Osteo_Sarco_1.png","RPT")</f>
        <v/>
      </c>
      <c r="F1359" s="2" t="n">
        <v>125</v>
      </c>
      <c r="G1359" s="6" t="n">
        <v>8</v>
      </c>
      <c r="I1359" s="0" t="n"/>
      <c r="J1359" s="0" t="n"/>
      <c r="K1359" s="0" t="n"/>
      <c r="L1359" t="inlineStr">
        <is>
          <t>Discovery CT750 HD</t>
        </is>
      </c>
      <c r="M1359" t="inlineStr">
        <is>
          <t>PRE</t>
        </is>
      </c>
    </row>
    <row r="1360">
      <c r="A1360" s="2" t="n">
        <v>9851857</v>
      </c>
      <c r="B1360" s="2" t="inlineStr">
        <is>
          <t>72</t>
        </is>
      </c>
      <c r="C1360" s="2" t="inlineStr">
        <is>
          <t>F</t>
        </is>
      </c>
      <c r="D1360" s="2" t="inlineStr">
        <is>
          <t>130.0</t>
        </is>
      </c>
      <c r="E1360" s="4">
        <f>HYPERLINK("./Results/DLO\3065\Osteo_Sarco_1.png","RPT")</f>
        <v/>
      </c>
      <c r="F1360" s="2" t="n">
        <v>91</v>
      </c>
      <c r="G1360" s="6" t="n">
        <v>24</v>
      </c>
      <c r="I1360" s="0" t="n"/>
      <c r="J1360" s="0" t="n"/>
      <c r="K1360" s="0" t="n"/>
      <c r="L1360" t="inlineStr">
        <is>
          <t>SOMATOM Scope</t>
        </is>
      </c>
      <c r="M1360" t="inlineStr">
        <is>
          <t>Abdomen pre 3.0 B4is</t>
        </is>
      </c>
    </row>
    <row r="1361">
      <c r="A1361" s="2" t="n">
        <v>9852207</v>
      </c>
      <c r="B1361" s="2" t="inlineStr">
        <is>
          <t>62</t>
        </is>
      </c>
      <c r="C1361" s="2" t="inlineStr">
        <is>
          <t>M</t>
        </is>
      </c>
      <c r="D1361" s="2" t="inlineStr">
        <is>
          <t>120.0</t>
        </is>
      </c>
      <c r="E1361" s="4">
        <f>HYPERLINK("./Results/DLO\3066\Osteo_Sarco_1.png","RPT")</f>
        <v/>
      </c>
      <c r="F1361" s="2" t="n">
        <v>148</v>
      </c>
      <c r="G1361" s="6" t="n">
        <v>8</v>
      </c>
      <c r="I1361" s="0" t="n"/>
      <c r="J1361" s="0" t="n"/>
      <c r="K1361" s="0" t="n"/>
      <c r="L1361" t="inlineStr">
        <is>
          <t>iCT 256</t>
        </is>
      </c>
      <c r="M1361" t="inlineStr">
        <is>
          <t>LAP 3/3mm, iDose (3)</t>
        </is>
      </c>
    </row>
    <row r="1362">
      <c r="A1362" s="2" t="n">
        <v>9852538</v>
      </c>
      <c r="B1362" s="2" t="inlineStr">
        <is>
          <t>32</t>
        </is>
      </c>
      <c r="C1362" s="2" t="inlineStr">
        <is>
          <t>F</t>
        </is>
      </c>
      <c r="D1362" s="2" t="inlineStr">
        <is>
          <t>120.0</t>
        </is>
      </c>
      <c r="E1362" s="4">
        <f>HYPERLINK("./Results/DLO\3067\Osteo_Sarco_1.png","RPT")</f>
        <v/>
      </c>
      <c r="F1362" s="2" t="n">
        <v>99</v>
      </c>
      <c r="G1362" s="6" t="n">
        <v>10</v>
      </c>
      <c r="I1362" s="0" t="n"/>
      <c r="J1362" s="0" t="n"/>
      <c r="K1362" s="0" t="n"/>
      <c r="L1362" t="inlineStr">
        <is>
          <t>Brilliance 64</t>
        </is>
      </c>
      <c r="M1362" t="inlineStr">
        <is>
          <t>Pre</t>
        </is>
      </c>
    </row>
    <row r="1363">
      <c r="A1363" s="2" t="n">
        <v>9852989</v>
      </c>
      <c r="B1363" s="2" t="inlineStr">
        <is>
          <t>63</t>
        </is>
      </c>
      <c r="C1363" s="2" t="inlineStr">
        <is>
          <t>F</t>
        </is>
      </c>
      <c r="D1363" s="2" t="inlineStr">
        <is>
          <t>100.0</t>
        </is>
      </c>
      <c r="E1363" s="4">
        <f>HYPERLINK("./Results/DLO\3068\Osteo_Sarco_1.png","RPT")</f>
        <v/>
      </c>
      <c r="F1363" s="2" t="n">
        <v>94</v>
      </c>
      <c r="G1363" s="6" t="n">
        <v>8</v>
      </c>
      <c r="H1363" t="n">
        <v>24.35</v>
      </c>
      <c r="L1363" t="inlineStr">
        <is>
          <t>Revolution CT</t>
        </is>
      </c>
      <c r="M1363" t="inlineStr">
        <is>
          <t>Pre 3mm pacs</t>
        </is>
      </c>
    </row>
    <row r="1364">
      <c r="A1364" s="2" t="n">
        <v>9853446</v>
      </c>
      <c r="B1364" s="2" t="inlineStr">
        <is>
          <t>76</t>
        </is>
      </c>
      <c r="C1364" s="2" t="inlineStr">
        <is>
          <t>M</t>
        </is>
      </c>
      <c r="D1364" s="2" t="inlineStr">
        <is>
          <t>100.0</t>
        </is>
      </c>
      <c r="E1364" s="4">
        <f>HYPERLINK("./Results/DLO\3069\Osteo_Sarco_1.png","RPT")</f>
        <v/>
      </c>
      <c r="F1364" s="2" t="n">
        <v>138</v>
      </c>
      <c r="G1364" s="6" t="n">
        <v>8</v>
      </c>
      <c r="H1364" t="n">
        <v>22.39</v>
      </c>
      <c r="L1364" t="inlineStr">
        <is>
          <t>SOMATOM Definition...</t>
        </is>
      </c>
      <c r="M1364" t="inlineStr">
        <is>
          <t>LAP 3mm(58kg/116cc/3cc/hexo)</t>
        </is>
      </c>
    </row>
    <row r="1365">
      <c r="A1365" s="2" t="n">
        <v>2303546</v>
      </c>
      <c r="B1365" s="2" t="inlineStr">
        <is>
          <t>49</t>
        </is>
      </c>
      <c r="C1365" s="2" t="inlineStr">
        <is>
          <t>M</t>
        </is>
      </c>
      <c r="D1365" s="2" t="inlineStr">
        <is>
          <t>100.0</t>
        </is>
      </c>
      <c r="E1365" s="4">
        <f>HYPERLINK("./Results/DLO\307\Osteo_Sarco_1.png","RPT")</f>
        <v/>
      </c>
      <c r="F1365" s="2" t="n">
        <v>135</v>
      </c>
      <c r="G1365" s="6" t="n">
        <v>11</v>
      </c>
      <c r="I1365" s="0" t="n"/>
      <c r="J1365" s="0" t="n"/>
      <c r="K1365" s="0" t="n"/>
      <c r="L1365" t="inlineStr">
        <is>
          <t>Revolution CT</t>
        </is>
      </c>
      <c r="M1365" t="inlineStr">
        <is>
          <t>Pre 3mm pacs</t>
        </is>
      </c>
    </row>
    <row r="1366">
      <c r="A1366" s="2" t="n">
        <v>9854457</v>
      </c>
      <c r="B1366" s="2" t="inlineStr">
        <is>
          <t>59</t>
        </is>
      </c>
      <c r="C1366" s="2" t="inlineStr">
        <is>
          <t>M</t>
        </is>
      </c>
      <c r="D1366" s="2" t="inlineStr">
        <is>
          <t>120.0</t>
        </is>
      </c>
      <c r="E1366" s="4">
        <f>HYPERLINK("./Results/DLO\3070\Osteo_Sarco_1.png","RPT")</f>
        <v/>
      </c>
      <c r="F1366" s="2" t="n">
        <v>129</v>
      </c>
      <c r="G1366" s="6" t="n">
        <v>5</v>
      </c>
      <c r="I1366" s="0" t="n"/>
      <c r="J1366" s="0" t="n"/>
      <c r="K1366" s="0" t="n"/>
      <c r="L1366" t="inlineStr">
        <is>
          <t>ECLOS</t>
        </is>
      </c>
      <c r="M1366" t="inlineStr">
        <is>
          <t>N/A</t>
        </is>
      </c>
    </row>
    <row r="1367">
      <c r="A1367" s="2" t="n">
        <v>9854376</v>
      </c>
      <c r="B1367" s="2" t="inlineStr">
        <is>
          <t>47</t>
        </is>
      </c>
      <c r="C1367" s="2" t="inlineStr">
        <is>
          <t>M</t>
        </is>
      </c>
      <c r="D1367" s="2" t="inlineStr">
        <is>
          <t>120.0</t>
        </is>
      </c>
      <c r="E1367" s="4">
        <f>HYPERLINK("./Results/DLO\3071\Osteo_Sarco_1.png","RPT")</f>
        <v/>
      </c>
      <c r="F1367" s="2" t="n">
        <v>161</v>
      </c>
      <c r="G1367" s="6" t="n">
        <v>7</v>
      </c>
      <c r="I1367" s="0" t="n"/>
      <c r="J1367" s="0" t="n"/>
      <c r="K1367" s="0" t="n"/>
      <c r="L1367" t="inlineStr">
        <is>
          <t>Alexion</t>
        </is>
      </c>
      <c r="M1367" t="inlineStr">
        <is>
          <t>Body 5.0</t>
        </is>
      </c>
    </row>
    <row r="1368">
      <c r="A1368" s="2" t="n">
        <v>9854566</v>
      </c>
      <c r="B1368" s="2" t="inlineStr">
        <is>
          <t>36</t>
        </is>
      </c>
      <c r="C1368" s="2" t="inlineStr">
        <is>
          <t>M</t>
        </is>
      </c>
      <c r="D1368" s="2" t="inlineStr">
        <is>
          <t>100.0</t>
        </is>
      </c>
      <c r="E1368" s="4">
        <f>HYPERLINK("./Results/DLO\3072\Osteo_Sarco_1.png","RPT")</f>
        <v/>
      </c>
      <c r="F1368" s="2" t="n">
        <v>176</v>
      </c>
      <c r="G1368" s="6" t="n">
        <v>6</v>
      </c>
      <c r="I1368" s="0" t="n"/>
      <c r="J1368" s="0" t="n"/>
      <c r="K1368" s="0" t="n"/>
      <c r="L1368" t="inlineStr">
        <is>
          <t>SOMATOM Definition AS</t>
        </is>
      </c>
      <c r="M1368" t="inlineStr">
        <is>
          <t>Liver Delay 3.0 I40f 2</t>
        </is>
      </c>
    </row>
    <row r="1369">
      <c r="A1369" s="2" t="n">
        <v>9856259</v>
      </c>
      <c r="B1369" s="2" t="inlineStr">
        <is>
          <t>72</t>
        </is>
      </c>
      <c r="C1369" s="2" t="inlineStr">
        <is>
          <t>M</t>
        </is>
      </c>
      <c r="D1369" s="2" t="inlineStr">
        <is>
          <t>100.0</t>
        </is>
      </c>
      <c r="E1369" s="4">
        <f>HYPERLINK("./Results/DLO\3073\Osteo_Sarco_1.png","RPT")</f>
        <v/>
      </c>
      <c r="F1369" s="2" t="n">
        <v>131</v>
      </c>
      <c r="G1369" s="6" t="n">
        <v>15</v>
      </c>
      <c r="I1369" s="0" t="n"/>
      <c r="J1369" s="0" t="n"/>
      <c r="K1369" s="0" t="n"/>
      <c r="L1369" t="inlineStr">
        <is>
          <t>Discovery CT750 HD</t>
        </is>
      </c>
      <c r="M1369" t="inlineStr">
        <is>
          <t>N</t>
        </is>
      </c>
    </row>
    <row r="1370">
      <c r="A1370" s="2" t="n">
        <v>9855755</v>
      </c>
      <c r="B1370" s="2" t="inlineStr">
        <is>
          <t>54</t>
        </is>
      </c>
      <c r="C1370" s="2" t="inlineStr">
        <is>
          <t>F</t>
        </is>
      </c>
      <c r="D1370" s="2" t="inlineStr">
        <is>
          <t>120.0</t>
        </is>
      </c>
      <c r="E1370" s="4">
        <f>HYPERLINK("./Results/DLO\3074\Osteo_Sarco_1.png","RPT")</f>
        <v/>
      </c>
      <c r="F1370" s="2" t="n">
        <v>87</v>
      </c>
      <c r="G1370" s="6" t="n">
        <v>9</v>
      </c>
      <c r="I1370" s="0" t="n"/>
      <c r="J1370" s="0" t="n"/>
      <c r="K1370" s="0" t="n"/>
      <c r="L1370" t="inlineStr">
        <is>
          <t>LightSpeed VCT</t>
        </is>
      </c>
      <c r="M1370" t="inlineStr">
        <is>
          <t>LAP 18sec 3mm</t>
        </is>
      </c>
    </row>
    <row r="1371">
      <c r="A1371" s="2" t="n">
        <v>9857319</v>
      </c>
      <c r="B1371" s="2" t="inlineStr">
        <is>
          <t>35</t>
        </is>
      </c>
      <c r="C1371" s="2" t="inlineStr">
        <is>
          <t>M</t>
        </is>
      </c>
      <c r="D1371" s="2" t="inlineStr">
        <is>
          <t>120.0</t>
        </is>
      </c>
      <c r="E1371" s="4">
        <f>HYPERLINK("./Results/DLO\3075\Osteo_Sarco_1.png","RPT")</f>
        <v/>
      </c>
      <c r="F1371" s="2" t="n">
        <v>164</v>
      </c>
      <c r="G1371" s="6" t="n">
        <v>3</v>
      </c>
      <c r="I1371" s="0" t="n"/>
      <c r="J1371" s="0" t="n"/>
      <c r="K1371" s="0" t="n"/>
      <c r="L1371" t="inlineStr">
        <is>
          <t>Aquilion</t>
        </is>
      </c>
      <c r="M1371" t="inlineStr">
        <is>
          <t>Body 3.0</t>
        </is>
      </c>
    </row>
    <row r="1372">
      <c r="A1372" s="2" t="n">
        <v>9857294</v>
      </c>
      <c r="B1372" s="2" t="inlineStr">
        <is>
          <t>37</t>
        </is>
      </c>
      <c r="C1372" s="2" t="inlineStr">
        <is>
          <t>M</t>
        </is>
      </c>
      <c r="D1372" s="2" t="inlineStr">
        <is>
          <t>120.0</t>
        </is>
      </c>
      <c r="E1372" s="4">
        <f>HYPERLINK("./Results/DLO\3076\Osteo_Sarco_1.png","RPT")</f>
        <v/>
      </c>
      <c r="F1372" s="2" t="n">
        <v>129</v>
      </c>
      <c r="G1372" s="6" t="n">
        <v>5</v>
      </c>
      <c r="H1372" t="n">
        <v>22.75</v>
      </c>
      <c r="L1372" t="inlineStr">
        <is>
          <t>Brilliance 64</t>
        </is>
      </c>
      <c r="M1372" t="inlineStr">
        <is>
          <t>PRE</t>
        </is>
      </c>
    </row>
    <row r="1373">
      <c r="A1373" s="2" t="n">
        <v>9857089</v>
      </c>
      <c r="B1373" s="2" t="inlineStr">
        <is>
          <t>57</t>
        </is>
      </c>
      <c r="C1373" s="2" t="inlineStr">
        <is>
          <t>F</t>
        </is>
      </c>
      <c r="D1373" s="2" t="inlineStr">
        <is>
          <t>100.0</t>
        </is>
      </c>
      <c r="E1373" s="4">
        <f>HYPERLINK("./Results/DLO\3077\Osteo_Sarco_1.png","RPT")</f>
        <v/>
      </c>
      <c r="F1373" s="2" t="n">
        <v>92</v>
      </c>
      <c r="G1373" s="6" t="n">
        <v>7</v>
      </c>
      <c r="I1373" s="0" t="n"/>
      <c r="J1373" s="0" t="n"/>
      <c r="K1373" s="0" t="n"/>
      <c r="L1373" t="inlineStr">
        <is>
          <t>Revolution EVO</t>
        </is>
      </c>
      <c r="M1373" t="inlineStr">
        <is>
          <t>PRE</t>
        </is>
      </c>
    </row>
    <row r="1374">
      <c r="A1374" s="2" t="n">
        <v>9858097</v>
      </c>
      <c r="B1374" s="2" t="inlineStr">
        <is>
          <t>71</t>
        </is>
      </c>
      <c r="C1374" s="2" t="inlineStr">
        <is>
          <t>M</t>
        </is>
      </c>
      <c r="D1374" s="2" t="inlineStr">
        <is>
          <t>100.0</t>
        </is>
      </c>
      <c r="E1374" s="4">
        <f>HYPERLINK("./Results/DLO\3078\Osteo_Sarco_1.png","RPT")</f>
        <v/>
      </c>
      <c r="F1374" s="2" t="n">
        <v>208</v>
      </c>
      <c r="G1374" s="6" t="n">
        <v>10</v>
      </c>
      <c r="I1374" s="0" t="n"/>
      <c r="J1374" s="0" t="n"/>
      <c r="K1374" s="0" t="n"/>
      <c r="L1374" t="inlineStr">
        <is>
          <t>SOMATOM Definition...</t>
        </is>
      </c>
      <c r="M1374" t="inlineStr">
        <is>
          <t>Delay 360s 3.0 I41if 1</t>
        </is>
      </c>
    </row>
    <row r="1375">
      <c r="A1375" s="2" t="n">
        <v>4937646</v>
      </c>
      <c r="B1375" s="2" t="inlineStr">
        <is>
          <t>78</t>
        </is>
      </c>
      <c r="C1375" s="2" t="inlineStr">
        <is>
          <t>F</t>
        </is>
      </c>
      <c r="D1375" s="2" t="inlineStr">
        <is>
          <t>100.0</t>
        </is>
      </c>
      <c r="E1375" s="4">
        <f>HYPERLINK("./Results/DLO\308\Osteo_Sarco_1.png","RPT")</f>
        <v/>
      </c>
      <c r="F1375" s="2" t="n">
        <v>88</v>
      </c>
      <c r="G1375" s="6" t="n">
        <v>13</v>
      </c>
      <c r="H1375" t="n">
        <v>23.37</v>
      </c>
      <c r="L1375" t="inlineStr">
        <is>
          <t>SOMATOM Definition...</t>
        </is>
      </c>
      <c r="M1375" t="inlineStr">
        <is>
          <t>Pre 3mm</t>
        </is>
      </c>
    </row>
    <row r="1376">
      <c r="A1376" s="2" t="n">
        <v>9859173</v>
      </c>
      <c r="B1376" s="2" t="inlineStr">
        <is>
          <t>66</t>
        </is>
      </c>
      <c r="C1376" s="2" t="inlineStr">
        <is>
          <t>M</t>
        </is>
      </c>
      <c r="D1376" s="2" t="inlineStr">
        <is>
          <t>120.0</t>
        </is>
      </c>
      <c r="E1376" s="4">
        <f>HYPERLINK("./Results/DLO\3080\Osteo_Sarco_1.png","RPT")</f>
        <v/>
      </c>
      <c r="F1376" s="2" t="n">
        <v>121</v>
      </c>
      <c r="G1376" s="6" t="n">
        <v>8</v>
      </c>
      <c r="H1376" t="n">
        <v>24.84</v>
      </c>
      <c r="L1376" t="inlineStr">
        <is>
          <t>LightSpeed VCT</t>
        </is>
      </c>
      <c r="M1376" t="inlineStr">
        <is>
          <t>LAP 18sec 3mm</t>
        </is>
      </c>
    </row>
    <row r="1377">
      <c r="A1377" s="2" t="n">
        <v>9859656</v>
      </c>
      <c r="B1377" s="2" t="inlineStr">
        <is>
          <t>62</t>
        </is>
      </c>
      <c r="C1377" s="2" t="inlineStr">
        <is>
          <t>M</t>
        </is>
      </c>
      <c r="D1377" s="2" t="inlineStr">
        <is>
          <t>120.0</t>
        </is>
      </c>
      <c r="E1377" s="4">
        <f>HYPERLINK("./Results/DLO\3081\Osteo_Sarco_1.png","RPT")</f>
        <v/>
      </c>
      <c r="F1377" s="2" t="n">
        <v>127</v>
      </c>
      <c r="G1377" s="6" t="n">
        <v>13</v>
      </c>
      <c r="I1377" s="0" t="n"/>
      <c r="J1377" s="0" t="n"/>
      <c r="K1377" s="0" t="n"/>
      <c r="L1377" t="inlineStr">
        <is>
          <t>LightSpeed VCT</t>
        </is>
      </c>
      <c r="M1377" t="inlineStr">
        <is>
          <t>LAP 18sec 3mm</t>
        </is>
      </c>
    </row>
    <row r="1378">
      <c r="A1378" s="2" t="n">
        <v>9861199</v>
      </c>
      <c r="B1378" s="2" t="inlineStr">
        <is>
          <t>52</t>
        </is>
      </c>
      <c r="C1378" s="2" t="inlineStr">
        <is>
          <t>F</t>
        </is>
      </c>
      <c r="D1378" s="2" t="inlineStr">
        <is>
          <t>100.0</t>
        </is>
      </c>
      <c r="E1378" s="4">
        <f>HYPERLINK("./Results/DLO\3082\Osteo_Sarco_1.png","RPT")</f>
        <v/>
      </c>
      <c r="F1378" s="2" t="n">
        <v>121</v>
      </c>
      <c r="G1378" s="6" t="n">
        <v>11</v>
      </c>
      <c r="I1378" s="0" t="n"/>
      <c r="J1378" s="0" t="n"/>
      <c r="K1378" s="0" t="n"/>
      <c r="L1378" t="inlineStr">
        <is>
          <t>Revolution CT</t>
        </is>
      </c>
      <c r="M1378" t="inlineStr">
        <is>
          <t>LAP 3mm(60kg/120cc/3.0cc/xene...</t>
        </is>
      </c>
    </row>
    <row r="1379">
      <c r="A1379" s="2" t="n">
        <v>9861428</v>
      </c>
      <c r="B1379" s="2" t="inlineStr">
        <is>
          <t>63</t>
        </is>
      </c>
      <c r="C1379" s="2" t="inlineStr">
        <is>
          <t>F</t>
        </is>
      </c>
      <c r="D1379" s="2" t="inlineStr">
        <is>
          <t>100.0</t>
        </is>
      </c>
      <c r="E1379" s="4">
        <f>HYPERLINK("./Results/DLO\3083\Osteo_Sarco_1.png","RPT")</f>
        <v/>
      </c>
      <c r="F1379" s="2" t="n">
        <v>79</v>
      </c>
      <c r="G1379" s="6" t="n">
        <v>9</v>
      </c>
      <c r="I1379" s="0" t="n"/>
      <c r="J1379" s="0" t="n"/>
      <c r="K1379" s="0" t="n"/>
      <c r="L1379" t="inlineStr">
        <is>
          <t>iCT 256</t>
        </is>
      </c>
      <c r="M1379" t="inlineStr">
        <is>
          <t>LAP 3/3mm, iDose (3)</t>
        </is>
      </c>
    </row>
    <row r="1380">
      <c r="A1380" s="2" t="n">
        <v>9863018</v>
      </c>
      <c r="B1380" s="2" t="inlineStr">
        <is>
          <t>44</t>
        </is>
      </c>
      <c r="C1380" s="2" t="inlineStr">
        <is>
          <t>F</t>
        </is>
      </c>
      <c r="D1380" s="2" t="inlineStr">
        <is>
          <t>100.0</t>
        </is>
      </c>
      <c r="E1380" s="4">
        <f>HYPERLINK("./Results/DLO\3084\Osteo_Sarco_1.png","RPT")</f>
        <v/>
      </c>
      <c r="F1380" s="2" t="n">
        <v>97</v>
      </c>
      <c r="G1380" s="6" t="n">
        <v>7</v>
      </c>
      <c r="I1380" s="0" t="n"/>
      <c r="J1380" s="0" t="n"/>
      <c r="K1380" s="0" t="n"/>
      <c r="L1380" t="inlineStr">
        <is>
          <t>Revolution CT</t>
        </is>
      </c>
      <c r="M1380" t="inlineStr">
        <is>
          <t>LAP 3mm(60kg/120cc/3.0cc/radi)</t>
        </is>
      </c>
    </row>
    <row r="1381">
      <c r="A1381" s="2" t="n">
        <v>9864356</v>
      </c>
      <c r="B1381" s="2" t="inlineStr">
        <is>
          <t>48</t>
        </is>
      </c>
      <c r="C1381" s="2" t="inlineStr">
        <is>
          <t>M</t>
        </is>
      </c>
      <c r="D1381" s="2" t="inlineStr">
        <is>
          <t>100.0</t>
        </is>
      </c>
      <c r="E1381" s="4">
        <f>HYPERLINK("./Results/DLO\3085\Osteo_Sarco_1.png","RPT")</f>
        <v/>
      </c>
      <c r="F1381" s="2" t="n">
        <v>137</v>
      </c>
      <c r="G1381" s="6" t="n">
        <v>5</v>
      </c>
      <c r="I1381" s="0" t="n"/>
      <c r="J1381" s="0" t="n"/>
      <c r="K1381" s="0" t="n"/>
      <c r="L1381" t="inlineStr">
        <is>
          <t>Revolution EVO</t>
        </is>
      </c>
      <c r="M1381" t="inlineStr">
        <is>
          <t>Abdomen Pre 2.5mm</t>
        </is>
      </c>
    </row>
    <row r="1382">
      <c r="A1382" s="2" t="n">
        <v>9865876</v>
      </c>
      <c r="B1382" s="2" t="inlineStr">
        <is>
          <t>58</t>
        </is>
      </c>
      <c r="C1382" s="2" t="inlineStr">
        <is>
          <t>F</t>
        </is>
      </c>
      <c r="D1382" s="2" t="inlineStr">
        <is>
          <t>100.0</t>
        </is>
      </c>
      <c r="E1382" s="4">
        <f>HYPERLINK("./Results/DLO\3086\Osteo_Sarco_1.png","RPT")</f>
        <v/>
      </c>
      <c r="F1382" s="2" t="n">
        <v>108</v>
      </c>
      <c r="G1382" s="6" t="n">
        <v>11</v>
      </c>
      <c r="H1382" t="n">
        <v>25.07</v>
      </c>
      <c r="L1382" t="inlineStr">
        <is>
          <t>Revolution CT</t>
        </is>
      </c>
      <c r="M1382" t="inlineStr">
        <is>
          <t>Pre 3mm pacs</t>
        </is>
      </c>
    </row>
    <row r="1383">
      <c r="A1383" s="2" t="n">
        <v>9866183</v>
      </c>
      <c r="B1383" s="2" t="inlineStr">
        <is>
          <t>69</t>
        </is>
      </c>
      <c r="C1383" s="2" t="inlineStr">
        <is>
          <t>M</t>
        </is>
      </c>
      <c r="D1383" s="2" t="inlineStr">
        <is>
          <t>120.0</t>
        </is>
      </c>
      <c r="E1383" s="4">
        <f>HYPERLINK("./Results/DLO\3087\Osteo_Sarco_1.png","RPT")</f>
        <v/>
      </c>
      <c r="F1383" s="2" t="n">
        <v>116</v>
      </c>
      <c r="G1383" s="6" t="n">
        <v>6</v>
      </c>
      <c r="I1383" s="0" t="n"/>
      <c r="J1383" s="0" t="n"/>
      <c r="K1383" s="0" t="n"/>
      <c r="L1383" t="inlineStr">
        <is>
          <t>Aquilion PRIME</t>
        </is>
      </c>
      <c r="M1383" t="inlineStr">
        <is>
          <t>AIDR 5.0 FC05</t>
        </is>
      </c>
    </row>
    <row r="1384">
      <c r="A1384" s="2" t="n">
        <v>9867278</v>
      </c>
      <c r="B1384" s="2" t="inlineStr">
        <is>
          <t>71</t>
        </is>
      </c>
      <c r="C1384" s="2" t="inlineStr">
        <is>
          <t>M</t>
        </is>
      </c>
      <c r="D1384" s="2" t="inlineStr">
        <is>
          <t>100.0</t>
        </is>
      </c>
      <c r="E1384" s="4">
        <f>HYPERLINK("./Results/DLO\3088\Osteo_Sarco_1.png","RPT")</f>
        <v/>
      </c>
      <c r="F1384" s="2" t="n">
        <v>135</v>
      </c>
      <c r="G1384" s="6" t="n">
        <v>13</v>
      </c>
      <c r="H1384" t="n">
        <v>20.94</v>
      </c>
      <c r="L1384" t="inlineStr">
        <is>
          <t>Revolution CT</t>
        </is>
      </c>
      <c r="M1384" t="inlineStr">
        <is>
          <t>LAP 3mm(58kg/116cc/3.0cc/hexosu)</t>
        </is>
      </c>
    </row>
    <row r="1385">
      <c r="A1385" s="2" t="n">
        <v>9867328</v>
      </c>
      <c r="B1385" s="2" t="inlineStr">
        <is>
          <t>54</t>
        </is>
      </c>
      <c r="C1385" s="2" t="inlineStr">
        <is>
          <t>F</t>
        </is>
      </c>
      <c r="D1385" s="2" t="inlineStr">
        <is>
          <t>80.0</t>
        </is>
      </c>
      <c r="E1385" s="4">
        <f>HYPERLINK("./Results/DLO\3089\Osteo_Sarco_1.png","RPT")</f>
        <v/>
      </c>
      <c r="F1385" s="2" t="n">
        <v>115</v>
      </c>
      <c r="G1385" s="6" t="n">
        <v>14</v>
      </c>
      <c r="I1385" s="0" t="n"/>
      <c r="J1385" s="0" t="n"/>
      <c r="K1385" s="0" t="n"/>
      <c r="L1385" t="inlineStr">
        <is>
          <t>SOMATOM Definition...</t>
        </is>
      </c>
      <c r="M1385" t="inlineStr">
        <is>
          <t>LAP 3mm(57kg/114cc/3cc/radi)</t>
        </is>
      </c>
    </row>
    <row r="1386">
      <c r="A1386" s="2" t="n">
        <v>940278</v>
      </c>
      <c r="B1386" s="2" t="inlineStr">
        <is>
          <t>40</t>
        </is>
      </c>
      <c r="C1386" s="2" t="inlineStr">
        <is>
          <t>F</t>
        </is>
      </c>
      <c r="D1386" s="2" t="inlineStr">
        <is>
          <t>130.0</t>
        </is>
      </c>
      <c r="E1386" s="4">
        <f>HYPERLINK("./Results/DLO\309\Osteo_Sarco_1.png","RPT")</f>
        <v/>
      </c>
      <c r="F1386" s="2" t="n">
        <v>133</v>
      </c>
      <c r="G1386" s="6" t="n">
        <v>25</v>
      </c>
      <c r="I1386" s="0" t="n"/>
      <c r="J1386" s="0" t="n"/>
      <c r="K1386" s="0" t="n"/>
      <c r="L1386" t="inlineStr">
        <is>
          <t>SOMATOM Force</t>
        </is>
      </c>
      <c r="M1386" t="inlineStr">
        <is>
          <t>Pre 3.0 Br40 1</t>
        </is>
      </c>
    </row>
    <row r="1387">
      <c r="A1387" s="2" t="n">
        <v>9866675</v>
      </c>
      <c r="B1387" s="2" t="inlineStr">
        <is>
          <t>40</t>
        </is>
      </c>
      <c r="C1387" s="2" t="inlineStr">
        <is>
          <t>M</t>
        </is>
      </c>
      <c r="D1387" s="2" t="inlineStr">
        <is>
          <t>100.0</t>
        </is>
      </c>
      <c r="E1387" s="4">
        <f>HYPERLINK("./Results/DLO\3090\Osteo_Sarco_1.png","RPT")</f>
        <v/>
      </c>
      <c r="F1387" s="2" t="n">
        <v>126</v>
      </c>
      <c r="G1387" s="6" t="n">
        <v>5</v>
      </c>
      <c r="I1387" s="0" t="n"/>
      <c r="J1387" s="0" t="n"/>
      <c r="K1387" s="0" t="n"/>
      <c r="L1387" t="inlineStr">
        <is>
          <t>SOMATOM Definition...</t>
        </is>
      </c>
      <c r="M1387" t="inlineStr">
        <is>
          <t>Abd_Pre 5.0 I30f 2</t>
        </is>
      </c>
    </row>
    <row r="1388">
      <c r="A1388" s="2" t="n">
        <v>9866966</v>
      </c>
      <c r="B1388" s="2" t="inlineStr">
        <is>
          <t>62</t>
        </is>
      </c>
      <c r="C1388" s="2" t="inlineStr">
        <is>
          <t>M</t>
        </is>
      </c>
      <c r="D1388" s="2" t="inlineStr">
        <is>
          <t>110.0</t>
        </is>
      </c>
      <c r="E1388" s="4">
        <f>HYPERLINK("./Results/DLO\3091\Osteo_Sarco_1.png","RPT")</f>
        <v/>
      </c>
      <c r="F1388" s="2" t="n">
        <v>155</v>
      </c>
      <c r="G1388" s="6" t="n">
        <v>6</v>
      </c>
      <c r="H1388" t="n">
        <v>22.18</v>
      </c>
      <c r="L1388" t="inlineStr">
        <is>
          <t>Emotion 16 (2007)</t>
        </is>
      </c>
      <c r="M1388" t="inlineStr">
        <is>
          <t>Abd_Pre 5.0 B31s</t>
        </is>
      </c>
    </row>
    <row r="1389">
      <c r="A1389" s="2" t="n">
        <v>9868162</v>
      </c>
      <c r="B1389" s="2" t="inlineStr">
        <is>
          <t>67</t>
        </is>
      </c>
      <c r="C1389" s="2" t="inlineStr">
        <is>
          <t>F</t>
        </is>
      </c>
      <c r="D1389" s="2" t="inlineStr">
        <is>
          <t>100.0</t>
        </is>
      </c>
      <c r="E1389" s="4">
        <f>HYPERLINK("./Results/DLO\3092\Osteo_Sarco_1.png","RPT")</f>
        <v/>
      </c>
      <c r="F1389" s="2" t="n">
        <v>101</v>
      </c>
      <c r="G1389" s="6" t="n">
        <v>12</v>
      </c>
      <c r="I1389" s="0" t="n"/>
      <c r="J1389" s="0" t="n"/>
      <c r="K1389" s="0" t="n"/>
      <c r="L1389" t="inlineStr">
        <is>
          <t>LightSpeed VCT</t>
        </is>
      </c>
      <c r="M1389" t="inlineStr">
        <is>
          <t>PRE 2,5mm</t>
        </is>
      </c>
    </row>
    <row r="1390">
      <c r="A1390" s="2" t="n">
        <v>9869302</v>
      </c>
      <c r="B1390" s="2" t="inlineStr">
        <is>
          <t>58</t>
        </is>
      </c>
      <c r="C1390" s="2" t="inlineStr">
        <is>
          <t>M</t>
        </is>
      </c>
      <c r="D1390" s="2" t="inlineStr">
        <is>
          <t>100.0</t>
        </is>
      </c>
      <c r="E1390" s="4">
        <f>HYPERLINK("./Results/DLO\3093\Osteo_Sarco_1.png","RPT")</f>
        <v/>
      </c>
      <c r="F1390" s="2" t="n">
        <v>149</v>
      </c>
      <c r="G1390" s="6" t="n">
        <v>15</v>
      </c>
      <c r="I1390" s="0" t="n"/>
      <c r="J1390" s="0" t="n"/>
      <c r="K1390" s="0" t="n"/>
      <c r="L1390" t="inlineStr">
        <is>
          <t>SOMATOM Definition...</t>
        </is>
      </c>
      <c r="M1390" t="inlineStr">
        <is>
          <t>LAP 3mm(55kg/110cc/3cc/hexo)</t>
        </is>
      </c>
    </row>
    <row r="1391">
      <c r="A1391" s="2" t="n">
        <v>9870629</v>
      </c>
      <c r="B1391" s="2" t="inlineStr">
        <is>
          <t>59</t>
        </is>
      </c>
      <c r="C1391" s="2" t="inlineStr">
        <is>
          <t>M</t>
        </is>
      </c>
      <c r="D1391" s="2" t="inlineStr">
        <is>
          <t>100.0</t>
        </is>
      </c>
      <c r="E1391" s="4">
        <f>HYPERLINK("./Results/DLO\3094\Osteo_Sarco_1.png","RPT")</f>
        <v/>
      </c>
      <c r="F1391" s="2" t="n">
        <v>129</v>
      </c>
      <c r="G1391" s="6" t="n">
        <v>5</v>
      </c>
      <c r="I1391" s="0" t="n"/>
      <c r="J1391" s="0" t="n"/>
      <c r="K1391" s="0" t="n"/>
      <c r="L1391" t="inlineStr">
        <is>
          <t>SOMATOM Force</t>
        </is>
      </c>
      <c r="M1391" t="inlineStr">
        <is>
          <t>LAP 3.0 Br40 2 (52kg/104kg...</t>
        </is>
      </c>
    </row>
    <row r="1392">
      <c r="A1392" s="2" t="n">
        <v>9871185</v>
      </c>
      <c r="B1392" s="2" t="inlineStr">
        <is>
          <t>58</t>
        </is>
      </c>
      <c r="C1392" s="2" t="inlineStr">
        <is>
          <t>F</t>
        </is>
      </c>
      <c r="D1392" s="2" t="inlineStr">
        <is>
          <t>100.0</t>
        </is>
      </c>
      <c r="E1392" s="4">
        <f>HYPERLINK("./Results/DLO\3095\Osteo_Sarco_1.png","RPT")</f>
        <v/>
      </c>
      <c r="F1392" s="2" t="n">
        <v>99</v>
      </c>
      <c r="G1392" s="6" t="n">
        <v>14</v>
      </c>
      <c r="I1392" s="0" t="n"/>
      <c r="J1392" s="0" t="n"/>
      <c r="K1392" s="0" t="n"/>
      <c r="L1392" t="inlineStr">
        <is>
          <t>Revolution CT</t>
        </is>
      </c>
      <c r="M1392" t="inlineStr">
        <is>
          <t>Pre 3mm pacs</t>
        </is>
      </c>
    </row>
    <row r="1393">
      <c r="A1393" s="2" t="n">
        <v>9872456</v>
      </c>
      <c r="B1393" s="2" t="inlineStr">
        <is>
          <t>74</t>
        </is>
      </c>
      <c r="C1393" s="2" t="inlineStr">
        <is>
          <t>M</t>
        </is>
      </c>
      <c r="D1393" s="2" t="inlineStr">
        <is>
          <t>110.0</t>
        </is>
      </c>
      <c r="E1393" s="4">
        <f>HYPERLINK("./Results/DLO\3096\Osteo_Sarco_1.png","RPT")</f>
        <v/>
      </c>
      <c r="F1393" s="2" t="n">
        <v>124</v>
      </c>
      <c r="G1393" s="6" t="n">
        <v>17</v>
      </c>
      <c r="H1393" t="n">
        <v>27.19</v>
      </c>
      <c r="L1393" t="inlineStr">
        <is>
          <t>SOMATOM Force</t>
        </is>
      </c>
      <c r="M1393" t="inlineStr">
        <is>
          <t>Non Abd 3.0 Br40 3</t>
        </is>
      </c>
    </row>
    <row r="1394">
      <c r="A1394" s="2" t="n">
        <v>9873682</v>
      </c>
      <c r="B1394" s="2" t="inlineStr">
        <is>
          <t>48</t>
        </is>
      </c>
      <c r="C1394" s="2" t="inlineStr">
        <is>
          <t>M</t>
        </is>
      </c>
      <c r="D1394" s="2" t="inlineStr">
        <is>
          <t>100.0</t>
        </is>
      </c>
      <c r="E1394" s="4">
        <f>HYPERLINK("./Results/DLO\3097\Osteo_Sarco_1.png","RPT")</f>
        <v/>
      </c>
      <c r="F1394" s="2" t="n">
        <v>174</v>
      </c>
      <c r="G1394" s="6" t="n">
        <v>8</v>
      </c>
      <c r="I1394" s="0" t="n"/>
      <c r="J1394" s="0" t="n"/>
      <c r="K1394" s="0" t="n"/>
      <c r="L1394" t="inlineStr">
        <is>
          <t>SOMATOM Definition...</t>
        </is>
      </c>
      <c r="M1394" t="inlineStr">
        <is>
          <t>LAP 3mm(79kg/150cc/3cc/hexo)</t>
        </is>
      </c>
    </row>
    <row r="1395">
      <c r="A1395" s="2" t="n">
        <v>9873706</v>
      </c>
      <c r="B1395" s="2" t="inlineStr">
        <is>
          <t>47</t>
        </is>
      </c>
      <c r="C1395" s="2" t="inlineStr">
        <is>
          <t>F</t>
        </is>
      </c>
      <c r="D1395" s="2" t="inlineStr">
        <is>
          <t>100.0</t>
        </is>
      </c>
      <c r="E1395" s="4">
        <f>HYPERLINK("./Results/DLO\3098\Osteo_Sarco_1.png","RPT")</f>
        <v/>
      </c>
      <c r="F1395" s="2" t="n">
        <v>117</v>
      </c>
      <c r="G1395" s="6" t="n">
        <v>11</v>
      </c>
      <c r="H1395" t="n">
        <v>22.54</v>
      </c>
      <c r="L1395" t="inlineStr">
        <is>
          <t>Sensation 64</t>
        </is>
      </c>
      <c r="M1395" t="inlineStr">
        <is>
          <t>Pre 3mm(100kvp100mAs)</t>
        </is>
      </c>
    </row>
    <row r="1396">
      <c r="A1396" s="2" t="n">
        <v>3069417</v>
      </c>
      <c r="B1396" s="2" t="inlineStr">
        <is>
          <t>64</t>
        </is>
      </c>
      <c r="C1396" s="2" t="inlineStr">
        <is>
          <t>F</t>
        </is>
      </c>
      <c r="D1396" s="2" t="inlineStr">
        <is>
          <t>100.0</t>
        </is>
      </c>
      <c r="E1396" s="4">
        <f>HYPERLINK("./Results/DLO\31\Osteo_Sarco_1.png","RPT")</f>
        <v/>
      </c>
      <c r="F1396" s="2" t="n">
        <v>94</v>
      </c>
      <c r="G1396" s="6" t="n">
        <v>14</v>
      </c>
      <c r="I1396" s="0" t="n"/>
      <c r="J1396" s="0" t="n"/>
      <c r="K1396" s="0" t="n"/>
      <c r="L1396" t="inlineStr">
        <is>
          <t>Revolution CT</t>
        </is>
      </c>
      <c r="M1396" t="inlineStr">
        <is>
          <t>Pre Axial 3mm</t>
        </is>
      </c>
    </row>
    <row r="1397">
      <c r="A1397" s="2" t="n">
        <v>4027276</v>
      </c>
      <c r="B1397" s="2" t="inlineStr">
        <is>
          <t>54</t>
        </is>
      </c>
      <c r="C1397" s="2" t="inlineStr">
        <is>
          <t>M</t>
        </is>
      </c>
      <c r="D1397" s="2" t="inlineStr">
        <is>
          <t>100.0</t>
        </is>
      </c>
      <c r="E1397" s="4">
        <f>HYPERLINK("./Results/DLO\310\Osteo_Sarco_1.png","RPT")</f>
        <v/>
      </c>
      <c r="F1397" s="2" t="n">
        <v>156</v>
      </c>
      <c r="G1397" s="6" t="n">
        <v>8</v>
      </c>
      <c r="I1397" s="0" t="n"/>
      <c r="J1397" s="0" t="n"/>
      <c r="K1397" s="0" t="n"/>
      <c r="L1397" t="inlineStr">
        <is>
          <t>Revolution CT</t>
        </is>
      </c>
      <c r="M1397" t="inlineStr">
        <is>
          <t>Pre Axial 3mm(AR40%)</t>
        </is>
      </c>
    </row>
    <row r="1398">
      <c r="A1398" s="2" t="n">
        <v>9875467</v>
      </c>
      <c r="B1398" s="2" t="inlineStr">
        <is>
          <t>44</t>
        </is>
      </c>
      <c r="C1398" s="2" t="inlineStr">
        <is>
          <t>M</t>
        </is>
      </c>
      <c r="D1398" s="2" t="inlineStr">
        <is>
          <t>120.0</t>
        </is>
      </c>
      <c r="E1398" s="4">
        <f>HYPERLINK("./Results/DLO\3100\Osteo_Sarco_1.png","RPT")</f>
        <v/>
      </c>
      <c r="F1398" s="2" t="n">
        <v>115</v>
      </c>
      <c r="G1398" s="6" t="n">
        <v>9</v>
      </c>
      <c r="I1398" s="0" t="n"/>
      <c r="J1398" s="0" t="n"/>
      <c r="K1398" s="0" t="n"/>
      <c r="L1398" t="inlineStr">
        <is>
          <t>iCT 256</t>
        </is>
      </c>
      <c r="M1398" t="inlineStr">
        <is>
          <t>LAP 3/3mm, iDose (3)</t>
        </is>
      </c>
    </row>
    <row r="1399">
      <c r="A1399" s="2" t="n">
        <v>9875660</v>
      </c>
      <c r="B1399" s="2" t="inlineStr">
        <is>
          <t>63</t>
        </is>
      </c>
      <c r="C1399" s="2" t="inlineStr">
        <is>
          <t>F</t>
        </is>
      </c>
      <c r="D1399" s="2" t="inlineStr">
        <is>
          <t>100.0</t>
        </is>
      </c>
      <c r="E1399" s="4">
        <f>HYPERLINK("./Results/DLO\3101\Osteo_Sarco_1.png","RPT")</f>
        <v/>
      </c>
      <c r="F1399" s="2" t="n">
        <v>103</v>
      </c>
      <c r="G1399" s="6" t="n">
        <v>6</v>
      </c>
      <c r="I1399" s="0" t="n"/>
      <c r="J1399" s="0" t="n"/>
      <c r="K1399" s="0" t="n"/>
      <c r="L1399" t="inlineStr">
        <is>
          <t>SOMATOM Force</t>
        </is>
      </c>
      <c r="M1399" t="inlineStr">
        <is>
          <t>Pre 3.0 Br40 1</t>
        </is>
      </c>
    </row>
    <row r="1400">
      <c r="A1400" s="2" t="n">
        <v>9876023</v>
      </c>
      <c r="B1400" s="2" t="inlineStr">
        <is>
          <t>54</t>
        </is>
      </c>
      <c r="C1400" s="2" t="inlineStr">
        <is>
          <t>F</t>
        </is>
      </c>
      <c r="D1400" s="2" t="inlineStr">
        <is>
          <t>130.0</t>
        </is>
      </c>
      <c r="E1400" s="4">
        <f>HYPERLINK("./Results/DLO\3102\Osteo_Sarco_1.png","RPT")</f>
        <v/>
      </c>
      <c r="F1400" s="2" t="n">
        <v>104</v>
      </c>
      <c r="G1400" s="6" t="n">
        <v>8</v>
      </c>
      <c r="I1400" s="0" t="n"/>
      <c r="J1400" s="0" t="n"/>
      <c r="K1400" s="0" t="n"/>
      <c r="L1400" t="inlineStr">
        <is>
          <t>SOMATOM Perspective</t>
        </is>
      </c>
      <c r="M1400" t="inlineStr">
        <is>
          <t>Abdomen pre 3.0 B40s</t>
        </is>
      </c>
    </row>
    <row r="1401">
      <c r="A1401" s="2" t="n">
        <v>9875486</v>
      </c>
      <c r="B1401" s="2" t="inlineStr">
        <is>
          <t>64</t>
        </is>
      </c>
      <c r="C1401" s="2" t="inlineStr">
        <is>
          <t>F</t>
        </is>
      </c>
      <c r="D1401" s="2" t="inlineStr">
        <is>
          <t>90.0</t>
        </is>
      </c>
      <c r="E1401" s="4">
        <f>HYPERLINK("./Results/DLO\3103\Osteo_Sarco_1.png","RPT")</f>
        <v/>
      </c>
      <c r="F1401" s="2" t="n">
        <v>120</v>
      </c>
      <c r="G1401" s="6" t="n">
        <v>8</v>
      </c>
      <c r="I1401" s="0" t="n"/>
      <c r="J1401" s="0" t="n"/>
      <c r="K1401" s="0" t="n"/>
      <c r="L1401" t="inlineStr">
        <is>
          <t>SOMATOM Drive</t>
        </is>
      </c>
      <c r="M1401" t="inlineStr">
        <is>
          <t>Abdomen Pre 5.0 Br40 3</t>
        </is>
      </c>
    </row>
    <row r="1402">
      <c r="A1402" s="2" t="n">
        <v>9877541</v>
      </c>
      <c r="B1402" s="2" t="inlineStr">
        <is>
          <t>19</t>
        </is>
      </c>
      <c r="C1402" s="2" t="inlineStr">
        <is>
          <t>M</t>
        </is>
      </c>
      <c r="D1402" s="2" t="inlineStr">
        <is>
          <t>120.0</t>
        </is>
      </c>
      <c r="E1402" s="4">
        <f>HYPERLINK("./Results/DLO\3105\Osteo_Sarco_1.png","RPT")</f>
        <v/>
      </c>
      <c r="F1402" s="2" t="n">
        <v>158</v>
      </c>
      <c r="G1402" s="6" t="n">
        <v>2</v>
      </c>
      <c r="I1402" s="0" t="n"/>
      <c r="J1402" s="0" t="n"/>
      <c r="K1402" s="0" t="n"/>
      <c r="L1402" t="inlineStr">
        <is>
          <t>Aquilion</t>
        </is>
      </c>
      <c r="M1402" t="inlineStr">
        <is>
          <t>N/A</t>
        </is>
      </c>
    </row>
    <row r="1403">
      <c r="A1403" s="2" t="n">
        <v>9877943</v>
      </c>
      <c r="B1403" s="2" t="inlineStr">
        <is>
          <t>70</t>
        </is>
      </c>
      <c r="C1403" s="2" t="inlineStr">
        <is>
          <t>M</t>
        </is>
      </c>
      <c r="D1403" s="2" t="inlineStr">
        <is>
          <t>100.0</t>
        </is>
      </c>
      <c r="E1403" s="4">
        <f>HYPERLINK("./Results/DLO\3106\Osteo_Sarco_1.png","RPT")</f>
        <v/>
      </c>
      <c r="F1403" s="2" t="n">
        <v>116</v>
      </c>
      <c r="G1403" s="6" t="n">
        <v>6</v>
      </c>
      <c r="H1403" t="n">
        <v>22.01</v>
      </c>
      <c r="L1403" t="inlineStr">
        <is>
          <t>SOMATOM Force</t>
        </is>
      </c>
      <c r="M1403" t="inlineStr">
        <is>
          <t>LAP 3.0 Br40 2 (61kg/122kg...</t>
        </is>
      </c>
    </row>
    <row r="1404">
      <c r="A1404" s="2" t="n">
        <v>9877925</v>
      </c>
      <c r="B1404" s="2" t="inlineStr">
        <is>
          <t>63</t>
        </is>
      </c>
      <c r="C1404" s="2" t="inlineStr">
        <is>
          <t>M</t>
        </is>
      </c>
      <c r="D1404" s="2" t="inlineStr">
        <is>
          <t>120.0</t>
        </is>
      </c>
      <c r="E1404" s="4">
        <f>HYPERLINK("./Results/DLO\3107\Osteo_Sarco_1.png","RPT")</f>
        <v/>
      </c>
      <c r="F1404" s="2" t="n">
        <v>161</v>
      </c>
      <c r="G1404" s="6" t="n">
        <v>7</v>
      </c>
      <c r="I1404" s="0" t="n"/>
      <c r="J1404" s="0" t="n"/>
      <c r="K1404" s="0" t="n"/>
      <c r="L1404" t="inlineStr">
        <is>
          <t>Discovery CT750 HD</t>
        </is>
      </c>
      <c r="M1404" t="inlineStr">
        <is>
          <t>LAP 3mm</t>
        </is>
      </c>
    </row>
    <row r="1405">
      <c r="A1405" s="2" t="n">
        <v>9879359</v>
      </c>
      <c r="B1405" s="2" t="inlineStr">
        <is>
          <t>59</t>
        </is>
      </c>
      <c r="C1405" s="2" t="inlineStr">
        <is>
          <t>F</t>
        </is>
      </c>
      <c r="D1405" s="2" t="inlineStr">
        <is>
          <t>100.0</t>
        </is>
      </c>
      <c r="E1405" s="4">
        <f>HYPERLINK("./Results/DLO\3108\Osteo_Sarco_1.png","RPT")</f>
        <v/>
      </c>
      <c r="F1405" s="2" t="n">
        <v>109</v>
      </c>
      <c r="G1405" s="6" t="n">
        <v>19</v>
      </c>
      <c r="I1405" s="0" t="n"/>
      <c r="J1405" s="0" t="n"/>
      <c r="K1405" s="0" t="n"/>
      <c r="L1405" t="inlineStr">
        <is>
          <t>Optima CT660</t>
        </is>
      </c>
      <c r="M1405" t="inlineStr">
        <is>
          <t>Pre</t>
        </is>
      </c>
    </row>
    <row r="1406">
      <c r="A1406" s="2" t="n">
        <v>9881471</v>
      </c>
      <c r="B1406" s="2" t="inlineStr">
        <is>
          <t>71</t>
        </is>
      </c>
      <c r="C1406" s="2" t="inlineStr">
        <is>
          <t>M</t>
        </is>
      </c>
      <c r="D1406" s="2" t="inlineStr">
        <is>
          <t>120.0</t>
        </is>
      </c>
      <c r="E1406" s="4">
        <f>HYPERLINK("./Results/DLO\3109\Osteo_Sarco_1.png","RPT")</f>
        <v/>
      </c>
      <c r="F1406" s="2" t="n">
        <v>116</v>
      </c>
      <c r="G1406" s="6" t="n">
        <v>13</v>
      </c>
      <c r="H1406" t="n">
        <v>24.97</v>
      </c>
      <c r="L1406" t="inlineStr">
        <is>
          <t>SOMATOM Definition...</t>
        </is>
      </c>
      <c r="M1406" t="inlineStr">
        <is>
          <t>Delay 5.0 B30f</t>
        </is>
      </c>
    </row>
    <row r="1407">
      <c r="A1407" s="2" t="n">
        <v>2439936</v>
      </c>
      <c r="B1407" s="2" t="inlineStr">
        <is>
          <t>67</t>
        </is>
      </c>
      <c r="C1407" s="2" t="inlineStr">
        <is>
          <t>F</t>
        </is>
      </c>
      <c r="D1407" s="2" t="inlineStr">
        <is>
          <t>120.0</t>
        </is>
      </c>
      <c r="E1407" s="4">
        <f>HYPERLINK("./Results/DLO\311\Osteo_Sarco_1.png","RPT")</f>
        <v/>
      </c>
      <c r="F1407" s="2" t="n">
        <v>116</v>
      </c>
      <c r="G1407" s="6" t="n">
        <v>8</v>
      </c>
      <c r="I1407" s="0" t="n"/>
      <c r="J1407" s="0" t="n"/>
      <c r="K1407" s="0" t="n"/>
      <c r="L1407" t="inlineStr">
        <is>
          <t>LightSpeed VCT</t>
        </is>
      </c>
      <c r="M1407" t="inlineStr">
        <is>
          <t>HVP 3mm</t>
        </is>
      </c>
    </row>
    <row r="1408">
      <c r="A1408" s="2" t="n">
        <v>9883885</v>
      </c>
      <c r="B1408" s="2" t="inlineStr">
        <is>
          <t>66</t>
        </is>
      </c>
      <c r="C1408" s="2" t="inlineStr">
        <is>
          <t>F</t>
        </is>
      </c>
      <c r="D1408" s="2" t="inlineStr">
        <is>
          <t>120.0</t>
        </is>
      </c>
      <c r="E1408" s="4">
        <f>HYPERLINK("./Results/DLO\3110\Osteo_Sarco_1.png","RPT")</f>
        <v/>
      </c>
      <c r="F1408" s="2" t="n">
        <v>102</v>
      </c>
      <c r="G1408" s="6" t="n">
        <v>7</v>
      </c>
      <c r="I1408" s="0" t="n"/>
      <c r="J1408" s="0" t="n"/>
      <c r="K1408" s="0" t="n"/>
      <c r="L1408" t="inlineStr">
        <is>
          <t>Sensation 64</t>
        </is>
      </c>
      <c r="M1408" t="inlineStr">
        <is>
          <t>Pre - Abd 5.0 B40f</t>
        </is>
      </c>
    </row>
    <row r="1409">
      <c r="A1409" s="2" t="n">
        <v>9886327</v>
      </c>
      <c r="B1409" s="2" t="inlineStr">
        <is>
          <t>44</t>
        </is>
      </c>
      <c r="C1409" s="2" t="inlineStr">
        <is>
          <t>M</t>
        </is>
      </c>
      <c r="D1409" s="2" t="inlineStr">
        <is>
          <t>120.0</t>
        </is>
      </c>
      <c r="E1409" s="4">
        <f>HYPERLINK("./Results/DLO\3112\Osteo_Sarco_1.png","RPT")</f>
        <v/>
      </c>
      <c r="F1409" s="2" t="n">
        <v>146</v>
      </c>
      <c r="G1409" s="6" t="n">
        <v>5</v>
      </c>
      <c r="H1409" t="n">
        <v>21.64</v>
      </c>
      <c r="L1409" t="inlineStr">
        <is>
          <t>Ingenuity CT</t>
        </is>
      </c>
      <c r="M1409" t="inlineStr">
        <is>
          <t>N/A</t>
        </is>
      </c>
    </row>
    <row r="1410">
      <c r="A1410" s="2" t="n">
        <v>9887760</v>
      </c>
      <c r="B1410" s="2" t="inlineStr">
        <is>
          <t>62</t>
        </is>
      </c>
      <c r="C1410" s="2" t="inlineStr">
        <is>
          <t>F</t>
        </is>
      </c>
      <c r="D1410" s="2" t="inlineStr">
        <is>
          <t>120.0</t>
        </is>
      </c>
      <c r="E1410" s="4">
        <f>HYPERLINK("./Results/DLO\3113\Osteo_Sarco_1.png","RPT")</f>
        <v/>
      </c>
      <c r="F1410" s="2" t="n">
        <v>113</v>
      </c>
      <c r="G1410" s="6" t="n">
        <v>8</v>
      </c>
      <c r="H1410" t="n">
        <v>25.9</v>
      </c>
      <c r="L1410" t="inlineStr">
        <is>
          <t>Discovery CT750 HD</t>
        </is>
      </c>
      <c r="M1410" t="inlineStr">
        <is>
          <t>Pre AXL 5mm</t>
        </is>
      </c>
    </row>
    <row r="1411">
      <c r="A1411" s="2" t="n">
        <v>9887646</v>
      </c>
      <c r="B1411" s="2" t="inlineStr">
        <is>
          <t>37</t>
        </is>
      </c>
      <c r="C1411" s="2" t="inlineStr">
        <is>
          <t>M</t>
        </is>
      </c>
      <c r="D1411" s="2" t="inlineStr">
        <is>
          <t>120.0</t>
        </is>
      </c>
      <c r="E1411" s="4">
        <f>HYPERLINK("./Results/DLO\3114\Osteo_Sarco_1.png","RPT")</f>
        <v/>
      </c>
      <c r="F1411" s="2" t="n">
        <v>191</v>
      </c>
      <c r="G1411" s="6" t="n">
        <v>16</v>
      </c>
      <c r="I1411" s="0" t="n"/>
      <c r="J1411" s="0" t="n"/>
      <c r="K1411" s="0" t="n"/>
      <c r="L1411" t="inlineStr">
        <is>
          <t>Discovery CT750 HD</t>
        </is>
      </c>
      <c r="M1411" t="inlineStr">
        <is>
          <t>Pre AXL 5mm</t>
        </is>
      </c>
    </row>
    <row r="1412">
      <c r="A1412" s="2" t="n">
        <v>9888740</v>
      </c>
      <c r="B1412" s="2" t="inlineStr">
        <is>
          <t>50</t>
        </is>
      </c>
      <c r="C1412" s="2" t="inlineStr">
        <is>
          <t>M</t>
        </is>
      </c>
      <c r="D1412" s="2" t="inlineStr">
        <is>
          <t>130.0</t>
        </is>
      </c>
      <c r="E1412" s="4">
        <f>HYPERLINK("./Results/DLO\3115\Osteo_Sarco_1.png","RPT")</f>
        <v/>
      </c>
      <c r="F1412" s="2" t="n">
        <v>187</v>
      </c>
      <c r="G1412" s="6" t="n">
        <v>12</v>
      </c>
      <c r="I1412" s="0" t="n"/>
      <c r="J1412" s="0" t="n"/>
      <c r="K1412" s="0" t="n"/>
      <c r="L1412" t="inlineStr">
        <is>
          <t>Spirit</t>
        </is>
      </c>
      <c r="M1412" t="inlineStr">
        <is>
          <t>ABDOMEN 5.0 B50S</t>
        </is>
      </c>
    </row>
    <row r="1413">
      <c r="A1413" s="2" t="n">
        <v>9889246</v>
      </c>
      <c r="B1413" s="2" t="inlineStr">
        <is>
          <t>66</t>
        </is>
      </c>
      <c r="C1413" s="2" t="inlineStr">
        <is>
          <t>M</t>
        </is>
      </c>
      <c r="D1413" s="2" t="inlineStr">
        <is>
          <t>120.0</t>
        </is>
      </c>
      <c r="E1413" s="4">
        <f>HYPERLINK("./Results/DLO\3116\Osteo_Sarco_1.png","RPT")</f>
        <v/>
      </c>
      <c r="F1413" s="2" t="n">
        <v>142</v>
      </c>
      <c r="G1413" s="6" t="n">
        <v>13</v>
      </c>
      <c r="H1413" t="n">
        <v>24.65</v>
      </c>
      <c r="L1413" t="inlineStr">
        <is>
          <t>Aquilion</t>
        </is>
      </c>
      <c r="M1413" t="inlineStr">
        <is>
          <t>PRE</t>
        </is>
      </c>
    </row>
    <row r="1414">
      <c r="A1414" s="2" t="n">
        <v>9902367</v>
      </c>
      <c r="B1414" s="2" t="inlineStr">
        <is>
          <t>60</t>
        </is>
      </c>
      <c r="C1414" s="2" t="inlineStr">
        <is>
          <t>F</t>
        </is>
      </c>
      <c r="D1414" s="2" t="inlineStr">
        <is>
          <t>120.0</t>
        </is>
      </c>
      <c r="E1414" s="4">
        <f>HYPERLINK("./Results/DLO\3118\Osteo_Sarco_1.png","RPT")</f>
        <v/>
      </c>
      <c r="F1414" s="2" t="n">
        <v>87</v>
      </c>
      <c r="G1414" s="6" t="n">
        <v>14</v>
      </c>
      <c r="I1414" s="0" t="n"/>
      <c r="J1414" s="0" t="n"/>
      <c r="K1414" s="0" t="n"/>
      <c r="L1414" t="inlineStr">
        <is>
          <t>SOMATOM Definition...</t>
        </is>
      </c>
      <c r="M1414" t="inlineStr">
        <is>
          <t>abd pre</t>
        </is>
      </c>
    </row>
    <row r="1415">
      <c r="A1415" s="2" t="n">
        <v>9907472</v>
      </c>
      <c r="B1415" s="2" t="inlineStr">
        <is>
          <t>48</t>
        </is>
      </c>
      <c r="C1415" s="2" t="inlineStr">
        <is>
          <t>M</t>
        </is>
      </c>
      <c r="D1415" s="2" t="inlineStr">
        <is>
          <t>120.0</t>
        </is>
      </c>
      <c r="E1415" s="4">
        <f>HYPERLINK("./Results/DLO\3119\Osteo_Sarco_1.png","RPT")</f>
        <v/>
      </c>
      <c r="F1415" s="2" t="n">
        <v>145</v>
      </c>
      <c r="G1415" s="6" t="n">
        <v>9</v>
      </c>
      <c r="H1415" t="n">
        <v>23.39</v>
      </c>
      <c r="L1415" t="inlineStr">
        <is>
          <t>Ingenuity CT</t>
        </is>
      </c>
      <c r="M1415" t="inlineStr">
        <is>
          <t>Pre</t>
        </is>
      </c>
    </row>
    <row r="1416">
      <c r="A1416" s="2" t="n">
        <v>1932899</v>
      </c>
      <c r="B1416" s="2" t="inlineStr">
        <is>
          <t>68</t>
        </is>
      </c>
      <c r="C1416" s="2" t="inlineStr">
        <is>
          <t>M</t>
        </is>
      </c>
      <c r="D1416" s="2" t="inlineStr">
        <is>
          <t>100.0</t>
        </is>
      </c>
      <c r="E1416" s="4">
        <f>HYPERLINK("./Results/DLO\312\Osteo_Sarco_1.png","RPT")</f>
        <v/>
      </c>
      <c r="F1416" s="2" t="n">
        <v>148</v>
      </c>
      <c r="G1416" s="6" t="n">
        <v>10</v>
      </c>
      <c r="I1416" s="0" t="n"/>
      <c r="J1416" s="0" t="n"/>
      <c r="K1416" s="0" t="n"/>
      <c r="L1416" t="inlineStr">
        <is>
          <t>Revolution CT</t>
        </is>
      </c>
      <c r="M1416" t="inlineStr">
        <is>
          <t>HVP 3mm-pacs(67kg/134cc/3cc/r...</t>
        </is>
      </c>
    </row>
    <row r="1417">
      <c r="A1417" s="2" t="n">
        <v>10030497</v>
      </c>
      <c r="B1417" s="2" t="inlineStr">
        <is>
          <t>52</t>
        </is>
      </c>
      <c r="C1417" s="2" t="inlineStr">
        <is>
          <t>M</t>
        </is>
      </c>
      <c r="D1417" s="2" t="inlineStr">
        <is>
          <t>120.0</t>
        </is>
      </c>
      <c r="E1417" s="4">
        <f>HYPERLINK("./Results/DLO\3121\Osteo_Sarco_1.png","RPT")</f>
        <v/>
      </c>
      <c r="F1417" s="2" t="n">
        <v>170</v>
      </c>
      <c r="G1417" s="6" t="n">
        <v>5</v>
      </c>
      <c r="I1417" s="0" t="n"/>
      <c r="J1417" s="0" t="n"/>
      <c r="K1417" s="0" t="n"/>
      <c r="L1417" t="inlineStr">
        <is>
          <t>Brivo CT385 Series</t>
        </is>
      </c>
      <c r="M1417" t="inlineStr">
        <is>
          <t>PRE</t>
        </is>
      </c>
    </row>
    <row r="1418">
      <c r="A1418" s="2" t="n">
        <v>10033248</v>
      </c>
      <c r="B1418" s="2" t="inlineStr">
        <is>
          <t>65</t>
        </is>
      </c>
      <c r="C1418" s="2" t="inlineStr">
        <is>
          <t>M</t>
        </is>
      </c>
      <c r="D1418" s="2" t="inlineStr">
        <is>
          <t>100.0</t>
        </is>
      </c>
      <c r="E1418" s="4">
        <f>HYPERLINK("./Results/DLO\3122\Osteo_Sarco_1.png","RPT")</f>
        <v/>
      </c>
      <c r="F1418" s="2" t="n">
        <v>105</v>
      </c>
      <c r="G1418" s="6" t="n">
        <v>9</v>
      </c>
      <c r="I1418" s="0" t="n"/>
      <c r="J1418" s="0" t="n"/>
      <c r="K1418" s="0" t="n"/>
      <c r="L1418" t="inlineStr">
        <is>
          <t>Revolution Frontier</t>
        </is>
      </c>
      <c r="M1418" t="inlineStr">
        <is>
          <t>ABD</t>
        </is>
      </c>
    </row>
    <row r="1419">
      <c r="A1419" s="2" t="n">
        <v>10236447</v>
      </c>
      <c r="B1419" s="2" t="inlineStr">
        <is>
          <t>60</t>
        </is>
      </c>
      <c r="C1419" s="2" t="inlineStr">
        <is>
          <t>M</t>
        </is>
      </c>
      <c r="D1419" s="2" t="inlineStr">
        <is>
          <t>120.0</t>
        </is>
      </c>
      <c r="E1419" s="4">
        <f>HYPERLINK("./Results/DLO\3123\Osteo_Sarco_1.png","RPT")</f>
        <v/>
      </c>
      <c r="F1419" s="2" t="n">
        <v>159</v>
      </c>
      <c r="G1419" s="6" t="n">
        <v>9</v>
      </c>
      <c r="H1419" t="n">
        <v>26.93</v>
      </c>
      <c r="L1419" t="inlineStr">
        <is>
          <t>SOMATOM Definition</t>
        </is>
      </c>
      <c r="M1419" t="inlineStr">
        <is>
          <t>Abdomen 3.0 B30f</t>
        </is>
      </c>
    </row>
    <row r="1420">
      <c r="A1420" s="2" t="n">
        <v>10383011</v>
      </c>
      <c r="B1420" s="2" t="inlineStr">
        <is>
          <t>48</t>
        </is>
      </c>
      <c r="C1420" s="2" t="inlineStr">
        <is>
          <t>M</t>
        </is>
      </c>
      <c r="D1420" s="2" t="inlineStr">
        <is>
          <t>120.0</t>
        </is>
      </c>
      <c r="E1420" s="4">
        <f>HYPERLINK("./Results/DLO\3124\Osteo_Sarco_1.png","RPT")</f>
        <v/>
      </c>
      <c r="F1420" s="2" t="n">
        <v>125</v>
      </c>
      <c r="G1420" s="6" t="n">
        <v>7</v>
      </c>
      <c r="I1420" s="0" t="n"/>
      <c r="J1420" s="0" t="n"/>
      <c r="K1420" s="0" t="n"/>
      <c r="L1420" t="inlineStr">
        <is>
          <t>SOMATOM Definition...</t>
        </is>
      </c>
      <c r="M1420" t="inlineStr">
        <is>
          <t>Pre 3.0 I40f 2</t>
        </is>
      </c>
    </row>
    <row r="1421">
      <c r="A1421" s="2" t="n">
        <v>10406237</v>
      </c>
      <c r="B1421" s="2" t="inlineStr">
        <is>
          <t>8</t>
        </is>
      </c>
      <c r="C1421" s="2" t="inlineStr">
        <is>
          <t>M</t>
        </is>
      </c>
      <c r="D1421" s="2" t="inlineStr">
        <is>
          <t>140.0</t>
        </is>
      </c>
      <c r="E1421" s="4">
        <f>HYPERLINK("./Results/DLO\3125\Osteo_Sarco_1.png","RPT")</f>
        <v/>
      </c>
      <c r="F1421" s="2" t="n">
        <v>18</v>
      </c>
      <c r="G1421" s="6" t="n">
        <v>1</v>
      </c>
      <c r="I1421" s="0" t="n"/>
      <c r="J1421" s="0" t="n"/>
      <c r="K1421" s="0" t="n"/>
      <c r="L1421" t="inlineStr">
        <is>
          <t>GE Revolution</t>
        </is>
      </c>
      <c r="M1421" t="inlineStr">
        <is>
          <t>ABDOMEN</t>
        </is>
      </c>
    </row>
    <row r="1422">
      <c r="A1422" s="2" t="n">
        <v>10689760</v>
      </c>
      <c r="B1422" s="2" t="inlineStr">
        <is>
          <t>57</t>
        </is>
      </c>
      <c r="C1422" s="2" t="inlineStr">
        <is>
          <t>F</t>
        </is>
      </c>
      <c r="D1422" s="2" t="inlineStr">
        <is>
          <t>120.0</t>
        </is>
      </c>
      <c r="E1422" s="4">
        <f>HYPERLINK("./Results/DLO\3126\Osteo_Sarco_1.png","RPT")</f>
        <v/>
      </c>
      <c r="F1422" s="2" t="n">
        <v>96</v>
      </c>
      <c r="G1422" s="6" t="n">
        <v>10</v>
      </c>
      <c r="I1422" s="0" t="n"/>
      <c r="J1422" s="0" t="n"/>
      <c r="K1422" s="0" t="n"/>
      <c r="L1422" t="inlineStr">
        <is>
          <t>LightSpeed VCT</t>
        </is>
      </c>
      <c r="M1422" t="inlineStr">
        <is>
          <t>PRE</t>
        </is>
      </c>
    </row>
    <row r="1423">
      <c r="A1423" s="2" t="n">
        <v>10746859</v>
      </c>
      <c r="B1423" s="2" t="inlineStr">
        <is>
          <t>46</t>
        </is>
      </c>
      <c r="C1423" s="2" t="inlineStr">
        <is>
          <t>F</t>
        </is>
      </c>
      <c r="D1423" s="2" t="inlineStr">
        <is>
          <t>120.0</t>
        </is>
      </c>
      <c r="E1423" s="4">
        <f>HYPERLINK("./Results/DLO\3127\Osteo_Sarco_1.png","RPT")</f>
        <v/>
      </c>
      <c r="F1423" s="2" t="n">
        <v>102</v>
      </c>
      <c r="G1423" s="6" t="n">
        <v>5</v>
      </c>
      <c r="I1423" s="0" t="n"/>
      <c r="J1423" s="0" t="n"/>
      <c r="K1423" s="0" t="n"/>
      <c r="L1423" t="inlineStr">
        <is>
          <t>Ingenuity CT</t>
        </is>
      </c>
      <c r="M1423" t="inlineStr">
        <is>
          <t>Pre, iDose (2)</t>
        </is>
      </c>
    </row>
    <row r="1424">
      <c r="A1424" s="2" t="n">
        <v>11093709</v>
      </c>
      <c r="B1424" s="2" t="inlineStr">
        <is>
          <t>40</t>
        </is>
      </c>
      <c r="C1424" s="2" t="inlineStr">
        <is>
          <t>F</t>
        </is>
      </c>
      <c r="D1424" s="2" t="inlineStr">
        <is>
          <t>120.0</t>
        </is>
      </c>
      <c r="E1424" s="4">
        <f>HYPERLINK("./Results/DLO\3128\Osteo_Sarco_1.png","RPT")</f>
        <v/>
      </c>
      <c r="F1424" s="2" t="n">
        <v>77</v>
      </c>
      <c r="G1424" s="6" t="n">
        <v>6</v>
      </c>
      <c r="I1424" s="0" t="n"/>
      <c r="J1424" s="0" t="n"/>
      <c r="K1424" s="0" t="n"/>
      <c r="L1424" t="inlineStr">
        <is>
          <t>Sensation 64</t>
        </is>
      </c>
      <c r="M1424" t="inlineStr">
        <is>
          <t>Pre 5.0 B3if</t>
        </is>
      </c>
    </row>
    <row r="1425">
      <c r="A1425" s="2" t="n">
        <v>2759394</v>
      </c>
      <c r="B1425" s="2" t="inlineStr">
        <is>
          <t>77</t>
        </is>
      </c>
      <c r="C1425" s="2" t="inlineStr">
        <is>
          <t>F</t>
        </is>
      </c>
      <c r="D1425" s="2" t="inlineStr">
        <is>
          <t>100.0</t>
        </is>
      </c>
      <c r="E1425" s="4">
        <f>HYPERLINK("./Results/DLO\3129\Osteo_Sarco_1.png","RPT")</f>
        <v/>
      </c>
      <c r="F1425" s="2" t="n">
        <v>100</v>
      </c>
      <c r="G1425" s="6" t="n">
        <v>17</v>
      </c>
      <c r="H1425" t="n">
        <v>26.37</v>
      </c>
      <c r="L1425" t="inlineStr">
        <is>
          <t>Revolution EVO</t>
        </is>
      </c>
      <c r="M1425" t="inlineStr">
        <is>
          <t>PRE</t>
        </is>
      </c>
    </row>
    <row r="1426">
      <c r="A1426" s="2" t="n">
        <v>1982746</v>
      </c>
      <c r="B1426" s="2" t="inlineStr">
        <is>
          <t>53</t>
        </is>
      </c>
      <c r="C1426" s="2" t="inlineStr">
        <is>
          <t>M</t>
        </is>
      </c>
      <c r="D1426" s="2" t="inlineStr">
        <is>
          <t>100.0</t>
        </is>
      </c>
      <c r="E1426" s="4">
        <f>HYPERLINK("./Results/DLO\313\Osteo_Sarco_1.png","RPT")</f>
        <v/>
      </c>
      <c r="F1426" s="2" t="n">
        <v>151</v>
      </c>
      <c r="G1426" s="6" t="n">
        <v>4</v>
      </c>
      <c r="I1426" s="0" t="n"/>
      <c r="J1426" s="0" t="n"/>
      <c r="K1426" s="0" t="n"/>
      <c r="L1426" t="inlineStr">
        <is>
          <t>SOMATOM Force</t>
        </is>
      </c>
      <c r="M1426" t="inlineStr">
        <is>
          <t>Pre 3.0 Br40</t>
        </is>
      </c>
    </row>
    <row r="1427">
      <c r="A1427" s="2" t="n">
        <v>365373</v>
      </c>
      <c r="B1427" s="2" t="inlineStr">
        <is>
          <t>67</t>
        </is>
      </c>
      <c r="C1427" s="2" t="inlineStr">
        <is>
          <t>M</t>
        </is>
      </c>
      <c r="D1427" s="2" t="inlineStr">
        <is>
          <t>120.0</t>
        </is>
      </c>
      <c r="E1427" s="4">
        <f>HYPERLINK("./Results/DLO\3130\Osteo_Sarco_1.png","RPT")</f>
        <v/>
      </c>
      <c r="F1427" s="2" t="n">
        <v>155</v>
      </c>
      <c r="G1427" s="6" t="n">
        <v>8</v>
      </c>
      <c r="H1427" t="n">
        <v>26.82</v>
      </c>
      <c r="L1427" t="inlineStr">
        <is>
          <t>Ingenuity Core</t>
        </is>
      </c>
      <c r="M1427" t="inlineStr">
        <is>
          <t>Pre 5mm, iDose (2)</t>
        </is>
      </c>
    </row>
    <row r="1428">
      <c r="A1428" s="2" t="n">
        <v>3655861</v>
      </c>
      <c r="B1428" s="2" t="inlineStr">
        <is>
          <t>65</t>
        </is>
      </c>
      <c r="C1428" s="2" t="inlineStr">
        <is>
          <t>F</t>
        </is>
      </c>
      <c r="D1428" s="2" t="inlineStr">
        <is>
          <t>100.0</t>
        </is>
      </c>
      <c r="E1428" s="4">
        <f>HYPERLINK("./Results/DLO\3131\Osteo_Sarco_1.png","RPT")</f>
        <v/>
      </c>
      <c r="F1428" s="2" t="n">
        <v>106</v>
      </c>
      <c r="G1428" s="6" t="n">
        <v>16</v>
      </c>
      <c r="H1428" t="n">
        <v>25.15</v>
      </c>
      <c r="L1428" t="inlineStr">
        <is>
          <t>Revolution EVO</t>
        </is>
      </c>
      <c r="M1428" t="inlineStr">
        <is>
          <t>PRE</t>
        </is>
      </c>
    </row>
    <row r="1429">
      <c r="A1429" s="2" t="n">
        <v>3958656</v>
      </c>
      <c r="B1429" s="2" t="inlineStr">
        <is>
          <t>84</t>
        </is>
      </c>
      <c r="C1429" s="2" t="inlineStr">
        <is>
          <t>F</t>
        </is>
      </c>
      <c r="D1429" s="2" t="inlineStr">
        <is>
          <t>100.0</t>
        </is>
      </c>
      <c r="E1429" s="4">
        <f>HYPERLINK("./Results/DLO\3132\Osteo_Sarco_1.png","RPT")</f>
        <v/>
      </c>
      <c r="F1429" s="2" t="n">
        <v>116</v>
      </c>
      <c r="G1429" s="6" t="n">
        <v>31</v>
      </c>
      <c r="H1429" t="n">
        <v>23.92</v>
      </c>
      <c r="L1429" t="inlineStr">
        <is>
          <t>Revolution EVO</t>
        </is>
      </c>
      <c r="M1429" t="inlineStr">
        <is>
          <t>PRE</t>
        </is>
      </c>
    </row>
    <row r="1430">
      <c r="A1430" s="2" t="n">
        <v>4148547</v>
      </c>
      <c r="B1430" s="2" t="inlineStr">
        <is>
          <t>80</t>
        </is>
      </c>
      <c r="C1430" s="2" t="inlineStr">
        <is>
          <t>M</t>
        </is>
      </c>
      <c r="D1430" s="2" t="inlineStr">
        <is>
          <t>100.0</t>
        </is>
      </c>
      <c r="E1430" s="4">
        <f>HYPERLINK("./Results/DLO\3133\Osteo_Sarco_1.png","RPT")</f>
        <v/>
      </c>
      <c r="F1430" s="2" t="n">
        <v>95</v>
      </c>
      <c r="G1430" s="6" t="n">
        <v>7</v>
      </c>
      <c r="H1430" t="n">
        <v>18.17</v>
      </c>
      <c r="L1430" t="inlineStr">
        <is>
          <t>Revolution EVO</t>
        </is>
      </c>
      <c r="M1430" t="inlineStr">
        <is>
          <t>Pre 2.5mm</t>
        </is>
      </c>
    </row>
    <row r="1431">
      <c r="A1431" s="2" t="n">
        <v>2181444</v>
      </c>
      <c r="B1431" s="2" t="inlineStr">
        <is>
          <t>70</t>
        </is>
      </c>
      <c r="C1431" s="2" t="inlineStr">
        <is>
          <t>F</t>
        </is>
      </c>
      <c r="D1431" s="2" t="inlineStr">
        <is>
          <t>100.0</t>
        </is>
      </c>
      <c r="E1431" s="4">
        <f>HYPERLINK("./Results/DLO\3134\Osteo_Sarco_1.png","RPT")</f>
        <v/>
      </c>
      <c r="F1431" s="2" t="n">
        <v>64</v>
      </c>
      <c r="G1431" s="6" t="n">
        <v>10</v>
      </c>
      <c r="H1431" t="n">
        <v>19.71</v>
      </c>
      <c r="L1431" t="inlineStr">
        <is>
          <t>Revolution EVO</t>
        </is>
      </c>
      <c r="M1431" t="inlineStr">
        <is>
          <t>PRE</t>
        </is>
      </c>
    </row>
    <row r="1432">
      <c r="A1432" s="2" t="n">
        <v>2649937</v>
      </c>
      <c r="B1432" s="2" t="inlineStr">
        <is>
          <t>69</t>
        </is>
      </c>
      <c r="C1432" s="2" t="inlineStr">
        <is>
          <t>F</t>
        </is>
      </c>
      <c r="D1432" s="2" t="inlineStr">
        <is>
          <t>120.0</t>
        </is>
      </c>
      <c r="E1432" s="4">
        <f>HYPERLINK("./Results/DLO\3135\Osteo_Sarco_1.png","RPT")</f>
        <v/>
      </c>
      <c r="F1432" s="2" t="n">
        <v>100</v>
      </c>
      <c r="G1432" s="6" t="n">
        <v>7</v>
      </c>
      <c r="H1432" t="n">
        <v>20.24</v>
      </c>
      <c r="L1432" t="inlineStr">
        <is>
          <t>LightSpeed VCT</t>
        </is>
      </c>
      <c r="M1432" t="inlineStr">
        <is>
          <t>LAP 18sec 3mm</t>
        </is>
      </c>
    </row>
    <row r="1433">
      <c r="A1433" s="2" t="n">
        <v>4626806</v>
      </c>
      <c r="B1433" s="2" t="inlineStr">
        <is>
          <t>63</t>
        </is>
      </c>
      <c r="C1433" s="2" t="inlineStr">
        <is>
          <t>F</t>
        </is>
      </c>
      <c r="D1433" s="2" t="inlineStr">
        <is>
          <t>100.0</t>
        </is>
      </c>
      <c r="E1433" s="4">
        <f>HYPERLINK("./Results/DLO\3136\Osteo_Sarco_1.png","RPT")</f>
        <v/>
      </c>
      <c r="F1433" s="2" t="n">
        <v>98</v>
      </c>
      <c r="G1433" s="6" t="n">
        <v>8</v>
      </c>
      <c r="H1433" t="n">
        <v>22.71</v>
      </c>
      <c r="L1433" t="inlineStr">
        <is>
          <t>SOMATOM Definition...</t>
        </is>
      </c>
      <c r="M1433" t="inlineStr">
        <is>
          <t>HVP 2 3mm(55kg/110cc/3cc/xene)</t>
        </is>
      </c>
    </row>
    <row r="1434">
      <c r="A1434" s="2" t="n">
        <v>4799418</v>
      </c>
      <c r="B1434" s="2" t="inlineStr">
        <is>
          <t>76</t>
        </is>
      </c>
      <c r="C1434" s="2" t="inlineStr">
        <is>
          <t>F</t>
        </is>
      </c>
      <c r="D1434" s="2" t="inlineStr">
        <is>
          <t>100.0</t>
        </is>
      </c>
      <c r="E1434" s="4">
        <f>HYPERLINK("./Results/DLO\3137\Osteo_Sarco_1.png","RPT")</f>
        <v/>
      </c>
      <c r="F1434" s="2" t="n">
        <v>98</v>
      </c>
      <c r="G1434" s="6" t="n">
        <v>11</v>
      </c>
      <c r="H1434" t="n">
        <v>25.32</v>
      </c>
      <c r="L1434" t="inlineStr">
        <is>
          <t>SOMATOM Definition...</t>
        </is>
      </c>
      <c r="M1434" t="inlineStr">
        <is>
          <t>HVP 2 3mm(60kg/120cc/3cc/xene)</t>
        </is>
      </c>
    </row>
    <row r="1435">
      <c r="A1435" s="2" t="n">
        <v>2044554</v>
      </c>
      <c r="B1435" s="2" t="inlineStr">
        <is>
          <t>68</t>
        </is>
      </c>
      <c r="C1435" s="2" t="inlineStr">
        <is>
          <t>M</t>
        </is>
      </c>
      <c r="D1435" s="2" t="inlineStr">
        <is>
          <t>100.0</t>
        </is>
      </c>
      <c r="E1435" s="4">
        <f>HYPERLINK("./Results/DLO\3138\Osteo_Sarco_1.png","RPT")</f>
        <v/>
      </c>
      <c r="F1435" s="2" t="n">
        <v>120</v>
      </c>
      <c r="G1435" s="6" t="n">
        <v>8</v>
      </c>
      <c r="H1435" t="n">
        <v>17.92</v>
      </c>
      <c r="L1435" t="inlineStr">
        <is>
          <t>Revolution EVO</t>
        </is>
      </c>
      <c r="M1435" t="inlineStr">
        <is>
          <t>PRE</t>
        </is>
      </c>
    </row>
    <row r="1436">
      <c r="A1436" s="2" t="n">
        <v>2094015</v>
      </c>
      <c r="B1436" s="2" t="inlineStr">
        <is>
          <t>63</t>
        </is>
      </c>
      <c r="C1436" s="2" t="inlineStr">
        <is>
          <t>F</t>
        </is>
      </c>
      <c r="D1436" s="2" t="inlineStr">
        <is>
          <t>100.0</t>
        </is>
      </c>
      <c r="E1436" s="4">
        <f>HYPERLINK("./Results/DLO\3139\Osteo_Sarco_1.png","RPT")</f>
        <v/>
      </c>
      <c r="F1436" s="2" t="n">
        <v>83</v>
      </c>
      <c r="G1436" s="6" t="n">
        <v>7</v>
      </c>
      <c r="H1436" t="n">
        <v>23.6</v>
      </c>
      <c r="L1436" t="inlineStr">
        <is>
          <t>Revolution EVO</t>
        </is>
      </c>
      <c r="M1436" t="inlineStr">
        <is>
          <t>PRE</t>
        </is>
      </c>
    </row>
    <row r="1437">
      <c r="A1437" s="2" t="n">
        <v>2009694</v>
      </c>
      <c r="B1437" s="2" t="inlineStr">
        <is>
          <t>71</t>
        </is>
      </c>
      <c r="C1437" s="2" t="inlineStr">
        <is>
          <t>F</t>
        </is>
      </c>
      <c r="D1437" s="2" t="inlineStr">
        <is>
          <t>120.0</t>
        </is>
      </c>
      <c r="E1437" s="4">
        <f>HYPERLINK("./Results/DLO\314\Osteo_Sarco_1.png","RPT")</f>
        <v/>
      </c>
      <c r="F1437" s="2" t="n">
        <v>104</v>
      </c>
      <c r="G1437" s="6" t="n">
        <v>11</v>
      </c>
      <c r="H1437" t="n">
        <v>27.41</v>
      </c>
      <c r="L1437" t="inlineStr">
        <is>
          <t>LightSpeed VCT</t>
        </is>
      </c>
      <c r="M1437" t="inlineStr">
        <is>
          <t>HVP 55sec 3mm</t>
        </is>
      </c>
    </row>
    <row r="1438">
      <c r="A1438" s="2" t="n">
        <v>2269840</v>
      </c>
      <c r="B1438" s="2" t="inlineStr">
        <is>
          <t>77</t>
        </is>
      </c>
      <c r="C1438" s="2" t="inlineStr">
        <is>
          <t>F</t>
        </is>
      </c>
      <c r="D1438" s="2" t="inlineStr">
        <is>
          <t>110.0</t>
        </is>
      </c>
      <c r="E1438" s="4">
        <f>HYPERLINK("./Results/DLO\3140\Osteo_Sarco_1.png","RPT")</f>
        <v/>
      </c>
      <c r="F1438" s="2" t="n">
        <v>93</v>
      </c>
      <c r="G1438" s="6" t="n">
        <v>10</v>
      </c>
      <c r="H1438" t="n">
        <v>22.16</v>
      </c>
      <c r="L1438" t="inlineStr">
        <is>
          <t>SOMATOM Force</t>
        </is>
      </c>
      <c r="M1438" t="inlineStr">
        <is>
          <t>Pre 3.0 Br40 2</t>
        </is>
      </c>
    </row>
    <row r="1439">
      <c r="A1439" s="2" t="n">
        <v>2273364</v>
      </c>
      <c r="B1439" s="2" t="inlineStr">
        <is>
          <t>77</t>
        </is>
      </c>
      <c r="C1439" s="2" t="inlineStr">
        <is>
          <t>M</t>
        </is>
      </c>
      <c r="D1439" s="2" t="inlineStr">
        <is>
          <t>100.0</t>
        </is>
      </c>
      <c r="E1439" s="4">
        <f>HYPERLINK("./Results/DLO\3141\Osteo_Sarco_1.png","RPT")</f>
        <v/>
      </c>
      <c r="F1439" s="2" t="n">
        <v>129</v>
      </c>
      <c r="G1439" s="6" t="n">
        <v>14</v>
      </c>
      <c r="H1439" t="n">
        <v>23.24</v>
      </c>
      <c r="L1439" t="inlineStr">
        <is>
          <t>Revolution EVO</t>
        </is>
      </c>
      <c r="M1439" t="inlineStr">
        <is>
          <t>Abdomen Pre 2.5mm</t>
        </is>
      </c>
    </row>
    <row r="1440">
      <c r="A1440" s="2" t="n">
        <v>4905378</v>
      </c>
      <c r="B1440" s="2" t="inlineStr">
        <is>
          <t>76</t>
        </is>
      </c>
      <c r="C1440" s="2" t="inlineStr">
        <is>
          <t>F</t>
        </is>
      </c>
      <c r="D1440" s="2" t="inlineStr">
        <is>
          <t>110.0</t>
        </is>
      </c>
      <c r="E1440" s="4">
        <f>HYPERLINK("./Results/DLO\3142\Osteo_Sarco_1.png","RPT")</f>
        <v/>
      </c>
      <c r="F1440" s="2" t="n">
        <v>98</v>
      </c>
      <c r="G1440" s="6" t="n">
        <v>21</v>
      </c>
      <c r="H1440" t="n">
        <v>25.26</v>
      </c>
      <c r="L1440" t="inlineStr">
        <is>
          <t>SOMATOM Force</t>
        </is>
      </c>
      <c r="M1440" t="inlineStr">
        <is>
          <t>Pre 3.0 Br40 2</t>
        </is>
      </c>
    </row>
    <row r="1441">
      <c r="A1441" s="2" t="n">
        <v>2320991</v>
      </c>
      <c r="B1441" s="2" t="inlineStr">
        <is>
          <t>72</t>
        </is>
      </c>
      <c r="C1441" s="2" t="inlineStr">
        <is>
          <t>F</t>
        </is>
      </c>
      <c r="D1441" s="2" t="inlineStr">
        <is>
          <t>120.0</t>
        </is>
      </c>
      <c r="E1441" s="4">
        <f>HYPERLINK("./Results/DLO\3143\Osteo_Sarco_1.png","RPT")</f>
        <v/>
      </c>
      <c r="F1441" s="2" t="n">
        <v>83</v>
      </c>
      <c r="G1441" s="6" t="n">
        <v>8</v>
      </c>
      <c r="H1441" t="n">
        <v>22.27</v>
      </c>
      <c r="L1441" t="inlineStr">
        <is>
          <t>Discovery CT750 HD</t>
        </is>
      </c>
      <c r="M1441" t="inlineStr">
        <is>
          <t>HVP 3mm</t>
        </is>
      </c>
    </row>
    <row r="1442">
      <c r="A1442" s="2" t="n">
        <v>1801722</v>
      </c>
      <c r="B1442" s="2" t="inlineStr">
        <is>
          <t>55</t>
        </is>
      </c>
      <c r="C1442" s="2" t="inlineStr">
        <is>
          <t>M</t>
        </is>
      </c>
      <c r="D1442" s="2" t="inlineStr">
        <is>
          <t>100.0</t>
        </is>
      </c>
      <c r="E1442" s="4">
        <f>HYPERLINK("./Results/DLO\3144\Osteo_Sarco_1.png","RPT")</f>
        <v/>
      </c>
      <c r="F1442" s="2" t="n">
        <v>159</v>
      </c>
      <c r="G1442" s="6" t="n">
        <v>12</v>
      </c>
      <c r="H1442" t="n">
        <v>23.01</v>
      </c>
      <c r="L1442" t="inlineStr">
        <is>
          <t>iCT 256</t>
        </is>
      </c>
      <c r="M1442" t="inlineStr">
        <is>
          <t>Pre3/3mm_I-3, iDose (3)</t>
        </is>
      </c>
    </row>
    <row r="1443">
      <c r="A1443" s="2" t="n">
        <v>2799456</v>
      </c>
      <c r="B1443" s="2" t="inlineStr">
        <is>
          <t>83</t>
        </is>
      </c>
      <c r="C1443" s="2" t="inlineStr">
        <is>
          <t>F</t>
        </is>
      </c>
      <c r="D1443" s="2" t="inlineStr">
        <is>
          <t>100.0</t>
        </is>
      </c>
      <c r="E1443" s="4">
        <f>HYPERLINK("./Results/DLO\3145\Osteo_Sarco_1.png","RPT")</f>
        <v/>
      </c>
      <c r="F1443" s="2" t="n">
        <v>96</v>
      </c>
      <c r="G1443" s="6" t="n">
        <v>19</v>
      </c>
      <c r="H1443" t="n">
        <v>19.84</v>
      </c>
      <c r="L1443" t="inlineStr">
        <is>
          <t>Revolution EVO</t>
        </is>
      </c>
      <c r="M1443" t="inlineStr">
        <is>
          <t>PRE</t>
        </is>
      </c>
    </row>
    <row r="1444">
      <c r="A1444" s="2" t="n">
        <v>2217531</v>
      </c>
      <c r="B1444" s="2" t="inlineStr">
        <is>
          <t>77</t>
        </is>
      </c>
      <c r="C1444" s="2" t="inlineStr">
        <is>
          <t>F</t>
        </is>
      </c>
      <c r="D1444" s="2" t="inlineStr">
        <is>
          <t>100.0</t>
        </is>
      </c>
      <c r="E1444" s="4">
        <f>HYPERLINK("./Results/DLO\3146\Osteo_Sarco_1.png","RPT")</f>
        <v/>
      </c>
      <c r="F1444" s="2" t="n">
        <v>84</v>
      </c>
      <c r="G1444" s="6" t="n">
        <v>15</v>
      </c>
      <c r="H1444" t="n">
        <v>26.67</v>
      </c>
      <c r="L1444" t="inlineStr">
        <is>
          <t>SOMATOM Definition...</t>
        </is>
      </c>
      <c r="M1444" t="inlineStr">
        <is>
          <t>HVP 2 3mm(61kg/122cc/3cc/xene)</t>
        </is>
      </c>
    </row>
    <row r="1445">
      <c r="A1445" s="2" t="n">
        <v>1595500</v>
      </c>
      <c r="B1445" s="2" t="inlineStr">
        <is>
          <t>62</t>
        </is>
      </c>
      <c r="C1445" s="2" t="inlineStr">
        <is>
          <t>F</t>
        </is>
      </c>
      <c r="D1445" s="2" t="inlineStr">
        <is>
          <t>120.0</t>
        </is>
      </c>
      <c r="E1445" s="4">
        <f>HYPERLINK("./Results/DLO\3147\Osteo_Sarco_1.png","RPT")</f>
        <v/>
      </c>
      <c r="F1445" s="2" t="n">
        <v>84</v>
      </c>
      <c r="G1445" s="6" t="n">
        <v>11</v>
      </c>
      <c r="H1445" t="n">
        <v>20.64</v>
      </c>
      <c r="L1445" t="inlineStr">
        <is>
          <t>LightSpeed VCT</t>
        </is>
      </c>
      <c r="M1445" t="inlineStr">
        <is>
          <t>HVP 55sec 3mm</t>
        </is>
      </c>
    </row>
    <row r="1446">
      <c r="A1446" s="2" t="n">
        <v>2561029</v>
      </c>
      <c r="B1446" s="2" t="inlineStr">
        <is>
          <t>46</t>
        </is>
      </c>
      <c r="C1446" s="2" t="inlineStr">
        <is>
          <t>M</t>
        </is>
      </c>
      <c r="D1446" s="2" t="inlineStr">
        <is>
          <t>100.0</t>
        </is>
      </c>
      <c r="E1446" s="4">
        <f>HYPERLINK("./Results/DLO\3148\Osteo_Sarco_1.png","RPT")</f>
        <v/>
      </c>
      <c r="F1446" s="2" t="n">
        <v>158</v>
      </c>
      <c r="G1446" s="6" t="n">
        <v>5</v>
      </c>
      <c r="H1446" t="n">
        <v>27.81</v>
      </c>
      <c r="L1446" t="inlineStr">
        <is>
          <t>Revolution EVO</t>
        </is>
      </c>
      <c r="M1446" t="inlineStr">
        <is>
          <t>PRE</t>
        </is>
      </c>
    </row>
    <row r="1447">
      <c r="A1447" s="2" t="n">
        <v>4972111</v>
      </c>
      <c r="B1447" s="2" t="inlineStr">
        <is>
          <t>33</t>
        </is>
      </c>
      <c r="C1447" s="2" t="inlineStr">
        <is>
          <t>F</t>
        </is>
      </c>
      <c r="D1447" s="2" t="inlineStr">
        <is>
          <t>100.0</t>
        </is>
      </c>
      <c r="E1447" s="4">
        <f>HYPERLINK("./Results/DLO\3149\Osteo_Sarco_1.png","RPT")</f>
        <v/>
      </c>
      <c r="F1447" s="2" t="n">
        <v>107</v>
      </c>
      <c r="G1447" s="6" t="n">
        <v>6</v>
      </c>
      <c r="H1447" t="n">
        <v>24.55</v>
      </c>
      <c r="L1447" t="inlineStr">
        <is>
          <t>SOMATOM Definition...</t>
        </is>
      </c>
      <c r="M1447" t="inlineStr">
        <is>
          <t>Pre 3mm</t>
        </is>
      </c>
    </row>
    <row r="1448">
      <c r="A1448" s="2" t="n">
        <v>3415512</v>
      </c>
      <c r="B1448" s="2" t="inlineStr">
        <is>
          <t>67</t>
        </is>
      </c>
      <c r="C1448" s="2" t="inlineStr">
        <is>
          <t>M</t>
        </is>
      </c>
      <c r="D1448" s="2" t="inlineStr">
        <is>
          <t>100.0</t>
        </is>
      </c>
      <c r="E1448" s="4">
        <f>HYPERLINK("./Results/DLO\315\Osteo_Sarco_1.png","RPT")</f>
        <v/>
      </c>
      <c r="F1448" s="2" t="n">
        <v>156</v>
      </c>
      <c r="G1448" s="6" t="n">
        <v>6</v>
      </c>
      <c r="I1448" s="0" t="n"/>
      <c r="J1448" s="0" t="n"/>
      <c r="K1448" s="0" t="n"/>
      <c r="L1448" t="inlineStr">
        <is>
          <t>SOMATOM Definition...</t>
        </is>
      </c>
      <c r="M1448" t="inlineStr">
        <is>
          <t>Pre 3mm</t>
        </is>
      </c>
    </row>
    <row r="1449">
      <c r="A1449" s="2" t="n">
        <v>4844953</v>
      </c>
      <c r="B1449" s="2" t="inlineStr">
        <is>
          <t>56</t>
        </is>
      </c>
      <c r="C1449" s="2" t="inlineStr">
        <is>
          <t>M</t>
        </is>
      </c>
      <c r="D1449" s="2" t="inlineStr">
        <is>
          <t>100.0</t>
        </is>
      </c>
      <c r="E1449" s="4">
        <f>HYPERLINK("./Results/DLO\3150\Osteo_Sarco_1.png","RPT")</f>
        <v/>
      </c>
      <c r="F1449" s="2" t="n">
        <v>161</v>
      </c>
      <c r="G1449" s="6" t="n">
        <v>11</v>
      </c>
      <c r="H1449" t="n">
        <v>27.42</v>
      </c>
      <c r="L1449" t="inlineStr">
        <is>
          <t>SOMATOM Force</t>
        </is>
      </c>
      <c r="M1449" t="inlineStr">
        <is>
          <t>HVP 3.0 Br40 2 (74kg/148cc...</t>
        </is>
      </c>
    </row>
    <row r="1450">
      <c r="A1450" s="2" t="n">
        <v>2845861</v>
      </c>
      <c r="B1450" s="2" t="inlineStr">
        <is>
          <t>53</t>
        </is>
      </c>
      <c r="C1450" s="2" t="inlineStr">
        <is>
          <t>F</t>
        </is>
      </c>
      <c r="D1450" s="2" t="inlineStr">
        <is>
          <t>100.0</t>
        </is>
      </c>
      <c r="E1450" s="4">
        <f>HYPERLINK("./Results/DLO\3151\Osteo_Sarco_1.png","RPT")</f>
        <v/>
      </c>
      <c r="F1450" s="2" t="n">
        <v>84</v>
      </c>
      <c r="G1450" s="6" t="n">
        <v>9</v>
      </c>
      <c r="H1450" t="n">
        <v>21.61</v>
      </c>
      <c r="L1450" t="inlineStr">
        <is>
          <t>SOMATOM Definition...</t>
        </is>
      </c>
      <c r="M1450" t="inlineStr">
        <is>
          <t>Pre 3mm</t>
        </is>
      </c>
    </row>
    <row r="1451">
      <c r="A1451" s="2" t="n">
        <v>4294419</v>
      </c>
      <c r="B1451" s="2" t="inlineStr">
        <is>
          <t>67</t>
        </is>
      </c>
      <c r="C1451" s="2" t="inlineStr">
        <is>
          <t>F</t>
        </is>
      </c>
      <c r="D1451" s="2" t="inlineStr">
        <is>
          <t>100.0</t>
        </is>
      </c>
      <c r="E1451" s="4">
        <f>HYPERLINK("./Results/DLO\3152\Osteo_Sarco_1.png","RPT")</f>
        <v/>
      </c>
      <c r="F1451" s="2" t="n">
        <v>102</v>
      </c>
      <c r="G1451" s="6" t="n">
        <v>9</v>
      </c>
      <c r="H1451" t="n">
        <v>19.76</v>
      </c>
      <c r="L1451" t="inlineStr">
        <is>
          <t>Revolution EVO</t>
        </is>
      </c>
      <c r="M1451" t="inlineStr">
        <is>
          <t>AX 3mm</t>
        </is>
      </c>
    </row>
    <row r="1452">
      <c r="A1452" s="2" t="n">
        <v>2089952</v>
      </c>
      <c r="B1452" s="2" t="inlineStr">
        <is>
          <t>65</t>
        </is>
      </c>
      <c r="C1452" s="2" t="inlineStr">
        <is>
          <t>F</t>
        </is>
      </c>
      <c r="D1452" s="2" t="inlineStr">
        <is>
          <t>100.0</t>
        </is>
      </c>
      <c r="E1452" s="4">
        <f>HYPERLINK("./Results/DLO\3153\Osteo_Sarco_1.png","RPT")</f>
        <v/>
      </c>
      <c r="F1452" s="2" t="n">
        <v>130</v>
      </c>
      <c r="G1452" s="6" t="n">
        <v>18</v>
      </c>
      <c r="H1452" t="n">
        <v>27.83</v>
      </c>
      <c r="L1452" t="inlineStr">
        <is>
          <t>Discovery CT750 HD</t>
        </is>
      </c>
      <c r="M1452" t="inlineStr">
        <is>
          <t>pre 3mm</t>
        </is>
      </c>
    </row>
    <row r="1453">
      <c r="A1453" s="2" t="n">
        <v>4675677</v>
      </c>
      <c r="B1453" s="2" t="inlineStr">
        <is>
          <t>80</t>
        </is>
      </c>
      <c r="C1453" s="2" t="inlineStr">
        <is>
          <t>F</t>
        </is>
      </c>
      <c r="D1453" s="2" t="inlineStr">
        <is>
          <t>100.0</t>
        </is>
      </c>
      <c r="E1453" s="4">
        <f>HYPERLINK("./Results/DLO\3154\Osteo_Sarco_1.png","RPT")</f>
        <v/>
      </c>
      <c r="F1453" s="2" t="n">
        <v>95</v>
      </c>
      <c r="G1453" s="6" t="n">
        <v>17</v>
      </c>
      <c r="H1453" t="n">
        <v>30.44</v>
      </c>
      <c r="L1453" t="inlineStr">
        <is>
          <t>Revolution EVO</t>
        </is>
      </c>
      <c r="M1453" t="inlineStr">
        <is>
          <t>AX 3mm</t>
        </is>
      </c>
    </row>
    <row r="1454">
      <c r="A1454" s="2" t="n">
        <v>2461682</v>
      </c>
      <c r="B1454" s="2" t="inlineStr">
        <is>
          <t>81</t>
        </is>
      </c>
      <c r="C1454" s="2" t="inlineStr">
        <is>
          <t>F</t>
        </is>
      </c>
      <c r="D1454" s="2" t="inlineStr">
        <is>
          <t>100.0</t>
        </is>
      </c>
      <c r="E1454" s="4">
        <f>HYPERLINK("./Results/DLO\3155\Osteo_Sarco_1.png","RPT")</f>
        <v/>
      </c>
      <c r="F1454" s="2" t="n">
        <v>81</v>
      </c>
      <c r="G1454" s="6" t="n">
        <v>13</v>
      </c>
      <c r="H1454" t="n">
        <v>20.54</v>
      </c>
      <c r="L1454" t="inlineStr">
        <is>
          <t>Revolution EVO</t>
        </is>
      </c>
      <c r="M1454" t="inlineStr">
        <is>
          <t>PRE</t>
        </is>
      </c>
    </row>
    <row r="1455">
      <c r="A1455" s="2" t="n">
        <v>4001262</v>
      </c>
      <c r="B1455" s="2" t="inlineStr">
        <is>
          <t>51</t>
        </is>
      </c>
      <c r="C1455" s="2" t="inlineStr">
        <is>
          <t>M</t>
        </is>
      </c>
      <c r="D1455" s="2" t="inlineStr">
        <is>
          <t>100.0</t>
        </is>
      </c>
      <c r="E1455" s="4">
        <f>HYPERLINK("./Results/DLO\3156\Osteo_Sarco_1.png","RPT")</f>
        <v/>
      </c>
      <c r="F1455" s="2" t="n">
        <v>117</v>
      </c>
      <c r="G1455" s="6" t="n">
        <v>3</v>
      </c>
      <c r="H1455" t="n">
        <v>18.45</v>
      </c>
      <c r="L1455" t="inlineStr">
        <is>
          <t>iCT 256</t>
        </is>
      </c>
      <c r="M1455" t="inlineStr">
        <is>
          <t>HVP 3/3mm, iDose (3)</t>
        </is>
      </c>
    </row>
    <row r="1456">
      <c r="A1456" s="2" t="n">
        <v>3538600</v>
      </c>
      <c r="B1456" s="2" t="inlineStr">
        <is>
          <t>77</t>
        </is>
      </c>
      <c r="C1456" s="2" t="inlineStr">
        <is>
          <t>M</t>
        </is>
      </c>
      <c r="D1456" s="2" t="inlineStr">
        <is>
          <t>100.0</t>
        </is>
      </c>
      <c r="E1456" s="4">
        <f>HYPERLINK("./Results/DLO\3157\Osteo_Sarco_1.png","RPT")</f>
        <v/>
      </c>
      <c r="F1456" s="2" t="n">
        <v>114</v>
      </c>
      <c r="G1456" s="6" t="n">
        <v>9</v>
      </c>
      <c r="H1456" t="n">
        <v>22.5</v>
      </c>
      <c r="L1456" t="inlineStr">
        <is>
          <t>SOMATOM Definition...</t>
        </is>
      </c>
      <c r="M1456" t="inlineStr">
        <is>
          <t>Pre 3mm</t>
        </is>
      </c>
    </row>
    <row r="1457">
      <c r="A1457" s="2" t="n">
        <v>3520780</v>
      </c>
      <c r="B1457" s="2" t="inlineStr">
        <is>
          <t>75</t>
        </is>
      </c>
      <c r="C1457" s="2" t="inlineStr">
        <is>
          <t>F</t>
        </is>
      </c>
      <c r="D1457" s="2" t="inlineStr">
        <is>
          <t>100.0</t>
        </is>
      </c>
      <c r="E1457" s="4">
        <f>HYPERLINK("./Results/DLO\3158\Osteo_Sarco_1.png","RPT")</f>
        <v/>
      </c>
      <c r="F1457" s="2" t="n">
        <v>130</v>
      </c>
      <c r="G1457" s="6" t="n">
        <v>9</v>
      </c>
      <c r="H1457" t="n">
        <v>20.79</v>
      </c>
      <c r="L1457" t="inlineStr">
        <is>
          <t>Revolution CT</t>
        </is>
      </c>
      <c r="M1457" t="inlineStr">
        <is>
          <t>HVP 3mm(56kg/112cc/3cc/bono)</t>
        </is>
      </c>
    </row>
    <row r="1458">
      <c r="A1458" s="2" t="n">
        <v>3157155</v>
      </c>
      <c r="B1458" s="2" t="inlineStr">
        <is>
          <t>60</t>
        </is>
      </c>
      <c r="C1458" s="2" t="inlineStr">
        <is>
          <t>F</t>
        </is>
      </c>
      <c r="D1458" s="2" t="inlineStr">
        <is>
          <t>120.0</t>
        </is>
      </c>
      <c r="E1458" s="4">
        <f>HYPERLINK("./Results/DLO\3159\Osteo_Sarco_1.png","RPT")</f>
        <v/>
      </c>
      <c r="F1458" s="2" t="n">
        <v>110</v>
      </c>
      <c r="G1458" s="6" t="n">
        <v>11</v>
      </c>
      <c r="H1458" t="n">
        <v>22.77</v>
      </c>
      <c r="L1458" t="inlineStr">
        <is>
          <t>LightSpeed VCT</t>
        </is>
      </c>
      <c r="M1458" t="inlineStr">
        <is>
          <t>HVP 55sec 3mm</t>
        </is>
      </c>
    </row>
    <row r="1459">
      <c r="A1459" s="2" t="n">
        <v>3010031</v>
      </c>
      <c r="B1459" s="2" t="inlineStr">
        <is>
          <t>69</t>
        </is>
      </c>
      <c r="C1459" s="2" t="inlineStr">
        <is>
          <t>M</t>
        </is>
      </c>
      <c r="D1459" s="2" t="inlineStr">
        <is>
          <t>120.0</t>
        </is>
      </c>
      <c r="E1459" s="4">
        <f>HYPERLINK("./Results/DLO\316\Osteo_Sarco_1.png","RPT")</f>
        <v/>
      </c>
      <c r="F1459" s="2" t="n">
        <v>140</v>
      </c>
      <c r="G1459" s="6" t="n">
        <v>15</v>
      </c>
      <c r="I1459" s="0" t="n"/>
      <c r="J1459" s="0" t="n"/>
      <c r="K1459" s="0" t="n"/>
      <c r="L1459" t="inlineStr">
        <is>
          <t>Brilliance 64</t>
        </is>
      </c>
      <c r="M1459" t="inlineStr">
        <is>
          <t>PRE</t>
        </is>
      </c>
    </row>
    <row r="1460">
      <c r="A1460" s="2" t="n">
        <v>2171480</v>
      </c>
      <c r="B1460" s="2" t="inlineStr">
        <is>
          <t>79</t>
        </is>
      </c>
      <c r="C1460" s="2" t="inlineStr">
        <is>
          <t>M</t>
        </is>
      </c>
      <c r="D1460" s="2" t="inlineStr">
        <is>
          <t>100.0</t>
        </is>
      </c>
      <c r="E1460" s="4">
        <f>HYPERLINK("./Results/DLO\3160\Osteo_Sarco_1.png","RPT")</f>
        <v/>
      </c>
      <c r="F1460" s="2" t="n">
        <v>140</v>
      </c>
      <c r="G1460" s="6" t="n">
        <v>22</v>
      </c>
      <c r="H1460" t="n">
        <v>25.57</v>
      </c>
      <c r="L1460" t="inlineStr">
        <is>
          <t>SOMATOM Force</t>
        </is>
      </c>
      <c r="M1460" t="inlineStr">
        <is>
          <t>HVP 3.0 Br40 2 (77kg/150cc...</t>
        </is>
      </c>
    </row>
    <row r="1461">
      <c r="A1461" s="2" t="n">
        <v>3478408</v>
      </c>
      <c r="B1461" s="2" t="inlineStr">
        <is>
          <t>63</t>
        </is>
      </c>
      <c r="C1461" s="2" t="inlineStr">
        <is>
          <t>F</t>
        </is>
      </c>
      <c r="D1461" s="2" t="inlineStr">
        <is>
          <t>120.0</t>
        </is>
      </c>
      <c r="E1461" s="4">
        <f>HYPERLINK("./Results/DLO\3161\Osteo_Sarco_1.png","RPT")</f>
        <v/>
      </c>
      <c r="F1461" s="2" t="n">
        <v>103</v>
      </c>
      <c r="G1461" s="6" t="n">
        <v>15</v>
      </c>
      <c r="H1461" t="n">
        <v>26.12</v>
      </c>
      <c r="L1461" t="inlineStr">
        <is>
          <t>SOMATOM Force</t>
        </is>
      </c>
      <c r="M1461" t="inlineStr">
        <is>
          <t>120kVp60mAs 3.0 Br40</t>
        </is>
      </c>
    </row>
    <row r="1462">
      <c r="A1462" s="2" t="n">
        <v>1648068</v>
      </c>
      <c r="B1462" s="2" t="inlineStr">
        <is>
          <t>62</t>
        </is>
      </c>
      <c r="C1462" s="2" t="inlineStr">
        <is>
          <t>F</t>
        </is>
      </c>
      <c r="D1462" s="2" t="inlineStr">
        <is>
          <t>100.0</t>
        </is>
      </c>
      <c r="E1462" s="4">
        <f>HYPERLINK("./Results/DLO\3162\Osteo_Sarco_1.png","RPT")</f>
        <v/>
      </c>
      <c r="F1462" s="2" t="n">
        <v>117</v>
      </c>
      <c r="G1462" s="6" t="n">
        <v>11</v>
      </c>
      <c r="H1462" t="n">
        <v>29.59</v>
      </c>
      <c r="L1462" t="inlineStr">
        <is>
          <t>Revolution EVO</t>
        </is>
      </c>
      <c r="M1462" t="inlineStr">
        <is>
          <t>PRE 3mm</t>
        </is>
      </c>
    </row>
    <row r="1463">
      <c r="A1463" s="2" t="n">
        <v>1760617</v>
      </c>
      <c r="B1463" s="2" t="inlineStr">
        <is>
          <t>79</t>
        </is>
      </c>
      <c r="C1463" s="2" t="inlineStr">
        <is>
          <t>F</t>
        </is>
      </c>
      <c r="D1463" s="2" t="inlineStr">
        <is>
          <t>100.0</t>
        </is>
      </c>
      <c r="E1463" s="4">
        <f>HYPERLINK("./Results/DLO\3163\Osteo_Sarco_1.png","RPT")</f>
        <v/>
      </c>
      <c r="F1463" s="2" t="n">
        <v>86</v>
      </c>
      <c r="G1463" s="6" t="n">
        <v>15</v>
      </c>
      <c r="H1463" t="n">
        <v>25.81</v>
      </c>
      <c r="L1463" t="inlineStr">
        <is>
          <t>Revolution CT</t>
        </is>
      </c>
      <c r="M1463" t="inlineStr">
        <is>
          <t>Pre 3mm pacs</t>
        </is>
      </c>
    </row>
    <row r="1464">
      <c r="A1464" s="2" t="n">
        <v>3189134</v>
      </c>
      <c r="B1464" s="2" t="inlineStr">
        <is>
          <t>76</t>
        </is>
      </c>
      <c r="C1464" s="2" t="inlineStr">
        <is>
          <t>M</t>
        </is>
      </c>
      <c r="D1464" s="2" t="inlineStr">
        <is>
          <t>100.0</t>
        </is>
      </c>
      <c r="E1464" s="4">
        <f>HYPERLINK("./Results/DLO\3164\Osteo_Sarco_1.png","RPT")</f>
        <v/>
      </c>
      <c r="F1464" s="2" t="n">
        <v>98</v>
      </c>
      <c r="G1464" s="6" t="n">
        <v>10</v>
      </c>
      <c r="H1464" t="n">
        <v>17.77</v>
      </c>
      <c r="L1464" t="inlineStr">
        <is>
          <t>SOMATOM Definition...</t>
        </is>
      </c>
      <c r="M1464" t="inlineStr">
        <is>
          <t>HVP 2 3mm (47kg/94cc/2.7cc/h...</t>
        </is>
      </c>
    </row>
    <row r="1465">
      <c r="A1465" s="2" t="n">
        <v>2017861</v>
      </c>
      <c r="B1465" s="2" t="inlineStr">
        <is>
          <t>72</t>
        </is>
      </c>
      <c r="C1465" s="2" t="inlineStr">
        <is>
          <t>F</t>
        </is>
      </c>
      <c r="D1465" s="2" t="inlineStr">
        <is>
          <t>100.0</t>
        </is>
      </c>
      <c r="E1465" s="4">
        <f>HYPERLINK("./Results/DLO\3165\Osteo_Sarco_1.png","RPT")</f>
        <v/>
      </c>
      <c r="F1465" s="2" t="n">
        <v>112</v>
      </c>
      <c r="G1465" s="6" t="n">
        <v>16</v>
      </c>
      <c r="H1465" t="n">
        <v>20.55</v>
      </c>
      <c r="L1465" t="inlineStr">
        <is>
          <t>Revolution CT</t>
        </is>
      </c>
      <c r="M1465" t="inlineStr">
        <is>
          <t>Pre 3mm pacs</t>
        </is>
      </c>
    </row>
    <row r="1466">
      <c r="A1466" s="2" t="n">
        <v>1655741</v>
      </c>
      <c r="B1466" s="2" t="inlineStr">
        <is>
          <t>49</t>
        </is>
      </c>
      <c r="C1466" s="2" t="inlineStr">
        <is>
          <t>F</t>
        </is>
      </c>
      <c r="D1466" s="2" t="inlineStr">
        <is>
          <t>120.0</t>
        </is>
      </c>
      <c r="E1466" s="4">
        <f>HYPERLINK("./Results/DLO\3166\Osteo_Sarco_1.png","RPT")</f>
        <v/>
      </c>
      <c r="F1466" s="2" t="n">
        <v>91</v>
      </c>
      <c r="G1466" s="6" t="n">
        <v>10</v>
      </c>
      <c r="H1466" t="n">
        <v>19.94</v>
      </c>
      <c r="L1466" t="inlineStr">
        <is>
          <t>Brilliance 64</t>
        </is>
      </c>
      <c r="M1466" t="inlineStr">
        <is>
          <t>Pre</t>
        </is>
      </c>
    </row>
    <row r="1467">
      <c r="A1467" s="2" t="n">
        <v>3878710</v>
      </c>
      <c r="B1467" s="2" t="inlineStr">
        <is>
          <t>75</t>
        </is>
      </c>
      <c r="C1467" s="2" t="inlineStr">
        <is>
          <t>M</t>
        </is>
      </c>
      <c r="D1467" s="2" t="inlineStr">
        <is>
          <t>100.0</t>
        </is>
      </c>
      <c r="E1467" s="4">
        <f>HYPERLINK("./Results/DLO\3167\Osteo_Sarco_1.png","RPT")</f>
        <v/>
      </c>
      <c r="F1467" s="2" t="n">
        <v>176</v>
      </c>
      <c r="G1467" s="6" t="n">
        <v>13</v>
      </c>
      <c r="H1467" t="n">
        <v>31.79</v>
      </c>
      <c r="L1467" t="inlineStr">
        <is>
          <t>Revolution EVO</t>
        </is>
      </c>
      <c r="M1467" t="inlineStr">
        <is>
          <t>PRE</t>
        </is>
      </c>
    </row>
    <row r="1468">
      <c r="A1468" s="2" t="n">
        <v>2500979</v>
      </c>
      <c r="B1468" s="2" t="inlineStr">
        <is>
          <t>64</t>
        </is>
      </c>
      <c r="C1468" s="2" t="inlineStr">
        <is>
          <t>M</t>
        </is>
      </c>
      <c r="D1468" s="2" t="inlineStr">
        <is>
          <t>120.0</t>
        </is>
      </c>
      <c r="E1468" s="4">
        <f>HYPERLINK("./Results/DLO\3168\Osteo_Sarco_1.png","RPT")</f>
        <v/>
      </c>
      <c r="F1468" s="2" t="n">
        <v>191</v>
      </c>
      <c r="G1468" s="6" t="n">
        <v>12</v>
      </c>
      <c r="H1468" t="n">
        <v>27.26</v>
      </c>
      <c r="L1468" t="inlineStr">
        <is>
          <t>iCT 256</t>
        </is>
      </c>
      <c r="M1468" t="inlineStr">
        <is>
          <t>Pre 3/3mm, iDose (3)</t>
        </is>
      </c>
    </row>
    <row r="1469">
      <c r="A1469" s="2" t="n">
        <v>2938414</v>
      </c>
      <c r="B1469" s="2" t="inlineStr">
        <is>
          <t>65</t>
        </is>
      </c>
      <c r="C1469" s="2" t="inlineStr">
        <is>
          <t>F</t>
        </is>
      </c>
      <c r="D1469" s="2" t="inlineStr">
        <is>
          <t>100.0</t>
        </is>
      </c>
      <c r="E1469" s="4">
        <f>HYPERLINK("./Results/DLO\3169\Osteo_Sarco_1.png","RPT")</f>
        <v/>
      </c>
      <c r="F1469" s="2" t="n">
        <v>113</v>
      </c>
      <c r="G1469" s="6" t="n">
        <v>8</v>
      </c>
      <c r="H1469" t="n">
        <v>24.61</v>
      </c>
      <c r="L1469" t="inlineStr">
        <is>
          <t>SOMATOM Definition...</t>
        </is>
      </c>
      <c r="M1469" t="inlineStr">
        <is>
          <t>HVP 2 3mm (62kg/124cc/3cc/o...</t>
        </is>
      </c>
    </row>
    <row r="1470">
      <c r="A1470" s="2" t="n">
        <v>4045394</v>
      </c>
      <c r="B1470" s="2" t="inlineStr">
        <is>
          <t>62</t>
        </is>
      </c>
      <c r="C1470" s="2" t="inlineStr">
        <is>
          <t>F</t>
        </is>
      </c>
      <c r="D1470" s="2" t="inlineStr">
        <is>
          <t>100.0</t>
        </is>
      </c>
      <c r="E1470" s="4">
        <f>HYPERLINK("./Results/DLO\317\Osteo_Sarco_1.png","RPT")</f>
        <v/>
      </c>
      <c r="F1470" s="2" t="n">
        <v>93</v>
      </c>
      <c r="G1470" s="6" t="n">
        <v>8</v>
      </c>
      <c r="I1470" s="0" t="n"/>
      <c r="J1470" s="0" t="n"/>
      <c r="K1470" s="0" t="n"/>
      <c r="L1470" t="inlineStr">
        <is>
          <t>Revolution EVO</t>
        </is>
      </c>
      <c r="M1470" t="inlineStr">
        <is>
          <t>Abdomen Pre 2.5mm</t>
        </is>
      </c>
    </row>
    <row r="1471">
      <c r="A1471" s="2" t="n">
        <v>3599762</v>
      </c>
      <c r="B1471" s="2" t="inlineStr">
        <is>
          <t>74</t>
        </is>
      </c>
      <c r="C1471" s="2" t="inlineStr">
        <is>
          <t>F</t>
        </is>
      </c>
      <c r="D1471" s="2" t="inlineStr">
        <is>
          <t>100.0</t>
        </is>
      </c>
      <c r="E1471" s="4">
        <f>HYPERLINK("./Results/DLO\3170\Osteo_Sarco_1.png","RPT")</f>
        <v/>
      </c>
      <c r="F1471" s="2" t="n">
        <v>61</v>
      </c>
      <c r="G1471" s="6" t="n">
        <v>11</v>
      </c>
      <c r="H1471" t="n">
        <v>21.97</v>
      </c>
      <c r="L1471" t="inlineStr">
        <is>
          <t>Revolution EVO</t>
        </is>
      </c>
      <c r="M1471" t="inlineStr">
        <is>
          <t>PRE</t>
        </is>
      </c>
    </row>
    <row r="1472">
      <c r="A1472" s="2" t="n">
        <v>2132544</v>
      </c>
      <c r="B1472" s="2" t="inlineStr">
        <is>
          <t>76</t>
        </is>
      </c>
      <c r="C1472" s="2" t="inlineStr">
        <is>
          <t>F</t>
        </is>
      </c>
      <c r="D1472" s="2" t="inlineStr">
        <is>
          <t>100.0</t>
        </is>
      </c>
      <c r="E1472" s="4">
        <f>HYPERLINK("./Results/DLO\3171\Osteo_Sarco_1.png","RPT")</f>
        <v/>
      </c>
      <c r="F1472" s="2" t="n">
        <v>99</v>
      </c>
      <c r="G1472" s="6" t="n">
        <v>16</v>
      </c>
      <c r="H1472" t="n">
        <v>20.03</v>
      </c>
      <c r="L1472" t="inlineStr">
        <is>
          <t>Revolution EVO</t>
        </is>
      </c>
      <c r="M1472" t="inlineStr">
        <is>
          <t>PRE</t>
        </is>
      </c>
    </row>
    <row r="1473">
      <c r="A1473" s="2" t="n">
        <v>2165555</v>
      </c>
      <c r="B1473" s="2" t="inlineStr">
        <is>
          <t>62</t>
        </is>
      </c>
      <c r="C1473" s="2" t="inlineStr">
        <is>
          <t>F</t>
        </is>
      </c>
      <c r="D1473" s="2" t="inlineStr">
        <is>
          <t>120.0</t>
        </is>
      </c>
      <c r="E1473" s="4">
        <f>HYPERLINK("./Results/DLO\3172\Osteo_Sarco_1.png","RPT")</f>
        <v/>
      </c>
      <c r="F1473" s="2" t="n">
        <v>93</v>
      </c>
      <c r="G1473" s="6" t="n">
        <v>17</v>
      </c>
      <c r="H1473" t="n">
        <v>29.44</v>
      </c>
      <c r="L1473" t="inlineStr">
        <is>
          <t>SCT-7800TE</t>
        </is>
      </c>
      <c r="M1473" t="inlineStr">
        <is>
          <t>N/A</t>
        </is>
      </c>
    </row>
    <row r="1474">
      <c r="A1474" s="2" t="n">
        <v>4834849</v>
      </c>
      <c r="B1474" s="2" t="inlineStr">
        <is>
          <t>57</t>
        </is>
      </c>
      <c r="C1474" s="2" t="inlineStr">
        <is>
          <t>F</t>
        </is>
      </c>
      <c r="D1474" s="2" t="inlineStr">
        <is>
          <t>120.0</t>
        </is>
      </c>
      <c r="E1474" s="4">
        <f>HYPERLINK("./Results/DLO\3173\Osteo_Sarco_1.png","RPT")</f>
        <v/>
      </c>
      <c r="F1474" s="2" t="n">
        <v>100</v>
      </c>
      <c r="G1474" s="6" t="n">
        <v>5</v>
      </c>
      <c r="H1474" t="n">
        <v>19.44</v>
      </c>
      <c r="L1474" t="inlineStr">
        <is>
          <t>Discovery CT750 HD</t>
        </is>
      </c>
      <c r="M1474" t="inlineStr">
        <is>
          <t>HVP 3mm</t>
        </is>
      </c>
    </row>
    <row r="1475">
      <c r="A1475" s="2" t="n">
        <v>3485346</v>
      </c>
      <c r="B1475" s="2" t="inlineStr">
        <is>
          <t>49</t>
        </is>
      </c>
      <c r="C1475" s="2" t="inlineStr">
        <is>
          <t>F</t>
        </is>
      </c>
      <c r="D1475" s="2" t="inlineStr">
        <is>
          <t>100.0</t>
        </is>
      </c>
      <c r="E1475" s="4">
        <f>HYPERLINK("./Results/DLO\3174\Osteo_Sarco_1.png","RPT")</f>
        <v/>
      </c>
      <c r="F1475" s="2" t="n">
        <v>117</v>
      </c>
      <c r="G1475" s="6" t="n">
        <v>10</v>
      </c>
      <c r="H1475" t="n">
        <v>19.43</v>
      </c>
      <c r="L1475" t="inlineStr">
        <is>
          <t>Revolution EVO</t>
        </is>
      </c>
      <c r="M1475" t="inlineStr">
        <is>
          <t>PRE</t>
        </is>
      </c>
    </row>
    <row r="1476">
      <c r="A1476" s="2" t="n">
        <v>4261528</v>
      </c>
      <c r="B1476" s="2" t="inlineStr">
        <is>
          <t>64</t>
        </is>
      </c>
      <c r="C1476" s="2" t="inlineStr">
        <is>
          <t>F</t>
        </is>
      </c>
      <c r="D1476" s="2" t="inlineStr">
        <is>
          <t>100.0</t>
        </is>
      </c>
      <c r="E1476" s="4">
        <f>HYPERLINK("./Results/DLO\3175\Osteo_Sarco_1.png","RPT")</f>
        <v/>
      </c>
      <c r="F1476" s="2" t="n">
        <v>111</v>
      </c>
      <c r="G1476" s="6" t="n">
        <v>11</v>
      </c>
      <c r="H1476" t="n">
        <v>26.67</v>
      </c>
      <c r="L1476" t="inlineStr">
        <is>
          <t>Revolution EVO</t>
        </is>
      </c>
      <c r="M1476" t="inlineStr">
        <is>
          <t>PRE</t>
        </is>
      </c>
    </row>
    <row r="1477">
      <c r="A1477" s="2" t="n">
        <v>1864889</v>
      </c>
      <c r="B1477" s="2" t="inlineStr">
        <is>
          <t>39</t>
        </is>
      </c>
      <c r="C1477" s="2" t="inlineStr">
        <is>
          <t>F</t>
        </is>
      </c>
      <c r="D1477" s="2" t="inlineStr">
        <is>
          <t>120.0</t>
        </is>
      </c>
      <c r="E1477" s="4">
        <f>HYPERLINK("./Results/DLO\3176\Osteo_Sarco_1.png","RPT")</f>
        <v/>
      </c>
      <c r="F1477" s="2" t="n">
        <v>93</v>
      </c>
      <c r="G1477" s="6" t="n">
        <v>12</v>
      </c>
      <c r="H1477" t="n">
        <v>21.36</v>
      </c>
      <c r="L1477" t="inlineStr">
        <is>
          <t>Discovery CT750 HD</t>
        </is>
      </c>
      <c r="M1477" t="inlineStr">
        <is>
          <t>HVP 3mm</t>
        </is>
      </c>
    </row>
    <row r="1478">
      <c r="A1478" s="2" t="n">
        <v>2173106</v>
      </c>
      <c r="B1478" s="2" t="inlineStr">
        <is>
          <t>80</t>
        </is>
      </c>
      <c r="C1478" s="2" t="inlineStr">
        <is>
          <t>M</t>
        </is>
      </c>
      <c r="D1478" s="2" t="inlineStr">
        <is>
          <t>120.0</t>
        </is>
      </c>
      <c r="E1478" s="4">
        <f>HYPERLINK("./Results/DLO\3177\Osteo_Sarco_1.png","RPT")</f>
        <v/>
      </c>
      <c r="F1478" s="2" t="n">
        <v>130</v>
      </c>
      <c r="G1478" s="6" t="n">
        <v>11</v>
      </c>
      <c r="H1478" t="n">
        <v>22.04</v>
      </c>
      <c r="L1478" t="inlineStr">
        <is>
          <t>LightSpeed VCT</t>
        </is>
      </c>
      <c r="M1478" t="inlineStr">
        <is>
          <t>HVP 55sec 3mm</t>
        </is>
      </c>
    </row>
    <row r="1479">
      <c r="A1479" s="2" t="n">
        <v>2500527</v>
      </c>
      <c r="B1479" s="2" t="inlineStr">
        <is>
          <t>74</t>
        </is>
      </c>
      <c r="C1479" s="2" t="inlineStr">
        <is>
          <t>M</t>
        </is>
      </c>
      <c r="D1479" s="2" t="inlineStr">
        <is>
          <t>120.0</t>
        </is>
      </c>
      <c r="E1479" s="4">
        <f>HYPERLINK("./Results/DLO\3178\Osteo_Sarco_1.png","RPT")</f>
        <v/>
      </c>
      <c r="F1479" s="2" t="n">
        <v>131</v>
      </c>
      <c r="G1479" s="6" t="n">
        <v>19</v>
      </c>
      <c r="H1479" t="n">
        <v>21.45</v>
      </c>
      <c r="L1479" t="inlineStr">
        <is>
          <t>Discovery CT750 HD</t>
        </is>
      </c>
      <c r="M1479" t="inlineStr">
        <is>
          <t>HVP 3mm</t>
        </is>
      </c>
    </row>
    <row r="1480">
      <c r="A1480" s="2" t="n">
        <v>2564742</v>
      </c>
      <c r="B1480" s="2" t="inlineStr">
        <is>
          <t>64</t>
        </is>
      </c>
      <c r="C1480" s="2" t="inlineStr">
        <is>
          <t>F</t>
        </is>
      </c>
      <c r="D1480" s="2" t="inlineStr">
        <is>
          <t>100.0</t>
        </is>
      </c>
      <c r="E1480" s="4">
        <f>HYPERLINK("./Results/DLO\3179\Osteo_Sarco_1.png","RPT")</f>
        <v/>
      </c>
      <c r="F1480" s="2" t="n">
        <v>111</v>
      </c>
      <c r="G1480" s="6" t="n">
        <v>14</v>
      </c>
      <c r="H1480" t="n">
        <v>19.07</v>
      </c>
      <c r="L1480" t="inlineStr">
        <is>
          <t>Revolution CT</t>
        </is>
      </c>
      <c r="M1480" t="inlineStr">
        <is>
          <t>HVP 3mm-pacs(47kg/94cc/hexol)</t>
        </is>
      </c>
    </row>
    <row r="1481">
      <c r="A1481" s="2" t="n">
        <v>3158767</v>
      </c>
      <c r="B1481" s="2" t="inlineStr">
        <is>
          <t>72</t>
        </is>
      </c>
      <c r="C1481" s="2" t="inlineStr">
        <is>
          <t>M</t>
        </is>
      </c>
      <c r="D1481" s="2" t="inlineStr">
        <is>
          <t>100.0</t>
        </is>
      </c>
      <c r="E1481" s="4">
        <f>HYPERLINK("./Results/DLO\318\Osteo_Sarco_1.png","RPT")</f>
        <v/>
      </c>
      <c r="F1481" s="2" t="n">
        <v>145</v>
      </c>
      <c r="G1481" s="6" t="n">
        <v>5</v>
      </c>
      <c r="I1481" s="0" t="n"/>
      <c r="J1481" s="0" t="n"/>
      <c r="K1481" s="0" t="n"/>
      <c r="L1481" t="inlineStr">
        <is>
          <t>Revolution EVO</t>
        </is>
      </c>
      <c r="M1481" t="inlineStr">
        <is>
          <t>PRE</t>
        </is>
      </c>
    </row>
    <row r="1482">
      <c r="A1482" s="2" t="n">
        <v>3094228</v>
      </c>
      <c r="B1482" s="2" t="inlineStr">
        <is>
          <t>56</t>
        </is>
      </c>
      <c r="C1482" s="2" t="inlineStr">
        <is>
          <t>F</t>
        </is>
      </c>
      <c r="D1482" s="2" t="inlineStr">
        <is>
          <t>100.0</t>
        </is>
      </c>
      <c r="E1482" s="4">
        <f>HYPERLINK("./Results/DLO\3180\Osteo_Sarco_1.png","RPT")</f>
        <v/>
      </c>
      <c r="F1482" s="2" t="n">
        <v>104</v>
      </c>
      <c r="G1482" s="6" t="n">
        <v>11</v>
      </c>
      <c r="H1482" t="n">
        <v>23.64</v>
      </c>
      <c r="L1482" t="inlineStr">
        <is>
          <t>Sensation 64</t>
        </is>
      </c>
      <c r="M1482" t="inlineStr">
        <is>
          <t>HVP 3mm(55kg/110cc/2.5cc/radi)</t>
        </is>
      </c>
    </row>
    <row r="1483">
      <c r="A1483" s="2" t="n">
        <v>3419566</v>
      </c>
      <c r="B1483" s="2" t="inlineStr">
        <is>
          <t>64</t>
        </is>
      </c>
      <c r="C1483" s="2" t="inlineStr">
        <is>
          <t>F</t>
        </is>
      </c>
      <c r="D1483" s="2" t="inlineStr">
        <is>
          <t>100.0</t>
        </is>
      </c>
      <c r="E1483" s="4">
        <f>HYPERLINK("./Results/DLO\3181\Osteo_Sarco_1.png","RPT")</f>
        <v/>
      </c>
      <c r="F1483" s="2" t="n">
        <v>122</v>
      </c>
      <c r="G1483" s="6" t="n">
        <v>11</v>
      </c>
      <c r="H1483" t="n">
        <v>25.52</v>
      </c>
      <c r="L1483" t="inlineStr">
        <is>
          <t>SOMATOM Force</t>
        </is>
      </c>
      <c r="M1483" t="inlineStr">
        <is>
          <t>HVP 3.0 Br40 2 (55kg/110cc...</t>
        </is>
      </c>
    </row>
    <row r="1484">
      <c r="A1484" s="2" t="n">
        <v>2803956</v>
      </c>
      <c r="B1484" s="2" t="inlineStr">
        <is>
          <t>61</t>
        </is>
      </c>
      <c r="C1484" s="2" t="inlineStr">
        <is>
          <t>F</t>
        </is>
      </c>
      <c r="D1484" s="2" t="inlineStr">
        <is>
          <t>120.0</t>
        </is>
      </c>
      <c r="E1484" s="4">
        <f>HYPERLINK("./Results/DLO\3182\Osteo_Sarco_1.png","RPT")</f>
        <v/>
      </c>
      <c r="F1484" s="2" t="n">
        <v>92</v>
      </c>
      <c r="G1484" s="6" t="n">
        <v>9</v>
      </c>
      <c r="H1484" t="n">
        <v>23.55</v>
      </c>
      <c r="L1484" t="inlineStr">
        <is>
          <t>Activion16</t>
        </is>
      </c>
      <c r="M1484" t="inlineStr">
        <is>
          <t>Body 3.0</t>
        </is>
      </c>
    </row>
    <row r="1485">
      <c r="A1485" s="2" t="n">
        <v>3031087</v>
      </c>
      <c r="B1485" s="2" t="inlineStr">
        <is>
          <t>37</t>
        </is>
      </c>
      <c r="C1485" s="2" t="inlineStr">
        <is>
          <t>F</t>
        </is>
      </c>
      <c r="D1485" s="2" t="inlineStr">
        <is>
          <t>100.0</t>
        </is>
      </c>
      <c r="E1485" s="4">
        <f>HYPERLINK("./Results/DLO\3183\Osteo_Sarco_1.png","RPT")</f>
        <v/>
      </c>
      <c r="F1485" s="2" t="n">
        <v>113</v>
      </c>
      <c r="G1485" s="6" t="n">
        <v>10</v>
      </c>
      <c r="H1485" t="n">
        <v>23.63</v>
      </c>
      <c r="L1485" t="inlineStr">
        <is>
          <t>Revolution EVO</t>
        </is>
      </c>
      <c r="M1485" t="inlineStr">
        <is>
          <t>Pre 2.5mm</t>
        </is>
      </c>
    </row>
    <row r="1486">
      <c r="A1486" s="2" t="n">
        <v>3048215</v>
      </c>
      <c r="B1486" s="2" t="inlineStr">
        <is>
          <t>69</t>
        </is>
      </c>
      <c r="C1486" s="2" t="inlineStr">
        <is>
          <t>F</t>
        </is>
      </c>
      <c r="D1486" s="2" t="inlineStr">
        <is>
          <t>120.0</t>
        </is>
      </c>
      <c r="E1486" s="4">
        <f>HYPERLINK("./Results/DLO\3184\Osteo_Sarco_1.png","RPT")</f>
        <v/>
      </c>
      <c r="F1486" s="2" t="n">
        <v>111</v>
      </c>
      <c r="G1486" s="6" t="n">
        <v>30</v>
      </c>
      <c r="H1486" t="n">
        <v>21.83</v>
      </c>
      <c r="L1486" t="inlineStr">
        <is>
          <t>Discovery CT750 HD</t>
        </is>
      </c>
      <c r="M1486" t="inlineStr">
        <is>
          <t>HVP 3mm</t>
        </is>
      </c>
    </row>
    <row r="1487">
      <c r="A1487" s="2" t="n">
        <v>2220266</v>
      </c>
      <c r="B1487" s="2" t="inlineStr">
        <is>
          <t>56</t>
        </is>
      </c>
      <c r="C1487" s="2" t="inlineStr">
        <is>
          <t>F</t>
        </is>
      </c>
      <c r="D1487" s="2" t="inlineStr">
        <is>
          <t>100.0</t>
        </is>
      </c>
      <c r="E1487" s="4">
        <f>HYPERLINK("./Results/DLO\3185\Osteo_Sarco_1.png","RPT")</f>
        <v/>
      </c>
      <c r="F1487" s="2" t="n">
        <v>99</v>
      </c>
      <c r="G1487" s="6" t="n">
        <v>9</v>
      </c>
      <c r="H1487" t="n">
        <v>24.02</v>
      </c>
      <c r="L1487" t="inlineStr">
        <is>
          <t>SOMATOM Force</t>
        </is>
      </c>
      <c r="M1487" t="inlineStr">
        <is>
          <t>Pre 3.0 Br40</t>
        </is>
      </c>
    </row>
    <row r="1488">
      <c r="A1488" s="2" t="n">
        <v>3566009</v>
      </c>
      <c r="B1488" s="2" t="inlineStr">
        <is>
          <t>67</t>
        </is>
      </c>
      <c r="C1488" s="2" t="inlineStr">
        <is>
          <t>F</t>
        </is>
      </c>
      <c r="D1488" s="2" t="inlineStr">
        <is>
          <t>100.0</t>
        </is>
      </c>
      <c r="E1488" s="4">
        <f>HYPERLINK("./Results/DLO\3186\Osteo_Sarco_1.png","RPT")</f>
        <v/>
      </c>
      <c r="F1488" s="2" t="n">
        <v>103</v>
      </c>
      <c r="G1488" s="6" t="n">
        <v>8</v>
      </c>
      <c r="H1488" t="n">
        <v>26.15</v>
      </c>
      <c r="L1488" t="inlineStr">
        <is>
          <t>SOMATOM Definition...</t>
        </is>
      </c>
      <c r="M1488" t="inlineStr">
        <is>
          <t>PRE 3mm</t>
        </is>
      </c>
    </row>
    <row r="1489">
      <c r="A1489" s="2" t="n">
        <v>4847945</v>
      </c>
      <c r="B1489" s="2" t="inlineStr">
        <is>
          <t>76</t>
        </is>
      </c>
      <c r="C1489" s="2" t="inlineStr">
        <is>
          <t>M</t>
        </is>
      </c>
      <c r="D1489" s="2" t="inlineStr">
        <is>
          <t>120.0</t>
        </is>
      </c>
      <c r="E1489" s="4">
        <f>HYPERLINK("./Results/DLO\3187\Osteo_Sarco_1.png","RPT")</f>
        <v/>
      </c>
      <c r="F1489" s="2" t="n">
        <v>115</v>
      </c>
      <c r="G1489" s="6" t="n">
        <v>19</v>
      </c>
      <c r="H1489" t="n">
        <v>22.77</v>
      </c>
      <c r="L1489" t="inlineStr">
        <is>
          <t>LightSpeed VCT</t>
        </is>
      </c>
      <c r="M1489" t="inlineStr">
        <is>
          <t>HVP 55sec 3mm</t>
        </is>
      </c>
    </row>
    <row r="1490">
      <c r="A1490" s="2" t="n">
        <v>2684950</v>
      </c>
      <c r="B1490" s="2" t="inlineStr">
        <is>
          <t>53</t>
        </is>
      </c>
      <c r="C1490" s="2" t="inlineStr">
        <is>
          <t>F</t>
        </is>
      </c>
      <c r="D1490" s="2" t="inlineStr">
        <is>
          <t>120.0</t>
        </is>
      </c>
      <c r="E1490" s="4">
        <f>HYPERLINK("./Results/DLO\3188\Osteo_Sarco_1.png","RPT")</f>
        <v/>
      </c>
      <c r="F1490" s="2" t="n">
        <v>108</v>
      </c>
      <c r="G1490" s="6" t="n">
        <v>11</v>
      </c>
      <c r="H1490" t="n">
        <v>25.02</v>
      </c>
      <c r="L1490" t="inlineStr">
        <is>
          <t>LightSpeed VCT</t>
        </is>
      </c>
      <c r="M1490" t="inlineStr">
        <is>
          <t>HVP 55sec 3mm</t>
        </is>
      </c>
    </row>
    <row r="1491">
      <c r="A1491" s="2" t="n">
        <v>2511725</v>
      </c>
      <c r="B1491" s="2" t="inlineStr">
        <is>
          <t>68</t>
        </is>
      </c>
      <c r="C1491" s="2" t="inlineStr">
        <is>
          <t>F</t>
        </is>
      </c>
      <c r="D1491" s="2" t="inlineStr">
        <is>
          <t>100.0</t>
        </is>
      </c>
      <c r="E1491" s="4">
        <f>HYPERLINK("./Results/DLO\3189\Osteo_Sarco_1.png","RPT")</f>
        <v/>
      </c>
      <c r="F1491" s="2" t="n">
        <v>79</v>
      </c>
      <c r="G1491" s="6" t="n">
        <v>6</v>
      </c>
      <c r="H1491" t="n">
        <v>24.16</v>
      </c>
      <c r="L1491" t="inlineStr">
        <is>
          <t>SOMATOM Definition...</t>
        </is>
      </c>
      <c r="M1491" t="inlineStr">
        <is>
          <t>Non Abdomen 3mm</t>
        </is>
      </c>
    </row>
    <row r="1492">
      <c r="A1492" s="2" t="n">
        <v>4334446</v>
      </c>
      <c r="B1492" s="2" t="inlineStr">
        <is>
          <t>55</t>
        </is>
      </c>
      <c r="C1492" s="2" t="inlineStr">
        <is>
          <t>F</t>
        </is>
      </c>
      <c r="D1492" s="2" t="inlineStr">
        <is>
          <t>100.0</t>
        </is>
      </c>
      <c r="E1492" s="4">
        <f>HYPERLINK("./Results/DLO\319\Osteo_Sarco_1.png","RPT")</f>
        <v/>
      </c>
      <c r="F1492" s="2" t="n">
        <v>88</v>
      </c>
      <c r="G1492" s="6" t="n">
        <v>8</v>
      </c>
      <c r="I1492" s="0" t="n"/>
      <c r="J1492" s="0" t="n"/>
      <c r="K1492" s="0" t="n"/>
      <c r="L1492" t="inlineStr">
        <is>
          <t>SOMATOM Force</t>
        </is>
      </c>
      <c r="M1492" t="inlineStr">
        <is>
          <t>Pre 3.0 Br40 1</t>
        </is>
      </c>
    </row>
    <row r="1493">
      <c r="A1493" s="2" t="n">
        <v>3586118</v>
      </c>
      <c r="B1493" s="2" t="inlineStr">
        <is>
          <t>51</t>
        </is>
      </c>
      <c r="C1493" s="2" t="inlineStr">
        <is>
          <t>M</t>
        </is>
      </c>
      <c r="D1493" s="2" t="inlineStr">
        <is>
          <t>120.0</t>
        </is>
      </c>
      <c r="E1493" s="4">
        <f>HYPERLINK("./Results/DLO\3190\Osteo_Sarco_1.png","RPT")</f>
        <v/>
      </c>
      <c r="F1493" s="2" t="n">
        <v>187</v>
      </c>
      <c r="G1493" s="6" t="n">
        <v>18</v>
      </c>
      <c r="H1493" t="n">
        <v>29.79</v>
      </c>
      <c r="L1493" t="inlineStr">
        <is>
          <t>iCT 256</t>
        </is>
      </c>
      <c r="M1493" t="inlineStr">
        <is>
          <t>HVP 3/3mm, iDose (3)</t>
        </is>
      </c>
    </row>
    <row r="1494">
      <c r="A1494" s="2" t="n">
        <v>3176532</v>
      </c>
      <c r="B1494" s="2" t="inlineStr">
        <is>
          <t>55</t>
        </is>
      </c>
      <c r="C1494" s="2" t="inlineStr">
        <is>
          <t>M</t>
        </is>
      </c>
      <c r="D1494" s="2" t="inlineStr">
        <is>
          <t>100.0</t>
        </is>
      </c>
      <c r="E1494" s="4">
        <f>HYPERLINK("./Results/DLO\3191\Osteo_Sarco_1.png","RPT")</f>
        <v/>
      </c>
      <c r="F1494" s="2" t="n">
        <v>202</v>
      </c>
      <c r="G1494" s="6" t="n">
        <v>7</v>
      </c>
      <c r="H1494" t="n">
        <v>24.26</v>
      </c>
      <c r="L1494" t="inlineStr">
        <is>
          <t>SOMATOM Definition...</t>
        </is>
      </c>
      <c r="M1494" t="inlineStr">
        <is>
          <t>HVP 2 3mm (75kg/150cc/2.5cc...</t>
        </is>
      </c>
    </row>
    <row r="1495">
      <c r="A1495" s="2" t="n">
        <v>1603010</v>
      </c>
      <c r="B1495" s="2" t="inlineStr">
        <is>
          <t>77</t>
        </is>
      </c>
      <c r="C1495" s="2" t="inlineStr">
        <is>
          <t>M</t>
        </is>
      </c>
      <c r="D1495" s="2" t="inlineStr">
        <is>
          <t>100.0</t>
        </is>
      </c>
      <c r="E1495" s="4">
        <f>HYPERLINK("./Results/DLO\3193\Osteo_Sarco_1.png","RPT")</f>
        <v/>
      </c>
      <c r="F1495" s="2" t="n">
        <v>133</v>
      </c>
      <c r="G1495" s="6" t="n">
        <v>27</v>
      </c>
      <c r="H1495" t="n">
        <v>21.44</v>
      </c>
      <c r="L1495" t="inlineStr">
        <is>
          <t>Sensation 64</t>
        </is>
      </c>
      <c r="M1495" t="inlineStr">
        <is>
          <t>Pre 3/3mm</t>
        </is>
      </c>
    </row>
    <row r="1496">
      <c r="A1496" s="2" t="n">
        <v>4767390</v>
      </c>
      <c r="B1496" s="2" t="inlineStr">
        <is>
          <t>66</t>
        </is>
      </c>
      <c r="C1496" s="2" t="inlineStr">
        <is>
          <t>M</t>
        </is>
      </c>
      <c r="D1496" s="2" t="inlineStr">
        <is>
          <t>100.0</t>
        </is>
      </c>
      <c r="E1496" s="4">
        <f>HYPERLINK("./Results/DLO\3194\Osteo_Sarco_1.png","RPT")</f>
        <v/>
      </c>
      <c r="F1496" s="2" t="n">
        <v>165</v>
      </c>
      <c r="G1496" s="6" t="n">
        <v>22</v>
      </c>
      <c r="H1496" t="n">
        <v>24.78</v>
      </c>
      <c r="L1496" t="inlineStr">
        <is>
          <t>Revolution CT</t>
        </is>
      </c>
      <c r="M1496" t="inlineStr">
        <is>
          <t>HVP 3mm-pacs(67kg/134cc/3cc/x...</t>
        </is>
      </c>
    </row>
    <row r="1497">
      <c r="A1497" s="2" t="n">
        <v>3668233</v>
      </c>
      <c r="B1497" s="2" t="inlineStr">
        <is>
          <t>65</t>
        </is>
      </c>
      <c r="C1497" s="2" t="inlineStr">
        <is>
          <t>F</t>
        </is>
      </c>
      <c r="D1497" s="2" t="inlineStr">
        <is>
          <t>120.0</t>
        </is>
      </c>
      <c r="E1497" s="4">
        <f>HYPERLINK("./Results/DLO\3195\Osteo_Sarco_1.png","RPT")</f>
        <v/>
      </c>
      <c r="F1497" s="2" t="n">
        <v>118</v>
      </c>
      <c r="G1497" s="6" t="n">
        <v>8</v>
      </c>
      <c r="H1497" t="n">
        <v>22.88</v>
      </c>
      <c r="L1497" t="inlineStr">
        <is>
          <t>iCT 256</t>
        </is>
      </c>
      <c r="M1497" t="inlineStr">
        <is>
          <t>HVP 3/3mm, iDose (3)</t>
        </is>
      </c>
    </row>
    <row r="1498">
      <c r="A1498" s="2" t="n">
        <v>2778373</v>
      </c>
      <c r="B1498" s="2" t="inlineStr">
        <is>
          <t>50</t>
        </is>
      </c>
      <c r="C1498" s="2" t="inlineStr">
        <is>
          <t>F</t>
        </is>
      </c>
      <c r="D1498" s="2" t="inlineStr">
        <is>
          <t>100.0</t>
        </is>
      </c>
      <c r="E1498" s="4">
        <f>HYPERLINK("./Results/DLO\3196\Osteo_Sarco_1.png","RPT")</f>
        <v/>
      </c>
      <c r="F1498" s="2" t="n">
        <v>103</v>
      </c>
      <c r="G1498" s="6" t="n">
        <v>15</v>
      </c>
      <c r="H1498" t="n">
        <v>22.89</v>
      </c>
      <c r="L1498" t="inlineStr">
        <is>
          <t>SOMATOM Definition...</t>
        </is>
      </c>
      <c r="M1498" t="inlineStr">
        <is>
          <t>HVP 2 3mm(55kg/110cc/3cc/bono)</t>
        </is>
      </c>
    </row>
    <row r="1499">
      <c r="A1499" s="2" t="n">
        <v>3413261</v>
      </c>
      <c r="B1499" s="2" t="inlineStr">
        <is>
          <t>53</t>
        </is>
      </c>
      <c r="C1499" s="2" t="inlineStr">
        <is>
          <t>F</t>
        </is>
      </c>
      <c r="D1499" s="2" t="inlineStr">
        <is>
          <t>120.0</t>
        </is>
      </c>
      <c r="E1499" s="4">
        <f>HYPERLINK("./Results/DLO\3197\Osteo_Sarco_1.png","RPT")</f>
        <v/>
      </c>
      <c r="F1499" s="2" t="n">
        <v>111</v>
      </c>
      <c r="G1499" s="6" t="n">
        <v>12</v>
      </c>
      <c r="H1499" t="n">
        <v>22.41</v>
      </c>
      <c r="L1499" t="inlineStr">
        <is>
          <t>Discovery CT750 HD</t>
        </is>
      </c>
      <c r="M1499" t="inlineStr">
        <is>
          <t>HVP 3mm</t>
        </is>
      </c>
    </row>
    <row r="1500">
      <c r="A1500" s="2" t="n">
        <v>2219820</v>
      </c>
      <c r="B1500" s="2" t="inlineStr">
        <is>
          <t>63</t>
        </is>
      </c>
      <c r="C1500" s="2" t="inlineStr">
        <is>
          <t>F</t>
        </is>
      </c>
      <c r="D1500" s="2" t="inlineStr">
        <is>
          <t>100.0</t>
        </is>
      </c>
      <c r="E1500" s="4">
        <f>HYPERLINK("./Results/DLO\3198\Osteo_Sarco_1.png","RPT")</f>
        <v/>
      </c>
      <c r="F1500" s="2" t="n">
        <v>107</v>
      </c>
      <c r="G1500" s="6" t="n">
        <v>22</v>
      </c>
      <c r="H1500" t="n">
        <v>22.7</v>
      </c>
      <c r="L1500" t="inlineStr">
        <is>
          <t>SOMATOM Force</t>
        </is>
      </c>
      <c r="M1500" t="inlineStr">
        <is>
          <t>Non Abdomen 3.0 Br40</t>
        </is>
      </c>
    </row>
    <row r="1501">
      <c r="A1501" s="2" t="n">
        <v>3273845</v>
      </c>
      <c r="B1501" s="2" t="inlineStr">
        <is>
          <t>60</t>
        </is>
      </c>
      <c r="C1501" s="2" t="inlineStr">
        <is>
          <t>M</t>
        </is>
      </c>
      <c r="D1501" s="2" t="inlineStr">
        <is>
          <t>100.0</t>
        </is>
      </c>
      <c r="E1501" s="4">
        <f>HYPERLINK("./Results/DLO\3199\Osteo_Sarco_1.png","RPT")</f>
        <v/>
      </c>
      <c r="F1501" s="2" t="n">
        <v>110</v>
      </c>
      <c r="G1501" s="6" t="n">
        <v>8</v>
      </c>
      <c r="H1501" t="n">
        <v>22.24</v>
      </c>
      <c r="L1501" t="inlineStr">
        <is>
          <t>Revolution CT</t>
        </is>
      </c>
      <c r="M1501" t="inlineStr">
        <is>
          <t>HVP 3mm(52kg/104cc/2.5cc/pami)</t>
        </is>
      </c>
    </row>
    <row r="1502">
      <c r="A1502" s="2" t="n">
        <v>4099936</v>
      </c>
      <c r="B1502" s="2" t="inlineStr">
        <is>
          <t>78</t>
        </is>
      </c>
      <c r="C1502" s="2" t="inlineStr">
        <is>
          <t>F</t>
        </is>
      </c>
      <c r="D1502" s="2" t="inlineStr">
        <is>
          <t>100.0</t>
        </is>
      </c>
      <c r="E1502" s="4">
        <f>HYPERLINK("./Results/DLO\32\Osteo_Sarco_1.png","RPT")</f>
        <v/>
      </c>
      <c r="F1502" s="2" t="n">
        <v>103</v>
      </c>
      <c r="G1502" s="6" t="n">
        <v>14</v>
      </c>
      <c r="I1502" s="0" t="n"/>
      <c r="J1502" s="0" t="n"/>
      <c r="K1502" s="0" t="n"/>
      <c r="L1502" t="inlineStr">
        <is>
          <t>LightSpeed VCT</t>
        </is>
      </c>
      <c r="M1502" t="inlineStr">
        <is>
          <t>PRE (CP angle~Pubic)</t>
        </is>
      </c>
    </row>
    <row r="1503">
      <c r="A1503" s="2" t="n">
        <v>2462472</v>
      </c>
      <c r="B1503" s="2" t="inlineStr">
        <is>
          <t>62</t>
        </is>
      </c>
      <c r="C1503" s="2" t="inlineStr">
        <is>
          <t>M</t>
        </is>
      </c>
      <c r="D1503" s="2" t="inlineStr">
        <is>
          <t>100.0</t>
        </is>
      </c>
      <c r="E1503" s="4">
        <f>HYPERLINK("./Results/DLO\320\Osteo_Sarco_1.png","RPT")</f>
        <v/>
      </c>
      <c r="F1503" s="2" t="n">
        <v>163</v>
      </c>
      <c r="G1503" s="6" t="n">
        <v>6</v>
      </c>
      <c r="I1503" s="0" t="n"/>
      <c r="J1503" s="0" t="n"/>
      <c r="K1503" s="0" t="n"/>
      <c r="L1503" t="inlineStr">
        <is>
          <t>SOMATOM Definition...</t>
        </is>
      </c>
      <c r="M1503" t="inlineStr">
        <is>
          <t>Pre 3mm</t>
        </is>
      </c>
    </row>
    <row r="1504">
      <c r="A1504" s="2" t="n">
        <v>4214767</v>
      </c>
      <c r="B1504" s="2" t="inlineStr">
        <is>
          <t>74</t>
        </is>
      </c>
      <c r="C1504" s="2" t="inlineStr">
        <is>
          <t>F</t>
        </is>
      </c>
      <c r="D1504" s="2" t="inlineStr">
        <is>
          <t>120.0</t>
        </is>
      </c>
      <c r="E1504" s="4">
        <f>HYPERLINK("./Results/DLO\3200\Osteo_Sarco_1.png","RPT")</f>
        <v/>
      </c>
      <c r="F1504" s="2" t="n">
        <v>110</v>
      </c>
      <c r="G1504" s="6" t="n">
        <v>14</v>
      </c>
      <c r="H1504" t="n">
        <v>20.51</v>
      </c>
      <c r="L1504" t="inlineStr">
        <is>
          <t>Discovery CT750 HD</t>
        </is>
      </c>
      <c r="M1504" t="inlineStr">
        <is>
          <t>HVP 3mm</t>
        </is>
      </c>
    </row>
    <row r="1505">
      <c r="A1505" s="2" t="n">
        <v>3301494</v>
      </c>
      <c r="B1505" s="2" t="inlineStr">
        <is>
          <t>69</t>
        </is>
      </c>
      <c r="C1505" s="2" t="inlineStr">
        <is>
          <t>F</t>
        </is>
      </c>
      <c r="D1505" s="2" t="inlineStr">
        <is>
          <t>100.0</t>
        </is>
      </c>
      <c r="E1505" s="4">
        <f>HYPERLINK("./Results/DLO\3201\Osteo_Sarco_1.png","RPT")</f>
        <v/>
      </c>
      <c r="F1505" s="2" t="n">
        <v>103</v>
      </c>
      <c r="G1505" s="6" t="n">
        <v>10</v>
      </c>
      <c r="H1505" t="n">
        <v>22.99</v>
      </c>
      <c r="L1505" t="inlineStr">
        <is>
          <t>SOMATOM Definition...</t>
        </is>
      </c>
      <c r="M1505" t="inlineStr">
        <is>
          <t>Pre 3mm</t>
        </is>
      </c>
    </row>
    <row r="1506">
      <c r="A1506" s="2" t="n">
        <v>3929709</v>
      </c>
      <c r="B1506" s="2" t="inlineStr">
        <is>
          <t>62</t>
        </is>
      </c>
      <c r="C1506" s="2" t="inlineStr">
        <is>
          <t>F</t>
        </is>
      </c>
      <c r="D1506" s="2" t="inlineStr">
        <is>
          <t>100.0</t>
        </is>
      </c>
      <c r="E1506" s="4">
        <f>HYPERLINK("./Results/DLO\3202\Osteo_Sarco_1.png","RPT")</f>
        <v/>
      </c>
      <c r="F1506" s="2" t="n">
        <v>105</v>
      </c>
      <c r="G1506" s="6" t="n">
        <v>8</v>
      </c>
      <c r="H1506" t="n">
        <v>22.01</v>
      </c>
      <c r="L1506" t="inlineStr">
        <is>
          <t>SOMATOM Definition...</t>
        </is>
      </c>
      <c r="M1506" t="inlineStr">
        <is>
          <t>HVP 2 3mm(52kg/104cc/2.5cc/....</t>
        </is>
      </c>
    </row>
    <row r="1507">
      <c r="A1507" s="2" t="n">
        <v>3110987</v>
      </c>
      <c r="B1507" s="2" t="inlineStr">
        <is>
          <t>69</t>
        </is>
      </c>
      <c r="C1507" s="2" t="inlineStr">
        <is>
          <t>F</t>
        </is>
      </c>
      <c r="D1507" s="2" t="inlineStr">
        <is>
          <t>100.0</t>
        </is>
      </c>
      <c r="E1507" s="4">
        <f>HYPERLINK("./Results/DLO\3203\Osteo_Sarco_1.png","RPT")</f>
        <v/>
      </c>
      <c r="F1507" s="2" t="n">
        <v>115</v>
      </c>
      <c r="G1507" s="6" t="n">
        <v>19</v>
      </c>
      <c r="H1507" t="n">
        <v>20.57</v>
      </c>
      <c r="L1507" t="inlineStr">
        <is>
          <t>Revolution CT</t>
        </is>
      </c>
      <c r="M1507" t="inlineStr">
        <is>
          <t>HVP 3mm(52kg/104cc/2.5cc/bono)</t>
        </is>
      </c>
    </row>
    <row r="1508">
      <c r="A1508" s="2" t="n">
        <v>4475370</v>
      </c>
      <c r="B1508" s="2" t="inlineStr">
        <is>
          <t>69</t>
        </is>
      </c>
      <c r="C1508" s="2" t="inlineStr">
        <is>
          <t>F</t>
        </is>
      </c>
      <c r="D1508" s="2" t="inlineStr">
        <is>
          <t>100.0</t>
        </is>
      </c>
      <c r="E1508" s="4">
        <f>HYPERLINK("./Results/DLO\3204\Osteo_Sarco_1.png","RPT")</f>
        <v/>
      </c>
      <c r="F1508" s="2" t="n">
        <v>82</v>
      </c>
      <c r="G1508" s="6" t="n">
        <v>19</v>
      </c>
      <c r="H1508" t="n">
        <v>19.33</v>
      </c>
      <c r="L1508" t="inlineStr">
        <is>
          <t>SOMATOM Definition...</t>
        </is>
      </c>
      <c r="M1508" t="inlineStr">
        <is>
          <t>Pre 3mm B30f</t>
        </is>
      </c>
    </row>
    <row r="1509">
      <c r="A1509" s="2" t="n">
        <v>4586361</v>
      </c>
      <c r="B1509" s="2" t="inlineStr">
        <is>
          <t>47</t>
        </is>
      </c>
      <c r="C1509" s="2" t="inlineStr">
        <is>
          <t>F</t>
        </is>
      </c>
      <c r="D1509" s="2" t="inlineStr">
        <is>
          <t>100.0</t>
        </is>
      </c>
      <c r="E1509" s="4">
        <f>HYPERLINK("./Results/DLO\3205\Osteo_Sarco_1.png","RPT")</f>
        <v/>
      </c>
      <c r="F1509" s="2" t="n">
        <v>71</v>
      </c>
      <c r="G1509" s="6" t="n">
        <v>7</v>
      </c>
      <c r="H1509" t="n">
        <v>19.45</v>
      </c>
      <c r="L1509" t="inlineStr">
        <is>
          <t>SOMATOM Definition...</t>
        </is>
      </c>
      <c r="M1509" t="inlineStr">
        <is>
          <t>HVP 2 3mm(51kg/102cc/2.5cc/nh...</t>
        </is>
      </c>
    </row>
    <row r="1510">
      <c r="A1510" s="2" t="n">
        <v>3138499</v>
      </c>
      <c r="B1510" s="2" t="inlineStr">
        <is>
          <t>42</t>
        </is>
      </c>
      <c r="C1510" s="2" t="inlineStr">
        <is>
          <t>M</t>
        </is>
      </c>
      <c r="D1510" s="2" t="inlineStr">
        <is>
          <t>100.0</t>
        </is>
      </c>
      <c r="E1510" s="4">
        <f>HYPERLINK("./Results/DLO\3206\Osteo_Sarco_1.png","RPT")</f>
        <v/>
      </c>
      <c r="F1510" s="2" t="n">
        <v>120</v>
      </c>
      <c r="G1510" s="6" t="n">
        <v>11</v>
      </c>
      <c r="H1510" t="n">
        <v>16.9</v>
      </c>
      <c r="L1510" t="inlineStr">
        <is>
          <t>SOMATOM Definition...</t>
        </is>
      </c>
      <c r="M1510" t="inlineStr">
        <is>
          <t>Pre(cp~pubic ) 3.0 B30f</t>
        </is>
      </c>
    </row>
    <row r="1511">
      <c r="A1511" s="2" t="n">
        <v>3047489</v>
      </c>
      <c r="B1511" s="2" t="inlineStr">
        <is>
          <t>77</t>
        </is>
      </c>
      <c r="C1511" s="2" t="inlineStr">
        <is>
          <t>F</t>
        </is>
      </c>
      <c r="D1511" s="2" t="inlineStr">
        <is>
          <t>120.0</t>
        </is>
      </c>
      <c r="E1511" s="4">
        <f>HYPERLINK("./Results/DLO\3207\Osteo_Sarco_1.png","RPT")</f>
        <v/>
      </c>
      <c r="F1511" s="2" t="n">
        <v>110</v>
      </c>
      <c r="G1511" s="6" t="n">
        <v>20</v>
      </c>
      <c r="H1511" t="n">
        <v>21.83</v>
      </c>
      <c r="L1511" t="inlineStr">
        <is>
          <t>LightSpeed VCT</t>
        </is>
      </c>
      <c r="M1511" t="inlineStr">
        <is>
          <t>HVP 55sec 3mm</t>
        </is>
      </c>
    </row>
    <row r="1512">
      <c r="A1512" s="2" t="n">
        <v>9060867</v>
      </c>
      <c r="B1512" s="2" t="inlineStr">
        <is>
          <t>69</t>
        </is>
      </c>
      <c r="C1512" s="2" t="inlineStr">
        <is>
          <t>M</t>
        </is>
      </c>
      <c r="D1512" s="2" t="inlineStr">
        <is>
          <t>120.0</t>
        </is>
      </c>
      <c r="E1512" s="4">
        <f>HYPERLINK("./Results/DLO\3208\Osteo_Sarco_1.png","RPT")</f>
        <v/>
      </c>
      <c r="F1512" s="2" t="n">
        <v>119</v>
      </c>
      <c r="G1512" s="6" t="n">
        <v>5</v>
      </c>
      <c r="H1512" t="n">
        <v>20.32</v>
      </c>
      <c r="L1512" t="inlineStr">
        <is>
          <t>Discovery CT750 HD</t>
        </is>
      </c>
      <c r="M1512" t="inlineStr">
        <is>
          <t>HVP 3mm</t>
        </is>
      </c>
    </row>
    <row r="1513">
      <c r="A1513" s="2" t="n">
        <v>9448243</v>
      </c>
      <c r="B1513" s="2" t="inlineStr">
        <is>
          <t>60</t>
        </is>
      </c>
      <c r="C1513" s="2" t="inlineStr">
        <is>
          <t>M</t>
        </is>
      </c>
      <c r="D1513" s="2" t="inlineStr">
        <is>
          <t>100.0</t>
        </is>
      </c>
      <c r="E1513" s="4">
        <f>HYPERLINK("./Results/DLO\3209\Osteo_Sarco_1.png","RPT")</f>
        <v/>
      </c>
      <c r="F1513" s="2" t="n">
        <v>117</v>
      </c>
      <c r="G1513" s="6" t="n">
        <v>4</v>
      </c>
      <c r="H1513" t="n">
        <v>18.2</v>
      </c>
      <c r="L1513" t="inlineStr">
        <is>
          <t>iCT 256</t>
        </is>
      </c>
      <c r="M1513" t="inlineStr">
        <is>
          <t>HVP 3/3mm, iDose (3)</t>
        </is>
      </c>
    </row>
    <row r="1514">
      <c r="A1514" s="2" t="n">
        <v>2032850</v>
      </c>
      <c r="B1514" s="2" t="inlineStr">
        <is>
          <t>77</t>
        </is>
      </c>
      <c r="C1514" s="2" t="inlineStr">
        <is>
          <t>M</t>
        </is>
      </c>
      <c r="D1514" s="2" t="inlineStr">
        <is>
          <t>100.0</t>
        </is>
      </c>
      <c r="E1514" s="4">
        <f>HYPERLINK("./Results/DLO\321\Osteo_Sarco_1.png","RPT")</f>
        <v/>
      </c>
      <c r="F1514" s="2" t="n">
        <v>98</v>
      </c>
      <c r="G1514" s="6" t="n">
        <v>8</v>
      </c>
      <c r="I1514" s="0" t="n"/>
      <c r="J1514" s="0" t="n"/>
      <c r="K1514" s="0" t="n"/>
      <c r="L1514" t="inlineStr">
        <is>
          <t>Revolution EVO</t>
        </is>
      </c>
      <c r="M1514" t="inlineStr">
        <is>
          <t>PRE</t>
        </is>
      </c>
    </row>
    <row r="1515">
      <c r="A1515" s="2" t="n">
        <v>9509143</v>
      </c>
      <c r="B1515" s="2" t="inlineStr">
        <is>
          <t>56</t>
        </is>
      </c>
      <c r="C1515" s="2" t="inlineStr">
        <is>
          <t>M</t>
        </is>
      </c>
      <c r="D1515" s="2" t="inlineStr">
        <is>
          <t>100.0</t>
        </is>
      </c>
      <c r="E1515" s="4">
        <f>HYPERLINK("./Results/DLO\3210\Osteo_Sarco_1.png","RPT")</f>
        <v/>
      </c>
      <c r="F1515" s="2" t="n">
        <v>124</v>
      </c>
      <c r="G1515" s="6" t="n">
        <v>9</v>
      </c>
      <c r="H1515" t="n">
        <v>18.38</v>
      </c>
      <c r="L1515" t="inlineStr">
        <is>
          <t>Revolution CT</t>
        </is>
      </c>
      <c r="M1515" t="inlineStr">
        <is>
          <t>HVP 3mm-pacs(54kg/108cc/3cc/B...</t>
        </is>
      </c>
    </row>
    <row r="1516">
      <c r="A1516" s="2" t="n">
        <v>9542517</v>
      </c>
      <c r="B1516" s="2" t="inlineStr">
        <is>
          <t>56</t>
        </is>
      </c>
      <c r="C1516" s="2" t="inlineStr">
        <is>
          <t>M</t>
        </is>
      </c>
      <c r="D1516" s="2" t="inlineStr">
        <is>
          <t>120.0</t>
        </is>
      </c>
      <c r="E1516" s="4">
        <f>HYPERLINK("./Results/DLO\3211\Osteo_Sarco_1.png","RPT")</f>
        <v/>
      </c>
      <c r="F1516" s="2" t="n">
        <v>168</v>
      </c>
      <c r="G1516" s="6" t="n">
        <v>9</v>
      </c>
      <c r="H1516" t="n">
        <v>27.99</v>
      </c>
      <c r="L1516" t="inlineStr">
        <is>
          <t>Revolution EVO</t>
        </is>
      </c>
      <c r="M1516" t="inlineStr">
        <is>
          <t>HVP 3mm</t>
        </is>
      </c>
    </row>
    <row r="1517">
      <c r="A1517" s="2" t="n">
        <v>9566915</v>
      </c>
      <c r="B1517" s="2" t="inlineStr">
        <is>
          <t>64</t>
        </is>
      </c>
      <c r="C1517" s="2" t="inlineStr">
        <is>
          <t>M</t>
        </is>
      </c>
      <c r="D1517" s="2" t="inlineStr">
        <is>
          <t>100.0</t>
        </is>
      </c>
      <c r="E1517" s="4">
        <f>HYPERLINK("./Results/DLO\3212\Osteo_Sarco_1.png","RPT")</f>
        <v/>
      </c>
      <c r="F1517" s="2" t="n">
        <v>114</v>
      </c>
      <c r="G1517" s="6" t="n">
        <v>6</v>
      </c>
      <c r="H1517" t="n">
        <v>21.14</v>
      </c>
      <c r="L1517" t="inlineStr">
        <is>
          <t>Revolution EVO</t>
        </is>
      </c>
      <c r="M1517" t="inlineStr">
        <is>
          <t>PRE</t>
        </is>
      </c>
    </row>
    <row r="1518">
      <c r="A1518" s="2" t="n">
        <v>9568130</v>
      </c>
      <c r="B1518" s="2" t="inlineStr">
        <is>
          <t>78</t>
        </is>
      </c>
      <c r="C1518" s="2" t="inlineStr">
        <is>
          <t>F</t>
        </is>
      </c>
      <c r="D1518" s="2" t="inlineStr">
        <is>
          <t>120.0</t>
        </is>
      </c>
      <c r="E1518" s="4">
        <f>HYPERLINK("./Results/DLO\3213\Osteo_Sarco_1.png","RPT")</f>
        <v/>
      </c>
      <c r="F1518" s="2" t="n">
        <v>99</v>
      </c>
      <c r="G1518" s="6" t="n">
        <v>14</v>
      </c>
      <c r="H1518" t="n">
        <v>21.53</v>
      </c>
      <c r="L1518" t="inlineStr">
        <is>
          <t>Aquilion PRIME</t>
        </is>
      </c>
      <c r="M1518" t="inlineStr">
        <is>
          <t>Body 4.0</t>
        </is>
      </c>
    </row>
    <row r="1519">
      <c r="A1519" s="2" t="n">
        <v>9593520</v>
      </c>
      <c r="B1519" s="2" t="inlineStr">
        <is>
          <t>54</t>
        </is>
      </c>
      <c r="C1519" s="2" t="inlineStr">
        <is>
          <t>M</t>
        </is>
      </c>
      <c r="D1519" s="2" t="inlineStr">
        <is>
          <t>120.0</t>
        </is>
      </c>
      <c r="E1519" s="4">
        <f>HYPERLINK("./Results/DLO\3214\Osteo_Sarco_1.png","RPT")</f>
        <v/>
      </c>
      <c r="F1519" s="2" t="n">
        <v>108</v>
      </c>
      <c r="G1519" s="6" t="n">
        <v>4</v>
      </c>
      <c r="H1519" t="n">
        <v>22.79</v>
      </c>
      <c r="L1519" t="inlineStr">
        <is>
          <t>Optima CT660</t>
        </is>
      </c>
      <c r="M1519" t="inlineStr">
        <is>
          <t>PRE</t>
        </is>
      </c>
    </row>
    <row r="1520">
      <c r="A1520" s="2" t="n">
        <v>9597196</v>
      </c>
      <c r="B1520" s="2" t="inlineStr">
        <is>
          <t>84</t>
        </is>
      </c>
      <c r="C1520" s="2" t="inlineStr">
        <is>
          <t>M</t>
        </is>
      </c>
      <c r="D1520" s="2" t="inlineStr">
        <is>
          <t>120.0</t>
        </is>
      </c>
      <c r="E1520" s="4">
        <f>HYPERLINK("./Results/DLO\3215\Osteo_Sarco_1.png","RPT")</f>
        <v/>
      </c>
      <c r="F1520" s="2" t="n">
        <v>91</v>
      </c>
      <c r="G1520" s="6" t="n">
        <v>9</v>
      </c>
      <c r="H1520" t="n">
        <v>19.38</v>
      </c>
      <c r="L1520" t="inlineStr">
        <is>
          <t>Brilliance16</t>
        </is>
      </c>
      <c r="M1520" t="inlineStr">
        <is>
          <t>PRE</t>
        </is>
      </c>
    </row>
    <row r="1521">
      <c r="A1521" s="2" t="n">
        <v>9604639</v>
      </c>
      <c r="B1521" s="2" t="inlineStr">
        <is>
          <t>70</t>
        </is>
      </c>
      <c r="C1521" s="2" t="inlineStr">
        <is>
          <t>F</t>
        </is>
      </c>
      <c r="D1521" s="2" t="inlineStr">
        <is>
          <t>100.0</t>
        </is>
      </c>
      <c r="E1521" s="4">
        <f>HYPERLINK("./Results/DLO\3216\Osteo_Sarco_1.png","RPT")</f>
        <v/>
      </c>
      <c r="F1521" s="2" t="n">
        <v>89</v>
      </c>
      <c r="G1521" s="6" t="n">
        <v>8</v>
      </c>
      <c r="H1521" t="n">
        <v>18.55</v>
      </c>
      <c r="L1521" t="inlineStr">
        <is>
          <t>Revolution EVO</t>
        </is>
      </c>
      <c r="M1521" t="inlineStr">
        <is>
          <t>PRE</t>
        </is>
      </c>
    </row>
    <row r="1522">
      <c r="A1522" s="2" t="n">
        <v>9641886</v>
      </c>
      <c r="B1522" s="2" t="inlineStr">
        <is>
          <t>57</t>
        </is>
      </c>
      <c r="C1522" s="2" t="inlineStr">
        <is>
          <t>F</t>
        </is>
      </c>
      <c r="D1522" s="2" t="inlineStr">
        <is>
          <t>100.0</t>
        </is>
      </c>
      <c r="E1522" s="4">
        <f>HYPERLINK("./Results/DLO\3217\Osteo_Sarco_1.png","RPT")</f>
        <v/>
      </c>
      <c r="F1522" s="2" t="n">
        <v>72</v>
      </c>
      <c r="G1522" s="6" t="n">
        <v>17</v>
      </c>
      <c r="H1522" t="n">
        <v>22.27</v>
      </c>
      <c r="L1522" t="inlineStr">
        <is>
          <t>Revolution EVO</t>
        </is>
      </c>
      <c r="M1522" t="inlineStr">
        <is>
          <t>Pre 2.5mm</t>
        </is>
      </c>
    </row>
    <row r="1523">
      <c r="A1523" s="2" t="n">
        <v>9661806</v>
      </c>
      <c r="B1523" s="2" t="inlineStr">
        <is>
          <t>43</t>
        </is>
      </c>
      <c r="C1523" s="2" t="inlineStr">
        <is>
          <t>F</t>
        </is>
      </c>
      <c r="D1523" s="2" t="inlineStr">
        <is>
          <t>100.0</t>
        </is>
      </c>
      <c r="E1523" s="4">
        <f>HYPERLINK("./Results/DLO\3218\Osteo_Sarco_1.png","RPT")</f>
        <v/>
      </c>
      <c r="F1523" s="2" t="n">
        <v>118</v>
      </c>
      <c r="G1523" s="6" t="n">
        <v>8</v>
      </c>
      <c r="H1523" t="n">
        <v>19.15</v>
      </c>
      <c r="L1523" t="inlineStr">
        <is>
          <t>SOMATOM Force</t>
        </is>
      </c>
      <c r="M1523" t="inlineStr">
        <is>
          <t>Pre 3.0 Br40 1</t>
        </is>
      </c>
    </row>
    <row r="1524">
      <c r="A1524" s="2" t="n">
        <v>9663606</v>
      </c>
      <c r="B1524" s="2" t="inlineStr">
        <is>
          <t>80</t>
        </is>
      </c>
      <c r="C1524" s="2" t="inlineStr">
        <is>
          <t>F</t>
        </is>
      </c>
      <c r="D1524" s="2" t="inlineStr">
        <is>
          <t>120.0</t>
        </is>
      </c>
      <c r="E1524" s="4">
        <f>HYPERLINK("./Results/DLO\3219\Osteo_Sarco_1.png","RPT")</f>
        <v/>
      </c>
      <c r="F1524" s="2" t="n">
        <v>98</v>
      </c>
      <c r="G1524" s="6" t="n">
        <v>10</v>
      </c>
      <c r="H1524" t="n">
        <v>28.05</v>
      </c>
      <c r="L1524" t="inlineStr">
        <is>
          <t>Discovery CT750 HD</t>
        </is>
      </c>
      <c r="M1524" t="inlineStr">
        <is>
          <t>HVP 3mm</t>
        </is>
      </c>
    </row>
    <row r="1525">
      <c r="A1525" s="2" t="n">
        <v>3487672</v>
      </c>
      <c r="B1525" s="2" t="inlineStr">
        <is>
          <t>62</t>
        </is>
      </c>
      <c r="C1525" s="2" t="inlineStr">
        <is>
          <t>F</t>
        </is>
      </c>
      <c r="D1525" s="2" t="inlineStr">
        <is>
          <t>120.0</t>
        </is>
      </c>
      <c r="E1525" s="4">
        <f>HYPERLINK("./Results/DLO\322\Osteo_Sarco_1.png","RPT")</f>
        <v/>
      </c>
      <c r="F1525" s="2" t="n">
        <v>84</v>
      </c>
      <c r="G1525" s="6" t="n">
        <v>5</v>
      </c>
      <c r="I1525" s="0" t="n"/>
      <c r="J1525" s="0" t="n"/>
      <c r="K1525" s="0" t="n"/>
      <c r="L1525" t="inlineStr">
        <is>
          <t>LightSpeed VCT</t>
        </is>
      </c>
      <c r="M1525" t="inlineStr">
        <is>
          <t>HVP 55sec 3mm</t>
        </is>
      </c>
    </row>
    <row r="1526">
      <c r="A1526" s="2" t="n">
        <v>9672737</v>
      </c>
      <c r="B1526" s="2" t="inlineStr">
        <is>
          <t>76</t>
        </is>
      </c>
      <c r="C1526" s="2" t="inlineStr">
        <is>
          <t>F</t>
        </is>
      </c>
      <c r="D1526" s="2" t="inlineStr">
        <is>
          <t>100.0</t>
        </is>
      </c>
      <c r="E1526" s="4">
        <f>HYPERLINK("./Results/DLO\3220\Osteo_Sarco_1.png","RPT")</f>
        <v/>
      </c>
      <c r="F1526" s="2" t="n">
        <v>90</v>
      </c>
      <c r="G1526" s="6" t="n">
        <v>12</v>
      </c>
      <c r="H1526" t="n">
        <v>21.18</v>
      </c>
      <c r="L1526" t="inlineStr">
        <is>
          <t>iCT 256</t>
        </is>
      </c>
      <c r="M1526" t="inlineStr">
        <is>
          <t>HVP 3/3mm, iDose (3)</t>
        </is>
      </c>
    </row>
    <row r="1527">
      <c r="A1527" s="2" t="n">
        <v>9683901</v>
      </c>
      <c r="B1527" s="2" t="inlineStr">
        <is>
          <t>79</t>
        </is>
      </c>
      <c r="C1527" s="2" t="inlineStr">
        <is>
          <t>F</t>
        </is>
      </c>
      <c r="D1527" s="2" t="inlineStr">
        <is>
          <t>100.0</t>
        </is>
      </c>
      <c r="E1527" s="4">
        <f>HYPERLINK("./Results/DLO\3221\Osteo_Sarco_1.png","RPT")</f>
        <v/>
      </c>
      <c r="F1527" s="2" t="n">
        <v>101</v>
      </c>
      <c r="G1527" s="6" t="n">
        <v>20</v>
      </c>
      <c r="H1527" t="n">
        <v>22.21</v>
      </c>
      <c r="L1527" t="inlineStr">
        <is>
          <t>Discovery CT750 HD</t>
        </is>
      </c>
      <c r="M1527" t="inlineStr">
        <is>
          <t>Pre 3mm</t>
        </is>
      </c>
    </row>
    <row r="1528">
      <c r="A1528" s="2" t="n">
        <v>9714666</v>
      </c>
      <c r="B1528" s="2" t="inlineStr">
        <is>
          <t>65</t>
        </is>
      </c>
      <c r="C1528" s="2" t="inlineStr">
        <is>
          <t>F</t>
        </is>
      </c>
      <c r="D1528" s="2" t="inlineStr">
        <is>
          <t>100.0</t>
        </is>
      </c>
      <c r="E1528" s="4">
        <f>HYPERLINK("./Results/DLO\3222\Osteo_Sarco_1.png","RPT")</f>
        <v/>
      </c>
      <c r="F1528" s="2" t="n">
        <v>98</v>
      </c>
      <c r="G1528" s="6" t="n">
        <v>14</v>
      </c>
      <c r="H1528" t="n">
        <v>22.48</v>
      </c>
      <c r="L1528" t="inlineStr">
        <is>
          <t>SOMATOM Definition...</t>
        </is>
      </c>
      <c r="M1528" t="inlineStr">
        <is>
          <t>Pre 3mm</t>
        </is>
      </c>
    </row>
    <row r="1529">
      <c r="A1529" s="2" t="n">
        <v>9758680</v>
      </c>
      <c r="B1529" s="2" t="inlineStr">
        <is>
          <t>60</t>
        </is>
      </c>
      <c r="C1529" s="2" t="inlineStr">
        <is>
          <t>M</t>
        </is>
      </c>
      <c r="D1529" s="2" t="inlineStr">
        <is>
          <t>100.0</t>
        </is>
      </c>
      <c r="E1529" s="4">
        <f>HYPERLINK("./Results/DLO\3223\Osteo_Sarco_1.png","RPT")</f>
        <v/>
      </c>
      <c r="F1529" s="2" t="n">
        <v>171</v>
      </c>
      <c r="G1529" s="6" t="n">
        <v>13</v>
      </c>
      <c r="H1529" t="n">
        <v>27.95</v>
      </c>
      <c r="L1529" t="inlineStr">
        <is>
          <t>Revolution CT</t>
        </is>
      </c>
      <c r="M1529" t="inlineStr">
        <is>
          <t>Pre 3mm</t>
        </is>
      </c>
    </row>
    <row r="1530">
      <c r="A1530" s="2" t="n">
        <v>9760741</v>
      </c>
      <c r="B1530" s="2" t="inlineStr">
        <is>
          <t>53</t>
        </is>
      </c>
      <c r="C1530" s="2" t="inlineStr">
        <is>
          <t>F</t>
        </is>
      </c>
      <c r="D1530" s="2" t="inlineStr">
        <is>
          <t>100.0</t>
        </is>
      </c>
      <c r="E1530" s="4">
        <f>HYPERLINK("./Results/DLO\3224\Osteo_Sarco_1.png","RPT")</f>
        <v/>
      </c>
      <c r="F1530" s="2" t="n">
        <v>65</v>
      </c>
      <c r="G1530" s="6" t="n">
        <v>5</v>
      </c>
      <c r="H1530" t="n">
        <v>16.03</v>
      </c>
      <c r="L1530" t="inlineStr">
        <is>
          <t>Revolution EVO</t>
        </is>
      </c>
      <c r="M1530" t="inlineStr">
        <is>
          <t>Pre 2.5mm</t>
        </is>
      </c>
    </row>
    <row r="1531">
      <c r="A1531" s="2" t="n">
        <v>9767383</v>
      </c>
      <c r="B1531" s="2" t="inlineStr">
        <is>
          <t>83</t>
        </is>
      </c>
      <c r="C1531" s="2" t="inlineStr">
        <is>
          <t>F</t>
        </is>
      </c>
      <c r="D1531" s="2" t="inlineStr">
        <is>
          <t>100.0</t>
        </is>
      </c>
      <c r="E1531" s="4">
        <f>HYPERLINK("./Results/DLO\3225\Osteo_Sarco_1.png","RPT")</f>
        <v/>
      </c>
      <c r="F1531" s="2" t="n">
        <v>90</v>
      </c>
      <c r="G1531" s="6" t="n">
        <v>24</v>
      </c>
      <c r="H1531" t="n">
        <v>24.27</v>
      </c>
      <c r="L1531" t="inlineStr">
        <is>
          <t>Revolution EVO</t>
        </is>
      </c>
      <c r="M1531" t="inlineStr">
        <is>
          <t>Abdomen Pre 2.5mm</t>
        </is>
      </c>
    </row>
    <row r="1532">
      <c r="A1532" s="2" t="n">
        <v>9875926</v>
      </c>
      <c r="B1532" s="2" t="inlineStr">
        <is>
          <t>43</t>
        </is>
      </c>
      <c r="C1532" s="2" t="inlineStr">
        <is>
          <t>M</t>
        </is>
      </c>
      <c r="D1532" s="2" t="inlineStr">
        <is>
          <t>100.0</t>
        </is>
      </c>
      <c r="E1532" s="4">
        <f>HYPERLINK("./Results/DLO\3227\Osteo_Sarco_1.png","RPT")</f>
        <v/>
      </c>
      <c r="F1532" s="2" t="n">
        <v>196</v>
      </c>
      <c r="G1532" s="6" t="n">
        <v>8</v>
      </c>
      <c r="H1532" t="n">
        <v>28.83</v>
      </c>
      <c r="L1532" t="inlineStr">
        <is>
          <t>Revolution EVO</t>
        </is>
      </c>
      <c r="M1532" t="inlineStr">
        <is>
          <t>Pre 2.5mm</t>
        </is>
      </c>
    </row>
    <row r="1533">
      <c r="A1533" s="2" t="n">
        <v>1653686</v>
      </c>
      <c r="B1533" s="2" t="inlineStr">
        <is>
          <t>43</t>
        </is>
      </c>
      <c r="C1533" s="2" t="inlineStr">
        <is>
          <t>F</t>
        </is>
      </c>
      <c r="D1533" s="2" t="inlineStr">
        <is>
          <t>100.0</t>
        </is>
      </c>
      <c r="E1533" s="4">
        <f>HYPERLINK("./Results/DLO\323\Osteo_Sarco_1.png","RPT")</f>
        <v/>
      </c>
      <c r="F1533" s="2" t="n">
        <v>96</v>
      </c>
      <c r="G1533" s="6" t="n">
        <v>9</v>
      </c>
      <c r="I1533" s="0" t="n"/>
      <c r="J1533" s="0" t="n"/>
      <c r="K1533" s="0" t="n"/>
      <c r="L1533" t="inlineStr">
        <is>
          <t>iCT 256</t>
        </is>
      </c>
      <c r="M1533" t="inlineStr">
        <is>
          <t>Pre3/3mm_I-3, iDose (3)</t>
        </is>
      </c>
    </row>
    <row r="1534">
      <c r="A1534" s="2" t="n">
        <v>2977167</v>
      </c>
      <c r="B1534" s="2" t="inlineStr">
        <is>
          <t>55</t>
        </is>
      </c>
      <c r="C1534" s="2" t="inlineStr">
        <is>
          <t>F</t>
        </is>
      </c>
      <c r="D1534" s="2" t="inlineStr">
        <is>
          <t>100.0</t>
        </is>
      </c>
      <c r="E1534" s="4">
        <f>HYPERLINK("./Results/DLO\324\Osteo_Sarco_1.png","RPT")</f>
        <v/>
      </c>
      <c r="F1534" s="2" t="n">
        <v>99</v>
      </c>
      <c r="G1534" s="6" t="n">
        <v>10</v>
      </c>
      <c r="I1534" s="0" t="n"/>
      <c r="J1534" s="0" t="n"/>
      <c r="K1534" s="0" t="n"/>
      <c r="L1534" t="inlineStr">
        <is>
          <t>SOMATOM Definition...</t>
        </is>
      </c>
      <c r="M1534" t="inlineStr">
        <is>
          <t>Pre(CP~pubic) 3mm</t>
        </is>
      </c>
    </row>
    <row r="1535">
      <c r="A1535" s="2" t="n">
        <v>2974131</v>
      </c>
      <c r="B1535" s="2" t="inlineStr">
        <is>
          <t>74</t>
        </is>
      </c>
      <c r="C1535" s="2" t="inlineStr">
        <is>
          <t>M</t>
        </is>
      </c>
      <c r="D1535" s="2" t="inlineStr">
        <is>
          <t>100.0</t>
        </is>
      </c>
      <c r="E1535" s="4">
        <f>HYPERLINK("./Results/DLO\325\Osteo_Sarco_1.png","RPT")</f>
        <v/>
      </c>
      <c r="F1535" s="2" t="n">
        <v>127</v>
      </c>
      <c r="G1535" s="6" t="n">
        <v>6</v>
      </c>
      <c r="I1535" s="0" t="n"/>
      <c r="J1535" s="0" t="n"/>
      <c r="K1535" s="0" t="n"/>
      <c r="L1535" t="inlineStr">
        <is>
          <t>iCT 256</t>
        </is>
      </c>
      <c r="M1535" t="inlineStr">
        <is>
          <t>HVP 3/3mm, iDose (3)</t>
        </is>
      </c>
    </row>
    <row r="1536">
      <c r="A1536" s="2" t="n">
        <v>1998502</v>
      </c>
      <c r="B1536" s="2" t="inlineStr">
        <is>
          <t>60</t>
        </is>
      </c>
      <c r="C1536" s="2" t="inlineStr">
        <is>
          <t>F</t>
        </is>
      </c>
      <c r="D1536" s="2" t="inlineStr">
        <is>
          <t>120.0</t>
        </is>
      </c>
      <c r="E1536" s="4">
        <f>HYPERLINK("./Results/DLO\326\Osteo_Sarco_1.png","RPT")</f>
        <v/>
      </c>
      <c r="F1536" s="2" t="n">
        <v>133</v>
      </c>
      <c r="G1536" s="6" t="n">
        <v>12</v>
      </c>
      <c r="I1536" s="0" t="n"/>
      <c r="J1536" s="0" t="n"/>
      <c r="K1536" s="0" t="n"/>
      <c r="L1536" t="inlineStr">
        <is>
          <t>iCT 256</t>
        </is>
      </c>
      <c r="M1536" t="inlineStr">
        <is>
          <t>HVP 3/3mm, iDose (3)</t>
        </is>
      </c>
    </row>
    <row r="1537">
      <c r="A1537" s="2" t="n">
        <v>1872739</v>
      </c>
      <c r="B1537" s="2" t="inlineStr">
        <is>
          <t>60</t>
        </is>
      </c>
      <c r="C1537" s="2" t="inlineStr">
        <is>
          <t>F</t>
        </is>
      </c>
      <c r="D1537" s="2" t="inlineStr">
        <is>
          <t>120.0</t>
        </is>
      </c>
      <c r="E1537" s="4">
        <f>HYPERLINK("./Results/DLO\327\Osteo_Sarco_1.png","RPT")</f>
        <v/>
      </c>
      <c r="F1537" s="2" t="n">
        <v>98</v>
      </c>
      <c r="G1537" s="6" t="n">
        <v>6</v>
      </c>
      <c r="I1537" s="0" t="n"/>
      <c r="J1537" s="0" t="n"/>
      <c r="K1537" s="0" t="n"/>
      <c r="L1537" t="inlineStr">
        <is>
          <t>Optima CT660</t>
        </is>
      </c>
      <c r="M1537" t="inlineStr">
        <is>
          <t>PRE</t>
        </is>
      </c>
    </row>
    <row r="1538">
      <c r="A1538" s="2" t="n">
        <v>2191441</v>
      </c>
      <c r="B1538" s="2" t="inlineStr">
        <is>
          <t>69</t>
        </is>
      </c>
      <c r="C1538" s="2" t="inlineStr">
        <is>
          <t>M</t>
        </is>
      </c>
      <c r="D1538" s="2" t="inlineStr">
        <is>
          <t>120.0</t>
        </is>
      </c>
      <c r="E1538" s="4">
        <f>HYPERLINK("./Results/DLO\328\Osteo_Sarco_1.png","RPT")</f>
        <v/>
      </c>
      <c r="F1538" s="2" t="n">
        <v>143</v>
      </c>
      <c r="G1538" s="6" t="n">
        <v>14</v>
      </c>
      <c r="H1538" t="n">
        <v>25.35</v>
      </c>
      <c r="L1538" t="inlineStr">
        <is>
          <t>iCT 256</t>
        </is>
      </c>
      <c r="M1538" t="inlineStr">
        <is>
          <t>HVP 3/3mm, iDose (3)</t>
        </is>
      </c>
    </row>
    <row r="1539">
      <c r="A1539" s="2" t="n">
        <v>3129629</v>
      </c>
      <c r="B1539" s="2" t="inlineStr">
        <is>
          <t>72</t>
        </is>
      </c>
      <c r="C1539" s="2" t="inlineStr">
        <is>
          <t>M</t>
        </is>
      </c>
      <c r="D1539" s="2" t="inlineStr">
        <is>
          <t>100.0</t>
        </is>
      </c>
      <c r="E1539" s="4">
        <f>HYPERLINK("./Results/DLO\329\Osteo_Sarco_1.png","RPT")</f>
        <v/>
      </c>
      <c r="F1539" s="2" t="n">
        <v>181</v>
      </c>
      <c r="G1539" s="6" t="n">
        <v>23</v>
      </c>
      <c r="H1539" t="n">
        <v>27.66</v>
      </c>
      <c r="L1539" t="inlineStr">
        <is>
          <t>SOMATOM Definition...</t>
        </is>
      </c>
      <c r="M1539" t="inlineStr">
        <is>
          <t>Pre 3mm</t>
        </is>
      </c>
    </row>
    <row r="1540">
      <c r="A1540" s="2" t="n">
        <v>2798322</v>
      </c>
      <c r="B1540" s="2" t="inlineStr">
        <is>
          <t>63</t>
        </is>
      </c>
      <c r="C1540" s="2" t="inlineStr">
        <is>
          <t>F</t>
        </is>
      </c>
      <c r="D1540" s="2" t="inlineStr">
        <is>
          <t>100.0</t>
        </is>
      </c>
      <c r="E1540" s="4">
        <f>HYPERLINK("./Results/DLO\33\Osteo_Sarco_1.png","RPT")</f>
        <v/>
      </c>
      <c r="F1540" s="2" t="n">
        <v>95</v>
      </c>
      <c r="G1540" s="6" t="n">
        <v>12</v>
      </c>
      <c r="I1540" s="0" t="n"/>
      <c r="J1540" s="0" t="n"/>
      <c r="K1540" s="0" t="n"/>
      <c r="L1540" t="inlineStr">
        <is>
          <t>Revolution CT</t>
        </is>
      </c>
      <c r="M1540" t="inlineStr">
        <is>
          <t>HVP 3mm-pacs(60kg/120cc/3cc/r...</t>
        </is>
      </c>
    </row>
    <row r="1541">
      <c r="A1541" s="2" t="n">
        <v>3710949</v>
      </c>
      <c r="B1541" s="2" t="inlineStr">
        <is>
          <t>66</t>
        </is>
      </c>
      <c r="C1541" s="2" t="inlineStr">
        <is>
          <t>M</t>
        </is>
      </c>
      <c r="D1541" s="2" t="inlineStr">
        <is>
          <t>100.0</t>
        </is>
      </c>
      <c r="E1541" s="4">
        <f>HYPERLINK("./Results/DLO\330\Osteo_Sarco_1.png","RPT")</f>
        <v/>
      </c>
      <c r="F1541" s="2" t="n">
        <v>164</v>
      </c>
      <c r="G1541" s="6" t="n">
        <v>7</v>
      </c>
      <c r="I1541" s="0" t="n"/>
      <c r="J1541" s="0" t="n"/>
      <c r="K1541" s="0" t="n"/>
      <c r="L1541" t="inlineStr">
        <is>
          <t>SOMATOM Definition...</t>
        </is>
      </c>
      <c r="M1541" t="inlineStr">
        <is>
          <t>HVP 2 3mm (74kg/148cc/3cc/omni)</t>
        </is>
      </c>
    </row>
    <row r="1542">
      <c r="A1542" s="2" t="n">
        <v>2928884</v>
      </c>
      <c r="B1542" s="2" t="inlineStr">
        <is>
          <t>77</t>
        </is>
      </c>
      <c r="C1542" s="2" t="inlineStr">
        <is>
          <t>F</t>
        </is>
      </c>
      <c r="D1542" s="2" t="inlineStr">
        <is>
          <t>100.0</t>
        </is>
      </c>
      <c r="E1542" s="4">
        <f>HYPERLINK("./Results/DLO\331\Osteo_Sarco_1.png","RPT")</f>
        <v/>
      </c>
      <c r="F1542" s="2" t="n">
        <v>105</v>
      </c>
      <c r="G1542" s="6" t="n">
        <v>10</v>
      </c>
      <c r="I1542" s="0" t="n"/>
      <c r="J1542" s="0" t="n"/>
      <c r="K1542" s="0" t="n"/>
      <c r="L1542" t="inlineStr">
        <is>
          <t>Revolution EVO</t>
        </is>
      </c>
      <c r="M1542" t="inlineStr">
        <is>
          <t>PRE</t>
        </is>
      </c>
    </row>
    <row r="1543">
      <c r="A1543" s="2" t="n">
        <v>3536797</v>
      </c>
      <c r="B1543" s="2" t="inlineStr">
        <is>
          <t>68</t>
        </is>
      </c>
      <c r="C1543" s="2" t="inlineStr">
        <is>
          <t>F</t>
        </is>
      </c>
      <c r="D1543" s="2" t="inlineStr">
        <is>
          <t>100.0</t>
        </is>
      </c>
      <c r="E1543" s="4">
        <f>HYPERLINK("./Results/DLO\333\Osteo_Sarco_1.png","RPT")</f>
        <v/>
      </c>
      <c r="F1543" s="2" t="n">
        <v>90</v>
      </c>
      <c r="G1543" s="6" t="n">
        <v>11</v>
      </c>
      <c r="I1543" s="0" t="n"/>
      <c r="J1543" s="0" t="n"/>
      <c r="K1543" s="0" t="n"/>
      <c r="L1543" t="inlineStr">
        <is>
          <t>Revolution CT</t>
        </is>
      </c>
      <c r="M1543" t="inlineStr">
        <is>
          <t>LAP 3mm(57kg/114cc/3.0cc/radi)</t>
        </is>
      </c>
    </row>
    <row r="1544">
      <c r="A1544" s="2" t="n">
        <v>2305829</v>
      </c>
      <c r="B1544" s="2" t="inlineStr">
        <is>
          <t>95</t>
        </is>
      </c>
      <c r="C1544" s="2" t="inlineStr">
        <is>
          <t>M</t>
        </is>
      </c>
      <c r="D1544" s="2" t="inlineStr">
        <is>
          <t>100.0</t>
        </is>
      </c>
      <c r="E1544" s="4">
        <f>HYPERLINK("./Results/DLO\334\Osteo_Sarco_1.png","RPT")</f>
        <v/>
      </c>
      <c r="F1544" s="2" t="n">
        <v>140</v>
      </c>
      <c r="G1544" s="6" t="n">
        <v>28</v>
      </c>
      <c r="I1544" s="0" t="n"/>
      <c r="J1544" s="0" t="n"/>
      <c r="K1544" s="0" t="n"/>
      <c r="L1544" t="inlineStr">
        <is>
          <t>SOMATOM Definition...</t>
        </is>
      </c>
      <c r="M1544" t="inlineStr">
        <is>
          <t>PRE 3mm (100Kvp 100mAs)</t>
        </is>
      </c>
    </row>
    <row r="1545">
      <c r="A1545" s="2" t="n">
        <v>2290765</v>
      </c>
      <c r="B1545" s="2" t="inlineStr">
        <is>
          <t>63</t>
        </is>
      </c>
      <c r="C1545" s="2" t="inlineStr">
        <is>
          <t>F</t>
        </is>
      </c>
      <c r="D1545" s="2" t="inlineStr">
        <is>
          <t>120.0</t>
        </is>
      </c>
      <c r="E1545" s="4">
        <f>HYPERLINK("./Results/DLO\335\Osteo_Sarco_1.png","RPT")</f>
        <v/>
      </c>
      <c r="F1545" s="2" t="n">
        <v>137</v>
      </c>
      <c r="G1545" s="6" t="n">
        <v>11</v>
      </c>
      <c r="H1545" t="n">
        <v>28.84</v>
      </c>
      <c r="L1545" t="inlineStr">
        <is>
          <t>Supria</t>
        </is>
      </c>
      <c r="M1545" t="inlineStr">
        <is>
          <t>N/A</t>
        </is>
      </c>
    </row>
    <row r="1546">
      <c r="A1546" s="2" t="n">
        <v>3997826</v>
      </c>
      <c r="B1546" s="2" t="inlineStr">
        <is>
          <t>62</t>
        </is>
      </c>
      <c r="C1546" s="2" t="inlineStr">
        <is>
          <t>M</t>
        </is>
      </c>
      <c r="D1546" s="2" t="inlineStr">
        <is>
          <t>100.0</t>
        </is>
      </c>
      <c r="E1546" s="4">
        <f>HYPERLINK("./Results/DLO\336\Osteo_Sarco_1.png","RPT")</f>
        <v/>
      </c>
      <c r="F1546" s="2" t="n">
        <v>151</v>
      </c>
      <c r="G1546" s="6" t="n">
        <v>8</v>
      </c>
      <c r="I1546" s="0" t="n"/>
      <c r="J1546" s="0" t="n"/>
      <c r="K1546" s="0" t="n"/>
      <c r="L1546" t="inlineStr">
        <is>
          <t>iCT 256</t>
        </is>
      </c>
      <c r="M1546" t="inlineStr">
        <is>
          <t>HVP 3/3mm, iDose (3)</t>
        </is>
      </c>
    </row>
    <row r="1547">
      <c r="A1547" s="2" t="n">
        <v>3947084</v>
      </c>
      <c r="B1547" s="2" t="inlineStr">
        <is>
          <t>57</t>
        </is>
      </c>
      <c r="C1547" s="2" t="inlineStr">
        <is>
          <t>F</t>
        </is>
      </c>
      <c r="D1547" s="2" t="inlineStr">
        <is>
          <t>100.0</t>
        </is>
      </c>
      <c r="E1547" s="4">
        <f>HYPERLINK("./Results/DLO\337\Osteo_Sarco_1.png","RPT")</f>
        <v/>
      </c>
      <c r="F1547" s="2" t="n">
        <v>96</v>
      </c>
      <c r="G1547" s="6" t="n">
        <v>9</v>
      </c>
      <c r="I1547" s="0" t="n"/>
      <c r="J1547" s="0" t="n"/>
      <c r="K1547" s="0" t="n"/>
      <c r="L1547" t="inlineStr">
        <is>
          <t>Sensation 64</t>
        </is>
      </c>
      <c r="M1547" t="inlineStr">
        <is>
          <t>HVP 3mm (50kg/100cc/3cc/bono)</t>
        </is>
      </c>
    </row>
    <row r="1548">
      <c r="A1548" s="2" t="n">
        <v>2540394</v>
      </c>
      <c r="B1548" s="2" t="inlineStr">
        <is>
          <t>59</t>
        </is>
      </c>
      <c r="C1548" s="2" t="inlineStr">
        <is>
          <t>M</t>
        </is>
      </c>
      <c r="D1548" s="2" t="inlineStr">
        <is>
          <t>100.0</t>
        </is>
      </c>
      <c r="E1548" s="4">
        <f>HYPERLINK("./Results/DLO\338\Osteo_Sarco_1.png","RPT")</f>
        <v/>
      </c>
      <c r="F1548" s="2" t="n">
        <v>143</v>
      </c>
      <c r="G1548" s="6" t="n">
        <v>8</v>
      </c>
      <c r="I1548" s="0" t="n"/>
      <c r="J1548" s="0" t="n"/>
      <c r="K1548" s="0" t="n"/>
      <c r="L1548" t="inlineStr">
        <is>
          <t>SOMATOM Definition...</t>
        </is>
      </c>
      <c r="M1548" t="inlineStr">
        <is>
          <t>HVP 2 3mm (57kg/116cc/3cc/radi)</t>
        </is>
      </c>
    </row>
    <row r="1549">
      <c r="A1549" s="2" t="n">
        <v>2781821</v>
      </c>
      <c r="B1549" s="2" t="inlineStr">
        <is>
          <t>58</t>
        </is>
      </c>
      <c r="C1549" s="2" t="inlineStr">
        <is>
          <t>F</t>
        </is>
      </c>
      <c r="D1549" s="2" t="inlineStr">
        <is>
          <t>100.0</t>
        </is>
      </c>
      <c r="E1549" s="4">
        <f>HYPERLINK("./Results/DLO\339\Osteo_Sarco_1.png","RPT")</f>
        <v/>
      </c>
      <c r="F1549" s="2" t="n">
        <v>113</v>
      </c>
      <c r="G1549" s="6" t="n">
        <v>19</v>
      </c>
      <c r="I1549" s="0" t="n"/>
      <c r="J1549" s="0" t="n"/>
      <c r="K1549" s="0" t="n"/>
      <c r="L1549" t="inlineStr">
        <is>
          <t>LightSpeed VCT</t>
        </is>
      </c>
      <c r="M1549" t="inlineStr">
        <is>
          <t>PRE 3mm</t>
        </is>
      </c>
    </row>
    <row r="1550">
      <c r="A1550" s="2" t="n">
        <v>4966995</v>
      </c>
      <c r="B1550" s="2" t="inlineStr">
        <is>
          <t>70</t>
        </is>
      </c>
      <c r="C1550" s="2" t="inlineStr">
        <is>
          <t>F</t>
        </is>
      </c>
      <c r="D1550" s="2" t="inlineStr">
        <is>
          <t>100.0</t>
        </is>
      </c>
      <c r="E1550" s="4">
        <f>HYPERLINK("./Results/DLO\34\Osteo_Sarco_1.png","RPT")</f>
        <v/>
      </c>
      <c r="F1550" s="2" t="n">
        <v>113</v>
      </c>
      <c r="G1550" s="6" t="n">
        <v>11</v>
      </c>
      <c r="I1550" s="0" t="n"/>
      <c r="J1550" s="0" t="n"/>
      <c r="K1550" s="0" t="n"/>
      <c r="L1550" t="inlineStr">
        <is>
          <t>Revolution EVO</t>
        </is>
      </c>
      <c r="M1550" t="inlineStr">
        <is>
          <t>Abdomen Pre 2.5mm</t>
        </is>
      </c>
    </row>
    <row r="1551">
      <c r="A1551" s="2" t="n">
        <v>2766140</v>
      </c>
      <c r="B1551" s="2" t="inlineStr">
        <is>
          <t>82</t>
        </is>
      </c>
      <c r="C1551" s="2" t="inlineStr">
        <is>
          <t>F</t>
        </is>
      </c>
      <c r="D1551" s="2" t="inlineStr">
        <is>
          <t>100.0</t>
        </is>
      </c>
      <c r="E1551" s="4">
        <f>HYPERLINK("./Results/DLO\340\Osteo_Sarco_1.png","RPT")</f>
        <v/>
      </c>
      <c r="F1551" s="2" t="n">
        <v>97</v>
      </c>
      <c r="G1551" s="6" t="n">
        <v>9</v>
      </c>
      <c r="I1551" s="0" t="n"/>
      <c r="J1551" s="0" t="n"/>
      <c r="K1551" s="0" t="n"/>
      <c r="L1551" t="inlineStr">
        <is>
          <t>SOMATOM Definition...</t>
        </is>
      </c>
      <c r="M1551" t="inlineStr">
        <is>
          <t>HVP 2 3mm(70kg/150cc/3cc/hexol)</t>
        </is>
      </c>
    </row>
    <row r="1552">
      <c r="A1552" s="2" t="n">
        <v>1960354</v>
      </c>
      <c r="B1552" s="2" t="inlineStr">
        <is>
          <t>90</t>
        </is>
      </c>
      <c r="C1552" s="2" t="inlineStr">
        <is>
          <t>F</t>
        </is>
      </c>
      <c r="D1552" s="2" t="inlineStr">
        <is>
          <t>100.0</t>
        </is>
      </c>
      <c r="E1552" s="4">
        <f>HYPERLINK("./Results/DLO\341\Osteo_Sarco_1.png","RPT")</f>
        <v/>
      </c>
      <c r="F1552" s="2" t="n">
        <v>48</v>
      </c>
      <c r="G1552" s="6" t="n">
        <v>6</v>
      </c>
      <c r="I1552" s="0" t="n"/>
      <c r="J1552" s="0" t="n"/>
      <c r="K1552" s="0" t="n"/>
      <c r="L1552" t="inlineStr">
        <is>
          <t>Revolution CT</t>
        </is>
      </c>
      <c r="M1552" t="inlineStr">
        <is>
          <t>Pre Axial 3mm</t>
        </is>
      </c>
    </row>
    <row r="1553">
      <c r="A1553" s="2" t="n">
        <v>4876481</v>
      </c>
      <c r="B1553" s="2" t="inlineStr">
        <is>
          <t>47</t>
        </is>
      </c>
      <c r="C1553" s="2" t="inlineStr">
        <is>
          <t>F</t>
        </is>
      </c>
      <c r="D1553" s="2" t="inlineStr">
        <is>
          <t>100.0</t>
        </is>
      </c>
      <c r="E1553" s="4">
        <f>HYPERLINK("./Results/DLO\342\Osteo_Sarco_1.png","RPT")</f>
        <v/>
      </c>
      <c r="F1553" s="2" t="n">
        <v>107</v>
      </c>
      <c r="G1553" s="6" t="n">
        <v>11</v>
      </c>
      <c r="I1553" s="0" t="n"/>
      <c r="J1553" s="0" t="n"/>
      <c r="K1553" s="0" t="n"/>
      <c r="L1553" t="inlineStr">
        <is>
          <t>Revolution CT</t>
        </is>
      </c>
      <c r="M1553" t="inlineStr">
        <is>
          <t>LAP 3mm(51kg/102cc/2.5cc/hexos)</t>
        </is>
      </c>
    </row>
    <row r="1554">
      <c r="A1554" s="2" t="n">
        <v>3003871</v>
      </c>
      <c r="B1554" s="2" t="inlineStr">
        <is>
          <t>78</t>
        </is>
      </c>
      <c r="C1554" s="2" t="inlineStr">
        <is>
          <t>M</t>
        </is>
      </c>
      <c r="D1554" s="2" t="inlineStr">
        <is>
          <t>100.0</t>
        </is>
      </c>
      <c r="E1554" s="4">
        <f>HYPERLINK("./Results/DLO\343\Osteo_Sarco_1.png","RPT")</f>
        <v/>
      </c>
      <c r="F1554" s="2" t="n">
        <v>109</v>
      </c>
      <c r="G1554" s="6" t="n">
        <v>16</v>
      </c>
      <c r="I1554" s="0" t="n"/>
      <c r="J1554" s="0" t="n"/>
      <c r="K1554" s="0" t="n"/>
      <c r="L1554" t="inlineStr">
        <is>
          <t>Revolution EVO</t>
        </is>
      </c>
      <c r="M1554" t="inlineStr">
        <is>
          <t>PRE</t>
        </is>
      </c>
    </row>
    <row r="1555">
      <c r="A1555" s="2" t="n">
        <v>3476714</v>
      </c>
      <c r="B1555" s="2" t="inlineStr">
        <is>
          <t>64</t>
        </is>
      </c>
      <c r="C1555" s="2" t="inlineStr">
        <is>
          <t>F</t>
        </is>
      </c>
      <c r="D1555" s="2" t="inlineStr">
        <is>
          <t>100.0</t>
        </is>
      </c>
      <c r="E1555" s="4">
        <f>HYPERLINK("./Results/DLO\344\Osteo_Sarco_1.png","RPT")</f>
        <v/>
      </c>
      <c r="F1555" s="2" t="n">
        <v>93</v>
      </c>
      <c r="G1555" s="6" t="n">
        <v>11</v>
      </c>
      <c r="I1555" s="0" t="n"/>
      <c r="J1555" s="0" t="n"/>
      <c r="K1555" s="0" t="n"/>
      <c r="L1555" t="inlineStr">
        <is>
          <t>LightSpeed VCT</t>
        </is>
      </c>
      <c r="M1555" t="inlineStr">
        <is>
          <t>PRE 2,5mm</t>
        </is>
      </c>
    </row>
    <row r="1556">
      <c r="A1556" s="2" t="n">
        <v>2643875</v>
      </c>
      <c r="B1556" s="2" t="inlineStr">
        <is>
          <t>63</t>
        </is>
      </c>
      <c r="C1556" s="2" t="inlineStr">
        <is>
          <t>M</t>
        </is>
      </c>
      <c r="D1556" s="2" t="inlineStr">
        <is>
          <t>100.0</t>
        </is>
      </c>
      <c r="E1556" s="4">
        <f>HYPERLINK("./Results/DLO\345\Osteo_Sarco_1.png","RPT")</f>
        <v/>
      </c>
      <c r="F1556" s="2" t="n">
        <v>141</v>
      </c>
      <c r="G1556" s="6" t="n">
        <v>2</v>
      </c>
      <c r="I1556" s="0" t="n"/>
      <c r="J1556" s="0" t="n"/>
      <c r="K1556" s="0" t="n"/>
      <c r="L1556" t="inlineStr">
        <is>
          <t>SOMATOM Definition...</t>
        </is>
      </c>
      <c r="M1556" t="inlineStr">
        <is>
          <t>LAP 3/3mm(60kg/120cc/3cc/hexol)</t>
        </is>
      </c>
    </row>
    <row r="1557">
      <c r="A1557" s="2" t="n">
        <v>2407719</v>
      </c>
      <c r="B1557" s="2" t="inlineStr">
        <is>
          <t>67</t>
        </is>
      </c>
      <c r="C1557" s="2" t="inlineStr">
        <is>
          <t>M</t>
        </is>
      </c>
      <c r="D1557" s="2" t="inlineStr">
        <is>
          <t>100.0</t>
        </is>
      </c>
      <c r="E1557" s="4">
        <f>HYPERLINK("./Results/DLO\347\Osteo_Sarco_1.png","RPT")</f>
        <v/>
      </c>
      <c r="F1557" s="2" t="n">
        <v>115</v>
      </c>
      <c r="G1557" s="6" t="n">
        <v>5</v>
      </c>
      <c r="I1557" s="0" t="n"/>
      <c r="J1557" s="0" t="n"/>
      <c r="K1557" s="0" t="n"/>
      <c r="L1557" t="inlineStr">
        <is>
          <t>SOMATOM Force</t>
        </is>
      </c>
      <c r="M1557" t="inlineStr">
        <is>
          <t>HVP 3.0 Br40 2 (55kg/110cc...</t>
        </is>
      </c>
    </row>
    <row r="1558">
      <c r="A1558" s="2" t="n">
        <v>3975893</v>
      </c>
      <c r="B1558" s="2" t="inlineStr">
        <is>
          <t>74</t>
        </is>
      </c>
      <c r="C1558" s="2" t="inlineStr">
        <is>
          <t>F</t>
        </is>
      </c>
      <c r="D1558" s="2" t="inlineStr">
        <is>
          <t>100.0</t>
        </is>
      </c>
      <c r="E1558" s="4">
        <f>HYPERLINK("./Results/DLO\349\Osteo_Sarco_1.png","RPT")</f>
        <v/>
      </c>
      <c r="F1558" s="2" t="n">
        <v>82</v>
      </c>
      <c r="G1558" s="6" t="n">
        <v>10</v>
      </c>
      <c r="H1558" t="n">
        <v>22.89</v>
      </c>
      <c r="L1558" t="inlineStr">
        <is>
          <t>SOMATOM Force</t>
        </is>
      </c>
      <c r="M1558" t="inlineStr">
        <is>
          <t>HVP 3.0 Br40 2 (56kg/112cc...</t>
        </is>
      </c>
    </row>
    <row r="1559">
      <c r="A1559" s="2" t="n">
        <v>1703349</v>
      </c>
      <c r="B1559" s="2" t="inlineStr">
        <is>
          <t>62</t>
        </is>
      </c>
      <c r="C1559" s="2" t="inlineStr">
        <is>
          <t>F</t>
        </is>
      </c>
      <c r="D1559" s="2" t="inlineStr">
        <is>
          <t>100.0</t>
        </is>
      </c>
      <c r="E1559" s="4">
        <f>HYPERLINK("./Results/DLO\35\Osteo_Sarco_1.png","RPT")</f>
        <v/>
      </c>
      <c r="F1559" s="2" t="n">
        <v>95</v>
      </c>
      <c r="G1559" s="6" t="n">
        <v>10</v>
      </c>
      <c r="I1559" s="0" t="n"/>
      <c r="J1559" s="0" t="n"/>
      <c r="K1559" s="0" t="n"/>
      <c r="L1559" t="inlineStr">
        <is>
          <t>LightSpeed VCT</t>
        </is>
      </c>
      <c r="M1559" t="inlineStr">
        <is>
          <t>PRE</t>
        </is>
      </c>
    </row>
    <row r="1560">
      <c r="A1560" s="2" t="n">
        <v>2151485</v>
      </c>
      <c r="B1560" s="2" t="inlineStr">
        <is>
          <t>66</t>
        </is>
      </c>
      <c r="C1560" s="2" t="inlineStr">
        <is>
          <t>M</t>
        </is>
      </c>
      <c r="D1560" s="2" t="inlineStr">
        <is>
          <t>100.0</t>
        </is>
      </c>
      <c r="E1560" s="4">
        <f>HYPERLINK("./Results/DLO\350\Osteo_Sarco_1.png","RPT")</f>
        <v/>
      </c>
      <c r="F1560" s="2" t="n">
        <v>152</v>
      </c>
      <c r="G1560" s="6" t="n">
        <v>7</v>
      </c>
      <c r="H1560" t="n">
        <v>23.18</v>
      </c>
      <c r="L1560" t="inlineStr">
        <is>
          <t>Revolution CT</t>
        </is>
      </c>
      <c r="M1560" t="inlineStr">
        <is>
          <t>LAP 3mm(60kg/120cc/3.0cc/radi...</t>
        </is>
      </c>
    </row>
    <row r="1561">
      <c r="A1561" s="2" t="n">
        <v>2985810</v>
      </c>
      <c r="B1561" s="2" t="inlineStr">
        <is>
          <t>63</t>
        </is>
      </c>
      <c r="C1561" s="2" t="inlineStr">
        <is>
          <t>M</t>
        </is>
      </c>
      <c r="D1561" s="2" t="inlineStr">
        <is>
          <t>100.0</t>
        </is>
      </c>
      <c r="E1561" s="4">
        <f>HYPERLINK("./Results/DLO\351\Osteo_Sarco_1.png","RPT")</f>
        <v/>
      </c>
      <c r="F1561" s="2" t="n">
        <v>174</v>
      </c>
      <c r="G1561" s="6" t="n">
        <v>15</v>
      </c>
      <c r="H1561" t="n">
        <v>27.25</v>
      </c>
      <c r="L1561" t="inlineStr">
        <is>
          <t>LightSpeed VCT</t>
        </is>
      </c>
      <c r="M1561" t="inlineStr">
        <is>
          <t>PRE 3mm</t>
        </is>
      </c>
    </row>
    <row r="1562">
      <c r="A1562" s="2" t="n">
        <v>2050439</v>
      </c>
      <c r="B1562" s="2" t="inlineStr">
        <is>
          <t>57</t>
        </is>
      </c>
      <c r="C1562" s="2" t="inlineStr">
        <is>
          <t>M</t>
        </is>
      </c>
      <c r="D1562" s="2" t="inlineStr">
        <is>
          <t>100.0</t>
        </is>
      </c>
      <c r="E1562" s="4">
        <f>HYPERLINK("./Results/DLO\352\Osteo_Sarco_1.png","RPT")</f>
        <v/>
      </c>
      <c r="F1562" s="2" t="n">
        <v>166</v>
      </c>
      <c r="G1562" s="6" t="n">
        <v>14</v>
      </c>
      <c r="H1562" t="n">
        <v>29.39</v>
      </c>
      <c r="L1562" t="inlineStr">
        <is>
          <t>Discovery CT750 HD</t>
        </is>
      </c>
      <c r="M1562" t="inlineStr">
        <is>
          <t>pre 3mm</t>
        </is>
      </c>
    </row>
    <row r="1563">
      <c r="A1563" s="2" t="n">
        <v>3564186</v>
      </c>
      <c r="B1563" s="2" t="inlineStr">
        <is>
          <t>82</t>
        </is>
      </c>
      <c r="C1563" s="2" t="inlineStr">
        <is>
          <t>F</t>
        </is>
      </c>
      <c r="D1563" s="2" t="inlineStr">
        <is>
          <t>100.0</t>
        </is>
      </c>
      <c r="E1563" s="4">
        <f>HYPERLINK("./Results/DLO\353\Osteo_Sarco_1.png","RPT")</f>
        <v/>
      </c>
      <c r="F1563" s="2" t="n">
        <v>103</v>
      </c>
      <c r="G1563" s="6" t="n">
        <v>12</v>
      </c>
      <c r="H1563" t="n">
        <v>20.89</v>
      </c>
      <c r="L1563" t="inlineStr">
        <is>
          <t>SOMATOM Definition...</t>
        </is>
      </c>
      <c r="M1563" t="inlineStr">
        <is>
          <t>HVP 2 3mm(52kg/104cc/3.0cc/nh...</t>
        </is>
      </c>
    </row>
    <row r="1564">
      <c r="A1564" s="2" t="n">
        <v>2901183</v>
      </c>
      <c r="B1564" s="2" t="inlineStr">
        <is>
          <t>60</t>
        </is>
      </c>
      <c r="C1564" s="2" t="inlineStr">
        <is>
          <t>F</t>
        </is>
      </c>
      <c r="D1564" s="2" t="inlineStr">
        <is>
          <t>100.0</t>
        </is>
      </c>
      <c r="E1564" s="4">
        <f>HYPERLINK("./Results/DLO\354\Osteo_Sarco_1.png","RPT")</f>
        <v/>
      </c>
      <c r="F1564" s="2" t="n">
        <v>113</v>
      </c>
      <c r="G1564" s="6" t="n">
        <v>7</v>
      </c>
      <c r="I1564" s="0" t="n"/>
      <c r="J1564" s="0" t="n"/>
      <c r="K1564" s="0" t="n"/>
      <c r="L1564" t="inlineStr">
        <is>
          <t>SOMATOM Definition...</t>
        </is>
      </c>
      <c r="M1564" t="inlineStr">
        <is>
          <t>HVP 2 3mm(64kg/128ml/3ml/Om...</t>
        </is>
      </c>
    </row>
    <row r="1565">
      <c r="A1565" s="2" t="n">
        <v>2799827</v>
      </c>
      <c r="B1565" s="2" t="inlineStr">
        <is>
          <t>64</t>
        </is>
      </c>
      <c r="C1565" s="2" t="inlineStr">
        <is>
          <t>M</t>
        </is>
      </c>
      <c r="D1565" s="2" t="inlineStr">
        <is>
          <t>100.0</t>
        </is>
      </c>
      <c r="E1565" s="4">
        <f>HYPERLINK("./Results/DLO\355\Osteo_Sarco_1.png","RPT")</f>
        <v/>
      </c>
      <c r="F1565" s="2" t="n">
        <v>134</v>
      </c>
      <c r="G1565" s="6" t="n">
        <v>6</v>
      </c>
      <c r="H1565" t="n">
        <v>26.86</v>
      </c>
      <c r="L1565" t="inlineStr">
        <is>
          <t>SOMATOM Force</t>
        </is>
      </c>
      <c r="M1565" t="inlineStr">
        <is>
          <t>HVP 3.0 Br40 2 (70kg/140cc...</t>
        </is>
      </c>
    </row>
    <row r="1566">
      <c r="A1566" s="2" t="n">
        <v>2531887</v>
      </c>
      <c r="B1566" s="2" t="inlineStr">
        <is>
          <t>52</t>
        </is>
      </c>
      <c r="C1566" s="2" t="inlineStr">
        <is>
          <t>F</t>
        </is>
      </c>
      <c r="D1566" s="2" t="inlineStr">
        <is>
          <t>120.0</t>
        </is>
      </c>
      <c r="E1566" s="4">
        <f>HYPERLINK("./Results/DLO\356\Osteo_Sarco_1.png","RPT")</f>
        <v/>
      </c>
      <c r="F1566" s="2" t="n">
        <v>123</v>
      </c>
      <c r="G1566" s="6" t="n">
        <v>7</v>
      </c>
      <c r="I1566" s="0" t="n"/>
      <c r="J1566" s="0" t="n"/>
      <c r="K1566" s="0" t="n"/>
      <c r="L1566" t="inlineStr">
        <is>
          <t>Sensation 64</t>
        </is>
      </c>
      <c r="M1566" t="inlineStr">
        <is>
          <t>PRE 5.0 B31F</t>
        </is>
      </c>
    </row>
    <row r="1567">
      <c r="A1567" s="2" t="n">
        <v>4706976</v>
      </c>
      <c r="B1567" s="2" t="inlineStr">
        <is>
          <t>34</t>
        </is>
      </c>
      <c r="C1567" s="2" t="inlineStr">
        <is>
          <t>F</t>
        </is>
      </c>
      <c r="D1567" s="2" t="inlineStr">
        <is>
          <t>100.0</t>
        </is>
      </c>
      <c r="E1567" s="4">
        <f>HYPERLINK("./Results/DLO\357\Osteo_Sarco_1.png","RPT")</f>
        <v/>
      </c>
      <c r="F1567" s="2" t="n">
        <v>87</v>
      </c>
      <c r="G1567" s="6" t="n">
        <v>7</v>
      </c>
      <c r="I1567" s="0" t="n"/>
      <c r="J1567" s="0" t="n"/>
      <c r="K1567" s="0" t="n"/>
      <c r="L1567" t="inlineStr">
        <is>
          <t>LightSpeed VCT</t>
        </is>
      </c>
      <c r="M1567" t="inlineStr">
        <is>
          <t>PRE 3mm</t>
        </is>
      </c>
    </row>
    <row r="1568">
      <c r="A1568" s="2" t="n">
        <v>4207701</v>
      </c>
      <c r="B1568" s="2" t="inlineStr">
        <is>
          <t>67</t>
        </is>
      </c>
      <c r="C1568" s="2" t="inlineStr">
        <is>
          <t>M</t>
        </is>
      </c>
      <c r="D1568" s="2" t="inlineStr">
        <is>
          <t>100.0</t>
        </is>
      </c>
      <c r="E1568" s="4">
        <f>HYPERLINK("./Results/DLO\358\Osteo_Sarco_1.png","RPT")</f>
        <v/>
      </c>
      <c r="F1568" s="2" t="n">
        <v>132</v>
      </c>
      <c r="G1568" s="6" t="n">
        <v>24</v>
      </c>
      <c r="I1568" s="0" t="n"/>
      <c r="J1568" s="0" t="n"/>
      <c r="K1568" s="0" t="n"/>
      <c r="L1568" t="inlineStr">
        <is>
          <t>iCT 256</t>
        </is>
      </c>
      <c r="M1568" t="inlineStr">
        <is>
          <t>Pre3/3mm(100/100, iDose (3)</t>
        </is>
      </c>
    </row>
    <row r="1569">
      <c r="A1569" s="2" t="n">
        <v>3637202</v>
      </c>
      <c r="B1569" s="2" t="inlineStr">
        <is>
          <t>62</t>
        </is>
      </c>
      <c r="C1569" s="2" t="inlineStr">
        <is>
          <t>M</t>
        </is>
      </c>
      <c r="D1569" s="2" t="inlineStr">
        <is>
          <t>120.0</t>
        </is>
      </c>
      <c r="E1569" s="4">
        <f>HYPERLINK("./Results/DLO\359\Osteo_Sarco_1.png","RPT")</f>
        <v/>
      </c>
      <c r="F1569" s="2" t="n">
        <v>163</v>
      </c>
      <c r="G1569" s="6" t="n">
        <v>8</v>
      </c>
      <c r="I1569" s="0" t="n"/>
      <c r="J1569" s="0" t="n"/>
      <c r="K1569" s="0" t="n"/>
      <c r="L1569" t="inlineStr">
        <is>
          <t>LightSpeed VCT</t>
        </is>
      </c>
      <c r="M1569" t="inlineStr">
        <is>
          <t>HVP 55sec 3mm</t>
        </is>
      </c>
    </row>
    <row r="1570">
      <c r="A1570" s="2" t="n">
        <v>2473496</v>
      </c>
      <c r="B1570" s="2" t="inlineStr">
        <is>
          <t>69</t>
        </is>
      </c>
      <c r="C1570" s="2" t="inlineStr">
        <is>
          <t>F</t>
        </is>
      </c>
      <c r="D1570" s="2" t="inlineStr">
        <is>
          <t>100.0</t>
        </is>
      </c>
      <c r="E1570" s="4">
        <f>HYPERLINK("./Results/DLO\36\Osteo_Sarco_1.png","RPT")</f>
        <v/>
      </c>
      <c r="F1570" s="2" t="n">
        <v>103</v>
      </c>
      <c r="G1570" s="6" t="n">
        <v>23</v>
      </c>
      <c r="H1570" t="n">
        <v>26.24</v>
      </c>
      <c r="L1570" t="inlineStr">
        <is>
          <t>Discovery CT750 HD</t>
        </is>
      </c>
      <c r="M1570" t="inlineStr">
        <is>
          <t>pre 3mm</t>
        </is>
      </c>
    </row>
    <row r="1571">
      <c r="A1571" s="2" t="n">
        <v>2962213</v>
      </c>
      <c r="B1571" s="2" t="inlineStr">
        <is>
          <t>63</t>
        </is>
      </c>
      <c r="C1571" s="2" t="inlineStr">
        <is>
          <t>F</t>
        </is>
      </c>
      <c r="D1571" s="2" t="inlineStr">
        <is>
          <t>120.0</t>
        </is>
      </c>
      <c r="E1571" s="4">
        <f>HYPERLINK("./Results/DLO\360\Osteo_Sarco_1.png","RPT")</f>
        <v/>
      </c>
      <c r="F1571" s="2" t="n">
        <v>108</v>
      </c>
      <c r="G1571" s="6" t="n">
        <v>11</v>
      </c>
      <c r="H1571" t="n">
        <v>20.03</v>
      </c>
      <c r="L1571" t="inlineStr">
        <is>
          <t>LightSpeed VCT</t>
        </is>
      </c>
      <c r="M1571" t="inlineStr">
        <is>
          <t>HVP 55sec 3mm</t>
        </is>
      </c>
    </row>
    <row r="1572">
      <c r="A1572" s="2" t="n">
        <v>4971093</v>
      </c>
      <c r="B1572" s="2" t="inlineStr">
        <is>
          <t>57</t>
        </is>
      </c>
      <c r="C1572" s="2" t="inlineStr">
        <is>
          <t>M</t>
        </is>
      </c>
      <c r="D1572" s="2" t="inlineStr">
        <is>
          <t>100.0</t>
        </is>
      </c>
      <c r="E1572" s="4">
        <f>HYPERLINK("./Results/DLO\361\Osteo_Sarco_1.png","RPT")</f>
        <v/>
      </c>
      <c r="F1572" s="2" t="n">
        <v>171</v>
      </c>
      <c r="G1572" s="6" t="n">
        <v>9</v>
      </c>
      <c r="I1572" s="0" t="n"/>
      <c r="J1572" s="0" t="n"/>
      <c r="K1572" s="0" t="n"/>
      <c r="L1572" t="inlineStr">
        <is>
          <t>SOMATOM Definition...</t>
        </is>
      </c>
      <c r="M1572" t="inlineStr">
        <is>
          <t>Pre 3mm</t>
        </is>
      </c>
    </row>
    <row r="1573">
      <c r="A1573" s="2" t="n">
        <v>4593369</v>
      </c>
      <c r="B1573" s="2" t="inlineStr">
        <is>
          <t>67</t>
        </is>
      </c>
      <c r="C1573" s="2" t="inlineStr">
        <is>
          <t>F</t>
        </is>
      </c>
      <c r="D1573" s="2" t="inlineStr">
        <is>
          <t>100.0</t>
        </is>
      </c>
      <c r="E1573" s="4">
        <f>HYPERLINK("./Results/DLO\362\Osteo_Sarco_1.png","RPT")</f>
        <v/>
      </c>
      <c r="F1573" s="2" t="n">
        <v>104</v>
      </c>
      <c r="G1573" s="6" t="n">
        <v>7</v>
      </c>
      <c r="I1573" s="0" t="n"/>
      <c r="J1573" s="0" t="n"/>
      <c r="K1573" s="0" t="n"/>
      <c r="L1573" t="inlineStr">
        <is>
          <t>Revolution CT</t>
        </is>
      </c>
      <c r="M1573" t="inlineStr">
        <is>
          <t>Pre 3mm</t>
        </is>
      </c>
    </row>
    <row r="1574">
      <c r="A1574" s="2" t="n">
        <v>2726674</v>
      </c>
      <c r="B1574" s="2" t="inlineStr">
        <is>
          <t>54</t>
        </is>
      </c>
      <c r="C1574" s="2" t="inlineStr">
        <is>
          <t>F</t>
        </is>
      </c>
      <c r="D1574" s="2" t="inlineStr">
        <is>
          <t>120.0</t>
        </is>
      </c>
      <c r="E1574" s="4">
        <f>HYPERLINK("./Results/DLO\363\Osteo_Sarco_1.png","RPT")</f>
        <v/>
      </c>
      <c r="F1574" s="2" t="n">
        <v>126</v>
      </c>
      <c r="G1574" s="6" t="n">
        <v>11</v>
      </c>
      <c r="I1574" s="0" t="n"/>
      <c r="J1574" s="0" t="n"/>
      <c r="K1574" s="0" t="n"/>
      <c r="L1574" t="inlineStr">
        <is>
          <t>Sensation 64</t>
        </is>
      </c>
      <c r="M1574" t="inlineStr">
        <is>
          <t>Pre (Abd) 3mm</t>
        </is>
      </c>
    </row>
    <row r="1575">
      <c r="A1575" s="2" t="n">
        <v>4716184</v>
      </c>
      <c r="B1575" s="2" t="inlineStr">
        <is>
          <t>60</t>
        </is>
      </c>
      <c r="C1575" s="2" t="inlineStr">
        <is>
          <t>M</t>
        </is>
      </c>
      <c r="D1575" s="2" t="inlineStr">
        <is>
          <t>100.0</t>
        </is>
      </c>
      <c r="E1575" s="4">
        <f>HYPERLINK("./Results/DLO\364\Osteo_Sarco_1.png","RPT")</f>
        <v/>
      </c>
      <c r="F1575" s="2" t="n">
        <v>121</v>
      </c>
      <c r="G1575" s="6" t="n">
        <v>11</v>
      </c>
      <c r="I1575" s="0" t="n"/>
      <c r="J1575" s="0" t="n"/>
      <c r="K1575" s="0" t="n"/>
      <c r="L1575" t="inlineStr">
        <is>
          <t>SOMATOM Force</t>
        </is>
      </c>
      <c r="M1575" t="inlineStr">
        <is>
          <t>100kVp100mAs 3.0 Br32</t>
        </is>
      </c>
    </row>
    <row r="1576">
      <c r="A1576" s="2" t="n">
        <v>3705677</v>
      </c>
      <c r="B1576" s="2" t="inlineStr">
        <is>
          <t>73</t>
        </is>
      </c>
      <c r="C1576" s="2" t="inlineStr">
        <is>
          <t>F</t>
        </is>
      </c>
      <c r="D1576" s="2" t="inlineStr">
        <is>
          <t>100.0</t>
        </is>
      </c>
      <c r="E1576" s="4">
        <f>HYPERLINK("./Results/DLO\365\Osteo_Sarco_1.png","RPT")</f>
        <v/>
      </c>
      <c r="F1576" s="2" t="n">
        <v>102</v>
      </c>
      <c r="G1576" s="6" t="n">
        <v>14</v>
      </c>
      <c r="H1576" t="n">
        <v>30.9</v>
      </c>
      <c r="L1576" t="inlineStr">
        <is>
          <t>iCT 256</t>
        </is>
      </c>
      <c r="M1576" t="inlineStr">
        <is>
          <t>LAP 3/3mm, iDose (3)</t>
        </is>
      </c>
    </row>
    <row r="1577">
      <c r="A1577" s="2" t="n">
        <v>3366288</v>
      </c>
      <c r="B1577" s="2" t="inlineStr">
        <is>
          <t>90</t>
        </is>
      </c>
      <c r="C1577" s="2" t="inlineStr">
        <is>
          <t>M</t>
        </is>
      </c>
      <c r="D1577" s="2" t="inlineStr">
        <is>
          <t>100.0</t>
        </is>
      </c>
      <c r="E1577" s="4">
        <f>HYPERLINK("./Results/DLO\366\Osteo_Sarco_1.png","RPT")</f>
        <v/>
      </c>
      <c r="F1577" s="2" t="n">
        <v>119</v>
      </c>
      <c r="G1577" s="6" t="n">
        <v>18</v>
      </c>
      <c r="H1577" t="n">
        <v>26.44</v>
      </c>
      <c r="L1577" t="inlineStr">
        <is>
          <t>Revolution EVO</t>
        </is>
      </c>
      <c r="M1577" t="inlineStr">
        <is>
          <t>AX 3mm</t>
        </is>
      </c>
    </row>
    <row r="1578">
      <c r="A1578" s="2" t="n">
        <v>2994844</v>
      </c>
      <c r="B1578" s="2" t="inlineStr">
        <is>
          <t>59</t>
        </is>
      </c>
      <c r="C1578" s="2" t="inlineStr">
        <is>
          <t>F</t>
        </is>
      </c>
      <c r="D1578" s="2" t="inlineStr">
        <is>
          <t>100.0</t>
        </is>
      </c>
      <c r="E1578" s="4">
        <f>HYPERLINK("./Results/DLO\367\Osteo_Sarco_1.png","RPT")</f>
        <v/>
      </c>
      <c r="F1578" s="2" t="n">
        <v>104</v>
      </c>
      <c r="G1578" s="6" t="n">
        <v>21</v>
      </c>
      <c r="I1578" s="0" t="n"/>
      <c r="J1578" s="0" t="n"/>
      <c r="K1578" s="0" t="n"/>
      <c r="L1578" t="inlineStr">
        <is>
          <t>iCT 256</t>
        </is>
      </c>
      <c r="M1578" t="inlineStr">
        <is>
          <t>Pre3/3mm_I-3, iDose (3)</t>
        </is>
      </c>
    </row>
    <row r="1579">
      <c r="A1579" s="2" t="n">
        <v>3748553</v>
      </c>
      <c r="B1579" s="2" t="inlineStr">
        <is>
          <t>73</t>
        </is>
      </c>
      <c r="C1579" s="2" t="inlineStr">
        <is>
          <t>F</t>
        </is>
      </c>
      <c r="D1579" s="2" t="inlineStr">
        <is>
          <t>100.0</t>
        </is>
      </c>
      <c r="E1579" s="4">
        <f>HYPERLINK("./Results/DLO\368\Osteo_Sarco_1.png","RPT")</f>
        <v/>
      </c>
      <c r="F1579" s="2" t="n">
        <v>38</v>
      </c>
      <c r="G1579" s="6" t="n">
        <v>5</v>
      </c>
      <c r="I1579" s="0" t="n"/>
      <c r="J1579" s="0" t="n"/>
      <c r="K1579" s="0" t="n"/>
      <c r="L1579" t="inlineStr">
        <is>
          <t>Revolution EVO</t>
        </is>
      </c>
      <c r="M1579" t="inlineStr">
        <is>
          <t>PRE</t>
        </is>
      </c>
    </row>
    <row r="1580">
      <c r="A1580" s="2" t="n">
        <v>1716962</v>
      </c>
      <c r="B1580" s="2" t="inlineStr">
        <is>
          <t>72</t>
        </is>
      </c>
      <c r="C1580" s="2" t="inlineStr">
        <is>
          <t>M</t>
        </is>
      </c>
      <c r="D1580" s="2" t="inlineStr">
        <is>
          <t>100.0</t>
        </is>
      </c>
      <c r="E1580" s="4">
        <f>HYPERLINK("./Results/DLO\369\Osteo_Sarco_1.png","RPT")</f>
        <v/>
      </c>
      <c r="F1580" s="2" t="n">
        <v>111</v>
      </c>
      <c r="G1580" s="6" t="n">
        <v>4</v>
      </c>
      <c r="I1580" s="0" t="n"/>
      <c r="J1580" s="0" t="n"/>
      <c r="K1580" s="0" t="n"/>
      <c r="L1580" t="inlineStr">
        <is>
          <t>Revolution EVO</t>
        </is>
      </c>
      <c r="M1580" t="inlineStr">
        <is>
          <t>Pre 2.5mm</t>
        </is>
      </c>
    </row>
    <row r="1581">
      <c r="A1581" s="2" t="n">
        <v>3828752</v>
      </c>
      <c r="B1581" s="2" t="inlineStr">
        <is>
          <t>59</t>
        </is>
      </c>
      <c r="C1581" s="2" t="inlineStr">
        <is>
          <t>M</t>
        </is>
      </c>
      <c r="D1581" s="2" t="inlineStr">
        <is>
          <t>120.0</t>
        </is>
      </c>
      <c r="E1581" s="4">
        <f>HYPERLINK("./Results/DLO\37\Osteo_Sarco_1.png","RPT")</f>
        <v/>
      </c>
      <c r="F1581" s="2" t="n">
        <v>199</v>
      </c>
      <c r="G1581" s="6" t="n">
        <v>10</v>
      </c>
      <c r="I1581" s="0" t="n"/>
      <c r="J1581" s="0" t="n"/>
      <c r="K1581" s="0" t="n"/>
      <c r="L1581" t="inlineStr">
        <is>
          <t>Brilliance 64</t>
        </is>
      </c>
      <c r="M1581" t="inlineStr">
        <is>
          <t>Pelvis</t>
        </is>
      </c>
    </row>
    <row r="1582">
      <c r="A1582" s="2" t="n">
        <v>3055103</v>
      </c>
      <c r="B1582" s="2" t="inlineStr">
        <is>
          <t>71</t>
        </is>
      </c>
      <c r="C1582" s="2" t="inlineStr">
        <is>
          <t>F</t>
        </is>
      </c>
      <c r="D1582" s="2" t="inlineStr">
        <is>
          <t>100.0</t>
        </is>
      </c>
      <c r="E1582" s="4">
        <f>HYPERLINK("./Results/DLO\370\Osteo_Sarco_1.png","RPT")</f>
        <v/>
      </c>
      <c r="F1582" s="2" t="n">
        <v>85</v>
      </c>
      <c r="G1582" s="6" t="n">
        <v>12</v>
      </c>
      <c r="I1582" s="0" t="n"/>
      <c r="J1582" s="0" t="n"/>
      <c r="K1582" s="0" t="n"/>
      <c r="L1582" t="inlineStr">
        <is>
          <t>LightSpeed VCT</t>
        </is>
      </c>
      <c r="M1582" t="inlineStr">
        <is>
          <t>PRE 2,5mm</t>
        </is>
      </c>
    </row>
    <row r="1583">
      <c r="A1583" s="2" t="n">
        <v>1706238</v>
      </c>
      <c r="B1583" s="2" t="inlineStr">
        <is>
          <t>54</t>
        </is>
      </c>
      <c r="C1583" s="2" t="inlineStr">
        <is>
          <t>M</t>
        </is>
      </c>
      <c r="D1583" s="2" t="inlineStr">
        <is>
          <t>100.0</t>
        </is>
      </c>
      <c r="E1583" s="4">
        <f>HYPERLINK("./Results/DLO\371\Osteo_Sarco_1.png","RPT")</f>
        <v/>
      </c>
      <c r="F1583" s="2" t="n">
        <v>144</v>
      </c>
      <c r="G1583" s="6" t="n">
        <v>9</v>
      </c>
      <c r="I1583" s="0" t="n"/>
      <c r="J1583" s="0" t="n"/>
      <c r="K1583" s="0" t="n"/>
      <c r="L1583" t="inlineStr">
        <is>
          <t>Revolution CT</t>
        </is>
      </c>
      <c r="M1583" t="inlineStr">
        <is>
          <t>LAP 3mm(78kg/150cc/3.0cc/hexol)</t>
        </is>
      </c>
    </row>
    <row r="1584">
      <c r="A1584" s="2" t="n">
        <v>2470674</v>
      </c>
      <c r="B1584" s="2" t="inlineStr">
        <is>
          <t>71</t>
        </is>
      </c>
      <c r="C1584" s="2" t="inlineStr">
        <is>
          <t>M</t>
        </is>
      </c>
      <c r="D1584" s="2" t="inlineStr">
        <is>
          <t>100.0</t>
        </is>
      </c>
      <c r="E1584" s="4">
        <f>HYPERLINK("./Results/DLO\372\Osteo_Sarco_1.png","RPT")</f>
        <v/>
      </c>
      <c r="F1584" s="2" t="n">
        <v>170</v>
      </c>
      <c r="G1584" s="6" t="n">
        <v>18</v>
      </c>
      <c r="I1584" s="0" t="n"/>
      <c r="J1584" s="0" t="n"/>
      <c r="K1584" s="0" t="n"/>
      <c r="L1584" t="inlineStr">
        <is>
          <t>Revolution CT</t>
        </is>
      </c>
      <c r="M1584" t="inlineStr">
        <is>
          <t>HVP 3mm(90kg/150cc/3cc/xexo)</t>
        </is>
      </c>
    </row>
    <row r="1585">
      <c r="A1585" s="2" t="n">
        <v>4624877</v>
      </c>
      <c r="B1585" s="2" t="inlineStr">
        <is>
          <t>67</t>
        </is>
      </c>
      <c r="C1585" s="2" t="inlineStr">
        <is>
          <t>F</t>
        </is>
      </c>
      <c r="D1585" s="2" t="inlineStr">
        <is>
          <t>100.0</t>
        </is>
      </c>
      <c r="E1585" s="4">
        <f>HYPERLINK("./Results/DLO\373\Osteo_Sarco_1.png","RPT")</f>
        <v/>
      </c>
      <c r="F1585" s="2" t="n">
        <v>93</v>
      </c>
      <c r="G1585" s="6" t="n">
        <v>14</v>
      </c>
      <c r="H1585" t="n">
        <v>20.1</v>
      </c>
      <c r="L1585" t="inlineStr">
        <is>
          <t>SOMATOM Definition...</t>
        </is>
      </c>
      <c r="M1585" t="inlineStr">
        <is>
          <t>Pre 3mm</t>
        </is>
      </c>
    </row>
    <row r="1586">
      <c r="A1586" s="2" t="n">
        <v>3150331</v>
      </c>
      <c r="B1586" s="2" t="inlineStr">
        <is>
          <t>63</t>
        </is>
      </c>
      <c r="C1586" s="2" t="inlineStr">
        <is>
          <t>M</t>
        </is>
      </c>
      <c r="D1586" s="2" t="inlineStr">
        <is>
          <t>100.0</t>
        </is>
      </c>
      <c r="E1586" s="4">
        <f>HYPERLINK("./Results/DLO\374\Osteo_Sarco_1.png","RPT")</f>
        <v/>
      </c>
      <c r="F1586" s="2" t="n">
        <v>164</v>
      </c>
      <c r="G1586" s="6" t="n">
        <v>9</v>
      </c>
      <c r="I1586" s="0" t="n"/>
      <c r="J1586" s="0" t="n"/>
      <c r="K1586" s="0" t="n"/>
      <c r="L1586" t="inlineStr">
        <is>
          <t>SOMATOM Definition...</t>
        </is>
      </c>
      <c r="M1586" t="inlineStr">
        <is>
          <t>Pre 3mm</t>
        </is>
      </c>
    </row>
    <row r="1587">
      <c r="A1587" s="2" t="n">
        <v>3403339</v>
      </c>
      <c r="B1587" s="2" t="inlineStr">
        <is>
          <t>70</t>
        </is>
      </c>
      <c r="C1587" s="2" t="inlineStr">
        <is>
          <t>F</t>
        </is>
      </c>
      <c r="D1587" s="2" t="inlineStr">
        <is>
          <t>100.0</t>
        </is>
      </c>
      <c r="E1587" s="4">
        <f>HYPERLINK("./Results/DLO\375\Osteo_Sarco_1.png","RPT")</f>
        <v/>
      </c>
      <c r="F1587" s="2" t="n">
        <v>112</v>
      </c>
      <c r="G1587" s="6" t="n">
        <v>13</v>
      </c>
      <c r="H1587" t="n">
        <v>21.07</v>
      </c>
      <c r="L1587" t="inlineStr">
        <is>
          <t>iCT 256</t>
        </is>
      </c>
      <c r="M1587" t="inlineStr">
        <is>
          <t>Pre3/3mm_I-3, iDose (3)</t>
        </is>
      </c>
    </row>
    <row r="1588">
      <c r="A1588" s="2" t="n">
        <v>4326323</v>
      </c>
      <c r="B1588" s="2" t="inlineStr">
        <is>
          <t>84</t>
        </is>
      </c>
      <c r="C1588" s="2" t="inlineStr">
        <is>
          <t>M</t>
        </is>
      </c>
      <c r="D1588" s="2" t="inlineStr">
        <is>
          <t>120.0</t>
        </is>
      </c>
      <c r="E1588" s="4">
        <f>HYPERLINK("./Results/DLO\376\Osteo_Sarco_1.png","RPT")</f>
        <v/>
      </c>
      <c r="F1588" s="2" t="n">
        <v>146</v>
      </c>
      <c r="G1588" s="6" t="n">
        <v>12</v>
      </c>
      <c r="I1588" s="0" t="n"/>
      <c r="J1588" s="0" t="n"/>
      <c r="K1588" s="0" t="n"/>
      <c r="L1588" t="inlineStr">
        <is>
          <t>Brilliance 64</t>
        </is>
      </c>
      <c r="M1588" t="inlineStr">
        <is>
          <t>Pre, 5mm</t>
        </is>
      </c>
    </row>
    <row r="1589">
      <c r="A1589" s="2" t="n">
        <v>4015223</v>
      </c>
      <c r="B1589" s="2" t="inlineStr">
        <is>
          <t>61</t>
        </is>
      </c>
      <c r="C1589" s="2" t="inlineStr">
        <is>
          <t>M</t>
        </is>
      </c>
      <c r="D1589" s="2" t="inlineStr">
        <is>
          <t>100.0</t>
        </is>
      </c>
      <c r="E1589" s="4">
        <f>HYPERLINK("./Results/DLO\377\Osteo_Sarco_1.png","RPT")</f>
        <v/>
      </c>
      <c r="F1589" s="2" t="n">
        <v>161</v>
      </c>
      <c r="G1589" s="6" t="n">
        <v>11</v>
      </c>
      <c r="I1589" s="0" t="n"/>
      <c r="J1589" s="0" t="n"/>
      <c r="K1589" s="0" t="n"/>
      <c r="L1589" t="inlineStr">
        <is>
          <t>SOMATOM Definition...</t>
        </is>
      </c>
      <c r="M1589" t="inlineStr">
        <is>
          <t>LAP 2 3mm(65kg/130ml/2.5ml/...</t>
        </is>
      </c>
    </row>
    <row r="1590">
      <c r="A1590" s="2" t="n">
        <v>3034550</v>
      </c>
      <c r="B1590" s="2" t="inlineStr">
        <is>
          <t>80</t>
        </is>
      </c>
      <c r="C1590" s="2" t="inlineStr">
        <is>
          <t>M</t>
        </is>
      </c>
      <c r="D1590" s="2" t="inlineStr">
        <is>
          <t>120.0</t>
        </is>
      </c>
      <c r="E1590" s="4">
        <f>HYPERLINK("./Results/DLO\378\Osteo_Sarco_1.png","RPT")</f>
        <v/>
      </c>
      <c r="F1590" s="2" t="n">
        <v>136</v>
      </c>
      <c r="G1590" s="6" t="n">
        <v>12</v>
      </c>
      <c r="I1590" s="0" t="n"/>
      <c r="J1590" s="0" t="n"/>
      <c r="K1590" s="0" t="n"/>
      <c r="L1590" t="inlineStr">
        <is>
          <t>Discovery CT750 HD</t>
        </is>
      </c>
      <c r="M1590" t="inlineStr">
        <is>
          <t>HVP 3mm</t>
        </is>
      </c>
    </row>
    <row r="1591">
      <c r="A1591" s="2" t="n">
        <v>4790000</v>
      </c>
      <c r="B1591" s="2" t="inlineStr">
        <is>
          <t>59</t>
        </is>
      </c>
      <c r="C1591" s="2" t="inlineStr">
        <is>
          <t>M</t>
        </is>
      </c>
      <c r="D1591" s="2" t="inlineStr">
        <is>
          <t>100.0</t>
        </is>
      </c>
      <c r="E1591" s="4">
        <f>HYPERLINK("./Results/DLO\379\Osteo_Sarco_1.png","RPT")</f>
        <v/>
      </c>
      <c r="F1591" s="2" t="n">
        <v>156</v>
      </c>
      <c r="G1591" s="6" t="n">
        <v>7</v>
      </c>
      <c r="I1591" s="0" t="n"/>
      <c r="J1591" s="0" t="n"/>
      <c r="K1591" s="0" t="n"/>
      <c r="L1591" t="inlineStr">
        <is>
          <t>Discovery CT750 HD</t>
        </is>
      </c>
      <c r="M1591" t="inlineStr">
        <is>
          <t>ax 3mm</t>
        </is>
      </c>
    </row>
    <row r="1592">
      <c r="A1592" s="2" t="n">
        <v>2859198</v>
      </c>
      <c r="B1592" s="2" t="inlineStr">
        <is>
          <t>79</t>
        </is>
      </c>
      <c r="C1592" s="2" t="inlineStr">
        <is>
          <t>M</t>
        </is>
      </c>
      <c r="D1592" s="2" t="inlineStr">
        <is>
          <t>100.0</t>
        </is>
      </c>
      <c r="E1592" s="4">
        <f>HYPERLINK("./Results/DLO\38\Osteo_Sarco_1.png","RPT")</f>
        <v/>
      </c>
      <c r="F1592" s="2" t="n">
        <v>115</v>
      </c>
      <c r="G1592" s="6" t="n">
        <v>16</v>
      </c>
      <c r="I1592" s="0" t="n"/>
      <c r="J1592" s="0" t="n"/>
      <c r="K1592" s="0" t="n"/>
      <c r="L1592" t="inlineStr">
        <is>
          <t>SOMATOM Force</t>
        </is>
      </c>
      <c r="M1592" t="inlineStr">
        <is>
          <t>HVP 3.0 Br40 2 (57kg/114cc...</t>
        </is>
      </c>
    </row>
    <row r="1593">
      <c r="A1593" s="2" t="n">
        <v>3786584</v>
      </c>
      <c r="B1593" s="2" t="inlineStr">
        <is>
          <t>68</t>
        </is>
      </c>
      <c r="C1593" s="2" t="inlineStr">
        <is>
          <t>M</t>
        </is>
      </c>
      <c r="D1593" s="2" t="inlineStr">
        <is>
          <t>100.0</t>
        </is>
      </c>
      <c r="E1593" s="4">
        <f>HYPERLINK("./Results/DLO\380\Osteo_Sarco_1.png","RPT")</f>
        <v/>
      </c>
      <c r="F1593" s="2" t="n">
        <v>131</v>
      </c>
      <c r="G1593" s="6" t="n">
        <v>11</v>
      </c>
      <c r="I1593" s="0" t="n"/>
      <c r="J1593" s="0" t="n"/>
      <c r="K1593" s="0" t="n"/>
      <c r="L1593" t="inlineStr">
        <is>
          <t>Sensation 64</t>
        </is>
      </c>
      <c r="M1593" t="inlineStr">
        <is>
          <t>Pre 3mm(100kvp100mAs)</t>
        </is>
      </c>
    </row>
    <row r="1594">
      <c r="A1594" s="2" t="n">
        <v>2499492</v>
      </c>
      <c r="B1594" s="2" t="inlineStr">
        <is>
          <t>70</t>
        </is>
      </c>
      <c r="C1594" s="2" t="inlineStr">
        <is>
          <t>F</t>
        </is>
      </c>
      <c r="D1594" s="2" t="inlineStr">
        <is>
          <t>100.0</t>
        </is>
      </c>
      <c r="E1594" s="4">
        <f>HYPERLINK("./Results/DLO\381\Osteo_Sarco_1.png","RPT")</f>
        <v/>
      </c>
      <c r="F1594" s="2" t="n">
        <v>132</v>
      </c>
      <c r="G1594" s="6" t="n">
        <v>18</v>
      </c>
      <c r="H1594" t="n">
        <v>29.29</v>
      </c>
      <c r="L1594" t="inlineStr">
        <is>
          <t>SOMATOM Definition...</t>
        </is>
      </c>
      <c r="M1594" t="inlineStr">
        <is>
          <t>HVP 2 3mm (85kg/150cc/3cc/he...</t>
        </is>
      </c>
    </row>
    <row r="1595">
      <c r="A1595" s="2" t="n">
        <v>4890078</v>
      </c>
      <c r="B1595" s="2" t="inlineStr">
        <is>
          <t>22</t>
        </is>
      </c>
      <c r="C1595" s="2" t="inlineStr">
        <is>
          <t>M</t>
        </is>
      </c>
      <c r="D1595" s="2" t="inlineStr">
        <is>
          <t>100.0</t>
        </is>
      </c>
      <c r="E1595" s="4">
        <f>HYPERLINK("./Results/DLO\382\Osteo_Sarco_1.png","RPT")</f>
        <v/>
      </c>
      <c r="F1595" s="2" t="n">
        <v>93</v>
      </c>
      <c r="G1595" s="6" t="n">
        <v>2</v>
      </c>
      <c r="I1595" s="0" t="n"/>
      <c r="J1595" s="0" t="n"/>
      <c r="K1595" s="0" t="n"/>
      <c r="L1595" t="inlineStr">
        <is>
          <t>SOMATOM Definition...</t>
        </is>
      </c>
      <c r="M1595" t="inlineStr">
        <is>
          <t>HVP 2 3mm (43kg/86cc/2.5cc/h...</t>
        </is>
      </c>
    </row>
    <row r="1596">
      <c r="A1596" s="2" t="n">
        <v>3592021</v>
      </c>
      <c r="B1596" s="2" t="inlineStr">
        <is>
          <t>64</t>
        </is>
      </c>
      <c r="C1596" s="2" t="inlineStr">
        <is>
          <t>M</t>
        </is>
      </c>
      <c r="D1596" s="2" t="inlineStr">
        <is>
          <t>100.0</t>
        </is>
      </c>
      <c r="E1596" s="4">
        <f>HYPERLINK("./Results/DLO\383\Osteo_Sarco_1.png","RPT")</f>
        <v/>
      </c>
      <c r="F1596" s="2" t="n">
        <v>135</v>
      </c>
      <c r="G1596" s="6" t="n">
        <v>10</v>
      </c>
      <c r="I1596" s="0" t="n"/>
      <c r="J1596" s="0" t="n"/>
      <c r="K1596" s="0" t="n"/>
      <c r="L1596" t="inlineStr">
        <is>
          <t>Revolution CT</t>
        </is>
      </c>
      <c r="M1596" t="inlineStr">
        <is>
          <t>LAP 3mm(73kg/146cc/3.0cc/hexos)</t>
        </is>
      </c>
    </row>
    <row r="1597">
      <c r="A1597" s="2" t="n">
        <v>4281548</v>
      </c>
      <c r="B1597" s="2" t="inlineStr">
        <is>
          <t>50</t>
        </is>
      </c>
      <c r="C1597" s="2" t="inlineStr">
        <is>
          <t>M</t>
        </is>
      </c>
      <c r="D1597" s="2" t="inlineStr">
        <is>
          <t>100.0</t>
        </is>
      </c>
      <c r="E1597" s="4">
        <f>HYPERLINK("./Results/DLO\384\Osteo_Sarco_1.png","RPT")</f>
        <v/>
      </c>
      <c r="F1597" s="2" t="n">
        <v>161</v>
      </c>
      <c r="G1597" s="6" t="n">
        <v>11</v>
      </c>
      <c r="H1597" t="n">
        <v>27.76</v>
      </c>
      <c r="L1597" t="inlineStr">
        <is>
          <t>SOMATOM Definition...</t>
        </is>
      </c>
      <c r="M1597" t="inlineStr">
        <is>
          <t>HVP 2 3mm(85kg/150cc/3cc/radi)</t>
        </is>
      </c>
    </row>
    <row r="1598">
      <c r="A1598" s="2" t="n">
        <v>3319066</v>
      </c>
      <c r="B1598" s="2" t="inlineStr">
        <is>
          <t>30</t>
        </is>
      </c>
      <c r="C1598" s="2" t="inlineStr">
        <is>
          <t>M</t>
        </is>
      </c>
      <c r="D1598" s="2" t="inlineStr">
        <is>
          <t>100.0</t>
        </is>
      </c>
      <c r="E1598" s="4">
        <f>HYPERLINK("./Results/DLO\385\Osteo_Sarco_1.png","RPT")</f>
        <v/>
      </c>
      <c r="F1598" s="2" t="n">
        <v>195</v>
      </c>
      <c r="G1598" s="6" t="n">
        <v>19</v>
      </c>
      <c r="I1598" s="0" t="n"/>
      <c r="J1598" s="0" t="n"/>
      <c r="K1598" s="0" t="n"/>
      <c r="L1598" t="inlineStr">
        <is>
          <t>SOMATOM Definition...</t>
        </is>
      </c>
      <c r="M1598" t="inlineStr">
        <is>
          <t>PRE 3mm</t>
        </is>
      </c>
    </row>
    <row r="1599">
      <c r="A1599" s="2" t="n">
        <v>4117313</v>
      </c>
      <c r="B1599" s="2" t="inlineStr">
        <is>
          <t>55</t>
        </is>
      </c>
      <c r="C1599" s="2" t="inlineStr">
        <is>
          <t>F</t>
        </is>
      </c>
      <c r="D1599" s="2" t="inlineStr">
        <is>
          <t>100.0</t>
        </is>
      </c>
      <c r="E1599" s="4">
        <f>HYPERLINK("./Results/DLO\386\Osteo_Sarco_1.png","RPT")</f>
        <v/>
      </c>
      <c r="F1599" s="2" t="n">
        <v>119</v>
      </c>
      <c r="G1599" s="6" t="n">
        <v>13</v>
      </c>
      <c r="H1599" t="n">
        <v>22.63</v>
      </c>
      <c r="L1599" t="inlineStr">
        <is>
          <t>LightSpeed VCT</t>
        </is>
      </c>
      <c r="M1599" t="inlineStr">
        <is>
          <t>PRE 3mm</t>
        </is>
      </c>
    </row>
    <row r="1600">
      <c r="A1600" s="2" t="n">
        <v>1879050</v>
      </c>
      <c r="B1600" s="2" t="inlineStr">
        <is>
          <t>57</t>
        </is>
      </c>
      <c r="C1600" s="2" t="inlineStr">
        <is>
          <t>M</t>
        </is>
      </c>
      <c r="D1600" s="2" t="inlineStr">
        <is>
          <t>100.0</t>
        </is>
      </c>
      <c r="E1600" s="4">
        <f>HYPERLINK("./Results/DLO\387\Osteo_Sarco_1.png","RPT")</f>
        <v/>
      </c>
      <c r="F1600" s="2" t="n">
        <v>133</v>
      </c>
      <c r="G1600" s="6" t="n">
        <v>20</v>
      </c>
      <c r="H1600" t="n">
        <v>20.31</v>
      </c>
      <c r="L1600" t="inlineStr">
        <is>
          <t>Revolution CT</t>
        </is>
      </c>
      <c r="M1600" t="inlineStr">
        <is>
          <t>Pre Axial 3mm</t>
        </is>
      </c>
    </row>
    <row r="1601">
      <c r="A1601" s="2" t="n">
        <v>3962755</v>
      </c>
      <c r="B1601" s="2" t="inlineStr">
        <is>
          <t>56</t>
        </is>
      </c>
      <c r="C1601" s="2" t="inlineStr">
        <is>
          <t>M</t>
        </is>
      </c>
      <c r="D1601" s="2" t="inlineStr">
        <is>
          <t>120.0</t>
        </is>
      </c>
      <c r="E1601" s="4">
        <f>HYPERLINK("./Results/DLO\388\Osteo_Sarco_1.png","RPT")</f>
        <v/>
      </c>
      <c r="F1601" s="2" t="n">
        <v>137</v>
      </c>
      <c r="G1601" s="6" t="n">
        <v>5</v>
      </c>
      <c r="H1601" t="n">
        <v>22.38</v>
      </c>
      <c r="L1601" t="inlineStr">
        <is>
          <t>Ingenuity Core</t>
        </is>
      </c>
      <c r="M1601" t="inlineStr">
        <is>
          <t>Pre 5mm, iDose (2)</t>
        </is>
      </c>
    </row>
    <row r="1602">
      <c r="A1602" s="2" t="n">
        <v>3207332</v>
      </c>
      <c r="B1602" s="2" t="inlineStr">
        <is>
          <t>67</t>
        </is>
      </c>
      <c r="C1602" s="2" t="inlineStr">
        <is>
          <t>M</t>
        </is>
      </c>
      <c r="D1602" s="2" t="inlineStr">
        <is>
          <t>100.0</t>
        </is>
      </c>
      <c r="E1602" s="4">
        <f>HYPERLINK("./Results/DLO\389\Osteo_Sarco_1.png","RPT")</f>
        <v/>
      </c>
      <c r="F1602" s="2" t="n">
        <v>109</v>
      </c>
      <c r="G1602" s="6" t="n">
        <v>14</v>
      </c>
      <c r="I1602" s="0" t="n"/>
      <c r="J1602" s="0" t="n"/>
      <c r="K1602" s="0" t="n"/>
      <c r="L1602" t="inlineStr">
        <is>
          <t>SOMATOM Definition...</t>
        </is>
      </c>
      <c r="M1602" t="inlineStr">
        <is>
          <t>Pre(cp~pubic ) 3.0 B30f</t>
        </is>
      </c>
    </row>
    <row r="1603">
      <c r="A1603" s="2" t="n">
        <v>1551262</v>
      </c>
      <c r="B1603" s="2" t="inlineStr">
        <is>
          <t>77</t>
        </is>
      </c>
      <c r="C1603" s="2" t="inlineStr">
        <is>
          <t>M</t>
        </is>
      </c>
      <c r="D1603" s="2" t="inlineStr">
        <is>
          <t>120.0</t>
        </is>
      </c>
      <c r="E1603" s="4">
        <f>HYPERLINK("./Results/DLO\39\Osteo_Sarco_1.png","RPT")</f>
        <v/>
      </c>
      <c r="F1603" s="2" t="n">
        <v>154</v>
      </c>
      <c r="G1603" s="6" t="n">
        <v>14</v>
      </c>
      <c r="H1603" t="n">
        <v>25.55</v>
      </c>
      <c r="L1603" t="inlineStr">
        <is>
          <t>LightSpeed VCT</t>
        </is>
      </c>
      <c r="M1603" t="inlineStr">
        <is>
          <t>LAP 18sec 3mm</t>
        </is>
      </c>
    </row>
    <row r="1604">
      <c r="A1604" s="2" t="n">
        <v>1769354</v>
      </c>
      <c r="B1604" s="2" t="inlineStr">
        <is>
          <t>68</t>
        </is>
      </c>
      <c r="C1604" s="2" t="inlineStr">
        <is>
          <t>F</t>
        </is>
      </c>
      <c r="D1604" s="2" t="inlineStr">
        <is>
          <t>100.0</t>
        </is>
      </c>
      <c r="E1604" s="4">
        <f>HYPERLINK("./Results/DLO\390\Osteo_Sarco_1.png","RPT")</f>
        <v/>
      </c>
      <c r="F1604" s="2" t="n">
        <v>88</v>
      </c>
      <c r="G1604" s="6" t="n">
        <v>6</v>
      </c>
      <c r="I1604" s="0" t="n"/>
      <c r="J1604" s="0" t="n"/>
      <c r="K1604" s="0" t="n"/>
      <c r="L1604" t="inlineStr">
        <is>
          <t>SOMATOM Force</t>
        </is>
      </c>
      <c r="M1604" t="inlineStr">
        <is>
          <t>LAP 3.0 (40kg/80cc/3cc/radi)</t>
        </is>
      </c>
    </row>
    <row r="1605">
      <c r="A1605" s="2" t="n">
        <v>2612530</v>
      </c>
      <c r="B1605" s="2" t="inlineStr">
        <is>
          <t>78</t>
        </is>
      </c>
      <c r="C1605" s="2" t="inlineStr">
        <is>
          <t>M</t>
        </is>
      </c>
      <c r="D1605" s="2" t="inlineStr">
        <is>
          <t>120.0</t>
        </is>
      </c>
      <c r="E1605" s="4">
        <f>HYPERLINK("./Results/DLO\391\Osteo_Sarco_1.png","RPT")</f>
        <v/>
      </c>
      <c r="F1605" s="2" t="n">
        <v>100</v>
      </c>
      <c r="G1605" s="6" t="n">
        <v>3</v>
      </c>
      <c r="I1605" s="0" t="n"/>
      <c r="J1605" s="0" t="n"/>
      <c r="K1605" s="0" t="n"/>
      <c r="L1605" t="inlineStr">
        <is>
          <t>iCT 256</t>
        </is>
      </c>
      <c r="M1605" t="inlineStr">
        <is>
          <t>HVP 3/3mm, iDose (3)</t>
        </is>
      </c>
    </row>
    <row r="1606">
      <c r="A1606" s="2" t="n">
        <v>2798090</v>
      </c>
      <c r="B1606" s="2" t="inlineStr">
        <is>
          <t>44</t>
        </is>
      </c>
      <c r="C1606" s="2" t="inlineStr">
        <is>
          <t>F</t>
        </is>
      </c>
      <c r="D1606" s="2" t="inlineStr">
        <is>
          <t>100.0</t>
        </is>
      </c>
      <c r="E1606" s="4">
        <f>HYPERLINK("./Results/DLO\392\Osteo_Sarco_1.png","RPT")</f>
        <v/>
      </c>
      <c r="F1606" s="2" t="n">
        <v>129</v>
      </c>
      <c r="G1606" s="6" t="n">
        <v>31</v>
      </c>
      <c r="I1606" s="0" t="n"/>
      <c r="J1606" s="0" t="n"/>
      <c r="K1606" s="0" t="n"/>
      <c r="L1606" t="inlineStr">
        <is>
          <t>Sensation 64</t>
        </is>
      </c>
      <c r="M1606" t="inlineStr">
        <is>
          <t>CE 3mm 80kg/150cc/3cc/hexol</t>
        </is>
      </c>
    </row>
    <row r="1607">
      <c r="A1607" s="2" t="n">
        <v>3984478</v>
      </c>
      <c r="B1607" s="2" t="inlineStr">
        <is>
          <t>21</t>
        </is>
      </c>
      <c r="C1607" s="2" t="inlineStr">
        <is>
          <t>M</t>
        </is>
      </c>
      <c r="D1607" s="2" t="inlineStr">
        <is>
          <t>100.0</t>
        </is>
      </c>
      <c r="E1607" s="4">
        <f>HYPERLINK("./Results/DLO\393\Osteo_Sarco_1.png","RPT")</f>
        <v/>
      </c>
      <c r="F1607" s="2" t="n">
        <v>166</v>
      </c>
      <c r="G1607" s="6" t="n">
        <v>6</v>
      </c>
      <c r="I1607" s="0" t="n"/>
      <c r="J1607" s="0" t="n"/>
      <c r="K1607" s="0" t="n"/>
      <c r="L1607" t="inlineStr">
        <is>
          <t>SOMATOM Force</t>
        </is>
      </c>
      <c r="M1607" t="inlineStr">
        <is>
          <t>Pre 3.0 Br40</t>
        </is>
      </c>
    </row>
    <row r="1608">
      <c r="A1608" s="2" t="n">
        <v>1161546</v>
      </c>
      <c r="B1608" s="2" t="inlineStr">
        <is>
          <t>46</t>
        </is>
      </c>
      <c r="C1608" s="2" t="inlineStr">
        <is>
          <t>F</t>
        </is>
      </c>
      <c r="D1608" s="2" t="inlineStr">
        <is>
          <t>100.0</t>
        </is>
      </c>
      <c r="E1608" s="4">
        <f>HYPERLINK("./Results/DLO\394\Osteo_Sarco_1.png","RPT")</f>
        <v/>
      </c>
      <c r="F1608" s="2" t="n">
        <v>98</v>
      </c>
      <c r="G1608" s="6" t="n">
        <v>7</v>
      </c>
      <c r="I1608" s="0" t="n"/>
      <c r="J1608" s="0" t="n"/>
      <c r="K1608" s="0" t="n"/>
      <c r="L1608" t="inlineStr">
        <is>
          <t>LightSpeed VCT</t>
        </is>
      </c>
      <c r="M1608" t="inlineStr">
        <is>
          <t>PRE 2,5mm</t>
        </is>
      </c>
    </row>
    <row r="1609">
      <c r="A1609" s="2" t="n">
        <v>2235219</v>
      </c>
      <c r="B1609" s="2" t="inlineStr">
        <is>
          <t>49</t>
        </is>
      </c>
      <c r="C1609" s="2" t="inlineStr">
        <is>
          <t>F</t>
        </is>
      </c>
      <c r="D1609" s="2" t="inlineStr">
        <is>
          <t>100.0</t>
        </is>
      </c>
      <c r="E1609" s="4">
        <f>HYPERLINK("./Results/DLO\395\Osteo_Sarco_1.png","RPT")</f>
        <v/>
      </c>
      <c r="F1609" s="2" t="n">
        <v>96</v>
      </c>
      <c r="G1609" s="6" t="n">
        <v>10</v>
      </c>
      <c r="I1609" s="0" t="n"/>
      <c r="J1609" s="0" t="n"/>
      <c r="K1609" s="0" t="n"/>
      <c r="L1609" t="inlineStr">
        <is>
          <t>Revolution CT</t>
        </is>
      </c>
      <c r="M1609" t="inlineStr">
        <is>
          <t>Pre 3mm pacs</t>
        </is>
      </c>
    </row>
    <row r="1610">
      <c r="A1610" s="2" t="n">
        <v>2871573</v>
      </c>
      <c r="B1610" s="2" t="inlineStr">
        <is>
          <t>60</t>
        </is>
      </c>
      <c r="C1610" s="2" t="inlineStr">
        <is>
          <t>M</t>
        </is>
      </c>
      <c r="D1610" s="2" t="inlineStr">
        <is>
          <t>100.0</t>
        </is>
      </c>
      <c r="E1610" s="4">
        <f>HYPERLINK("./Results/DLO\396\Osteo_Sarco_1.png","RPT")</f>
        <v/>
      </c>
      <c r="F1610" s="2" t="n">
        <v>154</v>
      </c>
      <c r="G1610" s="6" t="n">
        <v>10</v>
      </c>
      <c r="I1610" s="0" t="n"/>
      <c r="J1610" s="0" t="n"/>
      <c r="K1610" s="0" t="n"/>
      <c r="L1610" t="inlineStr">
        <is>
          <t>LightSpeed VCT</t>
        </is>
      </c>
      <c r="M1610" t="inlineStr">
        <is>
          <t>PRE (CP angle~Pubic)</t>
        </is>
      </c>
    </row>
    <row r="1611">
      <c r="A1611" s="2" t="n">
        <v>914899</v>
      </c>
      <c r="B1611" s="2" t="inlineStr">
        <is>
          <t>66</t>
        </is>
      </c>
      <c r="C1611" s="2" t="inlineStr">
        <is>
          <t>M</t>
        </is>
      </c>
      <c r="D1611" s="2" t="inlineStr">
        <is>
          <t>120.0</t>
        </is>
      </c>
      <c r="E1611" s="4">
        <f>HYPERLINK("./Results/DLO\397\Osteo_Sarco_1.png","RPT")</f>
        <v/>
      </c>
      <c r="F1611" s="2" t="n">
        <v>163</v>
      </c>
      <c r="G1611" s="6" t="n">
        <v>8</v>
      </c>
      <c r="H1611" t="n">
        <v>27.42</v>
      </c>
      <c r="L1611" t="inlineStr">
        <is>
          <t>Discovery CT750 HD</t>
        </is>
      </c>
      <c r="M1611" t="inlineStr">
        <is>
          <t>HVP 3mm</t>
        </is>
      </c>
    </row>
    <row r="1612">
      <c r="A1612" s="2" t="n">
        <v>3537547</v>
      </c>
      <c r="B1612" s="2" t="inlineStr">
        <is>
          <t>51</t>
        </is>
      </c>
      <c r="C1612" s="2" t="inlineStr">
        <is>
          <t>F</t>
        </is>
      </c>
      <c r="D1612" s="2" t="inlineStr">
        <is>
          <t>100.0</t>
        </is>
      </c>
      <c r="E1612" s="4">
        <f>HYPERLINK("./Results/DLO\398\Osteo_Sarco_1.png","RPT")</f>
        <v/>
      </c>
      <c r="F1612" s="2" t="n">
        <v>96</v>
      </c>
      <c r="G1612" s="6" t="n">
        <v>7</v>
      </c>
      <c r="I1612" s="0" t="n"/>
      <c r="J1612" s="0" t="n"/>
      <c r="K1612" s="0" t="n"/>
      <c r="L1612" t="inlineStr">
        <is>
          <t>LightSpeed VCT</t>
        </is>
      </c>
      <c r="M1612" t="inlineStr">
        <is>
          <t>PRE (CP angle~Pubic)</t>
        </is>
      </c>
    </row>
    <row r="1613">
      <c r="A1613" s="2" t="n">
        <v>1688837</v>
      </c>
      <c r="B1613" s="2" t="inlineStr">
        <is>
          <t>24</t>
        </is>
      </c>
      <c r="C1613" s="2" t="inlineStr">
        <is>
          <t>F</t>
        </is>
      </c>
      <c r="D1613" s="2" t="inlineStr">
        <is>
          <t>100.0</t>
        </is>
      </c>
      <c r="E1613" s="4">
        <f>HYPERLINK("./Results/DLO\399\Osteo_Sarco_1.png","RPT")</f>
        <v/>
      </c>
      <c r="F1613" s="2" t="n">
        <v>88</v>
      </c>
      <c r="G1613" s="6" t="n">
        <v>4</v>
      </c>
      <c r="I1613" s="0" t="n"/>
      <c r="J1613" s="0" t="n"/>
      <c r="K1613" s="0" t="n"/>
      <c r="L1613" t="inlineStr">
        <is>
          <t>Discovery CT750 HD</t>
        </is>
      </c>
      <c r="M1613" t="inlineStr">
        <is>
          <t>pre 3mm</t>
        </is>
      </c>
    </row>
    <row r="1614">
      <c r="A1614" s="2" t="n">
        <v>2824748</v>
      </c>
      <c r="B1614" s="2" t="inlineStr">
        <is>
          <t>73</t>
        </is>
      </c>
      <c r="C1614" s="2" t="inlineStr">
        <is>
          <t>F</t>
        </is>
      </c>
      <c r="D1614" s="2" t="inlineStr">
        <is>
          <t>100.0</t>
        </is>
      </c>
      <c r="E1614" s="4">
        <f>HYPERLINK("./Results/DLO\4\Osteo_Sarco_1.png","RPT")</f>
        <v/>
      </c>
      <c r="F1614" s="2" t="n">
        <v>98</v>
      </c>
      <c r="G1614" s="6" t="n">
        <v>8</v>
      </c>
      <c r="I1614" s="0" t="n"/>
      <c r="J1614" s="0" t="n"/>
      <c r="K1614" s="0" t="n"/>
      <c r="L1614" t="inlineStr">
        <is>
          <t>SOMATOM Force</t>
        </is>
      </c>
      <c r="M1614" t="inlineStr">
        <is>
          <t>Non Abdomen 3.0 Br40</t>
        </is>
      </c>
    </row>
    <row r="1615">
      <c r="A1615" s="2" t="n">
        <v>2691802</v>
      </c>
      <c r="B1615" s="2" t="inlineStr">
        <is>
          <t>70</t>
        </is>
      </c>
      <c r="C1615" s="2" t="inlineStr">
        <is>
          <t>F</t>
        </is>
      </c>
      <c r="D1615" s="2" t="inlineStr">
        <is>
          <t>120.0</t>
        </is>
      </c>
      <c r="E1615" s="4">
        <f>HYPERLINK("./Results/DLO\40\Osteo_Sarco_1.png","RPT")</f>
        <v/>
      </c>
      <c r="F1615" s="2" t="n">
        <v>97</v>
      </c>
      <c r="G1615" s="6" t="n">
        <v>8</v>
      </c>
      <c r="I1615" s="0" t="n"/>
      <c r="J1615" s="0" t="n"/>
      <c r="K1615" s="0" t="n"/>
      <c r="L1615" t="inlineStr">
        <is>
          <t>iCT 256</t>
        </is>
      </c>
      <c r="M1615" t="inlineStr">
        <is>
          <t>LAP 3/3mm, iDose (3)</t>
        </is>
      </c>
    </row>
    <row r="1616">
      <c r="A1616" s="2" t="n">
        <v>4194619</v>
      </c>
      <c r="B1616" s="2" t="inlineStr">
        <is>
          <t>62</t>
        </is>
      </c>
      <c r="C1616" s="2" t="inlineStr">
        <is>
          <t>M</t>
        </is>
      </c>
      <c r="D1616" s="2" t="inlineStr">
        <is>
          <t>100.0</t>
        </is>
      </c>
      <c r="E1616" s="4">
        <f>HYPERLINK("./Results/DLO\400\Osteo_Sarco_1.png","RPT")</f>
        <v/>
      </c>
      <c r="F1616" s="2" t="n">
        <v>155</v>
      </c>
      <c r="G1616" s="6" t="n">
        <v>9</v>
      </c>
      <c r="I1616" s="0" t="n"/>
      <c r="J1616" s="0" t="n"/>
      <c r="K1616" s="0" t="n"/>
      <c r="L1616" t="inlineStr">
        <is>
          <t>SOMATOM Definition...</t>
        </is>
      </c>
      <c r="M1616" t="inlineStr">
        <is>
          <t>LAP 2 3mm(77kg/150ml/3ml/he...</t>
        </is>
      </c>
    </row>
    <row r="1617">
      <c r="A1617" s="2" t="n">
        <v>3550380</v>
      </c>
      <c r="B1617" s="2" t="inlineStr">
        <is>
          <t>78</t>
        </is>
      </c>
      <c r="C1617" s="2" t="inlineStr">
        <is>
          <t>F</t>
        </is>
      </c>
      <c r="D1617" s="2" t="inlineStr">
        <is>
          <t>120.0</t>
        </is>
      </c>
      <c r="E1617" s="4">
        <f>HYPERLINK("./Results/DLO\401\Osteo_Sarco_1.png","RPT")</f>
        <v/>
      </c>
      <c r="F1617" s="2" t="n">
        <v>120</v>
      </c>
      <c r="G1617" s="6" t="n">
        <v>18</v>
      </c>
      <c r="I1617" s="0" t="n"/>
      <c r="J1617" s="0" t="n"/>
      <c r="K1617" s="0" t="n"/>
      <c r="L1617" t="inlineStr">
        <is>
          <t>iCT 256</t>
        </is>
      </c>
      <c r="M1617" t="inlineStr">
        <is>
          <t>Pre 3/3mm, iDose (3)</t>
        </is>
      </c>
    </row>
    <row r="1618">
      <c r="A1618" s="2" t="n">
        <v>4848063</v>
      </c>
      <c r="B1618" s="2" t="inlineStr">
        <is>
          <t>83</t>
        </is>
      </c>
      <c r="C1618" s="2" t="inlineStr">
        <is>
          <t>F</t>
        </is>
      </c>
      <c r="D1618" s="2" t="inlineStr">
        <is>
          <t>100.0</t>
        </is>
      </c>
      <c r="E1618" s="4">
        <f>HYPERLINK("./Results/DLO\402\Osteo_Sarco_1.png","RPT")</f>
        <v/>
      </c>
      <c r="F1618" s="2" t="n">
        <v>73</v>
      </c>
      <c r="G1618" s="6" t="n">
        <v>15</v>
      </c>
      <c r="H1618" t="n">
        <v>22.99</v>
      </c>
      <c r="L1618" t="inlineStr">
        <is>
          <t>LightSpeed VCT</t>
        </is>
      </c>
      <c r="M1618" t="inlineStr">
        <is>
          <t>PRE 2,5mm</t>
        </is>
      </c>
    </row>
    <row r="1619">
      <c r="A1619" s="2" t="n">
        <v>2232254</v>
      </c>
      <c r="B1619" s="2" t="inlineStr">
        <is>
          <t>58</t>
        </is>
      </c>
      <c r="C1619" s="2" t="inlineStr">
        <is>
          <t>F</t>
        </is>
      </c>
      <c r="D1619" s="2" t="inlineStr">
        <is>
          <t>120.0</t>
        </is>
      </c>
      <c r="E1619" s="4">
        <f>HYPERLINK("./Results/DLO\403\Osteo_Sarco_1.png","RPT")</f>
        <v/>
      </c>
      <c r="F1619" s="2" t="n">
        <v>99</v>
      </c>
      <c r="G1619" s="6" t="n">
        <v>6</v>
      </c>
      <c r="H1619" t="n">
        <v>25.88</v>
      </c>
      <c r="L1619" t="inlineStr">
        <is>
          <t>LightSpeed VCT</t>
        </is>
      </c>
      <c r="M1619" t="inlineStr">
        <is>
          <t>HVP 55sec 3mm</t>
        </is>
      </c>
    </row>
    <row r="1620">
      <c r="A1620" s="2" t="n">
        <v>921106</v>
      </c>
      <c r="B1620" s="2" t="inlineStr">
        <is>
          <t>49</t>
        </is>
      </c>
      <c r="C1620" s="2" t="inlineStr">
        <is>
          <t>M</t>
        </is>
      </c>
      <c r="D1620" s="2" t="inlineStr">
        <is>
          <t>100.0</t>
        </is>
      </c>
      <c r="E1620" s="4">
        <f>HYPERLINK("./Results/DLO\404\Osteo_Sarco_1.png","RPT")</f>
        <v/>
      </c>
      <c r="F1620" s="2" t="n">
        <v>164</v>
      </c>
      <c r="G1620" s="6" t="n">
        <v>4</v>
      </c>
      <c r="I1620" s="0" t="n"/>
      <c r="J1620" s="0" t="n"/>
      <c r="K1620" s="0" t="n"/>
      <c r="L1620" t="inlineStr">
        <is>
          <t>SOMATOM Definition...</t>
        </is>
      </c>
      <c r="M1620" t="inlineStr">
        <is>
          <t>Urography Non 3.0 I30f 2</t>
        </is>
      </c>
    </row>
    <row r="1621">
      <c r="A1621" s="2" t="n">
        <v>3865585</v>
      </c>
      <c r="B1621" s="2" t="inlineStr">
        <is>
          <t>73</t>
        </is>
      </c>
      <c r="C1621" s="2" t="inlineStr">
        <is>
          <t>F</t>
        </is>
      </c>
      <c r="D1621" s="2" t="inlineStr">
        <is>
          <t>100.0</t>
        </is>
      </c>
      <c r="E1621" s="4">
        <f>HYPERLINK("./Results/DLO\405\Osteo_Sarco_1.png","RPT")</f>
        <v/>
      </c>
      <c r="F1621" s="2" t="n">
        <v>94</v>
      </c>
      <c r="G1621" s="6" t="n">
        <v>8</v>
      </c>
      <c r="I1621" s="0" t="n"/>
      <c r="J1621" s="0" t="n"/>
      <c r="K1621" s="0" t="n"/>
      <c r="L1621" t="inlineStr">
        <is>
          <t>iCT 256</t>
        </is>
      </c>
      <c r="M1621" t="inlineStr">
        <is>
          <t>Pre 3/3mm, iDose (3)</t>
        </is>
      </c>
    </row>
    <row r="1622">
      <c r="A1622" s="2" t="n">
        <v>2847521</v>
      </c>
      <c r="B1622" s="2" t="inlineStr">
        <is>
          <t>20</t>
        </is>
      </c>
      <c r="C1622" s="2" t="inlineStr">
        <is>
          <t>M</t>
        </is>
      </c>
      <c r="D1622" s="2" t="inlineStr">
        <is>
          <t>100.0</t>
        </is>
      </c>
      <c r="E1622" s="4">
        <f>HYPERLINK("./Results/DLO\406\Osteo_Sarco_1.png","RPT")</f>
        <v/>
      </c>
      <c r="F1622" s="2" t="n">
        <v>145</v>
      </c>
      <c r="G1622" s="6" t="n">
        <v>8</v>
      </c>
      <c r="I1622" s="0" t="n"/>
      <c r="J1622" s="0" t="n"/>
      <c r="K1622" s="0" t="n"/>
      <c r="L1622" t="inlineStr">
        <is>
          <t>Revolution EVO</t>
        </is>
      </c>
      <c r="M1622" t="inlineStr">
        <is>
          <t>Abdomen Pre 2.5mm</t>
        </is>
      </c>
    </row>
    <row r="1623">
      <c r="A1623" s="2" t="n">
        <v>2920109</v>
      </c>
      <c r="B1623" s="2" t="inlineStr">
        <is>
          <t>48</t>
        </is>
      </c>
      <c r="C1623" s="2" t="inlineStr">
        <is>
          <t>F</t>
        </is>
      </c>
      <c r="D1623" s="2" t="inlineStr">
        <is>
          <t>100.0</t>
        </is>
      </c>
      <c r="E1623" s="4">
        <f>HYPERLINK("./Results/DLO\407\Osteo_Sarco_1.png","RPT")</f>
        <v/>
      </c>
      <c r="F1623" s="2" t="n">
        <v>87</v>
      </c>
      <c r="G1623" s="6" t="n">
        <v>14</v>
      </c>
      <c r="I1623" s="0" t="n"/>
      <c r="J1623" s="0" t="n"/>
      <c r="K1623" s="0" t="n"/>
      <c r="L1623" t="inlineStr">
        <is>
          <t>Revolution CT</t>
        </is>
      </c>
      <c r="M1623" t="inlineStr">
        <is>
          <t>Pre Axial 3mm</t>
        </is>
      </c>
    </row>
    <row r="1624">
      <c r="A1624" s="2" t="n">
        <v>2690823</v>
      </c>
      <c r="B1624" s="2" t="inlineStr">
        <is>
          <t>62</t>
        </is>
      </c>
      <c r="C1624" s="2" t="inlineStr">
        <is>
          <t>F</t>
        </is>
      </c>
      <c r="D1624" s="2" t="inlineStr">
        <is>
          <t>100.0</t>
        </is>
      </c>
      <c r="E1624" s="4">
        <f>HYPERLINK("./Results/DLO\408\Osteo_Sarco_1.png","RPT")</f>
        <v/>
      </c>
      <c r="F1624" s="2" t="n">
        <v>111</v>
      </c>
      <c r="G1624" s="6" t="n">
        <v>7</v>
      </c>
      <c r="H1624" t="n">
        <v>25.43</v>
      </c>
      <c r="L1624" t="inlineStr">
        <is>
          <t>Revolution CT</t>
        </is>
      </c>
      <c r="M1624" t="inlineStr">
        <is>
          <t>Pre 3mm pacs</t>
        </is>
      </c>
    </row>
    <row r="1625">
      <c r="A1625" s="2" t="n">
        <v>4186278</v>
      </c>
      <c r="B1625" s="2" t="inlineStr">
        <is>
          <t>47</t>
        </is>
      </c>
      <c r="C1625" s="2" t="inlineStr">
        <is>
          <t>F</t>
        </is>
      </c>
      <c r="D1625" s="2" t="inlineStr">
        <is>
          <t>100.0</t>
        </is>
      </c>
      <c r="E1625" s="4">
        <f>HYPERLINK("./Results/DLO\409\Osteo_Sarco_1.png","RPT")</f>
        <v/>
      </c>
      <c r="F1625" s="2" t="n">
        <v>100</v>
      </c>
      <c r="G1625" s="6" t="n">
        <v>12</v>
      </c>
      <c r="I1625" s="0" t="n"/>
      <c r="J1625" s="0" t="n"/>
      <c r="K1625" s="0" t="n"/>
      <c r="L1625" t="inlineStr">
        <is>
          <t>LightSpeed VCT</t>
        </is>
      </c>
      <c r="M1625" t="inlineStr">
        <is>
          <t>PRE 3mm</t>
        </is>
      </c>
    </row>
    <row r="1626">
      <c r="A1626" s="2" t="n">
        <v>3039380</v>
      </c>
      <c r="B1626" s="2" t="inlineStr">
        <is>
          <t>76</t>
        </is>
      </c>
      <c r="C1626" s="2" t="inlineStr">
        <is>
          <t>M</t>
        </is>
      </c>
      <c r="D1626" s="2" t="inlineStr">
        <is>
          <t>100.0</t>
        </is>
      </c>
      <c r="E1626" s="4">
        <f>HYPERLINK("./Results/DLO\41\Osteo_Sarco_1.png","RPT")</f>
        <v/>
      </c>
      <c r="F1626" s="2" t="n">
        <v>121</v>
      </c>
      <c r="G1626" s="6" t="n">
        <v>7</v>
      </c>
      <c r="I1626" s="0" t="n"/>
      <c r="J1626" s="0" t="n"/>
      <c r="K1626" s="0" t="n"/>
      <c r="L1626" t="inlineStr">
        <is>
          <t>SOMATOM Definition...</t>
        </is>
      </c>
      <c r="M1626" t="inlineStr">
        <is>
          <t>Pre 3mm</t>
        </is>
      </c>
    </row>
    <row r="1627">
      <c r="A1627" s="2" t="n">
        <v>4234333</v>
      </c>
      <c r="B1627" s="2" t="inlineStr">
        <is>
          <t>66</t>
        </is>
      </c>
      <c r="C1627" s="2" t="inlineStr">
        <is>
          <t>M</t>
        </is>
      </c>
      <c r="D1627" s="2" t="inlineStr">
        <is>
          <t>100.0</t>
        </is>
      </c>
      <c r="E1627" s="4">
        <f>HYPERLINK("./Results/DLO\410\Osteo_Sarco_1.png","RPT")</f>
        <v/>
      </c>
      <c r="F1627" s="2" t="n">
        <v>151</v>
      </c>
      <c r="G1627" s="6" t="n">
        <v>8</v>
      </c>
      <c r="I1627" s="0" t="n"/>
      <c r="J1627" s="0" t="n"/>
      <c r="K1627" s="0" t="n"/>
      <c r="L1627" t="inlineStr">
        <is>
          <t>SOMATOM Definition...</t>
        </is>
      </c>
      <c r="M1627" t="inlineStr">
        <is>
          <t>HVP 2 3mm(69Kg/140ml/3ml/xe...</t>
        </is>
      </c>
    </row>
    <row r="1628">
      <c r="A1628" s="2" t="n">
        <v>2874418</v>
      </c>
      <c r="B1628" s="2" t="inlineStr">
        <is>
          <t>72</t>
        </is>
      </c>
      <c r="C1628" s="2" t="inlineStr">
        <is>
          <t>F</t>
        </is>
      </c>
      <c r="D1628" s="2" t="inlineStr">
        <is>
          <t>100.0</t>
        </is>
      </c>
      <c r="E1628" s="4">
        <f>HYPERLINK("./Results/DLO\411\Osteo_Sarco_1.png","RPT")</f>
        <v/>
      </c>
      <c r="F1628" s="2" t="n">
        <v>53</v>
      </c>
      <c r="G1628" s="6" t="n">
        <v>12</v>
      </c>
      <c r="H1628" t="n">
        <v>25.36</v>
      </c>
      <c r="L1628" t="inlineStr">
        <is>
          <t>SOMATOM Definition...</t>
        </is>
      </c>
      <c r="M1628" t="inlineStr">
        <is>
          <t>HVP 2 3mm (46kg/92cc/1.5cc/...</t>
        </is>
      </c>
    </row>
    <row r="1629">
      <c r="A1629" s="2" t="n">
        <v>4634146</v>
      </c>
      <c r="B1629" s="2" t="inlineStr">
        <is>
          <t>60</t>
        </is>
      </c>
      <c r="C1629" s="2" t="inlineStr">
        <is>
          <t>F</t>
        </is>
      </c>
      <c r="D1629" s="2" t="inlineStr">
        <is>
          <t>100.0</t>
        </is>
      </c>
      <c r="E1629" s="4">
        <f>HYPERLINK("./Results/DLO\412\Osteo_Sarco_1.png","RPT")</f>
        <v/>
      </c>
      <c r="F1629" s="2" t="n">
        <v>114</v>
      </c>
      <c r="G1629" s="6" t="n">
        <v>13</v>
      </c>
      <c r="I1629" s="0" t="n"/>
      <c r="J1629" s="0" t="n"/>
      <c r="K1629" s="0" t="n"/>
      <c r="L1629" t="inlineStr">
        <is>
          <t>LightSpeed VCT</t>
        </is>
      </c>
      <c r="M1629" t="inlineStr">
        <is>
          <t>PRE 3mm</t>
        </is>
      </c>
    </row>
    <row r="1630">
      <c r="A1630" s="2" t="n">
        <v>1679788</v>
      </c>
      <c r="B1630" s="2" t="inlineStr">
        <is>
          <t>53</t>
        </is>
      </c>
      <c r="C1630" s="2" t="inlineStr">
        <is>
          <t>M</t>
        </is>
      </c>
      <c r="D1630" s="2" t="inlineStr">
        <is>
          <t>100.0</t>
        </is>
      </c>
      <c r="E1630" s="4">
        <f>HYPERLINK("./Results/DLO\413\Osteo_Sarco_1.png","RPT")</f>
        <v/>
      </c>
      <c r="F1630" s="2" t="n">
        <v>185</v>
      </c>
      <c r="G1630" s="6" t="n">
        <v>10</v>
      </c>
      <c r="I1630" s="0" t="n"/>
      <c r="J1630" s="0" t="n"/>
      <c r="K1630" s="0" t="n"/>
      <c r="L1630" t="inlineStr">
        <is>
          <t>SOMATOM Definition...</t>
        </is>
      </c>
      <c r="M1630" t="inlineStr">
        <is>
          <t>Pre 3mm</t>
        </is>
      </c>
    </row>
    <row r="1631">
      <c r="A1631" s="2" t="n">
        <v>4194814</v>
      </c>
      <c r="B1631" s="2" t="inlineStr">
        <is>
          <t>76</t>
        </is>
      </c>
      <c r="C1631" s="2" t="inlineStr">
        <is>
          <t>F</t>
        </is>
      </c>
      <c r="D1631" s="2" t="inlineStr">
        <is>
          <t>100.0</t>
        </is>
      </c>
      <c r="E1631" s="4">
        <f>HYPERLINK("./Results/DLO\414\Osteo_Sarco_1.png","RPT")</f>
        <v/>
      </c>
      <c r="F1631" s="2" t="n">
        <v>86</v>
      </c>
      <c r="G1631" s="6" t="n">
        <v>11</v>
      </c>
      <c r="H1631" t="n">
        <v>19.22</v>
      </c>
      <c r="L1631" t="inlineStr">
        <is>
          <t>SOMATOM Definition...</t>
        </is>
      </c>
      <c r="M1631" t="inlineStr">
        <is>
          <t>Pre 3mm</t>
        </is>
      </c>
    </row>
    <row r="1632">
      <c r="A1632" s="2" t="n">
        <v>4679259</v>
      </c>
      <c r="B1632" s="2" t="inlineStr">
        <is>
          <t>44</t>
        </is>
      </c>
      <c r="C1632" s="2" t="inlineStr">
        <is>
          <t>F</t>
        </is>
      </c>
      <c r="D1632" s="2" t="inlineStr">
        <is>
          <t>120.0</t>
        </is>
      </c>
      <c r="E1632" s="4">
        <f>HYPERLINK("./Results/DLO\415\Osteo_Sarco_1.png","RPT")</f>
        <v/>
      </c>
      <c r="F1632" s="2" t="n">
        <v>101</v>
      </c>
      <c r="G1632" s="6" t="n">
        <v>13</v>
      </c>
      <c r="I1632" s="0" t="n"/>
      <c r="J1632" s="0" t="n"/>
      <c r="K1632" s="0" t="n"/>
      <c r="L1632" t="inlineStr">
        <is>
          <t>Sensation Open</t>
        </is>
      </c>
      <c r="M1632" t="inlineStr">
        <is>
          <t>Pelvis 3.0 B31s</t>
        </is>
      </c>
    </row>
    <row r="1633">
      <c r="A1633" s="2" t="n">
        <v>1768375</v>
      </c>
      <c r="B1633" s="2" t="inlineStr">
        <is>
          <t>35</t>
        </is>
      </c>
      <c r="C1633" s="2" t="inlineStr">
        <is>
          <t>M</t>
        </is>
      </c>
      <c r="D1633" s="2" t="inlineStr">
        <is>
          <t>120.0</t>
        </is>
      </c>
      <c r="E1633" s="4">
        <f>HYPERLINK("./Results/DLO\416\Osteo_Sarco_1.png","RPT")</f>
        <v/>
      </c>
      <c r="F1633" s="2" t="n">
        <v>125</v>
      </c>
      <c r="G1633" s="6" t="n">
        <v>6</v>
      </c>
      <c r="I1633" s="0" t="n"/>
      <c r="J1633" s="0" t="n"/>
      <c r="K1633" s="0" t="n"/>
      <c r="L1633" t="inlineStr">
        <is>
          <t>iCT 256</t>
        </is>
      </c>
      <c r="M1633" t="inlineStr">
        <is>
          <t>HVP 3/3mm, iDose (3)</t>
        </is>
      </c>
    </row>
    <row r="1634">
      <c r="A1634" s="2" t="n">
        <v>4621820</v>
      </c>
      <c r="B1634" s="2" t="inlineStr">
        <is>
          <t>76</t>
        </is>
      </c>
      <c r="C1634" s="2" t="inlineStr">
        <is>
          <t>F</t>
        </is>
      </c>
      <c r="D1634" s="2" t="inlineStr">
        <is>
          <t>100.0</t>
        </is>
      </c>
      <c r="E1634" s="4">
        <f>HYPERLINK("./Results/DLO\417\Osteo_Sarco_1.png","RPT")</f>
        <v/>
      </c>
      <c r="F1634" s="2" t="n">
        <v>102</v>
      </c>
      <c r="G1634" s="6" t="n">
        <v>19</v>
      </c>
      <c r="H1634" t="n">
        <v>25.88</v>
      </c>
      <c r="L1634" t="inlineStr">
        <is>
          <t>SOMATOM Definition...</t>
        </is>
      </c>
      <c r="M1634" t="inlineStr">
        <is>
          <t>Pre(GU) 3mm</t>
        </is>
      </c>
    </row>
    <row r="1635">
      <c r="A1635" s="2" t="n">
        <v>3557801</v>
      </c>
      <c r="B1635" s="2" t="inlineStr">
        <is>
          <t>48</t>
        </is>
      </c>
      <c r="C1635" s="2" t="inlineStr">
        <is>
          <t>F</t>
        </is>
      </c>
      <c r="D1635" s="2" t="inlineStr">
        <is>
          <t>110.0</t>
        </is>
      </c>
      <c r="E1635" s="4">
        <f>HYPERLINK("./Results/DLO\418\Osteo_Sarco_1.png","RPT")</f>
        <v/>
      </c>
      <c r="F1635" s="2" t="n">
        <v>108</v>
      </c>
      <c r="G1635" s="6" t="n">
        <v>10</v>
      </c>
      <c r="I1635" s="0" t="n"/>
      <c r="J1635" s="0" t="n"/>
      <c r="K1635" s="0" t="n"/>
      <c r="L1635" t="inlineStr">
        <is>
          <t>SOMATOM Force</t>
        </is>
      </c>
      <c r="M1635" t="inlineStr">
        <is>
          <t>Pre 3.0 Br40 2</t>
        </is>
      </c>
    </row>
    <row r="1636">
      <c r="A1636" s="2" t="n">
        <v>3558145</v>
      </c>
      <c r="B1636" s="2" t="inlineStr">
        <is>
          <t>66</t>
        </is>
      </c>
      <c r="C1636" s="2" t="inlineStr">
        <is>
          <t>F</t>
        </is>
      </c>
      <c r="D1636" s="2" t="inlineStr">
        <is>
          <t>100.0</t>
        </is>
      </c>
      <c r="E1636" s="4">
        <f>HYPERLINK("./Results/DLO\419\Osteo_Sarco_1.png","RPT")</f>
        <v/>
      </c>
      <c r="F1636" s="2" t="n">
        <v>119</v>
      </c>
      <c r="G1636" s="6" t="n">
        <v>12</v>
      </c>
      <c r="I1636" s="0" t="n"/>
      <c r="J1636" s="0" t="n"/>
      <c r="K1636" s="0" t="n"/>
      <c r="L1636" t="inlineStr">
        <is>
          <t>SOMATOM Definition...</t>
        </is>
      </c>
      <c r="M1636" t="inlineStr">
        <is>
          <t>Pre 3mm</t>
        </is>
      </c>
    </row>
    <row r="1637">
      <c r="A1637" s="2" t="n">
        <v>2641785</v>
      </c>
      <c r="B1637" s="2" t="inlineStr">
        <is>
          <t>65</t>
        </is>
      </c>
      <c r="C1637" s="2" t="inlineStr">
        <is>
          <t>F</t>
        </is>
      </c>
      <c r="D1637" s="2" t="inlineStr">
        <is>
          <t>100.0</t>
        </is>
      </c>
      <c r="E1637" s="4">
        <f>HYPERLINK("./Results/DLO\42\Osteo_Sarco_1.png","RPT")</f>
        <v/>
      </c>
      <c r="F1637" s="2" t="n">
        <v>106</v>
      </c>
      <c r="G1637" s="6" t="n">
        <v>16</v>
      </c>
      <c r="H1637" t="n">
        <v>23.7</v>
      </c>
      <c r="L1637" t="inlineStr">
        <is>
          <t>SOMATOM Definition...</t>
        </is>
      </c>
      <c r="M1637" t="inlineStr">
        <is>
          <t>Pre 3mm</t>
        </is>
      </c>
    </row>
    <row r="1638">
      <c r="A1638" s="2" t="n">
        <v>2447988</v>
      </c>
      <c r="B1638" s="2" t="inlineStr">
        <is>
          <t>75</t>
        </is>
      </c>
      <c r="C1638" s="2" t="inlineStr">
        <is>
          <t>F</t>
        </is>
      </c>
      <c r="D1638" s="2" t="inlineStr">
        <is>
          <t>120.0</t>
        </is>
      </c>
      <c r="E1638" s="4">
        <f>HYPERLINK("./Results/DLO\420\Osteo_Sarco_1.png","RPT")</f>
        <v/>
      </c>
      <c r="F1638" s="2" t="n">
        <v>112</v>
      </c>
      <c r="G1638" s="6" t="n">
        <v>12</v>
      </c>
      <c r="I1638" s="0" t="n"/>
      <c r="J1638" s="0" t="n"/>
      <c r="K1638" s="0" t="n"/>
      <c r="L1638" t="inlineStr">
        <is>
          <t>iCT 256</t>
        </is>
      </c>
      <c r="M1638" t="inlineStr">
        <is>
          <t>HVP 3/3mm, iDose (4)</t>
        </is>
      </c>
    </row>
    <row r="1639">
      <c r="A1639" s="2" t="n">
        <v>3371643</v>
      </c>
      <c r="B1639" s="2" t="inlineStr">
        <is>
          <t>68</t>
        </is>
      </c>
      <c r="C1639" s="2" t="inlineStr">
        <is>
          <t>M</t>
        </is>
      </c>
      <c r="D1639" s="2" t="inlineStr">
        <is>
          <t>100.0</t>
        </is>
      </c>
      <c r="E1639" s="4">
        <f>HYPERLINK("./Results/DLO\422\Osteo_Sarco_1.png","RPT")</f>
        <v/>
      </c>
      <c r="F1639" s="2" t="n">
        <v>166</v>
      </c>
      <c r="G1639" s="6" t="n">
        <v>21</v>
      </c>
      <c r="H1639" t="n">
        <v>25.21</v>
      </c>
      <c r="L1639" t="inlineStr">
        <is>
          <t>iCT 256</t>
        </is>
      </c>
      <c r="M1639" t="inlineStr">
        <is>
          <t>HVP 3/3mm, iDose (3)</t>
        </is>
      </c>
    </row>
    <row r="1640">
      <c r="A1640" s="2" t="n">
        <v>4382975</v>
      </c>
      <c r="B1640" s="2" t="inlineStr">
        <is>
          <t>48</t>
        </is>
      </c>
      <c r="C1640" s="2" t="inlineStr">
        <is>
          <t>M</t>
        </is>
      </c>
      <c r="D1640" s="2" t="inlineStr">
        <is>
          <t>120.0</t>
        </is>
      </c>
      <c r="E1640" s="4">
        <f>HYPERLINK("./Results/DLO\423\Osteo_Sarco_1.png","RPT")</f>
        <v/>
      </c>
      <c r="F1640" s="2" t="n">
        <v>170</v>
      </c>
      <c r="G1640" s="6" t="n">
        <v>8</v>
      </c>
      <c r="I1640" s="0" t="n"/>
      <c r="J1640" s="0" t="n"/>
      <c r="K1640" s="0" t="n"/>
      <c r="L1640" t="inlineStr">
        <is>
          <t>LightSpeed VCT</t>
        </is>
      </c>
      <c r="M1640" t="inlineStr">
        <is>
          <t>HVP 3mm</t>
        </is>
      </c>
    </row>
    <row r="1641">
      <c r="A1641" s="2" t="n">
        <v>1795422</v>
      </c>
      <c r="B1641" s="2" t="inlineStr">
        <is>
          <t>58</t>
        </is>
      </c>
      <c r="C1641" s="2" t="inlineStr">
        <is>
          <t>M</t>
        </is>
      </c>
      <c r="D1641" s="2" t="inlineStr">
        <is>
          <t>100.0</t>
        </is>
      </c>
      <c r="E1641" s="4">
        <f>HYPERLINK("./Results/DLO\424\Osteo_Sarco_1.png","RPT")</f>
        <v/>
      </c>
      <c r="F1641" s="2" t="n">
        <v>131</v>
      </c>
      <c r="G1641" s="6" t="n">
        <v>27</v>
      </c>
      <c r="H1641" t="n">
        <v>29.05</v>
      </c>
      <c r="L1641" t="inlineStr">
        <is>
          <t>Revolution EVO</t>
        </is>
      </c>
      <c r="M1641" t="inlineStr">
        <is>
          <t>AX 3mm</t>
        </is>
      </c>
    </row>
    <row r="1642">
      <c r="A1642" s="2" t="n">
        <v>3479259</v>
      </c>
      <c r="B1642" s="2" t="inlineStr">
        <is>
          <t>68</t>
        </is>
      </c>
      <c r="C1642" s="2" t="inlineStr">
        <is>
          <t>M</t>
        </is>
      </c>
      <c r="D1642" s="2" t="inlineStr">
        <is>
          <t>100.0</t>
        </is>
      </c>
      <c r="E1642" s="4">
        <f>HYPERLINK("./Results/DLO\425\Osteo_Sarco_1.png","RPT")</f>
        <v/>
      </c>
      <c r="F1642" s="2" t="n">
        <v>133</v>
      </c>
      <c r="G1642" s="6" t="n">
        <v>9</v>
      </c>
      <c r="H1642" t="n">
        <v>25.35</v>
      </c>
      <c r="L1642" t="inlineStr">
        <is>
          <t>Revolution CT</t>
        </is>
      </c>
      <c r="M1642" t="inlineStr">
        <is>
          <t>HVP 3mm(75kg/150cc/3cc/omni)</t>
        </is>
      </c>
    </row>
    <row r="1643">
      <c r="A1643" s="2" t="n">
        <v>1097614</v>
      </c>
      <c r="B1643" s="2" t="inlineStr">
        <is>
          <t>47</t>
        </is>
      </c>
      <c r="C1643" s="2" t="inlineStr">
        <is>
          <t>F</t>
        </is>
      </c>
      <c r="D1643" s="2" t="inlineStr">
        <is>
          <t>100.0</t>
        </is>
      </c>
      <c r="E1643" s="4">
        <f>HYPERLINK("./Results/DLO\426\Osteo_Sarco_1.png","RPT")</f>
        <v/>
      </c>
      <c r="F1643" s="2" t="n">
        <v>105</v>
      </c>
      <c r="G1643" s="6" t="n">
        <v>9</v>
      </c>
      <c r="H1643" t="n">
        <v>17.1</v>
      </c>
      <c r="L1643" t="inlineStr">
        <is>
          <t>Revolution EVO</t>
        </is>
      </c>
      <c r="M1643" t="inlineStr">
        <is>
          <t>Abdomen Pre 2.5mm</t>
        </is>
      </c>
    </row>
    <row r="1644">
      <c r="A1644" s="2" t="n">
        <v>2749771</v>
      </c>
      <c r="B1644" s="2" t="inlineStr">
        <is>
          <t>68</t>
        </is>
      </c>
      <c r="C1644" s="2" t="inlineStr">
        <is>
          <t>F</t>
        </is>
      </c>
      <c r="D1644" s="2" t="inlineStr">
        <is>
          <t>120.0</t>
        </is>
      </c>
      <c r="E1644" s="4">
        <f>HYPERLINK("./Results/DLO\427\Osteo_Sarco_1.png","RPT")</f>
        <v/>
      </c>
      <c r="F1644" s="2" t="n">
        <v>119</v>
      </c>
      <c r="G1644" s="6" t="n">
        <v>11</v>
      </c>
      <c r="I1644" s="0" t="n"/>
      <c r="J1644" s="0" t="n"/>
      <c r="K1644" s="0" t="n"/>
      <c r="L1644" t="inlineStr">
        <is>
          <t>iCT 256</t>
        </is>
      </c>
      <c r="M1644" t="inlineStr">
        <is>
          <t>Pre 3/3mm, iDose (3)</t>
        </is>
      </c>
    </row>
    <row r="1645">
      <c r="A1645" s="2" t="n">
        <v>3142923</v>
      </c>
      <c r="B1645" s="2" t="inlineStr">
        <is>
          <t>44</t>
        </is>
      </c>
      <c r="C1645" s="2" t="inlineStr">
        <is>
          <t>F</t>
        </is>
      </c>
      <c r="D1645" s="2" t="inlineStr">
        <is>
          <t>100.0</t>
        </is>
      </c>
      <c r="E1645" s="4">
        <f>HYPERLINK("./Results/DLO\428\Osteo_Sarco_1.png","RPT")</f>
        <v/>
      </c>
      <c r="F1645" s="2" t="n">
        <v>97</v>
      </c>
      <c r="G1645" s="6" t="n">
        <v>6</v>
      </c>
      <c r="I1645" s="0" t="n"/>
      <c r="J1645" s="0" t="n"/>
      <c r="K1645" s="0" t="n"/>
      <c r="L1645" t="inlineStr">
        <is>
          <t>iCT 256</t>
        </is>
      </c>
      <c r="M1645" t="inlineStr">
        <is>
          <t>Pre (CP~Pubi)3mm, iDose (3)</t>
        </is>
      </c>
    </row>
    <row r="1646">
      <c r="A1646" s="2" t="n">
        <v>4779877</v>
      </c>
      <c r="B1646" s="2" t="inlineStr">
        <is>
          <t>68</t>
        </is>
      </c>
      <c r="C1646" s="2" t="inlineStr">
        <is>
          <t>M</t>
        </is>
      </c>
      <c r="D1646" s="2" t="inlineStr">
        <is>
          <t>120.0</t>
        </is>
      </c>
      <c r="E1646" s="4">
        <f>HYPERLINK("./Results/DLO\429\Osteo_Sarco_1.png","RPT")</f>
        <v/>
      </c>
      <c r="F1646" s="2" t="n">
        <v>156</v>
      </c>
      <c r="G1646" s="6" t="n">
        <v>10</v>
      </c>
      <c r="H1646" t="n">
        <v>24.09</v>
      </c>
      <c r="L1646" t="inlineStr">
        <is>
          <t>iCT 256</t>
        </is>
      </c>
      <c r="M1646" t="inlineStr">
        <is>
          <t>HVP 3/3mm, iDose (3)</t>
        </is>
      </c>
    </row>
    <row r="1647">
      <c r="A1647" s="2" t="n">
        <v>193616</v>
      </c>
      <c r="B1647" s="2" t="inlineStr">
        <is>
          <t>39</t>
        </is>
      </c>
      <c r="C1647" s="2" t="inlineStr">
        <is>
          <t>F</t>
        </is>
      </c>
      <c r="D1647" s="2" t="inlineStr">
        <is>
          <t>100.0</t>
        </is>
      </c>
      <c r="E1647" s="4">
        <f>HYPERLINK("./Results/DLO\43\Osteo_Sarco_1.png","RPT")</f>
        <v/>
      </c>
      <c r="F1647" s="2" t="n">
        <v>158</v>
      </c>
      <c r="G1647" s="6" t="n">
        <v>26</v>
      </c>
      <c r="I1647" s="0" t="n"/>
      <c r="J1647" s="0" t="n"/>
      <c r="K1647" s="0" t="n"/>
      <c r="L1647" t="inlineStr">
        <is>
          <t>iCT 256</t>
        </is>
      </c>
      <c r="M1647" t="inlineStr">
        <is>
          <t>Pre3/3mm_I-3, iDose (3)</t>
        </is>
      </c>
    </row>
    <row r="1648">
      <c r="A1648" s="2" t="n">
        <v>1093729</v>
      </c>
      <c r="B1648" s="2" t="inlineStr">
        <is>
          <t>21</t>
        </is>
      </c>
      <c r="C1648" s="2" t="inlineStr">
        <is>
          <t>M</t>
        </is>
      </c>
      <c r="D1648" s="2" t="inlineStr">
        <is>
          <t>100.0</t>
        </is>
      </c>
      <c r="E1648" s="4">
        <f>HYPERLINK("./Results/DLO\430\Osteo_Sarco_1.png","RPT")</f>
        <v/>
      </c>
      <c r="F1648" s="2" t="n">
        <v>145</v>
      </c>
      <c r="G1648" s="6" t="n">
        <v>3</v>
      </c>
      <c r="I1648" s="0" t="n"/>
      <c r="J1648" s="0" t="n"/>
      <c r="K1648" s="0" t="n"/>
      <c r="L1648" t="inlineStr">
        <is>
          <t>SOMATOM Definition...</t>
        </is>
      </c>
      <c r="M1648" t="inlineStr">
        <is>
          <t>Abd Pre 3.0 I40f 2</t>
        </is>
      </c>
    </row>
    <row r="1649">
      <c r="A1649" s="2" t="n">
        <v>3480115</v>
      </c>
      <c r="B1649" s="2" t="inlineStr">
        <is>
          <t>79</t>
        </is>
      </c>
      <c r="C1649" s="2" t="inlineStr">
        <is>
          <t>M</t>
        </is>
      </c>
      <c r="D1649" s="2" t="inlineStr">
        <is>
          <t>100.0</t>
        </is>
      </c>
      <c r="E1649" s="4">
        <f>HYPERLINK("./Results/DLO\431\Osteo_Sarco_1.png","RPT")</f>
        <v/>
      </c>
      <c r="F1649" s="2" t="n">
        <v>95</v>
      </c>
      <c r="G1649" s="6" t="n">
        <v>17</v>
      </c>
      <c r="H1649" t="n">
        <v>26.17</v>
      </c>
      <c r="L1649" t="inlineStr">
        <is>
          <t>Revolution EVO</t>
        </is>
      </c>
      <c r="M1649" t="inlineStr">
        <is>
          <t>Abdomen Pre 2.5mm</t>
        </is>
      </c>
    </row>
    <row r="1650">
      <c r="A1650" s="2" t="n">
        <v>3822142</v>
      </c>
      <c r="B1650" s="2" t="inlineStr">
        <is>
          <t>57</t>
        </is>
      </c>
      <c r="C1650" s="2" t="inlineStr">
        <is>
          <t>F</t>
        </is>
      </c>
      <c r="D1650" s="2" t="inlineStr">
        <is>
          <t>100.0</t>
        </is>
      </c>
      <c r="E1650" s="4">
        <f>HYPERLINK("./Results/DLO\432\Osteo_Sarco_1.png","RPT")</f>
        <v/>
      </c>
      <c r="F1650" s="2" t="n">
        <v>117</v>
      </c>
      <c r="G1650" s="6" t="n">
        <v>9</v>
      </c>
      <c r="I1650" s="0" t="n"/>
      <c r="J1650" s="0" t="n"/>
      <c r="K1650" s="0" t="n"/>
      <c r="L1650" t="inlineStr">
        <is>
          <t>SOMATOM Definition...</t>
        </is>
      </c>
      <c r="M1650" t="inlineStr">
        <is>
          <t>HVP 2 3mm (75kg/150cc/3cc/omni)</t>
        </is>
      </c>
    </row>
    <row r="1651">
      <c r="A1651" s="2" t="n">
        <v>3720962</v>
      </c>
      <c r="B1651" s="2" t="inlineStr">
        <is>
          <t>65</t>
        </is>
      </c>
      <c r="C1651" s="2" t="inlineStr">
        <is>
          <t>M</t>
        </is>
      </c>
      <c r="D1651" s="2" t="inlineStr">
        <is>
          <t>100.0</t>
        </is>
      </c>
      <c r="E1651" s="4">
        <f>HYPERLINK("./Results/DLO\433\Osteo_Sarco_1.png","RPT")</f>
        <v/>
      </c>
      <c r="F1651" s="2" t="n">
        <v>149</v>
      </c>
      <c r="G1651" s="6" t="n">
        <v>7</v>
      </c>
      <c r="I1651" s="0" t="n"/>
      <c r="J1651" s="0" t="n"/>
      <c r="K1651" s="0" t="n"/>
      <c r="L1651" t="inlineStr">
        <is>
          <t>SOMATOM Definition...</t>
        </is>
      </c>
      <c r="M1651" t="inlineStr">
        <is>
          <t>HVP 2 3mm(70kg/140cc/3cc/radi)</t>
        </is>
      </c>
    </row>
    <row r="1652">
      <c r="A1652" s="2" t="n">
        <v>3641166</v>
      </c>
      <c r="B1652" s="2" t="inlineStr">
        <is>
          <t>76</t>
        </is>
      </c>
      <c r="C1652" s="2" t="inlineStr">
        <is>
          <t>F</t>
        </is>
      </c>
      <c r="D1652" s="2" t="inlineStr">
        <is>
          <t>120.0</t>
        </is>
      </c>
      <c r="E1652" s="4">
        <f>HYPERLINK("./Results/DLO\434\Osteo_Sarco_1.png","RPT")</f>
        <v/>
      </c>
      <c r="F1652" s="2" t="n">
        <v>115</v>
      </c>
      <c r="G1652" s="6" t="n">
        <v>14</v>
      </c>
      <c r="H1652" t="n">
        <v>28.12</v>
      </c>
      <c r="L1652" t="inlineStr">
        <is>
          <t>iCT 256</t>
        </is>
      </c>
      <c r="M1652" t="inlineStr">
        <is>
          <t>HVP 3/3mm, iDose (3)</t>
        </is>
      </c>
    </row>
    <row r="1653">
      <c r="A1653" s="2" t="n">
        <v>3546651</v>
      </c>
      <c r="B1653" s="2" t="inlineStr">
        <is>
          <t>71</t>
        </is>
      </c>
      <c r="C1653" s="2" t="inlineStr">
        <is>
          <t>F</t>
        </is>
      </c>
      <c r="D1653" s="2" t="inlineStr">
        <is>
          <t>100.0</t>
        </is>
      </c>
      <c r="E1653" s="4">
        <f>HYPERLINK("./Results/DLO\435\Osteo_Sarco_1.png","RPT")</f>
        <v/>
      </c>
      <c r="F1653" s="2" t="n">
        <v>101</v>
      </c>
      <c r="G1653" s="6" t="n">
        <v>15</v>
      </c>
      <c r="H1653" t="n">
        <v>31.33</v>
      </c>
      <c r="L1653" t="inlineStr">
        <is>
          <t>Revolution EVO</t>
        </is>
      </c>
      <c r="M1653" t="inlineStr">
        <is>
          <t>AX 3mm</t>
        </is>
      </c>
    </row>
    <row r="1654">
      <c r="A1654" s="2" t="n">
        <v>3006553</v>
      </c>
      <c r="B1654" s="2" t="inlineStr">
        <is>
          <t>43</t>
        </is>
      </c>
      <c r="C1654" s="2" t="inlineStr">
        <is>
          <t>F</t>
        </is>
      </c>
      <c r="D1654" s="2" t="inlineStr">
        <is>
          <t>100.0</t>
        </is>
      </c>
      <c r="E1654" s="4">
        <f>HYPERLINK("./Results/DLO\437\Osteo_Sarco_1.png","RPT")</f>
        <v/>
      </c>
      <c r="F1654" s="2" t="n">
        <v>156</v>
      </c>
      <c r="G1654" s="6" t="n">
        <v>10</v>
      </c>
      <c r="I1654" s="0" t="n"/>
      <c r="J1654" s="0" t="n"/>
      <c r="K1654" s="0" t="n"/>
      <c r="L1654" t="inlineStr">
        <is>
          <t>iCT 256</t>
        </is>
      </c>
      <c r="M1654" t="inlineStr">
        <is>
          <t>Pre (CP~Pubi)3mm, iDose (3)</t>
        </is>
      </c>
    </row>
    <row r="1655">
      <c r="A1655" s="2" t="n">
        <v>4455934</v>
      </c>
      <c r="B1655" s="2" t="inlineStr">
        <is>
          <t>82</t>
        </is>
      </c>
      <c r="C1655" s="2" t="inlineStr">
        <is>
          <t>F</t>
        </is>
      </c>
      <c r="D1655" s="2" t="inlineStr">
        <is>
          <t>120.0</t>
        </is>
      </c>
      <c r="E1655" s="4">
        <f>HYPERLINK("./Results/DLO\438\Osteo_Sarco_1.png","RPT")</f>
        <v/>
      </c>
      <c r="F1655" s="2" t="n">
        <v>88</v>
      </c>
      <c r="G1655" s="6" t="n">
        <v>11</v>
      </c>
      <c r="I1655" s="0" t="n"/>
      <c r="J1655" s="0" t="n"/>
      <c r="K1655" s="0" t="n"/>
      <c r="L1655" t="inlineStr">
        <is>
          <t>LightSpeed VCT</t>
        </is>
      </c>
      <c r="M1655" t="inlineStr">
        <is>
          <t>HVP 55sec 3mm</t>
        </is>
      </c>
    </row>
    <row r="1656">
      <c r="A1656" s="2" t="n">
        <v>4195908</v>
      </c>
      <c r="B1656" s="2" t="inlineStr">
        <is>
          <t>77</t>
        </is>
      </c>
      <c r="C1656" s="2" t="inlineStr">
        <is>
          <t>F</t>
        </is>
      </c>
      <c r="D1656" s="2" t="inlineStr">
        <is>
          <t>100.0</t>
        </is>
      </c>
      <c r="E1656" s="4">
        <f>HYPERLINK("./Results/DLO\439\Osteo_Sarco_1.png","RPT")</f>
        <v/>
      </c>
      <c r="F1656" s="2" t="n">
        <v>120</v>
      </c>
      <c r="G1656" s="6" t="n">
        <v>34</v>
      </c>
      <c r="H1656" t="n">
        <v>38.33</v>
      </c>
      <c r="L1656" t="inlineStr">
        <is>
          <t>LightSpeed VCT</t>
        </is>
      </c>
      <c r="M1656" t="inlineStr">
        <is>
          <t>PRE</t>
        </is>
      </c>
    </row>
    <row r="1657">
      <c r="A1657" s="2" t="n">
        <v>2504073</v>
      </c>
      <c r="B1657" s="2" t="inlineStr">
        <is>
          <t>56</t>
        </is>
      </c>
      <c r="C1657" s="2" t="inlineStr">
        <is>
          <t>M</t>
        </is>
      </c>
      <c r="D1657" s="2" t="inlineStr">
        <is>
          <t>120.0</t>
        </is>
      </c>
      <c r="E1657" s="4">
        <f>HYPERLINK("./Results/DLO\44\Osteo_Sarco_1.png","RPT")</f>
        <v/>
      </c>
      <c r="F1657" s="2" t="n">
        <v>174</v>
      </c>
      <c r="G1657" s="6" t="n">
        <v>8</v>
      </c>
      <c r="I1657" s="0" t="n"/>
      <c r="J1657" s="0" t="n"/>
      <c r="K1657" s="0" t="n"/>
      <c r="L1657" t="inlineStr">
        <is>
          <t>LightSpeed VCT</t>
        </is>
      </c>
      <c r="M1657" t="inlineStr">
        <is>
          <t>HVP 3mm</t>
        </is>
      </c>
    </row>
    <row r="1658">
      <c r="A1658" s="2" t="n">
        <v>2022527</v>
      </c>
      <c r="B1658" s="2" t="inlineStr">
        <is>
          <t>47</t>
        </is>
      </c>
      <c r="C1658" s="2" t="inlineStr">
        <is>
          <t>F</t>
        </is>
      </c>
      <c r="D1658" s="2" t="inlineStr">
        <is>
          <t>100.0</t>
        </is>
      </c>
      <c r="E1658" s="4">
        <f>HYPERLINK("./Results/DLO\440\Osteo_Sarco_1.png","RPT")</f>
        <v/>
      </c>
      <c r="F1658" s="2" t="n">
        <v>100</v>
      </c>
      <c r="G1658" s="6" t="n">
        <v>5</v>
      </c>
      <c r="H1658" t="n">
        <v>20.31</v>
      </c>
      <c r="L1658" t="inlineStr">
        <is>
          <t>Discovery CT750 HD</t>
        </is>
      </c>
      <c r="M1658" t="inlineStr">
        <is>
          <t>ax 3mm</t>
        </is>
      </c>
    </row>
    <row r="1659">
      <c r="A1659" s="2" t="n">
        <v>2766987</v>
      </c>
      <c r="B1659" s="2" t="inlineStr">
        <is>
          <t>76</t>
        </is>
      </c>
      <c r="C1659" s="2" t="inlineStr">
        <is>
          <t>M</t>
        </is>
      </c>
      <c r="D1659" s="2" t="inlineStr">
        <is>
          <t>100.0</t>
        </is>
      </c>
      <c r="E1659" s="4">
        <f>HYPERLINK("./Results/DLO\441\Osteo_Sarco_1.png","RPT")</f>
        <v/>
      </c>
      <c r="F1659" s="2" t="n">
        <v>134</v>
      </c>
      <c r="G1659" s="6" t="n">
        <v>9</v>
      </c>
      <c r="I1659" s="0" t="n"/>
      <c r="J1659" s="0" t="n"/>
      <c r="K1659" s="0" t="n"/>
      <c r="L1659" t="inlineStr">
        <is>
          <t>Revolution CT</t>
        </is>
      </c>
      <c r="M1659" t="inlineStr">
        <is>
          <t>HVP 3mm(62kg/124cc/3cc/bono)</t>
        </is>
      </c>
    </row>
    <row r="1660">
      <c r="A1660" s="2" t="n">
        <v>2297987</v>
      </c>
      <c r="B1660" s="2" t="inlineStr">
        <is>
          <t>62</t>
        </is>
      </c>
      <c r="C1660" s="2" t="inlineStr">
        <is>
          <t>M</t>
        </is>
      </c>
      <c r="D1660" s="2" t="inlineStr">
        <is>
          <t>100.0</t>
        </is>
      </c>
      <c r="E1660" s="4">
        <f>HYPERLINK("./Results/DLO\442\Osteo_Sarco_1.png","RPT")</f>
        <v/>
      </c>
      <c r="F1660" s="2" t="n">
        <v>155</v>
      </c>
      <c r="G1660" s="6" t="n">
        <v>8</v>
      </c>
      <c r="I1660" s="0" t="n"/>
      <c r="J1660" s="0" t="n"/>
      <c r="K1660" s="0" t="n"/>
      <c r="L1660" t="inlineStr">
        <is>
          <t>LightSpeed VCT</t>
        </is>
      </c>
      <c r="M1660" t="inlineStr">
        <is>
          <t>PRE 3mm</t>
        </is>
      </c>
    </row>
    <row r="1661">
      <c r="A1661" s="2" t="n">
        <v>4276418</v>
      </c>
      <c r="B1661" s="2" t="inlineStr">
        <is>
          <t>47</t>
        </is>
      </c>
      <c r="C1661" s="2" t="inlineStr">
        <is>
          <t>F</t>
        </is>
      </c>
      <c r="D1661" s="2" t="inlineStr">
        <is>
          <t>100.0</t>
        </is>
      </c>
      <c r="E1661" s="4">
        <f>HYPERLINK("./Results/DLO\443\Osteo_Sarco_1.png","RPT")</f>
        <v/>
      </c>
      <c r="F1661" s="2" t="n">
        <v>93</v>
      </c>
      <c r="G1661" s="6" t="n">
        <v>7</v>
      </c>
      <c r="I1661" s="0" t="n"/>
      <c r="J1661" s="0" t="n"/>
      <c r="K1661" s="0" t="n"/>
      <c r="L1661" t="inlineStr">
        <is>
          <t>Discovery CT750 HD</t>
        </is>
      </c>
      <c r="M1661" t="inlineStr">
        <is>
          <t>pre 3mm</t>
        </is>
      </c>
    </row>
    <row r="1662">
      <c r="A1662" s="2" t="n">
        <v>2715630</v>
      </c>
      <c r="B1662" s="2" t="inlineStr">
        <is>
          <t>59</t>
        </is>
      </c>
      <c r="C1662" s="2" t="inlineStr">
        <is>
          <t>F</t>
        </is>
      </c>
      <c r="D1662" s="2" t="inlineStr">
        <is>
          <t>100.0</t>
        </is>
      </c>
      <c r="E1662" s="4">
        <f>HYPERLINK("./Results/DLO\444\Osteo_Sarco_1.png","RPT")</f>
        <v/>
      </c>
      <c r="F1662" s="2" t="n">
        <v>108</v>
      </c>
      <c r="G1662" s="6" t="n">
        <v>8</v>
      </c>
      <c r="I1662" s="0" t="n"/>
      <c r="J1662" s="0" t="n"/>
      <c r="K1662" s="0" t="n"/>
      <c r="L1662" t="inlineStr">
        <is>
          <t>SOMATOM Definition...</t>
        </is>
      </c>
      <c r="M1662" t="inlineStr">
        <is>
          <t>Pre 3mm</t>
        </is>
      </c>
    </row>
    <row r="1663">
      <c r="A1663" s="2" t="n">
        <v>2564920</v>
      </c>
      <c r="B1663" s="2" t="inlineStr">
        <is>
          <t>48</t>
        </is>
      </c>
      <c r="C1663" s="2" t="inlineStr">
        <is>
          <t>M</t>
        </is>
      </c>
      <c r="D1663" s="2" t="inlineStr">
        <is>
          <t>80.0</t>
        </is>
      </c>
      <c r="E1663" s="4">
        <f>HYPERLINK("./Results/DLO\445\Osteo_Sarco_1.png","RPT")</f>
        <v/>
      </c>
      <c r="F1663" s="2" t="n">
        <v>119</v>
      </c>
      <c r="G1663" s="6" t="n">
        <v>10</v>
      </c>
      <c r="H1663" t="n">
        <v>19.57</v>
      </c>
      <c r="L1663" t="inlineStr">
        <is>
          <t>SOMATOM Force</t>
        </is>
      </c>
      <c r="M1663" t="inlineStr">
        <is>
          <t>Pre 3.0 Br32</t>
        </is>
      </c>
    </row>
    <row r="1664">
      <c r="A1664" s="2" t="n">
        <v>2894683</v>
      </c>
      <c r="B1664" s="2" t="inlineStr">
        <is>
          <t>80</t>
        </is>
      </c>
      <c r="C1664" s="2" t="inlineStr">
        <is>
          <t>F</t>
        </is>
      </c>
      <c r="D1664" s="2" t="inlineStr">
        <is>
          <t>100.0</t>
        </is>
      </c>
      <c r="E1664" s="4">
        <f>HYPERLINK("./Results/DLO\446\Osteo_Sarco_1.png","RPT")</f>
        <v/>
      </c>
      <c r="F1664" s="2" t="n">
        <v>95</v>
      </c>
      <c r="G1664" s="6" t="n">
        <v>9</v>
      </c>
      <c r="I1664" s="0" t="n"/>
      <c r="J1664" s="0" t="n"/>
      <c r="K1664" s="0" t="n"/>
      <c r="L1664" t="inlineStr">
        <is>
          <t>SOMATOM Force</t>
        </is>
      </c>
      <c r="M1664" t="inlineStr">
        <is>
          <t>Pre 3.0 Br40</t>
        </is>
      </c>
    </row>
    <row r="1665">
      <c r="A1665" s="2" t="n">
        <v>4077023</v>
      </c>
      <c r="B1665" s="2" t="inlineStr">
        <is>
          <t>67</t>
        </is>
      </c>
      <c r="C1665" s="2" t="inlineStr">
        <is>
          <t>F</t>
        </is>
      </c>
      <c r="D1665" s="2" t="inlineStr">
        <is>
          <t>120.0</t>
        </is>
      </c>
      <c r="E1665" s="4">
        <f>HYPERLINK("./Results/DLO\447\Osteo_Sarco_1.png","RPT")</f>
        <v/>
      </c>
      <c r="F1665" s="2" t="n">
        <v>105</v>
      </c>
      <c r="G1665" s="6" t="n">
        <v>8</v>
      </c>
      <c r="I1665" s="0" t="n"/>
      <c r="J1665" s="0" t="n"/>
      <c r="K1665" s="0" t="n"/>
      <c r="L1665" t="inlineStr">
        <is>
          <t>LightSpeed VCT</t>
        </is>
      </c>
      <c r="M1665" t="inlineStr">
        <is>
          <t>HVP 3mm</t>
        </is>
      </c>
    </row>
    <row r="1666">
      <c r="A1666" s="2" t="n">
        <v>2271633</v>
      </c>
      <c r="B1666" s="2" t="inlineStr">
        <is>
          <t>17</t>
        </is>
      </c>
      <c r="C1666" s="2" t="inlineStr">
        <is>
          <t>M</t>
        </is>
      </c>
      <c r="D1666" s="2" t="inlineStr">
        <is>
          <t>100.0</t>
        </is>
      </c>
      <c r="E1666" s="4">
        <f>HYPERLINK("./Results/DLO\448\Osteo_Sarco_1.png","RPT")</f>
        <v/>
      </c>
      <c r="F1666" s="2" t="n">
        <v>138</v>
      </c>
      <c r="G1666" s="6" t="n">
        <v>2</v>
      </c>
      <c r="I1666" s="0" t="n"/>
      <c r="J1666" s="0" t="n"/>
      <c r="K1666" s="0" t="n"/>
      <c r="L1666" t="inlineStr">
        <is>
          <t>Revolution EVO</t>
        </is>
      </c>
      <c r="M1666" t="inlineStr">
        <is>
          <t>HVP AX ASIRV 50</t>
        </is>
      </c>
    </row>
    <row r="1667">
      <c r="A1667" s="2" t="n">
        <v>4808164</v>
      </c>
      <c r="B1667" s="2" t="inlineStr">
        <is>
          <t>71</t>
        </is>
      </c>
      <c r="C1667" s="2" t="inlineStr">
        <is>
          <t>M</t>
        </is>
      </c>
      <c r="D1667" s="2" t="inlineStr">
        <is>
          <t>100.0</t>
        </is>
      </c>
      <c r="E1667" s="4">
        <f>HYPERLINK("./Results/DLO\449\Osteo_Sarco_1.png","RPT")</f>
        <v/>
      </c>
      <c r="F1667" s="2" t="n">
        <v>125</v>
      </c>
      <c r="G1667" s="6" t="n">
        <v>9</v>
      </c>
      <c r="I1667" s="0" t="n"/>
      <c r="J1667" s="0" t="n"/>
      <c r="K1667" s="0" t="n"/>
      <c r="L1667" t="inlineStr">
        <is>
          <t>LightSpeed VCT</t>
        </is>
      </c>
      <c r="M1667" t="inlineStr">
        <is>
          <t>PRE 3mm</t>
        </is>
      </c>
    </row>
    <row r="1668">
      <c r="A1668" s="2" t="n">
        <v>1805436</v>
      </c>
      <c r="B1668" s="2" t="inlineStr">
        <is>
          <t>69</t>
        </is>
      </c>
      <c r="C1668" s="2" t="inlineStr">
        <is>
          <t>F</t>
        </is>
      </c>
      <c r="D1668" s="2" t="inlineStr">
        <is>
          <t>100.0</t>
        </is>
      </c>
      <c r="E1668" s="4">
        <f>HYPERLINK("./Results/DLO\45\Osteo_Sarco_1.png","RPT")</f>
        <v/>
      </c>
      <c r="F1668" s="2" t="n">
        <v>94</v>
      </c>
      <c r="G1668" s="6" t="n">
        <v>16</v>
      </c>
      <c r="I1668" s="0" t="n"/>
      <c r="J1668" s="0" t="n"/>
      <c r="K1668" s="0" t="n"/>
      <c r="L1668" t="inlineStr">
        <is>
          <t>LightSpeed VCT</t>
        </is>
      </c>
      <c r="M1668" t="inlineStr">
        <is>
          <t>PRE (CP angle~Pubic)</t>
        </is>
      </c>
    </row>
    <row r="1669">
      <c r="A1669" s="2" t="n">
        <v>3916014</v>
      </c>
      <c r="B1669" s="2" t="inlineStr">
        <is>
          <t>66</t>
        </is>
      </c>
      <c r="C1669" s="2" t="inlineStr">
        <is>
          <t>F</t>
        </is>
      </c>
      <c r="D1669" s="2" t="inlineStr">
        <is>
          <t>100.0</t>
        </is>
      </c>
      <c r="E1669" s="4">
        <f>HYPERLINK("./Results/DLO\450\Osteo_Sarco_1.png","RPT")</f>
        <v/>
      </c>
      <c r="F1669" s="2" t="n">
        <v>122</v>
      </c>
      <c r="G1669" s="6" t="n">
        <v>15</v>
      </c>
      <c r="I1669" s="0" t="n"/>
      <c r="J1669" s="0" t="n"/>
      <c r="K1669" s="0" t="n"/>
      <c r="L1669" t="inlineStr">
        <is>
          <t>Discovery CT750 HD</t>
        </is>
      </c>
      <c r="M1669" t="inlineStr">
        <is>
          <t>Pre 3mm</t>
        </is>
      </c>
    </row>
    <row r="1670">
      <c r="A1670" s="2" t="n">
        <v>4000463</v>
      </c>
      <c r="B1670" s="2" t="inlineStr">
        <is>
          <t>77</t>
        </is>
      </c>
      <c r="C1670" s="2" t="inlineStr">
        <is>
          <t>M</t>
        </is>
      </c>
      <c r="D1670" s="2" t="inlineStr">
        <is>
          <t>110.0</t>
        </is>
      </c>
      <c r="E1670" s="4">
        <f>HYPERLINK("./Results/DLO\451\Osteo_Sarco_1.png","RPT")</f>
        <v/>
      </c>
      <c r="F1670" s="2" t="n">
        <v>149</v>
      </c>
      <c r="G1670" s="6" t="n">
        <v>21</v>
      </c>
      <c r="H1670" t="n">
        <v>28.73</v>
      </c>
      <c r="L1670" t="inlineStr">
        <is>
          <t>SOMATOM Force</t>
        </is>
      </c>
      <c r="M1670" t="inlineStr">
        <is>
          <t>Pre 3.0 Br40 2</t>
        </is>
      </c>
    </row>
    <row r="1671">
      <c r="A1671" s="2" t="n">
        <v>4203975</v>
      </c>
      <c r="B1671" s="2" t="inlineStr">
        <is>
          <t>59</t>
        </is>
      </c>
      <c r="C1671" s="2" t="inlineStr">
        <is>
          <t>M</t>
        </is>
      </c>
      <c r="D1671" s="2" t="inlineStr">
        <is>
          <t>100.0</t>
        </is>
      </c>
      <c r="E1671" s="4">
        <f>HYPERLINK("./Results/DLO\452\Osteo_Sarco_1.png","RPT")</f>
        <v/>
      </c>
      <c r="F1671" s="2" t="n">
        <v>192</v>
      </c>
      <c r="G1671" s="6" t="n">
        <v>12</v>
      </c>
      <c r="I1671" s="0" t="n"/>
      <c r="J1671" s="0" t="n"/>
      <c r="K1671" s="0" t="n"/>
      <c r="L1671" t="inlineStr">
        <is>
          <t>LightSpeed VCT</t>
        </is>
      </c>
      <c r="M1671" t="inlineStr">
        <is>
          <t>PRE 3mm</t>
        </is>
      </c>
    </row>
    <row r="1672">
      <c r="A1672" s="2" t="n">
        <v>2581239</v>
      </c>
      <c r="B1672" s="2" t="inlineStr">
        <is>
          <t>61</t>
        </is>
      </c>
      <c r="C1672" s="2" t="inlineStr">
        <is>
          <t>M</t>
        </is>
      </c>
      <c r="D1672" s="2" t="inlineStr">
        <is>
          <t>120.0</t>
        </is>
      </c>
      <c r="E1672" s="4">
        <f>HYPERLINK("./Results/DLO\453\Osteo_Sarco_1.png","RPT")</f>
        <v/>
      </c>
      <c r="F1672" s="2" t="n">
        <v>174</v>
      </c>
      <c r="G1672" s="6" t="n">
        <v>4</v>
      </c>
      <c r="I1672" s="0" t="n"/>
      <c r="J1672" s="0" t="n"/>
      <c r="K1672" s="0" t="n"/>
      <c r="L1672" t="inlineStr">
        <is>
          <t>LightSpeed VCT</t>
        </is>
      </c>
      <c r="M1672" t="inlineStr">
        <is>
          <t>HVP 3mm</t>
        </is>
      </c>
    </row>
    <row r="1673">
      <c r="A1673" s="2" t="n">
        <v>2122332</v>
      </c>
      <c r="B1673" s="2" t="inlineStr">
        <is>
          <t>62</t>
        </is>
      </c>
      <c r="C1673" s="2" t="inlineStr">
        <is>
          <t>M</t>
        </is>
      </c>
      <c r="D1673" s="2" t="inlineStr">
        <is>
          <t>100.0</t>
        </is>
      </c>
      <c r="E1673" s="4">
        <f>HYPERLINK("./Results/DLO\454\Osteo_Sarco_1.png","RPT")</f>
        <v/>
      </c>
      <c r="F1673" s="2" t="n">
        <v>136</v>
      </c>
      <c r="G1673" s="6" t="n">
        <v>7</v>
      </c>
      <c r="I1673" s="0" t="n"/>
      <c r="J1673" s="0" t="n"/>
      <c r="K1673" s="0" t="n"/>
      <c r="L1673" t="inlineStr">
        <is>
          <t>LightSpeed VCT</t>
        </is>
      </c>
      <c r="M1673" t="inlineStr">
        <is>
          <t>PRE 3mm</t>
        </is>
      </c>
    </row>
    <row r="1674">
      <c r="A1674" s="2" t="n">
        <v>2471699</v>
      </c>
      <c r="B1674" s="2" t="inlineStr">
        <is>
          <t>58</t>
        </is>
      </c>
      <c r="C1674" s="2" t="inlineStr">
        <is>
          <t>M</t>
        </is>
      </c>
      <c r="D1674" s="2" t="inlineStr">
        <is>
          <t>100.0</t>
        </is>
      </c>
      <c r="E1674" s="4">
        <f>HYPERLINK("./Results/DLO\456\Osteo_Sarco_1.png","RPT")</f>
        <v/>
      </c>
      <c r="F1674" s="2" t="n">
        <v>160</v>
      </c>
      <c r="G1674" s="6" t="n">
        <v>23</v>
      </c>
      <c r="I1674" s="0" t="n"/>
      <c r="J1674" s="0" t="n"/>
      <c r="K1674" s="0" t="n"/>
      <c r="L1674" t="inlineStr">
        <is>
          <t>LightSpeed VCT</t>
        </is>
      </c>
      <c r="M1674" t="inlineStr">
        <is>
          <t>PRE 3mm</t>
        </is>
      </c>
    </row>
    <row r="1675">
      <c r="A1675" s="2" t="n">
        <v>4047605</v>
      </c>
      <c r="B1675" s="2" t="inlineStr">
        <is>
          <t>50</t>
        </is>
      </c>
      <c r="C1675" s="2" t="inlineStr">
        <is>
          <t>M</t>
        </is>
      </c>
      <c r="D1675" s="2" t="inlineStr">
        <is>
          <t>120.0</t>
        </is>
      </c>
      <c r="E1675" s="4">
        <f>HYPERLINK("./Results/DLO\457\Osteo_Sarco_1.png","RPT")</f>
        <v/>
      </c>
      <c r="F1675" s="2" t="n">
        <v>182</v>
      </c>
      <c r="G1675" s="6" t="n">
        <v>4</v>
      </c>
      <c r="I1675" s="0" t="n"/>
      <c r="J1675" s="0" t="n"/>
      <c r="K1675" s="0" t="n"/>
      <c r="L1675" t="inlineStr">
        <is>
          <t>LightSpeed VCT</t>
        </is>
      </c>
      <c r="M1675" t="inlineStr">
        <is>
          <t>HVP 3mm</t>
        </is>
      </c>
    </row>
    <row r="1676">
      <c r="A1676" s="2" t="n">
        <v>2126772</v>
      </c>
      <c r="B1676" s="2" t="inlineStr">
        <is>
          <t>63</t>
        </is>
      </c>
      <c r="C1676" s="2" t="inlineStr">
        <is>
          <t>M</t>
        </is>
      </c>
      <c r="D1676" s="2" t="inlineStr">
        <is>
          <t>120.0</t>
        </is>
      </c>
      <c r="E1676" s="4">
        <f>HYPERLINK("./Results/DLO\458\Osteo_Sarco_1.png","RPT")</f>
        <v/>
      </c>
      <c r="F1676" s="2" t="n">
        <v>185</v>
      </c>
      <c r="G1676" s="6" t="n">
        <v>14</v>
      </c>
      <c r="I1676" s="0" t="n"/>
      <c r="J1676" s="0" t="n"/>
      <c r="K1676" s="0" t="n"/>
      <c r="L1676" t="inlineStr">
        <is>
          <t>LightSpeed VCT</t>
        </is>
      </c>
      <c r="M1676" t="inlineStr">
        <is>
          <t>HVP 3mm</t>
        </is>
      </c>
    </row>
    <row r="1677">
      <c r="A1677" s="2" t="n">
        <v>2983913</v>
      </c>
      <c r="B1677" s="2" t="inlineStr">
        <is>
          <t>59</t>
        </is>
      </c>
      <c r="C1677" s="2" t="inlineStr">
        <is>
          <t>M</t>
        </is>
      </c>
      <c r="D1677" s="2" t="inlineStr">
        <is>
          <t>100.0</t>
        </is>
      </c>
      <c r="E1677" s="4">
        <f>HYPERLINK("./Results/DLO\459\Osteo_Sarco_1.png","RPT")</f>
        <v/>
      </c>
      <c r="F1677" s="2" t="n">
        <v>167</v>
      </c>
      <c r="G1677" s="6" t="n">
        <v>11</v>
      </c>
      <c r="I1677" s="0" t="n"/>
      <c r="J1677" s="0" t="n"/>
      <c r="K1677" s="0" t="n"/>
      <c r="L1677" t="inlineStr">
        <is>
          <t>SOMATOM Force</t>
        </is>
      </c>
      <c r="M1677" t="inlineStr">
        <is>
          <t>Pre 3.0 Br40</t>
        </is>
      </c>
    </row>
    <row r="1678">
      <c r="A1678" s="2" t="n">
        <v>2119263</v>
      </c>
      <c r="B1678" s="2" t="inlineStr">
        <is>
          <t>48</t>
        </is>
      </c>
      <c r="C1678" s="2" t="inlineStr">
        <is>
          <t>M</t>
        </is>
      </c>
      <c r="D1678" s="2" t="inlineStr">
        <is>
          <t>100.0</t>
        </is>
      </c>
      <c r="E1678" s="4">
        <f>HYPERLINK("./Results/DLO\46\Osteo_Sarco_1.png","RPT")</f>
        <v/>
      </c>
      <c r="F1678" s="2" t="n">
        <v>131</v>
      </c>
      <c r="G1678" s="6" t="n">
        <v>4</v>
      </c>
      <c r="I1678" s="0" t="n"/>
      <c r="J1678" s="0" t="n"/>
      <c r="K1678" s="0" t="n"/>
      <c r="L1678" t="inlineStr">
        <is>
          <t>SOMATOM Definition...</t>
        </is>
      </c>
      <c r="M1678" t="inlineStr">
        <is>
          <t>HVP 2 3mm (68kg/136cc/3cc/o...</t>
        </is>
      </c>
    </row>
    <row r="1679">
      <c r="A1679" s="2" t="n">
        <v>3609023</v>
      </c>
      <c r="B1679" s="2" t="inlineStr">
        <is>
          <t>61</t>
        </is>
      </c>
      <c r="C1679" s="2" t="inlineStr">
        <is>
          <t>F</t>
        </is>
      </c>
      <c r="D1679" s="2" t="inlineStr">
        <is>
          <t>100.0</t>
        </is>
      </c>
      <c r="E1679" s="4">
        <f>HYPERLINK("./Results/DLO\460\Osteo_Sarco_1.png","RPT")</f>
        <v/>
      </c>
      <c r="F1679" s="2" t="n">
        <v>95</v>
      </c>
      <c r="G1679" s="6" t="n">
        <v>12</v>
      </c>
      <c r="I1679" s="0" t="n"/>
      <c r="J1679" s="0" t="n"/>
      <c r="K1679" s="0" t="n"/>
      <c r="L1679" t="inlineStr">
        <is>
          <t>SOMATOM Definition...</t>
        </is>
      </c>
      <c r="M1679" t="inlineStr">
        <is>
          <t>Pre</t>
        </is>
      </c>
    </row>
    <row r="1680">
      <c r="A1680" s="2" t="n">
        <v>4979070</v>
      </c>
      <c r="B1680" s="2" t="inlineStr">
        <is>
          <t>59</t>
        </is>
      </c>
      <c r="C1680" s="2" t="inlineStr">
        <is>
          <t>M</t>
        </is>
      </c>
      <c r="D1680" s="2" t="inlineStr">
        <is>
          <t>100.0</t>
        </is>
      </c>
      <c r="E1680" s="4">
        <f>HYPERLINK("./Results/DLO\461\Osteo_Sarco_1.png","RPT")</f>
        <v/>
      </c>
      <c r="F1680" s="2" t="n">
        <v>187</v>
      </c>
      <c r="G1680" s="6" t="n">
        <v>15</v>
      </c>
      <c r="H1680" t="n">
        <v>27.18</v>
      </c>
      <c r="L1680" t="inlineStr">
        <is>
          <t>SOMATOM Definition...</t>
        </is>
      </c>
      <c r="M1680" t="inlineStr">
        <is>
          <t>Pre 3mm</t>
        </is>
      </c>
    </row>
    <row r="1681">
      <c r="A1681" s="2" t="n">
        <v>3946958</v>
      </c>
      <c r="B1681" s="2" t="inlineStr">
        <is>
          <t>70</t>
        </is>
      </c>
      <c r="C1681" s="2" t="inlineStr">
        <is>
          <t>F</t>
        </is>
      </c>
      <c r="D1681" s="2" t="inlineStr">
        <is>
          <t>100.0</t>
        </is>
      </c>
      <c r="E1681" s="4">
        <f>HYPERLINK("./Results/DLO\462\Osteo_Sarco_1.png","RPT")</f>
        <v/>
      </c>
      <c r="F1681" s="2" t="n">
        <v>126</v>
      </c>
      <c r="G1681" s="6" t="n">
        <v>23</v>
      </c>
      <c r="H1681" t="n">
        <v>26.7</v>
      </c>
      <c r="L1681" t="inlineStr">
        <is>
          <t>LightSpeed VCT</t>
        </is>
      </c>
      <c r="M1681" t="inlineStr">
        <is>
          <t>PRE 3mm</t>
        </is>
      </c>
    </row>
    <row r="1682">
      <c r="A1682" s="2" t="n">
        <v>4861913</v>
      </c>
      <c r="B1682" s="2" t="inlineStr">
        <is>
          <t>74</t>
        </is>
      </c>
      <c r="C1682" s="2" t="inlineStr">
        <is>
          <t>M</t>
        </is>
      </c>
      <c r="D1682" s="2" t="inlineStr">
        <is>
          <t>80.0</t>
        </is>
      </c>
      <c r="E1682" s="4">
        <f>HYPERLINK("./Results/DLO\463\Osteo_Sarco_1.png","RPT")</f>
        <v/>
      </c>
      <c r="F1682" s="2" t="n">
        <v>123</v>
      </c>
      <c r="G1682" s="6" t="n">
        <v>6</v>
      </c>
      <c r="I1682" s="0" t="n"/>
      <c r="J1682" s="0" t="n"/>
      <c r="K1682" s="0" t="n"/>
      <c r="L1682" t="inlineStr">
        <is>
          <t>SOMATOM Definition...</t>
        </is>
      </c>
      <c r="M1682" t="inlineStr">
        <is>
          <t>HVP 2 3mm(53kg/106cc/2.5cc/x...</t>
        </is>
      </c>
    </row>
    <row r="1683">
      <c r="A1683" s="2" t="n">
        <v>1539988</v>
      </c>
      <c r="B1683" s="2" t="inlineStr">
        <is>
          <t>40</t>
        </is>
      </c>
      <c r="C1683" s="2" t="inlineStr">
        <is>
          <t>M</t>
        </is>
      </c>
      <c r="D1683" s="2" t="inlineStr">
        <is>
          <t>100.0</t>
        </is>
      </c>
      <c r="E1683" s="4">
        <f>HYPERLINK("./Results/DLO\464\Osteo_Sarco_1.png","RPT")</f>
        <v/>
      </c>
      <c r="F1683" s="2" t="n">
        <v>204</v>
      </c>
      <c r="G1683" s="6" t="n">
        <v>14</v>
      </c>
      <c r="H1683" t="n">
        <v>34.64</v>
      </c>
      <c r="L1683" t="inlineStr">
        <is>
          <t>SOMATOM Definition...</t>
        </is>
      </c>
      <c r="M1683" t="inlineStr">
        <is>
          <t>Abd Pre 4.0 B30f</t>
        </is>
      </c>
    </row>
    <row r="1684">
      <c r="A1684" s="2" t="n">
        <v>3353616</v>
      </c>
      <c r="B1684" s="2" t="inlineStr">
        <is>
          <t>63</t>
        </is>
      </c>
      <c r="C1684" s="2" t="inlineStr">
        <is>
          <t>M</t>
        </is>
      </c>
      <c r="D1684" s="2" t="inlineStr">
        <is>
          <t>100.0</t>
        </is>
      </c>
      <c r="E1684" s="4">
        <f>HYPERLINK("./Results/DLO\465\Osteo_Sarco_1.png","RPT")</f>
        <v/>
      </c>
      <c r="F1684" s="2" t="n">
        <v>125</v>
      </c>
      <c r="G1684" s="6" t="n">
        <v>4</v>
      </c>
      <c r="H1684" t="n">
        <v>19.26</v>
      </c>
      <c r="L1684" t="inlineStr">
        <is>
          <t>SOMATOM Definition...</t>
        </is>
      </c>
      <c r="M1684" t="inlineStr">
        <is>
          <t>HVP 2 3mm (54kg/108cc/2.5cc...</t>
        </is>
      </c>
    </row>
    <row r="1685">
      <c r="A1685" s="2" t="n">
        <v>4347332</v>
      </c>
      <c r="B1685" s="2" t="inlineStr">
        <is>
          <t>54</t>
        </is>
      </c>
      <c r="C1685" s="2" t="inlineStr">
        <is>
          <t>M</t>
        </is>
      </c>
      <c r="D1685" s="2" t="inlineStr">
        <is>
          <t>100.0</t>
        </is>
      </c>
      <c r="E1685" s="4">
        <f>HYPERLINK("./Results/DLO\466\Osteo_Sarco_1.png","RPT")</f>
        <v/>
      </c>
      <c r="F1685" s="2" t="n">
        <v>122</v>
      </c>
      <c r="G1685" s="6" t="n">
        <v>7</v>
      </c>
      <c r="I1685" s="0" t="n"/>
      <c r="J1685" s="0" t="n"/>
      <c r="K1685" s="0" t="n"/>
      <c r="L1685" t="inlineStr">
        <is>
          <t>SOMATOM Definition...</t>
        </is>
      </c>
      <c r="M1685" t="inlineStr">
        <is>
          <t>Pre 3mm(100kV-100mA)</t>
        </is>
      </c>
    </row>
    <row r="1686">
      <c r="A1686" s="2" t="n">
        <v>2680880</v>
      </c>
      <c r="B1686" s="2" t="inlineStr">
        <is>
          <t>66</t>
        </is>
      </c>
      <c r="C1686" s="2" t="inlineStr">
        <is>
          <t>F</t>
        </is>
      </c>
      <c r="D1686" s="2" t="inlineStr">
        <is>
          <t>100.0</t>
        </is>
      </c>
      <c r="E1686" s="4">
        <f>HYPERLINK("./Results/DLO\467\Osteo_Sarco_1.png","RPT")</f>
        <v/>
      </c>
      <c r="F1686" s="2" t="n">
        <v>114</v>
      </c>
      <c r="G1686" s="6" t="n">
        <v>17</v>
      </c>
      <c r="I1686" s="0" t="n"/>
      <c r="J1686" s="0" t="n"/>
      <c r="K1686" s="0" t="n"/>
      <c r="L1686" t="inlineStr">
        <is>
          <t>SOMATOM Definition...</t>
        </is>
      </c>
      <c r="M1686" t="inlineStr">
        <is>
          <t>Pre 3mm</t>
        </is>
      </c>
    </row>
    <row r="1687">
      <c r="A1687" s="2" t="n">
        <v>3696802</v>
      </c>
      <c r="B1687" s="2" t="inlineStr">
        <is>
          <t>43</t>
        </is>
      </c>
      <c r="C1687" s="2" t="inlineStr">
        <is>
          <t>F</t>
        </is>
      </c>
      <c r="D1687" s="2" t="inlineStr">
        <is>
          <t>120.0</t>
        </is>
      </c>
      <c r="E1687" s="4">
        <f>HYPERLINK("./Results/DLO\468\Osteo_Sarco_1.png","RPT")</f>
        <v/>
      </c>
      <c r="F1687" s="2" t="n">
        <v>117</v>
      </c>
      <c r="G1687" s="6" t="n">
        <v>6</v>
      </c>
      <c r="I1687" s="0" t="n"/>
      <c r="J1687" s="0" t="n"/>
      <c r="K1687" s="0" t="n"/>
      <c r="L1687" t="inlineStr">
        <is>
          <t>LightSpeed VCT</t>
        </is>
      </c>
      <c r="M1687" t="inlineStr">
        <is>
          <t>HVP 3mm</t>
        </is>
      </c>
    </row>
    <row r="1688">
      <c r="A1688" s="2" t="n">
        <v>4106277</v>
      </c>
      <c r="B1688" s="2" t="inlineStr">
        <is>
          <t>56</t>
        </is>
      </c>
      <c r="C1688" s="2" t="inlineStr">
        <is>
          <t>F</t>
        </is>
      </c>
      <c r="D1688" s="2" t="inlineStr">
        <is>
          <t>100.0</t>
        </is>
      </c>
      <c r="E1688" s="4">
        <f>HYPERLINK("./Results/DLO\469\Osteo_Sarco_1.png","RPT")</f>
        <v/>
      </c>
      <c r="F1688" s="2" t="n">
        <v>101</v>
      </c>
      <c r="G1688" s="6" t="n">
        <v>15</v>
      </c>
      <c r="I1688" s="0" t="n"/>
      <c r="J1688" s="0" t="n"/>
      <c r="K1688" s="0" t="n"/>
      <c r="L1688" t="inlineStr">
        <is>
          <t>LightSpeed VCT</t>
        </is>
      </c>
      <c r="M1688" t="inlineStr">
        <is>
          <t>PRE 3mm</t>
        </is>
      </c>
    </row>
    <row r="1689">
      <c r="A1689" s="2" t="n">
        <v>2827129</v>
      </c>
      <c r="B1689" s="2" t="inlineStr">
        <is>
          <t>61</t>
        </is>
      </c>
      <c r="C1689" s="2" t="inlineStr">
        <is>
          <t>F</t>
        </is>
      </c>
      <c r="D1689" s="2" t="inlineStr">
        <is>
          <t>120.0</t>
        </is>
      </c>
      <c r="E1689" s="4">
        <f>HYPERLINK("./Results/DLO\47\Osteo_Sarco_1.png","RPT")</f>
        <v/>
      </c>
      <c r="F1689" s="2" t="n">
        <v>125</v>
      </c>
      <c r="G1689" s="6" t="n">
        <v>6</v>
      </c>
      <c r="I1689" s="0" t="n"/>
      <c r="J1689" s="0" t="n"/>
      <c r="K1689" s="0" t="n"/>
      <c r="L1689" t="inlineStr">
        <is>
          <t>LightSpeed VCT</t>
        </is>
      </c>
      <c r="M1689" t="inlineStr">
        <is>
          <t>HVP 55sec 3mm</t>
        </is>
      </c>
    </row>
    <row r="1690">
      <c r="A1690" s="2" t="n">
        <v>4326275</v>
      </c>
      <c r="B1690" s="2" t="inlineStr">
        <is>
          <t>77</t>
        </is>
      </c>
      <c r="C1690" s="2" t="inlineStr">
        <is>
          <t>M</t>
        </is>
      </c>
      <c r="D1690" s="2" t="inlineStr">
        <is>
          <t>100.0</t>
        </is>
      </c>
      <c r="E1690" s="4">
        <f>HYPERLINK("./Results/DLO\470\Osteo_Sarco_1.png","RPT")</f>
        <v/>
      </c>
      <c r="F1690" s="2" t="n">
        <v>120</v>
      </c>
      <c r="G1690" s="6" t="n">
        <v>11</v>
      </c>
      <c r="H1690" t="n">
        <v>20.96</v>
      </c>
      <c r="L1690" t="inlineStr">
        <is>
          <t>Discovery CT750 HD</t>
        </is>
      </c>
      <c r="M1690" t="inlineStr">
        <is>
          <t>Pre 3mm</t>
        </is>
      </c>
    </row>
    <row r="1691">
      <c r="A1691" s="2" t="n">
        <v>4721659</v>
      </c>
      <c r="B1691" s="2" t="inlineStr">
        <is>
          <t>54</t>
        </is>
      </c>
      <c r="C1691" s="2" t="inlineStr">
        <is>
          <t>M</t>
        </is>
      </c>
      <c r="D1691" s="2" t="inlineStr">
        <is>
          <t>100.0</t>
        </is>
      </c>
      <c r="E1691" s="4">
        <f>HYPERLINK("./Results/DLO\471\Osteo_Sarco_1.png","RPT")</f>
        <v/>
      </c>
      <c r="F1691" s="2" t="n">
        <v>99</v>
      </c>
      <c r="G1691" s="6" t="n">
        <v>11</v>
      </c>
      <c r="I1691" s="0" t="n"/>
      <c r="J1691" s="0" t="n"/>
      <c r="K1691" s="0" t="n"/>
      <c r="L1691" t="inlineStr">
        <is>
          <t>Revolution EVO</t>
        </is>
      </c>
      <c r="M1691" t="inlineStr">
        <is>
          <t>Abdomen Pre 2.5mm</t>
        </is>
      </c>
    </row>
    <row r="1692">
      <c r="A1692" s="2" t="n">
        <v>4591356</v>
      </c>
      <c r="B1692" s="2" t="inlineStr">
        <is>
          <t>70</t>
        </is>
      </c>
      <c r="C1692" s="2" t="inlineStr">
        <is>
          <t>M</t>
        </is>
      </c>
      <c r="D1692" s="2" t="inlineStr">
        <is>
          <t>100.0</t>
        </is>
      </c>
      <c r="E1692" s="4">
        <f>HYPERLINK("./Results/DLO\472\Osteo_Sarco_1.png","RPT")</f>
        <v/>
      </c>
      <c r="F1692" s="2" t="n">
        <v>177</v>
      </c>
      <c r="G1692" s="6" t="n">
        <v>14</v>
      </c>
      <c r="I1692" s="0" t="n"/>
      <c r="J1692" s="0" t="n"/>
      <c r="K1692" s="0" t="n"/>
      <c r="L1692" t="inlineStr">
        <is>
          <t>SOMATOM Definition...</t>
        </is>
      </c>
      <c r="M1692" t="inlineStr">
        <is>
          <t>Pre 3mm</t>
        </is>
      </c>
    </row>
    <row r="1693">
      <c r="A1693" s="2" t="n">
        <v>2837392</v>
      </c>
      <c r="B1693" s="2" t="inlineStr">
        <is>
          <t>52</t>
        </is>
      </c>
      <c r="C1693" s="2" t="inlineStr">
        <is>
          <t>F</t>
        </is>
      </c>
      <c r="D1693" s="2" t="inlineStr">
        <is>
          <t>100.0</t>
        </is>
      </c>
      <c r="E1693" s="4">
        <f>HYPERLINK("./Results/DLO\473\Osteo_Sarco_1.png","RPT")</f>
        <v/>
      </c>
      <c r="F1693" s="2" t="n">
        <v>93</v>
      </c>
      <c r="G1693" s="6" t="n">
        <v>5</v>
      </c>
      <c r="I1693" s="0" t="n"/>
      <c r="J1693" s="0" t="n"/>
      <c r="K1693" s="0" t="n"/>
      <c r="L1693" t="inlineStr">
        <is>
          <t>SOMATOM Definition...</t>
        </is>
      </c>
      <c r="M1693" t="inlineStr">
        <is>
          <t>HVP 2 3mm (46kg/92cc/3cc/omni)</t>
        </is>
      </c>
    </row>
    <row r="1694">
      <c r="A1694" s="2" t="n">
        <v>4841835</v>
      </c>
      <c r="B1694" s="2" t="inlineStr">
        <is>
          <t>56</t>
        </is>
      </c>
      <c r="C1694" s="2" t="inlineStr">
        <is>
          <t>F</t>
        </is>
      </c>
      <c r="D1694" s="2" t="inlineStr">
        <is>
          <t>100.0</t>
        </is>
      </c>
      <c r="E1694" s="4">
        <f>HYPERLINK("./Results/DLO\474\Osteo_Sarco_1.png","RPT")</f>
        <v/>
      </c>
      <c r="F1694" s="2" t="n">
        <v>96</v>
      </c>
      <c r="G1694" s="6" t="n">
        <v>6</v>
      </c>
      <c r="I1694" s="0" t="n"/>
      <c r="J1694" s="0" t="n"/>
      <c r="K1694" s="0" t="n"/>
      <c r="L1694" t="inlineStr">
        <is>
          <t>Revolution EVO</t>
        </is>
      </c>
      <c r="M1694" t="inlineStr">
        <is>
          <t>Pre(CP~Pelvic)</t>
        </is>
      </c>
    </row>
    <row r="1695">
      <c r="A1695" s="2" t="n">
        <v>2018251</v>
      </c>
      <c r="B1695" s="2" t="inlineStr">
        <is>
          <t>60</t>
        </is>
      </c>
      <c r="C1695" s="2" t="inlineStr">
        <is>
          <t>F</t>
        </is>
      </c>
      <c r="D1695" s="2" t="inlineStr">
        <is>
          <t>120.0</t>
        </is>
      </c>
      <c r="E1695" s="4">
        <f>HYPERLINK("./Results/DLO\475\Osteo_Sarco_1.png","RPT")</f>
        <v/>
      </c>
      <c r="F1695" s="2" t="n">
        <v>101</v>
      </c>
      <c r="G1695" s="6" t="n">
        <v>18</v>
      </c>
      <c r="I1695" s="0" t="n"/>
      <c r="J1695" s="0" t="n"/>
      <c r="K1695" s="0" t="n"/>
      <c r="L1695" t="inlineStr">
        <is>
          <t>Discovery CT750 HD</t>
        </is>
      </c>
      <c r="M1695" t="inlineStr">
        <is>
          <t>HVP 3mm</t>
        </is>
      </c>
    </row>
    <row r="1696">
      <c r="A1696" s="2" t="n">
        <v>3964043</v>
      </c>
      <c r="B1696" s="2" t="inlineStr">
        <is>
          <t>54</t>
        </is>
      </c>
      <c r="C1696" s="2" t="inlineStr">
        <is>
          <t>M</t>
        </is>
      </c>
      <c r="D1696" s="2" t="inlineStr">
        <is>
          <t>100.0</t>
        </is>
      </c>
      <c r="E1696" s="4">
        <f>HYPERLINK("./Results/DLO\476\Osteo_Sarco_1.png","RPT")</f>
        <v/>
      </c>
      <c r="F1696" s="2" t="n">
        <v>175</v>
      </c>
      <c r="G1696" s="6" t="n">
        <v>5</v>
      </c>
      <c r="I1696" s="0" t="n"/>
      <c r="J1696" s="0" t="n"/>
      <c r="K1696" s="0" t="n"/>
      <c r="L1696" t="inlineStr">
        <is>
          <t>SOMATOM Definition...</t>
        </is>
      </c>
      <c r="M1696" t="inlineStr">
        <is>
          <t>HVP 2 3mm (63kg/126cc/3cc/omni)</t>
        </is>
      </c>
    </row>
    <row r="1697">
      <c r="A1697" s="2" t="n">
        <v>4429749</v>
      </c>
      <c r="B1697" s="2" t="inlineStr">
        <is>
          <t>76</t>
        </is>
      </c>
      <c r="C1697" s="2" t="inlineStr">
        <is>
          <t>M</t>
        </is>
      </c>
      <c r="D1697" s="2" t="inlineStr">
        <is>
          <t>100.0</t>
        </is>
      </c>
      <c r="E1697" s="4">
        <f>HYPERLINK("./Results/DLO\477\Osteo_Sarco_1.png","RPT")</f>
        <v/>
      </c>
      <c r="F1697" s="2" t="n">
        <v>137</v>
      </c>
      <c r="G1697" s="6" t="n">
        <v>9</v>
      </c>
      <c r="I1697" s="0" t="n"/>
      <c r="J1697" s="0" t="n"/>
      <c r="K1697" s="0" t="n"/>
      <c r="L1697" t="inlineStr">
        <is>
          <t>LightSpeed VCT</t>
        </is>
      </c>
      <c r="M1697" t="inlineStr">
        <is>
          <t>PRE 3mm</t>
        </is>
      </c>
    </row>
    <row r="1698">
      <c r="A1698" s="2" t="n">
        <v>1302878</v>
      </c>
      <c r="B1698" s="2" t="inlineStr">
        <is>
          <t>64</t>
        </is>
      </c>
      <c r="C1698" s="2" t="inlineStr">
        <is>
          <t>M</t>
        </is>
      </c>
      <c r="D1698" s="2" t="inlineStr">
        <is>
          <t>100.0</t>
        </is>
      </c>
      <c r="E1698" s="4">
        <f>HYPERLINK("./Results/DLO\478\Osteo_Sarco_1.png","RPT")</f>
        <v/>
      </c>
      <c r="F1698" s="2" t="n">
        <v>148</v>
      </c>
      <c r="G1698" s="6" t="n">
        <v>8</v>
      </c>
      <c r="I1698" s="0" t="n"/>
      <c r="J1698" s="0" t="n"/>
      <c r="K1698" s="0" t="n"/>
      <c r="L1698" t="inlineStr">
        <is>
          <t>iCT 256</t>
        </is>
      </c>
      <c r="M1698" t="inlineStr">
        <is>
          <t>Pre (CP~Pubi)3mm, iDose (3)</t>
        </is>
      </c>
    </row>
    <row r="1699">
      <c r="A1699" s="2" t="n">
        <v>2845371</v>
      </c>
      <c r="B1699" s="2" t="inlineStr">
        <is>
          <t>55</t>
        </is>
      </c>
      <c r="C1699" s="2" t="inlineStr">
        <is>
          <t>F</t>
        </is>
      </c>
      <c r="D1699" s="2" t="inlineStr">
        <is>
          <t>120.0</t>
        </is>
      </c>
      <c r="E1699" s="4">
        <f>HYPERLINK("./Results/DLO\479\Osteo_Sarco_1.png","RPT")</f>
        <v/>
      </c>
      <c r="F1699" s="2" t="n">
        <v>115</v>
      </c>
      <c r="G1699" s="6" t="n">
        <v>12</v>
      </c>
      <c r="I1699" s="0" t="n"/>
      <c r="J1699" s="0" t="n"/>
      <c r="K1699" s="0" t="n"/>
      <c r="L1699" t="inlineStr">
        <is>
          <t>Discovery CT750 HD</t>
        </is>
      </c>
      <c r="M1699" t="inlineStr">
        <is>
          <t>HVP 3mm</t>
        </is>
      </c>
    </row>
    <row r="1700">
      <c r="A1700" s="2" t="n">
        <v>3872690</v>
      </c>
      <c r="B1700" s="2" t="inlineStr">
        <is>
          <t>50</t>
        </is>
      </c>
      <c r="C1700" s="2" t="inlineStr">
        <is>
          <t>F</t>
        </is>
      </c>
      <c r="D1700" s="2" t="inlineStr">
        <is>
          <t>100.0</t>
        </is>
      </c>
      <c r="E1700" s="4">
        <f>HYPERLINK("./Results/DLO\48\Osteo_Sarco_1.png","RPT")</f>
        <v/>
      </c>
      <c r="F1700" s="2" t="n">
        <v>85</v>
      </c>
      <c r="G1700" s="6" t="n">
        <v>8</v>
      </c>
      <c r="I1700" s="0" t="n"/>
      <c r="J1700" s="0" t="n"/>
      <c r="K1700" s="0" t="n"/>
      <c r="L1700" t="inlineStr">
        <is>
          <t>Revolution CT</t>
        </is>
      </c>
      <c r="M1700" t="inlineStr">
        <is>
          <t>Pre Axial 3mm</t>
        </is>
      </c>
    </row>
    <row r="1701">
      <c r="A1701" s="2" t="n">
        <v>3017739</v>
      </c>
      <c r="B1701" s="2" t="inlineStr">
        <is>
          <t>58</t>
        </is>
      </c>
      <c r="C1701" s="2" t="inlineStr">
        <is>
          <t>M</t>
        </is>
      </c>
      <c r="D1701" s="2" t="inlineStr">
        <is>
          <t>100.0</t>
        </is>
      </c>
      <c r="E1701" s="4">
        <f>HYPERLINK("./Results/DLO\480\Osteo_Sarco_1.png","RPT")</f>
        <v/>
      </c>
      <c r="F1701" s="2" t="n">
        <v>168</v>
      </c>
      <c r="G1701" s="6" t="n">
        <v>7</v>
      </c>
      <c r="I1701" s="0" t="n"/>
      <c r="J1701" s="0" t="n"/>
      <c r="K1701" s="0" t="n"/>
      <c r="L1701" t="inlineStr">
        <is>
          <t>SOMATOM Force</t>
        </is>
      </c>
      <c r="M1701" t="inlineStr">
        <is>
          <t>HVP 3.0 Br40 2 (63kg/126cc...</t>
        </is>
      </c>
    </row>
    <row r="1702">
      <c r="A1702" s="2" t="n">
        <v>4427341</v>
      </c>
      <c r="B1702" s="2" t="inlineStr">
        <is>
          <t>61</t>
        </is>
      </c>
      <c r="C1702" s="2" t="inlineStr">
        <is>
          <t>M</t>
        </is>
      </c>
      <c r="D1702" s="2" t="inlineStr">
        <is>
          <t>100.0</t>
        </is>
      </c>
      <c r="E1702" s="4">
        <f>HYPERLINK("./Results/DLO\481\Osteo_Sarco_1.png","RPT")</f>
        <v/>
      </c>
      <c r="F1702" s="2" t="n">
        <v>131</v>
      </c>
      <c r="G1702" s="6" t="n">
        <v>8</v>
      </c>
      <c r="I1702" s="0" t="n"/>
      <c r="J1702" s="0" t="n"/>
      <c r="K1702" s="0" t="n"/>
      <c r="L1702" t="inlineStr">
        <is>
          <t>Sensation 64</t>
        </is>
      </c>
      <c r="M1702" t="inlineStr">
        <is>
          <t>HVP 3mm (66kg/130cc/3cc/hexol</t>
        </is>
      </c>
    </row>
    <row r="1703">
      <c r="A1703" s="2" t="n">
        <v>4169692</v>
      </c>
      <c r="B1703" s="2" t="inlineStr">
        <is>
          <t>59</t>
        </is>
      </c>
      <c r="C1703" s="2" t="inlineStr">
        <is>
          <t>F</t>
        </is>
      </c>
      <c r="D1703" s="2" t="inlineStr">
        <is>
          <t>100.0</t>
        </is>
      </c>
      <c r="E1703" s="4">
        <f>HYPERLINK("./Results/DLO\482\Osteo_Sarco_1.png","RPT")</f>
        <v/>
      </c>
      <c r="F1703" s="2" t="n">
        <v>103</v>
      </c>
      <c r="G1703" s="6" t="n">
        <v>7</v>
      </c>
      <c r="I1703" s="0" t="n"/>
      <c r="J1703" s="0" t="n"/>
      <c r="K1703" s="0" t="n"/>
      <c r="L1703" t="inlineStr">
        <is>
          <t>SOMATOM Definition...</t>
        </is>
      </c>
      <c r="M1703" t="inlineStr">
        <is>
          <t>Non Abdomen 3mm</t>
        </is>
      </c>
    </row>
    <row r="1704">
      <c r="A1704" s="2" t="n">
        <v>1117491</v>
      </c>
      <c r="B1704" s="2" t="inlineStr">
        <is>
          <t>73</t>
        </is>
      </c>
      <c r="C1704" s="2" t="inlineStr">
        <is>
          <t>M</t>
        </is>
      </c>
      <c r="D1704" s="2" t="inlineStr">
        <is>
          <t>100.0</t>
        </is>
      </c>
      <c r="E1704" s="4">
        <f>HYPERLINK("./Results/DLO\483\Osteo_Sarco_1.png","RPT")</f>
        <v/>
      </c>
      <c r="F1704" s="2" t="n">
        <v>130</v>
      </c>
      <c r="G1704" s="6" t="n">
        <v>7</v>
      </c>
      <c r="I1704" s="0" t="n"/>
      <c r="J1704" s="0" t="n"/>
      <c r="K1704" s="0" t="n"/>
      <c r="L1704" t="inlineStr">
        <is>
          <t>SOMATOM Force</t>
        </is>
      </c>
      <c r="M1704" t="inlineStr">
        <is>
          <t>LAP 3.0 Br40 2 (64kg/128cc...</t>
        </is>
      </c>
    </row>
    <row r="1705">
      <c r="A1705" s="2" t="n">
        <v>3062506</v>
      </c>
      <c r="B1705" s="2" t="inlineStr">
        <is>
          <t>68</t>
        </is>
      </c>
      <c r="C1705" s="2" t="inlineStr">
        <is>
          <t>M</t>
        </is>
      </c>
      <c r="D1705" s="2" t="inlineStr">
        <is>
          <t>120.0</t>
        </is>
      </c>
      <c r="E1705" s="4">
        <f>HYPERLINK("./Results/DLO\484\Osteo_Sarco_1.png","RPT")</f>
        <v/>
      </c>
      <c r="F1705" s="2" t="n">
        <v>133</v>
      </c>
      <c r="G1705" s="6" t="n">
        <v>6</v>
      </c>
      <c r="I1705" s="0" t="n"/>
      <c r="J1705" s="0" t="n"/>
      <c r="K1705" s="0" t="n"/>
      <c r="L1705" t="inlineStr">
        <is>
          <t>LightSpeed VCT</t>
        </is>
      </c>
      <c r="M1705" t="inlineStr">
        <is>
          <t>HVP 55sec 3mm</t>
        </is>
      </c>
    </row>
    <row r="1706">
      <c r="A1706" s="2" t="n">
        <v>4460762</v>
      </c>
      <c r="B1706" s="2" t="inlineStr">
        <is>
          <t>69</t>
        </is>
      </c>
      <c r="C1706" s="2" t="inlineStr">
        <is>
          <t>F</t>
        </is>
      </c>
      <c r="D1706" s="2" t="inlineStr">
        <is>
          <t>100.0</t>
        </is>
      </c>
      <c r="E1706" s="4">
        <f>HYPERLINK("./Results/DLO\485\Osteo_Sarco_1.png","RPT")</f>
        <v/>
      </c>
      <c r="F1706" s="2" t="n">
        <v>88</v>
      </c>
      <c r="G1706" s="6" t="n">
        <v>6</v>
      </c>
      <c r="I1706" s="0" t="n"/>
      <c r="J1706" s="0" t="n"/>
      <c r="K1706" s="0" t="n"/>
      <c r="L1706" t="inlineStr">
        <is>
          <t>SOMATOM Force</t>
        </is>
      </c>
      <c r="M1706" t="inlineStr">
        <is>
          <t>HVP 3.0 Br40 2 (55kg/110cc...</t>
        </is>
      </c>
    </row>
    <row r="1707">
      <c r="A1707" s="2" t="n">
        <v>3265494</v>
      </c>
      <c r="B1707" s="2" t="inlineStr">
        <is>
          <t>44</t>
        </is>
      </c>
      <c r="C1707" s="2" t="inlineStr">
        <is>
          <t>F</t>
        </is>
      </c>
      <c r="D1707" s="2" t="inlineStr">
        <is>
          <t>100.0</t>
        </is>
      </c>
      <c r="E1707" s="4">
        <f>HYPERLINK("./Results/DLO\486\Osteo_Sarco_1.png","RPT")</f>
        <v/>
      </c>
      <c r="F1707" s="2" t="n">
        <v>105</v>
      </c>
      <c r="G1707" s="6" t="n">
        <v>6</v>
      </c>
      <c r="I1707" s="0" t="n"/>
      <c r="J1707" s="0" t="n"/>
      <c r="K1707" s="0" t="n"/>
      <c r="L1707" t="inlineStr">
        <is>
          <t>SOMATOM Definition...</t>
        </is>
      </c>
      <c r="M1707" t="inlineStr">
        <is>
          <t>HVP 2 3mm (54kg/108cc/3cc/bono)</t>
        </is>
      </c>
    </row>
    <row r="1708">
      <c r="A1708" s="2" t="n">
        <v>2940373</v>
      </c>
      <c r="B1708" s="2" t="inlineStr">
        <is>
          <t>60</t>
        </is>
      </c>
      <c r="C1708" s="2" t="inlineStr">
        <is>
          <t>F</t>
        </is>
      </c>
      <c r="D1708" s="2" t="inlineStr">
        <is>
          <t>100.0</t>
        </is>
      </c>
      <c r="E1708" s="4">
        <f>HYPERLINK("./Results/DLO\487\Osteo_Sarco_1.png","RPT")</f>
        <v/>
      </c>
      <c r="F1708" s="2" t="n">
        <v>103</v>
      </c>
      <c r="G1708" s="6" t="n">
        <v>6</v>
      </c>
      <c r="I1708" s="0" t="n"/>
      <c r="J1708" s="0" t="n"/>
      <c r="K1708" s="0" t="n"/>
      <c r="L1708" t="inlineStr">
        <is>
          <t>iCT 256</t>
        </is>
      </c>
      <c r="M1708" t="inlineStr">
        <is>
          <t>Delay 15min 2/2, iDose (3)</t>
        </is>
      </c>
    </row>
    <row r="1709">
      <c r="A1709" s="2" t="n">
        <v>1714989</v>
      </c>
      <c r="B1709" s="2" t="inlineStr">
        <is>
          <t>56</t>
        </is>
      </c>
      <c r="C1709" s="2" t="inlineStr">
        <is>
          <t>F</t>
        </is>
      </c>
      <c r="D1709" s="2" t="inlineStr">
        <is>
          <t>100.0</t>
        </is>
      </c>
      <c r="E1709" s="4">
        <f>HYPERLINK("./Results/DLO\488\Osteo_Sarco_1.png","RPT")</f>
        <v/>
      </c>
      <c r="F1709" s="2" t="n">
        <v>102</v>
      </c>
      <c r="G1709" s="6" t="n">
        <v>8</v>
      </c>
      <c r="H1709" t="n">
        <v>21</v>
      </c>
      <c r="L1709" t="inlineStr">
        <is>
          <t>SOMATOM Definition...</t>
        </is>
      </c>
      <c r="M1709" t="inlineStr">
        <is>
          <t>HVP 2 3mm (52kg/1104cc/3cc/b...</t>
        </is>
      </c>
    </row>
    <row r="1710">
      <c r="A1710" s="2" t="n">
        <v>2955096</v>
      </c>
      <c r="B1710" s="2" t="inlineStr">
        <is>
          <t>64</t>
        </is>
      </c>
      <c r="C1710" s="2" t="inlineStr">
        <is>
          <t>F</t>
        </is>
      </c>
      <c r="D1710" s="2" t="inlineStr">
        <is>
          <t>100.0</t>
        </is>
      </c>
      <c r="E1710" s="4">
        <f>HYPERLINK("./Results/DLO\489\Osteo_Sarco_1.png","RPT")</f>
        <v/>
      </c>
      <c r="F1710" s="2" t="n">
        <v>103</v>
      </c>
      <c r="G1710" s="6" t="n">
        <v>11</v>
      </c>
      <c r="H1710" t="n">
        <v>22.95</v>
      </c>
      <c r="L1710" t="inlineStr">
        <is>
          <t>SOMATOM Definition...</t>
        </is>
      </c>
      <c r="M1710" t="inlineStr">
        <is>
          <t>LAP 3mm(62kg/124cc/3cc/HEXOL)</t>
        </is>
      </c>
    </row>
    <row r="1711">
      <c r="A1711" s="2" t="n">
        <v>3392974</v>
      </c>
      <c r="B1711" s="2" t="inlineStr">
        <is>
          <t>66</t>
        </is>
      </c>
      <c r="C1711" s="2" t="inlineStr">
        <is>
          <t>F</t>
        </is>
      </c>
      <c r="D1711" s="2" t="inlineStr">
        <is>
          <t>100.0</t>
        </is>
      </c>
      <c r="E1711" s="4">
        <f>HYPERLINK("./Results/DLO\49\Osteo_Sarco_1.png","RPT")</f>
        <v/>
      </c>
      <c r="F1711" s="2" t="n">
        <v>89</v>
      </c>
      <c r="G1711" s="6" t="n">
        <v>10</v>
      </c>
      <c r="H1711" t="n">
        <v>20.35</v>
      </c>
      <c r="L1711" t="inlineStr">
        <is>
          <t>Revolution CT</t>
        </is>
      </c>
      <c r="M1711" t="inlineStr">
        <is>
          <t>Pre 3mm pacs</t>
        </is>
      </c>
    </row>
    <row r="1712">
      <c r="A1712" s="2" t="n">
        <v>3192587</v>
      </c>
      <c r="B1712" s="2" t="inlineStr">
        <is>
          <t>60</t>
        </is>
      </c>
      <c r="C1712" s="2" t="inlineStr">
        <is>
          <t>F</t>
        </is>
      </c>
      <c r="D1712" s="2" t="inlineStr">
        <is>
          <t>100.0</t>
        </is>
      </c>
      <c r="E1712" s="4">
        <f>HYPERLINK("./Results/DLO\490\Osteo_Sarco_1.png","RPT")</f>
        <v/>
      </c>
      <c r="F1712" s="2" t="n">
        <v>126</v>
      </c>
      <c r="G1712" s="6" t="n">
        <v>22</v>
      </c>
      <c r="I1712" s="0" t="n"/>
      <c r="J1712" s="0" t="n"/>
      <c r="K1712" s="0" t="n"/>
      <c r="L1712" t="inlineStr">
        <is>
          <t>Revolution CT</t>
        </is>
      </c>
      <c r="M1712" t="inlineStr">
        <is>
          <t>HVP 3mm-pacs(65kg/130cc/3cc/r...</t>
        </is>
      </c>
    </row>
    <row r="1713">
      <c r="A1713" s="2" t="n">
        <v>4083956</v>
      </c>
      <c r="B1713" s="2" t="inlineStr">
        <is>
          <t>61</t>
        </is>
      </c>
      <c r="C1713" s="2" t="inlineStr">
        <is>
          <t>F</t>
        </is>
      </c>
      <c r="D1713" s="2" t="inlineStr">
        <is>
          <t>100.0</t>
        </is>
      </c>
      <c r="E1713" s="4">
        <f>HYPERLINK("./Results/DLO\491\Osteo_Sarco_1.png","RPT")</f>
        <v/>
      </c>
      <c r="F1713" s="2" t="n">
        <v>83</v>
      </c>
      <c r="G1713" s="6" t="n">
        <v>6</v>
      </c>
      <c r="I1713" s="0" t="n"/>
      <c r="J1713" s="0" t="n"/>
      <c r="K1713" s="0" t="n"/>
      <c r="L1713" t="inlineStr">
        <is>
          <t>Revolution CT</t>
        </is>
      </c>
      <c r="M1713" t="inlineStr">
        <is>
          <t>Pre Axial 3mm</t>
        </is>
      </c>
    </row>
    <row r="1714">
      <c r="A1714" s="2" t="n">
        <v>1910942</v>
      </c>
      <c r="B1714" s="2" t="inlineStr">
        <is>
          <t>45</t>
        </is>
      </c>
      <c r="C1714" s="2" t="inlineStr">
        <is>
          <t>M</t>
        </is>
      </c>
      <c r="D1714" s="2" t="inlineStr">
        <is>
          <t>120.0</t>
        </is>
      </c>
      <c r="E1714" s="4">
        <f>HYPERLINK("./Results/DLO\492\Osteo_Sarco_1.png","RPT")</f>
        <v/>
      </c>
      <c r="F1714" s="2" t="n">
        <v>146</v>
      </c>
      <c r="G1714" s="6" t="n">
        <v>6</v>
      </c>
      <c r="I1714" s="0" t="n"/>
      <c r="J1714" s="0" t="n"/>
      <c r="K1714" s="0" t="n"/>
      <c r="L1714" t="inlineStr">
        <is>
          <t>LightSpeed VCT</t>
        </is>
      </c>
      <c r="M1714" t="inlineStr">
        <is>
          <t>HVP 3mm</t>
        </is>
      </c>
    </row>
    <row r="1715">
      <c r="A1715" s="2" t="n">
        <v>2533540</v>
      </c>
      <c r="B1715" s="2" t="inlineStr">
        <is>
          <t>65</t>
        </is>
      </c>
      <c r="C1715" s="2" t="inlineStr">
        <is>
          <t>M</t>
        </is>
      </c>
      <c r="D1715" s="2" t="inlineStr">
        <is>
          <t>100.0</t>
        </is>
      </c>
      <c r="E1715" s="4">
        <f>HYPERLINK("./Results/DLO\493\Osteo_Sarco_1.png","RPT")</f>
        <v/>
      </c>
      <c r="F1715" s="2" t="n">
        <v>156</v>
      </c>
      <c r="G1715" s="6" t="n">
        <v>6</v>
      </c>
      <c r="H1715" t="n">
        <v>22.79</v>
      </c>
      <c r="L1715" t="inlineStr">
        <is>
          <t>Revolution CT</t>
        </is>
      </c>
      <c r="M1715" t="inlineStr">
        <is>
          <t>Pre Axial 3mm</t>
        </is>
      </c>
    </row>
    <row r="1716">
      <c r="A1716" s="2" t="n">
        <v>3754867</v>
      </c>
      <c r="B1716" s="2" t="inlineStr">
        <is>
          <t>69</t>
        </is>
      </c>
      <c r="C1716" s="2" t="inlineStr">
        <is>
          <t>M</t>
        </is>
      </c>
      <c r="D1716" s="2" t="inlineStr">
        <is>
          <t>100.0</t>
        </is>
      </c>
      <c r="E1716" s="4">
        <f>HYPERLINK("./Results/DLO\494\Osteo_Sarco_1.png","RPT")</f>
        <v/>
      </c>
      <c r="F1716" s="2" t="n">
        <v>139</v>
      </c>
      <c r="G1716" s="6" t="n">
        <v>9</v>
      </c>
      <c r="H1716" t="n">
        <v>24.07</v>
      </c>
      <c r="L1716" t="inlineStr">
        <is>
          <t>LightSpeed VCT</t>
        </is>
      </c>
      <c r="M1716" t="inlineStr">
        <is>
          <t>PRE 2,5mm</t>
        </is>
      </c>
    </row>
    <row r="1717">
      <c r="A1717" s="2" t="n">
        <v>4448127</v>
      </c>
      <c r="B1717" s="2" t="inlineStr">
        <is>
          <t>50</t>
        </is>
      </c>
      <c r="C1717" s="2" t="inlineStr">
        <is>
          <t>F</t>
        </is>
      </c>
      <c r="D1717" s="2" t="inlineStr">
        <is>
          <t>120.0</t>
        </is>
      </c>
      <c r="E1717" s="4">
        <f>HYPERLINK("./Results/DLO\495\Osteo_Sarco_1.png","RPT")</f>
        <v/>
      </c>
      <c r="F1717" s="2" t="n">
        <v>94</v>
      </c>
      <c r="G1717" s="6" t="n">
        <v>6</v>
      </c>
      <c r="H1717" t="n">
        <v>23.99</v>
      </c>
      <c r="L1717" t="inlineStr">
        <is>
          <t>Revolution EVO</t>
        </is>
      </c>
      <c r="M1717" t="inlineStr">
        <is>
          <t>HVP 3mm</t>
        </is>
      </c>
    </row>
    <row r="1718">
      <c r="A1718" s="2" t="n">
        <v>2983311</v>
      </c>
      <c r="B1718" s="2" t="inlineStr">
        <is>
          <t>52</t>
        </is>
      </c>
      <c r="C1718" s="2" t="inlineStr">
        <is>
          <t>F</t>
        </is>
      </c>
      <c r="D1718" s="2" t="inlineStr">
        <is>
          <t>100.0</t>
        </is>
      </c>
      <c r="E1718" s="4">
        <f>HYPERLINK("./Results/DLO\496\Osteo_Sarco_1.png","RPT")</f>
        <v/>
      </c>
      <c r="F1718" s="2" t="n">
        <v>77</v>
      </c>
      <c r="G1718" s="6" t="n">
        <v>8</v>
      </c>
      <c r="I1718" s="0" t="n"/>
      <c r="J1718" s="0" t="n"/>
      <c r="K1718" s="0" t="n"/>
      <c r="L1718" t="inlineStr">
        <is>
          <t>Revolution EVO</t>
        </is>
      </c>
      <c r="M1718" t="inlineStr">
        <is>
          <t>AX 3mm</t>
        </is>
      </c>
    </row>
    <row r="1719">
      <c r="A1719" s="2" t="n">
        <v>4886699</v>
      </c>
      <c r="B1719" s="2" t="inlineStr">
        <is>
          <t>63</t>
        </is>
      </c>
      <c r="C1719" s="2" t="inlineStr">
        <is>
          <t>M</t>
        </is>
      </c>
      <c r="D1719" s="2" t="inlineStr">
        <is>
          <t>100.0</t>
        </is>
      </c>
      <c r="E1719" s="4">
        <f>HYPERLINK("./Results/DLO\497\Osteo_Sarco_1.png","RPT")</f>
        <v/>
      </c>
      <c r="F1719" s="2" t="n">
        <v>130</v>
      </c>
      <c r="G1719" s="6" t="n">
        <v>11</v>
      </c>
      <c r="I1719" s="0" t="n"/>
      <c r="J1719" s="0" t="n"/>
      <c r="K1719" s="0" t="n"/>
      <c r="L1719" t="inlineStr">
        <is>
          <t>Revolution CT</t>
        </is>
      </c>
      <c r="M1719" t="inlineStr">
        <is>
          <t>Pre Axial 3mm</t>
        </is>
      </c>
    </row>
    <row r="1720">
      <c r="A1720" s="2" t="n">
        <v>4600686</v>
      </c>
      <c r="B1720" s="2" t="inlineStr">
        <is>
          <t>56</t>
        </is>
      </c>
      <c r="C1720" s="2" t="inlineStr">
        <is>
          <t>M</t>
        </is>
      </c>
      <c r="D1720" s="2" t="inlineStr">
        <is>
          <t>100.0</t>
        </is>
      </c>
      <c r="E1720" s="4">
        <f>HYPERLINK("./Results/DLO\498\Osteo_Sarco_1.png","RPT")</f>
        <v/>
      </c>
      <c r="F1720" s="2" t="n">
        <v>167</v>
      </c>
      <c r="G1720" s="6" t="n">
        <v>15</v>
      </c>
      <c r="I1720" s="0" t="n"/>
      <c r="J1720" s="0" t="n"/>
      <c r="K1720" s="0" t="n"/>
      <c r="L1720" t="inlineStr">
        <is>
          <t>Revolution EVO</t>
        </is>
      </c>
      <c r="M1720" t="inlineStr">
        <is>
          <t>PRE</t>
        </is>
      </c>
    </row>
    <row r="1721">
      <c r="A1721" s="2" t="n">
        <v>2667886</v>
      </c>
      <c r="B1721" s="2" t="inlineStr">
        <is>
          <t>59</t>
        </is>
      </c>
      <c r="C1721" s="2" t="inlineStr">
        <is>
          <t>F</t>
        </is>
      </c>
      <c r="D1721" s="2" t="inlineStr">
        <is>
          <t>120.0</t>
        </is>
      </c>
      <c r="E1721" s="4">
        <f>HYPERLINK("./Results/DLO\499\Osteo_Sarco_1.png","RPT")</f>
        <v/>
      </c>
      <c r="F1721" s="2" t="n">
        <v>101</v>
      </c>
      <c r="G1721" s="6" t="n">
        <v>11</v>
      </c>
      <c r="I1721" s="0" t="n"/>
      <c r="J1721" s="0" t="n"/>
      <c r="K1721" s="0" t="n"/>
      <c r="L1721" t="inlineStr">
        <is>
          <t>iCT 256</t>
        </is>
      </c>
      <c r="M1721" t="inlineStr">
        <is>
          <t>Pre 3/3mm, iDose (3)</t>
        </is>
      </c>
    </row>
    <row r="1722">
      <c r="A1722" s="2" t="n">
        <v>2769240</v>
      </c>
      <c r="B1722" s="2" t="inlineStr">
        <is>
          <t>76</t>
        </is>
      </c>
      <c r="C1722" s="2" t="inlineStr">
        <is>
          <t>F</t>
        </is>
      </c>
      <c r="D1722" s="2" t="inlineStr">
        <is>
          <t>100.0</t>
        </is>
      </c>
      <c r="E1722" s="4">
        <f>HYPERLINK("./Results/DLO\5\Osteo_Sarco_1.png","RPT")</f>
        <v/>
      </c>
      <c r="F1722" s="2" t="n">
        <v>100</v>
      </c>
      <c r="G1722" s="6" t="n">
        <v>10</v>
      </c>
      <c r="I1722" s="0" t="n"/>
      <c r="J1722" s="0" t="n"/>
      <c r="K1722" s="0" t="n"/>
      <c r="L1722" t="inlineStr">
        <is>
          <t>Revolution EVO</t>
        </is>
      </c>
      <c r="M1722" t="inlineStr">
        <is>
          <t>PRE</t>
        </is>
      </c>
    </row>
    <row r="1723">
      <c r="A1723" s="2" t="n">
        <v>3019566</v>
      </c>
      <c r="B1723" s="2" t="inlineStr">
        <is>
          <t>62</t>
        </is>
      </c>
      <c r="C1723" s="2" t="inlineStr">
        <is>
          <t>F</t>
        </is>
      </c>
      <c r="D1723" s="2" t="inlineStr">
        <is>
          <t>120.0</t>
        </is>
      </c>
      <c r="E1723" s="4">
        <f>HYPERLINK("./Results/DLO\50\Osteo_Sarco_1.png","RPT")</f>
        <v/>
      </c>
      <c r="F1723" s="2" t="n">
        <v>120</v>
      </c>
      <c r="G1723" s="6" t="n">
        <v>9</v>
      </c>
      <c r="I1723" s="0" t="n"/>
      <c r="J1723" s="0" t="n"/>
      <c r="K1723" s="0" t="n"/>
      <c r="L1723" t="inlineStr">
        <is>
          <t>LightSpeed VCT</t>
        </is>
      </c>
      <c r="M1723" t="inlineStr">
        <is>
          <t>HVP 55sec 3mm</t>
        </is>
      </c>
    </row>
    <row r="1724">
      <c r="A1724" s="2" t="n">
        <v>2423275</v>
      </c>
      <c r="B1724" s="2" t="inlineStr">
        <is>
          <t>72</t>
        </is>
      </c>
      <c r="C1724" s="2" t="inlineStr">
        <is>
          <t>M</t>
        </is>
      </c>
      <c r="D1724" s="2" t="inlineStr">
        <is>
          <t>100.0</t>
        </is>
      </c>
      <c r="E1724" s="4">
        <f>HYPERLINK("./Results/DLO\500\Osteo_Sarco_1.png","RPT")</f>
        <v/>
      </c>
      <c r="F1724" s="2" t="n">
        <v>144</v>
      </c>
      <c r="G1724" s="6" t="n">
        <v>9</v>
      </c>
      <c r="I1724" s="0" t="n"/>
      <c r="J1724" s="0" t="n"/>
      <c r="K1724" s="0" t="n"/>
      <c r="L1724" t="inlineStr">
        <is>
          <t>Revolution EVO</t>
        </is>
      </c>
      <c r="M1724" t="inlineStr">
        <is>
          <t>PRE(CP angle-pelvic)</t>
        </is>
      </c>
    </row>
    <row r="1725">
      <c r="A1725" s="2" t="n">
        <v>3314774</v>
      </c>
      <c r="B1725" s="2" t="inlineStr">
        <is>
          <t>55</t>
        </is>
      </c>
      <c r="C1725" s="2" t="inlineStr">
        <is>
          <t>M</t>
        </is>
      </c>
      <c r="D1725" s="2" t="inlineStr">
        <is>
          <t>100.0</t>
        </is>
      </c>
      <c r="E1725" s="4">
        <f>HYPERLINK("./Results/DLO\501\Osteo_Sarco_1.png","RPT")</f>
        <v/>
      </c>
      <c r="F1725" s="2" t="n">
        <v>158</v>
      </c>
      <c r="G1725" s="6" t="n">
        <v>5</v>
      </c>
      <c r="H1725" t="n">
        <v>24.84</v>
      </c>
      <c r="L1725" t="inlineStr">
        <is>
          <t>LightSpeed VCT</t>
        </is>
      </c>
      <c r="M1725" t="inlineStr">
        <is>
          <t>PRE 3mm</t>
        </is>
      </c>
    </row>
    <row r="1726">
      <c r="A1726" s="2" t="n">
        <v>4153531</v>
      </c>
      <c r="B1726" s="2" t="inlineStr">
        <is>
          <t>40</t>
        </is>
      </c>
      <c r="C1726" s="2" t="inlineStr">
        <is>
          <t>F</t>
        </is>
      </c>
      <c r="D1726" s="2" t="inlineStr">
        <is>
          <t>120.0</t>
        </is>
      </c>
      <c r="E1726" s="4">
        <f>HYPERLINK("./Results/DLO\502\Osteo_Sarco_1.png","RPT")</f>
        <v/>
      </c>
      <c r="F1726" s="2" t="n">
        <v>103</v>
      </c>
      <c r="G1726" s="6" t="n">
        <v>3</v>
      </c>
      <c r="I1726" s="0" t="n"/>
      <c r="J1726" s="0" t="n"/>
      <c r="K1726" s="0" t="n"/>
      <c r="L1726" t="inlineStr">
        <is>
          <t>Discovery CT750 HD</t>
        </is>
      </c>
      <c r="M1726" t="inlineStr">
        <is>
          <t>HVP 3mm</t>
        </is>
      </c>
    </row>
    <row r="1727">
      <c r="A1727" s="2" t="n">
        <v>1189922</v>
      </c>
      <c r="B1727" s="2" t="inlineStr">
        <is>
          <t>24</t>
        </is>
      </c>
      <c r="C1727" s="2" t="inlineStr">
        <is>
          <t>F</t>
        </is>
      </c>
      <c r="D1727" s="2" t="inlineStr">
        <is>
          <t>100.0</t>
        </is>
      </c>
      <c r="E1727" s="4">
        <f>HYPERLINK("./Results/DLO\503\Osteo_Sarco_1.png","RPT")</f>
        <v/>
      </c>
      <c r="F1727" s="2" t="n">
        <v>107</v>
      </c>
      <c r="G1727" s="6" t="n">
        <v>7</v>
      </c>
      <c r="I1727" s="0" t="n"/>
      <c r="J1727" s="0" t="n"/>
      <c r="K1727" s="0" t="n"/>
      <c r="L1727" t="inlineStr">
        <is>
          <t>SOMATOM Definition...</t>
        </is>
      </c>
      <c r="M1727" t="inlineStr">
        <is>
          <t>Pre 3mm</t>
        </is>
      </c>
    </row>
    <row r="1728">
      <c r="A1728" s="2" t="n">
        <v>2469409</v>
      </c>
      <c r="B1728" s="2" t="inlineStr">
        <is>
          <t>54</t>
        </is>
      </c>
      <c r="C1728" s="2" t="inlineStr">
        <is>
          <t>M</t>
        </is>
      </c>
      <c r="D1728" s="2" t="inlineStr">
        <is>
          <t>100.0</t>
        </is>
      </c>
      <c r="E1728" s="4">
        <f>HYPERLINK("./Results/DLO\504\Osteo_Sarco_1.png","RPT")</f>
        <v/>
      </c>
      <c r="F1728" s="2" t="n">
        <v>139</v>
      </c>
      <c r="G1728" s="6" t="n">
        <v>16</v>
      </c>
      <c r="I1728" s="0" t="n"/>
      <c r="J1728" s="0" t="n"/>
      <c r="K1728" s="0" t="n"/>
      <c r="L1728" t="inlineStr">
        <is>
          <t>Revolution EVO</t>
        </is>
      </c>
      <c r="M1728" t="inlineStr">
        <is>
          <t>PRE</t>
        </is>
      </c>
    </row>
    <row r="1729">
      <c r="A1729" s="2" t="n">
        <v>3952218</v>
      </c>
      <c r="B1729" s="2" t="inlineStr">
        <is>
          <t>39</t>
        </is>
      </c>
      <c r="C1729" s="2" t="inlineStr">
        <is>
          <t>M</t>
        </is>
      </c>
      <c r="D1729" s="2" t="inlineStr">
        <is>
          <t>100.0</t>
        </is>
      </c>
      <c r="E1729" s="4">
        <f>HYPERLINK("./Results/DLO\505\Osteo_Sarco_1.png","RPT")</f>
        <v/>
      </c>
      <c r="F1729" s="2" t="n">
        <v>140</v>
      </c>
      <c r="G1729" s="6" t="n">
        <v>7</v>
      </c>
      <c r="I1729" s="0" t="n"/>
      <c r="J1729" s="0" t="n"/>
      <c r="K1729" s="0" t="n"/>
      <c r="L1729" t="inlineStr">
        <is>
          <t>LightSpeed VCT</t>
        </is>
      </c>
      <c r="M1729" t="inlineStr">
        <is>
          <t>PRE 3mm</t>
        </is>
      </c>
    </row>
    <row r="1730">
      <c r="A1730" s="2" t="n">
        <v>2894281</v>
      </c>
      <c r="B1730" s="2" t="inlineStr">
        <is>
          <t>81</t>
        </is>
      </c>
      <c r="C1730" s="2" t="inlineStr">
        <is>
          <t>M</t>
        </is>
      </c>
      <c r="D1730" s="2" t="inlineStr">
        <is>
          <t>120.0</t>
        </is>
      </c>
      <c r="E1730" s="4">
        <f>HYPERLINK("./Results/DLO\506\Osteo_Sarco_1.png","RPT")</f>
        <v/>
      </c>
      <c r="F1730" s="2" t="n">
        <v>145</v>
      </c>
      <c r="G1730" s="6" t="n">
        <v>14</v>
      </c>
      <c r="H1730" t="n">
        <v>23.39</v>
      </c>
      <c r="L1730" t="inlineStr">
        <is>
          <t>Sensation 64</t>
        </is>
      </c>
      <c r="M1730" t="inlineStr">
        <is>
          <t>GU 3mm(70kg/140cc/3cc/ultra300)</t>
        </is>
      </c>
    </row>
    <row r="1731">
      <c r="A1731" s="2" t="n">
        <v>2543174</v>
      </c>
      <c r="B1731" s="2" t="inlineStr">
        <is>
          <t>69</t>
        </is>
      </c>
      <c r="C1731" s="2" t="inlineStr">
        <is>
          <t>F</t>
        </is>
      </c>
      <c r="D1731" s="2" t="inlineStr">
        <is>
          <t>120.0</t>
        </is>
      </c>
      <c r="E1731" s="4">
        <f>HYPERLINK("./Results/DLO\507\Osteo_Sarco_1.png","RPT")</f>
        <v/>
      </c>
      <c r="F1731" s="2" t="n">
        <v>108</v>
      </c>
      <c r="G1731" s="6" t="n">
        <v>12</v>
      </c>
      <c r="I1731" s="0" t="n"/>
      <c r="J1731" s="0" t="n"/>
      <c r="K1731" s="0" t="n"/>
      <c r="L1731" t="inlineStr">
        <is>
          <t>Discovery CT750 HD</t>
        </is>
      </c>
      <c r="M1731" t="inlineStr">
        <is>
          <t>HVP 3mm</t>
        </is>
      </c>
    </row>
    <row r="1732">
      <c r="A1732" s="2" t="n">
        <v>3886052</v>
      </c>
      <c r="B1732" s="2" t="inlineStr">
        <is>
          <t>55</t>
        </is>
      </c>
      <c r="C1732" s="2" t="inlineStr">
        <is>
          <t>F</t>
        </is>
      </c>
      <c r="D1732" s="2" t="inlineStr">
        <is>
          <t>100.0</t>
        </is>
      </c>
      <c r="E1732" s="4">
        <f>HYPERLINK("./Results/DLO\508\Osteo_Sarco_1.png","RPT")</f>
        <v/>
      </c>
      <c r="F1732" s="2" t="n">
        <v>122</v>
      </c>
      <c r="G1732" s="6" t="n">
        <v>6</v>
      </c>
      <c r="I1732" s="0" t="n"/>
      <c r="J1732" s="0" t="n"/>
      <c r="K1732" s="0" t="n"/>
      <c r="L1732" t="inlineStr">
        <is>
          <t>SOMATOM Force</t>
        </is>
      </c>
      <c r="M1732" t="inlineStr">
        <is>
          <t>Pre 3.0 Br40 1</t>
        </is>
      </c>
    </row>
    <row r="1733">
      <c r="A1733" s="2" t="n">
        <v>1824825</v>
      </c>
      <c r="B1733" s="2" t="inlineStr">
        <is>
          <t>18</t>
        </is>
      </c>
      <c r="C1733" s="2" t="inlineStr">
        <is>
          <t>F</t>
        </is>
      </c>
      <c r="D1733" s="2" t="inlineStr">
        <is>
          <t>120.0</t>
        </is>
      </c>
      <c r="E1733" s="4">
        <f>HYPERLINK("./Results/DLO\509\Osteo_Sarco_1.png","RPT")</f>
        <v/>
      </c>
      <c r="F1733" s="2" t="n">
        <v>116</v>
      </c>
      <c r="G1733" s="6" t="n">
        <v>12</v>
      </c>
      <c r="I1733" s="0" t="n"/>
      <c r="J1733" s="0" t="n"/>
      <c r="K1733" s="0" t="n"/>
      <c r="L1733" t="inlineStr">
        <is>
          <t>SOMATOM Definition...</t>
        </is>
      </c>
      <c r="M1733" t="inlineStr">
        <is>
          <t>PRE 3/3mm 3</t>
        </is>
      </c>
    </row>
    <row r="1734">
      <c r="A1734" s="2" t="n">
        <v>2118110</v>
      </c>
      <c r="B1734" s="2" t="inlineStr">
        <is>
          <t>73</t>
        </is>
      </c>
      <c r="C1734" s="2" t="inlineStr">
        <is>
          <t>F</t>
        </is>
      </c>
      <c r="D1734" s="2" t="inlineStr">
        <is>
          <t>100.0</t>
        </is>
      </c>
      <c r="E1734" s="4">
        <f>HYPERLINK("./Results/DLO\51\Osteo_Sarco_1.png","RPT")</f>
        <v/>
      </c>
      <c r="F1734" s="2" t="n">
        <v>96</v>
      </c>
      <c r="G1734" s="6" t="n">
        <v>27</v>
      </c>
      <c r="I1734" s="0" t="n"/>
      <c r="J1734" s="0" t="n"/>
      <c r="K1734" s="0" t="n"/>
      <c r="L1734" t="inlineStr">
        <is>
          <t>SOMATOM Definition...</t>
        </is>
      </c>
      <c r="M1734" t="inlineStr">
        <is>
          <t>Pre 3mm</t>
        </is>
      </c>
    </row>
    <row r="1735">
      <c r="A1735" s="2" t="n">
        <v>2971325</v>
      </c>
      <c r="B1735" s="2" t="inlineStr">
        <is>
          <t>74</t>
        </is>
      </c>
      <c r="C1735" s="2" t="inlineStr">
        <is>
          <t>F</t>
        </is>
      </c>
      <c r="D1735" s="2" t="inlineStr">
        <is>
          <t>100.0</t>
        </is>
      </c>
      <c r="E1735" s="4">
        <f>HYPERLINK("./Results/DLO\510\Osteo_Sarco_1.png","RPT")</f>
        <v/>
      </c>
      <c r="F1735" s="2" t="n">
        <v>93</v>
      </c>
      <c r="G1735" s="6" t="n">
        <v>8</v>
      </c>
      <c r="I1735" s="0" t="n"/>
      <c r="J1735" s="0" t="n"/>
      <c r="K1735" s="0" t="n"/>
      <c r="L1735" t="inlineStr">
        <is>
          <t>SOMATOM Force</t>
        </is>
      </c>
      <c r="M1735" t="inlineStr">
        <is>
          <t>HVP 3.0 Br40 2(49kg/98cc/2...</t>
        </is>
      </c>
    </row>
    <row r="1736">
      <c r="A1736" s="2" t="n">
        <v>4561077</v>
      </c>
      <c r="B1736" s="2" t="inlineStr">
        <is>
          <t>48</t>
        </is>
      </c>
      <c r="C1736" s="2" t="inlineStr">
        <is>
          <t>F</t>
        </is>
      </c>
      <c r="D1736" s="2" t="inlineStr">
        <is>
          <t>100.0</t>
        </is>
      </c>
      <c r="E1736" s="4">
        <f>HYPERLINK("./Results/DLO\511\Osteo_Sarco_1.png","RPT")</f>
        <v/>
      </c>
      <c r="F1736" s="2" t="n">
        <v>77</v>
      </c>
      <c r="G1736" s="6" t="n">
        <v>7</v>
      </c>
      <c r="I1736" s="0" t="n"/>
      <c r="J1736" s="0" t="n"/>
      <c r="K1736" s="0" t="n"/>
      <c r="L1736" t="inlineStr">
        <is>
          <t>Revolution EVO</t>
        </is>
      </c>
      <c r="M1736" t="inlineStr">
        <is>
          <t>AX 3mm</t>
        </is>
      </c>
    </row>
    <row r="1737">
      <c r="A1737" s="2" t="n">
        <v>4379700</v>
      </c>
      <c r="B1737" s="2" t="inlineStr">
        <is>
          <t>46</t>
        </is>
      </c>
      <c r="C1737" s="2" t="inlineStr">
        <is>
          <t>F</t>
        </is>
      </c>
      <c r="D1737" s="2" t="inlineStr">
        <is>
          <t>100.0</t>
        </is>
      </c>
      <c r="E1737" s="4">
        <f>HYPERLINK("./Results/DLO\512\Osteo_Sarco_1.png","RPT")</f>
        <v/>
      </c>
      <c r="F1737" s="2" t="n">
        <v>95</v>
      </c>
      <c r="G1737" s="6" t="n">
        <v>8</v>
      </c>
      <c r="I1737" s="0" t="n"/>
      <c r="J1737" s="0" t="n"/>
      <c r="K1737" s="0" t="n"/>
      <c r="L1737" t="inlineStr">
        <is>
          <t>Revolution EVO</t>
        </is>
      </c>
      <c r="M1737" t="inlineStr">
        <is>
          <t>PRE</t>
        </is>
      </c>
    </row>
    <row r="1738">
      <c r="A1738" s="2" t="n">
        <v>3866054</v>
      </c>
      <c r="B1738" s="2" t="inlineStr">
        <is>
          <t>59</t>
        </is>
      </c>
      <c r="C1738" s="2" t="inlineStr">
        <is>
          <t>F</t>
        </is>
      </c>
      <c r="D1738" s="2" t="inlineStr">
        <is>
          <t>120.0</t>
        </is>
      </c>
      <c r="E1738" s="4">
        <f>HYPERLINK("./Results/DLO\513\Osteo_Sarco_1.png","RPT")</f>
        <v/>
      </c>
      <c r="F1738" s="2" t="n">
        <v>113</v>
      </c>
      <c r="G1738" s="6" t="n">
        <v>9</v>
      </c>
      <c r="I1738" s="0" t="n"/>
      <c r="J1738" s="0" t="n"/>
      <c r="K1738" s="0" t="n"/>
      <c r="L1738" t="inlineStr">
        <is>
          <t>LightSpeed VCT</t>
        </is>
      </c>
      <c r="M1738" t="inlineStr">
        <is>
          <t>HVP 55sec 3mm</t>
        </is>
      </c>
    </row>
    <row r="1739">
      <c r="A1739" s="2" t="n">
        <v>3866448</v>
      </c>
      <c r="B1739" s="2" t="inlineStr">
        <is>
          <t>64</t>
        </is>
      </c>
      <c r="C1739" s="2" t="inlineStr">
        <is>
          <t>M</t>
        </is>
      </c>
      <c r="D1739" s="2" t="inlineStr">
        <is>
          <t>100.0</t>
        </is>
      </c>
      <c r="E1739" s="4">
        <f>HYPERLINK("./Results/DLO\514\Osteo_Sarco_1.png","RPT")</f>
        <v/>
      </c>
      <c r="F1739" s="2" t="n">
        <v>144</v>
      </c>
      <c r="G1739" s="6" t="n">
        <v>13</v>
      </c>
      <c r="H1739" t="n">
        <v>27.31</v>
      </c>
      <c r="L1739" t="inlineStr">
        <is>
          <t>Discovery CT750 HD</t>
        </is>
      </c>
      <c r="M1739" t="inlineStr">
        <is>
          <t>CMP 2.5mm(ASIR30%)</t>
        </is>
      </c>
    </row>
    <row r="1740">
      <c r="A1740" s="2" t="n">
        <v>2129784</v>
      </c>
      <c r="B1740" s="2" t="inlineStr">
        <is>
          <t>44</t>
        </is>
      </c>
      <c r="C1740" s="2" t="inlineStr">
        <is>
          <t>F</t>
        </is>
      </c>
      <c r="D1740" s="2" t="inlineStr">
        <is>
          <t>100.0</t>
        </is>
      </c>
      <c r="E1740" s="4">
        <f>HYPERLINK("./Results/DLO\515\Osteo_Sarco_1.png","RPT")</f>
        <v/>
      </c>
      <c r="F1740" s="2" t="n">
        <v>105</v>
      </c>
      <c r="G1740" s="6" t="n">
        <v>6</v>
      </c>
      <c r="I1740" s="0" t="n"/>
      <c r="J1740" s="0" t="n"/>
      <c r="K1740" s="0" t="n"/>
      <c r="L1740" t="inlineStr">
        <is>
          <t>Revolution CT</t>
        </is>
      </c>
      <c r="M1740" t="inlineStr">
        <is>
          <t>HVP 3mm-pacs(52kg/104cc/2.2cc...</t>
        </is>
      </c>
    </row>
    <row r="1741">
      <c r="A1741" s="2" t="n">
        <v>3401711</v>
      </c>
      <c r="B1741" s="2" t="inlineStr">
        <is>
          <t>75</t>
        </is>
      </c>
      <c r="C1741" s="2" t="inlineStr">
        <is>
          <t>M</t>
        </is>
      </c>
      <c r="D1741" s="2" t="inlineStr">
        <is>
          <t>100.0</t>
        </is>
      </c>
      <c r="E1741" s="4">
        <f>HYPERLINK("./Results/DLO\516\Osteo_Sarco_1.png","RPT")</f>
        <v/>
      </c>
      <c r="F1741" s="2" t="n">
        <v>171</v>
      </c>
      <c r="G1741" s="6" t="n">
        <v>19</v>
      </c>
      <c r="I1741" s="0" t="n"/>
      <c r="J1741" s="0" t="n"/>
      <c r="K1741" s="0" t="n"/>
      <c r="L1741" t="inlineStr">
        <is>
          <t>SOMATOM Definition...</t>
        </is>
      </c>
      <c r="M1741" t="inlineStr">
        <is>
          <t>LAP 3mm(70kg/140cc/3cc/hexo)</t>
        </is>
      </c>
    </row>
    <row r="1742">
      <c r="A1742" s="2" t="n">
        <v>3765478</v>
      </c>
      <c r="B1742" s="2" t="inlineStr">
        <is>
          <t>64</t>
        </is>
      </c>
      <c r="C1742" s="2" t="inlineStr">
        <is>
          <t>F</t>
        </is>
      </c>
      <c r="D1742" s="2" t="inlineStr">
        <is>
          <t>100.0</t>
        </is>
      </c>
      <c r="E1742" s="4">
        <f>HYPERLINK("./Results/DLO\517\Osteo_Sarco_1.png","RPT")</f>
        <v/>
      </c>
      <c r="F1742" s="2" t="n">
        <v>99</v>
      </c>
      <c r="G1742" s="6" t="n">
        <v>8</v>
      </c>
      <c r="I1742" s="0" t="n"/>
      <c r="J1742" s="0" t="n"/>
      <c r="K1742" s="0" t="n"/>
      <c r="L1742" t="inlineStr">
        <is>
          <t>iCT 256</t>
        </is>
      </c>
      <c r="M1742" t="inlineStr">
        <is>
          <t>HVP 3/3mm, iDose (3)</t>
        </is>
      </c>
    </row>
    <row r="1743">
      <c r="A1743" s="2" t="n">
        <v>4715258</v>
      </c>
      <c r="B1743" s="2" t="inlineStr">
        <is>
          <t>34</t>
        </is>
      </c>
      <c r="C1743" s="2" t="inlineStr">
        <is>
          <t>F</t>
        </is>
      </c>
      <c r="D1743" s="2" t="inlineStr">
        <is>
          <t>100.0</t>
        </is>
      </c>
      <c r="E1743" s="4">
        <f>HYPERLINK("./Results/DLO\518\Osteo_Sarco_1.png","RPT")</f>
        <v/>
      </c>
      <c r="F1743" s="2" t="n">
        <v>103</v>
      </c>
      <c r="G1743" s="6" t="n">
        <v>11</v>
      </c>
      <c r="I1743" s="0" t="n"/>
      <c r="J1743" s="0" t="n"/>
      <c r="K1743" s="0" t="n"/>
      <c r="L1743" t="inlineStr">
        <is>
          <t>LightSpeed VCT</t>
        </is>
      </c>
      <c r="M1743" t="inlineStr">
        <is>
          <t>PRE 2,5mm</t>
        </is>
      </c>
    </row>
    <row r="1744">
      <c r="A1744" s="2" t="n">
        <v>2611903</v>
      </c>
      <c r="B1744" s="2" t="inlineStr">
        <is>
          <t>39</t>
        </is>
      </c>
      <c r="C1744" s="2" t="inlineStr">
        <is>
          <t>M</t>
        </is>
      </c>
      <c r="D1744" s="2" t="inlineStr">
        <is>
          <t>100.0</t>
        </is>
      </c>
      <c r="E1744" s="4">
        <f>HYPERLINK("./Results/DLO\519\Osteo_Sarco_1.png","RPT")</f>
        <v/>
      </c>
      <c r="F1744" s="2" t="n">
        <v>157</v>
      </c>
      <c r="G1744" s="6" t="n">
        <v>8</v>
      </c>
      <c r="I1744" s="0" t="n"/>
      <c r="J1744" s="0" t="n"/>
      <c r="K1744" s="0" t="n"/>
      <c r="L1744" t="inlineStr">
        <is>
          <t>Revolution EVO</t>
        </is>
      </c>
      <c r="M1744" t="inlineStr">
        <is>
          <t>PRE</t>
        </is>
      </c>
    </row>
    <row r="1745">
      <c r="A1745" s="2" t="n">
        <v>2472459</v>
      </c>
      <c r="B1745" s="2" t="inlineStr">
        <is>
          <t>86</t>
        </is>
      </c>
      <c r="C1745" s="2" t="inlineStr">
        <is>
          <t>M</t>
        </is>
      </c>
      <c r="D1745" s="2" t="inlineStr">
        <is>
          <t>100.0</t>
        </is>
      </c>
      <c r="E1745" s="4">
        <f>HYPERLINK("./Results/DLO\52\Osteo_Sarco_1.png","RPT")</f>
        <v/>
      </c>
      <c r="F1745" s="2" t="n">
        <v>105</v>
      </c>
      <c r="G1745" s="6" t="n">
        <v>20</v>
      </c>
      <c r="H1745" t="n">
        <v>24.46</v>
      </c>
      <c r="L1745" t="inlineStr">
        <is>
          <t>LightSpeed VCT</t>
        </is>
      </c>
      <c r="M1745" t="inlineStr">
        <is>
          <t>PRE (CP angle~Pubic)</t>
        </is>
      </c>
    </row>
    <row r="1746">
      <c r="A1746" s="2" t="n">
        <v>1932721</v>
      </c>
      <c r="B1746" s="2" t="inlineStr">
        <is>
          <t>73</t>
        </is>
      </c>
      <c r="C1746" s="2" t="inlineStr">
        <is>
          <t>F</t>
        </is>
      </c>
      <c r="D1746" s="2" t="inlineStr">
        <is>
          <t>100.0</t>
        </is>
      </c>
      <c r="E1746" s="4">
        <f>HYPERLINK("./Results/DLO\520\Osteo_Sarco_1.png","RPT")</f>
        <v/>
      </c>
      <c r="F1746" s="2" t="n">
        <v>93</v>
      </c>
      <c r="G1746" s="6" t="n">
        <v>12</v>
      </c>
      <c r="I1746" s="0" t="n"/>
      <c r="J1746" s="0" t="n"/>
      <c r="K1746" s="0" t="n"/>
      <c r="L1746" t="inlineStr">
        <is>
          <t>Discovery CT750 HD</t>
        </is>
      </c>
      <c r="M1746" t="inlineStr">
        <is>
          <t>Pre 3mm</t>
        </is>
      </c>
    </row>
    <row r="1747">
      <c r="A1747" s="2" t="n">
        <v>2117911</v>
      </c>
      <c r="B1747" s="2" t="inlineStr">
        <is>
          <t>63</t>
        </is>
      </c>
      <c r="C1747" s="2" t="inlineStr">
        <is>
          <t>F</t>
        </is>
      </c>
      <c r="D1747" s="2" t="inlineStr">
        <is>
          <t>120.0</t>
        </is>
      </c>
      <c r="E1747" s="4">
        <f>HYPERLINK("./Results/DLO\521\Osteo_Sarco_1.png","RPT")</f>
        <v/>
      </c>
      <c r="F1747" s="2" t="n">
        <v>104</v>
      </c>
      <c r="G1747" s="6" t="n">
        <v>10</v>
      </c>
      <c r="I1747" s="0" t="n"/>
      <c r="J1747" s="0" t="n"/>
      <c r="K1747" s="0" t="n"/>
      <c r="L1747" t="inlineStr">
        <is>
          <t>Revolution CT</t>
        </is>
      </c>
      <c r="M1747" t="inlineStr">
        <is>
          <t>Abd pre</t>
        </is>
      </c>
    </row>
    <row r="1748">
      <c r="A1748" s="2" t="n">
        <v>3350368</v>
      </c>
      <c r="B1748" s="2" t="inlineStr">
        <is>
          <t>62</t>
        </is>
      </c>
      <c r="C1748" s="2" t="inlineStr">
        <is>
          <t>F</t>
        </is>
      </c>
      <c r="D1748" s="2" t="inlineStr">
        <is>
          <t>100.0</t>
        </is>
      </c>
      <c r="E1748" s="4">
        <f>HYPERLINK("./Results/DLO\522\Osteo_Sarco_1.png","RPT")</f>
        <v/>
      </c>
      <c r="F1748" s="2" t="n">
        <v>99</v>
      </c>
      <c r="G1748" s="6" t="n">
        <v>9</v>
      </c>
      <c r="H1748" t="n">
        <v>32.94</v>
      </c>
      <c r="L1748" t="inlineStr">
        <is>
          <t>iCT 256</t>
        </is>
      </c>
      <c r="M1748" t="inlineStr">
        <is>
          <t>HVP 3/3mm, iDose (3)</t>
        </is>
      </c>
    </row>
    <row r="1749">
      <c r="A1749" s="2" t="n">
        <v>4562973</v>
      </c>
      <c r="B1749" s="2" t="inlineStr">
        <is>
          <t>67</t>
        </is>
      </c>
      <c r="C1749" s="2" t="inlineStr">
        <is>
          <t>F</t>
        </is>
      </c>
      <c r="D1749" s="2" t="inlineStr">
        <is>
          <t>100.0</t>
        </is>
      </c>
      <c r="E1749" s="4">
        <f>HYPERLINK("./Results/DLO\523\Osteo_Sarco_1.png","RPT")</f>
        <v/>
      </c>
      <c r="F1749" s="2" t="n">
        <v>85</v>
      </c>
      <c r="G1749" s="6" t="n">
        <v>11</v>
      </c>
      <c r="I1749" s="0" t="n"/>
      <c r="J1749" s="0" t="n"/>
      <c r="K1749" s="0" t="n"/>
      <c r="L1749" t="inlineStr">
        <is>
          <t>Revolution EVO</t>
        </is>
      </c>
      <c r="M1749" t="inlineStr">
        <is>
          <t>PRE</t>
        </is>
      </c>
    </row>
    <row r="1750">
      <c r="A1750" s="2" t="n">
        <v>3250947</v>
      </c>
      <c r="B1750" s="2" t="inlineStr">
        <is>
          <t>59</t>
        </is>
      </c>
      <c r="C1750" s="2" t="inlineStr">
        <is>
          <t>F</t>
        </is>
      </c>
      <c r="D1750" s="2" t="inlineStr">
        <is>
          <t>100.0</t>
        </is>
      </c>
      <c r="E1750" s="4">
        <f>HYPERLINK("./Results/DLO\524\Osteo_Sarco_1.png","RPT")</f>
        <v/>
      </c>
      <c r="F1750" s="2" t="n">
        <v>102</v>
      </c>
      <c r="G1750" s="6" t="n">
        <v>15</v>
      </c>
      <c r="H1750" t="n">
        <v>23.15</v>
      </c>
      <c r="L1750" t="inlineStr">
        <is>
          <t>SOMATOM Force</t>
        </is>
      </c>
      <c r="M1750" t="inlineStr">
        <is>
          <t>Pre 3.0 Br40</t>
        </is>
      </c>
    </row>
    <row r="1751">
      <c r="A1751" s="2" t="n">
        <v>3225573</v>
      </c>
      <c r="B1751" s="2" t="inlineStr">
        <is>
          <t>54</t>
        </is>
      </c>
      <c r="C1751" s="2" t="inlineStr">
        <is>
          <t>F</t>
        </is>
      </c>
      <c r="D1751" s="2" t="inlineStr">
        <is>
          <t>100.0</t>
        </is>
      </c>
      <c r="E1751" s="4">
        <f>HYPERLINK("./Results/DLO\525\Osteo_Sarco_1.png","RPT")</f>
        <v/>
      </c>
      <c r="F1751" s="2" t="n">
        <v>90</v>
      </c>
      <c r="G1751" s="6" t="n">
        <v>12</v>
      </c>
      <c r="I1751" s="0" t="n"/>
      <c r="J1751" s="0" t="n"/>
      <c r="K1751" s="0" t="n"/>
      <c r="L1751" t="inlineStr">
        <is>
          <t>Revolution EVO</t>
        </is>
      </c>
      <c r="M1751" t="inlineStr">
        <is>
          <t>PRE</t>
        </is>
      </c>
    </row>
    <row r="1752">
      <c r="A1752" s="2" t="n">
        <v>3974457</v>
      </c>
      <c r="B1752" s="2" t="inlineStr">
        <is>
          <t>79</t>
        </is>
      </c>
      <c r="C1752" s="2" t="inlineStr">
        <is>
          <t>M</t>
        </is>
      </c>
      <c r="D1752" s="2" t="inlineStr">
        <is>
          <t>100.0</t>
        </is>
      </c>
      <c r="E1752" s="4">
        <f>HYPERLINK("./Results/DLO\526\Osteo_Sarco_1.png","RPT")</f>
        <v/>
      </c>
      <c r="F1752" s="2" t="n">
        <v>82</v>
      </c>
      <c r="G1752" s="6" t="n">
        <v>9</v>
      </c>
      <c r="H1752" t="n">
        <v>28.81</v>
      </c>
      <c r="L1752" t="inlineStr">
        <is>
          <t>iCT 256</t>
        </is>
      </c>
      <c r="M1752" t="inlineStr">
        <is>
          <t>Pre 3mm, iDose (3)</t>
        </is>
      </c>
    </row>
    <row r="1753">
      <c r="A1753" s="2" t="n">
        <v>2603810</v>
      </c>
      <c r="B1753" s="2" t="inlineStr">
        <is>
          <t>58</t>
        </is>
      </c>
      <c r="C1753" s="2" t="inlineStr">
        <is>
          <t>F</t>
        </is>
      </c>
      <c r="D1753" s="2" t="inlineStr">
        <is>
          <t>100.0</t>
        </is>
      </c>
      <c r="E1753" s="4">
        <f>HYPERLINK("./Results/DLO\528\Osteo_Sarco_1.png","RPT")</f>
        <v/>
      </c>
      <c r="F1753" s="2" t="n">
        <v>136</v>
      </c>
      <c r="G1753" s="6" t="n">
        <v>18</v>
      </c>
      <c r="H1753" t="n">
        <v>32.19</v>
      </c>
      <c r="L1753" t="inlineStr">
        <is>
          <t>SOMATOM Definition...</t>
        </is>
      </c>
      <c r="M1753" t="inlineStr">
        <is>
          <t>HVP 2 3mm(86Kg/150ml/2.7ml/...</t>
        </is>
      </c>
    </row>
    <row r="1754">
      <c r="A1754" s="2" t="n">
        <v>2271241</v>
      </c>
      <c r="B1754" s="2" t="inlineStr">
        <is>
          <t>47</t>
        </is>
      </c>
      <c r="C1754" s="2" t="inlineStr">
        <is>
          <t>F</t>
        </is>
      </c>
      <c r="D1754" s="2" t="inlineStr">
        <is>
          <t>100.0</t>
        </is>
      </c>
      <c r="E1754" s="4">
        <f>HYPERLINK("./Results/DLO\529\Osteo_Sarco_1.png","RPT")</f>
        <v/>
      </c>
      <c r="F1754" s="2" t="n">
        <v>112</v>
      </c>
      <c r="G1754" s="6" t="n">
        <v>13</v>
      </c>
      <c r="I1754" s="0" t="n"/>
      <c r="J1754" s="0" t="n"/>
      <c r="K1754" s="0" t="n"/>
      <c r="L1754" t="inlineStr">
        <is>
          <t>iCT 256</t>
        </is>
      </c>
      <c r="M1754" t="inlineStr">
        <is>
          <t>Pre 3/3mm, iDose (3)</t>
        </is>
      </c>
    </row>
    <row r="1755">
      <c r="A1755" s="2" t="n">
        <v>4260409</v>
      </c>
      <c r="B1755" s="2" t="inlineStr">
        <is>
          <t>76</t>
        </is>
      </c>
      <c r="C1755" s="2" t="inlineStr">
        <is>
          <t>F</t>
        </is>
      </c>
      <c r="D1755" s="2" t="inlineStr">
        <is>
          <t>100.0</t>
        </is>
      </c>
      <c r="E1755" s="4">
        <f>HYPERLINK("./Results/DLO\53\Osteo_Sarco_1.png","RPT")</f>
        <v/>
      </c>
      <c r="F1755" s="2" t="n">
        <v>78</v>
      </c>
      <c r="G1755" s="6" t="n">
        <v>12</v>
      </c>
      <c r="H1755" t="n">
        <v>27.36</v>
      </c>
      <c r="L1755" t="inlineStr">
        <is>
          <t>Revolution CT</t>
        </is>
      </c>
      <c r="M1755" t="inlineStr">
        <is>
          <t>HVP 3mm-pacs(60kg/120cc/3cc/r...</t>
        </is>
      </c>
    </row>
    <row r="1756">
      <c r="A1756" s="2" t="n">
        <v>3634409</v>
      </c>
      <c r="B1756" s="2" t="inlineStr">
        <is>
          <t>64</t>
        </is>
      </c>
      <c r="C1756" s="2" t="inlineStr">
        <is>
          <t>M</t>
        </is>
      </c>
      <c r="D1756" s="2" t="inlineStr">
        <is>
          <t>100.0</t>
        </is>
      </c>
      <c r="E1756" s="4">
        <f>HYPERLINK("./Results/DLO\530\Osteo_Sarco_1.png","RPT")</f>
        <v/>
      </c>
      <c r="F1756" s="2" t="n">
        <v>117</v>
      </c>
      <c r="G1756" s="6" t="n">
        <v>5</v>
      </c>
      <c r="I1756" s="0" t="n"/>
      <c r="J1756" s="0" t="n"/>
      <c r="K1756" s="0" t="n"/>
      <c r="L1756" t="inlineStr">
        <is>
          <t>SOMATOM Definition...</t>
        </is>
      </c>
      <c r="M1756" t="inlineStr">
        <is>
          <t>Non Abdomen 3mm</t>
        </is>
      </c>
    </row>
    <row r="1757">
      <c r="A1757" s="2" t="n">
        <v>4514679</v>
      </c>
      <c r="B1757" s="2" t="inlineStr">
        <is>
          <t>75</t>
        </is>
      </c>
      <c r="C1757" s="2" t="inlineStr">
        <is>
          <t>M</t>
        </is>
      </c>
      <c r="D1757" s="2" t="inlineStr">
        <is>
          <t>100.0</t>
        </is>
      </c>
      <c r="E1757" s="4">
        <f>HYPERLINK("./Results/DLO\531\Osteo_Sarco_1.png","RPT")</f>
        <v/>
      </c>
      <c r="F1757" s="2" t="n">
        <v>141</v>
      </c>
      <c r="G1757" s="6" t="n">
        <v>23</v>
      </c>
      <c r="H1757" t="n">
        <v>22.99</v>
      </c>
      <c r="L1757" t="inlineStr">
        <is>
          <t>Sensation 64</t>
        </is>
      </c>
      <c r="M1757" t="inlineStr">
        <is>
          <t>HVP 3mm (70kg/140cc/3cc/ultra</t>
        </is>
      </c>
    </row>
    <row r="1758">
      <c r="A1758" s="2" t="n">
        <v>3843871</v>
      </c>
      <c r="B1758" s="2" t="inlineStr">
        <is>
          <t>63</t>
        </is>
      </c>
      <c r="C1758" s="2" t="inlineStr">
        <is>
          <t>F</t>
        </is>
      </c>
      <c r="D1758" s="2" t="inlineStr">
        <is>
          <t>120.0</t>
        </is>
      </c>
      <c r="E1758" s="4">
        <f>HYPERLINK("./Results/DLO\532\Osteo_Sarco_1.png","RPT")</f>
        <v/>
      </c>
      <c r="F1758" s="2" t="n">
        <v>120</v>
      </c>
      <c r="G1758" s="6" t="n">
        <v>11</v>
      </c>
      <c r="H1758" t="n">
        <v>22.86</v>
      </c>
      <c r="L1758" t="inlineStr">
        <is>
          <t>Discovery CT750 HD</t>
        </is>
      </c>
      <c r="M1758" t="inlineStr">
        <is>
          <t>HVP 3mm</t>
        </is>
      </c>
    </row>
    <row r="1759">
      <c r="A1759" s="2" t="n">
        <v>3889037</v>
      </c>
      <c r="B1759" s="2" t="inlineStr">
        <is>
          <t>79</t>
        </is>
      </c>
      <c r="C1759" s="2" t="inlineStr">
        <is>
          <t>M</t>
        </is>
      </c>
      <c r="D1759" s="2" t="inlineStr">
        <is>
          <t>100.0</t>
        </is>
      </c>
      <c r="E1759" s="4">
        <f>HYPERLINK("./Results/DLO\533\Osteo_Sarco_1.png","RPT")</f>
        <v/>
      </c>
      <c r="F1759" s="2" t="n">
        <v>119</v>
      </c>
      <c r="G1759" s="6" t="n">
        <v>8</v>
      </c>
      <c r="I1759" s="0" t="n"/>
      <c r="J1759" s="0" t="n"/>
      <c r="K1759" s="0" t="n"/>
      <c r="L1759" t="inlineStr">
        <is>
          <t>iCT 256</t>
        </is>
      </c>
      <c r="M1759" t="inlineStr">
        <is>
          <t>Pre (CP~Pubi)3mm, iDose (3)</t>
        </is>
      </c>
    </row>
    <row r="1760">
      <c r="A1760" s="2" t="n">
        <v>1921455</v>
      </c>
      <c r="B1760" s="2" t="inlineStr">
        <is>
          <t>56</t>
        </is>
      </c>
      <c r="C1760" s="2" t="inlineStr">
        <is>
          <t>F</t>
        </is>
      </c>
      <c r="D1760" s="2" t="inlineStr">
        <is>
          <t>100.0</t>
        </is>
      </c>
      <c r="E1760" s="4">
        <f>HYPERLINK("./Results/DLO\534\Osteo_Sarco_1.png","RPT")</f>
        <v/>
      </c>
      <c r="F1760" s="2" t="n">
        <v>83</v>
      </c>
      <c r="G1760" s="6" t="n">
        <v>8</v>
      </c>
      <c r="I1760" s="0" t="n"/>
      <c r="J1760" s="0" t="n"/>
      <c r="K1760" s="0" t="n"/>
      <c r="L1760" t="inlineStr">
        <is>
          <t>Sensation 64</t>
        </is>
      </c>
      <c r="M1760" t="inlineStr">
        <is>
          <t>Pre 3mm(100kvp100mAs)</t>
        </is>
      </c>
    </row>
    <row r="1761">
      <c r="A1761" s="2" t="n">
        <v>4551044</v>
      </c>
      <c r="B1761" s="2" t="inlineStr">
        <is>
          <t>65</t>
        </is>
      </c>
      <c r="C1761" s="2" t="inlineStr">
        <is>
          <t>F</t>
        </is>
      </c>
      <c r="D1761" s="2" t="inlineStr">
        <is>
          <t>100.0</t>
        </is>
      </c>
      <c r="E1761" s="4">
        <f>HYPERLINK("./Results/DLO\535\Osteo_Sarco_1.png","RPT")</f>
        <v/>
      </c>
      <c r="F1761" s="2" t="n">
        <v>104</v>
      </c>
      <c r="G1761" s="6" t="n">
        <v>10</v>
      </c>
      <c r="I1761" s="0" t="n"/>
      <c r="J1761" s="0" t="n"/>
      <c r="K1761" s="0" t="n"/>
      <c r="L1761" t="inlineStr">
        <is>
          <t>Revolution CT</t>
        </is>
      </c>
      <c r="M1761" t="inlineStr">
        <is>
          <t>HVP 3mm(51kg/102cc/3cc/bono)</t>
        </is>
      </c>
    </row>
    <row r="1762">
      <c r="A1762" s="2" t="n">
        <v>4513175</v>
      </c>
      <c r="B1762" s="2" t="inlineStr">
        <is>
          <t>46</t>
        </is>
      </c>
      <c r="C1762" s="2" t="inlineStr">
        <is>
          <t>M</t>
        </is>
      </c>
      <c r="D1762" s="2" t="inlineStr">
        <is>
          <t>120.0</t>
        </is>
      </c>
      <c r="E1762" s="4">
        <f>HYPERLINK("./Results/DLO\536\Osteo_Sarco_1.png","RPT")</f>
        <v/>
      </c>
      <c r="F1762" s="2" t="n">
        <v>173</v>
      </c>
      <c r="G1762" s="6" t="n">
        <v>5</v>
      </c>
      <c r="I1762" s="0" t="n"/>
      <c r="J1762" s="0" t="n"/>
      <c r="K1762" s="0" t="n"/>
      <c r="L1762" t="inlineStr">
        <is>
          <t>LightSpeed VCT</t>
        </is>
      </c>
      <c r="M1762" t="inlineStr">
        <is>
          <t>HVP 3mm</t>
        </is>
      </c>
    </row>
    <row r="1763">
      <c r="A1763" s="2" t="n">
        <v>3153571</v>
      </c>
      <c r="B1763" s="2" t="inlineStr">
        <is>
          <t>56</t>
        </is>
      </c>
      <c r="C1763" s="2" t="inlineStr">
        <is>
          <t>F</t>
        </is>
      </c>
      <c r="D1763" s="2" t="inlineStr">
        <is>
          <t>100.0</t>
        </is>
      </c>
      <c r="E1763" s="4">
        <f>HYPERLINK("./Results/DLO\537\Osteo_Sarco_1.png","RPT")</f>
        <v/>
      </c>
      <c r="F1763" s="2" t="n">
        <v>91</v>
      </c>
      <c r="G1763" s="6" t="n">
        <v>9</v>
      </c>
      <c r="I1763" s="0" t="n"/>
      <c r="J1763" s="0" t="n"/>
      <c r="K1763" s="0" t="n"/>
      <c r="L1763" t="inlineStr">
        <is>
          <t>SOMATOM Force</t>
        </is>
      </c>
      <c r="M1763" t="inlineStr">
        <is>
          <t>Pre 3.0 Br40</t>
        </is>
      </c>
    </row>
    <row r="1764">
      <c r="A1764" s="2" t="n">
        <v>2850504</v>
      </c>
      <c r="B1764" s="2" t="inlineStr">
        <is>
          <t>77</t>
        </is>
      </c>
      <c r="C1764" s="2" t="inlineStr">
        <is>
          <t>M</t>
        </is>
      </c>
      <c r="D1764" s="2" t="inlineStr">
        <is>
          <t>100.0</t>
        </is>
      </c>
      <c r="E1764" s="4">
        <f>HYPERLINK("./Results/DLO\538\Osteo_Sarco_1.png","RPT")</f>
        <v/>
      </c>
      <c r="F1764" s="2" t="n">
        <v>107</v>
      </c>
      <c r="G1764" s="6" t="n">
        <v>11</v>
      </c>
      <c r="I1764" s="0" t="n"/>
      <c r="J1764" s="0" t="n"/>
      <c r="K1764" s="0" t="n"/>
      <c r="L1764" t="inlineStr">
        <is>
          <t>SOMATOM Definition...</t>
        </is>
      </c>
      <c r="M1764" t="inlineStr">
        <is>
          <t>HVP 2 3mm (66kg/132cc/3cc/omni)</t>
        </is>
      </c>
    </row>
    <row r="1765">
      <c r="A1765" s="2" t="n">
        <v>3401849</v>
      </c>
      <c r="B1765" s="2" t="inlineStr">
        <is>
          <t>37</t>
        </is>
      </c>
      <c r="C1765" s="2" t="inlineStr">
        <is>
          <t>F</t>
        </is>
      </c>
      <c r="D1765" s="2" t="inlineStr">
        <is>
          <t>100.0</t>
        </is>
      </c>
      <c r="E1765" s="4">
        <f>HYPERLINK("./Results/DLO\539\Osteo_Sarco_1.png","RPT")</f>
        <v/>
      </c>
      <c r="F1765" s="2" t="n">
        <v>113</v>
      </c>
      <c r="G1765" s="6" t="n">
        <v>6</v>
      </c>
      <c r="I1765" s="0" t="n"/>
      <c r="J1765" s="0" t="n"/>
      <c r="K1765" s="0" t="n"/>
      <c r="L1765" t="inlineStr">
        <is>
          <t>iCT 256</t>
        </is>
      </c>
      <c r="M1765" t="inlineStr">
        <is>
          <t>HVP 3/3mm, iDose (3)</t>
        </is>
      </c>
    </row>
    <row r="1766">
      <c r="A1766" s="2" t="n">
        <v>3082401</v>
      </c>
      <c r="B1766" s="2" t="inlineStr">
        <is>
          <t>57</t>
        </is>
      </c>
      <c r="C1766" s="2" t="inlineStr">
        <is>
          <t>M</t>
        </is>
      </c>
      <c r="D1766" s="2" t="inlineStr">
        <is>
          <t>120.0</t>
        </is>
      </c>
      <c r="E1766" s="4">
        <f>HYPERLINK("./Results/DLO\54\Osteo_Sarco_1.png","RPT")</f>
        <v/>
      </c>
      <c r="F1766" s="2" t="n">
        <v>160</v>
      </c>
      <c r="G1766" s="6" t="n">
        <v>6</v>
      </c>
      <c r="I1766" s="0" t="n"/>
      <c r="J1766" s="0" t="n"/>
      <c r="K1766" s="0" t="n"/>
      <c r="L1766" t="inlineStr">
        <is>
          <t>Discovery CT750 HD</t>
        </is>
      </c>
      <c r="M1766" t="inlineStr">
        <is>
          <t>HVP 3mm</t>
        </is>
      </c>
    </row>
    <row r="1767">
      <c r="A1767" s="2" t="n">
        <v>4592312</v>
      </c>
      <c r="B1767" s="2" t="inlineStr">
        <is>
          <t>56</t>
        </is>
      </c>
      <c r="C1767" s="2" t="inlineStr">
        <is>
          <t>M</t>
        </is>
      </c>
      <c r="D1767" s="2" t="inlineStr">
        <is>
          <t>120.0</t>
        </is>
      </c>
      <c r="E1767" s="4">
        <f>HYPERLINK("./Results/DLO\540\Osteo_Sarco_1.png","RPT")</f>
        <v/>
      </c>
      <c r="F1767" s="2" t="n">
        <v>140</v>
      </c>
      <c r="G1767" s="6" t="n">
        <v>3</v>
      </c>
      <c r="H1767" t="n">
        <v>23.18</v>
      </c>
      <c r="L1767" t="inlineStr">
        <is>
          <t>iCT 256</t>
        </is>
      </c>
      <c r="M1767" t="inlineStr">
        <is>
          <t>HVP 3/3mm, iDose (3)</t>
        </is>
      </c>
    </row>
    <row r="1768">
      <c r="A1768" s="2" t="n">
        <v>3346696</v>
      </c>
      <c r="B1768" s="2" t="inlineStr">
        <is>
          <t>69</t>
        </is>
      </c>
      <c r="C1768" s="2" t="inlineStr">
        <is>
          <t>F</t>
        </is>
      </c>
      <c r="D1768" s="2" t="inlineStr">
        <is>
          <t>100.0</t>
        </is>
      </c>
      <c r="E1768" s="4">
        <f>HYPERLINK("./Results/DLO\541\Osteo_Sarco_1.png","RPT")</f>
        <v/>
      </c>
      <c r="F1768" s="2" t="n">
        <v>111</v>
      </c>
      <c r="G1768" s="6" t="n">
        <v>13</v>
      </c>
      <c r="H1768" t="n">
        <v>27.43</v>
      </c>
      <c r="L1768" t="inlineStr">
        <is>
          <t>Revolution EVO</t>
        </is>
      </c>
      <c r="M1768" t="inlineStr">
        <is>
          <t>PRE</t>
        </is>
      </c>
    </row>
    <row r="1769">
      <c r="A1769" s="2" t="n">
        <v>2058636</v>
      </c>
      <c r="B1769" s="2" t="inlineStr">
        <is>
          <t>64</t>
        </is>
      </c>
      <c r="C1769" s="2" t="inlineStr">
        <is>
          <t>M</t>
        </is>
      </c>
      <c r="D1769" s="2" t="inlineStr">
        <is>
          <t>100.0</t>
        </is>
      </c>
      <c r="E1769" s="4">
        <f>HYPERLINK("./Results/DLO\542\Osteo_Sarco_1.png","RPT")</f>
        <v/>
      </c>
      <c r="F1769" s="2" t="n">
        <v>163</v>
      </c>
      <c r="G1769" s="6" t="n">
        <v>13</v>
      </c>
      <c r="I1769" s="0" t="n"/>
      <c r="J1769" s="0" t="n"/>
      <c r="K1769" s="0" t="n"/>
      <c r="L1769" t="inlineStr">
        <is>
          <t>iCT 256</t>
        </is>
      </c>
      <c r="M1769" t="inlineStr">
        <is>
          <t>Pre (CP~Pubi)3mm, iDose (3)</t>
        </is>
      </c>
    </row>
    <row r="1770">
      <c r="A1770" s="2" t="n">
        <v>3473864</v>
      </c>
      <c r="B1770" s="2" t="inlineStr">
        <is>
          <t>60</t>
        </is>
      </c>
      <c r="C1770" s="2" t="inlineStr">
        <is>
          <t>F</t>
        </is>
      </c>
      <c r="D1770" s="2" t="inlineStr">
        <is>
          <t>120.0</t>
        </is>
      </c>
      <c r="E1770" s="4">
        <f>HYPERLINK("./Results/DLO\543\Osteo_Sarco_1.png","RPT")</f>
        <v/>
      </c>
      <c r="F1770" s="2" t="n">
        <v>110</v>
      </c>
      <c r="G1770" s="6" t="n">
        <v>4</v>
      </c>
      <c r="I1770" s="0" t="n"/>
      <c r="J1770" s="0" t="n"/>
      <c r="K1770" s="0" t="n"/>
      <c r="L1770" t="inlineStr">
        <is>
          <t>LightSpeed VCT</t>
        </is>
      </c>
      <c r="M1770" t="inlineStr">
        <is>
          <t>HVP 3mm</t>
        </is>
      </c>
    </row>
    <row r="1771">
      <c r="A1771" s="2" t="n">
        <v>4985181</v>
      </c>
      <c r="B1771" s="2" t="inlineStr">
        <is>
          <t>48</t>
        </is>
      </c>
      <c r="C1771" s="2" t="inlineStr">
        <is>
          <t>F</t>
        </is>
      </c>
      <c r="D1771" s="2" t="inlineStr">
        <is>
          <t>100.0</t>
        </is>
      </c>
      <c r="E1771" s="4">
        <f>HYPERLINK("./Results/DLO\544\Osteo_Sarco_1.png","RPT")</f>
        <v/>
      </c>
      <c r="F1771" s="2" t="n">
        <v>120</v>
      </c>
      <c r="G1771" s="6" t="n">
        <v>7</v>
      </c>
      <c r="I1771" s="0" t="n"/>
      <c r="J1771" s="0" t="n"/>
      <c r="K1771" s="0" t="n"/>
      <c r="L1771" t="inlineStr">
        <is>
          <t>Revolution EVO</t>
        </is>
      </c>
      <c r="M1771" t="inlineStr">
        <is>
          <t>PRE</t>
        </is>
      </c>
    </row>
    <row r="1772">
      <c r="A1772" s="2" t="n">
        <v>2213911</v>
      </c>
      <c r="B1772" s="2" t="inlineStr">
        <is>
          <t>21</t>
        </is>
      </c>
      <c r="C1772" s="2" t="inlineStr">
        <is>
          <t>M</t>
        </is>
      </c>
      <c r="D1772" s="2" t="inlineStr">
        <is>
          <t>100.0</t>
        </is>
      </c>
      <c r="E1772" s="4">
        <f>HYPERLINK("./Results/DLO\545\Osteo_Sarco_1.png","RPT")</f>
        <v/>
      </c>
      <c r="F1772" s="2" t="n">
        <v>132</v>
      </c>
      <c r="G1772" s="6" t="n">
        <v>2</v>
      </c>
      <c r="H1772" t="n">
        <v>20.17</v>
      </c>
      <c r="L1772" t="inlineStr">
        <is>
          <t>Revolution CT</t>
        </is>
      </c>
      <c r="M1772" t="inlineStr">
        <is>
          <t>Pre 3mm</t>
        </is>
      </c>
    </row>
    <row r="1773">
      <c r="A1773" s="2" t="n">
        <v>4718444</v>
      </c>
      <c r="B1773" s="2" t="inlineStr">
        <is>
          <t>60</t>
        </is>
      </c>
      <c r="C1773" s="2" t="inlineStr">
        <is>
          <t>F</t>
        </is>
      </c>
      <c r="D1773" s="2" t="inlineStr">
        <is>
          <t>120.0</t>
        </is>
      </c>
      <c r="E1773" s="4">
        <f>HYPERLINK("./Results/DLO\546\Osteo_Sarco_1.png","RPT")</f>
        <v/>
      </c>
      <c r="F1773" s="2" t="n">
        <v>112</v>
      </c>
      <c r="G1773" s="6" t="n">
        <v>11</v>
      </c>
      <c r="I1773" s="0" t="n"/>
      <c r="J1773" s="0" t="n"/>
      <c r="K1773" s="0" t="n"/>
      <c r="L1773" t="inlineStr">
        <is>
          <t>LightSpeed VCT</t>
        </is>
      </c>
      <c r="M1773" t="inlineStr">
        <is>
          <t>HVP 55sec 3mm</t>
        </is>
      </c>
    </row>
    <row r="1774">
      <c r="A1774" s="2" t="n">
        <v>2890431</v>
      </c>
      <c r="B1774" s="2" t="inlineStr">
        <is>
          <t>41</t>
        </is>
      </c>
      <c r="C1774" s="2" t="inlineStr">
        <is>
          <t>M</t>
        </is>
      </c>
      <c r="D1774" s="2" t="inlineStr">
        <is>
          <t>100.0</t>
        </is>
      </c>
      <c r="E1774" s="4">
        <f>HYPERLINK("./Results/DLO\547\Osteo_Sarco_1.png","RPT")</f>
        <v/>
      </c>
      <c r="F1774" s="2" t="n">
        <v>155</v>
      </c>
      <c r="G1774" s="6" t="n">
        <v>12</v>
      </c>
      <c r="H1774" t="n">
        <v>33.82</v>
      </c>
      <c r="L1774" t="inlineStr">
        <is>
          <t>Revolution CT</t>
        </is>
      </c>
      <c r="M1774" t="inlineStr">
        <is>
          <t>Pre Axial 3mm</t>
        </is>
      </c>
    </row>
    <row r="1775">
      <c r="A1775" s="2" t="n">
        <v>1708487</v>
      </c>
      <c r="B1775" s="2" t="inlineStr">
        <is>
          <t>70</t>
        </is>
      </c>
      <c r="C1775" s="2" t="inlineStr">
        <is>
          <t>F</t>
        </is>
      </c>
      <c r="D1775" s="2" t="inlineStr">
        <is>
          <t>100.0</t>
        </is>
      </c>
      <c r="E1775" s="4">
        <f>HYPERLINK("./Results/DLO\548\Osteo_Sarco_1.png","RPT")</f>
        <v/>
      </c>
      <c r="F1775" s="2" t="n">
        <v>115</v>
      </c>
      <c r="G1775" s="6" t="n">
        <v>7</v>
      </c>
      <c r="I1775" s="0" t="n"/>
      <c r="J1775" s="0" t="n"/>
      <c r="K1775" s="0" t="n"/>
      <c r="L1775" t="inlineStr">
        <is>
          <t>Sensation 64</t>
        </is>
      </c>
      <c r="M1775" t="inlineStr">
        <is>
          <t>HVP 3mm(68kg/136cc/3cc/radi)</t>
        </is>
      </c>
    </row>
    <row r="1776">
      <c r="A1776" s="2" t="n">
        <v>2977974</v>
      </c>
      <c r="B1776" s="2" t="inlineStr">
        <is>
          <t>39</t>
        </is>
      </c>
      <c r="C1776" s="2" t="inlineStr">
        <is>
          <t>F</t>
        </is>
      </c>
      <c r="D1776" s="2" t="inlineStr">
        <is>
          <t>100.0</t>
        </is>
      </c>
      <c r="E1776" s="4">
        <f>HYPERLINK("./Results/DLO\549\Osteo_Sarco_1.png","RPT")</f>
        <v/>
      </c>
      <c r="F1776" s="2" t="n">
        <v>118</v>
      </c>
      <c r="G1776" s="6" t="n">
        <v>11</v>
      </c>
      <c r="H1776" t="n">
        <v>22.19</v>
      </c>
      <c r="L1776" t="inlineStr">
        <is>
          <t>Revolution CT</t>
        </is>
      </c>
      <c r="M1776" t="inlineStr">
        <is>
          <t>HVP 3mm-pacs(62kg/124cc/3cc/x...</t>
        </is>
      </c>
    </row>
    <row r="1777">
      <c r="A1777" s="2" t="n">
        <v>1865954</v>
      </c>
      <c r="B1777" s="2" t="inlineStr">
        <is>
          <t>59</t>
        </is>
      </c>
      <c r="C1777" s="2" t="inlineStr">
        <is>
          <t>M</t>
        </is>
      </c>
      <c r="D1777" s="2" t="inlineStr">
        <is>
          <t>100.0</t>
        </is>
      </c>
      <c r="E1777" s="4">
        <f>HYPERLINK("./Results/DLO\55\Osteo_Sarco_1.png","RPT")</f>
        <v/>
      </c>
      <c r="F1777" s="2" t="n">
        <v>64</v>
      </c>
      <c r="G1777" s="6" t="n">
        <v>4</v>
      </c>
      <c r="I1777" s="0" t="n"/>
      <c r="J1777" s="0" t="n"/>
      <c r="K1777" s="0" t="n"/>
      <c r="L1777" t="inlineStr">
        <is>
          <t>SOMATOM Definition...</t>
        </is>
      </c>
      <c r="M1777" t="inlineStr">
        <is>
          <t>Pre 3mm</t>
        </is>
      </c>
    </row>
    <row r="1778">
      <c r="A1778" s="2" t="n">
        <v>3746184</v>
      </c>
      <c r="B1778" s="2" t="inlineStr">
        <is>
          <t>53</t>
        </is>
      </c>
      <c r="C1778" s="2" t="inlineStr">
        <is>
          <t>M</t>
        </is>
      </c>
      <c r="D1778" s="2" t="inlineStr">
        <is>
          <t>100.0</t>
        </is>
      </c>
      <c r="E1778" s="4">
        <f>HYPERLINK("./Results/DLO\550\Osteo_Sarco_1.png","RPT")</f>
        <v/>
      </c>
      <c r="F1778" s="2" t="n">
        <v>185</v>
      </c>
      <c r="G1778" s="6" t="n">
        <v>11</v>
      </c>
      <c r="H1778" t="n">
        <v>28.84</v>
      </c>
      <c r="L1778" t="inlineStr">
        <is>
          <t>Sensation 64</t>
        </is>
      </c>
      <c r="M1778" t="inlineStr">
        <is>
          <t>Pre 3mm(100kvp100mAs)</t>
        </is>
      </c>
    </row>
    <row r="1779">
      <c r="A1779" s="2" t="n">
        <v>1580695</v>
      </c>
      <c r="B1779" s="2" t="inlineStr">
        <is>
          <t>57</t>
        </is>
      </c>
      <c r="C1779" s="2" t="inlineStr">
        <is>
          <t>M</t>
        </is>
      </c>
      <c r="D1779" s="2" t="inlineStr">
        <is>
          <t>100.0</t>
        </is>
      </c>
      <c r="E1779" s="4">
        <f>HYPERLINK("./Results/DLO\551\Osteo_Sarco_1.png","RPT")</f>
        <v/>
      </c>
      <c r="F1779" s="2" t="n">
        <v>136</v>
      </c>
      <c r="G1779" s="6" t="n">
        <v>17</v>
      </c>
      <c r="I1779" s="0" t="n"/>
      <c r="J1779" s="0" t="n"/>
      <c r="K1779" s="0" t="n"/>
      <c r="L1779" t="inlineStr">
        <is>
          <t>iCT 256</t>
        </is>
      </c>
      <c r="M1779" t="inlineStr">
        <is>
          <t>Pre (CP~Pubi)3mm, iDose (3)</t>
        </is>
      </c>
    </row>
    <row r="1780">
      <c r="A1780" s="2" t="n">
        <v>3567237</v>
      </c>
      <c r="B1780" s="2" t="inlineStr">
        <is>
          <t>54</t>
        </is>
      </c>
      <c r="C1780" s="2" t="inlineStr">
        <is>
          <t>F</t>
        </is>
      </c>
      <c r="D1780" s="2" t="inlineStr">
        <is>
          <t>100.0</t>
        </is>
      </c>
      <c r="E1780" s="4">
        <f>HYPERLINK("./Results/DLO\552\Osteo_Sarco_1.png","RPT")</f>
        <v/>
      </c>
      <c r="F1780" s="2" t="n">
        <v>115</v>
      </c>
      <c r="G1780" s="6" t="n">
        <v>18</v>
      </c>
      <c r="I1780" s="0" t="n"/>
      <c r="J1780" s="0" t="n"/>
      <c r="K1780" s="0" t="n"/>
      <c r="L1780" t="inlineStr">
        <is>
          <t>Revolution EVO</t>
        </is>
      </c>
      <c r="M1780" t="inlineStr">
        <is>
          <t>PRE</t>
        </is>
      </c>
    </row>
    <row r="1781">
      <c r="A1781" s="2" t="n">
        <v>2817617</v>
      </c>
      <c r="B1781" s="2" t="inlineStr">
        <is>
          <t>70</t>
        </is>
      </c>
      <c r="C1781" s="2" t="inlineStr">
        <is>
          <t>F</t>
        </is>
      </c>
      <c r="D1781" s="2" t="inlineStr">
        <is>
          <t>100.0</t>
        </is>
      </c>
      <c r="E1781" s="4">
        <f>HYPERLINK("./Results/DLO\553\Osteo_Sarco_1.png","RPT")</f>
        <v/>
      </c>
      <c r="F1781" s="2" t="n">
        <v>109</v>
      </c>
      <c r="G1781" s="6" t="n">
        <v>12</v>
      </c>
      <c r="I1781" s="0" t="n"/>
      <c r="J1781" s="0" t="n"/>
      <c r="K1781" s="0" t="n"/>
      <c r="L1781" t="inlineStr">
        <is>
          <t>Revolution CT</t>
        </is>
      </c>
      <c r="M1781" t="inlineStr">
        <is>
          <t>Pre 3mm pacs</t>
        </is>
      </c>
    </row>
    <row r="1782">
      <c r="A1782" s="2" t="n">
        <v>1823198</v>
      </c>
      <c r="B1782" s="2" t="inlineStr">
        <is>
          <t>65</t>
        </is>
      </c>
      <c r="C1782" s="2" t="inlineStr">
        <is>
          <t>F</t>
        </is>
      </c>
      <c r="D1782" s="2" t="inlineStr">
        <is>
          <t>120.0</t>
        </is>
      </c>
      <c r="E1782" s="4">
        <f>HYPERLINK("./Results/DLO\554\Osteo_Sarco_1.png","RPT")</f>
        <v/>
      </c>
      <c r="F1782" s="2" t="n">
        <v>86</v>
      </c>
      <c r="G1782" s="6" t="n">
        <v>5</v>
      </c>
      <c r="I1782" s="0" t="n"/>
      <c r="J1782" s="0" t="n"/>
      <c r="K1782" s="0" t="n"/>
      <c r="L1782" t="inlineStr">
        <is>
          <t>iCT 256</t>
        </is>
      </c>
      <c r="M1782" t="inlineStr">
        <is>
          <t>HVP 3/3mm, iDose (3)</t>
        </is>
      </c>
    </row>
    <row r="1783">
      <c r="A1783" s="2" t="n">
        <v>3644388</v>
      </c>
      <c r="B1783" s="2" t="inlineStr">
        <is>
          <t>68</t>
        </is>
      </c>
      <c r="C1783" s="2" t="inlineStr">
        <is>
          <t>M</t>
        </is>
      </c>
      <c r="D1783" s="2" t="inlineStr">
        <is>
          <t>100.0</t>
        </is>
      </c>
      <c r="E1783" s="4">
        <f>HYPERLINK("./Results/DLO\555\Osteo_Sarco_1.png","RPT")</f>
        <v/>
      </c>
      <c r="F1783" s="2" t="n">
        <v>206</v>
      </c>
      <c r="G1783" s="6" t="n">
        <v>10</v>
      </c>
      <c r="I1783" s="0" t="n"/>
      <c r="J1783" s="0" t="n"/>
      <c r="K1783" s="0" t="n"/>
      <c r="L1783" t="inlineStr">
        <is>
          <t>Revolution CT</t>
        </is>
      </c>
      <c r="M1783" t="inlineStr">
        <is>
          <t>15min 2mm delay</t>
        </is>
      </c>
    </row>
    <row r="1784">
      <c r="A1784" s="2" t="n">
        <v>4142955</v>
      </c>
      <c r="B1784" s="2" t="inlineStr">
        <is>
          <t>69</t>
        </is>
      </c>
      <c r="C1784" s="2" t="inlineStr">
        <is>
          <t>F</t>
        </is>
      </c>
      <c r="D1784" s="2" t="inlineStr">
        <is>
          <t>100.0</t>
        </is>
      </c>
      <c r="E1784" s="4">
        <f>HYPERLINK("./Results/DLO\556\Osteo_Sarco_1.png","RPT")</f>
        <v/>
      </c>
      <c r="F1784" s="2" t="n">
        <v>135</v>
      </c>
      <c r="G1784" s="6" t="n">
        <v>20</v>
      </c>
      <c r="I1784" s="0" t="n"/>
      <c r="J1784" s="0" t="n"/>
      <c r="K1784" s="0" t="n"/>
      <c r="L1784" t="inlineStr">
        <is>
          <t>SOMATOM Force</t>
        </is>
      </c>
      <c r="M1784" t="inlineStr">
        <is>
          <t>HVP 3.0 Br40 2 (80kg/150cc...</t>
        </is>
      </c>
    </row>
    <row r="1785">
      <c r="A1785" s="2" t="n">
        <v>3592340</v>
      </c>
      <c r="B1785" s="2" t="inlineStr">
        <is>
          <t>56</t>
        </is>
      </c>
      <c r="C1785" s="2" t="inlineStr">
        <is>
          <t>F</t>
        </is>
      </c>
      <c r="D1785" s="2" t="inlineStr">
        <is>
          <t>100.0</t>
        </is>
      </c>
      <c r="E1785" s="4">
        <f>HYPERLINK("./Results/DLO\557\Osteo_Sarco_1.png","RPT")</f>
        <v/>
      </c>
      <c r="F1785" s="2" t="n">
        <v>80</v>
      </c>
      <c r="G1785" s="6" t="n">
        <v>7</v>
      </c>
      <c r="I1785" s="0" t="n"/>
      <c r="J1785" s="0" t="n"/>
      <c r="K1785" s="0" t="n"/>
      <c r="L1785" t="inlineStr">
        <is>
          <t>SOMATOM Definition...</t>
        </is>
      </c>
      <c r="M1785" t="inlineStr">
        <is>
          <t>Pre(Abd) 3mm</t>
        </is>
      </c>
    </row>
    <row r="1786">
      <c r="A1786" s="2" t="n">
        <v>1420473</v>
      </c>
      <c r="B1786" s="2" t="inlineStr">
        <is>
          <t>62</t>
        </is>
      </c>
      <c r="C1786" s="2" t="inlineStr">
        <is>
          <t>M</t>
        </is>
      </c>
      <c r="D1786" s="2" t="inlineStr">
        <is>
          <t>100.0</t>
        </is>
      </c>
      <c r="E1786" s="4">
        <f>HYPERLINK("./Results/DLO\558\Osteo_Sarco_1.png","RPT")</f>
        <v/>
      </c>
      <c r="F1786" s="2" t="n">
        <v>143</v>
      </c>
      <c r="G1786" s="6" t="n">
        <v>11</v>
      </c>
      <c r="I1786" s="0" t="n"/>
      <c r="J1786" s="0" t="n"/>
      <c r="K1786" s="0" t="n"/>
      <c r="L1786" t="inlineStr">
        <is>
          <t>iCT 256</t>
        </is>
      </c>
      <c r="M1786" t="inlineStr">
        <is>
          <t>Pre 3/3mm, iDose (3)</t>
        </is>
      </c>
    </row>
    <row r="1787">
      <c r="A1787" s="2" t="n">
        <v>4003135</v>
      </c>
      <c r="B1787" s="2" t="inlineStr">
        <is>
          <t>43</t>
        </is>
      </c>
      <c r="C1787" s="2" t="inlineStr">
        <is>
          <t>F</t>
        </is>
      </c>
      <c r="D1787" s="2" t="inlineStr">
        <is>
          <t>100.0</t>
        </is>
      </c>
      <c r="E1787" s="4">
        <f>HYPERLINK("./Results/DLO\559\Osteo_Sarco_1.png","RPT")</f>
        <v/>
      </c>
      <c r="F1787" s="2" t="n">
        <v>100</v>
      </c>
      <c r="G1787" s="6" t="n">
        <v>11</v>
      </c>
      <c r="I1787" s="0" t="n"/>
      <c r="J1787" s="0" t="n"/>
      <c r="K1787" s="0" t="n"/>
      <c r="L1787" t="inlineStr">
        <is>
          <t>Revolution EVO</t>
        </is>
      </c>
      <c r="M1787" t="inlineStr">
        <is>
          <t>PRE</t>
        </is>
      </c>
    </row>
    <row r="1788">
      <c r="A1788" s="2" t="n">
        <v>1811648</v>
      </c>
      <c r="B1788" s="2" t="inlineStr">
        <is>
          <t>73</t>
        </is>
      </c>
      <c r="C1788" s="2" t="inlineStr">
        <is>
          <t>F</t>
        </is>
      </c>
      <c r="D1788" s="2" t="inlineStr">
        <is>
          <t>100.0</t>
        </is>
      </c>
      <c r="E1788" s="4">
        <f>HYPERLINK("./Results/DLO\56\Osteo_Sarco_1.png","RPT")</f>
        <v/>
      </c>
      <c r="F1788" s="2" t="n">
        <v>113</v>
      </c>
      <c r="G1788" s="6" t="n">
        <v>17</v>
      </c>
      <c r="I1788" s="0" t="n"/>
      <c r="J1788" s="0" t="n"/>
      <c r="K1788" s="0" t="n"/>
      <c r="L1788" t="inlineStr">
        <is>
          <t>SOMATOM Definition...</t>
        </is>
      </c>
      <c r="M1788" t="inlineStr">
        <is>
          <t>Non Abdomen 3mm</t>
        </is>
      </c>
    </row>
    <row r="1789">
      <c r="A1789" s="2" t="n">
        <v>3992660</v>
      </c>
      <c r="B1789" s="2" t="inlineStr">
        <is>
          <t>74</t>
        </is>
      </c>
      <c r="C1789" s="2" t="inlineStr">
        <is>
          <t>F</t>
        </is>
      </c>
      <c r="D1789" s="2" t="inlineStr">
        <is>
          <t>100.0</t>
        </is>
      </c>
      <c r="E1789" s="4">
        <f>HYPERLINK("./Results/DLO\561\Osteo_Sarco_1.png","RPT")</f>
        <v/>
      </c>
      <c r="F1789" s="2" t="n">
        <v>52</v>
      </c>
      <c r="G1789" s="6" t="n">
        <v>11</v>
      </c>
      <c r="H1789" t="n">
        <v>20.56</v>
      </c>
      <c r="L1789" t="inlineStr">
        <is>
          <t>Revolution EVO</t>
        </is>
      </c>
      <c r="M1789" t="inlineStr">
        <is>
          <t>Abdomen Pre 2.5mm</t>
        </is>
      </c>
    </row>
    <row r="1790">
      <c r="A1790" s="2" t="n">
        <v>1933440</v>
      </c>
      <c r="B1790" s="2" t="inlineStr">
        <is>
          <t>65</t>
        </is>
      </c>
      <c r="C1790" s="2" t="inlineStr">
        <is>
          <t>M</t>
        </is>
      </c>
      <c r="D1790" s="2" t="inlineStr">
        <is>
          <t>80.0</t>
        </is>
      </c>
      <c r="E1790" s="4">
        <f>HYPERLINK("./Results/DLO\562\Osteo_Sarco_1.png","RPT")</f>
        <v/>
      </c>
      <c r="F1790" s="2" t="n">
        <v>99</v>
      </c>
      <c r="G1790" s="6" t="n">
        <v>6</v>
      </c>
      <c r="I1790" s="0" t="n"/>
      <c r="J1790" s="0" t="n"/>
      <c r="K1790" s="0" t="n"/>
      <c r="L1790" t="inlineStr">
        <is>
          <t>SOMATOM Definition...</t>
        </is>
      </c>
      <c r="M1790" t="inlineStr">
        <is>
          <t>HVP 2 3mm(52kg/104cc/3cc/bono)</t>
        </is>
      </c>
    </row>
    <row r="1791">
      <c r="A1791" s="2" t="n">
        <v>2891768</v>
      </c>
      <c r="B1791" s="2" t="inlineStr">
        <is>
          <t>70</t>
        </is>
      </c>
      <c r="C1791" s="2" t="inlineStr">
        <is>
          <t>M</t>
        </is>
      </c>
      <c r="D1791" s="2" t="inlineStr">
        <is>
          <t>100.0</t>
        </is>
      </c>
      <c r="E1791" s="4">
        <f>HYPERLINK("./Results/DLO\563\Osteo_Sarco_1.png","RPT")</f>
        <v/>
      </c>
      <c r="F1791" s="2" t="n">
        <v>151</v>
      </c>
      <c r="G1791" s="6" t="n">
        <v>9</v>
      </c>
      <c r="H1791" t="n">
        <v>26.6</v>
      </c>
      <c r="L1791" t="inlineStr">
        <is>
          <t>Revolution CT</t>
        </is>
      </c>
      <c r="M1791" t="inlineStr">
        <is>
          <t>Pre Axial 3mm</t>
        </is>
      </c>
    </row>
    <row r="1792">
      <c r="A1792" s="2" t="n">
        <v>1394643</v>
      </c>
      <c r="B1792" s="2" t="inlineStr">
        <is>
          <t>61</t>
        </is>
      </c>
      <c r="C1792" s="2" t="inlineStr">
        <is>
          <t>F</t>
        </is>
      </c>
      <c r="D1792" s="2" t="inlineStr">
        <is>
          <t>120.0</t>
        </is>
      </c>
      <c r="E1792" s="4">
        <f>HYPERLINK("./Results/DLO\564\Osteo_Sarco_1.png","RPT")</f>
        <v/>
      </c>
      <c r="F1792" s="2" t="n">
        <v>103</v>
      </c>
      <c r="G1792" s="6" t="n">
        <v>10</v>
      </c>
      <c r="H1792" t="n">
        <v>24.1</v>
      </c>
      <c r="L1792" t="inlineStr">
        <is>
          <t>iCT 256</t>
        </is>
      </c>
      <c r="M1792" t="inlineStr">
        <is>
          <t>HVP 3/3mm, iDose (3)</t>
        </is>
      </c>
    </row>
    <row r="1793">
      <c r="A1793" s="2" t="n">
        <v>1796871</v>
      </c>
      <c r="B1793" s="2" t="inlineStr">
        <is>
          <t>51</t>
        </is>
      </c>
      <c r="C1793" s="2" t="inlineStr">
        <is>
          <t>M</t>
        </is>
      </c>
      <c r="D1793" s="2" t="inlineStr">
        <is>
          <t>100.0</t>
        </is>
      </c>
      <c r="E1793" s="4">
        <f>HYPERLINK("./Results/DLO\565\Osteo_Sarco_1.png","RPT")</f>
        <v/>
      </c>
      <c r="F1793" s="2" t="n">
        <v>173</v>
      </c>
      <c r="G1793" s="6" t="n">
        <v>11</v>
      </c>
      <c r="I1793" s="0" t="n"/>
      <c r="J1793" s="0" t="n"/>
      <c r="K1793" s="0" t="n"/>
      <c r="L1793" t="inlineStr">
        <is>
          <t>LightSpeed VCT</t>
        </is>
      </c>
      <c r="M1793" t="inlineStr">
        <is>
          <t>AXL 3mm</t>
        </is>
      </c>
    </row>
    <row r="1794">
      <c r="A1794" s="2" t="n">
        <v>1867849</v>
      </c>
      <c r="B1794" s="2" t="inlineStr">
        <is>
          <t>54</t>
        </is>
      </c>
      <c r="C1794" s="2" t="inlineStr">
        <is>
          <t>F</t>
        </is>
      </c>
      <c r="D1794" s="2" t="inlineStr">
        <is>
          <t>100.0</t>
        </is>
      </c>
      <c r="E1794" s="4">
        <f>HYPERLINK("./Results/DLO\566\Osteo_Sarco_1.png","RPT")</f>
        <v/>
      </c>
      <c r="F1794" s="2" t="n">
        <v>101</v>
      </c>
      <c r="G1794" s="6" t="n">
        <v>11</v>
      </c>
      <c r="I1794" s="0" t="n"/>
      <c r="J1794" s="0" t="n"/>
      <c r="K1794" s="0" t="n"/>
      <c r="L1794" t="inlineStr">
        <is>
          <t>SOMATOM Definition...</t>
        </is>
      </c>
      <c r="M1794" t="inlineStr">
        <is>
          <t>Pre 3mm</t>
        </is>
      </c>
    </row>
    <row r="1795">
      <c r="A1795" s="2" t="n">
        <v>3606498</v>
      </c>
      <c r="B1795" s="2" t="inlineStr">
        <is>
          <t>57</t>
        </is>
      </c>
      <c r="C1795" s="2" t="inlineStr">
        <is>
          <t>F</t>
        </is>
      </c>
      <c r="D1795" s="2" t="inlineStr">
        <is>
          <t>100.0</t>
        </is>
      </c>
      <c r="E1795" s="4">
        <f>HYPERLINK("./Results/DLO\567\Osteo_Sarco_1.png","RPT")</f>
        <v/>
      </c>
      <c r="F1795" s="2" t="n">
        <v>101</v>
      </c>
      <c r="G1795" s="6" t="n">
        <v>9</v>
      </c>
      <c r="I1795" s="0" t="n"/>
      <c r="J1795" s="0" t="n"/>
      <c r="K1795" s="0" t="n"/>
      <c r="L1795" t="inlineStr">
        <is>
          <t>SOMATOM Force</t>
        </is>
      </c>
      <c r="M1795" t="inlineStr">
        <is>
          <t>HVP 3.0 Br40 2 (70kg/140cc...</t>
        </is>
      </c>
    </row>
    <row r="1796">
      <c r="A1796" s="2" t="n">
        <v>1874592</v>
      </c>
      <c r="B1796" s="2" t="inlineStr">
        <is>
          <t>32</t>
        </is>
      </c>
      <c r="C1796" s="2" t="inlineStr">
        <is>
          <t>M</t>
        </is>
      </c>
      <c r="D1796" s="2" t="inlineStr">
        <is>
          <t>100.0</t>
        </is>
      </c>
      <c r="E1796" s="4">
        <f>HYPERLINK("./Results/DLO\568\Osteo_Sarco_1.png","RPT")</f>
        <v/>
      </c>
      <c r="F1796" s="2" t="n">
        <v>140</v>
      </c>
      <c r="G1796" s="6" t="n">
        <v>5</v>
      </c>
      <c r="I1796" s="0" t="n"/>
      <c r="J1796" s="0" t="n"/>
      <c r="K1796" s="0" t="n"/>
      <c r="L1796" t="inlineStr">
        <is>
          <t>Revolution CT</t>
        </is>
      </c>
      <c r="M1796" t="inlineStr">
        <is>
          <t>PRE C2</t>
        </is>
      </c>
    </row>
    <row r="1797">
      <c r="A1797" s="2" t="n">
        <v>1758812</v>
      </c>
      <c r="B1797" s="2" t="inlineStr">
        <is>
          <t>82</t>
        </is>
      </c>
      <c r="C1797" s="2" t="inlineStr">
        <is>
          <t>F</t>
        </is>
      </c>
      <c r="D1797" s="2" t="inlineStr">
        <is>
          <t>100.0</t>
        </is>
      </c>
      <c r="E1797" s="4">
        <f>HYPERLINK("./Results/DLO\569\Osteo_Sarco_1.png","RPT")</f>
        <v/>
      </c>
      <c r="F1797" s="2" t="n">
        <v>76</v>
      </c>
      <c r="G1797" s="6" t="n">
        <v>10</v>
      </c>
      <c r="H1797" t="n">
        <v>24.21</v>
      </c>
      <c r="L1797" t="inlineStr">
        <is>
          <t>Revolution EVO</t>
        </is>
      </c>
      <c r="M1797" t="inlineStr">
        <is>
          <t>PRE 3mm</t>
        </is>
      </c>
    </row>
    <row r="1798">
      <c r="A1798" s="2" t="n">
        <v>3215938</v>
      </c>
      <c r="B1798" s="2" t="inlineStr">
        <is>
          <t>76</t>
        </is>
      </c>
      <c r="C1798" s="2" t="inlineStr">
        <is>
          <t>M</t>
        </is>
      </c>
      <c r="D1798" s="2" t="inlineStr">
        <is>
          <t>120.0</t>
        </is>
      </c>
      <c r="E1798" s="4">
        <f>HYPERLINK("./Results/DLO\57\Osteo_Sarco_1.png","RPT")</f>
        <v/>
      </c>
      <c r="F1798" s="2" t="n">
        <v>157</v>
      </c>
      <c r="G1798" s="6" t="n">
        <v>16</v>
      </c>
      <c r="H1798" t="n">
        <v>26.86</v>
      </c>
      <c r="L1798" t="inlineStr">
        <is>
          <t>LightSpeed VCT</t>
        </is>
      </c>
      <c r="M1798" t="inlineStr">
        <is>
          <t>HVP 55sec 3mm</t>
        </is>
      </c>
    </row>
    <row r="1799">
      <c r="A1799" s="2" t="n">
        <v>4042948</v>
      </c>
      <c r="B1799" s="2" t="inlineStr">
        <is>
          <t>50</t>
        </is>
      </c>
      <c r="C1799" s="2" t="inlineStr">
        <is>
          <t>F</t>
        </is>
      </c>
      <c r="D1799" s="2" t="inlineStr">
        <is>
          <t>100.0</t>
        </is>
      </c>
      <c r="E1799" s="4">
        <f>HYPERLINK("./Results/DLO\570\Osteo_Sarco_1.png","RPT")</f>
        <v/>
      </c>
      <c r="F1799" s="2" t="n">
        <v>104</v>
      </c>
      <c r="G1799" s="6" t="n">
        <v>13</v>
      </c>
      <c r="I1799" s="0" t="n"/>
      <c r="J1799" s="0" t="n"/>
      <c r="K1799" s="0" t="n"/>
      <c r="L1799" t="inlineStr">
        <is>
          <t>LightSpeed VCT</t>
        </is>
      </c>
      <c r="M1799" t="inlineStr">
        <is>
          <t>PRE 2,5mm</t>
        </is>
      </c>
    </row>
    <row r="1800">
      <c r="A1800" s="2" t="n">
        <v>2878288</v>
      </c>
      <c r="B1800" s="2" t="inlineStr">
        <is>
          <t>60</t>
        </is>
      </c>
      <c r="C1800" s="2" t="inlineStr">
        <is>
          <t>M</t>
        </is>
      </c>
      <c r="D1800" s="2" t="inlineStr">
        <is>
          <t>120.0</t>
        </is>
      </c>
      <c r="E1800" s="4">
        <f>HYPERLINK("./Results/DLO\571\Osteo_Sarco_1.png","RPT")</f>
        <v/>
      </c>
      <c r="F1800" s="2" t="n">
        <v>143</v>
      </c>
      <c r="G1800" s="6" t="n">
        <v>7</v>
      </c>
      <c r="I1800" s="0" t="n"/>
      <c r="J1800" s="0" t="n"/>
      <c r="K1800" s="0" t="n"/>
      <c r="L1800" t="inlineStr">
        <is>
          <t>LightSpeed VCT</t>
        </is>
      </c>
      <c r="M1800" t="inlineStr">
        <is>
          <t>HVP 55sec 3mm</t>
        </is>
      </c>
    </row>
    <row r="1801">
      <c r="A1801" s="2" t="n">
        <v>4800859</v>
      </c>
      <c r="B1801" s="2" t="inlineStr">
        <is>
          <t>73</t>
        </is>
      </c>
      <c r="C1801" s="2" t="inlineStr">
        <is>
          <t>F</t>
        </is>
      </c>
      <c r="D1801" s="2" t="inlineStr">
        <is>
          <t>100.0</t>
        </is>
      </c>
      <c r="E1801" s="4">
        <f>HYPERLINK("./Results/DLO\572\Osteo_Sarco_1.png","RPT")</f>
        <v/>
      </c>
      <c r="F1801" s="2" t="n">
        <v>105</v>
      </c>
      <c r="G1801" s="6" t="n">
        <v>10</v>
      </c>
      <c r="H1801" t="n">
        <v>18.72</v>
      </c>
      <c r="L1801" t="inlineStr">
        <is>
          <t>iCT 256</t>
        </is>
      </c>
      <c r="M1801" t="inlineStr">
        <is>
          <t>HVP 3/3mm, iDose (3)</t>
        </is>
      </c>
    </row>
    <row r="1802">
      <c r="A1802" s="2" t="n">
        <v>2704706</v>
      </c>
      <c r="B1802" s="2" t="inlineStr">
        <is>
          <t>70</t>
        </is>
      </c>
      <c r="C1802" s="2" t="inlineStr">
        <is>
          <t>M</t>
        </is>
      </c>
      <c r="D1802" s="2" t="inlineStr">
        <is>
          <t>120.0</t>
        </is>
      </c>
      <c r="E1802" s="4">
        <f>HYPERLINK("./Results/DLO\573\Osteo_Sarco_1.png","RPT")</f>
        <v/>
      </c>
      <c r="F1802" s="2" t="n">
        <v>158</v>
      </c>
      <c r="G1802" s="6" t="n">
        <v>9</v>
      </c>
      <c r="I1802" s="0" t="n"/>
      <c r="J1802" s="0" t="n"/>
      <c r="K1802" s="0" t="n"/>
      <c r="L1802" t="inlineStr">
        <is>
          <t>Aquilion/LB</t>
        </is>
      </c>
      <c r="M1802" t="inlineStr">
        <is>
          <t>30 Body 3.0</t>
        </is>
      </c>
    </row>
    <row r="1803">
      <c r="A1803" s="2" t="n">
        <v>4384602</v>
      </c>
      <c r="B1803" s="2" t="inlineStr">
        <is>
          <t>58</t>
        </is>
      </c>
      <c r="C1803" s="2" t="inlineStr">
        <is>
          <t>M</t>
        </is>
      </c>
      <c r="D1803" s="2" t="inlineStr">
        <is>
          <t>100.0</t>
        </is>
      </c>
      <c r="E1803" s="4">
        <f>HYPERLINK("./Results/DLO\574\Osteo_Sarco_1.png","RPT")</f>
        <v/>
      </c>
      <c r="F1803" s="2" t="n">
        <v>166</v>
      </c>
      <c r="G1803" s="6" t="n">
        <v>7</v>
      </c>
      <c r="I1803" s="0" t="n"/>
      <c r="J1803" s="0" t="n"/>
      <c r="K1803" s="0" t="n"/>
      <c r="L1803" t="inlineStr">
        <is>
          <t>iCT 256</t>
        </is>
      </c>
      <c r="M1803" t="inlineStr">
        <is>
          <t>Pre (CP~Pubi)3mm, iDose (3)</t>
        </is>
      </c>
    </row>
    <row r="1804">
      <c r="A1804" s="2" t="n">
        <v>3581789</v>
      </c>
      <c r="B1804" s="2" t="inlineStr">
        <is>
          <t>56</t>
        </is>
      </c>
      <c r="C1804" s="2" t="inlineStr">
        <is>
          <t>M</t>
        </is>
      </c>
      <c r="D1804" s="2" t="inlineStr">
        <is>
          <t>100.0</t>
        </is>
      </c>
      <c r="E1804" s="4">
        <f>HYPERLINK("./Results/DLO\575\Osteo_Sarco_1.png","RPT")</f>
        <v/>
      </c>
      <c r="F1804" s="2" t="n">
        <v>175</v>
      </c>
      <c r="G1804" s="6" t="n">
        <v>7</v>
      </c>
      <c r="H1804" t="n">
        <v>27.77</v>
      </c>
      <c r="L1804" t="inlineStr">
        <is>
          <t>SOMATOM Definition...</t>
        </is>
      </c>
      <c r="M1804" t="inlineStr">
        <is>
          <t>HVP 2 3mm (57kg/116cc/3cc/radi)</t>
        </is>
      </c>
    </row>
    <row r="1805">
      <c r="A1805" s="2" t="n">
        <v>4879467</v>
      </c>
      <c r="B1805" s="2" t="inlineStr">
        <is>
          <t>44</t>
        </is>
      </c>
      <c r="C1805" s="2" t="inlineStr">
        <is>
          <t>F</t>
        </is>
      </c>
      <c r="D1805" s="2" t="inlineStr">
        <is>
          <t>100.0</t>
        </is>
      </c>
      <c r="E1805" s="4">
        <f>HYPERLINK("./Results/DLO\576\Osteo_Sarco_1.png","RPT")</f>
        <v/>
      </c>
      <c r="F1805" s="2" t="n">
        <v>92</v>
      </c>
      <c r="G1805" s="6" t="n">
        <v>9</v>
      </c>
      <c r="I1805" s="0" t="n"/>
      <c r="J1805" s="0" t="n"/>
      <c r="K1805" s="0" t="n"/>
      <c r="L1805" t="inlineStr">
        <is>
          <t>Revolution EVO</t>
        </is>
      </c>
      <c r="M1805" t="inlineStr">
        <is>
          <t>PRE</t>
        </is>
      </c>
    </row>
    <row r="1806">
      <c r="A1806" s="2" t="n">
        <v>3433973</v>
      </c>
      <c r="B1806" s="2" t="inlineStr">
        <is>
          <t>75</t>
        </is>
      </c>
      <c r="C1806" s="2" t="inlineStr">
        <is>
          <t>M</t>
        </is>
      </c>
      <c r="D1806" s="2" t="inlineStr">
        <is>
          <t>120.0</t>
        </is>
      </c>
      <c r="E1806" s="4">
        <f>HYPERLINK("./Results/DLO\577\Osteo_Sarco_1.png","RPT")</f>
        <v/>
      </c>
      <c r="F1806" s="2" t="n">
        <v>172</v>
      </c>
      <c r="G1806" s="6" t="n">
        <v>12</v>
      </c>
      <c r="I1806" s="0" t="n"/>
      <c r="J1806" s="0" t="n"/>
      <c r="K1806" s="0" t="n"/>
      <c r="L1806" t="inlineStr">
        <is>
          <t>LightSpeed VCT</t>
        </is>
      </c>
      <c r="M1806" t="inlineStr">
        <is>
          <t>HVP 3mm</t>
        </is>
      </c>
    </row>
    <row r="1807">
      <c r="A1807" s="2" t="n">
        <v>4847987</v>
      </c>
      <c r="B1807" s="2" t="inlineStr">
        <is>
          <t>45</t>
        </is>
      </c>
      <c r="C1807" s="2" t="inlineStr">
        <is>
          <t>F</t>
        </is>
      </c>
      <c r="D1807" s="2" t="inlineStr">
        <is>
          <t>130.0</t>
        </is>
      </c>
      <c r="E1807" s="4">
        <f>HYPERLINK("./Results/DLO\578\Osteo_Sarco_1.png","RPT")</f>
        <v/>
      </c>
      <c r="F1807" s="2" t="n">
        <v>113</v>
      </c>
      <c r="G1807" s="6" t="n">
        <v>6</v>
      </c>
      <c r="I1807" s="0" t="n"/>
      <c r="J1807" s="0" t="n"/>
      <c r="K1807" s="0" t="n"/>
      <c r="L1807" t="inlineStr">
        <is>
          <t>SOMATOM Force</t>
        </is>
      </c>
      <c r="M1807" t="inlineStr">
        <is>
          <t>Pre 3.0 Br40 1</t>
        </is>
      </c>
    </row>
    <row r="1808">
      <c r="A1808" s="2" t="n">
        <v>2807178</v>
      </c>
      <c r="B1808" s="2" t="inlineStr">
        <is>
          <t>72</t>
        </is>
      </c>
      <c r="C1808" s="2" t="inlineStr">
        <is>
          <t>F</t>
        </is>
      </c>
      <c r="D1808" s="2" t="inlineStr">
        <is>
          <t>100.0</t>
        </is>
      </c>
      <c r="E1808" s="4">
        <f>HYPERLINK("./Results/DLO\579\Osteo_Sarco_1.png","RPT")</f>
        <v/>
      </c>
      <c r="F1808" s="2" t="n">
        <v>128</v>
      </c>
      <c r="G1808" s="6" t="n">
        <v>16</v>
      </c>
      <c r="H1808" t="n">
        <v>26.93</v>
      </c>
      <c r="L1808" t="inlineStr">
        <is>
          <t>SOMATOM Force</t>
        </is>
      </c>
      <c r="M1808" t="inlineStr">
        <is>
          <t>Pre 3.0 Br32 1</t>
        </is>
      </c>
    </row>
    <row r="1809">
      <c r="A1809" s="2" t="n">
        <v>2446720</v>
      </c>
      <c r="B1809" s="2" t="inlineStr">
        <is>
          <t>64</t>
        </is>
      </c>
      <c r="C1809" s="2" t="inlineStr">
        <is>
          <t>F</t>
        </is>
      </c>
      <c r="D1809" s="2" t="inlineStr">
        <is>
          <t>100.0</t>
        </is>
      </c>
      <c r="E1809" s="4">
        <f>HYPERLINK("./Results/DLO\58\Osteo_Sarco_1.png","RPT")</f>
        <v/>
      </c>
      <c r="F1809" s="2" t="n">
        <v>81</v>
      </c>
      <c r="G1809" s="6" t="n">
        <v>9</v>
      </c>
      <c r="H1809" t="n">
        <v>18.44</v>
      </c>
      <c r="L1809" t="inlineStr">
        <is>
          <t>Revolution CT</t>
        </is>
      </c>
      <c r="M1809" t="inlineStr">
        <is>
          <t>Pre</t>
        </is>
      </c>
    </row>
    <row r="1810">
      <c r="A1810" s="2" t="n">
        <v>1700650</v>
      </c>
      <c r="B1810" s="2" t="inlineStr">
        <is>
          <t>60</t>
        </is>
      </c>
      <c r="C1810" s="2" t="inlineStr">
        <is>
          <t>F</t>
        </is>
      </c>
      <c r="D1810" s="2" t="inlineStr">
        <is>
          <t>100.0</t>
        </is>
      </c>
      <c r="E1810" s="4">
        <f>HYPERLINK("./Results/DLO\580\Osteo_Sarco_1.png","RPT")</f>
        <v/>
      </c>
      <c r="F1810" s="2" t="n">
        <v>106</v>
      </c>
      <c r="G1810" s="6" t="n">
        <v>13</v>
      </c>
      <c r="I1810" s="0" t="n"/>
      <c r="J1810" s="0" t="n"/>
      <c r="K1810" s="0" t="n"/>
      <c r="L1810" t="inlineStr">
        <is>
          <t>iCT 256</t>
        </is>
      </c>
      <c r="M1810" t="inlineStr">
        <is>
          <t>Pre 3/3mm, iDose (3)</t>
        </is>
      </c>
    </row>
    <row r="1811">
      <c r="A1811" s="2" t="n">
        <v>2193483</v>
      </c>
      <c r="B1811" s="2" t="inlineStr">
        <is>
          <t>55</t>
        </is>
      </c>
      <c r="C1811" s="2" t="inlineStr">
        <is>
          <t>F</t>
        </is>
      </c>
      <c r="D1811" s="2" t="inlineStr">
        <is>
          <t>120.0</t>
        </is>
      </c>
      <c r="E1811" s="4">
        <f>HYPERLINK("./Results/DLO\581\Osteo_Sarco_1.png","RPT")</f>
        <v/>
      </c>
      <c r="F1811" s="2" t="n">
        <v>113</v>
      </c>
      <c r="G1811" s="6" t="n">
        <v>7</v>
      </c>
      <c r="H1811" t="n">
        <v>23.59</v>
      </c>
      <c r="L1811" t="inlineStr">
        <is>
          <t>Aquilion/LB</t>
        </is>
      </c>
      <c r="M1811" t="inlineStr">
        <is>
          <t>Empty bladder Body 3.0</t>
        </is>
      </c>
    </row>
    <row r="1812">
      <c r="A1812" s="2" t="n">
        <v>4500689</v>
      </c>
      <c r="B1812" s="2" t="inlineStr">
        <is>
          <t>70</t>
        </is>
      </c>
      <c r="C1812" s="2" t="inlineStr">
        <is>
          <t>F</t>
        </is>
      </c>
      <c r="D1812" s="2" t="inlineStr">
        <is>
          <t>100.0</t>
        </is>
      </c>
      <c r="E1812" s="4">
        <f>HYPERLINK("./Results/DLO\582\Osteo_Sarco_1.png","RPT")</f>
        <v/>
      </c>
      <c r="F1812" s="2" t="n">
        <v>95</v>
      </c>
      <c r="G1812" s="6" t="n">
        <v>8</v>
      </c>
      <c r="I1812" s="0" t="n"/>
      <c r="J1812" s="0" t="n"/>
      <c r="K1812" s="0" t="n"/>
      <c r="L1812" t="inlineStr">
        <is>
          <t>Revolution CT</t>
        </is>
      </c>
      <c r="M1812" t="inlineStr">
        <is>
          <t>HVP 3mm(56kg/112cc/3cc/bono)</t>
        </is>
      </c>
    </row>
    <row r="1813">
      <c r="A1813" s="2" t="n">
        <v>3254378</v>
      </c>
      <c r="B1813" s="2" t="inlineStr">
        <is>
          <t>67</t>
        </is>
      </c>
      <c r="C1813" s="2" t="inlineStr">
        <is>
          <t>F</t>
        </is>
      </c>
      <c r="D1813" s="2" t="inlineStr">
        <is>
          <t>100.0</t>
        </is>
      </c>
      <c r="E1813" s="4">
        <f>HYPERLINK("./Results/DLO\583\Osteo_Sarco_1.png","RPT")</f>
        <v/>
      </c>
      <c r="F1813" s="2" t="n">
        <v>97</v>
      </c>
      <c r="G1813" s="6" t="n">
        <v>13</v>
      </c>
      <c r="I1813" s="0" t="n"/>
      <c r="J1813" s="0" t="n"/>
      <c r="K1813" s="0" t="n"/>
      <c r="L1813" t="inlineStr">
        <is>
          <t>Revolution EVO</t>
        </is>
      </c>
      <c r="M1813" t="inlineStr">
        <is>
          <t>PRE</t>
        </is>
      </c>
    </row>
    <row r="1814">
      <c r="A1814" s="2" t="n">
        <v>2246604</v>
      </c>
      <c r="B1814" s="2" t="inlineStr">
        <is>
          <t>69</t>
        </is>
      </c>
      <c r="C1814" s="2" t="inlineStr">
        <is>
          <t>M</t>
        </is>
      </c>
      <c r="D1814" s="2" t="inlineStr">
        <is>
          <t>100.0</t>
        </is>
      </c>
      <c r="E1814" s="4">
        <f>HYPERLINK("./Results/DLO\584\Osteo_Sarco_1.png","RPT")</f>
        <v/>
      </c>
      <c r="F1814" s="2" t="n">
        <v>136</v>
      </c>
      <c r="G1814" s="6" t="n">
        <v>4</v>
      </c>
      <c r="I1814" s="0" t="n"/>
      <c r="J1814" s="0" t="n"/>
      <c r="K1814" s="0" t="n"/>
      <c r="L1814" t="inlineStr">
        <is>
          <t>iCT 256</t>
        </is>
      </c>
      <c r="M1814" t="inlineStr">
        <is>
          <t>HVP 3/3mm, iDose (3)</t>
        </is>
      </c>
    </row>
    <row r="1815">
      <c r="A1815" s="2" t="n">
        <v>1371818</v>
      </c>
      <c r="B1815" s="2" t="inlineStr">
        <is>
          <t>57</t>
        </is>
      </c>
      <c r="C1815" s="2" t="inlineStr">
        <is>
          <t>M</t>
        </is>
      </c>
      <c r="D1815" s="2" t="inlineStr">
        <is>
          <t>100.0</t>
        </is>
      </c>
      <c r="E1815" s="4">
        <f>HYPERLINK("./Results/DLO\585\Osteo_Sarco_1.png","RPT")</f>
        <v/>
      </c>
      <c r="F1815" s="2" t="n">
        <v>166</v>
      </c>
      <c r="G1815" s="6" t="n">
        <v>6</v>
      </c>
      <c r="I1815" s="0" t="n"/>
      <c r="J1815" s="0" t="n"/>
      <c r="K1815" s="0" t="n"/>
      <c r="L1815" t="inlineStr">
        <is>
          <t>LightSpeed VCT</t>
        </is>
      </c>
      <c r="M1815" t="inlineStr">
        <is>
          <t>PRE (CP~L5)</t>
        </is>
      </c>
    </row>
    <row r="1816">
      <c r="A1816" s="2" t="n">
        <v>1868004</v>
      </c>
      <c r="B1816" s="2" t="inlineStr">
        <is>
          <t>81</t>
        </is>
      </c>
      <c r="C1816" s="2" t="inlineStr">
        <is>
          <t>M</t>
        </is>
      </c>
      <c r="D1816" s="2" t="inlineStr">
        <is>
          <t>120.0</t>
        </is>
      </c>
      <c r="E1816" s="4">
        <f>HYPERLINK("./Results/DLO\586\Osteo_Sarco_1.png","RPT")</f>
        <v/>
      </c>
      <c r="F1816" s="2" t="n">
        <v>134</v>
      </c>
      <c r="G1816" s="6" t="n">
        <v>18</v>
      </c>
      <c r="H1816" t="n">
        <v>26.71</v>
      </c>
      <c r="L1816" t="inlineStr">
        <is>
          <t>iCT 256</t>
        </is>
      </c>
      <c r="M1816" t="inlineStr">
        <is>
          <t>Pre 3/3mm, iDose (3)</t>
        </is>
      </c>
    </row>
    <row r="1817">
      <c r="A1817" s="2" t="n">
        <v>4036195</v>
      </c>
      <c r="B1817" s="2" t="inlineStr">
        <is>
          <t>42</t>
        </is>
      </c>
      <c r="C1817" s="2" t="inlineStr">
        <is>
          <t>M</t>
        </is>
      </c>
      <c r="D1817" s="2" t="inlineStr">
        <is>
          <t>100.0</t>
        </is>
      </c>
      <c r="E1817" s="4">
        <f>HYPERLINK("./Results/DLO\587\Osteo_Sarco_1.png","RPT")</f>
        <v/>
      </c>
      <c r="F1817" s="2" t="n">
        <v>155</v>
      </c>
      <c r="G1817" s="6" t="n">
        <v>7</v>
      </c>
      <c r="I1817" s="0" t="n"/>
      <c r="J1817" s="0" t="n"/>
      <c r="K1817" s="0" t="n"/>
      <c r="L1817" t="inlineStr">
        <is>
          <t>Revolution CT</t>
        </is>
      </c>
      <c r="M1817" t="inlineStr">
        <is>
          <t>Pre 3mm</t>
        </is>
      </c>
    </row>
    <row r="1818">
      <c r="A1818" s="2" t="n">
        <v>3798196</v>
      </c>
      <c r="B1818" s="2" t="inlineStr">
        <is>
          <t>59</t>
        </is>
      </c>
      <c r="C1818" s="2" t="inlineStr">
        <is>
          <t>M</t>
        </is>
      </c>
      <c r="D1818" s="2" t="inlineStr">
        <is>
          <t>100.0</t>
        </is>
      </c>
      <c r="E1818" s="4">
        <f>HYPERLINK("./Results/DLO\588\Osteo_Sarco_1.png","RPT")</f>
        <v/>
      </c>
      <c r="F1818" s="2" t="n">
        <v>98</v>
      </c>
      <c r="G1818" s="6" t="n">
        <v>18</v>
      </c>
      <c r="I1818" s="0" t="n"/>
      <c r="J1818" s="0" t="n"/>
      <c r="K1818" s="0" t="n"/>
      <c r="L1818" t="inlineStr">
        <is>
          <t>iCT 256</t>
        </is>
      </c>
      <c r="M1818" t="inlineStr">
        <is>
          <t>HVP 3/3mm, iDose (3)</t>
        </is>
      </c>
    </row>
    <row r="1819">
      <c r="A1819" s="2" t="n">
        <v>3479810</v>
      </c>
      <c r="B1819" s="2" t="inlineStr">
        <is>
          <t>76</t>
        </is>
      </c>
      <c r="C1819" s="2" t="inlineStr">
        <is>
          <t>F</t>
        </is>
      </c>
      <c r="D1819" s="2" t="inlineStr">
        <is>
          <t>100.0</t>
        </is>
      </c>
      <c r="E1819" s="4">
        <f>HYPERLINK("./Results/DLO\589\Osteo_Sarco_1.png","RPT")</f>
        <v/>
      </c>
      <c r="F1819" s="2" t="n">
        <v>79</v>
      </c>
      <c r="G1819" s="6" t="n">
        <v>11</v>
      </c>
      <c r="I1819" s="0" t="n"/>
      <c r="J1819" s="0" t="n"/>
      <c r="K1819" s="0" t="n"/>
      <c r="L1819" t="inlineStr">
        <is>
          <t>Revolution EVO</t>
        </is>
      </c>
      <c r="M1819" t="inlineStr">
        <is>
          <t>PRE</t>
        </is>
      </c>
    </row>
    <row r="1820">
      <c r="A1820" s="2" t="n">
        <v>2378143</v>
      </c>
      <c r="B1820" s="2" t="inlineStr">
        <is>
          <t>63</t>
        </is>
      </c>
      <c r="C1820" s="2" t="inlineStr">
        <is>
          <t>F</t>
        </is>
      </c>
      <c r="D1820" s="2" t="inlineStr">
        <is>
          <t>100.0</t>
        </is>
      </c>
      <c r="E1820" s="4">
        <f>HYPERLINK("./Results/DLO\59\Osteo_Sarco_1.png","RPT")</f>
        <v/>
      </c>
      <c r="F1820" s="2" t="n">
        <v>113</v>
      </c>
      <c r="G1820" s="6" t="n">
        <v>26</v>
      </c>
      <c r="H1820" t="n">
        <v>30.6</v>
      </c>
      <c r="L1820" t="inlineStr">
        <is>
          <t>SOMATOM Definition...</t>
        </is>
      </c>
      <c r="M1820" t="inlineStr">
        <is>
          <t>Pre(CP~pubic) 3mm</t>
        </is>
      </c>
    </row>
    <row r="1821">
      <c r="A1821" s="2" t="n">
        <v>2381923</v>
      </c>
      <c r="B1821" s="2" t="inlineStr">
        <is>
          <t>62</t>
        </is>
      </c>
      <c r="C1821" s="2" t="inlineStr">
        <is>
          <t>M</t>
        </is>
      </c>
      <c r="D1821" s="2" t="inlineStr">
        <is>
          <t>120.0</t>
        </is>
      </c>
      <c r="E1821" s="4">
        <f>HYPERLINK("./Results/DLO\590\Osteo_Sarco_1.png","RPT")</f>
        <v/>
      </c>
      <c r="F1821" s="2" t="n">
        <v>173</v>
      </c>
      <c r="G1821" s="6" t="n">
        <v>11</v>
      </c>
      <c r="H1821" t="n">
        <v>24.43</v>
      </c>
      <c r="L1821" t="inlineStr">
        <is>
          <t>Sensation Open</t>
        </is>
      </c>
      <c r="M1821" t="inlineStr">
        <is>
          <t>Delay 5.0 B30s</t>
        </is>
      </c>
    </row>
    <row r="1822">
      <c r="A1822" s="2" t="n">
        <v>1619734</v>
      </c>
      <c r="B1822" s="2" t="inlineStr">
        <is>
          <t>21</t>
        </is>
      </c>
      <c r="C1822" s="2" t="inlineStr">
        <is>
          <t>M</t>
        </is>
      </c>
      <c r="D1822" s="2" t="inlineStr">
        <is>
          <t>100.0</t>
        </is>
      </c>
      <c r="E1822" s="4">
        <f>HYPERLINK("./Results/DLO\591\Osteo_Sarco_1.png","RPT")</f>
        <v/>
      </c>
      <c r="F1822" s="2" t="n">
        <v>139</v>
      </c>
      <c r="G1822" s="6" t="n">
        <v>2</v>
      </c>
      <c r="I1822" s="0" t="n"/>
      <c r="J1822" s="0" t="n"/>
      <c r="K1822" s="0" t="n"/>
      <c r="L1822" t="inlineStr">
        <is>
          <t>Sensation 64</t>
        </is>
      </c>
      <c r="M1822" t="inlineStr">
        <is>
          <t>PRE(CP~Pubi) 3mm</t>
        </is>
      </c>
    </row>
    <row r="1823">
      <c r="A1823" s="2" t="n">
        <v>3098918</v>
      </c>
      <c r="B1823" s="2" t="inlineStr">
        <is>
          <t>33</t>
        </is>
      </c>
      <c r="C1823" s="2" t="inlineStr">
        <is>
          <t>M</t>
        </is>
      </c>
      <c r="D1823" s="2" t="inlineStr">
        <is>
          <t>100.0</t>
        </is>
      </c>
      <c r="E1823" s="4">
        <f>HYPERLINK("./Results/DLO\592\Osteo_Sarco_1.png","RPT")</f>
        <v/>
      </c>
      <c r="F1823" s="2" t="n">
        <v>235</v>
      </c>
      <c r="G1823" s="6" t="n">
        <v>18</v>
      </c>
      <c r="I1823" s="0" t="n"/>
      <c r="J1823" s="0" t="n"/>
      <c r="K1823" s="0" t="n"/>
      <c r="L1823" t="inlineStr">
        <is>
          <t>Discovery CT750 HD</t>
        </is>
      </c>
      <c r="M1823" t="inlineStr">
        <is>
          <t>PRE</t>
        </is>
      </c>
    </row>
    <row r="1824">
      <c r="A1824" s="2" t="n">
        <v>2908175</v>
      </c>
      <c r="B1824" s="2" t="inlineStr">
        <is>
          <t>53</t>
        </is>
      </c>
      <c r="C1824" s="2" t="inlineStr">
        <is>
          <t>M</t>
        </is>
      </c>
      <c r="D1824" s="2" t="inlineStr">
        <is>
          <t>120.0</t>
        </is>
      </c>
      <c r="E1824" s="4">
        <f>HYPERLINK("./Results/DLO\593\Osteo_Sarco_1.png","RPT")</f>
        <v/>
      </c>
      <c r="F1824" s="2" t="n">
        <v>172</v>
      </c>
      <c r="G1824" s="6" t="n">
        <v>5</v>
      </c>
      <c r="I1824" s="0" t="n"/>
      <c r="J1824" s="0" t="n"/>
      <c r="K1824" s="0" t="n"/>
      <c r="L1824" t="inlineStr">
        <is>
          <t>LightSpeed VCT</t>
        </is>
      </c>
      <c r="M1824" t="inlineStr">
        <is>
          <t>HVP 3mm</t>
        </is>
      </c>
    </row>
    <row r="1825">
      <c r="A1825" s="2" t="n">
        <v>4824990</v>
      </c>
      <c r="B1825" s="2" t="inlineStr">
        <is>
          <t>46</t>
        </is>
      </c>
      <c r="C1825" s="2" t="inlineStr">
        <is>
          <t>M</t>
        </is>
      </c>
      <c r="D1825" s="2" t="inlineStr">
        <is>
          <t>100.0</t>
        </is>
      </c>
      <c r="E1825" s="4">
        <f>HYPERLINK("./Results/DLO\594\Osteo_Sarco_1.png","RPT")</f>
        <v/>
      </c>
      <c r="F1825" s="2" t="n">
        <v>148</v>
      </c>
      <c r="G1825" s="6" t="n">
        <v>11</v>
      </c>
      <c r="I1825" s="0" t="n"/>
      <c r="J1825" s="0" t="n"/>
      <c r="K1825" s="0" t="n"/>
      <c r="L1825" t="inlineStr">
        <is>
          <t>LightSpeed VCT</t>
        </is>
      </c>
      <c r="M1825" t="inlineStr">
        <is>
          <t>PRE (CP angle~Pubic)</t>
        </is>
      </c>
    </row>
    <row r="1826">
      <c r="A1826" s="2" t="n">
        <v>4898935</v>
      </c>
      <c r="B1826" s="2" t="inlineStr">
        <is>
          <t>71</t>
        </is>
      </c>
      <c r="C1826" s="2" t="inlineStr">
        <is>
          <t>M</t>
        </is>
      </c>
      <c r="D1826" s="2" t="inlineStr">
        <is>
          <t>100.0</t>
        </is>
      </c>
      <c r="E1826" s="4">
        <f>HYPERLINK("./Results/DLO\595\Osteo_Sarco_1.png","RPT")</f>
        <v/>
      </c>
      <c r="F1826" s="2" t="n">
        <v>169</v>
      </c>
      <c r="G1826" s="6" t="n">
        <v>17</v>
      </c>
      <c r="H1826" t="n">
        <v>23.95</v>
      </c>
      <c r="L1826" t="inlineStr">
        <is>
          <t>SOMATOM Force</t>
        </is>
      </c>
      <c r="M1826" t="inlineStr">
        <is>
          <t>Pre 3.0 Br40</t>
        </is>
      </c>
    </row>
    <row r="1827">
      <c r="A1827" s="2" t="n">
        <v>4589830</v>
      </c>
      <c r="B1827" s="2" t="inlineStr">
        <is>
          <t>55</t>
        </is>
      </c>
      <c r="C1827" s="2" t="inlineStr">
        <is>
          <t>M</t>
        </is>
      </c>
      <c r="D1827" s="2" t="inlineStr">
        <is>
          <t>100.0</t>
        </is>
      </c>
      <c r="E1827" s="4">
        <f>HYPERLINK("./Results/DLO\596\Osteo_Sarco_1.png","RPT")</f>
        <v/>
      </c>
      <c r="F1827" s="2" t="n">
        <v>165</v>
      </c>
      <c r="G1827" s="6" t="n">
        <v>14</v>
      </c>
      <c r="I1827" s="0" t="n"/>
      <c r="J1827" s="0" t="n"/>
      <c r="K1827" s="0" t="n"/>
      <c r="L1827" t="inlineStr">
        <is>
          <t>Revolution CT</t>
        </is>
      </c>
      <c r="M1827" t="inlineStr">
        <is>
          <t>Pre 3mm</t>
        </is>
      </c>
    </row>
    <row r="1828">
      <c r="A1828" s="2" t="n">
        <v>2408108</v>
      </c>
      <c r="B1828" s="2" t="inlineStr">
        <is>
          <t>52</t>
        </is>
      </c>
      <c r="C1828" s="2" t="inlineStr">
        <is>
          <t>M</t>
        </is>
      </c>
      <c r="D1828" s="2" t="inlineStr">
        <is>
          <t>120.0</t>
        </is>
      </c>
      <c r="E1828" s="4">
        <f>HYPERLINK("./Results/DLO\597\Osteo_Sarco_1.png","RPT")</f>
        <v/>
      </c>
      <c r="F1828" s="2" t="n">
        <v>144</v>
      </c>
      <c r="G1828" s="6" t="n">
        <v>7</v>
      </c>
      <c r="H1828" t="n">
        <v>21.53</v>
      </c>
      <c r="L1828" t="inlineStr">
        <is>
          <t>Supria</t>
        </is>
      </c>
      <c r="M1828" t="inlineStr">
        <is>
          <t>N/A</t>
        </is>
      </c>
    </row>
    <row r="1829">
      <c r="A1829" s="2" t="n">
        <v>2677384</v>
      </c>
      <c r="B1829" s="2" t="inlineStr">
        <is>
          <t>34</t>
        </is>
      </c>
      <c r="C1829" s="2" t="inlineStr">
        <is>
          <t>M</t>
        </is>
      </c>
      <c r="D1829" s="2" t="inlineStr">
        <is>
          <t>100.0</t>
        </is>
      </c>
      <c r="E1829" s="4">
        <f>HYPERLINK("./Results/DLO\598\Osteo_Sarco_1.png","RPT")</f>
        <v/>
      </c>
      <c r="F1829" s="2" t="n">
        <v>140</v>
      </c>
      <c r="G1829" s="6" t="n">
        <v>14</v>
      </c>
      <c r="I1829" s="0" t="n"/>
      <c r="J1829" s="0" t="n"/>
      <c r="K1829" s="0" t="n"/>
      <c r="L1829" t="inlineStr">
        <is>
          <t>SOMATOM Definition...</t>
        </is>
      </c>
      <c r="M1829" t="inlineStr">
        <is>
          <t>Pre 3mm</t>
        </is>
      </c>
    </row>
    <row r="1830">
      <c r="A1830" s="2" t="n">
        <v>3491785</v>
      </c>
      <c r="B1830" s="2" t="inlineStr">
        <is>
          <t>48</t>
        </is>
      </c>
      <c r="C1830" s="2" t="inlineStr">
        <is>
          <t>F</t>
        </is>
      </c>
      <c r="D1830" s="2" t="inlineStr">
        <is>
          <t>100.0</t>
        </is>
      </c>
      <c r="E1830" s="4">
        <f>HYPERLINK("./Results/DLO\599\Osteo_Sarco_1.png","RPT")</f>
        <v/>
      </c>
      <c r="F1830" s="2" t="n">
        <v>90</v>
      </c>
      <c r="G1830" s="6" t="n">
        <v>11</v>
      </c>
      <c r="I1830" s="0" t="n"/>
      <c r="J1830" s="0" t="n"/>
      <c r="K1830" s="0" t="n"/>
      <c r="L1830" t="inlineStr">
        <is>
          <t>SOMATOM Force</t>
        </is>
      </c>
      <c r="M1830" t="inlineStr">
        <is>
          <t>Pre 3.0 Br40 2</t>
        </is>
      </c>
    </row>
    <row r="1831">
      <c r="A1831" s="2" t="n">
        <v>2931498</v>
      </c>
      <c r="B1831" s="2" t="inlineStr">
        <is>
          <t>83</t>
        </is>
      </c>
      <c r="C1831" s="2" t="inlineStr">
        <is>
          <t>F</t>
        </is>
      </c>
      <c r="D1831" s="2" t="inlineStr">
        <is>
          <t>120.0</t>
        </is>
      </c>
      <c r="E1831" s="4">
        <f>HYPERLINK("./Results/DLO\6\Osteo_Sarco_1.png","RPT")</f>
        <v/>
      </c>
      <c r="F1831" s="2" t="n">
        <v>105</v>
      </c>
      <c r="G1831" s="6" t="n">
        <v>21</v>
      </c>
      <c r="H1831" t="n">
        <v>23.81</v>
      </c>
      <c r="L1831" t="inlineStr">
        <is>
          <t>Aquilion ONE</t>
        </is>
      </c>
      <c r="M1831" t="inlineStr">
        <is>
          <t>ABDOMEN 3.0</t>
        </is>
      </c>
    </row>
    <row r="1832">
      <c r="A1832" s="2" t="n">
        <v>2863840</v>
      </c>
      <c r="B1832" s="2" t="inlineStr">
        <is>
          <t>63</t>
        </is>
      </c>
      <c r="C1832" s="2" t="inlineStr">
        <is>
          <t>F</t>
        </is>
      </c>
      <c r="D1832" s="2" t="inlineStr">
        <is>
          <t>100.0</t>
        </is>
      </c>
      <c r="E1832" s="4">
        <f>HYPERLINK("./Results/DLO\60\Osteo_Sarco_1.png","RPT")</f>
        <v/>
      </c>
      <c r="F1832" s="2" t="n">
        <v>100</v>
      </c>
      <c r="G1832" s="6" t="n">
        <v>4</v>
      </c>
      <c r="I1832" s="0" t="n"/>
      <c r="J1832" s="0" t="n"/>
      <c r="K1832" s="0" t="n"/>
      <c r="L1832" t="inlineStr">
        <is>
          <t>Revolution EVO</t>
        </is>
      </c>
      <c r="M1832" t="inlineStr">
        <is>
          <t>Pre 2.5mm</t>
        </is>
      </c>
    </row>
    <row r="1833">
      <c r="A1833" s="2" t="n">
        <v>4676241</v>
      </c>
      <c r="B1833" s="2" t="inlineStr">
        <is>
          <t>70</t>
        </is>
      </c>
      <c r="C1833" s="2" t="inlineStr">
        <is>
          <t>F</t>
        </is>
      </c>
      <c r="D1833" s="2" t="inlineStr">
        <is>
          <t>100.0</t>
        </is>
      </c>
      <c r="E1833" s="4">
        <f>HYPERLINK("./Results/DLO\600\Osteo_Sarco_1.png","RPT")</f>
        <v/>
      </c>
      <c r="F1833" s="2" t="n">
        <v>90</v>
      </c>
      <c r="G1833" s="6" t="n">
        <v>15</v>
      </c>
      <c r="I1833" s="0" t="n"/>
      <c r="J1833" s="0" t="n"/>
      <c r="K1833" s="0" t="n"/>
      <c r="L1833" t="inlineStr">
        <is>
          <t>Sensation 64</t>
        </is>
      </c>
      <c r="M1833" t="inlineStr">
        <is>
          <t>PRE 3mm</t>
        </is>
      </c>
    </row>
    <row r="1834">
      <c r="A1834" s="2" t="n">
        <v>3542821</v>
      </c>
      <c r="B1834" s="2" t="inlineStr">
        <is>
          <t>59</t>
        </is>
      </c>
      <c r="C1834" s="2" t="inlineStr">
        <is>
          <t>F</t>
        </is>
      </c>
      <c r="D1834" s="2" t="inlineStr">
        <is>
          <t>100.0</t>
        </is>
      </c>
      <c r="E1834" s="4">
        <f>HYPERLINK("./Results/DLO\601\Osteo_Sarco_1.png","RPT")</f>
        <v/>
      </c>
      <c r="F1834" s="2" t="n">
        <v>112</v>
      </c>
      <c r="G1834" s="6" t="n">
        <v>6</v>
      </c>
      <c r="I1834" s="0" t="n"/>
      <c r="J1834" s="0" t="n"/>
      <c r="K1834" s="0" t="n"/>
      <c r="L1834" t="inlineStr">
        <is>
          <t>iCT 256</t>
        </is>
      </c>
      <c r="M1834" t="inlineStr">
        <is>
          <t>HVP 3/3mm, iDose (3)</t>
        </is>
      </c>
    </row>
    <row r="1835">
      <c r="A1835" s="2" t="n">
        <v>2441820</v>
      </c>
      <c r="B1835" s="2" t="inlineStr">
        <is>
          <t>73</t>
        </is>
      </c>
      <c r="C1835" s="2" t="inlineStr">
        <is>
          <t>F</t>
        </is>
      </c>
      <c r="D1835" s="2" t="inlineStr">
        <is>
          <t>100.0</t>
        </is>
      </c>
      <c r="E1835" s="4">
        <f>HYPERLINK("./Results/DLO\602\Osteo_Sarco_1.png","RPT")</f>
        <v/>
      </c>
      <c r="F1835" s="2" t="n">
        <v>137</v>
      </c>
      <c r="G1835" s="6" t="n">
        <v>18</v>
      </c>
      <c r="I1835" s="0" t="n"/>
      <c r="J1835" s="0" t="n"/>
      <c r="K1835" s="0" t="n"/>
      <c r="L1835" t="inlineStr">
        <is>
          <t>SOMATOM Definition...</t>
        </is>
      </c>
      <c r="M1835" t="inlineStr">
        <is>
          <t>LAP 2 3mm(81kg/ 150cc/ 3cc/....</t>
        </is>
      </c>
    </row>
    <row r="1836">
      <c r="A1836" s="2" t="n">
        <v>4676731</v>
      </c>
      <c r="B1836" s="2" t="inlineStr">
        <is>
          <t>72</t>
        </is>
      </c>
      <c r="C1836" s="2" t="inlineStr">
        <is>
          <t>M</t>
        </is>
      </c>
      <c r="D1836" s="2" t="inlineStr">
        <is>
          <t>120.0</t>
        </is>
      </c>
      <c r="E1836" s="4">
        <f>HYPERLINK("./Results/DLO\603\Osteo_Sarco_1.png","RPT")</f>
        <v/>
      </c>
      <c r="F1836" s="2" t="n">
        <v>114</v>
      </c>
      <c r="G1836" s="6" t="n">
        <v>4</v>
      </c>
      <c r="H1836" t="n">
        <v>20.01</v>
      </c>
      <c r="L1836" t="inlineStr">
        <is>
          <t>LightSpeed VCT</t>
        </is>
      </c>
      <c r="M1836" t="inlineStr">
        <is>
          <t>HVP 55sec 3mm</t>
        </is>
      </c>
    </row>
    <row r="1837">
      <c r="A1837" s="2" t="n">
        <v>3660507</v>
      </c>
      <c r="B1837" s="2" t="inlineStr">
        <is>
          <t>46</t>
        </is>
      </c>
      <c r="C1837" s="2" t="inlineStr">
        <is>
          <t>M</t>
        </is>
      </c>
      <c r="D1837" s="2" t="inlineStr">
        <is>
          <t>100.0</t>
        </is>
      </c>
      <c r="E1837" s="4">
        <f>HYPERLINK("./Results/DLO\604\Osteo_Sarco_1.png","RPT")</f>
        <v/>
      </c>
      <c r="F1837" s="2" t="n">
        <v>109</v>
      </c>
      <c r="G1837" s="6" t="n">
        <v>7</v>
      </c>
      <c r="H1837" t="n">
        <v>18.14</v>
      </c>
      <c r="L1837" t="inlineStr">
        <is>
          <t>Discovery CT750 HD</t>
        </is>
      </c>
      <c r="M1837" t="inlineStr">
        <is>
          <t>CMP 2.5mm(ASIR30%)</t>
        </is>
      </c>
    </row>
    <row r="1838">
      <c r="A1838" s="2" t="n">
        <v>4405858</v>
      </c>
      <c r="B1838" s="2" t="inlineStr">
        <is>
          <t>71</t>
        </is>
      </c>
      <c r="C1838" s="2" t="inlineStr">
        <is>
          <t>M</t>
        </is>
      </c>
      <c r="D1838" s="2" t="inlineStr">
        <is>
          <t>120.0</t>
        </is>
      </c>
      <c r="E1838" s="4">
        <f>HYPERLINK("./Results/DLO\605\Osteo_Sarco_1.png","RPT")</f>
        <v/>
      </c>
      <c r="F1838" s="2" t="n">
        <v>146</v>
      </c>
      <c r="G1838" s="6" t="n">
        <v>9</v>
      </c>
      <c r="I1838" s="0" t="n"/>
      <c r="J1838" s="0" t="n"/>
      <c r="K1838" s="0" t="n"/>
      <c r="L1838" t="inlineStr">
        <is>
          <t>LightSpeed VCT</t>
        </is>
      </c>
      <c r="M1838" t="inlineStr">
        <is>
          <t>HVP 55sec 3mm</t>
        </is>
      </c>
    </row>
    <row r="1839">
      <c r="A1839" s="2" t="n">
        <v>2322522</v>
      </c>
      <c r="B1839" s="2" t="inlineStr">
        <is>
          <t>46</t>
        </is>
      </c>
      <c r="C1839" s="2" t="inlineStr">
        <is>
          <t>F</t>
        </is>
      </c>
      <c r="D1839" s="2" t="inlineStr">
        <is>
          <t>100.0</t>
        </is>
      </c>
      <c r="E1839" s="4">
        <f>HYPERLINK("./Results/DLO\606\Osteo_Sarco_1.png","RPT")</f>
        <v/>
      </c>
      <c r="F1839" s="2" t="n">
        <v>103</v>
      </c>
      <c r="G1839" s="6" t="n">
        <v>7</v>
      </c>
      <c r="H1839" t="n">
        <v>23.95</v>
      </c>
      <c r="L1839" t="inlineStr">
        <is>
          <t>iCT 256</t>
        </is>
      </c>
      <c r="M1839" t="inlineStr">
        <is>
          <t>Pre 3/3mm, iDose (3)</t>
        </is>
      </c>
    </row>
    <row r="1840">
      <c r="A1840" s="2" t="n">
        <v>2606353</v>
      </c>
      <c r="B1840" s="2" t="inlineStr">
        <is>
          <t>65</t>
        </is>
      </c>
      <c r="C1840" s="2" t="inlineStr">
        <is>
          <t>F</t>
        </is>
      </c>
      <c r="D1840" s="2" t="inlineStr">
        <is>
          <t>100.0</t>
        </is>
      </c>
      <c r="E1840" s="4">
        <f>HYPERLINK("./Results/DLO\607\Osteo_Sarco_1.png","RPT")</f>
        <v/>
      </c>
      <c r="F1840" s="2" t="n">
        <v>88</v>
      </c>
      <c r="G1840" s="6" t="n">
        <v>9</v>
      </c>
      <c r="I1840" s="0" t="n"/>
      <c r="J1840" s="0" t="n"/>
      <c r="K1840" s="0" t="n"/>
      <c r="L1840" t="inlineStr">
        <is>
          <t>SOMATOM Definition...</t>
        </is>
      </c>
      <c r="M1840" t="inlineStr">
        <is>
          <t>Pre 3/3mm</t>
        </is>
      </c>
    </row>
    <row r="1841">
      <c r="A1841" s="2" t="n">
        <v>3191004</v>
      </c>
      <c r="B1841" s="2" t="inlineStr">
        <is>
          <t>70</t>
        </is>
      </c>
      <c r="C1841" s="2" t="inlineStr">
        <is>
          <t>M</t>
        </is>
      </c>
      <c r="D1841" s="2" t="inlineStr">
        <is>
          <t>100.0</t>
        </is>
      </c>
      <c r="E1841" s="4">
        <f>HYPERLINK("./Results/DLO\608\Osteo_Sarco_1.png","RPT")</f>
        <v/>
      </c>
      <c r="F1841" s="2" t="n">
        <v>124</v>
      </c>
      <c r="G1841" s="6" t="n">
        <v>20</v>
      </c>
      <c r="I1841" s="0" t="n"/>
      <c r="J1841" s="0" t="n"/>
      <c r="K1841" s="0" t="n"/>
      <c r="L1841" t="inlineStr">
        <is>
          <t>Sensation 64</t>
        </is>
      </c>
      <c r="M1841" t="inlineStr">
        <is>
          <t>PRE 3mm</t>
        </is>
      </c>
    </row>
    <row r="1842">
      <c r="A1842" s="2" t="n">
        <v>3831904</v>
      </c>
      <c r="B1842" s="2" t="inlineStr">
        <is>
          <t>78</t>
        </is>
      </c>
      <c r="C1842" s="2" t="inlineStr">
        <is>
          <t>F</t>
        </is>
      </c>
      <c r="D1842" s="2" t="inlineStr">
        <is>
          <t>100.0</t>
        </is>
      </c>
      <c r="E1842" s="4">
        <f>HYPERLINK("./Results/DLO\609\Osteo_Sarco_1.png","RPT")</f>
        <v/>
      </c>
      <c r="F1842" s="2" t="n">
        <v>103</v>
      </c>
      <c r="G1842" s="6" t="n">
        <v>26</v>
      </c>
      <c r="I1842" s="0" t="n"/>
      <c r="J1842" s="0" t="n"/>
      <c r="K1842" s="0" t="n"/>
      <c r="L1842" t="inlineStr">
        <is>
          <t>Sensation 64</t>
        </is>
      </c>
      <c r="M1842" t="inlineStr">
        <is>
          <t>Pre 3/3mm</t>
        </is>
      </c>
    </row>
    <row r="1843">
      <c r="A1843" s="2" t="n">
        <v>2869777</v>
      </c>
      <c r="B1843" s="2" t="inlineStr">
        <is>
          <t>65</t>
        </is>
      </c>
      <c r="C1843" s="2" t="inlineStr">
        <is>
          <t>F</t>
        </is>
      </c>
      <c r="D1843" s="2" t="inlineStr">
        <is>
          <t>100.0</t>
        </is>
      </c>
      <c r="E1843" s="4">
        <f>HYPERLINK("./Results/DLO\61\Osteo_Sarco_1.png","RPT")</f>
        <v/>
      </c>
      <c r="F1843" s="2" t="n">
        <v>105</v>
      </c>
      <c r="G1843" s="6" t="n">
        <v>8</v>
      </c>
      <c r="I1843" s="0" t="n"/>
      <c r="J1843" s="0" t="n"/>
      <c r="K1843" s="0" t="n"/>
      <c r="L1843" t="inlineStr">
        <is>
          <t>Discovery CT750 HD</t>
        </is>
      </c>
      <c r="M1843" t="inlineStr">
        <is>
          <t>Delay 2.5mm(ASIR30%)</t>
        </is>
      </c>
    </row>
    <row r="1844">
      <c r="A1844" s="2" t="n">
        <v>4901227</v>
      </c>
      <c r="B1844" s="2" t="inlineStr">
        <is>
          <t>53</t>
        </is>
      </c>
      <c r="C1844" s="2" t="inlineStr">
        <is>
          <t>M</t>
        </is>
      </c>
      <c r="D1844" s="2" t="inlineStr">
        <is>
          <t>100.0</t>
        </is>
      </c>
      <c r="E1844" s="4">
        <f>HYPERLINK("./Results/DLO\610\Osteo_Sarco_1.png","RPT")</f>
        <v/>
      </c>
      <c r="F1844" s="2" t="n">
        <v>166</v>
      </c>
      <c r="G1844" s="6" t="n">
        <v>10</v>
      </c>
      <c r="I1844" s="0" t="n"/>
      <c r="J1844" s="0" t="n"/>
      <c r="K1844" s="0" t="n"/>
      <c r="L1844" t="inlineStr">
        <is>
          <t>Sensation 64</t>
        </is>
      </c>
      <c r="M1844" t="inlineStr">
        <is>
          <t>Pre 3mm(100kvp100mAs)</t>
        </is>
      </c>
    </row>
    <row r="1845">
      <c r="A1845" s="2" t="n">
        <v>3786642</v>
      </c>
      <c r="B1845" s="2" t="inlineStr">
        <is>
          <t>54</t>
        </is>
      </c>
      <c r="C1845" s="2" t="inlineStr">
        <is>
          <t>M</t>
        </is>
      </c>
      <c r="D1845" s="2" t="inlineStr">
        <is>
          <t>100.0</t>
        </is>
      </c>
      <c r="E1845" s="4">
        <f>HYPERLINK("./Results/DLO\613\Osteo_Sarco_1.png","RPT")</f>
        <v/>
      </c>
      <c r="F1845" s="2" t="n">
        <v>134</v>
      </c>
      <c r="G1845" s="6" t="n">
        <v>3</v>
      </c>
      <c r="H1845" t="n">
        <v>20.53</v>
      </c>
      <c r="L1845" t="inlineStr">
        <is>
          <t>iCT 256</t>
        </is>
      </c>
      <c r="M1845" t="inlineStr">
        <is>
          <t>HVP 3/3mm, iDose (3)</t>
        </is>
      </c>
    </row>
    <row r="1846">
      <c r="A1846" s="2" t="n">
        <v>2219639</v>
      </c>
      <c r="B1846" s="2" t="inlineStr">
        <is>
          <t>60</t>
        </is>
      </c>
      <c r="C1846" s="2" t="inlineStr">
        <is>
          <t>F</t>
        </is>
      </c>
      <c r="D1846" s="2" t="inlineStr">
        <is>
          <t>100.0</t>
        </is>
      </c>
      <c r="E1846" s="4">
        <f>HYPERLINK("./Results/DLO\614\Osteo_Sarco_1.png","RPT")</f>
        <v/>
      </c>
      <c r="F1846" s="2" t="n">
        <v>124</v>
      </c>
      <c r="G1846" s="6" t="n">
        <v>23</v>
      </c>
      <c r="H1846" t="n">
        <v>26.35</v>
      </c>
      <c r="L1846" t="inlineStr">
        <is>
          <t>SOMATOM Definition...</t>
        </is>
      </c>
      <c r="M1846" t="inlineStr">
        <is>
          <t>Pre 3mm</t>
        </is>
      </c>
    </row>
    <row r="1847">
      <c r="A1847" s="2" t="n">
        <v>1830222</v>
      </c>
      <c r="B1847" s="2" t="inlineStr">
        <is>
          <t>68</t>
        </is>
      </c>
      <c r="C1847" s="2" t="inlineStr">
        <is>
          <t>F</t>
        </is>
      </c>
      <c r="D1847" s="2" t="inlineStr">
        <is>
          <t>100.0</t>
        </is>
      </c>
      <c r="E1847" s="4">
        <f>HYPERLINK("./Results/DLO\615\Osteo_Sarco_1.png","RPT")</f>
        <v/>
      </c>
      <c r="F1847" s="2" t="n">
        <v>106</v>
      </c>
      <c r="G1847" s="6" t="n">
        <v>10</v>
      </c>
      <c r="H1847" t="n">
        <v>21.13</v>
      </c>
      <c r="L1847" t="inlineStr">
        <is>
          <t>Revolution EVO</t>
        </is>
      </c>
      <c r="M1847" t="inlineStr">
        <is>
          <t>PRE</t>
        </is>
      </c>
    </row>
    <row r="1848">
      <c r="A1848" s="2" t="n">
        <v>2863498</v>
      </c>
      <c r="B1848" s="2" t="inlineStr">
        <is>
          <t>15</t>
        </is>
      </c>
      <c r="C1848" s="2" t="inlineStr">
        <is>
          <t>M</t>
        </is>
      </c>
      <c r="D1848" s="2" t="inlineStr">
        <is>
          <t>100.0</t>
        </is>
      </c>
      <c r="E1848" s="4">
        <f>HYPERLINK("./Results/DLO\616\Osteo_Sarco_1.png","RPT")</f>
        <v/>
      </c>
      <c r="F1848" s="2" t="n">
        <v>84</v>
      </c>
      <c r="G1848" s="6" t="n">
        <v>16</v>
      </c>
      <c r="I1848" s="0" t="n"/>
      <c r="J1848" s="0" t="n"/>
      <c r="K1848" s="0" t="n"/>
      <c r="L1848" t="inlineStr">
        <is>
          <t>Revolution CT</t>
        </is>
      </c>
      <c r="M1848" t="inlineStr">
        <is>
          <t>HVP ASIRV50% Axial 3mm(53kg/7...</t>
        </is>
      </c>
    </row>
    <row r="1849">
      <c r="A1849" s="2" t="n">
        <v>2607607</v>
      </c>
      <c r="B1849" s="2" t="inlineStr">
        <is>
          <t>75</t>
        </is>
      </c>
      <c r="C1849" s="2" t="inlineStr">
        <is>
          <t>F</t>
        </is>
      </c>
      <c r="D1849" s="2" t="inlineStr">
        <is>
          <t>100.0</t>
        </is>
      </c>
      <c r="E1849" s="4">
        <f>HYPERLINK("./Results/DLO\617\Osteo_Sarco_1.png","RPT")</f>
        <v/>
      </c>
      <c r="F1849" s="2" t="n">
        <v>80</v>
      </c>
      <c r="G1849" s="6" t="n">
        <v>16</v>
      </c>
      <c r="H1849" t="n">
        <v>25.54</v>
      </c>
      <c r="L1849" t="inlineStr">
        <is>
          <t>SOMATOM Definition...</t>
        </is>
      </c>
      <c r="M1849" t="inlineStr">
        <is>
          <t>NonCon Abd 3mm</t>
        </is>
      </c>
    </row>
    <row r="1850">
      <c r="A1850" s="2" t="n">
        <v>3625605</v>
      </c>
      <c r="B1850" s="2" t="inlineStr">
        <is>
          <t>49</t>
        </is>
      </c>
      <c r="C1850" s="2" t="inlineStr">
        <is>
          <t>M</t>
        </is>
      </c>
      <c r="D1850" s="2" t="inlineStr">
        <is>
          <t>120.0</t>
        </is>
      </c>
      <c r="E1850" s="4">
        <f>HYPERLINK("./Results/DLO\618\Osteo_Sarco_1.png","RPT")</f>
        <v/>
      </c>
      <c r="F1850" s="2" t="n">
        <v>174</v>
      </c>
      <c r="G1850" s="6" t="n">
        <v>50</v>
      </c>
      <c r="I1850" s="0" t="n"/>
      <c r="J1850" s="0" t="n"/>
      <c r="K1850" s="0" t="n"/>
      <c r="L1850" t="inlineStr">
        <is>
          <t>Sensation 64</t>
        </is>
      </c>
      <c r="M1850" t="inlineStr">
        <is>
          <t>Pre 3mm(120kvp60mAs)</t>
        </is>
      </c>
    </row>
    <row r="1851">
      <c r="A1851" s="2" t="n">
        <v>1599729</v>
      </c>
      <c r="B1851" s="2" t="inlineStr">
        <is>
          <t>68</t>
        </is>
      </c>
      <c r="C1851" s="2" t="inlineStr">
        <is>
          <t>M</t>
        </is>
      </c>
      <c r="D1851" s="2" t="inlineStr">
        <is>
          <t>120.0</t>
        </is>
      </c>
      <c r="E1851" s="4">
        <f>HYPERLINK("./Results/DLO\619\Osteo_Sarco_1.png","RPT")</f>
        <v/>
      </c>
      <c r="F1851" s="2" t="n">
        <v>175</v>
      </c>
      <c r="G1851" s="6" t="n">
        <v>6</v>
      </c>
      <c r="H1851" t="n">
        <v>26.23</v>
      </c>
      <c r="L1851" t="inlineStr">
        <is>
          <t>LightSpeed VCT</t>
        </is>
      </c>
      <c r="M1851" t="inlineStr">
        <is>
          <t>HVP 55sec 3mm</t>
        </is>
      </c>
    </row>
    <row r="1852">
      <c r="A1852" s="2" t="n">
        <v>301907</v>
      </c>
      <c r="B1852" s="2" t="inlineStr">
        <is>
          <t>68</t>
        </is>
      </c>
      <c r="C1852" s="2" t="inlineStr">
        <is>
          <t>F</t>
        </is>
      </c>
      <c r="D1852" s="2" t="inlineStr">
        <is>
          <t>100.0</t>
        </is>
      </c>
      <c r="E1852" s="4">
        <f>HYPERLINK("./Results/DLO\62\Osteo_Sarco_1.png","RPT")</f>
        <v/>
      </c>
      <c r="F1852" s="2" t="n">
        <v>101</v>
      </c>
      <c r="G1852" s="6" t="n">
        <v>14</v>
      </c>
      <c r="I1852" s="0" t="n"/>
      <c r="J1852" s="0" t="n"/>
      <c r="K1852" s="0" t="n"/>
      <c r="L1852" t="inlineStr">
        <is>
          <t>Revolution CT</t>
        </is>
      </c>
      <c r="M1852" t="inlineStr">
        <is>
          <t>LAP 3mm(53kg/106cc/3.0cc/sure)</t>
        </is>
      </c>
    </row>
    <row r="1853">
      <c r="A1853" s="2" t="n">
        <v>4502751</v>
      </c>
      <c r="B1853" s="2" t="inlineStr">
        <is>
          <t>76</t>
        </is>
      </c>
      <c r="C1853" s="2" t="inlineStr">
        <is>
          <t>M</t>
        </is>
      </c>
      <c r="D1853" s="2" t="inlineStr">
        <is>
          <t>100.0</t>
        </is>
      </c>
      <c r="E1853" s="4">
        <f>HYPERLINK("./Results/DLO\620\Osteo_Sarco_1.png","RPT")</f>
        <v/>
      </c>
      <c r="F1853" s="2" t="n">
        <v>135</v>
      </c>
      <c r="G1853" s="6" t="n">
        <v>9</v>
      </c>
      <c r="I1853" s="0" t="n"/>
      <c r="J1853" s="0" t="n"/>
      <c r="K1853" s="0" t="n"/>
      <c r="L1853" t="inlineStr">
        <is>
          <t>Revolution CT</t>
        </is>
      </c>
      <c r="M1853" t="inlineStr">
        <is>
          <t>Pre Axial 3mm</t>
        </is>
      </c>
    </row>
    <row r="1854">
      <c r="A1854" s="2" t="n">
        <v>2787031</v>
      </c>
      <c r="B1854" s="2" t="inlineStr">
        <is>
          <t>83</t>
        </is>
      </c>
      <c r="C1854" s="2" t="inlineStr">
        <is>
          <t>M</t>
        </is>
      </c>
      <c r="D1854" s="2" t="inlineStr">
        <is>
          <t>100.0</t>
        </is>
      </c>
      <c r="E1854" s="4">
        <f>HYPERLINK("./Results/DLO\621\Osteo_Sarco_1.png","RPT")</f>
        <v/>
      </c>
      <c r="F1854" s="2" t="n">
        <v>136</v>
      </c>
      <c r="G1854" s="6" t="n">
        <v>18</v>
      </c>
      <c r="H1854" t="n">
        <v>22.23</v>
      </c>
      <c r="L1854" t="inlineStr">
        <is>
          <t>Revolution CT</t>
        </is>
      </c>
      <c r="M1854" t="inlineStr">
        <is>
          <t>Pre Axial 3mm</t>
        </is>
      </c>
    </row>
    <row r="1855">
      <c r="A1855" s="2" t="n">
        <v>4763500</v>
      </c>
      <c r="B1855" s="2" t="inlineStr">
        <is>
          <t>81</t>
        </is>
      </c>
      <c r="C1855" s="2" t="inlineStr">
        <is>
          <t>M</t>
        </is>
      </c>
      <c r="D1855" s="2" t="inlineStr">
        <is>
          <t>100.0</t>
        </is>
      </c>
      <c r="E1855" s="4">
        <f>HYPERLINK("./Results/DLO\622\Osteo_Sarco_1.png","RPT")</f>
        <v/>
      </c>
      <c r="F1855" s="2" t="n">
        <v>108</v>
      </c>
      <c r="G1855" s="6" t="n">
        <v>6</v>
      </c>
      <c r="I1855" s="0" t="n"/>
      <c r="J1855" s="0" t="n"/>
      <c r="K1855" s="0" t="n"/>
      <c r="L1855" t="inlineStr">
        <is>
          <t>Revolution CT</t>
        </is>
      </c>
      <c r="M1855" t="inlineStr">
        <is>
          <t>Pre Abd 3mm pacs</t>
        </is>
      </c>
    </row>
    <row r="1856">
      <c r="A1856" s="2" t="n">
        <v>1878305</v>
      </c>
      <c r="B1856" s="2" t="inlineStr">
        <is>
          <t>75</t>
        </is>
      </c>
      <c r="C1856" s="2" t="inlineStr">
        <is>
          <t>M</t>
        </is>
      </c>
      <c r="D1856" s="2" t="inlineStr">
        <is>
          <t>100.0</t>
        </is>
      </c>
      <c r="E1856" s="4">
        <f>HYPERLINK("./Results/DLO\623\Osteo_Sarco_1.png","RPT")</f>
        <v/>
      </c>
      <c r="F1856" s="2" t="n">
        <v>133</v>
      </c>
      <c r="G1856" s="6" t="n">
        <v>6</v>
      </c>
      <c r="I1856" s="0" t="n"/>
      <c r="J1856" s="0" t="n"/>
      <c r="K1856" s="0" t="n"/>
      <c r="L1856" t="inlineStr">
        <is>
          <t>SOMATOM Definition...</t>
        </is>
      </c>
      <c r="M1856" t="inlineStr">
        <is>
          <t>HVP 2 3mm (65kg/130cc/3cc/bono)</t>
        </is>
      </c>
    </row>
    <row r="1857">
      <c r="A1857" s="2" t="n">
        <v>4925954</v>
      </c>
      <c r="B1857" s="2" t="inlineStr">
        <is>
          <t>55</t>
        </is>
      </c>
      <c r="C1857" s="2" t="inlineStr">
        <is>
          <t>F</t>
        </is>
      </c>
      <c r="D1857" s="2" t="inlineStr">
        <is>
          <t>100.0</t>
        </is>
      </c>
      <c r="E1857" s="4">
        <f>HYPERLINK("./Results/DLO\624\Osteo_Sarco_1.png","RPT")</f>
        <v/>
      </c>
      <c r="F1857" s="2" t="n">
        <v>127</v>
      </c>
      <c r="G1857" s="6" t="n">
        <v>21</v>
      </c>
      <c r="H1857" t="n">
        <v>25.36</v>
      </c>
      <c r="L1857" t="inlineStr">
        <is>
          <t>iCT 256</t>
        </is>
      </c>
      <c r="M1857" t="inlineStr">
        <is>
          <t>Pre3/3mm_I-3, iDose (3)</t>
        </is>
      </c>
    </row>
    <row r="1858">
      <c r="A1858" s="2" t="n">
        <v>3783684</v>
      </c>
      <c r="B1858" s="2" t="inlineStr">
        <is>
          <t>44</t>
        </is>
      </c>
      <c r="C1858" s="2" t="inlineStr">
        <is>
          <t>F</t>
        </is>
      </c>
      <c r="D1858" s="2" t="inlineStr">
        <is>
          <t>100.0</t>
        </is>
      </c>
      <c r="E1858" s="4">
        <f>HYPERLINK("./Results/DLO\625\Osteo_Sarco_1.png","RPT")</f>
        <v/>
      </c>
      <c r="F1858" s="2" t="n">
        <v>91</v>
      </c>
      <c r="G1858" s="6" t="n">
        <v>6</v>
      </c>
      <c r="I1858" s="0" t="n"/>
      <c r="J1858" s="0" t="n"/>
      <c r="K1858" s="0" t="n"/>
      <c r="L1858" t="inlineStr">
        <is>
          <t>Revolution CT</t>
        </is>
      </c>
      <c r="M1858" t="inlineStr">
        <is>
          <t>HVP 3mm-pacs(46kg/92cc/2.5cc/....</t>
        </is>
      </c>
    </row>
    <row r="1859">
      <c r="A1859" s="2" t="n">
        <v>2092089</v>
      </c>
      <c r="B1859" s="2" t="inlineStr">
        <is>
          <t>84</t>
        </is>
      </c>
      <c r="C1859" s="2" t="inlineStr">
        <is>
          <t>M</t>
        </is>
      </c>
      <c r="D1859" s="2" t="inlineStr">
        <is>
          <t>100.0</t>
        </is>
      </c>
      <c r="E1859" s="4">
        <f>HYPERLINK("./Results/DLO\626\Osteo_Sarco_1.png","RPT")</f>
        <v/>
      </c>
      <c r="F1859" s="2" t="n">
        <v>119</v>
      </c>
      <c r="G1859" s="6" t="n">
        <v>12</v>
      </c>
      <c r="I1859" s="0" t="n"/>
      <c r="J1859" s="0" t="n"/>
      <c r="K1859" s="0" t="n"/>
      <c r="L1859" t="inlineStr">
        <is>
          <t>Revolution EVO</t>
        </is>
      </c>
      <c r="M1859" t="inlineStr">
        <is>
          <t>AX 3mm</t>
        </is>
      </c>
    </row>
    <row r="1860">
      <c r="A1860" s="2" t="n">
        <v>4626164</v>
      </c>
      <c r="B1860" s="2" t="inlineStr">
        <is>
          <t>62</t>
        </is>
      </c>
      <c r="C1860" s="2" t="inlineStr">
        <is>
          <t>F</t>
        </is>
      </c>
      <c r="D1860" s="2" t="inlineStr">
        <is>
          <t>100.0</t>
        </is>
      </c>
      <c r="E1860" s="4">
        <f>HYPERLINK("./Results/DLO\627\Osteo_Sarco_1.png","RPT")</f>
        <v/>
      </c>
      <c r="F1860" s="2" t="n">
        <v>115</v>
      </c>
      <c r="G1860" s="6" t="n">
        <v>17</v>
      </c>
      <c r="I1860" s="0" t="n"/>
      <c r="J1860" s="0" t="n"/>
      <c r="K1860" s="0" t="n"/>
      <c r="L1860" t="inlineStr">
        <is>
          <t>LightSpeed VCT</t>
        </is>
      </c>
      <c r="M1860" t="inlineStr">
        <is>
          <t>PRE 3mm</t>
        </is>
      </c>
    </row>
    <row r="1861">
      <c r="A1861" s="2" t="n">
        <v>3196375</v>
      </c>
      <c r="B1861" s="2" t="inlineStr">
        <is>
          <t>54</t>
        </is>
      </c>
      <c r="C1861" s="2" t="inlineStr">
        <is>
          <t>M</t>
        </is>
      </c>
      <c r="D1861" s="2" t="inlineStr">
        <is>
          <t>120.0</t>
        </is>
      </c>
      <c r="E1861" s="4">
        <f>HYPERLINK("./Results/DLO\628\Osteo_Sarco_1.png","RPT")</f>
        <v/>
      </c>
      <c r="F1861" s="2" t="n">
        <v>150</v>
      </c>
      <c r="G1861" s="6" t="n">
        <v>11</v>
      </c>
      <c r="H1861" t="n">
        <v>28.2</v>
      </c>
      <c r="L1861" t="inlineStr">
        <is>
          <t>Brilliance 64</t>
        </is>
      </c>
      <c r="M1861" t="inlineStr">
        <is>
          <t>Pre AXI, iDose (1)</t>
        </is>
      </c>
    </row>
    <row r="1862">
      <c r="A1862" s="2" t="n">
        <v>3445796</v>
      </c>
      <c r="B1862" s="2" t="inlineStr">
        <is>
          <t>50</t>
        </is>
      </c>
      <c r="C1862" s="2" t="inlineStr">
        <is>
          <t>F</t>
        </is>
      </c>
      <c r="D1862" s="2" t="inlineStr">
        <is>
          <t>100.0</t>
        </is>
      </c>
      <c r="E1862" s="4">
        <f>HYPERLINK("./Results/DLO\629\Osteo_Sarco_1.png","RPT")</f>
        <v/>
      </c>
      <c r="F1862" s="2" t="n">
        <v>117</v>
      </c>
      <c r="G1862" s="6" t="n">
        <v>8</v>
      </c>
      <c r="I1862" s="0" t="n"/>
      <c r="J1862" s="0" t="n"/>
      <c r="K1862" s="0" t="n"/>
      <c r="L1862" t="inlineStr">
        <is>
          <t>LightSpeed VCT</t>
        </is>
      </c>
      <c r="M1862" t="inlineStr">
        <is>
          <t>PRE 2,5mm</t>
        </is>
      </c>
    </row>
    <row r="1863">
      <c r="A1863" s="2" t="n">
        <v>2306656</v>
      </c>
      <c r="B1863" s="2" t="inlineStr">
        <is>
          <t>74</t>
        </is>
      </c>
      <c r="C1863" s="2" t="inlineStr">
        <is>
          <t>M</t>
        </is>
      </c>
      <c r="D1863" s="2" t="inlineStr">
        <is>
          <t>100.0</t>
        </is>
      </c>
      <c r="E1863" s="4">
        <f>HYPERLINK("./Results/DLO\63\Osteo_Sarco_1.png","RPT")</f>
        <v/>
      </c>
      <c r="F1863" s="2" t="n">
        <v>183</v>
      </c>
      <c r="G1863" s="6" t="n">
        <v>10</v>
      </c>
      <c r="H1863" t="n">
        <v>23.41</v>
      </c>
      <c r="L1863" t="inlineStr">
        <is>
          <t>SOMATOM Definition...</t>
        </is>
      </c>
      <c r="M1863" t="inlineStr">
        <is>
          <t>LAP 3mm(72kg/144cc/3cc/o.hexo)</t>
        </is>
      </c>
    </row>
    <row r="1864">
      <c r="A1864" s="2" t="n">
        <v>4648422</v>
      </c>
      <c r="B1864" s="2" t="inlineStr">
        <is>
          <t>62</t>
        </is>
      </c>
      <c r="C1864" s="2" t="inlineStr">
        <is>
          <t>F</t>
        </is>
      </c>
      <c r="D1864" s="2" t="inlineStr">
        <is>
          <t>100.0</t>
        </is>
      </c>
      <c r="E1864" s="4">
        <f>HYPERLINK("./Results/DLO\630\Osteo_Sarco_1.png","RPT")</f>
        <v/>
      </c>
      <c r="F1864" s="2" t="n">
        <v>100</v>
      </c>
      <c r="G1864" s="6" t="n">
        <v>8</v>
      </c>
      <c r="I1864" s="0" t="n"/>
      <c r="J1864" s="0" t="n"/>
      <c r="K1864" s="0" t="n"/>
      <c r="L1864" t="inlineStr">
        <is>
          <t>SOMATOM Definition...</t>
        </is>
      </c>
      <c r="M1864" t="inlineStr">
        <is>
          <t>Abdomen pre 5.0 I40f 2</t>
        </is>
      </c>
    </row>
    <row r="1865">
      <c r="A1865" s="2" t="n">
        <v>2625712</v>
      </c>
      <c r="B1865" s="2" t="inlineStr">
        <is>
          <t>55</t>
        </is>
      </c>
      <c r="C1865" s="2" t="inlineStr">
        <is>
          <t>F</t>
        </is>
      </c>
      <c r="D1865" s="2" t="inlineStr">
        <is>
          <t>100.0</t>
        </is>
      </c>
      <c r="E1865" s="4">
        <f>HYPERLINK("./Results/DLO\631\Osteo_Sarco_1.png","RPT")</f>
        <v/>
      </c>
      <c r="F1865" s="2" t="n">
        <v>139</v>
      </c>
      <c r="G1865" s="6" t="n">
        <v>11</v>
      </c>
      <c r="I1865" s="0" t="n"/>
      <c r="J1865" s="0" t="n"/>
      <c r="K1865" s="0" t="n"/>
      <c r="L1865" t="inlineStr">
        <is>
          <t>SOMATOM Definition...</t>
        </is>
      </c>
      <c r="M1865" t="inlineStr">
        <is>
          <t>Pre(CP~pubic) 3mm</t>
        </is>
      </c>
    </row>
    <row r="1866">
      <c r="A1866" s="2" t="n">
        <v>2072297</v>
      </c>
      <c r="B1866" s="2" t="inlineStr">
        <is>
          <t>73</t>
        </is>
      </c>
      <c r="C1866" s="2" t="inlineStr">
        <is>
          <t>M</t>
        </is>
      </c>
      <c r="D1866" s="2" t="inlineStr">
        <is>
          <t>100.0</t>
        </is>
      </c>
      <c r="E1866" s="4">
        <f>HYPERLINK("./Results/DLO\632\Osteo_Sarco_1.png","RPT")</f>
        <v/>
      </c>
      <c r="F1866" s="2" t="n">
        <v>140</v>
      </c>
      <c r="G1866" s="6" t="n">
        <v>19</v>
      </c>
      <c r="H1866" t="n">
        <v>24.35</v>
      </c>
      <c r="L1866" t="inlineStr">
        <is>
          <t>Discovery CT750 HD</t>
        </is>
      </c>
      <c r="M1866" t="inlineStr">
        <is>
          <t>pre 3mm</t>
        </is>
      </c>
    </row>
    <row r="1867">
      <c r="A1867" s="2" t="n">
        <v>2460569</v>
      </c>
      <c r="B1867" s="2" t="inlineStr">
        <is>
          <t>80</t>
        </is>
      </c>
      <c r="C1867" s="2" t="inlineStr">
        <is>
          <t>M</t>
        </is>
      </c>
      <c r="D1867" s="2" t="inlineStr">
        <is>
          <t>100.0</t>
        </is>
      </c>
      <c r="E1867" s="4">
        <f>HYPERLINK("./Results/DLO\633\Osteo_Sarco_1.png","RPT")</f>
        <v/>
      </c>
      <c r="F1867" s="2" t="n">
        <v>151</v>
      </c>
      <c r="G1867" s="6" t="n">
        <v>11</v>
      </c>
      <c r="I1867" s="0" t="n"/>
      <c r="J1867" s="0" t="n"/>
      <c r="K1867" s="0" t="n"/>
      <c r="L1867" t="inlineStr">
        <is>
          <t>SOMATOM Force</t>
        </is>
      </c>
      <c r="M1867" t="inlineStr">
        <is>
          <t>HVP 3.0 Br40 2 (67kg/134cc...</t>
        </is>
      </c>
    </row>
    <row r="1868">
      <c r="A1868" s="2" t="n">
        <v>2446688</v>
      </c>
      <c r="B1868" s="2" t="inlineStr">
        <is>
          <t>51</t>
        </is>
      </c>
      <c r="C1868" s="2" t="inlineStr">
        <is>
          <t>M</t>
        </is>
      </c>
      <c r="D1868" s="2" t="inlineStr">
        <is>
          <t>100.0</t>
        </is>
      </c>
      <c r="E1868" s="4">
        <f>HYPERLINK("./Results/DLO\634\Osteo_Sarco_1.png","RPT")</f>
        <v/>
      </c>
      <c r="F1868" s="2" t="n">
        <v>172</v>
      </c>
      <c r="G1868" s="6" t="n">
        <v>20</v>
      </c>
      <c r="H1868" t="n">
        <v>29.25</v>
      </c>
      <c r="L1868" t="inlineStr">
        <is>
          <t>SOMATOM Force</t>
        </is>
      </c>
      <c r="M1868" t="inlineStr">
        <is>
          <t>Pre 3.0 Br40</t>
        </is>
      </c>
    </row>
    <row r="1869">
      <c r="A1869" s="2" t="n">
        <v>2087409</v>
      </c>
      <c r="B1869" s="2" t="inlineStr">
        <is>
          <t>71</t>
        </is>
      </c>
      <c r="C1869" s="2" t="inlineStr">
        <is>
          <t>F</t>
        </is>
      </c>
      <c r="D1869" s="2" t="inlineStr">
        <is>
          <t>100.0</t>
        </is>
      </c>
      <c r="E1869" s="4">
        <f>HYPERLINK("./Results/DLO\635\Osteo_Sarco_1.png","RPT")</f>
        <v/>
      </c>
      <c r="F1869" s="2" t="n">
        <v>74</v>
      </c>
      <c r="G1869" s="6" t="n">
        <v>8</v>
      </c>
      <c r="H1869" t="n">
        <v>20.08</v>
      </c>
      <c r="L1869" t="inlineStr">
        <is>
          <t>Revolution CT</t>
        </is>
      </c>
      <c r="M1869" t="inlineStr">
        <is>
          <t>Pre Axial 3mm</t>
        </is>
      </c>
    </row>
    <row r="1870">
      <c r="A1870" s="2" t="n">
        <v>4179957</v>
      </c>
      <c r="B1870" s="2" t="inlineStr">
        <is>
          <t>63</t>
        </is>
      </c>
      <c r="C1870" s="2" t="inlineStr">
        <is>
          <t>M</t>
        </is>
      </c>
      <c r="D1870" s="2" t="inlineStr">
        <is>
          <t>100.0</t>
        </is>
      </c>
      <c r="E1870" s="4">
        <f>HYPERLINK("./Results/DLO\636\Osteo_Sarco_1.png","RPT")</f>
        <v/>
      </c>
      <c r="F1870" s="2" t="n">
        <v>164</v>
      </c>
      <c r="G1870" s="6" t="n">
        <v>11</v>
      </c>
      <c r="H1870" t="n">
        <v>28.58</v>
      </c>
      <c r="L1870" t="inlineStr">
        <is>
          <t>SOMATOM Force</t>
        </is>
      </c>
      <c r="M1870" t="inlineStr">
        <is>
          <t>GU Pre 5.0 Br32 1</t>
        </is>
      </c>
    </row>
    <row r="1871">
      <c r="A1871" s="2" t="n">
        <v>2876691</v>
      </c>
      <c r="B1871" s="2" t="inlineStr">
        <is>
          <t>60</t>
        </is>
      </c>
      <c r="C1871" s="2" t="inlineStr">
        <is>
          <t>F</t>
        </is>
      </c>
      <c r="D1871" s="2" t="inlineStr">
        <is>
          <t>100.0</t>
        </is>
      </c>
      <c r="E1871" s="4">
        <f>HYPERLINK("./Results/DLO\637\Osteo_Sarco_1.png","RPT")</f>
        <v/>
      </c>
      <c r="F1871" s="2" t="n">
        <v>117</v>
      </c>
      <c r="G1871" s="6" t="n">
        <v>11</v>
      </c>
      <c r="H1871" t="n">
        <v>20.48</v>
      </c>
      <c r="L1871" t="inlineStr">
        <is>
          <t>SOMATOM Definition...</t>
        </is>
      </c>
      <c r="M1871" t="inlineStr">
        <is>
          <t>HVP 2 3mm (48kg/96cc/2.5cc/...</t>
        </is>
      </c>
    </row>
    <row r="1872">
      <c r="A1872" s="2" t="n">
        <v>4511002</v>
      </c>
      <c r="B1872" s="2" t="inlineStr">
        <is>
          <t>57</t>
        </is>
      </c>
      <c r="C1872" s="2" t="inlineStr">
        <is>
          <t>M</t>
        </is>
      </c>
      <c r="D1872" s="2" t="inlineStr">
        <is>
          <t>100.0</t>
        </is>
      </c>
      <c r="E1872" s="4">
        <f>HYPERLINK("./Results/DLO\638\Osteo_Sarco_1.png","RPT")</f>
        <v/>
      </c>
      <c r="F1872" s="2" t="n">
        <v>192</v>
      </c>
      <c r="G1872" s="6" t="n">
        <v>11</v>
      </c>
      <c r="H1872" t="n">
        <v>22.68</v>
      </c>
      <c r="L1872" t="inlineStr">
        <is>
          <t>iCT 256</t>
        </is>
      </c>
      <c r="M1872" t="inlineStr">
        <is>
          <t>HVP 3/3mm, iDose (3)</t>
        </is>
      </c>
    </row>
    <row r="1873">
      <c r="A1873" s="2" t="n">
        <v>1595693</v>
      </c>
      <c r="B1873" s="2" t="inlineStr">
        <is>
          <t>64</t>
        </is>
      </c>
      <c r="C1873" s="2" t="inlineStr">
        <is>
          <t>M</t>
        </is>
      </c>
      <c r="D1873" s="2" t="inlineStr">
        <is>
          <t>100.0</t>
        </is>
      </c>
      <c r="E1873" s="4">
        <f>HYPERLINK("./Results/DLO\639\Osteo_Sarco_1.png","RPT")</f>
        <v/>
      </c>
      <c r="F1873" s="2" t="n">
        <v>145</v>
      </c>
      <c r="G1873" s="6" t="n">
        <v>5</v>
      </c>
      <c r="I1873" s="0" t="n"/>
      <c r="J1873" s="0" t="n"/>
      <c r="K1873" s="0" t="n"/>
      <c r="L1873" t="inlineStr">
        <is>
          <t>SOMATOM Force</t>
        </is>
      </c>
      <c r="M1873" t="inlineStr">
        <is>
          <t>HVP 3.0 Br40 2 (62kg/124cc...</t>
        </is>
      </c>
    </row>
    <row r="1874">
      <c r="A1874" s="2" t="n">
        <v>4368895</v>
      </c>
      <c r="B1874" s="2" t="inlineStr">
        <is>
          <t>65</t>
        </is>
      </c>
      <c r="C1874" s="2" t="inlineStr">
        <is>
          <t>M</t>
        </is>
      </c>
      <c r="D1874" s="2" t="inlineStr">
        <is>
          <t>100.0</t>
        </is>
      </c>
      <c r="E1874" s="4">
        <f>HYPERLINK("./Results/DLO\64\Osteo_Sarco_1.png","RPT")</f>
        <v/>
      </c>
      <c r="F1874" s="2" t="n">
        <v>128</v>
      </c>
      <c r="G1874" s="6" t="n">
        <v>23</v>
      </c>
      <c r="I1874" s="0" t="n"/>
      <c r="J1874" s="0" t="n"/>
      <c r="K1874" s="0" t="n"/>
      <c r="L1874" t="inlineStr">
        <is>
          <t>Revolution EVO</t>
        </is>
      </c>
      <c r="M1874" t="inlineStr">
        <is>
          <t>Abdomen Pre 2.5mm</t>
        </is>
      </c>
    </row>
    <row r="1875">
      <c r="A1875" s="2" t="n">
        <v>3750061</v>
      </c>
      <c r="B1875" s="2" t="inlineStr">
        <is>
          <t>47</t>
        </is>
      </c>
      <c r="C1875" s="2" t="inlineStr">
        <is>
          <t>F</t>
        </is>
      </c>
      <c r="D1875" s="2" t="inlineStr">
        <is>
          <t>100.0</t>
        </is>
      </c>
      <c r="E1875" s="4">
        <f>HYPERLINK("./Results/DLO\640\Osteo_Sarco_1.png","RPT")</f>
        <v/>
      </c>
      <c r="F1875" s="2" t="n">
        <v>109</v>
      </c>
      <c r="G1875" s="6" t="n">
        <v>3</v>
      </c>
      <c r="I1875" s="0" t="n"/>
      <c r="J1875" s="0" t="n"/>
      <c r="K1875" s="0" t="n"/>
      <c r="L1875" t="inlineStr">
        <is>
          <t>SOMATOM Definition...</t>
        </is>
      </c>
      <c r="M1875" t="inlineStr">
        <is>
          <t>HVP 2 3mm (56kg/112cc/2.7cc...</t>
        </is>
      </c>
    </row>
    <row r="1876">
      <c r="A1876" s="2" t="n">
        <v>2750562</v>
      </c>
      <c r="B1876" s="2" t="inlineStr">
        <is>
          <t>66</t>
        </is>
      </c>
      <c r="C1876" s="2" t="inlineStr">
        <is>
          <t>F</t>
        </is>
      </c>
      <c r="D1876" s="2" t="inlineStr">
        <is>
          <t>100.0</t>
        </is>
      </c>
      <c r="E1876" s="4">
        <f>HYPERLINK("./Results/DLO\641\Osteo_Sarco_1.png","RPT")</f>
        <v/>
      </c>
      <c r="F1876" s="2" t="n">
        <v>95</v>
      </c>
      <c r="G1876" s="6" t="n">
        <v>16</v>
      </c>
      <c r="I1876" s="0" t="n"/>
      <c r="J1876" s="0" t="n"/>
      <c r="K1876" s="0" t="n"/>
      <c r="L1876" t="inlineStr">
        <is>
          <t>SOMATOM Definition...</t>
        </is>
      </c>
      <c r="M1876" t="inlineStr">
        <is>
          <t>Pre(cp~pubic ) 3.0 B30f</t>
        </is>
      </c>
    </row>
    <row r="1877">
      <c r="A1877" s="2" t="n">
        <v>2512765</v>
      </c>
      <c r="B1877" s="2" t="inlineStr">
        <is>
          <t>74</t>
        </is>
      </c>
      <c r="C1877" s="2" t="inlineStr">
        <is>
          <t>M</t>
        </is>
      </c>
      <c r="D1877" s="2" t="inlineStr">
        <is>
          <t>100.0</t>
        </is>
      </c>
      <c r="E1877" s="4">
        <f>HYPERLINK("./Results/DLO\642\Osteo_Sarco_1.png","RPT")</f>
        <v/>
      </c>
      <c r="F1877" s="2" t="n">
        <v>140</v>
      </c>
      <c r="G1877" s="6" t="n">
        <v>11</v>
      </c>
      <c r="I1877" s="0" t="n"/>
      <c r="J1877" s="0" t="n"/>
      <c r="K1877" s="0" t="n"/>
      <c r="L1877" t="inlineStr">
        <is>
          <t>Revolution CT</t>
        </is>
      </c>
      <c r="M1877" t="inlineStr">
        <is>
          <t>HVP 3mm(73kg/146cc/3.5cc/hexol)</t>
        </is>
      </c>
    </row>
    <row r="1878">
      <c r="A1878" s="2" t="n">
        <v>4323195</v>
      </c>
      <c r="B1878" s="2" t="inlineStr">
        <is>
          <t>63</t>
        </is>
      </c>
      <c r="C1878" s="2" t="inlineStr">
        <is>
          <t>M</t>
        </is>
      </c>
      <c r="D1878" s="2" t="inlineStr">
        <is>
          <t>100.0</t>
        </is>
      </c>
      <c r="E1878" s="4">
        <f>HYPERLINK("./Results/DLO\643\Osteo_Sarco_1.png","RPT")</f>
        <v/>
      </c>
      <c r="F1878" s="2" t="n">
        <v>220</v>
      </c>
      <c r="G1878" s="6" t="n">
        <v>7</v>
      </c>
      <c r="I1878" s="0" t="n"/>
      <c r="J1878" s="0" t="n"/>
      <c r="K1878" s="0" t="n"/>
      <c r="L1878" t="inlineStr">
        <is>
          <t>Revolution CT</t>
        </is>
      </c>
      <c r="M1878" t="inlineStr">
        <is>
          <t>HVP 3mm-pacs(95kg/150cc/3cc/r...</t>
        </is>
      </c>
    </row>
    <row r="1879">
      <c r="A1879" s="2" t="n">
        <v>3185548</v>
      </c>
      <c r="B1879" s="2" t="inlineStr">
        <is>
          <t>59</t>
        </is>
      </c>
      <c r="C1879" s="2" t="inlineStr">
        <is>
          <t>F</t>
        </is>
      </c>
      <c r="D1879" s="2" t="inlineStr">
        <is>
          <t>120.0</t>
        </is>
      </c>
      <c r="E1879" s="4">
        <f>HYPERLINK("./Results/DLO\644\Osteo_Sarco_1.png","RPT")</f>
        <v/>
      </c>
      <c r="F1879" s="2" t="n">
        <v>109</v>
      </c>
      <c r="G1879" s="6" t="n">
        <v>13</v>
      </c>
      <c r="I1879" s="0" t="n"/>
      <c r="J1879" s="0" t="n"/>
      <c r="K1879" s="0" t="n"/>
      <c r="L1879" t="inlineStr">
        <is>
          <t>LightSpeed VCT</t>
        </is>
      </c>
      <c r="M1879" t="inlineStr">
        <is>
          <t>HVP 55sec 3mm</t>
        </is>
      </c>
    </row>
    <row r="1880">
      <c r="A1880" s="2" t="n">
        <v>3238284</v>
      </c>
      <c r="B1880" s="2" t="inlineStr">
        <is>
          <t>59</t>
        </is>
      </c>
      <c r="C1880" s="2" t="inlineStr">
        <is>
          <t>F</t>
        </is>
      </c>
      <c r="D1880" s="2" t="inlineStr">
        <is>
          <t>120.0</t>
        </is>
      </c>
      <c r="E1880" s="4">
        <f>HYPERLINK("./Results/DLO\645\Osteo_Sarco_1.png","RPT")</f>
        <v/>
      </c>
      <c r="F1880" s="2" t="n">
        <v>107</v>
      </c>
      <c r="G1880" s="6" t="n">
        <v>4</v>
      </c>
      <c r="I1880" s="0" t="n"/>
      <c r="J1880" s="0" t="n"/>
      <c r="K1880" s="0" t="n"/>
      <c r="L1880" t="inlineStr">
        <is>
          <t>Discovery CT750 HD</t>
        </is>
      </c>
      <c r="M1880" t="inlineStr">
        <is>
          <t>HVP 3mm</t>
        </is>
      </c>
    </row>
    <row r="1881">
      <c r="A1881" s="2" t="n">
        <v>3170727</v>
      </c>
      <c r="B1881" s="2" t="inlineStr">
        <is>
          <t>62</t>
        </is>
      </c>
      <c r="C1881" s="2" t="inlineStr">
        <is>
          <t>F</t>
        </is>
      </c>
      <c r="D1881" s="2" t="inlineStr">
        <is>
          <t>100.0</t>
        </is>
      </c>
      <c r="E1881" s="4">
        <f>HYPERLINK("./Results/DLO\646\Osteo_Sarco_1.png","RPT")</f>
        <v/>
      </c>
      <c r="F1881" s="2" t="n">
        <v>107</v>
      </c>
      <c r="G1881" s="6" t="n">
        <v>19</v>
      </c>
      <c r="H1881" t="n">
        <v>27.91</v>
      </c>
      <c r="L1881" t="inlineStr">
        <is>
          <t>iCT 256</t>
        </is>
      </c>
      <c r="M1881" t="inlineStr">
        <is>
          <t>Pre3/3mm_I-3, iDose (3)</t>
        </is>
      </c>
    </row>
    <row r="1882">
      <c r="A1882" s="2" t="n">
        <v>2362970</v>
      </c>
      <c r="B1882" s="2" t="inlineStr">
        <is>
          <t>83</t>
        </is>
      </c>
      <c r="C1882" s="2" t="inlineStr">
        <is>
          <t>M</t>
        </is>
      </c>
      <c r="D1882" s="2" t="inlineStr">
        <is>
          <t>110.0</t>
        </is>
      </c>
      <c r="E1882" s="4">
        <f>HYPERLINK("./Results/DLO\647\Osteo_Sarco_1.png","RPT")</f>
        <v/>
      </c>
      <c r="F1882" s="2" t="n">
        <v>94</v>
      </c>
      <c r="G1882" s="6" t="n">
        <v>14</v>
      </c>
      <c r="H1882" t="n">
        <v>20.9</v>
      </c>
      <c r="L1882" t="inlineStr">
        <is>
          <t>SOMATOM Force</t>
        </is>
      </c>
      <c r="M1882" t="inlineStr">
        <is>
          <t>Pre 3.0 Br40 2</t>
        </is>
      </c>
    </row>
    <row r="1883">
      <c r="A1883" s="2" t="n">
        <v>1752425</v>
      </c>
      <c r="B1883" s="2" t="inlineStr">
        <is>
          <t>41</t>
        </is>
      </c>
      <c r="C1883" s="2" t="inlineStr">
        <is>
          <t>F</t>
        </is>
      </c>
      <c r="D1883" s="2" t="inlineStr">
        <is>
          <t>100.0</t>
        </is>
      </c>
      <c r="E1883" s="4">
        <f>HYPERLINK("./Results/DLO\648\Osteo_Sarco_1.png","RPT")</f>
        <v/>
      </c>
      <c r="F1883" s="2" t="n">
        <v>103</v>
      </c>
      <c r="G1883" s="6" t="n">
        <v>8</v>
      </c>
      <c r="I1883" s="0" t="n"/>
      <c r="J1883" s="0" t="n"/>
      <c r="K1883" s="0" t="n"/>
      <c r="L1883" t="inlineStr">
        <is>
          <t>LightSpeed VCT</t>
        </is>
      </c>
      <c r="M1883" t="inlineStr">
        <is>
          <t>PRE 3mm</t>
        </is>
      </c>
    </row>
    <row r="1884">
      <c r="A1884" s="2" t="n">
        <v>4704753</v>
      </c>
      <c r="B1884" s="2" t="inlineStr">
        <is>
          <t>44</t>
        </is>
      </c>
      <c r="C1884" s="2" t="inlineStr">
        <is>
          <t>F</t>
        </is>
      </c>
      <c r="D1884" s="2" t="inlineStr">
        <is>
          <t>100.0</t>
        </is>
      </c>
      <c r="E1884" s="4">
        <f>HYPERLINK("./Results/DLO\649\Osteo_Sarco_1.png","RPT")</f>
        <v/>
      </c>
      <c r="F1884" s="2" t="n">
        <v>106</v>
      </c>
      <c r="G1884" s="6" t="n">
        <v>7</v>
      </c>
      <c r="I1884" s="0" t="n"/>
      <c r="J1884" s="0" t="n"/>
      <c r="K1884" s="0" t="n"/>
      <c r="L1884" t="inlineStr">
        <is>
          <t>LightSpeed VCT</t>
        </is>
      </c>
      <c r="M1884" t="inlineStr">
        <is>
          <t>PRE 3mm</t>
        </is>
      </c>
    </row>
    <row r="1885">
      <c r="A1885" s="2" t="n">
        <v>3499881</v>
      </c>
      <c r="B1885" s="2" t="inlineStr">
        <is>
          <t>66</t>
        </is>
      </c>
      <c r="C1885" s="2" t="inlineStr">
        <is>
          <t>M</t>
        </is>
      </c>
      <c r="D1885" s="2" t="inlineStr">
        <is>
          <t>100.0</t>
        </is>
      </c>
      <c r="E1885" s="4">
        <f>HYPERLINK("./Results/DLO\65\Osteo_Sarco_1.png","RPT")</f>
        <v/>
      </c>
      <c r="F1885" s="2" t="n">
        <v>164</v>
      </c>
      <c r="G1885" s="6" t="n">
        <v>11</v>
      </c>
      <c r="I1885" s="0" t="n"/>
      <c r="J1885" s="0" t="n"/>
      <c r="K1885" s="0" t="n"/>
      <c r="L1885" t="inlineStr">
        <is>
          <t>iCT 256</t>
        </is>
      </c>
      <c r="M1885" t="inlineStr">
        <is>
          <t>Pre3/3mm_I-3, iDose (3)</t>
        </is>
      </c>
    </row>
    <row r="1886">
      <c r="A1886" s="2" t="n">
        <v>3867936</v>
      </c>
      <c r="B1886" s="2" t="inlineStr">
        <is>
          <t>65</t>
        </is>
      </c>
      <c r="C1886" s="2" t="inlineStr">
        <is>
          <t>M</t>
        </is>
      </c>
      <c r="D1886" s="2" t="inlineStr">
        <is>
          <t>100.0</t>
        </is>
      </c>
      <c r="E1886" s="4">
        <f>HYPERLINK("./Results/DLO\650\Osteo_Sarco_1.png","RPT")</f>
        <v/>
      </c>
      <c r="F1886" s="2" t="n">
        <v>113</v>
      </c>
      <c r="G1886" s="6" t="n">
        <v>8</v>
      </c>
      <c r="I1886" s="0" t="n"/>
      <c r="J1886" s="0" t="n"/>
      <c r="K1886" s="0" t="n"/>
      <c r="L1886" t="inlineStr">
        <is>
          <t>Sensation 64</t>
        </is>
      </c>
      <c r="M1886" t="inlineStr">
        <is>
          <t>Pre 3/3mm</t>
        </is>
      </c>
    </row>
    <row r="1887">
      <c r="A1887" s="2" t="n">
        <v>2163776</v>
      </c>
      <c r="B1887" s="2" t="inlineStr">
        <is>
          <t>51</t>
        </is>
      </c>
      <c r="C1887" s="2" t="inlineStr">
        <is>
          <t>F</t>
        </is>
      </c>
      <c r="D1887" s="2" t="inlineStr">
        <is>
          <t>100.0</t>
        </is>
      </c>
      <c r="E1887" s="4">
        <f>HYPERLINK("./Results/DLO\651\Osteo_Sarco_1.png","RPT")</f>
        <v/>
      </c>
      <c r="F1887" s="2" t="n">
        <v>72</v>
      </c>
      <c r="G1887" s="6" t="n">
        <v>11</v>
      </c>
      <c r="I1887" s="0" t="n"/>
      <c r="J1887" s="0" t="n"/>
      <c r="K1887" s="0" t="n"/>
      <c r="L1887" t="inlineStr">
        <is>
          <t>Revolution CT</t>
        </is>
      </c>
      <c r="M1887" t="inlineStr">
        <is>
          <t>LAP 3mm(49kg/98cc/2cc/hexol)</t>
        </is>
      </c>
    </row>
    <row r="1888">
      <c r="A1888" s="2" t="n">
        <v>2796835</v>
      </c>
      <c r="B1888" s="2" t="inlineStr">
        <is>
          <t>14</t>
        </is>
      </c>
      <c r="C1888" s="2" t="inlineStr">
        <is>
          <t>M</t>
        </is>
      </c>
      <c r="D1888" s="2" t="inlineStr">
        <is>
          <t>80.0</t>
        </is>
      </c>
      <c r="E1888" s="4">
        <f>HYPERLINK("./Results/DLO\652\Osteo_Sarco_1.png","RPT")</f>
        <v/>
      </c>
      <c r="F1888" s="2" t="n">
        <v>104</v>
      </c>
      <c r="G1888" s="6" t="n">
        <v>3</v>
      </c>
      <c r="I1888" s="0" t="n"/>
      <c r="J1888" s="0" t="n"/>
      <c r="K1888" s="0" t="n"/>
      <c r="L1888" t="inlineStr">
        <is>
          <t>Revolution EVO</t>
        </is>
      </c>
      <c r="M1888" t="inlineStr">
        <is>
          <t>PRE AX ASIR 50</t>
        </is>
      </c>
    </row>
    <row r="1889">
      <c r="A1889" s="2" t="n">
        <v>3915537</v>
      </c>
      <c r="B1889" s="2" t="inlineStr">
        <is>
          <t>69</t>
        </is>
      </c>
      <c r="C1889" s="2" t="inlineStr">
        <is>
          <t>M</t>
        </is>
      </c>
      <c r="D1889" s="2" t="inlineStr">
        <is>
          <t>100.0</t>
        </is>
      </c>
      <c r="E1889" s="4">
        <f>HYPERLINK("./Results/DLO\653\Osteo_Sarco_1.png","RPT")</f>
        <v/>
      </c>
      <c r="F1889" s="2" t="n">
        <v>167</v>
      </c>
      <c r="G1889" s="6" t="n">
        <v>17</v>
      </c>
      <c r="H1889" t="n">
        <v>31.49</v>
      </c>
      <c r="L1889" t="inlineStr">
        <is>
          <t>Revolution CT</t>
        </is>
      </c>
      <c r="M1889" t="inlineStr">
        <is>
          <t>GU Pre 3mm pacs</t>
        </is>
      </c>
    </row>
    <row r="1890">
      <c r="A1890" s="2" t="n">
        <v>4345751</v>
      </c>
      <c r="B1890" s="2" t="inlineStr">
        <is>
          <t>59</t>
        </is>
      </c>
      <c r="C1890" s="2" t="inlineStr">
        <is>
          <t>M</t>
        </is>
      </c>
      <c r="D1890" s="2" t="inlineStr">
        <is>
          <t>100.0</t>
        </is>
      </c>
      <c r="E1890" s="4">
        <f>HYPERLINK("./Results/DLO\654\Osteo_Sarco_1.png","RPT")</f>
        <v/>
      </c>
      <c r="F1890" s="2" t="n">
        <v>137</v>
      </c>
      <c r="G1890" s="6" t="n">
        <v>10</v>
      </c>
      <c r="I1890" s="0" t="n"/>
      <c r="J1890" s="0" t="n"/>
      <c r="K1890" s="0" t="n"/>
      <c r="L1890" t="inlineStr">
        <is>
          <t>SOMATOM Definition...</t>
        </is>
      </c>
      <c r="M1890" t="inlineStr">
        <is>
          <t>Pre 3mm</t>
        </is>
      </c>
    </row>
    <row r="1891">
      <c r="A1891" s="2" t="n">
        <v>4486636</v>
      </c>
      <c r="B1891" s="2" t="inlineStr">
        <is>
          <t>62</t>
        </is>
      </c>
      <c r="C1891" s="2" t="inlineStr">
        <is>
          <t>M</t>
        </is>
      </c>
      <c r="D1891" s="2" t="inlineStr">
        <is>
          <t>100.0</t>
        </is>
      </c>
      <c r="E1891" s="4">
        <f>HYPERLINK("./Results/DLO\656\Osteo_Sarco_1.png","RPT")</f>
        <v/>
      </c>
      <c r="F1891" s="2" t="n">
        <v>149</v>
      </c>
      <c r="G1891" s="6" t="n">
        <v>11</v>
      </c>
      <c r="I1891" s="0" t="n"/>
      <c r="J1891" s="0" t="n"/>
      <c r="K1891" s="0" t="n"/>
      <c r="L1891" t="inlineStr">
        <is>
          <t>SOMATOM Definition...</t>
        </is>
      </c>
      <c r="M1891" t="inlineStr">
        <is>
          <t>HVP 2 3mm(72kg/144cc/3cc/radi)</t>
        </is>
      </c>
    </row>
    <row r="1892">
      <c r="A1892" s="2" t="n">
        <v>1791884</v>
      </c>
      <c r="B1892" s="2" t="inlineStr">
        <is>
          <t>42</t>
        </is>
      </c>
      <c r="C1892" s="2" t="inlineStr">
        <is>
          <t>F</t>
        </is>
      </c>
      <c r="D1892" s="2" t="inlineStr">
        <is>
          <t>100.0</t>
        </is>
      </c>
      <c r="E1892" s="4">
        <f>HYPERLINK("./Results/DLO\657\Osteo_Sarco_1.png","RPT")</f>
        <v/>
      </c>
      <c r="F1892" s="2" t="n">
        <v>115</v>
      </c>
      <c r="G1892" s="6" t="n">
        <v>12</v>
      </c>
      <c r="I1892" s="0" t="n"/>
      <c r="J1892" s="0" t="n"/>
      <c r="K1892" s="0" t="n"/>
      <c r="L1892" t="inlineStr">
        <is>
          <t>Discovery CT750 HD</t>
        </is>
      </c>
      <c r="M1892" t="inlineStr">
        <is>
          <t>Pre 3mm</t>
        </is>
      </c>
    </row>
    <row r="1893">
      <c r="A1893" s="2" t="n">
        <v>2805765</v>
      </c>
      <c r="B1893" s="2" t="inlineStr">
        <is>
          <t>60</t>
        </is>
      </c>
      <c r="C1893" s="2" t="inlineStr">
        <is>
          <t>F</t>
        </is>
      </c>
      <c r="D1893" s="2" t="inlineStr">
        <is>
          <t>100.0</t>
        </is>
      </c>
      <c r="E1893" s="4">
        <f>HYPERLINK("./Results/DLO\658\Osteo_Sarco_1.png","RPT")</f>
        <v/>
      </c>
      <c r="F1893" s="2" t="n">
        <v>123</v>
      </c>
      <c r="G1893" s="6" t="n">
        <v>6</v>
      </c>
      <c r="I1893" s="0" t="n"/>
      <c r="J1893" s="0" t="n"/>
      <c r="K1893" s="0" t="n"/>
      <c r="L1893" t="inlineStr">
        <is>
          <t>iCT 256</t>
        </is>
      </c>
      <c r="M1893" t="inlineStr">
        <is>
          <t>LAP 3/3mm, iDose (3)</t>
        </is>
      </c>
    </row>
    <row r="1894">
      <c r="A1894" s="2" t="n">
        <v>2704033</v>
      </c>
      <c r="B1894" s="2" t="inlineStr">
        <is>
          <t>80</t>
        </is>
      </c>
      <c r="C1894" s="2" t="inlineStr">
        <is>
          <t>M</t>
        </is>
      </c>
      <c r="D1894" s="2" t="inlineStr">
        <is>
          <t>100.0</t>
        </is>
      </c>
      <c r="E1894" s="4">
        <f>HYPERLINK("./Results/DLO\659\Osteo_Sarco_1.png","RPT")</f>
        <v/>
      </c>
      <c r="F1894" s="2" t="n">
        <v>136</v>
      </c>
      <c r="G1894" s="6" t="n">
        <v>13</v>
      </c>
      <c r="I1894" s="0" t="n"/>
      <c r="J1894" s="0" t="n"/>
      <c r="K1894" s="0" t="n"/>
      <c r="L1894" t="inlineStr">
        <is>
          <t>Revolution EVO</t>
        </is>
      </c>
      <c r="M1894" t="inlineStr">
        <is>
          <t>Pre 2.5mm</t>
        </is>
      </c>
    </row>
    <row r="1895">
      <c r="A1895" s="2" t="n">
        <v>3590699</v>
      </c>
      <c r="B1895" s="2" t="inlineStr">
        <is>
          <t>67</t>
        </is>
      </c>
      <c r="C1895" s="2" t="inlineStr">
        <is>
          <t>M</t>
        </is>
      </c>
      <c r="D1895" s="2" t="inlineStr">
        <is>
          <t>100.0</t>
        </is>
      </c>
      <c r="E1895" s="4">
        <f>HYPERLINK("./Results/DLO\66\Osteo_Sarco_1.png","RPT")</f>
        <v/>
      </c>
      <c r="F1895" s="2" t="n">
        <v>115</v>
      </c>
      <c r="G1895" s="6" t="n">
        <v>7</v>
      </c>
      <c r="H1895" t="n">
        <v>20.8</v>
      </c>
      <c r="L1895" t="inlineStr">
        <is>
          <t>Revolution EVO</t>
        </is>
      </c>
      <c r="M1895" t="inlineStr">
        <is>
          <t>AX 3mm</t>
        </is>
      </c>
    </row>
    <row r="1896">
      <c r="A1896" s="2" t="n">
        <v>4545751</v>
      </c>
      <c r="B1896" s="2" t="inlineStr">
        <is>
          <t>70</t>
        </is>
      </c>
      <c r="C1896" s="2" t="inlineStr">
        <is>
          <t>F</t>
        </is>
      </c>
      <c r="D1896" s="2" t="inlineStr">
        <is>
          <t>100.0</t>
        </is>
      </c>
      <c r="E1896" s="4">
        <f>HYPERLINK("./Results/DLO\660\Osteo_Sarco_1.png","RPT")</f>
        <v/>
      </c>
      <c r="F1896" s="2" t="n">
        <v>79</v>
      </c>
      <c r="G1896" s="6" t="n">
        <v>14</v>
      </c>
      <c r="H1896" t="n">
        <v>24.59</v>
      </c>
      <c r="L1896" t="inlineStr">
        <is>
          <t>Sensation 64</t>
        </is>
      </c>
      <c r="M1896" t="inlineStr">
        <is>
          <t>HVP 3mm(52kg/104cc/2.5cc/xene)</t>
        </is>
      </c>
    </row>
    <row r="1897">
      <c r="A1897" s="2" t="n">
        <v>2078325</v>
      </c>
      <c r="B1897" s="2" t="inlineStr">
        <is>
          <t>77</t>
        </is>
      </c>
      <c r="C1897" s="2" t="inlineStr">
        <is>
          <t>M</t>
        </is>
      </c>
      <c r="D1897" s="2" t="inlineStr">
        <is>
          <t>100.0</t>
        </is>
      </c>
      <c r="E1897" s="4">
        <f>HYPERLINK("./Results/DLO\661\Osteo_Sarco_1.png","RPT")</f>
        <v/>
      </c>
      <c r="F1897" s="2" t="n">
        <v>125</v>
      </c>
      <c r="G1897" s="6" t="n">
        <v>9</v>
      </c>
      <c r="I1897" s="0" t="n"/>
      <c r="J1897" s="0" t="n"/>
      <c r="K1897" s="0" t="n"/>
      <c r="L1897" t="inlineStr">
        <is>
          <t>SOMATOM Force</t>
        </is>
      </c>
      <c r="M1897" t="inlineStr">
        <is>
          <t>Pre 3.0 Br40 1</t>
        </is>
      </c>
    </row>
    <row r="1898">
      <c r="A1898" s="2" t="n">
        <v>3138477</v>
      </c>
      <c r="B1898" s="2" t="inlineStr">
        <is>
          <t>68</t>
        </is>
      </c>
      <c r="C1898" s="2" t="inlineStr">
        <is>
          <t>M</t>
        </is>
      </c>
      <c r="D1898" s="2" t="inlineStr">
        <is>
          <t>100.0</t>
        </is>
      </c>
      <c r="E1898" s="4">
        <f>HYPERLINK("./Results/DLO\662\Osteo_Sarco_1.png","RPT")</f>
        <v/>
      </c>
      <c r="F1898" s="2" t="n">
        <v>165</v>
      </c>
      <c r="G1898" s="6" t="n">
        <v>11</v>
      </c>
      <c r="I1898" s="0" t="n"/>
      <c r="J1898" s="0" t="n"/>
      <c r="K1898" s="0" t="n"/>
      <c r="L1898" t="inlineStr">
        <is>
          <t>LightSpeed VCT</t>
        </is>
      </c>
      <c r="M1898" t="inlineStr">
        <is>
          <t>PRE 3mm</t>
        </is>
      </c>
    </row>
    <row r="1899">
      <c r="A1899" s="2" t="n">
        <v>2184844</v>
      </c>
      <c r="B1899" s="2" t="inlineStr">
        <is>
          <t>38</t>
        </is>
      </c>
      <c r="C1899" s="2" t="inlineStr">
        <is>
          <t>M</t>
        </is>
      </c>
      <c r="D1899" s="2" t="inlineStr">
        <is>
          <t>130.0</t>
        </is>
      </c>
      <c r="E1899" s="4">
        <f>HYPERLINK("./Results/DLO\663\Osteo_Sarco_1.png","RPT")</f>
        <v/>
      </c>
      <c r="F1899" s="2" t="n">
        <v>172</v>
      </c>
      <c r="G1899" s="6" t="n">
        <v>12</v>
      </c>
      <c r="I1899" s="0" t="n"/>
      <c r="J1899" s="0" t="n"/>
      <c r="K1899" s="0" t="n"/>
      <c r="L1899" t="inlineStr">
        <is>
          <t>SOMATOM Perspective</t>
        </is>
      </c>
      <c r="M1899" t="inlineStr">
        <is>
          <t>Abdomen pre 5.0 140s</t>
        </is>
      </c>
    </row>
    <row r="1900">
      <c r="A1900" s="2" t="n">
        <v>2225655</v>
      </c>
      <c r="B1900" s="2" t="inlineStr">
        <is>
          <t>50</t>
        </is>
      </c>
      <c r="C1900" s="2" t="inlineStr">
        <is>
          <t>F</t>
        </is>
      </c>
      <c r="D1900" s="2" t="inlineStr">
        <is>
          <t>120.0</t>
        </is>
      </c>
      <c r="E1900" s="4">
        <f>HYPERLINK("./Results/DLO\664\Osteo_Sarco_1.png","RPT")</f>
        <v/>
      </c>
      <c r="F1900" s="2" t="n">
        <v>112</v>
      </c>
      <c r="G1900" s="6" t="n">
        <v>5</v>
      </c>
      <c r="H1900" t="n">
        <v>25.23</v>
      </c>
      <c r="L1900" t="inlineStr">
        <is>
          <t>LightSpeed VCT</t>
        </is>
      </c>
      <c r="M1900" t="inlineStr">
        <is>
          <t>HVP 55sec 3mm</t>
        </is>
      </c>
    </row>
    <row r="1901">
      <c r="A1901" s="2" t="n">
        <v>3832991</v>
      </c>
      <c r="B1901" s="2" t="inlineStr">
        <is>
          <t>58</t>
        </is>
      </c>
      <c r="C1901" s="2" t="inlineStr">
        <is>
          <t>F</t>
        </is>
      </c>
      <c r="D1901" s="2" t="inlineStr">
        <is>
          <t>100.0</t>
        </is>
      </c>
      <c r="E1901" s="4">
        <f>HYPERLINK("./Results/DLO\665\Osteo_Sarco_1.png","RPT")</f>
        <v/>
      </c>
      <c r="F1901" s="2" t="n">
        <v>88</v>
      </c>
      <c r="G1901" s="6" t="n">
        <v>12</v>
      </c>
      <c r="I1901" s="0" t="n"/>
      <c r="J1901" s="0" t="n"/>
      <c r="K1901" s="0" t="n"/>
      <c r="L1901" t="inlineStr">
        <is>
          <t>Revolution CT</t>
        </is>
      </c>
      <c r="M1901" t="inlineStr">
        <is>
          <t>HVP 3mm-pacs(52kg/104cc/hexol)</t>
        </is>
      </c>
    </row>
    <row r="1902">
      <c r="A1902" s="2" t="n">
        <v>2754759</v>
      </c>
      <c r="B1902" s="2" t="inlineStr">
        <is>
          <t>65</t>
        </is>
      </c>
      <c r="C1902" s="2" t="inlineStr">
        <is>
          <t>F</t>
        </is>
      </c>
      <c r="D1902" s="2" t="inlineStr">
        <is>
          <t>120.0</t>
        </is>
      </c>
      <c r="E1902" s="4">
        <f>HYPERLINK("./Results/DLO\666\Osteo_Sarco_1.png","RPT")</f>
        <v/>
      </c>
      <c r="F1902" s="2" t="n">
        <v>98</v>
      </c>
      <c r="G1902" s="6" t="n">
        <v>8</v>
      </c>
      <c r="H1902" t="n">
        <v>23.74</v>
      </c>
      <c r="L1902" t="inlineStr">
        <is>
          <t>LightSpeed VCT</t>
        </is>
      </c>
      <c r="M1902" t="inlineStr">
        <is>
          <t>HVP 3mm</t>
        </is>
      </c>
    </row>
    <row r="1903">
      <c r="A1903" s="2" t="n">
        <v>3828134</v>
      </c>
      <c r="B1903" s="2" t="inlineStr">
        <is>
          <t>70</t>
        </is>
      </c>
      <c r="C1903" s="2" t="inlineStr">
        <is>
          <t>M</t>
        </is>
      </c>
      <c r="D1903" s="2" t="inlineStr">
        <is>
          <t>100.0</t>
        </is>
      </c>
      <c r="E1903" s="4">
        <f>HYPERLINK("./Results/DLO\668\Osteo_Sarco_1.png","RPT")</f>
        <v/>
      </c>
      <c r="F1903" s="2" t="n">
        <v>107</v>
      </c>
      <c r="G1903" s="6" t="n">
        <v>15</v>
      </c>
      <c r="I1903" s="0" t="n"/>
      <c r="J1903" s="0" t="n"/>
      <c r="K1903" s="0" t="n"/>
      <c r="L1903" t="inlineStr">
        <is>
          <t>LightSpeed VCT</t>
        </is>
      </c>
      <c r="M1903" t="inlineStr">
        <is>
          <t>PRE</t>
        </is>
      </c>
    </row>
    <row r="1904">
      <c r="A1904" s="2" t="n">
        <v>4970687</v>
      </c>
      <c r="B1904" s="2" t="inlineStr">
        <is>
          <t>49</t>
        </is>
      </c>
      <c r="C1904" s="2" t="inlineStr">
        <is>
          <t>M</t>
        </is>
      </c>
      <c r="D1904" s="2" t="inlineStr">
        <is>
          <t>100.0</t>
        </is>
      </c>
      <c r="E1904" s="4">
        <f>HYPERLINK("./Results/DLO\669\Osteo_Sarco_1.png","RPT")</f>
        <v/>
      </c>
      <c r="F1904" s="2" t="n">
        <v>163</v>
      </c>
      <c r="G1904" s="6" t="n">
        <v>6</v>
      </c>
      <c r="I1904" s="0" t="n"/>
      <c r="J1904" s="0" t="n"/>
      <c r="K1904" s="0" t="n"/>
      <c r="L1904" t="inlineStr">
        <is>
          <t>Revolution CT</t>
        </is>
      </c>
      <c r="M1904" t="inlineStr">
        <is>
          <t>HVP 3mm-pacs(63kg/126cc/3cc/x...</t>
        </is>
      </c>
    </row>
    <row r="1905">
      <c r="A1905" s="2" t="n">
        <v>3832762</v>
      </c>
      <c r="B1905" s="2" t="inlineStr">
        <is>
          <t>59</t>
        </is>
      </c>
      <c r="C1905" s="2" t="inlineStr">
        <is>
          <t>M</t>
        </is>
      </c>
      <c r="D1905" s="2" t="inlineStr">
        <is>
          <t>100.0</t>
        </is>
      </c>
      <c r="E1905" s="4">
        <f>HYPERLINK("./Results/DLO\67\Osteo_Sarco_1.png","RPT")</f>
        <v/>
      </c>
      <c r="F1905" s="2" t="n">
        <v>128</v>
      </c>
      <c r="G1905" s="6" t="n">
        <v>10</v>
      </c>
      <c r="I1905" s="0" t="n"/>
      <c r="J1905" s="0" t="n"/>
      <c r="K1905" s="0" t="n"/>
      <c r="L1905" t="inlineStr">
        <is>
          <t>SOMATOM Definition...</t>
        </is>
      </c>
      <c r="M1905" t="inlineStr">
        <is>
          <t>Pre(cp~L5) 2.0 B30f</t>
        </is>
      </c>
    </row>
    <row r="1906">
      <c r="A1906" s="2" t="n">
        <v>3931046</v>
      </c>
      <c r="B1906" s="2" t="inlineStr">
        <is>
          <t>64</t>
        </is>
      </c>
      <c r="C1906" s="2" t="inlineStr">
        <is>
          <t>F</t>
        </is>
      </c>
      <c r="D1906" s="2" t="inlineStr">
        <is>
          <t>100.0</t>
        </is>
      </c>
      <c r="E1906" s="4">
        <f>HYPERLINK("./Results/DLO\670\Osteo_Sarco_1.png","RPT")</f>
        <v/>
      </c>
      <c r="F1906" s="2" t="n">
        <v>111</v>
      </c>
      <c r="G1906" s="6" t="n">
        <v>30</v>
      </c>
      <c r="I1906" s="0" t="n"/>
      <c r="J1906" s="0" t="n"/>
      <c r="K1906" s="0" t="n"/>
      <c r="L1906" t="inlineStr">
        <is>
          <t>SOMATOM Definition...</t>
        </is>
      </c>
      <c r="M1906" t="inlineStr">
        <is>
          <t>Pre 3mm</t>
        </is>
      </c>
    </row>
    <row r="1907">
      <c r="A1907" s="2" t="n">
        <v>3431065</v>
      </c>
      <c r="B1907" s="2" t="inlineStr">
        <is>
          <t>78</t>
        </is>
      </c>
      <c r="C1907" s="2" t="inlineStr">
        <is>
          <t>F</t>
        </is>
      </c>
      <c r="D1907" s="2" t="inlineStr">
        <is>
          <t>110.0</t>
        </is>
      </c>
      <c r="E1907" s="4">
        <f>HYPERLINK("./Results/DLO\671\Osteo_Sarco_1.png","RPT")</f>
        <v/>
      </c>
      <c r="F1907" s="2" t="n">
        <v>84</v>
      </c>
      <c r="G1907" s="6" t="n">
        <v>12</v>
      </c>
      <c r="H1907" t="n">
        <v>24.53</v>
      </c>
      <c r="L1907" t="inlineStr">
        <is>
          <t>SOMATOM Perspective</t>
        </is>
      </c>
      <c r="M1907" t="inlineStr">
        <is>
          <t>Abdmen pre 3.0 140s 2</t>
        </is>
      </c>
    </row>
    <row r="1908">
      <c r="A1908" s="2" t="n">
        <v>3484575</v>
      </c>
      <c r="B1908" s="2" t="inlineStr">
        <is>
          <t>55</t>
        </is>
      </c>
      <c r="C1908" s="2" t="inlineStr">
        <is>
          <t>F</t>
        </is>
      </c>
      <c r="D1908" s="2" t="inlineStr">
        <is>
          <t>100.0</t>
        </is>
      </c>
      <c r="E1908" s="4">
        <f>HYPERLINK("./Results/DLO\672\Osteo_Sarco_1.png","RPT")</f>
        <v/>
      </c>
      <c r="F1908" s="2" t="n">
        <v>91</v>
      </c>
      <c r="G1908" s="6" t="n">
        <v>8</v>
      </c>
      <c r="I1908" s="0" t="n"/>
      <c r="J1908" s="0" t="n"/>
      <c r="K1908" s="0" t="n"/>
      <c r="L1908" t="inlineStr">
        <is>
          <t>SOMATOM Definition...</t>
        </is>
      </c>
      <c r="M1908" t="inlineStr">
        <is>
          <t>Pre 4.0 B40f</t>
        </is>
      </c>
    </row>
    <row r="1909">
      <c r="A1909" s="2" t="n">
        <v>2050549</v>
      </c>
      <c r="B1909" s="2" t="inlineStr">
        <is>
          <t>41</t>
        </is>
      </c>
      <c r="C1909" s="2" t="inlineStr">
        <is>
          <t>F</t>
        </is>
      </c>
      <c r="D1909" s="2" t="inlineStr">
        <is>
          <t>100.0</t>
        </is>
      </c>
      <c r="E1909" s="4">
        <f>HYPERLINK("./Results/DLO\673\Osteo_Sarco_1.png","RPT")</f>
        <v/>
      </c>
      <c r="F1909" s="2" t="n">
        <v>134</v>
      </c>
      <c r="G1909" s="6" t="n">
        <v>14</v>
      </c>
      <c r="I1909" s="0" t="n"/>
      <c r="J1909" s="0" t="n"/>
      <c r="K1909" s="0" t="n"/>
      <c r="L1909" t="inlineStr">
        <is>
          <t>SOMATOM Definition...</t>
        </is>
      </c>
      <c r="M1909" t="inlineStr">
        <is>
          <t>PRE 3mm (100Kvp 100mAs)</t>
        </is>
      </c>
    </row>
    <row r="1910">
      <c r="A1910" s="2" t="n">
        <v>4733212</v>
      </c>
      <c r="B1910" s="2" t="inlineStr">
        <is>
          <t>40</t>
        </is>
      </c>
      <c r="C1910" s="2" t="inlineStr">
        <is>
          <t>F</t>
        </is>
      </c>
      <c r="D1910" s="2" t="inlineStr">
        <is>
          <t>120.0</t>
        </is>
      </c>
      <c r="E1910" s="4">
        <f>HYPERLINK("./Results/DLO\674\Osteo_Sarco_1.png","RPT")</f>
        <v/>
      </c>
      <c r="F1910" s="2" t="n">
        <v>123</v>
      </c>
      <c r="G1910" s="6" t="n">
        <v>12</v>
      </c>
      <c r="I1910" s="0" t="n"/>
      <c r="J1910" s="0" t="n"/>
      <c r="K1910" s="0" t="n"/>
      <c r="L1910" t="inlineStr">
        <is>
          <t>iCT 256</t>
        </is>
      </c>
      <c r="M1910" t="inlineStr">
        <is>
          <t>Pre 3/3mm, iDose (3)</t>
        </is>
      </c>
    </row>
    <row r="1911">
      <c r="A1911" s="2" t="n">
        <v>4348580</v>
      </c>
      <c r="B1911" s="2" t="inlineStr">
        <is>
          <t>58</t>
        </is>
      </c>
      <c r="C1911" s="2" t="inlineStr">
        <is>
          <t>M</t>
        </is>
      </c>
      <c r="D1911" s="2" t="inlineStr">
        <is>
          <t>100.0</t>
        </is>
      </c>
      <c r="E1911" s="4">
        <f>HYPERLINK("./Results/DLO\675\Osteo_Sarco_1.png","RPT")</f>
        <v/>
      </c>
      <c r="F1911" s="2" t="n">
        <v>162</v>
      </c>
      <c r="G1911" s="6" t="n">
        <v>11</v>
      </c>
      <c r="H1911" t="n">
        <v>23.71</v>
      </c>
      <c r="L1911" t="inlineStr">
        <is>
          <t>SOMATOM Definition...</t>
        </is>
      </c>
      <c r="M1911" t="inlineStr">
        <is>
          <t>HVP 2 3mm (63kg/126cc/3cc/ul...</t>
        </is>
      </c>
    </row>
    <row r="1912">
      <c r="A1912" s="2" t="n">
        <v>3032932</v>
      </c>
      <c r="B1912" s="2" t="inlineStr">
        <is>
          <t>38</t>
        </is>
      </c>
      <c r="C1912" s="2" t="inlineStr">
        <is>
          <t>M</t>
        </is>
      </c>
      <c r="D1912" s="2" t="inlineStr">
        <is>
          <t>100.0</t>
        </is>
      </c>
      <c r="E1912" s="4">
        <f>HYPERLINK("./Results/DLO\676\Osteo_Sarco_1.png","RPT")</f>
        <v/>
      </c>
      <c r="F1912" s="2" t="n">
        <v>107</v>
      </c>
      <c r="G1912" s="6" t="n">
        <v>23</v>
      </c>
      <c r="I1912" s="0" t="n"/>
      <c r="J1912" s="0" t="n"/>
      <c r="K1912" s="0" t="n"/>
      <c r="L1912" t="inlineStr">
        <is>
          <t>Revolution EVO</t>
        </is>
      </c>
      <c r="M1912" t="inlineStr">
        <is>
          <t>Pre 2.5mm</t>
        </is>
      </c>
    </row>
    <row r="1913">
      <c r="A1913" s="2" t="n">
        <v>2239048</v>
      </c>
      <c r="B1913" s="2" t="inlineStr">
        <is>
          <t>57</t>
        </is>
      </c>
      <c r="C1913" s="2" t="inlineStr">
        <is>
          <t>F</t>
        </is>
      </c>
      <c r="D1913" s="2" t="inlineStr">
        <is>
          <t>100.0</t>
        </is>
      </c>
      <c r="E1913" s="4">
        <f>HYPERLINK("./Results/DLO\678\Osteo_Sarco_1.png","RPT")</f>
        <v/>
      </c>
      <c r="F1913" s="2" t="n">
        <v>113</v>
      </c>
      <c r="G1913" s="6" t="n">
        <v>12</v>
      </c>
      <c r="I1913" s="0" t="n"/>
      <c r="J1913" s="0" t="n"/>
      <c r="K1913" s="0" t="n"/>
      <c r="L1913" t="inlineStr">
        <is>
          <t>LightSpeed VCT</t>
        </is>
      </c>
      <c r="M1913" t="inlineStr">
        <is>
          <t>PRE (CP angle~Pubic)</t>
        </is>
      </c>
    </row>
    <row r="1914">
      <c r="A1914" s="2" t="n">
        <v>2231556</v>
      </c>
      <c r="B1914" s="2" t="inlineStr">
        <is>
          <t>62</t>
        </is>
      </c>
      <c r="C1914" s="2" t="inlineStr">
        <is>
          <t>F</t>
        </is>
      </c>
      <c r="D1914" s="2" t="inlineStr">
        <is>
          <t>100.0</t>
        </is>
      </c>
      <c r="E1914" s="4">
        <f>HYPERLINK("./Results/DLO\679\Osteo_Sarco_1.png","RPT")</f>
        <v/>
      </c>
      <c r="F1914" s="2" t="n">
        <v>96</v>
      </c>
      <c r="G1914" s="6" t="n">
        <v>6</v>
      </c>
      <c r="I1914" s="0" t="n"/>
      <c r="J1914" s="0" t="n"/>
      <c r="K1914" s="0" t="n"/>
      <c r="L1914" t="inlineStr">
        <is>
          <t>Revolution EVO</t>
        </is>
      </c>
      <c r="M1914" t="inlineStr">
        <is>
          <t>PRE</t>
        </is>
      </c>
    </row>
    <row r="1915">
      <c r="A1915" s="2" t="n">
        <v>3013422</v>
      </c>
      <c r="B1915" s="2" t="inlineStr">
        <is>
          <t>90</t>
        </is>
      </c>
      <c r="C1915" s="2" t="inlineStr">
        <is>
          <t>F</t>
        </is>
      </c>
      <c r="D1915" s="2" t="inlineStr">
        <is>
          <t>100.0</t>
        </is>
      </c>
      <c r="E1915" s="4">
        <f>HYPERLINK("./Results/DLO\68\Osteo_Sarco_1.png","RPT")</f>
        <v/>
      </c>
      <c r="F1915" s="2" t="n">
        <v>81</v>
      </c>
      <c r="G1915" s="6" t="n">
        <v>12</v>
      </c>
      <c r="H1915" t="n">
        <v>24.03</v>
      </c>
      <c r="L1915" t="inlineStr">
        <is>
          <t>iCT 256</t>
        </is>
      </c>
      <c r="M1915" t="inlineStr">
        <is>
          <t>HVP 3/3mm, iDose (3)</t>
        </is>
      </c>
    </row>
    <row r="1916">
      <c r="A1916" s="2" t="n">
        <v>1711026</v>
      </c>
      <c r="B1916" s="2" t="inlineStr">
        <is>
          <t>63</t>
        </is>
      </c>
      <c r="C1916" s="2" t="inlineStr">
        <is>
          <t>F</t>
        </is>
      </c>
      <c r="D1916" s="2" t="inlineStr">
        <is>
          <t>100.0</t>
        </is>
      </c>
      <c r="E1916" s="4">
        <f>HYPERLINK("./Results/DLO\680\Osteo_Sarco_1.png","RPT")</f>
        <v/>
      </c>
      <c r="F1916" s="2" t="n">
        <v>113</v>
      </c>
      <c r="G1916" s="6" t="n">
        <v>12</v>
      </c>
      <c r="H1916" t="n">
        <v>25.81</v>
      </c>
      <c r="L1916" t="inlineStr">
        <is>
          <t>SOMATOM Definition...</t>
        </is>
      </c>
      <c r="M1916" t="inlineStr">
        <is>
          <t>HVP 2 3mm(67Kg/134ml/3ml/Ra...</t>
        </is>
      </c>
    </row>
    <row r="1917">
      <c r="A1917" s="2" t="n">
        <v>3554093</v>
      </c>
      <c r="B1917" s="2" t="inlineStr">
        <is>
          <t>46</t>
        </is>
      </c>
      <c r="C1917" s="2" t="inlineStr">
        <is>
          <t>F</t>
        </is>
      </c>
      <c r="D1917" s="2" t="inlineStr">
        <is>
          <t>100.0</t>
        </is>
      </c>
      <c r="E1917" s="4">
        <f>HYPERLINK("./Results/DLO\681\Osteo_Sarco_1.png","RPT")</f>
        <v/>
      </c>
      <c r="F1917" s="2" t="n">
        <v>103</v>
      </c>
      <c r="G1917" s="6" t="n">
        <v>5</v>
      </c>
      <c r="I1917" s="0" t="n"/>
      <c r="J1917" s="0" t="n"/>
      <c r="K1917" s="0" t="n"/>
      <c r="L1917" t="inlineStr">
        <is>
          <t>LightSpeed VCT</t>
        </is>
      </c>
      <c r="M1917" t="inlineStr">
        <is>
          <t>PRE</t>
        </is>
      </c>
    </row>
    <row r="1918">
      <c r="A1918" s="2" t="n">
        <v>3763292</v>
      </c>
      <c r="B1918" s="2" t="inlineStr">
        <is>
          <t>67</t>
        </is>
      </c>
      <c r="C1918" s="2" t="inlineStr">
        <is>
          <t>M</t>
        </is>
      </c>
      <c r="D1918" s="2" t="inlineStr">
        <is>
          <t>120.0</t>
        </is>
      </c>
      <c r="E1918" s="4">
        <f>HYPERLINK("./Results/DLO\682\Osteo_Sarco_1.png","RPT")</f>
        <v/>
      </c>
      <c r="F1918" s="2" t="n">
        <v>130</v>
      </c>
      <c r="G1918" s="6" t="n">
        <v>5</v>
      </c>
      <c r="H1918" t="n">
        <v>23.93</v>
      </c>
      <c r="L1918" t="inlineStr">
        <is>
          <t>iCT 256</t>
        </is>
      </c>
      <c r="M1918" t="inlineStr">
        <is>
          <t>HVP 3/3mm, iDose (3)</t>
        </is>
      </c>
    </row>
    <row r="1919">
      <c r="A1919" s="2" t="n">
        <v>1861697</v>
      </c>
      <c r="B1919" s="2" t="inlineStr">
        <is>
          <t>61</t>
        </is>
      </c>
      <c r="C1919" s="2" t="inlineStr">
        <is>
          <t>F</t>
        </is>
      </c>
      <c r="D1919" s="2" t="inlineStr">
        <is>
          <t>100.0</t>
        </is>
      </c>
      <c r="E1919" s="4">
        <f>HYPERLINK("./Results/DLO\683\Osteo_Sarco_1.png","RPT")</f>
        <v/>
      </c>
      <c r="F1919" s="2" t="n">
        <v>120</v>
      </c>
      <c r="G1919" s="6" t="n">
        <v>10</v>
      </c>
      <c r="I1919" s="0" t="n"/>
      <c r="J1919" s="0" t="n"/>
      <c r="K1919" s="0" t="n"/>
      <c r="L1919" t="inlineStr">
        <is>
          <t>SOMATOM Force</t>
        </is>
      </c>
      <c r="M1919" t="inlineStr">
        <is>
          <t>Pre 3.0 Br40</t>
        </is>
      </c>
    </row>
    <row r="1920">
      <c r="A1920" s="2" t="n">
        <v>3930275</v>
      </c>
      <c r="B1920" s="2" t="inlineStr">
        <is>
          <t>42</t>
        </is>
      </c>
      <c r="C1920" s="2" t="inlineStr">
        <is>
          <t>M</t>
        </is>
      </c>
      <c r="D1920" s="2" t="inlineStr">
        <is>
          <t>100.0</t>
        </is>
      </c>
      <c r="E1920" s="4">
        <f>HYPERLINK("./Results/DLO\684\Osteo_Sarco_1.png","RPT")</f>
        <v/>
      </c>
      <c r="F1920" s="2" t="n">
        <v>89</v>
      </c>
      <c r="G1920" s="6" t="n">
        <v>9</v>
      </c>
      <c r="H1920" t="n">
        <v>23.18</v>
      </c>
      <c r="L1920" t="inlineStr">
        <is>
          <t>Sensation 64</t>
        </is>
      </c>
      <c r="M1920" t="inlineStr">
        <is>
          <t>Pre 3/3mm</t>
        </is>
      </c>
    </row>
    <row r="1921">
      <c r="A1921" s="2" t="n">
        <v>1740475</v>
      </c>
      <c r="B1921" s="2" t="inlineStr">
        <is>
          <t>54</t>
        </is>
      </c>
      <c r="C1921" s="2" t="inlineStr">
        <is>
          <t>F</t>
        </is>
      </c>
      <c r="D1921" s="2" t="inlineStr">
        <is>
          <t>100.0</t>
        </is>
      </c>
      <c r="E1921" s="4">
        <f>HYPERLINK("./Results/DLO\685\Osteo_Sarco_1.png","RPT")</f>
        <v/>
      </c>
      <c r="F1921" s="2" t="n">
        <v>115</v>
      </c>
      <c r="G1921" s="6" t="n">
        <v>13</v>
      </c>
      <c r="I1921" s="0" t="n"/>
      <c r="J1921" s="0" t="n"/>
      <c r="K1921" s="0" t="n"/>
      <c r="L1921" t="inlineStr">
        <is>
          <t>Sensation 64</t>
        </is>
      </c>
      <c r="M1921" t="inlineStr">
        <is>
          <t>Pre 3mm(100kvp100mAs)</t>
        </is>
      </c>
    </row>
    <row r="1922">
      <c r="A1922" s="2" t="n">
        <v>4843569</v>
      </c>
      <c r="B1922" s="2" t="inlineStr">
        <is>
          <t>71</t>
        </is>
      </c>
      <c r="C1922" s="2" t="inlineStr">
        <is>
          <t>M</t>
        </is>
      </c>
      <c r="D1922" s="2" t="inlineStr">
        <is>
          <t>120.0</t>
        </is>
      </c>
      <c r="E1922" s="4">
        <f>HYPERLINK("./Results/DLO\687\Osteo_Sarco_1.png","RPT")</f>
        <v/>
      </c>
      <c r="F1922" s="2" t="n">
        <v>161</v>
      </c>
      <c r="G1922" s="6" t="n">
        <v>11</v>
      </c>
      <c r="H1922" t="n">
        <v>27.82</v>
      </c>
      <c r="L1922" t="inlineStr">
        <is>
          <t>SOMATOM Definition...</t>
        </is>
      </c>
      <c r="M1922" t="inlineStr">
        <is>
          <t>Pre 3mm</t>
        </is>
      </c>
    </row>
    <row r="1923">
      <c r="A1923" s="2" t="n">
        <v>2858051</v>
      </c>
      <c r="B1923" s="2" t="inlineStr">
        <is>
          <t>59</t>
        </is>
      </c>
      <c r="C1923" s="2" t="inlineStr">
        <is>
          <t>M</t>
        </is>
      </c>
      <c r="D1923" s="2" t="inlineStr">
        <is>
          <t>100.0</t>
        </is>
      </c>
      <c r="E1923" s="4">
        <f>HYPERLINK("./Results/DLO\688\Osteo_Sarco_1.png","RPT")</f>
        <v/>
      </c>
      <c r="F1923" s="2" t="n">
        <v>139</v>
      </c>
      <c r="G1923" s="6" t="n">
        <v>3</v>
      </c>
      <c r="I1923" s="0" t="n"/>
      <c r="J1923" s="0" t="n"/>
      <c r="K1923" s="0" t="n"/>
      <c r="L1923" t="inlineStr">
        <is>
          <t>SOMATOM Definition...</t>
        </is>
      </c>
      <c r="M1923" t="inlineStr">
        <is>
          <t>Pre(CP~pubic) 3mm</t>
        </is>
      </c>
    </row>
    <row r="1924">
      <c r="A1924" s="2" t="n">
        <v>2244665</v>
      </c>
      <c r="B1924" s="2" t="inlineStr">
        <is>
          <t>61</t>
        </is>
      </c>
      <c r="C1924" s="2" t="inlineStr">
        <is>
          <t>M</t>
        </is>
      </c>
      <c r="D1924" s="2" t="inlineStr">
        <is>
          <t>120.0</t>
        </is>
      </c>
      <c r="E1924" s="4">
        <f>HYPERLINK("./Results/DLO\689\Osteo_Sarco_1.png","RPT")</f>
        <v/>
      </c>
      <c r="F1924" s="2" t="n">
        <v>136</v>
      </c>
      <c r="G1924" s="6" t="n">
        <v>18</v>
      </c>
      <c r="H1924" t="n">
        <v>18.65</v>
      </c>
      <c r="L1924" t="inlineStr">
        <is>
          <t>iCT 256</t>
        </is>
      </c>
      <c r="M1924" t="inlineStr">
        <is>
          <t>Pre 3/3mm, iDose (3)</t>
        </is>
      </c>
    </row>
    <row r="1925">
      <c r="A1925" s="2" t="n">
        <v>3695780</v>
      </c>
      <c r="B1925" s="2" t="inlineStr">
        <is>
          <t>55</t>
        </is>
      </c>
      <c r="C1925" s="2" t="inlineStr">
        <is>
          <t>M</t>
        </is>
      </c>
      <c r="D1925" s="2" t="inlineStr">
        <is>
          <t>100.0</t>
        </is>
      </c>
      <c r="E1925" s="4">
        <f>HYPERLINK("./Results/DLO\69\Osteo_Sarco_1.png","RPT")</f>
        <v/>
      </c>
      <c r="F1925" s="2" t="n">
        <v>188</v>
      </c>
      <c r="G1925" s="6" t="n">
        <v>9</v>
      </c>
      <c r="I1925" s="0" t="n"/>
      <c r="J1925" s="0" t="n"/>
      <c r="K1925" s="0" t="n"/>
      <c r="L1925" t="inlineStr">
        <is>
          <t>Revolution CT</t>
        </is>
      </c>
      <c r="M1925" t="inlineStr">
        <is>
          <t>Pre 3mm pacs</t>
        </is>
      </c>
    </row>
    <row r="1926">
      <c r="A1926" s="2" t="n">
        <v>2204770</v>
      </c>
      <c r="B1926" s="2" t="inlineStr">
        <is>
          <t>71</t>
        </is>
      </c>
      <c r="C1926" s="2" t="inlineStr">
        <is>
          <t>M</t>
        </is>
      </c>
      <c r="D1926" s="2" t="inlineStr">
        <is>
          <t>100.0</t>
        </is>
      </c>
      <c r="E1926" s="4">
        <f>HYPERLINK("./Results/DLO\690\Osteo_Sarco_1.png","RPT")</f>
        <v/>
      </c>
      <c r="F1926" s="2" t="n">
        <v>128</v>
      </c>
      <c r="G1926" s="6" t="n">
        <v>8</v>
      </c>
      <c r="H1926" t="n">
        <v>23.81</v>
      </c>
      <c r="L1926" t="inlineStr">
        <is>
          <t>Revolution EVO</t>
        </is>
      </c>
      <c r="M1926" t="inlineStr">
        <is>
          <t>Abdomen Pre 2.5mm</t>
        </is>
      </c>
    </row>
    <row r="1927">
      <c r="A1927" s="2" t="n">
        <v>4496880</v>
      </c>
      <c r="B1927" s="2" t="inlineStr">
        <is>
          <t>78</t>
        </is>
      </c>
      <c r="C1927" s="2" t="inlineStr">
        <is>
          <t>M</t>
        </is>
      </c>
      <c r="D1927" s="2" t="inlineStr">
        <is>
          <t>100.0</t>
        </is>
      </c>
      <c r="E1927" s="4">
        <f>HYPERLINK("./Results/DLO\691\Osteo_Sarco_1.png","RPT")</f>
        <v/>
      </c>
      <c r="F1927" s="2" t="n">
        <v>156</v>
      </c>
      <c r="G1927" s="6" t="n">
        <v>18</v>
      </c>
      <c r="H1927" t="n">
        <v>22.62</v>
      </c>
      <c r="L1927" t="inlineStr">
        <is>
          <t>iCT 256</t>
        </is>
      </c>
      <c r="M1927" t="inlineStr">
        <is>
          <t>Pre 3/3mm, iDose (3)</t>
        </is>
      </c>
    </row>
    <row r="1928">
      <c r="A1928" s="2" t="n">
        <v>2494025</v>
      </c>
      <c r="B1928" s="2" t="inlineStr">
        <is>
          <t>50</t>
        </is>
      </c>
      <c r="C1928" s="2" t="inlineStr">
        <is>
          <t>F</t>
        </is>
      </c>
      <c r="D1928" s="2" t="inlineStr">
        <is>
          <t>120.0</t>
        </is>
      </c>
      <c r="E1928" s="4">
        <f>HYPERLINK("./Results/DLO\692\Osteo_Sarco_1.png","RPT")</f>
        <v/>
      </c>
      <c r="F1928" s="2" t="n">
        <v>88</v>
      </c>
      <c r="G1928" s="6" t="n">
        <v>5</v>
      </c>
      <c r="I1928" s="0" t="n"/>
      <c r="J1928" s="0" t="n"/>
      <c r="K1928" s="0" t="n"/>
      <c r="L1928" t="inlineStr">
        <is>
          <t>Discovery CT750 HD</t>
        </is>
      </c>
      <c r="M1928" t="inlineStr">
        <is>
          <t>HVP 3mm</t>
        </is>
      </c>
    </row>
    <row r="1929">
      <c r="A1929" s="2" t="n">
        <v>2848202</v>
      </c>
      <c r="B1929" s="2" t="inlineStr">
        <is>
          <t>76</t>
        </is>
      </c>
      <c r="C1929" s="2" t="inlineStr">
        <is>
          <t>M</t>
        </is>
      </c>
      <c r="D1929" s="2" t="inlineStr">
        <is>
          <t>100.0</t>
        </is>
      </c>
      <c r="E1929" s="4">
        <f>HYPERLINK("./Results/DLO\693\Osteo_Sarco_1.png","RPT")</f>
        <v/>
      </c>
      <c r="F1929" s="2" t="n">
        <v>51</v>
      </c>
      <c r="G1929" s="6" t="n">
        <v>4</v>
      </c>
      <c r="I1929" s="0" t="n"/>
      <c r="J1929" s="0" t="n"/>
      <c r="K1929" s="0" t="n"/>
      <c r="L1929" t="inlineStr">
        <is>
          <t>Revolution EVO</t>
        </is>
      </c>
      <c r="M1929" t="inlineStr">
        <is>
          <t>PRE</t>
        </is>
      </c>
    </row>
    <row r="1930">
      <c r="A1930" s="2" t="n">
        <v>3719190</v>
      </c>
      <c r="B1930" s="2" t="inlineStr">
        <is>
          <t>65</t>
        </is>
      </c>
      <c r="C1930" s="2" t="inlineStr">
        <is>
          <t>M</t>
        </is>
      </c>
      <c r="D1930" s="2" t="inlineStr">
        <is>
          <t>100.0</t>
        </is>
      </c>
      <c r="E1930" s="4">
        <f>HYPERLINK("./Results/DLO\694\Osteo_Sarco_1.png","RPT")</f>
        <v/>
      </c>
      <c r="F1930" s="2" t="n">
        <v>119</v>
      </c>
      <c r="G1930" s="6" t="n">
        <v>6</v>
      </c>
      <c r="I1930" s="0" t="n"/>
      <c r="J1930" s="0" t="n"/>
      <c r="K1930" s="0" t="n"/>
      <c r="L1930" t="inlineStr">
        <is>
          <t>SOMATOM Definition...</t>
        </is>
      </c>
      <c r="M1930" t="inlineStr">
        <is>
          <t>PRE 3mm (100Kvp 100mAs)</t>
        </is>
      </c>
    </row>
    <row r="1931">
      <c r="A1931" s="2" t="n">
        <v>1657863</v>
      </c>
      <c r="B1931" s="2" t="inlineStr">
        <is>
          <t>77</t>
        </is>
      </c>
      <c r="C1931" s="2" t="inlineStr">
        <is>
          <t>M</t>
        </is>
      </c>
      <c r="D1931" s="2" t="inlineStr">
        <is>
          <t>100.0</t>
        </is>
      </c>
      <c r="E1931" s="4">
        <f>HYPERLINK("./Results/DLO\695\Osteo_Sarco_1.png","RPT")</f>
        <v/>
      </c>
      <c r="F1931" s="2" t="n">
        <v>165</v>
      </c>
      <c r="G1931" s="6" t="n">
        <v>8</v>
      </c>
      <c r="I1931" s="0" t="n"/>
      <c r="J1931" s="0" t="n"/>
      <c r="K1931" s="0" t="n"/>
      <c r="L1931" t="inlineStr">
        <is>
          <t>SOMATOM Definition...</t>
        </is>
      </c>
      <c r="M1931" t="inlineStr">
        <is>
          <t>HVP 2 3mm(63Kg/140ml/3ml/xe...</t>
        </is>
      </c>
    </row>
    <row r="1932">
      <c r="A1932" s="2" t="n">
        <v>4795941</v>
      </c>
      <c r="B1932" s="2" t="inlineStr">
        <is>
          <t>70</t>
        </is>
      </c>
      <c r="C1932" s="2" t="inlineStr">
        <is>
          <t>M</t>
        </is>
      </c>
      <c r="D1932" s="2" t="inlineStr">
        <is>
          <t>100.0</t>
        </is>
      </c>
      <c r="E1932" s="4">
        <f>HYPERLINK("./Results/DLO\696\Osteo_Sarco_1.png","RPT")</f>
        <v/>
      </c>
      <c r="F1932" s="2" t="n">
        <v>147</v>
      </c>
      <c r="G1932" s="6" t="n">
        <v>10</v>
      </c>
      <c r="H1932" t="n">
        <v>25.66</v>
      </c>
      <c r="L1932" t="inlineStr">
        <is>
          <t>iCT 256</t>
        </is>
      </c>
      <c r="M1932" t="inlineStr">
        <is>
          <t>HVP 3/3mm, iDose (3)</t>
        </is>
      </c>
    </row>
    <row r="1933">
      <c r="A1933" s="2" t="n">
        <v>3837311</v>
      </c>
      <c r="B1933" s="2" t="inlineStr">
        <is>
          <t>71</t>
        </is>
      </c>
      <c r="C1933" s="2" t="inlineStr">
        <is>
          <t>F</t>
        </is>
      </c>
      <c r="D1933" s="2" t="inlineStr">
        <is>
          <t>100.0</t>
        </is>
      </c>
      <c r="E1933" s="4">
        <f>HYPERLINK("./Results/DLO\697\Osteo_Sarco_1.png","RPT")</f>
        <v/>
      </c>
      <c r="F1933" s="2" t="n">
        <v>88</v>
      </c>
      <c r="G1933" s="6" t="n">
        <v>8</v>
      </c>
      <c r="H1933" t="n">
        <v>19.23</v>
      </c>
      <c r="L1933" t="inlineStr">
        <is>
          <t>Revolution EVO</t>
        </is>
      </c>
      <c r="M1933" t="inlineStr">
        <is>
          <t>Pre(CP~Pelvic)</t>
        </is>
      </c>
    </row>
    <row r="1934">
      <c r="A1934" s="2" t="n">
        <v>2278390</v>
      </c>
      <c r="B1934" s="2" t="inlineStr">
        <is>
          <t>89</t>
        </is>
      </c>
      <c r="C1934" s="2" t="inlineStr">
        <is>
          <t>M</t>
        </is>
      </c>
      <c r="D1934" s="2" t="inlineStr">
        <is>
          <t>120.0</t>
        </is>
      </c>
      <c r="E1934" s="4">
        <f>HYPERLINK("./Results/DLO\698\Osteo_Sarco_1.png","RPT")</f>
        <v/>
      </c>
      <c r="F1934" s="2" t="n">
        <v>159</v>
      </c>
      <c r="G1934" s="6" t="n">
        <v>28</v>
      </c>
      <c r="I1934" s="0" t="n"/>
      <c r="J1934" s="0" t="n"/>
      <c r="K1934" s="0" t="n"/>
      <c r="L1934" t="inlineStr">
        <is>
          <t>Discovery CT750 HD</t>
        </is>
      </c>
      <c r="M1934" t="inlineStr">
        <is>
          <t>HVP 3mm</t>
        </is>
      </c>
    </row>
    <row r="1935">
      <c r="A1935" s="2" t="n">
        <v>3749225</v>
      </c>
      <c r="B1935" s="2" t="inlineStr">
        <is>
          <t>81</t>
        </is>
      </c>
      <c r="C1935" s="2" t="inlineStr">
        <is>
          <t>F</t>
        </is>
      </c>
      <c r="D1935" s="2" t="inlineStr">
        <is>
          <t>100.0</t>
        </is>
      </c>
      <c r="E1935" s="4">
        <f>HYPERLINK("./Results/DLO\699\Osteo_Sarco_1.png","RPT")</f>
        <v/>
      </c>
      <c r="F1935" s="2" t="n">
        <v>92</v>
      </c>
      <c r="G1935" s="6" t="n">
        <v>20</v>
      </c>
      <c r="H1935" t="n">
        <v>24.12</v>
      </c>
      <c r="L1935" t="inlineStr">
        <is>
          <t>Sensation 64</t>
        </is>
      </c>
      <c r="M1935" t="inlineStr">
        <is>
          <t>PRE 3.0 B31f</t>
        </is>
      </c>
    </row>
    <row r="1936">
      <c r="A1936" s="2" t="n">
        <v>3373751</v>
      </c>
      <c r="B1936" s="2" t="inlineStr">
        <is>
          <t>69</t>
        </is>
      </c>
      <c r="C1936" s="2" t="inlineStr">
        <is>
          <t>M</t>
        </is>
      </c>
      <c r="D1936" s="2" t="inlineStr">
        <is>
          <t>100.0</t>
        </is>
      </c>
      <c r="E1936" s="4">
        <f>HYPERLINK("./Results/DLO\7\Osteo_Sarco_1.png","RPT")</f>
        <v/>
      </c>
      <c r="F1936" s="2" t="n">
        <v>99</v>
      </c>
      <c r="G1936" s="6" t="n">
        <v>7</v>
      </c>
      <c r="H1936" t="n">
        <v>21.45</v>
      </c>
      <c r="L1936" t="inlineStr">
        <is>
          <t>Revolution EVO</t>
        </is>
      </c>
      <c r="M1936" t="inlineStr">
        <is>
          <t>PRE</t>
        </is>
      </c>
    </row>
    <row r="1937">
      <c r="A1937" s="2" t="n">
        <v>2786438</v>
      </c>
      <c r="B1937" s="2" t="inlineStr">
        <is>
          <t>52</t>
        </is>
      </c>
      <c r="C1937" s="2" t="inlineStr">
        <is>
          <t>F</t>
        </is>
      </c>
      <c r="D1937" s="2" t="inlineStr">
        <is>
          <t>100.0</t>
        </is>
      </c>
      <c r="E1937" s="4">
        <f>HYPERLINK("./Results/DLO\70\Osteo_Sarco_1.png","RPT")</f>
        <v/>
      </c>
      <c r="F1937" s="2" t="n">
        <v>132</v>
      </c>
      <c r="G1937" s="6" t="n">
        <v>21</v>
      </c>
      <c r="I1937" s="0" t="n"/>
      <c r="J1937" s="0" t="n"/>
      <c r="K1937" s="0" t="n"/>
      <c r="L1937" t="inlineStr">
        <is>
          <t>iCT 256</t>
        </is>
      </c>
      <c r="M1937" t="inlineStr">
        <is>
          <t>Pre (CP~Pubi)3mm, iDose (3)</t>
        </is>
      </c>
    </row>
    <row r="1938">
      <c r="A1938" s="2" t="n">
        <v>4480240</v>
      </c>
      <c r="B1938" s="2" t="inlineStr">
        <is>
          <t>67</t>
        </is>
      </c>
      <c r="C1938" s="2" t="inlineStr">
        <is>
          <t>M</t>
        </is>
      </c>
      <c r="D1938" s="2" t="inlineStr">
        <is>
          <t>120.0</t>
        </is>
      </c>
      <c r="E1938" s="4">
        <f>HYPERLINK("./Results/DLO\700\Osteo_Sarco_1.png","RPT")</f>
        <v/>
      </c>
      <c r="F1938" s="2" t="n">
        <v>161</v>
      </c>
      <c r="G1938" s="6" t="n">
        <v>8</v>
      </c>
      <c r="I1938" s="0" t="n"/>
      <c r="J1938" s="0" t="n"/>
      <c r="K1938" s="0" t="n"/>
      <c r="L1938" t="inlineStr">
        <is>
          <t>LightSpeed VCT</t>
        </is>
      </c>
      <c r="M1938" t="inlineStr">
        <is>
          <t>HVP 55sec 3mm</t>
        </is>
      </c>
    </row>
    <row r="1939">
      <c r="A1939" s="2" t="n">
        <v>3436450</v>
      </c>
      <c r="B1939" s="2" t="inlineStr">
        <is>
          <t>55</t>
        </is>
      </c>
      <c r="C1939" s="2" t="inlineStr">
        <is>
          <t>M</t>
        </is>
      </c>
      <c r="D1939" s="2" t="inlineStr">
        <is>
          <t>120.0</t>
        </is>
      </c>
      <c r="E1939" s="4">
        <f>HYPERLINK("./Results/DLO\701\Osteo_Sarco_1.png","RPT")</f>
        <v/>
      </c>
      <c r="F1939" s="2" t="n">
        <v>183</v>
      </c>
      <c r="G1939" s="6" t="n">
        <v>13</v>
      </c>
      <c r="H1939" t="n">
        <v>28.5</v>
      </c>
      <c r="L1939" t="inlineStr">
        <is>
          <t>LightSpeed VCT</t>
        </is>
      </c>
      <c r="M1939" t="inlineStr">
        <is>
          <t>HVP 3mm</t>
        </is>
      </c>
    </row>
    <row r="1940">
      <c r="A1940" s="2" t="n">
        <v>3521415</v>
      </c>
      <c r="B1940" s="2" t="inlineStr">
        <is>
          <t>45</t>
        </is>
      </c>
      <c r="C1940" s="2" t="inlineStr">
        <is>
          <t>F</t>
        </is>
      </c>
      <c r="D1940" s="2" t="inlineStr">
        <is>
          <t>100.0</t>
        </is>
      </c>
      <c r="E1940" s="4">
        <f>HYPERLINK("./Results/DLO\702\Osteo_Sarco_1.png","RPT")</f>
        <v/>
      </c>
      <c r="F1940" s="2" t="n">
        <v>112</v>
      </c>
      <c r="G1940" s="6" t="n">
        <v>7</v>
      </c>
      <c r="I1940" s="0" t="n"/>
      <c r="J1940" s="0" t="n"/>
      <c r="K1940" s="0" t="n"/>
      <c r="L1940" t="inlineStr">
        <is>
          <t>SOMATOM Definition...</t>
        </is>
      </c>
      <c r="M1940" t="inlineStr">
        <is>
          <t>LAP 3mm(54kg/108cc/3cc/hexo)</t>
        </is>
      </c>
    </row>
    <row r="1941">
      <c r="A1941" s="2" t="n">
        <v>3742059</v>
      </c>
      <c r="B1941" s="2" t="inlineStr">
        <is>
          <t>54</t>
        </is>
      </c>
      <c r="C1941" s="2" t="inlineStr">
        <is>
          <t>M</t>
        </is>
      </c>
      <c r="D1941" s="2" t="inlineStr">
        <is>
          <t>120.0</t>
        </is>
      </c>
      <c r="E1941" s="4">
        <f>HYPERLINK("./Results/DLO\703\Osteo_Sarco_1.png","RPT")</f>
        <v/>
      </c>
      <c r="F1941" s="2" t="n">
        <v>147</v>
      </c>
      <c r="G1941" s="6" t="n">
        <v>7</v>
      </c>
      <c r="I1941" s="0" t="n"/>
      <c r="J1941" s="0" t="n"/>
      <c r="K1941" s="0" t="n"/>
      <c r="L1941" t="inlineStr">
        <is>
          <t>Aquilion</t>
        </is>
      </c>
      <c r="M1941" t="inlineStr">
        <is>
          <t>Body 3.0</t>
        </is>
      </c>
    </row>
    <row r="1942">
      <c r="A1942" s="2" t="n">
        <v>4208133</v>
      </c>
      <c r="B1942" s="2" t="inlineStr">
        <is>
          <t>59</t>
        </is>
      </c>
      <c r="C1942" s="2" t="inlineStr">
        <is>
          <t>F</t>
        </is>
      </c>
      <c r="D1942" s="2" t="inlineStr">
        <is>
          <t>100.0</t>
        </is>
      </c>
      <c r="E1942" s="4">
        <f>HYPERLINK("./Results/DLO\704\Osteo_Sarco_1.png","RPT")</f>
        <v/>
      </c>
      <c r="F1942" s="2" t="n">
        <v>104</v>
      </c>
      <c r="G1942" s="6" t="n">
        <v>10</v>
      </c>
      <c r="I1942" s="0" t="n"/>
      <c r="J1942" s="0" t="n"/>
      <c r="K1942" s="0" t="n"/>
      <c r="L1942" t="inlineStr">
        <is>
          <t>SOMATOM Definition...</t>
        </is>
      </c>
      <c r="M1942" t="inlineStr">
        <is>
          <t>HVP 2 3mm (59kg/118cc/3cc/b...</t>
        </is>
      </c>
    </row>
    <row r="1943">
      <c r="A1943" s="2" t="n">
        <v>4317931</v>
      </c>
      <c r="B1943" s="2" t="inlineStr">
        <is>
          <t>58</t>
        </is>
      </c>
      <c r="C1943" s="2" t="inlineStr">
        <is>
          <t>F</t>
        </is>
      </c>
      <c r="D1943" s="2" t="inlineStr">
        <is>
          <t>100.0</t>
        </is>
      </c>
      <c r="E1943" s="4">
        <f>HYPERLINK("./Results/DLO\705\Osteo_Sarco_1.png","RPT")</f>
        <v/>
      </c>
      <c r="F1943" s="2" t="n">
        <v>97</v>
      </c>
      <c r="G1943" s="6" t="n">
        <v>11</v>
      </c>
      <c r="I1943" s="0" t="n"/>
      <c r="J1943" s="0" t="n"/>
      <c r="K1943" s="0" t="n"/>
      <c r="L1943" t="inlineStr">
        <is>
          <t>Revolution EVO</t>
        </is>
      </c>
      <c r="M1943" t="inlineStr">
        <is>
          <t>PRE</t>
        </is>
      </c>
    </row>
    <row r="1944">
      <c r="A1944" s="2" t="n">
        <v>4627266</v>
      </c>
      <c r="B1944" s="2" t="inlineStr">
        <is>
          <t>53</t>
        </is>
      </c>
      <c r="C1944" s="2" t="inlineStr">
        <is>
          <t>M</t>
        </is>
      </c>
      <c r="D1944" s="2" t="inlineStr">
        <is>
          <t>120.0</t>
        </is>
      </c>
      <c r="E1944" s="4">
        <f>HYPERLINK("./Results/DLO\706\Osteo_Sarco_1.png","RPT")</f>
        <v/>
      </c>
      <c r="F1944" s="2" t="n">
        <v>177</v>
      </c>
      <c r="G1944" s="6" t="n">
        <v>7</v>
      </c>
      <c r="I1944" s="0" t="n"/>
      <c r="J1944" s="0" t="n"/>
      <c r="K1944" s="0" t="n"/>
      <c r="L1944" t="inlineStr">
        <is>
          <t>LightSpeed VCT</t>
        </is>
      </c>
      <c r="M1944" t="inlineStr">
        <is>
          <t>HVP 55sec 3mm</t>
        </is>
      </c>
    </row>
    <row r="1945">
      <c r="A1945" s="2" t="n">
        <v>3334043</v>
      </c>
      <c r="B1945" s="2" t="inlineStr">
        <is>
          <t>66</t>
        </is>
      </c>
      <c r="C1945" s="2" t="inlineStr">
        <is>
          <t>M</t>
        </is>
      </c>
      <c r="D1945" s="2" t="inlineStr">
        <is>
          <t>100.0</t>
        </is>
      </c>
      <c r="E1945" s="4">
        <f>HYPERLINK("./Results/DLO\707\Osteo_Sarco_1.png","RPT")</f>
        <v/>
      </c>
      <c r="F1945" s="2" t="n">
        <v>154</v>
      </c>
      <c r="G1945" s="6" t="n">
        <v>6</v>
      </c>
      <c r="I1945" s="0" t="n"/>
      <c r="J1945" s="0" t="n"/>
      <c r="K1945" s="0" t="n"/>
      <c r="L1945" t="inlineStr">
        <is>
          <t>Discovery CT750 HD</t>
        </is>
      </c>
      <c r="M1945" t="inlineStr">
        <is>
          <t>Delay 2.5mm(ASIR30%)</t>
        </is>
      </c>
    </row>
    <row r="1946">
      <c r="A1946" s="2" t="n">
        <v>3772109</v>
      </c>
      <c r="B1946" s="2" t="inlineStr">
        <is>
          <t>77</t>
        </is>
      </c>
      <c r="C1946" s="2" t="inlineStr">
        <is>
          <t>F</t>
        </is>
      </c>
      <c r="D1946" s="2" t="inlineStr">
        <is>
          <t>120.0</t>
        </is>
      </c>
      <c r="E1946" s="4">
        <f>HYPERLINK("./Results/DLO\708\Osteo_Sarco_1.png","RPT")</f>
        <v/>
      </c>
      <c r="F1946" s="2" t="n">
        <v>119</v>
      </c>
      <c r="G1946" s="6" t="n">
        <v>26</v>
      </c>
      <c r="I1946" s="0" t="n"/>
      <c r="J1946" s="0" t="n"/>
      <c r="K1946" s="0" t="n"/>
      <c r="L1946" t="inlineStr">
        <is>
          <t>LightSpeed VCT</t>
        </is>
      </c>
      <c r="M1946" t="inlineStr">
        <is>
          <t>HVP 55sec 3mm</t>
        </is>
      </c>
    </row>
    <row r="1947">
      <c r="A1947" s="2" t="n">
        <v>3663909</v>
      </c>
      <c r="B1947" s="2" t="inlineStr">
        <is>
          <t>64</t>
        </is>
      </c>
      <c r="C1947" s="2" t="inlineStr">
        <is>
          <t>F</t>
        </is>
      </c>
      <c r="D1947" s="2" t="inlineStr">
        <is>
          <t>100.0</t>
        </is>
      </c>
      <c r="E1947" s="4">
        <f>HYPERLINK("./Results/DLO\71\Osteo_Sarco_1.png","RPT")</f>
        <v/>
      </c>
      <c r="F1947" s="2" t="n">
        <v>118</v>
      </c>
      <c r="G1947" s="6" t="n">
        <v>10</v>
      </c>
      <c r="I1947" s="0" t="n"/>
      <c r="J1947" s="0" t="n"/>
      <c r="K1947" s="0" t="n"/>
      <c r="L1947" t="inlineStr">
        <is>
          <t>SOMATOM Definition...</t>
        </is>
      </c>
      <c r="M1947" t="inlineStr">
        <is>
          <t>HVP 2 3mm (56kg/112cc/2.5cc/....</t>
        </is>
      </c>
    </row>
    <row r="1948">
      <c r="A1948" s="2" t="n">
        <v>4730420</v>
      </c>
      <c r="B1948" s="2" t="inlineStr">
        <is>
          <t>62</t>
        </is>
      </c>
      <c r="C1948" s="2" t="inlineStr">
        <is>
          <t>M</t>
        </is>
      </c>
      <c r="D1948" s="2" t="inlineStr">
        <is>
          <t>110.0</t>
        </is>
      </c>
      <c r="E1948" s="4">
        <f>HYPERLINK("./Results/DLO\710\Osteo_Sarco_1.png","RPT")</f>
        <v/>
      </c>
      <c r="F1948" s="2" t="n">
        <v>158</v>
      </c>
      <c r="G1948" s="6" t="n">
        <v>12</v>
      </c>
      <c r="I1948" s="0" t="n"/>
      <c r="J1948" s="0" t="n"/>
      <c r="K1948" s="0" t="n"/>
      <c r="L1948" t="inlineStr">
        <is>
          <t>SOMATOM Force</t>
        </is>
      </c>
      <c r="M1948" t="inlineStr">
        <is>
          <t>Pre 3.0 Br40 2</t>
        </is>
      </c>
    </row>
    <row r="1949">
      <c r="A1949" s="2" t="n">
        <v>4818531</v>
      </c>
      <c r="B1949" s="2" t="inlineStr">
        <is>
          <t>53</t>
        </is>
      </c>
      <c r="C1949" s="2" t="inlineStr">
        <is>
          <t>M</t>
        </is>
      </c>
      <c r="D1949" s="2" t="inlineStr">
        <is>
          <t>120.0</t>
        </is>
      </c>
      <c r="E1949" s="4">
        <f>HYPERLINK("./Results/DLO\711\Osteo_Sarco_1.png","RPT")</f>
        <v/>
      </c>
      <c r="F1949" s="2" t="n">
        <v>172</v>
      </c>
      <c r="G1949" s="6" t="n">
        <v>5</v>
      </c>
      <c r="I1949" s="0" t="n"/>
      <c r="J1949" s="0" t="n"/>
      <c r="K1949" s="0" t="n"/>
      <c r="L1949" t="inlineStr">
        <is>
          <t>LightSpeed VCT</t>
        </is>
      </c>
      <c r="M1949" t="inlineStr">
        <is>
          <t>HVP 3mm</t>
        </is>
      </c>
    </row>
    <row r="1950">
      <c r="A1950" s="2" t="n">
        <v>4371520</v>
      </c>
      <c r="B1950" s="2" t="inlineStr">
        <is>
          <t>62</t>
        </is>
      </c>
      <c r="C1950" s="2" t="inlineStr">
        <is>
          <t>F</t>
        </is>
      </c>
      <c r="D1950" s="2" t="inlineStr">
        <is>
          <t>100.0</t>
        </is>
      </c>
      <c r="E1950" s="4">
        <f>HYPERLINK("./Results/DLO\712\Osteo_Sarco_1.png","RPT")</f>
        <v/>
      </c>
      <c r="F1950" s="2" t="n">
        <v>90</v>
      </c>
      <c r="G1950" s="6" t="n">
        <v>7</v>
      </c>
      <c r="I1950" s="0" t="n"/>
      <c r="J1950" s="0" t="n"/>
      <c r="K1950" s="0" t="n"/>
      <c r="L1950" t="inlineStr">
        <is>
          <t>Sensation 64</t>
        </is>
      </c>
      <c r="M1950" t="inlineStr">
        <is>
          <t>HVP 3mm (47kg/94cc/3cc/omni)</t>
        </is>
      </c>
    </row>
    <row r="1951">
      <c r="A1951" s="2" t="n">
        <v>2035643</v>
      </c>
      <c r="B1951" s="2" t="inlineStr">
        <is>
          <t>53</t>
        </is>
      </c>
      <c r="C1951" s="2" t="inlineStr">
        <is>
          <t>F</t>
        </is>
      </c>
      <c r="D1951" s="2" t="inlineStr">
        <is>
          <t>100.0</t>
        </is>
      </c>
      <c r="E1951" s="4">
        <f>HYPERLINK("./Results/DLO\713\Osteo_Sarco_1.png","RPT")</f>
        <v/>
      </c>
      <c r="F1951" s="2" t="n">
        <v>84</v>
      </c>
      <c r="G1951" s="6" t="n">
        <v>9</v>
      </c>
      <c r="I1951" s="0" t="n"/>
      <c r="J1951" s="0" t="n"/>
      <c r="K1951" s="0" t="n"/>
      <c r="L1951" t="inlineStr">
        <is>
          <t>Revolution EVO</t>
        </is>
      </c>
      <c r="M1951" t="inlineStr">
        <is>
          <t>PRE</t>
        </is>
      </c>
    </row>
    <row r="1952">
      <c r="A1952" s="2" t="n">
        <v>3305584</v>
      </c>
      <c r="B1952" s="2" t="inlineStr">
        <is>
          <t>42</t>
        </is>
      </c>
      <c r="C1952" s="2" t="inlineStr">
        <is>
          <t>M</t>
        </is>
      </c>
      <c r="D1952" s="2" t="inlineStr">
        <is>
          <t>100.0</t>
        </is>
      </c>
      <c r="E1952" s="4">
        <f>HYPERLINK("./Results/DLO\715\Osteo_Sarco_1.png","RPT")</f>
        <v/>
      </c>
      <c r="F1952" s="2" t="n">
        <v>121</v>
      </c>
      <c r="G1952" s="6" t="n">
        <v>5</v>
      </c>
      <c r="I1952" s="0" t="n"/>
      <c r="J1952" s="0" t="n"/>
      <c r="K1952" s="0" t="n"/>
      <c r="L1952" t="inlineStr">
        <is>
          <t>SOMATOM Definition...</t>
        </is>
      </c>
      <c r="M1952" t="inlineStr">
        <is>
          <t>Pre 3mm</t>
        </is>
      </c>
    </row>
    <row r="1953">
      <c r="A1953" s="2" t="n">
        <v>1668309</v>
      </c>
      <c r="B1953" s="2" t="inlineStr">
        <is>
          <t>64</t>
        </is>
      </c>
      <c r="C1953" s="2" t="inlineStr">
        <is>
          <t>F</t>
        </is>
      </c>
      <c r="D1953" s="2" t="inlineStr">
        <is>
          <t>120.0</t>
        </is>
      </c>
      <c r="E1953" s="4">
        <f>HYPERLINK("./Results/DLO\716\Osteo_Sarco_1.png","RPT")</f>
        <v/>
      </c>
      <c r="F1953" s="2" t="n">
        <v>98</v>
      </c>
      <c r="G1953" s="6" t="n">
        <v>10</v>
      </c>
      <c r="I1953" s="0" t="n"/>
      <c r="J1953" s="0" t="n"/>
      <c r="K1953" s="0" t="n"/>
      <c r="L1953" t="inlineStr">
        <is>
          <t>iCT 256</t>
        </is>
      </c>
      <c r="M1953" t="inlineStr">
        <is>
          <t>HVP 3/3mm, iDose (3)</t>
        </is>
      </c>
    </row>
    <row r="1954">
      <c r="A1954" s="2" t="n">
        <v>1800164</v>
      </c>
      <c r="B1954" s="2" t="inlineStr">
        <is>
          <t>80</t>
        </is>
      </c>
      <c r="C1954" s="2" t="inlineStr">
        <is>
          <t>M</t>
        </is>
      </c>
      <c r="D1954" s="2" t="inlineStr">
        <is>
          <t>100.0</t>
        </is>
      </c>
      <c r="E1954" s="4">
        <f>HYPERLINK("./Results/DLO\717\Osteo_Sarco_1.png","RPT")</f>
        <v/>
      </c>
      <c r="F1954" s="2" t="n">
        <v>104</v>
      </c>
      <c r="G1954" s="6" t="n">
        <v>17</v>
      </c>
      <c r="H1954" t="n">
        <v>23.55</v>
      </c>
      <c r="L1954" t="inlineStr">
        <is>
          <t>Discovery CT750 HD</t>
        </is>
      </c>
      <c r="M1954" t="inlineStr">
        <is>
          <t>PRE</t>
        </is>
      </c>
    </row>
    <row r="1955">
      <c r="A1955" s="2" t="n">
        <v>2151295</v>
      </c>
      <c r="B1955" s="2" t="inlineStr">
        <is>
          <t>59</t>
        </is>
      </c>
      <c r="C1955" s="2" t="inlineStr">
        <is>
          <t>M</t>
        </is>
      </c>
      <c r="D1955" s="2" t="inlineStr">
        <is>
          <t>100.0</t>
        </is>
      </c>
      <c r="E1955" s="4">
        <f>HYPERLINK("./Results/DLO\718\Osteo_Sarco_1.png","RPT")</f>
        <v/>
      </c>
      <c r="F1955" s="2" t="n">
        <v>165</v>
      </c>
      <c r="G1955" s="6" t="n">
        <v>7</v>
      </c>
      <c r="I1955" s="0" t="n"/>
      <c r="J1955" s="0" t="n"/>
      <c r="K1955" s="0" t="n"/>
      <c r="L1955" t="inlineStr">
        <is>
          <t>Revolution CT</t>
        </is>
      </c>
      <c r="M1955" t="inlineStr">
        <is>
          <t>LAP 3mm(72kg/144cc/3.0cc/hexo)</t>
        </is>
      </c>
    </row>
    <row r="1956">
      <c r="A1956" s="2" t="n">
        <v>3111168</v>
      </c>
      <c r="B1956" s="2" t="inlineStr">
        <is>
          <t>72</t>
        </is>
      </c>
      <c r="C1956" s="2" t="inlineStr">
        <is>
          <t>M</t>
        </is>
      </c>
      <c r="D1956" s="2" t="inlineStr">
        <is>
          <t>100.0</t>
        </is>
      </c>
      <c r="E1956" s="4">
        <f>HYPERLINK("./Results/DLO\719\Osteo_Sarco_1.png","RPT")</f>
        <v/>
      </c>
      <c r="F1956" s="2" t="n">
        <v>145</v>
      </c>
      <c r="G1956" s="6" t="n">
        <v>10</v>
      </c>
      <c r="H1956" t="n">
        <v>26.27</v>
      </c>
      <c r="L1956" t="inlineStr">
        <is>
          <t>Revolution EVO</t>
        </is>
      </c>
      <c r="M1956" t="inlineStr">
        <is>
          <t>PRE</t>
        </is>
      </c>
    </row>
    <row r="1957">
      <c r="A1957" s="2" t="n">
        <v>3195171</v>
      </c>
      <c r="B1957" s="2" t="inlineStr">
        <is>
          <t>66</t>
        </is>
      </c>
      <c r="C1957" s="2" t="inlineStr">
        <is>
          <t>M</t>
        </is>
      </c>
      <c r="D1957" s="2" t="inlineStr">
        <is>
          <t>100.0</t>
        </is>
      </c>
      <c r="E1957" s="4">
        <f>HYPERLINK("./Results/DLO\72\Osteo_Sarco_1.png","RPT")</f>
        <v/>
      </c>
      <c r="F1957" s="2" t="n">
        <v>154</v>
      </c>
      <c r="G1957" s="6" t="n">
        <v>11</v>
      </c>
      <c r="I1957" s="0" t="n"/>
      <c r="J1957" s="0" t="n"/>
      <c r="K1957" s="0" t="n"/>
      <c r="L1957" t="inlineStr">
        <is>
          <t>SOMATOM Definition...</t>
        </is>
      </c>
      <c r="M1957" t="inlineStr">
        <is>
          <t>PRE 3mm</t>
        </is>
      </c>
    </row>
    <row r="1958">
      <c r="A1958" s="2" t="n">
        <v>2949332</v>
      </c>
      <c r="B1958" s="2" t="inlineStr">
        <is>
          <t>65</t>
        </is>
      </c>
      <c r="C1958" s="2" t="inlineStr">
        <is>
          <t>F</t>
        </is>
      </c>
      <c r="D1958" s="2" t="inlineStr">
        <is>
          <t>100.0</t>
        </is>
      </c>
      <c r="E1958" s="4">
        <f>HYPERLINK("./Results/DLO\720\Osteo_Sarco_1.png","RPT")</f>
        <v/>
      </c>
      <c r="F1958" s="2" t="n">
        <v>123</v>
      </c>
      <c r="G1958" s="6" t="n">
        <v>10</v>
      </c>
      <c r="I1958" s="0" t="n"/>
      <c r="J1958" s="0" t="n"/>
      <c r="K1958" s="0" t="n"/>
      <c r="L1958" t="inlineStr">
        <is>
          <t>Revolution EVO</t>
        </is>
      </c>
      <c r="M1958" t="inlineStr">
        <is>
          <t>AX 3mm</t>
        </is>
      </c>
    </row>
    <row r="1959">
      <c r="A1959" s="2" t="n">
        <v>1877494</v>
      </c>
      <c r="B1959" s="2" t="inlineStr">
        <is>
          <t>68</t>
        </is>
      </c>
      <c r="C1959" s="2" t="inlineStr">
        <is>
          <t>M</t>
        </is>
      </c>
      <c r="D1959" s="2" t="inlineStr">
        <is>
          <t>120.0</t>
        </is>
      </c>
      <c r="E1959" s="4">
        <f>HYPERLINK("./Results/DLO\721\Osteo_Sarco_1.png","RPT")</f>
        <v/>
      </c>
      <c r="F1959" s="2" t="n">
        <v>148</v>
      </c>
      <c r="G1959" s="6" t="n">
        <v>7</v>
      </c>
      <c r="H1959" t="n">
        <v>26.37</v>
      </c>
      <c r="L1959" t="inlineStr">
        <is>
          <t>LightSpeed VCT</t>
        </is>
      </c>
      <c r="M1959" t="inlineStr">
        <is>
          <t>HVP 3mm</t>
        </is>
      </c>
    </row>
    <row r="1960">
      <c r="A1960" s="2" t="n">
        <v>2953443</v>
      </c>
      <c r="B1960" s="2" t="inlineStr">
        <is>
          <t>64</t>
        </is>
      </c>
      <c r="C1960" s="2" t="inlineStr">
        <is>
          <t>M</t>
        </is>
      </c>
      <c r="D1960" s="2" t="inlineStr">
        <is>
          <t>120.0</t>
        </is>
      </c>
      <c r="E1960" s="4">
        <f>HYPERLINK("./Results/DLO\722\Osteo_Sarco_1.png","RPT")</f>
        <v/>
      </c>
      <c r="F1960" s="2" t="n">
        <v>201</v>
      </c>
      <c r="G1960" s="6" t="n">
        <v>6</v>
      </c>
      <c r="H1960" t="n">
        <v>25.59</v>
      </c>
      <c r="L1960" t="inlineStr">
        <is>
          <t>Discovery CT750 HD</t>
        </is>
      </c>
      <c r="M1960" t="inlineStr">
        <is>
          <t>PRE(30%)</t>
        </is>
      </c>
    </row>
    <row r="1961">
      <c r="A1961" s="2" t="n">
        <v>3452708</v>
      </c>
      <c r="B1961" s="2" t="inlineStr">
        <is>
          <t>62</t>
        </is>
      </c>
      <c r="C1961" s="2" t="inlineStr">
        <is>
          <t>F</t>
        </is>
      </c>
      <c r="D1961" s="2" t="inlineStr">
        <is>
          <t>100.0</t>
        </is>
      </c>
      <c r="E1961" s="4">
        <f>HYPERLINK("./Results/DLO\723\Osteo_Sarco_1.png","RPT")</f>
        <v/>
      </c>
      <c r="F1961" s="2" t="n">
        <v>125</v>
      </c>
      <c r="G1961" s="6" t="n">
        <v>19</v>
      </c>
      <c r="I1961" s="0" t="n"/>
      <c r="J1961" s="0" t="n"/>
      <c r="K1961" s="0" t="n"/>
      <c r="L1961" t="inlineStr">
        <is>
          <t>Revolution CT</t>
        </is>
      </c>
      <c r="M1961" t="inlineStr">
        <is>
          <t>Pre Axial 3mm</t>
        </is>
      </c>
    </row>
    <row r="1962">
      <c r="A1962" s="2" t="n">
        <v>3941952</v>
      </c>
      <c r="B1962" s="2" t="inlineStr">
        <is>
          <t>59</t>
        </is>
      </c>
      <c r="C1962" s="2" t="inlineStr">
        <is>
          <t>M</t>
        </is>
      </c>
      <c r="D1962" s="2" t="inlineStr">
        <is>
          <t>100.0</t>
        </is>
      </c>
      <c r="E1962" s="4">
        <f>HYPERLINK("./Results/DLO\724\Osteo_Sarco_1.png","RPT")</f>
        <v/>
      </c>
      <c r="F1962" s="2" t="n">
        <v>137</v>
      </c>
      <c r="G1962" s="6" t="n">
        <v>7</v>
      </c>
      <c r="I1962" s="0" t="n"/>
      <c r="J1962" s="0" t="n"/>
      <c r="K1962" s="0" t="n"/>
      <c r="L1962" t="inlineStr">
        <is>
          <t>LightSpeed VCT</t>
        </is>
      </c>
      <c r="M1962" t="inlineStr">
        <is>
          <t>PRE (CP angle~Pubic)</t>
        </is>
      </c>
    </row>
    <row r="1963">
      <c r="A1963" s="2" t="n">
        <v>1949718</v>
      </c>
      <c r="B1963" s="2" t="inlineStr">
        <is>
          <t>52</t>
        </is>
      </c>
      <c r="C1963" s="2" t="inlineStr">
        <is>
          <t>M</t>
        </is>
      </c>
      <c r="D1963" s="2" t="inlineStr">
        <is>
          <t>100.0</t>
        </is>
      </c>
      <c r="E1963" s="4">
        <f>HYPERLINK("./Results/DLO\725\Osteo_Sarco_1.png","RPT")</f>
        <v/>
      </c>
      <c r="F1963" s="2" t="n">
        <v>134</v>
      </c>
      <c r="G1963" s="6" t="n">
        <v>9</v>
      </c>
      <c r="I1963" s="0" t="n"/>
      <c r="J1963" s="0" t="n"/>
      <c r="K1963" s="0" t="n"/>
      <c r="L1963" t="inlineStr">
        <is>
          <t>SOMATOM Force</t>
        </is>
      </c>
      <c r="M1963" t="inlineStr">
        <is>
          <t>Pre 3.0 Br40</t>
        </is>
      </c>
    </row>
    <row r="1964">
      <c r="A1964" s="2" t="n">
        <v>4351300</v>
      </c>
      <c r="B1964" s="2" t="inlineStr">
        <is>
          <t>64</t>
        </is>
      </c>
      <c r="C1964" s="2" t="inlineStr">
        <is>
          <t>F</t>
        </is>
      </c>
      <c r="D1964" s="2" t="inlineStr">
        <is>
          <t>100.0</t>
        </is>
      </c>
      <c r="E1964" s="4">
        <f>HYPERLINK("./Results/DLO\726\Osteo_Sarco_1.png","RPT")</f>
        <v/>
      </c>
      <c r="F1964" s="2" t="n">
        <v>102</v>
      </c>
      <c r="G1964" s="6" t="n">
        <v>8</v>
      </c>
      <c r="I1964" s="0" t="n"/>
      <c r="J1964" s="0" t="n"/>
      <c r="K1964" s="0" t="n"/>
      <c r="L1964" t="inlineStr">
        <is>
          <t>Revolution CT</t>
        </is>
      </c>
      <c r="M1964" t="inlineStr">
        <is>
          <t>HVP 3mm(60kg/120cc/3cc/omni)</t>
        </is>
      </c>
    </row>
    <row r="1965">
      <c r="A1965" s="2" t="n">
        <v>3630929</v>
      </c>
      <c r="B1965" s="2" t="inlineStr">
        <is>
          <t>76</t>
        </is>
      </c>
      <c r="C1965" s="2" t="inlineStr">
        <is>
          <t>M</t>
        </is>
      </c>
      <c r="D1965" s="2" t="inlineStr">
        <is>
          <t>120.0</t>
        </is>
      </c>
      <c r="E1965" s="4">
        <f>HYPERLINK("./Results/DLO\727\Osteo_Sarco_1.png","RPT")</f>
        <v/>
      </c>
      <c r="F1965" s="2" t="inlineStr">
        <is>
          <t>130</t>
        </is>
      </c>
      <c r="G1965" s="6" t="n"/>
      <c r="H1965" t="n">
        <v>22.59</v>
      </c>
      <c r="L1965" t="inlineStr">
        <is>
          <t>Aquilion/LB</t>
        </is>
      </c>
      <c r="M1965" t="inlineStr">
        <is>
          <t>Body 3.0</t>
        </is>
      </c>
    </row>
    <row r="1966">
      <c r="A1966" s="2" t="n">
        <v>3919283</v>
      </c>
      <c r="B1966" s="2" t="inlineStr">
        <is>
          <t>67</t>
        </is>
      </c>
      <c r="C1966" s="2" t="inlineStr">
        <is>
          <t>M</t>
        </is>
      </c>
      <c r="D1966" s="2" t="inlineStr">
        <is>
          <t>100.0</t>
        </is>
      </c>
      <c r="E1966" s="4">
        <f>HYPERLINK("./Results/DLO\728\Osteo_Sarco_1.png","RPT")</f>
        <v/>
      </c>
      <c r="F1966" s="2" t="n">
        <v>162</v>
      </c>
      <c r="G1966" s="6" t="n">
        <v>8</v>
      </c>
      <c r="I1966" s="0" t="n"/>
      <c r="J1966" s="0" t="n"/>
      <c r="K1966" s="0" t="n"/>
      <c r="L1966" t="inlineStr">
        <is>
          <t>SOMATOM Definition...</t>
        </is>
      </c>
      <c r="M1966" t="inlineStr">
        <is>
          <t>Pre(cp~pubic ) 3.0 B30f</t>
        </is>
      </c>
    </row>
    <row r="1967">
      <c r="A1967" s="2" t="n">
        <v>2014971</v>
      </c>
      <c r="B1967" s="2" t="inlineStr">
        <is>
          <t>57</t>
        </is>
      </c>
      <c r="C1967" s="2" t="inlineStr">
        <is>
          <t>F</t>
        </is>
      </c>
      <c r="D1967" s="2" t="inlineStr">
        <is>
          <t>100.0</t>
        </is>
      </c>
      <c r="E1967" s="4">
        <f>HYPERLINK("./Results/DLO\729\Osteo_Sarco_1.png","RPT")</f>
        <v/>
      </c>
      <c r="F1967" s="2" t="n">
        <v>91</v>
      </c>
      <c r="G1967" s="6" t="n">
        <v>12</v>
      </c>
      <c r="I1967" s="0" t="n"/>
      <c r="J1967" s="0" t="n"/>
      <c r="K1967" s="0" t="n"/>
      <c r="L1967" t="inlineStr">
        <is>
          <t>Revolution EVO</t>
        </is>
      </c>
      <c r="M1967" t="inlineStr">
        <is>
          <t>PRE</t>
        </is>
      </c>
    </row>
    <row r="1968">
      <c r="A1968" s="2" t="n">
        <v>4652273</v>
      </c>
      <c r="B1968" s="2" t="inlineStr">
        <is>
          <t>47</t>
        </is>
      </c>
      <c r="C1968" s="2" t="inlineStr">
        <is>
          <t>F</t>
        </is>
      </c>
      <c r="D1968" s="2" t="inlineStr">
        <is>
          <t>100.0</t>
        </is>
      </c>
      <c r="E1968" s="4">
        <f>HYPERLINK("./Results/DLO\73\Osteo_Sarco_1.png","RPT")</f>
        <v/>
      </c>
      <c r="F1968" s="2" t="n">
        <v>92</v>
      </c>
      <c r="G1968" s="6" t="n">
        <v>15</v>
      </c>
      <c r="H1968" t="n">
        <v>22.22</v>
      </c>
      <c r="L1968" t="inlineStr">
        <is>
          <t>Revolution EVO</t>
        </is>
      </c>
      <c r="M1968" t="inlineStr">
        <is>
          <t>PRE</t>
        </is>
      </c>
    </row>
    <row r="1969">
      <c r="A1969" s="2" t="n">
        <v>4534737</v>
      </c>
      <c r="B1969" s="2" t="inlineStr">
        <is>
          <t>71</t>
        </is>
      </c>
      <c r="C1969" s="2" t="inlineStr">
        <is>
          <t>M</t>
        </is>
      </c>
      <c r="D1969" s="2" t="inlineStr">
        <is>
          <t>100.0</t>
        </is>
      </c>
      <c r="E1969" s="4">
        <f>HYPERLINK("./Results/DLO\730\Osteo_Sarco_1.png","RPT")</f>
        <v/>
      </c>
      <c r="F1969" s="2" t="n">
        <v>165</v>
      </c>
      <c r="G1969" s="6" t="n">
        <v>11</v>
      </c>
      <c r="I1969" s="0" t="n"/>
      <c r="J1969" s="0" t="n"/>
      <c r="K1969" s="0" t="n"/>
      <c r="L1969" t="inlineStr">
        <is>
          <t>iCT 256</t>
        </is>
      </c>
      <c r="M1969" t="inlineStr">
        <is>
          <t>Pre3/3mm_I-3, iDose (3)</t>
        </is>
      </c>
    </row>
    <row r="1970">
      <c r="A1970" s="2" t="n">
        <v>2894222</v>
      </c>
      <c r="B1970" s="2" t="inlineStr">
        <is>
          <t>71</t>
        </is>
      </c>
      <c r="C1970" s="2" t="inlineStr">
        <is>
          <t>F</t>
        </is>
      </c>
      <c r="D1970" s="2" t="inlineStr">
        <is>
          <t>120.0</t>
        </is>
      </c>
      <c r="E1970" s="4">
        <f>HYPERLINK("./Results/DLO\731\Osteo_Sarco_1.png","RPT")</f>
        <v/>
      </c>
      <c r="F1970" s="2" t="n">
        <v>141</v>
      </c>
      <c r="G1970" s="6" t="n">
        <v>11</v>
      </c>
      <c r="H1970" t="n">
        <v>24.35</v>
      </c>
      <c r="L1970" t="inlineStr">
        <is>
          <t>LightSpeed VCT</t>
        </is>
      </c>
      <c r="M1970" t="inlineStr">
        <is>
          <t>HVP 55sec 3mm</t>
        </is>
      </c>
    </row>
    <row r="1971">
      <c r="A1971" s="2" t="n">
        <v>3759105</v>
      </c>
      <c r="B1971" s="2" t="inlineStr">
        <is>
          <t>63</t>
        </is>
      </c>
      <c r="C1971" s="2" t="inlineStr">
        <is>
          <t>M</t>
        </is>
      </c>
      <c r="D1971" s="2" t="inlineStr">
        <is>
          <t>100.0</t>
        </is>
      </c>
      <c r="E1971" s="4">
        <f>HYPERLINK("./Results/DLO\732\Osteo_Sarco_1.png","RPT")</f>
        <v/>
      </c>
      <c r="F1971" s="2" t="n">
        <v>109</v>
      </c>
      <c r="G1971" s="6" t="n">
        <v>12</v>
      </c>
      <c r="I1971" s="0" t="n"/>
      <c r="J1971" s="0" t="n"/>
      <c r="K1971" s="0" t="n"/>
      <c r="L1971" t="inlineStr">
        <is>
          <t>Sensation 64</t>
        </is>
      </c>
      <c r="M1971" t="inlineStr">
        <is>
          <t>Pre 3/3mm</t>
        </is>
      </c>
    </row>
    <row r="1972">
      <c r="A1972" s="2" t="n">
        <v>3457804</v>
      </c>
      <c r="B1972" s="2" t="inlineStr">
        <is>
          <t>36</t>
        </is>
      </c>
      <c r="C1972" s="2" t="inlineStr">
        <is>
          <t>F</t>
        </is>
      </c>
      <c r="D1972" s="2" t="inlineStr">
        <is>
          <t>100.0</t>
        </is>
      </c>
      <c r="E1972" s="4">
        <f>HYPERLINK("./Results/DLO\733\Osteo_Sarco_1.png","RPT")</f>
        <v/>
      </c>
      <c r="F1972" s="2" t="n">
        <v>109</v>
      </c>
      <c r="G1972" s="6" t="n">
        <v>10</v>
      </c>
      <c r="I1972" s="0" t="n"/>
      <c r="J1972" s="0" t="n"/>
      <c r="K1972" s="0" t="n"/>
      <c r="L1972" t="inlineStr">
        <is>
          <t>iCT 256</t>
        </is>
      </c>
      <c r="M1972" t="inlineStr">
        <is>
          <t>Pre (CP~Pubi)3mm, iDose (3)</t>
        </is>
      </c>
    </row>
    <row r="1973">
      <c r="A1973" s="2" t="n">
        <v>1666557</v>
      </c>
      <c r="B1973" s="2" t="inlineStr">
        <is>
          <t>71</t>
        </is>
      </c>
      <c r="C1973" s="2" t="inlineStr">
        <is>
          <t>F</t>
        </is>
      </c>
      <c r="D1973" s="2" t="inlineStr">
        <is>
          <t>100.0</t>
        </is>
      </c>
      <c r="E1973" s="4">
        <f>HYPERLINK("./Results/DLO\734\Osteo_Sarco_1.png","RPT")</f>
        <v/>
      </c>
      <c r="F1973" s="2" t="n">
        <v>107</v>
      </c>
      <c r="G1973" s="6" t="n">
        <v>5</v>
      </c>
      <c r="I1973" s="0" t="n"/>
      <c r="J1973" s="0" t="n"/>
      <c r="K1973" s="0" t="n"/>
      <c r="L1973" t="inlineStr">
        <is>
          <t>Sensation 64</t>
        </is>
      </c>
      <c r="M1973" t="inlineStr">
        <is>
          <t>HVP 3mm(48kg/96cc/3cc/xene)</t>
        </is>
      </c>
    </row>
    <row r="1974">
      <c r="A1974" s="2" t="n">
        <v>4528642</v>
      </c>
      <c r="B1974" s="2" t="inlineStr">
        <is>
          <t>67</t>
        </is>
      </c>
      <c r="C1974" s="2" t="inlineStr">
        <is>
          <t>F</t>
        </is>
      </c>
      <c r="D1974" s="2" t="inlineStr">
        <is>
          <t>100.0</t>
        </is>
      </c>
      <c r="E1974" s="4">
        <f>HYPERLINK("./Results/DLO\735\Osteo_Sarco_1.png","RPT")</f>
        <v/>
      </c>
      <c r="F1974" s="2" t="n">
        <v>101</v>
      </c>
      <c r="G1974" s="6" t="n">
        <v>16</v>
      </c>
      <c r="H1974" t="n">
        <v>26.22</v>
      </c>
      <c r="L1974" t="inlineStr">
        <is>
          <t>Revolution EVO</t>
        </is>
      </c>
      <c r="M1974" t="inlineStr">
        <is>
          <t>PRE</t>
        </is>
      </c>
    </row>
    <row r="1975">
      <c r="A1975" s="2" t="n">
        <v>1848231</v>
      </c>
      <c r="B1975" s="2" t="inlineStr">
        <is>
          <t>55</t>
        </is>
      </c>
      <c r="C1975" s="2" t="inlineStr">
        <is>
          <t>M</t>
        </is>
      </c>
      <c r="D1975" s="2" t="inlineStr">
        <is>
          <t>100.0</t>
        </is>
      </c>
      <c r="E1975" s="4">
        <f>HYPERLINK("./Results/DLO\736\Osteo_Sarco_1.png","RPT")</f>
        <v/>
      </c>
      <c r="F1975" s="2" t="n">
        <v>157</v>
      </c>
      <c r="G1975" s="6" t="n">
        <v>4</v>
      </c>
      <c r="I1975" s="0" t="n"/>
      <c r="J1975" s="0" t="n"/>
      <c r="K1975" s="0" t="n"/>
      <c r="L1975" t="inlineStr">
        <is>
          <t>SOMATOM Definition...</t>
        </is>
      </c>
      <c r="M1975" t="inlineStr">
        <is>
          <t>HVP 2 3mm (62kg/124cc/3cc/o...</t>
        </is>
      </c>
    </row>
    <row r="1976">
      <c r="A1976" s="2" t="n">
        <v>4961475</v>
      </c>
      <c r="B1976" s="2" t="inlineStr">
        <is>
          <t>50</t>
        </is>
      </c>
      <c r="C1976" s="2" t="inlineStr">
        <is>
          <t>M</t>
        </is>
      </c>
      <c r="D1976" s="2" t="inlineStr">
        <is>
          <t>100.0</t>
        </is>
      </c>
      <c r="E1976" s="4">
        <f>HYPERLINK("./Results/DLO\737\Osteo_Sarco_1.png","RPT")</f>
        <v/>
      </c>
      <c r="F1976" s="2" t="n">
        <v>177</v>
      </c>
      <c r="G1976" s="6" t="n">
        <v>6</v>
      </c>
      <c r="I1976" s="0" t="n"/>
      <c r="J1976" s="0" t="n"/>
      <c r="K1976" s="0" t="n"/>
      <c r="L1976" t="inlineStr">
        <is>
          <t>Discovery CT750 HD</t>
        </is>
      </c>
      <c r="M1976" t="inlineStr">
        <is>
          <t>UP 2.5mm(ASIR30%)</t>
        </is>
      </c>
    </row>
    <row r="1977">
      <c r="A1977" s="2" t="n">
        <v>3403807</v>
      </c>
      <c r="B1977" s="2" t="inlineStr">
        <is>
          <t>64</t>
        </is>
      </c>
      <c r="C1977" s="2" t="inlineStr">
        <is>
          <t>F</t>
        </is>
      </c>
      <c r="D1977" s="2" t="inlineStr">
        <is>
          <t>100.0</t>
        </is>
      </c>
      <c r="E1977" s="4">
        <f>HYPERLINK("./Results/DLO\738\Osteo_Sarco_1.png","RPT")</f>
        <v/>
      </c>
      <c r="F1977" s="2" t="n">
        <v>148</v>
      </c>
      <c r="G1977" s="6" t="n">
        <v>12</v>
      </c>
      <c r="H1977" t="n">
        <v>28.48</v>
      </c>
      <c r="L1977" t="inlineStr">
        <is>
          <t>SOMATOM Definition...</t>
        </is>
      </c>
      <c r="M1977" t="inlineStr">
        <is>
          <t>HVP 2 3mm(84kg/150cc/3cc/xene)</t>
        </is>
      </c>
    </row>
    <row r="1978">
      <c r="A1978" s="2" t="n">
        <v>2689344</v>
      </c>
      <c r="B1978" s="2" t="inlineStr">
        <is>
          <t>61</t>
        </is>
      </c>
      <c r="C1978" s="2" t="inlineStr">
        <is>
          <t>M</t>
        </is>
      </c>
      <c r="D1978" s="2" t="inlineStr">
        <is>
          <t>90.0</t>
        </is>
      </c>
      <c r="E1978" s="4">
        <f>HYPERLINK("./Results/DLO\739\Osteo_Sarco_1.png","RPT")</f>
        <v/>
      </c>
      <c r="F1978" s="2" t="n">
        <v>134</v>
      </c>
      <c r="G1978" s="6" t="n">
        <v>6</v>
      </c>
      <c r="I1978" s="0" t="n"/>
      <c r="J1978" s="0" t="n"/>
      <c r="K1978" s="0" t="n"/>
      <c r="L1978" t="inlineStr">
        <is>
          <t>SOMATOM Force</t>
        </is>
      </c>
      <c r="M1978" t="inlineStr">
        <is>
          <t>#PP DE_Dia~Pel.P 5.0 Qr40...</t>
        </is>
      </c>
    </row>
    <row r="1979">
      <c r="A1979" s="2" t="n">
        <v>233441</v>
      </c>
      <c r="B1979" s="2" t="inlineStr">
        <is>
          <t>73</t>
        </is>
      </c>
      <c r="C1979" s="2" t="inlineStr">
        <is>
          <t>M</t>
        </is>
      </c>
      <c r="D1979" s="2" t="inlineStr">
        <is>
          <t>100.0</t>
        </is>
      </c>
      <c r="E1979" s="4">
        <f>HYPERLINK("./Results/DLO\74\Osteo_Sarco_1.png","RPT")</f>
        <v/>
      </c>
      <c r="F1979" s="2" t="n">
        <v>117</v>
      </c>
      <c r="G1979" s="6" t="n">
        <v>9</v>
      </c>
      <c r="H1979" t="n">
        <v>23.03</v>
      </c>
      <c r="L1979" t="inlineStr">
        <is>
          <t>Discovery CT750 HD</t>
        </is>
      </c>
      <c r="M1979" t="inlineStr">
        <is>
          <t>Pre 3mm</t>
        </is>
      </c>
    </row>
    <row r="1980">
      <c r="A1980" s="2" t="n">
        <v>2364798</v>
      </c>
      <c r="B1980" s="2" t="inlineStr">
        <is>
          <t>53</t>
        </is>
      </c>
      <c r="C1980" s="2" t="inlineStr">
        <is>
          <t>F</t>
        </is>
      </c>
      <c r="D1980" s="2" t="inlineStr">
        <is>
          <t>100.0</t>
        </is>
      </c>
      <c r="E1980" s="4">
        <f>HYPERLINK("./Results/DLO\740\Osteo_Sarco_1.png","RPT")</f>
        <v/>
      </c>
      <c r="F1980" s="2" t="n">
        <v>112</v>
      </c>
      <c r="G1980" s="6" t="n">
        <v>14</v>
      </c>
      <c r="I1980" s="0" t="n"/>
      <c r="J1980" s="0" t="n"/>
      <c r="K1980" s="0" t="n"/>
      <c r="L1980" t="inlineStr">
        <is>
          <t>LightSpeed VCT</t>
        </is>
      </c>
      <c r="M1980" t="inlineStr">
        <is>
          <t>PRE</t>
        </is>
      </c>
    </row>
    <row r="1981">
      <c r="A1981" s="2" t="n">
        <v>1905058</v>
      </c>
      <c r="B1981" s="2" t="inlineStr">
        <is>
          <t>57</t>
        </is>
      </c>
      <c r="C1981" s="2" t="inlineStr">
        <is>
          <t>M</t>
        </is>
      </c>
      <c r="D1981" s="2" t="inlineStr">
        <is>
          <t>120.0</t>
        </is>
      </c>
      <c r="E1981" s="4">
        <f>HYPERLINK("./Results/DLO\741\Osteo_Sarco_1.png","RPT")</f>
        <v/>
      </c>
      <c r="F1981" s="2" t="n">
        <v>179</v>
      </c>
      <c r="G1981" s="6" t="n">
        <v>9</v>
      </c>
      <c r="I1981" s="0" t="n"/>
      <c r="J1981" s="0" t="n"/>
      <c r="K1981" s="0" t="n"/>
      <c r="L1981" t="inlineStr">
        <is>
          <t>LightSpeed VCT</t>
        </is>
      </c>
      <c r="M1981" t="inlineStr">
        <is>
          <t>HVP 3mm</t>
        </is>
      </c>
    </row>
    <row r="1982">
      <c r="A1982" s="2" t="n">
        <v>2845102</v>
      </c>
      <c r="B1982" s="2" t="inlineStr">
        <is>
          <t>74</t>
        </is>
      </c>
      <c r="C1982" s="2" t="inlineStr">
        <is>
          <t>F</t>
        </is>
      </c>
      <c r="D1982" s="2" t="inlineStr">
        <is>
          <t>100.0</t>
        </is>
      </c>
      <c r="E1982" s="4">
        <f>HYPERLINK("./Results/DLO\743\Osteo_Sarco_1.png","RPT")</f>
        <v/>
      </c>
      <c r="F1982" s="2" t="n">
        <v>131</v>
      </c>
      <c r="G1982" s="6" t="n">
        <v>17</v>
      </c>
      <c r="H1982" t="n">
        <v>34.77</v>
      </c>
      <c r="L1982" t="inlineStr">
        <is>
          <t>SOMATOM Definition...</t>
        </is>
      </c>
      <c r="M1982" t="inlineStr">
        <is>
          <t>HVP 2 3mm (75kg/150cc/3cc/omni)</t>
        </is>
      </c>
    </row>
    <row r="1983">
      <c r="A1983" s="2" t="n">
        <v>4899726</v>
      </c>
      <c r="B1983" s="2" t="inlineStr">
        <is>
          <t>61</t>
        </is>
      </c>
      <c r="C1983" s="2" t="inlineStr">
        <is>
          <t>M</t>
        </is>
      </c>
      <c r="D1983" s="2" t="inlineStr">
        <is>
          <t>100.0</t>
        </is>
      </c>
      <c r="E1983" s="4">
        <f>HYPERLINK("./Results/DLO\744\Osteo_Sarco_1.png","RPT")</f>
        <v/>
      </c>
      <c r="F1983" s="2" t="n">
        <v>130</v>
      </c>
      <c r="G1983" s="6" t="n">
        <v>8</v>
      </c>
      <c r="H1983" t="n">
        <v>22.62</v>
      </c>
      <c r="L1983" t="inlineStr">
        <is>
          <t>Revolution EVO</t>
        </is>
      </c>
      <c r="M1983" t="inlineStr">
        <is>
          <t>PRE</t>
        </is>
      </c>
    </row>
    <row r="1984">
      <c r="A1984" s="2" t="n">
        <v>3633721</v>
      </c>
      <c r="B1984" s="2" t="inlineStr">
        <is>
          <t>48</t>
        </is>
      </c>
      <c r="C1984" s="2" t="inlineStr">
        <is>
          <t>M</t>
        </is>
      </c>
      <c r="D1984" s="2" t="inlineStr">
        <is>
          <t>100.0</t>
        </is>
      </c>
      <c r="E1984" s="4">
        <f>HYPERLINK("./Results/DLO\745\Osteo_Sarco_1.png","RPT")</f>
        <v/>
      </c>
      <c r="F1984" s="2" t="n">
        <v>165</v>
      </c>
      <c r="G1984" s="6" t="n">
        <v>13</v>
      </c>
      <c r="I1984" s="0" t="n"/>
      <c r="J1984" s="0" t="n"/>
      <c r="K1984" s="0" t="n"/>
      <c r="L1984" t="inlineStr">
        <is>
          <t>SOMATOM Definition...</t>
        </is>
      </c>
      <c r="M1984" t="inlineStr">
        <is>
          <t>Pre 3mm</t>
        </is>
      </c>
    </row>
    <row r="1985">
      <c r="A1985" s="2" t="n">
        <v>4683770</v>
      </c>
      <c r="B1985" s="2" t="inlineStr">
        <is>
          <t>78</t>
        </is>
      </c>
      <c r="C1985" s="2" t="inlineStr">
        <is>
          <t>F</t>
        </is>
      </c>
      <c r="D1985" s="2" t="inlineStr">
        <is>
          <t>100.0</t>
        </is>
      </c>
      <c r="E1985" s="4">
        <f>HYPERLINK("./Results/DLO\746\Osteo_Sarco_1.png","RPT")</f>
        <v/>
      </c>
      <c r="F1985" s="2" t="n">
        <v>94</v>
      </c>
      <c r="G1985" s="6" t="n">
        <v>10</v>
      </c>
      <c r="I1985" s="0" t="n"/>
      <c r="J1985" s="0" t="n"/>
      <c r="K1985" s="0" t="n"/>
      <c r="L1985" t="inlineStr">
        <is>
          <t>SOMATOM Definition...</t>
        </is>
      </c>
      <c r="M1985" t="inlineStr">
        <is>
          <t>PRE 3mm</t>
        </is>
      </c>
    </row>
    <row r="1986">
      <c r="A1986" s="2" t="n">
        <v>1867490</v>
      </c>
      <c r="B1986" s="2" t="inlineStr">
        <is>
          <t>57</t>
        </is>
      </c>
      <c r="C1986" s="2" t="inlineStr">
        <is>
          <t>M</t>
        </is>
      </c>
      <c r="D1986" s="2" t="inlineStr">
        <is>
          <t>100.0</t>
        </is>
      </c>
      <c r="E1986" s="4">
        <f>HYPERLINK("./Results/DLO\747\Osteo_Sarco_1.png","RPT")</f>
        <v/>
      </c>
      <c r="F1986" s="2" t="n">
        <v>147</v>
      </c>
      <c r="G1986" s="6" t="n">
        <v>6</v>
      </c>
      <c r="I1986" s="0" t="n"/>
      <c r="J1986" s="0" t="n"/>
      <c r="K1986" s="0" t="n"/>
      <c r="L1986" t="inlineStr">
        <is>
          <t>SOMATOM Definition...</t>
        </is>
      </c>
      <c r="M1986" t="inlineStr">
        <is>
          <t>HVP 2 3mm (76kg/150cc/3cc/h...</t>
        </is>
      </c>
    </row>
    <row r="1987">
      <c r="A1987" s="2" t="n">
        <v>3608147</v>
      </c>
      <c r="B1987" s="2" t="inlineStr">
        <is>
          <t>58</t>
        </is>
      </c>
      <c r="C1987" s="2" t="inlineStr">
        <is>
          <t>F</t>
        </is>
      </c>
      <c r="D1987" s="2" t="inlineStr">
        <is>
          <t>100.0</t>
        </is>
      </c>
      <c r="E1987" s="4">
        <f>HYPERLINK("./Results/DLO\748\Osteo_Sarco_1.png","RPT")</f>
        <v/>
      </c>
      <c r="F1987" s="2" t="n">
        <v>125</v>
      </c>
      <c r="G1987" s="6" t="n">
        <v>20</v>
      </c>
      <c r="I1987" s="0" t="n"/>
      <c r="J1987" s="0" t="n"/>
      <c r="K1987" s="0" t="n"/>
      <c r="L1987" t="inlineStr">
        <is>
          <t>Sensation 64</t>
        </is>
      </c>
      <c r="M1987" t="inlineStr">
        <is>
          <t>Pre 3mm(100kvp100mAs)</t>
        </is>
      </c>
    </row>
    <row r="1988">
      <c r="A1988" s="2" t="n">
        <v>3410893</v>
      </c>
      <c r="B1988" s="2" t="inlineStr">
        <is>
          <t>60</t>
        </is>
      </c>
      <c r="C1988" s="2" t="inlineStr">
        <is>
          <t>M</t>
        </is>
      </c>
      <c r="D1988" s="2" t="inlineStr">
        <is>
          <t>110.0</t>
        </is>
      </c>
      <c r="E1988" s="4">
        <f>HYPERLINK("./Results/DLO\749\Osteo_Sarco_1.png","RPT")</f>
        <v/>
      </c>
      <c r="F1988" s="2" t="n">
        <v>189</v>
      </c>
      <c r="G1988" s="6" t="n">
        <v>5</v>
      </c>
      <c r="H1988" t="n">
        <v>25.83</v>
      </c>
      <c r="L1988" t="inlineStr">
        <is>
          <t>SOMATOM Force</t>
        </is>
      </c>
      <c r="M1988" t="inlineStr">
        <is>
          <t>Pre 3.0 Br40 2</t>
        </is>
      </c>
    </row>
    <row r="1989">
      <c r="A1989" s="2" t="n">
        <v>2014794</v>
      </c>
      <c r="B1989" s="2" t="inlineStr">
        <is>
          <t>55</t>
        </is>
      </c>
      <c r="C1989" s="2" t="inlineStr">
        <is>
          <t>M</t>
        </is>
      </c>
      <c r="D1989" s="2" t="inlineStr">
        <is>
          <t>100.0</t>
        </is>
      </c>
      <c r="E1989" s="4">
        <f>HYPERLINK("./Results/DLO\75\Osteo_Sarco_1.png","RPT")</f>
        <v/>
      </c>
      <c r="F1989" s="2" t="n">
        <v>137</v>
      </c>
      <c r="G1989" s="6" t="n">
        <v>5</v>
      </c>
      <c r="I1989" s="0" t="n"/>
      <c r="J1989" s="0" t="n"/>
      <c r="K1989" s="0" t="n"/>
      <c r="L1989" t="inlineStr">
        <is>
          <t>Sensation 64</t>
        </is>
      </c>
      <c r="M1989" t="inlineStr">
        <is>
          <t>Pre 3mm(100kvp100mAs)</t>
        </is>
      </c>
    </row>
    <row r="1990">
      <c r="A1990" s="2" t="n">
        <v>1776672</v>
      </c>
      <c r="B1990" s="2" t="inlineStr">
        <is>
          <t>53</t>
        </is>
      </c>
      <c r="C1990" s="2" t="inlineStr">
        <is>
          <t>M</t>
        </is>
      </c>
      <c r="D1990" s="2" t="inlineStr">
        <is>
          <t>120.0</t>
        </is>
      </c>
      <c r="E1990" s="4">
        <f>HYPERLINK("./Results/DLO\750\Osteo_Sarco_1.png","RPT")</f>
        <v/>
      </c>
      <c r="F1990" s="2" t="n">
        <v>177</v>
      </c>
      <c r="G1990" s="6" t="n">
        <v>8</v>
      </c>
      <c r="I1990" s="0" t="n"/>
      <c r="J1990" s="0" t="n"/>
      <c r="K1990" s="0" t="n"/>
      <c r="L1990" t="inlineStr">
        <is>
          <t>Ingenuity CT</t>
        </is>
      </c>
      <c r="M1990" t="inlineStr">
        <is>
          <t>PRE-AX, iDose (5)</t>
        </is>
      </c>
    </row>
    <row r="1991">
      <c r="A1991" s="2" t="n">
        <v>4354130</v>
      </c>
      <c r="B1991" s="2" t="inlineStr">
        <is>
          <t>47</t>
        </is>
      </c>
      <c r="C1991" s="2" t="inlineStr">
        <is>
          <t>M</t>
        </is>
      </c>
      <c r="D1991" s="2" t="inlineStr">
        <is>
          <t>100.0</t>
        </is>
      </c>
      <c r="E1991" s="4">
        <f>HYPERLINK("./Results/DLO\751\Osteo_Sarco_1.png","RPT")</f>
        <v/>
      </c>
      <c r="F1991" s="2" t="n">
        <v>176</v>
      </c>
      <c r="G1991" s="6" t="n">
        <v>8</v>
      </c>
      <c r="I1991" s="0" t="n"/>
      <c r="J1991" s="0" t="n"/>
      <c r="K1991" s="0" t="n"/>
      <c r="L1991" t="inlineStr">
        <is>
          <t>SOMATOM Definition...</t>
        </is>
      </c>
      <c r="M1991" t="inlineStr">
        <is>
          <t>Pre 3mm</t>
        </is>
      </c>
    </row>
    <row r="1992">
      <c r="A1992" s="2" t="n">
        <v>2302181</v>
      </c>
      <c r="B1992" s="2" t="inlineStr">
        <is>
          <t>58</t>
        </is>
      </c>
      <c r="C1992" s="2" t="inlineStr">
        <is>
          <t>M</t>
        </is>
      </c>
      <c r="D1992" s="2" t="inlineStr">
        <is>
          <t>120.0</t>
        </is>
      </c>
      <c r="E1992" s="4">
        <f>HYPERLINK("./Results/DLO\752\Osteo_Sarco_1.png","RPT")</f>
        <v/>
      </c>
      <c r="F1992" s="2" t="n">
        <v>161</v>
      </c>
      <c r="G1992" s="6" t="n">
        <v>6</v>
      </c>
      <c r="I1992" s="0" t="n"/>
      <c r="J1992" s="0" t="n"/>
      <c r="K1992" s="0" t="n"/>
      <c r="L1992" t="inlineStr">
        <is>
          <t>iCT 256</t>
        </is>
      </c>
      <c r="M1992" t="inlineStr">
        <is>
          <t>HVP 3/3mm, iDose (3)</t>
        </is>
      </c>
    </row>
    <row r="1993">
      <c r="A1993" s="2" t="n">
        <v>4891699</v>
      </c>
      <c r="B1993" s="2" t="inlineStr">
        <is>
          <t>72</t>
        </is>
      </c>
      <c r="C1993" s="2" t="inlineStr">
        <is>
          <t>F</t>
        </is>
      </c>
      <c r="D1993" s="2" t="inlineStr">
        <is>
          <t>120.0</t>
        </is>
      </c>
      <c r="E1993" s="4">
        <f>HYPERLINK("./Results/DLO\753\Osteo_Sarco_1.png","RPT")</f>
        <v/>
      </c>
      <c r="F1993" s="2" t="n">
        <v>102</v>
      </c>
      <c r="G1993" s="6" t="n">
        <v>15</v>
      </c>
      <c r="H1993" t="n">
        <v>23.97</v>
      </c>
      <c r="L1993" t="inlineStr">
        <is>
          <t>SOMATOM Definition...</t>
        </is>
      </c>
      <c r="M1993" t="inlineStr">
        <is>
          <t>Abd pre 5.0 I40f 3</t>
        </is>
      </c>
    </row>
    <row r="1994">
      <c r="A1994" s="2" t="n">
        <v>1988605</v>
      </c>
      <c r="B1994" s="2" t="inlineStr">
        <is>
          <t>57</t>
        </is>
      </c>
      <c r="C1994" s="2" t="inlineStr">
        <is>
          <t>M</t>
        </is>
      </c>
      <c r="D1994" s="2" t="inlineStr">
        <is>
          <t>100.0</t>
        </is>
      </c>
      <c r="E1994" s="4">
        <f>HYPERLINK("./Results/DLO\754\Osteo_Sarco_1.png","RPT")</f>
        <v/>
      </c>
      <c r="F1994" s="2" t="n">
        <v>122</v>
      </c>
      <c r="G1994" s="6" t="n">
        <v>8</v>
      </c>
      <c r="I1994" s="0" t="n"/>
      <c r="J1994" s="0" t="n"/>
      <c r="K1994" s="0" t="n"/>
      <c r="L1994" t="inlineStr">
        <is>
          <t>LightSpeed VCT</t>
        </is>
      </c>
      <c r="M1994" t="inlineStr">
        <is>
          <t>PRE 3mm</t>
        </is>
      </c>
    </row>
    <row r="1995">
      <c r="A1995" s="2" t="n">
        <v>3617150</v>
      </c>
      <c r="B1995" s="2" t="inlineStr">
        <is>
          <t>58</t>
        </is>
      </c>
      <c r="C1995" s="2" t="inlineStr">
        <is>
          <t>F</t>
        </is>
      </c>
      <c r="D1995" s="2" t="inlineStr">
        <is>
          <t>100.0</t>
        </is>
      </c>
      <c r="E1995" s="4">
        <f>HYPERLINK("./Results/DLO\755\Osteo_Sarco_1.png","RPT")</f>
        <v/>
      </c>
      <c r="F1995" s="2" t="n">
        <v>109</v>
      </c>
      <c r="G1995" s="6" t="n">
        <v>5</v>
      </c>
      <c r="I1995" s="0" t="n"/>
      <c r="J1995" s="0" t="n"/>
      <c r="K1995" s="0" t="n"/>
      <c r="L1995" t="inlineStr">
        <is>
          <t>SOMATOM Definition...</t>
        </is>
      </c>
      <c r="M1995" t="inlineStr">
        <is>
          <t>HVP 2 3mm (48kg/96cc/2.5cc/h...</t>
        </is>
      </c>
    </row>
    <row r="1996">
      <c r="A1996" s="2" t="n">
        <v>3324122</v>
      </c>
      <c r="B1996" s="2" t="inlineStr">
        <is>
          <t>66</t>
        </is>
      </c>
      <c r="C1996" s="2" t="inlineStr">
        <is>
          <t>M</t>
        </is>
      </c>
      <c r="D1996" s="2" t="inlineStr">
        <is>
          <t>120.0</t>
        </is>
      </c>
      <c r="E1996" s="4">
        <f>HYPERLINK("./Results/DLO\757\Osteo_Sarco_1.png","RPT")</f>
        <v/>
      </c>
      <c r="F1996" s="2" t="n">
        <v>155</v>
      </c>
      <c r="G1996" s="6" t="n">
        <v>12</v>
      </c>
      <c r="I1996" s="0" t="n"/>
      <c r="J1996" s="0" t="n"/>
      <c r="K1996" s="0" t="n"/>
      <c r="L1996" t="inlineStr">
        <is>
          <t>LightSpeed VCT</t>
        </is>
      </c>
      <c r="M1996" t="inlineStr">
        <is>
          <t>HVP 3mm</t>
        </is>
      </c>
    </row>
    <row r="1997">
      <c r="A1997" s="2" t="n">
        <v>3808306</v>
      </c>
      <c r="B1997" s="2" t="inlineStr">
        <is>
          <t>67</t>
        </is>
      </c>
      <c r="C1997" s="2" t="inlineStr">
        <is>
          <t>M</t>
        </is>
      </c>
      <c r="D1997" s="2" t="inlineStr">
        <is>
          <t>100.0</t>
        </is>
      </c>
      <c r="E1997" s="4">
        <f>HYPERLINK("./Results/DLO\758\Osteo_Sarco_1.png","RPT")</f>
        <v/>
      </c>
      <c r="F1997" s="2" t="n">
        <v>165</v>
      </c>
      <c r="G1997" s="6" t="n">
        <v>10</v>
      </c>
      <c r="I1997" s="0" t="n"/>
      <c r="J1997" s="0" t="n"/>
      <c r="K1997" s="0" t="n"/>
      <c r="L1997" t="inlineStr">
        <is>
          <t>iCT 256</t>
        </is>
      </c>
      <c r="M1997" t="inlineStr">
        <is>
          <t>HVP 3/3mm, iDose (3)</t>
        </is>
      </c>
    </row>
    <row r="1998">
      <c r="A1998" s="2" t="n">
        <v>1770426</v>
      </c>
      <c r="B1998" s="2" t="inlineStr">
        <is>
          <t>61</t>
        </is>
      </c>
      <c r="C1998" s="2" t="inlineStr">
        <is>
          <t>F</t>
        </is>
      </c>
      <c r="D1998" s="2" t="inlineStr">
        <is>
          <t>100.0</t>
        </is>
      </c>
      <c r="E1998" s="4">
        <f>HYPERLINK("./Results/DLO\759\Osteo_Sarco_1.png","RPT")</f>
        <v/>
      </c>
      <c r="F1998" s="2" t="n">
        <v>116</v>
      </c>
      <c r="G1998" s="6" t="n">
        <v>14</v>
      </c>
      <c r="I1998" s="0" t="n"/>
      <c r="J1998" s="0" t="n"/>
      <c r="K1998" s="0" t="n"/>
      <c r="L1998" t="inlineStr">
        <is>
          <t>Revolution EVO</t>
        </is>
      </c>
      <c r="M1998" t="inlineStr">
        <is>
          <t>PRE</t>
        </is>
      </c>
    </row>
    <row r="1999">
      <c r="A1999" s="2" t="n">
        <v>232434</v>
      </c>
      <c r="B1999" s="2" t="inlineStr">
        <is>
          <t>62</t>
        </is>
      </c>
      <c r="C1999" s="2" t="inlineStr">
        <is>
          <t>F</t>
        </is>
      </c>
      <c r="D1999" s="2" t="inlineStr">
        <is>
          <t>100.0</t>
        </is>
      </c>
      <c r="E1999" s="4">
        <f>HYPERLINK("./Results/DLO\76\Osteo_Sarco_1.png","RPT")</f>
        <v/>
      </c>
      <c r="F1999" s="2" t="n">
        <v>82</v>
      </c>
      <c r="G1999" s="6" t="n">
        <v>8</v>
      </c>
      <c r="H1999" t="n">
        <v>21.66</v>
      </c>
      <c r="L1999" t="inlineStr">
        <is>
          <t>LightSpeed VCT</t>
        </is>
      </c>
      <c r="M1999" t="inlineStr">
        <is>
          <t>PRE 3mm</t>
        </is>
      </c>
    </row>
    <row r="2000">
      <c r="A2000" s="2" t="n">
        <v>2399876</v>
      </c>
      <c r="B2000" s="2" t="inlineStr">
        <is>
          <t>54</t>
        </is>
      </c>
      <c r="C2000" s="2" t="inlineStr">
        <is>
          <t>F</t>
        </is>
      </c>
      <c r="D2000" s="2" t="inlineStr">
        <is>
          <t>100.0</t>
        </is>
      </c>
      <c r="E2000" s="4">
        <f>HYPERLINK("./Results/DLO\760\Osteo_Sarco_1.png","RPT")</f>
        <v/>
      </c>
      <c r="F2000" s="2" t="n">
        <v>113</v>
      </c>
      <c r="G2000" s="6" t="n">
        <v>11</v>
      </c>
      <c r="I2000" s="0" t="n"/>
      <c r="J2000" s="0" t="n"/>
      <c r="K2000" s="0" t="n"/>
      <c r="L2000" t="inlineStr">
        <is>
          <t>SOMATOM Definition...</t>
        </is>
      </c>
      <c r="M2000" t="inlineStr">
        <is>
          <t>HVP 2 3mm (53kg/106cc/2cc/h...</t>
        </is>
      </c>
    </row>
    <row r="2001">
      <c r="A2001" s="2" t="n">
        <v>4546085</v>
      </c>
      <c r="B2001" s="2" t="inlineStr">
        <is>
          <t>63</t>
        </is>
      </c>
      <c r="C2001" s="2" t="inlineStr">
        <is>
          <t>F</t>
        </is>
      </c>
      <c r="D2001" s="2" t="inlineStr">
        <is>
          <t>100.0</t>
        </is>
      </c>
      <c r="E2001" s="4">
        <f>HYPERLINK("./Results/DLO\761\Osteo_Sarco_1.png","RPT")</f>
        <v/>
      </c>
      <c r="F2001" s="2" t="n">
        <v>87</v>
      </c>
      <c r="G2001" s="6" t="n">
        <v>6</v>
      </c>
      <c r="I2001" s="0" t="n"/>
      <c r="J2001" s="0" t="n"/>
      <c r="K2001" s="0" t="n"/>
      <c r="L2001" t="inlineStr">
        <is>
          <t>SOMATOM Definition...</t>
        </is>
      </c>
      <c r="M2001" t="inlineStr">
        <is>
          <t>HVP 2 3mm (57kg/116cc/3cc/radi)</t>
        </is>
      </c>
    </row>
    <row r="2002">
      <c r="A2002" s="2" t="n">
        <v>4268418</v>
      </c>
      <c r="B2002" s="2" t="inlineStr">
        <is>
          <t>64</t>
        </is>
      </c>
      <c r="C2002" s="2" t="inlineStr">
        <is>
          <t>F</t>
        </is>
      </c>
      <c r="D2002" s="2" t="inlineStr">
        <is>
          <t>100.0</t>
        </is>
      </c>
      <c r="E2002" s="4">
        <f>HYPERLINK("./Results/DLO\762\Osteo_Sarco_1.png","RPT")</f>
        <v/>
      </c>
      <c r="F2002" s="2" t="n">
        <v>102</v>
      </c>
      <c r="G2002" s="6" t="n">
        <v>8</v>
      </c>
      <c r="H2002" t="n">
        <v>24.46</v>
      </c>
      <c r="L2002" t="inlineStr">
        <is>
          <t>SOMATOM Force</t>
        </is>
      </c>
      <c r="M2002" t="inlineStr">
        <is>
          <t>Pre 3.0 Br40</t>
        </is>
      </c>
    </row>
    <row r="2003">
      <c r="A2003" s="2" t="n">
        <v>3846628</v>
      </c>
      <c r="B2003" s="2" t="inlineStr">
        <is>
          <t>59</t>
        </is>
      </c>
      <c r="C2003" s="2" t="inlineStr">
        <is>
          <t>F</t>
        </is>
      </c>
      <c r="D2003" s="2" t="inlineStr">
        <is>
          <t>100.0</t>
        </is>
      </c>
      <c r="E2003" s="4">
        <f>HYPERLINK("./Results/DLO\763\Osteo_Sarco_1.png","RPT")</f>
        <v/>
      </c>
      <c r="F2003" s="2" t="n">
        <v>102</v>
      </c>
      <c r="G2003" s="6" t="n">
        <v>14</v>
      </c>
      <c r="I2003" s="0" t="n"/>
      <c r="J2003" s="0" t="n"/>
      <c r="K2003" s="0" t="n"/>
      <c r="L2003" t="inlineStr">
        <is>
          <t>Revolution CT</t>
        </is>
      </c>
      <c r="M2003" t="inlineStr">
        <is>
          <t>Pre Axial 3mm</t>
        </is>
      </c>
    </row>
    <row r="2004">
      <c r="A2004" s="2" t="n">
        <v>4701181</v>
      </c>
      <c r="B2004" s="2" t="inlineStr">
        <is>
          <t>72</t>
        </is>
      </c>
      <c r="C2004" s="2" t="inlineStr">
        <is>
          <t>F</t>
        </is>
      </c>
      <c r="D2004" s="2" t="inlineStr">
        <is>
          <t>100.0</t>
        </is>
      </c>
      <c r="E2004" s="4">
        <f>HYPERLINK("./Results/DLO\764\Osteo_Sarco_1.png","RPT")</f>
        <v/>
      </c>
      <c r="F2004" s="2" t="n">
        <v>115</v>
      </c>
      <c r="G2004" s="6" t="n">
        <v>13</v>
      </c>
      <c r="H2004" t="n">
        <v>24.03</v>
      </c>
      <c r="L2004" t="inlineStr">
        <is>
          <t>SOMATOM Definition...</t>
        </is>
      </c>
      <c r="M2004" t="inlineStr">
        <is>
          <t>PRE 3mm</t>
        </is>
      </c>
    </row>
    <row r="2005">
      <c r="A2005" s="2" t="n">
        <v>4221502</v>
      </c>
      <c r="B2005" s="2" t="inlineStr">
        <is>
          <t>40</t>
        </is>
      </c>
      <c r="C2005" s="2" t="inlineStr">
        <is>
          <t>F</t>
        </is>
      </c>
      <c r="D2005" s="2" t="inlineStr">
        <is>
          <t>100.0</t>
        </is>
      </c>
      <c r="E2005" s="4">
        <f>HYPERLINK("./Results/DLO\765\Osteo_Sarco_1.png","RPT")</f>
        <v/>
      </c>
      <c r="F2005" s="2" t="n">
        <v>110</v>
      </c>
      <c r="G2005" s="6" t="n">
        <v>12</v>
      </c>
      <c r="I2005" s="0" t="n"/>
      <c r="J2005" s="0" t="n"/>
      <c r="K2005" s="0" t="n"/>
      <c r="L2005" t="inlineStr">
        <is>
          <t>Revolution CT</t>
        </is>
      </c>
      <c r="M2005" t="inlineStr">
        <is>
          <t>Pre Axial 3mm</t>
        </is>
      </c>
    </row>
    <row r="2006">
      <c r="A2006" s="2" t="n">
        <v>4182301</v>
      </c>
      <c r="B2006" s="2" t="inlineStr">
        <is>
          <t>39</t>
        </is>
      </c>
      <c r="C2006" s="2" t="inlineStr">
        <is>
          <t>M</t>
        </is>
      </c>
      <c r="D2006" s="2" t="inlineStr">
        <is>
          <t>100.0</t>
        </is>
      </c>
      <c r="E2006" s="4">
        <f>HYPERLINK("./Results/DLO\766\Osteo_Sarco_1.png","RPT")</f>
        <v/>
      </c>
      <c r="F2006" s="2" t="n">
        <v>179</v>
      </c>
      <c r="G2006" s="6" t="n">
        <v>10</v>
      </c>
      <c r="H2006" t="n">
        <v>25.46</v>
      </c>
      <c r="L2006" t="inlineStr">
        <is>
          <t>SOMATOM Definition...</t>
        </is>
      </c>
      <c r="M2006" t="inlineStr">
        <is>
          <t>Abd Pre 5.0 I40f 2</t>
        </is>
      </c>
    </row>
    <row r="2007">
      <c r="A2007" s="2" t="n">
        <v>1805227</v>
      </c>
      <c r="B2007" s="2" t="inlineStr">
        <is>
          <t>78</t>
        </is>
      </c>
      <c r="C2007" s="2" t="inlineStr">
        <is>
          <t>F</t>
        </is>
      </c>
      <c r="D2007" s="2" t="inlineStr">
        <is>
          <t>100.0</t>
        </is>
      </c>
      <c r="E2007" s="4">
        <f>HYPERLINK("./Results/DLO\767\Osteo_Sarco_1.png","RPT")</f>
        <v/>
      </c>
      <c r="F2007" s="2" t="n">
        <v>123</v>
      </c>
      <c r="G2007" s="6" t="n">
        <v>24</v>
      </c>
      <c r="H2007" t="n">
        <v>27.33</v>
      </c>
      <c r="L2007" t="inlineStr">
        <is>
          <t>SOMATOM Force</t>
        </is>
      </c>
      <c r="M2007" t="inlineStr">
        <is>
          <t>Pre 3.0 Br40</t>
        </is>
      </c>
    </row>
    <row r="2008">
      <c r="A2008" s="2" t="n">
        <v>3982057</v>
      </c>
      <c r="B2008" s="2" t="inlineStr">
        <is>
          <t>73</t>
        </is>
      </c>
      <c r="C2008" s="2" t="inlineStr">
        <is>
          <t>F</t>
        </is>
      </c>
      <c r="D2008" s="2" t="inlineStr">
        <is>
          <t>120.0</t>
        </is>
      </c>
      <c r="E2008" s="4">
        <f>HYPERLINK("./Results/DLO\768\Osteo_Sarco_1.png","RPT")</f>
        <v/>
      </c>
      <c r="F2008" s="2" t="n">
        <v>73</v>
      </c>
      <c r="G2008" s="6" t="n">
        <v>11</v>
      </c>
      <c r="H2008" t="n">
        <v>18.53</v>
      </c>
      <c r="L2008" t="inlineStr">
        <is>
          <t>Discovery CT750 HD</t>
        </is>
      </c>
      <c r="M2008" t="inlineStr">
        <is>
          <t>HVP 3mm</t>
        </is>
      </c>
    </row>
    <row r="2009">
      <c r="A2009" s="2" t="n">
        <v>2538513</v>
      </c>
      <c r="B2009" s="2" t="inlineStr">
        <is>
          <t>67</t>
        </is>
      </c>
      <c r="C2009" s="2" t="inlineStr">
        <is>
          <t>F</t>
        </is>
      </c>
      <c r="D2009" s="2" t="inlineStr">
        <is>
          <t>120.0</t>
        </is>
      </c>
      <c r="E2009" s="4">
        <f>HYPERLINK("./Results/DLO\769\Osteo_Sarco_1.png","RPT")</f>
        <v/>
      </c>
      <c r="F2009" s="2" t="n">
        <v>105</v>
      </c>
      <c r="G2009" s="6" t="n">
        <v>12</v>
      </c>
      <c r="I2009" s="0" t="n"/>
      <c r="J2009" s="0" t="n"/>
      <c r="K2009" s="0" t="n"/>
      <c r="L2009" t="inlineStr">
        <is>
          <t>iCT 256</t>
        </is>
      </c>
      <c r="M2009" t="inlineStr">
        <is>
          <t>Pre 3/3mm, iDose (3)</t>
        </is>
      </c>
    </row>
    <row r="2010">
      <c r="A2010" s="2" t="n">
        <v>2182985</v>
      </c>
      <c r="B2010" s="2" t="inlineStr">
        <is>
          <t>50</t>
        </is>
      </c>
      <c r="C2010" s="2" t="inlineStr">
        <is>
          <t>M</t>
        </is>
      </c>
      <c r="D2010" s="2" t="inlineStr">
        <is>
          <t>100.0</t>
        </is>
      </c>
      <c r="E2010" s="4">
        <f>HYPERLINK("./Results/DLO\77\Osteo_Sarco_1.png","RPT")</f>
        <v/>
      </c>
      <c r="F2010" s="2" t="n">
        <v>152</v>
      </c>
      <c r="G2010" s="6" t="n">
        <v>5</v>
      </c>
      <c r="I2010" s="0" t="n"/>
      <c r="J2010" s="0" t="n"/>
      <c r="K2010" s="0" t="n"/>
      <c r="L2010" t="inlineStr">
        <is>
          <t>SOMATOM Definition...</t>
        </is>
      </c>
      <c r="M2010" t="inlineStr">
        <is>
          <t>Pre 3mm</t>
        </is>
      </c>
    </row>
    <row r="2011">
      <c r="A2011" s="2" t="n">
        <v>3082016</v>
      </c>
      <c r="B2011" s="2" t="inlineStr">
        <is>
          <t>58</t>
        </is>
      </c>
      <c r="C2011" s="2" t="inlineStr">
        <is>
          <t>F</t>
        </is>
      </c>
      <c r="D2011" s="2" t="inlineStr">
        <is>
          <t>100.0</t>
        </is>
      </c>
      <c r="E2011" s="4">
        <f>HYPERLINK("./Results/DLO\770\Osteo_Sarco_1.png","RPT")</f>
        <v/>
      </c>
      <c r="F2011" s="2" t="n">
        <v>101</v>
      </c>
      <c r="G2011" s="6" t="n">
        <v>8</v>
      </c>
      <c r="H2011" t="n">
        <v>22.16</v>
      </c>
      <c r="L2011" t="inlineStr">
        <is>
          <t>SOMATOM Definition...</t>
        </is>
      </c>
      <c r="M2011" t="inlineStr">
        <is>
          <t>Pre 3mm</t>
        </is>
      </c>
    </row>
    <row r="2012">
      <c r="A2012" s="2" t="n">
        <v>4372891</v>
      </c>
      <c r="B2012" s="2" t="inlineStr">
        <is>
          <t>50</t>
        </is>
      </c>
      <c r="C2012" s="2" t="inlineStr">
        <is>
          <t>M</t>
        </is>
      </c>
      <c r="D2012" s="2" t="inlineStr">
        <is>
          <t>100.0</t>
        </is>
      </c>
      <c r="E2012" s="4">
        <f>HYPERLINK("./Results/DLO\771\Osteo_Sarco_1.png","RPT")</f>
        <v/>
      </c>
      <c r="F2012" s="2" t="n">
        <v>153</v>
      </c>
      <c r="G2012" s="6" t="n">
        <v>14</v>
      </c>
      <c r="H2012" t="n">
        <v>25.62</v>
      </c>
      <c r="L2012" t="inlineStr">
        <is>
          <t>Optima CT660</t>
        </is>
      </c>
      <c r="M2012" t="inlineStr">
        <is>
          <t>pre 3mm</t>
        </is>
      </c>
    </row>
    <row r="2013">
      <c r="A2013" s="2" t="n">
        <v>4375466</v>
      </c>
      <c r="B2013" s="2" t="inlineStr">
        <is>
          <t>37</t>
        </is>
      </c>
      <c r="C2013" s="2" t="inlineStr">
        <is>
          <t>M</t>
        </is>
      </c>
      <c r="D2013" s="2" t="inlineStr">
        <is>
          <t>100.0</t>
        </is>
      </c>
      <c r="E2013" s="4">
        <f>HYPERLINK("./Results/DLO\772\Osteo_Sarco_1.png","RPT")</f>
        <v/>
      </c>
      <c r="F2013" s="2" t="n">
        <v>155</v>
      </c>
      <c r="G2013" s="6" t="n">
        <v>10</v>
      </c>
      <c r="I2013" s="0" t="n"/>
      <c r="J2013" s="0" t="n"/>
      <c r="K2013" s="0" t="n"/>
      <c r="L2013" t="inlineStr">
        <is>
          <t>Revolution EVO</t>
        </is>
      </c>
      <c r="M2013" t="inlineStr">
        <is>
          <t>PRE</t>
        </is>
      </c>
    </row>
    <row r="2014">
      <c r="A2014" s="2" t="n">
        <v>1540320</v>
      </c>
      <c r="B2014" s="2" t="inlineStr">
        <is>
          <t>65</t>
        </is>
      </c>
      <c r="C2014" s="2" t="inlineStr">
        <is>
          <t>F</t>
        </is>
      </c>
      <c r="D2014" s="2" t="inlineStr">
        <is>
          <t>100.0</t>
        </is>
      </c>
      <c r="E2014" s="4">
        <f>HYPERLINK("./Results/DLO\773\Osteo_Sarco_1.png","RPT")</f>
        <v/>
      </c>
      <c r="F2014" s="2" t="n">
        <v>124</v>
      </c>
      <c r="G2014" s="6" t="n">
        <v>18</v>
      </c>
      <c r="H2014" t="n">
        <v>33.22</v>
      </c>
      <c r="L2014" t="inlineStr">
        <is>
          <t>Revolution EVO</t>
        </is>
      </c>
      <c r="M2014" t="inlineStr">
        <is>
          <t>PRE</t>
        </is>
      </c>
    </row>
    <row r="2015">
      <c r="A2015" s="2" t="n">
        <v>4662961</v>
      </c>
      <c r="B2015" s="2" t="inlineStr">
        <is>
          <t>73</t>
        </is>
      </c>
      <c r="C2015" s="2" t="inlineStr">
        <is>
          <t>F</t>
        </is>
      </c>
      <c r="D2015" s="2" t="inlineStr">
        <is>
          <t>120.0</t>
        </is>
      </c>
      <c r="E2015" s="4">
        <f>HYPERLINK("./Results/DLO\774\Osteo_Sarco_1.png","RPT")</f>
        <v/>
      </c>
      <c r="F2015" s="2" t="n">
        <v>86</v>
      </c>
      <c r="G2015" s="6" t="n">
        <v>8</v>
      </c>
      <c r="I2015" s="0" t="n"/>
      <c r="J2015" s="0" t="n"/>
      <c r="K2015" s="0" t="n"/>
      <c r="L2015" t="inlineStr">
        <is>
          <t>iCT 256</t>
        </is>
      </c>
      <c r="M2015" t="inlineStr">
        <is>
          <t>POST</t>
        </is>
      </c>
    </row>
    <row r="2016">
      <c r="A2016" s="2" t="n">
        <v>3798907</v>
      </c>
      <c r="B2016" s="2" t="inlineStr">
        <is>
          <t>71</t>
        </is>
      </c>
      <c r="C2016" s="2" t="inlineStr">
        <is>
          <t>M</t>
        </is>
      </c>
      <c r="D2016" s="2" t="inlineStr">
        <is>
          <t>120.0</t>
        </is>
      </c>
      <c r="E2016" s="4">
        <f>HYPERLINK("./Results/DLO\775\Osteo_Sarco_1.png","RPT")</f>
        <v/>
      </c>
      <c r="F2016" s="2" t="n">
        <v>144</v>
      </c>
      <c r="G2016" s="6" t="n">
        <v>4</v>
      </c>
      <c r="I2016" s="0" t="n"/>
      <c r="J2016" s="0" t="n"/>
      <c r="K2016" s="0" t="n"/>
      <c r="L2016" t="inlineStr">
        <is>
          <t>Discovery CT750 HD</t>
        </is>
      </c>
      <c r="M2016" t="inlineStr">
        <is>
          <t>HVP 3mm</t>
        </is>
      </c>
    </row>
    <row r="2017">
      <c r="A2017" s="2" t="n">
        <v>2051318</v>
      </c>
      <c r="B2017" s="2" t="inlineStr">
        <is>
          <t>70</t>
        </is>
      </c>
      <c r="C2017" s="2" t="inlineStr">
        <is>
          <t>M</t>
        </is>
      </c>
      <c r="D2017" s="2" t="inlineStr">
        <is>
          <t>100.0</t>
        </is>
      </c>
      <c r="E2017" s="4">
        <f>HYPERLINK("./Results/DLO\776\Osteo_Sarco_1.png","RPT")</f>
        <v/>
      </c>
      <c r="F2017" s="2" t="n">
        <v>183</v>
      </c>
      <c r="G2017" s="6" t="n">
        <v>24</v>
      </c>
      <c r="I2017" s="0" t="n"/>
      <c r="J2017" s="0" t="n"/>
      <c r="K2017" s="0" t="n"/>
      <c r="L2017" t="inlineStr">
        <is>
          <t>SOMATOM Force</t>
        </is>
      </c>
      <c r="M2017" t="inlineStr">
        <is>
          <t>Pre 3.0 Br40</t>
        </is>
      </c>
    </row>
    <row r="2018">
      <c r="A2018" s="2" t="n">
        <v>4300661</v>
      </c>
      <c r="B2018" s="2" t="inlineStr">
        <is>
          <t>63</t>
        </is>
      </c>
      <c r="C2018" s="2" t="inlineStr">
        <is>
          <t>M</t>
        </is>
      </c>
      <c r="D2018" s="2" t="inlineStr">
        <is>
          <t>100.0</t>
        </is>
      </c>
      <c r="E2018" s="4">
        <f>HYPERLINK("./Results/DLO\777\Osteo_Sarco_1.png","RPT")</f>
        <v/>
      </c>
      <c r="F2018" s="2" t="n">
        <v>109</v>
      </c>
      <c r="G2018" s="6" t="n">
        <v>9</v>
      </c>
      <c r="H2018" t="n">
        <v>19.53</v>
      </c>
      <c r="L2018" t="inlineStr">
        <is>
          <t>LightSpeed VCT</t>
        </is>
      </c>
      <c r="M2018" t="inlineStr">
        <is>
          <t>Pre 3mm</t>
        </is>
      </c>
    </row>
    <row r="2019">
      <c r="A2019" s="2" t="n">
        <v>2262747</v>
      </c>
      <c r="B2019" s="2" t="inlineStr">
        <is>
          <t>66</t>
        </is>
      </c>
      <c r="C2019" s="2" t="inlineStr">
        <is>
          <t>M</t>
        </is>
      </c>
      <c r="D2019" s="2" t="inlineStr">
        <is>
          <t>120.0</t>
        </is>
      </c>
      <c r="E2019" s="4">
        <f>HYPERLINK("./Results/DLO\778\Osteo_Sarco_1.png","RPT")</f>
        <v/>
      </c>
      <c r="F2019" s="2" t="n">
        <v>154</v>
      </c>
      <c r="G2019" s="6" t="n">
        <v>4</v>
      </c>
      <c r="I2019" s="0" t="n"/>
      <c r="J2019" s="0" t="n"/>
      <c r="K2019" s="0" t="n"/>
      <c r="L2019" t="inlineStr">
        <is>
          <t>LightSpeed VCT</t>
        </is>
      </c>
      <c r="M2019" t="inlineStr">
        <is>
          <t>HVP 3mm</t>
        </is>
      </c>
    </row>
    <row r="2020">
      <c r="A2020" s="2" t="n">
        <v>1571052</v>
      </c>
      <c r="B2020" s="2" t="inlineStr">
        <is>
          <t>59</t>
        </is>
      </c>
      <c r="C2020" s="2" t="inlineStr">
        <is>
          <t>F</t>
        </is>
      </c>
      <c r="D2020" s="2" t="inlineStr">
        <is>
          <t>100.0</t>
        </is>
      </c>
      <c r="E2020" s="4">
        <f>HYPERLINK("./Results/DLO\779\Osteo_Sarco_1.png","RPT")</f>
        <v/>
      </c>
      <c r="F2020" s="2" t="n">
        <v>119</v>
      </c>
      <c r="G2020" s="6" t="n">
        <v>15</v>
      </c>
      <c r="I2020" s="0" t="n"/>
      <c r="J2020" s="0" t="n"/>
      <c r="K2020" s="0" t="n"/>
      <c r="L2020" t="inlineStr">
        <is>
          <t>SOMATOM Definition...</t>
        </is>
      </c>
      <c r="M2020" t="inlineStr">
        <is>
          <t>Pre 3mm</t>
        </is>
      </c>
    </row>
    <row r="2021">
      <c r="A2021" s="2" t="n">
        <v>1947691</v>
      </c>
      <c r="B2021" s="2" t="inlineStr">
        <is>
          <t>80</t>
        </is>
      </c>
      <c r="C2021" s="2" t="inlineStr">
        <is>
          <t>M</t>
        </is>
      </c>
      <c r="D2021" s="2" t="inlineStr">
        <is>
          <t>120.0</t>
        </is>
      </c>
      <c r="E2021" s="4">
        <f>HYPERLINK("./Results/DLO\78\Osteo_Sarco_1.png","RPT")</f>
        <v/>
      </c>
      <c r="F2021" s="2" t="n">
        <v>127</v>
      </c>
      <c r="G2021" s="6" t="n">
        <v>21</v>
      </c>
      <c r="H2021" t="n">
        <v>21.19</v>
      </c>
      <c r="L2021" t="inlineStr">
        <is>
          <t>LightSpeed VCT</t>
        </is>
      </c>
      <c r="M2021" t="inlineStr">
        <is>
          <t>LAP 18sec 3mm</t>
        </is>
      </c>
    </row>
    <row r="2022">
      <c r="A2022" s="2" t="n">
        <v>4652930</v>
      </c>
      <c r="B2022" s="2" t="inlineStr">
        <is>
          <t>61</t>
        </is>
      </c>
      <c r="C2022" s="2" t="inlineStr">
        <is>
          <t>M</t>
        </is>
      </c>
      <c r="D2022" s="2" t="inlineStr">
        <is>
          <t>100.0</t>
        </is>
      </c>
      <c r="E2022" s="4">
        <f>HYPERLINK("./Results/DLO\780\Osteo_Sarco_1.png","RPT")</f>
        <v/>
      </c>
      <c r="F2022" s="2" t="n">
        <v>118</v>
      </c>
      <c r="G2022" s="6" t="n">
        <v>4</v>
      </c>
      <c r="I2022" s="0" t="n"/>
      <c r="J2022" s="0" t="n"/>
      <c r="K2022" s="0" t="n"/>
      <c r="L2022" t="inlineStr">
        <is>
          <t>LightSpeed VCT</t>
        </is>
      </c>
      <c r="M2022" t="inlineStr">
        <is>
          <t>Pre 2,5mm(CP~~~Pubic Symphys)</t>
        </is>
      </c>
    </row>
    <row r="2023">
      <c r="A2023" s="2" t="n">
        <v>4467059</v>
      </c>
      <c r="B2023" s="2" t="inlineStr">
        <is>
          <t>63</t>
        </is>
      </c>
      <c r="C2023" s="2" t="inlineStr">
        <is>
          <t>F</t>
        </is>
      </c>
      <c r="D2023" s="2" t="inlineStr">
        <is>
          <t>120.0</t>
        </is>
      </c>
      <c r="E2023" s="4">
        <f>HYPERLINK("./Results/DLO\781\Osteo_Sarco_1.png","RPT")</f>
        <v/>
      </c>
      <c r="F2023" s="2" t="n">
        <v>97</v>
      </c>
      <c r="G2023" s="6" t="n">
        <v>17</v>
      </c>
      <c r="I2023" s="0" t="n"/>
      <c r="J2023" s="0" t="n"/>
      <c r="K2023" s="0" t="n"/>
      <c r="L2023" t="inlineStr">
        <is>
          <t>iCT 256</t>
        </is>
      </c>
      <c r="M2023" t="inlineStr">
        <is>
          <t>HVP 3/3mm, iDose (3)</t>
        </is>
      </c>
    </row>
    <row r="2024">
      <c r="A2024" s="2" t="n">
        <v>1729165</v>
      </c>
      <c r="B2024" s="2" t="inlineStr">
        <is>
          <t>61</t>
        </is>
      </c>
      <c r="C2024" s="2" t="inlineStr">
        <is>
          <t>M</t>
        </is>
      </c>
      <c r="D2024" s="2" t="inlineStr">
        <is>
          <t>100.0</t>
        </is>
      </c>
      <c r="E2024" s="4">
        <f>HYPERLINK("./Results/DLO\782\Osteo_Sarco_1.png","RPT")</f>
        <v/>
      </c>
      <c r="F2024" s="2" t="n">
        <v>142</v>
      </c>
      <c r="G2024" s="6" t="n">
        <v>11</v>
      </c>
      <c r="H2024" t="n">
        <v>22.05</v>
      </c>
      <c r="L2024" t="inlineStr">
        <is>
          <t>Revolution EVO</t>
        </is>
      </c>
      <c r="M2024" t="inlineStr">
        <is>
          <t>PRE</t>
        </is>
      </c>
    </row>
    <row r="2025">
      <c r="A2025" s="2" t="n">
        <v>2165406</v>
      </c>
      <c r="B2025" s="2" t="inlineStr">
        <is>
          <t>66</t>
        </is>
      </c>
      <c r="C2025" s="2" t="inlineStr">
        <is>
          <t>M</t>
        </is>
      </c>
      <c r="D2025" s="2" t="inlineStr">
        <is>
          <t>120.0</t>
        </is>
      </c>
      <c r="E2025" s="4">
        <f>HYPERLINK("./Results/DLO\783\Osteo_Sarco_1.png","RPT")</f>
        <v/>
      </c>
      <c r="F2025" s="2" t="n">
        <v>168</v>
      </c>
      <c r="G2025" s="6" t="n">
        <v>5</v>
      </c>
      <c r="H2025" t="n">
        <v>20.94</v>
      </c>
      <c r="L2025" t="inlineStr">
        <is>
          <t>Discovery CT750 HD</t>
        </is>
      </c>
      <c r="M2025" t="inlineStr">
        <is>
          <t>HVP 3mm</t>
        </is>
      </c>
    </row>
    <row r="2026">
      <c r="A2026" s="2" t="n">
        <v>4558484</v>
      </c>
      <c r="B2026" s="2" t="inlineStr">
        <is>
          <t>56</t>
        </is>
      </c>
      <c r="C2026" s="2" t="inlineStr">
        <is>
          <t>F</t>
        </is>
      </c>
      <c r="D2026" s="2" t="inlineStr">
        <is>
          <t>100.0</t>
        </is>
      </c>
      <c r="E2026" s="4">
        <f>HYPERLINK("./Results/DLO\784\Osteo_Sarco_1.png","RPT")</f>
        <v/>
      </c>
      <c r="F2026" s="2" t="n">
        <v>85</v>
      </c>
      <c r="G2026" s="6" t="n">
        <v>5</v>
      </c>
      <c r="H2026" t="n">
        <v>20.93</v>
      </c>
      <c r="L2026" t="inlineStr">
        <is>
          <t>Revolution CT</t>
        </is>
      </c>
      <c r="M2026" t="inlineStr">
        <is>
          <t>HVP 3mm-pacs(46kg/92cc/2.5cc/....</t>
        </is>
      </c>
    </row>
    <row r="2027">
      <c r="A2027" s="2" t="n">
        <v>2167288</v>
      </c>
      <c r="B2027" s="2" t="inlineStr">
        <is>
          <t>77</t>
        </is>
      </c>
      <c r="C2027" s="2" t="inlineStr">
        <is>
          <t>F</t>
        </is>
      </c>
      <c r="D2027" s="2" t="inlineStr">
        <is>
          <t>120.0</t>
        </is>
      </c>
      <c r="E2027" s="4">
        <f>HYPERLINK("./Results/DLO\785\Osteo_Sarco_1.png","RPT")</f>
        <v/>
      </c>
      <c r="F2027" s="2" t="n">
        <v>98</v>
      </c>
      <c r="G2027" s="6" t="n">
        <v>19</v>
      </c>
      <c r="I2027" s="0" t="n"/>
      <c r="J2027" s="0" t="n"/>
      <c r="K2027" s="0" t="n"/>
      <c r="L2027" t="inlineStr">
        <is>
          <t>Brilliance16</t>
        </is>
      </c>
      <c r="M2027" t="inlineStr">
        <is>
          <t>PRE</t>
        </is>
      </c>
    </row>
    <row r="2028">
      <c r="A2028" s="2" t="n">
        <v>3934977</v>
      </c>
      <c r="B2028" s="2" t="inlineStr">
        <is>
          <t>70</t>
        </is>
      </c>
      <c r="C2028" s="2" t="inlineStr">
        <is>
          <t>F</t>
        </is>
      </c>
      <c r="D2028" s="2" t="inlineStr">
        <is>
          <t>120.0</t>
        </is>
      </c>
      <c r="E2028" s="4">
        <f>HYPERLINK("./Results/DLO\786\Osteo_Sarco_1.png","RPT")</f>
        <v/>
      </c>
      <c r="F2028" s="2" t="n">
        <v>84</v>
      </c>
      <c r="G2028" s="6" t="n">
        <v>6</v>
      </c>
      <c r="I2028" s="0" t="n"/>
      <c r="J2028" s="0" t="n"/>
      <c r="K2028" s="0" t="n"/>
      <c r="L2028" t="inlineStr">
        <is>
          <t>Discovery CT750 HD</t>
        </is>
      </c>
      <c r="M2028" t="inlineStr">
        <is>
          <t>HVP 3mm</t>
        </is>
      </c>
    </row>
    <row r="2029">
      <c r="A2029" s="2" t="n">
        <v>4684603</v>
      </c>
      <c r="B2029" s="2" t="inlineStr">
        <is>
          <t>50</t>
        </is>
      </c>
      <c r="C2029" s="2" t="inlineStr">
        <is>
          <t>F</t>
        </is>
      </c>
      <c r="D2029" s="2" t="inlineStr">
        <is>
          <t>100.0</t>
        </is>
      </c>
      <c r="E2029" s="4">
        <f>HYPERLINK("./Results/DLO\787\Osteo_Sarco_1.png","RPT")</f>
        <v/>
      </c>
      <c r="F2029" s="2" t="n">
        <v>90</v>
      </c>
      <c r="G2029" s="6" t="n">
        <v>8</v>
      </c>
      <c r="I2029" s="0" t="n"/>
      <c r="J2029" s="0" t="n"/>
      <c r="K2029" s="0" t="n"/>
      <c r="L2029" t="inlineStr">
        <is>
          <t>Revolution CT</t>
        </is>
      </c>
      <c r="M2029" t="inlineStr">
        <is>
          <t>HVP 3mm(50kg/100cc/3cc/o.hexol)</t>
        </is>
      </c>
    </row>
    <row r="2030">
      <c r="A2030" s="2" t="n">
        <v>4950893</v>
      </c>
      <c r="B2030" s="2" t="inlineStr">
        <is>
          <t>69</t>
        </is>
      </c>
      <c r="C2030" s="2" t="inlineStr">
        <is>
          <t>M</t>
        </is>
      </c>
      <c r="D2030" s="2" t="inlineStr">
        <is>
          <t>100.0</t>
        </is>
      </c>
      <c r="E2030" s="4">
        <f>HYPERLINK("./Results/DLO\788\Osteo_Sarco_1.png","RPT")</f>
        <v/>
      </c>
      <c r="F2030" s="2" t="n">
        <v>133</v>
      </c>
      <c r="G2030" s="6" t="n">
        <v>7</v>
      </c>
      <c r="I2030" s="0" t="n"/>
      <c r="J2030" s="0" t="n"/>
      <c r="K2030" s="0" t="n"/>
      <c r="L2030" t="inlineStr">
        <is>
          <t>LightSpeed VCT</t>
        </is>
      </c>
      <c r="M2030" t="inlineStr">
        <is>
          <t>PRE 2,5mm</t>
        </is>
      </c>
    </row>
    <row r="2031">
      <c r="A2031" s="2" t="n">
        <v>3224801</v>
      </c>
      <c r="B2031" s="2" t="inlineStr">
        <is>
          <t>52</t>
        </is>
      </c>
      <c r="C2031" s="2" t="inlineStr">
        <is>
          <t>M</t>
        </is>
      </c>
      <c r="D2031" s="2" t="inlineStr">
        <is>
          <t>100.0</t>
        </is>
      </c>
      <c r="E2031" s="4">
        <f>HYPERLINK("./Results/DLO\79\Osteo_Sarco_1.png","RPT")</f>
        <v/>
      </c>
      <c r="F2031" s="2" t="n">
        <v>168</v>
      </c>
      <c r="G2031" s="6" t="n">
        <v>4</v>
      </c>
      <c r="I2031" s="0" t="n"/>
      <c r="J2031" s="0" t="n"/>
      <c r="K2031" s="0" t="n"/>
      <c r="L2031" t="inlineStr">
        <is>
          <t>LightSpeed VCT</t>
        </is>
      </c>
      <c r="M2031" t="inlineStr">
        <is>
          <t>PRE 3mm</t>
        </is>
      </c>
    </row>
    <row r="2032">
      <c r="A2032" s="2" t="n">
        <v>1803233</v>
      </c>
      <c r="B2032" s="2" t="inlineStr">
        <is>
          <t>65</t>
        </is>
      </c>
      <c r="C2032" s="2" t="inlineStr">
        <is>
          <t>M</t>
        </is>
      </c>
      <c r="D2032" s="2" t="inlineStr">
        <is>
          <t>100.0</t>
        </is>
      </c>
      <c r="E2032" s="4">
        <f>HYPERLINK("./Results/DLO\790\Osteo_Sarco_1.png","RPT")</f>
        <v/>
      </c>
      <c r="F2032" s="2" t="n">
        <v>150</v>
      </c>
      <c r="G2032" s="6" t="n">
        <v>5</v>
      </c>
      <c r="H2032" t="n">
        <v>22.86</v>
      </c>
      <c r="L2032" t="inlineStr">
        <is>
          <t>SOMATOM Definition...</t>
        </is>
      </c>
      <c r="M2032" t="inlineStr">
        <is>
          <t>Pre 3mm</t>
        </is>
      </c>
    </row>
    <row r="2033">
      <c r="A2033" s="2" t="n">
        <v>4111123</v>
      </c>
      <c r="B2033" s="2" t="inlineStr">
        <is>
          <t>63</t>
        </is>
      </c>
      <c r="C2033" s="2" t="inlineStr">
        <is>
          <t>M</t>
        </is>
      </c>
      <c r="D2033" s="2" t="inlineStr">
        <is>
          <t>120.0</t>
        </is>
      </c>
      <c r="E2033" s="4">
        <f>HYPERLINK("./Results/DLO\791\Osteo_Sarco_1.png","RPT")</f>
        <v/>
      </c>
      <c r="F2033" s="2" t="n">
        <v>171</v>
      </c>
      <c r="G2033" s="6" t="n">
        <v>7</v>
      </c>
      <c r="H2033" t="n">
        <v>25.16</v>
      </c>
      <c r="L2033" t="inlineStr">
        <is>
          <t>LightSpeed VCT</t>
        </is>
      </c>
      <c r="M2033" t="inlineStr">
        <is>
          <t>LAP 18sec 3mm</t>
        </is>
      </c>
    </row>
    <row r="2034">
      <c r="A2034" s="2" t="n">
        <v>4480118</v>
      </c>
      <c r="B2034" s="2" t="inlineStr">
        <is>
          <t>46</t>
        </is>
      </c>
      <c r="C2034" s="2" t="inlineStr">
        <is>
          <t>F</t>
        </is>
      </c>
      <c r="D2034" s="2" t="inlineStr">
        <is>
          <t>100.0</t>
        </is>
      </c>
      <c r="E2034" s="4">
        <f>HYPERLINK("./Results/DLO\794\Osteo_Sarco_1.png","RPT")</f>
        <v/>
      </c>
      <c r="F2034" s="2" t="n">
        <v>105</v>
      </c>
      <c r="G2034" s="6" t="n">
        <v>10</v>
      </c>
      <c r="I2034" s="0" t="n"/>
      <c r="J2034" s="0" t="n"/>
      <c r="K2034" s="0" t="n"/>
      <c r="L2034" t="inlineStr">
        <is>
          <t>SOMATOM Definition...</t>
        </is>
      </c>
      <c r="M2034" t="inlineStr">
        <is>
          <t>Pre 3mm</t>
        </is>
      </c>
    </row>
    <row r="2035">
      <c r="A2035" s="2" t="n">
        <v>2197236</v>
      </c>
      <c r="B2035" s="2" t="inlineStr">
        <is>
          <t>41</t>
        </is>
      </c>
      <c r="C2035" s="2" t="inlineStr">
        <is>
          <t>M</t>
        </is>
      </c>
      <c r="D2035" s="2" t="inlineStr">
        <is>
          <t>100.0</t>
        </is>
      </c>
      <c r="E2035" s="4">
        <f>HYPERLINK("./Results/DLO\795\Osteo_Sarco_1.png","RPT")</f>
        <v/>
      </c>
      <c r="F2035" s="2" t="n">
        <v>169</v>
      </c>
      <c r="G2035" s="6" t="n">
        <v>3</v>
      </c>
      <c r="I2035" s="0" t="n"/>
      <c r="J2035" s="0" t="n"/>
      <c r="K2035" s="0" t="n"/>
      <c r="L2035" t="inlineStr">
        <is>
          <t>LightSpeed VCT</t>
        </is>
      </c>
      <c r="M2035" t="inlineStr">
        <is>
          <t>PRE 3mm</t>
        </is>
      </c>
    </row>
    <row r="2036">
      <c r="A2036" s="2" t="n">
        <v>4338591</v>
      </c>
      <c r="B2036" s="2" t="inlineStr">
        <is>
          <t>49</t>
        </is>
      </c>
      <c r="C2036" s="2" t="inlineStr">
        <is>
          <t>M</t>
        </is>
      </c>
      <c r="D2036" s="2" t="inlineStr">
        <is>
          <t>100.0</t>
        </is>
      </c>
      <c r="E2036" s="4">
        <f>HYPERLINK("./Results/DLO\796\Osteo_Sarco_1.png","RPT")</f>
        <v/>
      </c>
      <c r="F2036" s="2" t="n">
        <v>132</v>
      </c>
      <c r="G2036" s="6" t="n">
        <v>13</v>
      </c>
      <c r="I2036" s="0" t="n"/>
      <c r="J2036" s="0" t="n"/>
      <c r="K2036" s="0" t="n"/>
      <c r="L2036" t="inlineStr">
        <is>
          <t>SOMATOM Definition...</t>
        </is>
      </c>
      <c r="M2036" t="inlineStr">
        <is>
          <t>Pre 3mm</t>
        </is>
      </c>
    </row>
    <row r="2037">
      <c r="A2037" s="2" t="n">
        <v>4538129</v>
      </c>
      <c r="B2037" s="2" t="inlineStr">
        <is>
          <t>73</t>
        </is>
      </c>
      <c r="C2037" s="2" t="inlineStr">
        <is>
          <t>M</t>
        </is>
      </c>
      <c r="D2037" s="2" t="inlineStr">
        <is>
          <t>100.0</t>
        </is>
      </c>
      <c r="E2037" s="4">
        <f>HYPERLINK("./Results/DLO\797\Osteo_Sarco_1.png","RPT")</f>
        <v/>
      </c>
      <c r="F2037" s="2" t="n">
        <v>167</v>
      </c>
      <c r="G2037" s="6" t="n">
        <v>15</v>
      </c>
      <c r="H2037" t="n">
        <v>24.31</v>
      </c>
      <c r="L2037" t="inlineStr">
        <is>
          <t>iCT 256</t>
        </is>
      </c>
      <c r="M2037" t="inlineStr">
        <is>
          <t>HVP 3/3mm, iDose (3)</t>
        </is>
      </c>
    </row>
    <row r="2038">
      <c r="A2038" s="2" t="n">
        <v>4542884</v>
      </c>
      <c r="B2038" s="2" t="inlineStr">
        <is>
          <t>29</t>
        </is>
      </c>
      <c r="C2038" s="2" t="inlineStr">
        <is>
          <t>F</t>
        </is>
      </c>
      <c r="D2038" s="2" t="inlineStr">
        <is>
          <t>100.0</t>
        </is>
      </c>
      <c r="E2038" s="4">
        <f>HYPERLINK("./Results/DLO\798\Osteo_Sarco_1.png","RPT")</f>
        <v/>
      </c>
      <c r="F2038" s="2" t="n">
        <v>92</v>
      </c>
      <c r="G2038" s="6" t="n">
        <v>7</v>
      </c>
      <c r="I2038" s="0" t="n"/>
      <c r="J2038" s="0" t="n"/>
      <c r="K2038" s="0" t="n"/>
      <c r="L2038" t="inlineStr">
        <is>
          <t>Revolution EVO</t>
        </is>
      </c>
      <c r="M2038" t="inlineStr">
        <is>
          <t>PRE</t>
        </is>
      </c>
    </row>
    <row r="2039">
      <c r="A2039" s="2" t="n">
        <v>2333115</v>
      </c>
      <c r="B2039" s="2" t="inlineStr">
        <is>
          <t>43</t>
        </is>
      </c>
      <c r="C2039" s="2" t="inlineStr">
        <is>
          <t>M</t>
        </is>
      </c>
      <c r="D2039" s="2" t="inlineStr">
        <is>
          <t>100.0</t>
        </is>
      </c>
      <c r="E2039" s="4">
        <f>HYPERLINK("./Results/DLO\799\Osteo_Sarco_1.png","RPT")</f>
        <v/>
      </c>
      <c r="F2039" s="2" t="n">
        <v>95</v>
      </c>
      <c r="G2039" s="6" t="n">
        <v>5</v>
      </c>
      <c r="H2039" t="n">
        <v>17.68</v>
      </c>
      <c r="L2039" t="inlineStr">
        <is>
          <t>Revolution EVO</t>
        </is>
      </c>
      <c r="M2039" t="inlineStr">
        <is>
          <t>PRE</t>
        </is>
      </c>
    </row>
    <row r="2040">
      <c r="A2040" s="2" t="n">
        <v>4554170</v>
      </c>
      <c r="B2040" s="2" t="inlineStr">
        <is>
          <t>51</t>
        </is>
      </c>
      <c r="C2040" s="2" t="inlineStr">
        <is>
          <t>F</t>
        </is>
      </c>
      <c r="D2040" s="2" t="inlineStr">
        <is>
          <t>120.0</t>
        </is>
      </c>
      <c r="E2040" s="4">
        <f>HYPERLINK("./Results/DLO\8\Osteo_Sarco_1.png","RPT")</f>
        <v/>
      </c>
      <c r="F2040" s="2" t="n">
        <v>114</v>
      </c>
      <c r="G2040" s="6" t="n">
        <v>11</v>
      </c>
      <c r="I2040" s="0" t="n"/>
      <c r="J2040" s="0" t="n"/>
      <c r="K2040" s="0" t="n"/>
      <c r="L2040" t="inlineStr">
        <is>
          <t>LightSpeed VCT</t>
        </is>
      </c>
      <c r="M2040" t="inlineStr">
        <is>
          <t>HVP 3mm</t>
        </is>
      </c>
    </row>
    <row r="2041">
      <c r="A2041" s="2" t="n">
        <v>4914593</v>
      </c>
      <c r="B2041" s="2" t="inlineStr">
        <is>
          <t>65</t>
        </is>
      </c>
      <c r="C2041" s="2" t="inlineStr">
        <is>
          <t>M</t>
        </is>
      </c>
      <c r="D2041" s="2" t="inlineStr">
        <is>
          <t>100.0</t>
        </is>
      </c>
      <c r="E2041" s="4">
        <f>HYPERLINK("./Results/DLO\80\Osteo_Sarco_1.png","RPT")</f>
        <v/>
      </c>
      <c r="F2041" s="2" t="n">
        <v>145</v>
      </c>
      <c r="G2041" s="6" t="n">
        <v>5</v>
      </c>
      <c r="I2041" s="0" t="n"/>
      <c r="J2041" s="0" t="n"/>
      <c r="K2041" s="0" t="n"/>
      <c r="L2041" t="inlineStr">
        <is>
          <t>SOMATOM Definition...</t>
        </is>
      </c>
      <c r="M2041" t="inlineStr">
        <is>
          <t>HVP 2 3mm(61Kg/122ml/3ml/ra...</t>
        </is>
      </c>
    </row>
    <row r="2042">
      <c r="A2042" s="2" t="n">
        <v>3263603</v>
      </c>
      <c r="B2042" s="2" t="inlineStr">
        <is>
          <t>37</t>
        </is>
      </c>
      <c r="C2042" s="2" t="inlineStr">
        <is>
          <t>M</t>
        </is>
      </c>
      <c r="D2042" s="2" t="inlineStr">
        <is>
          <t>100.0</t>
        </is>
      </c>
      <c r="E2042" s="4">
        <f>HYPERLINK("./Results/DLO\800\Osteo_Sarco_1.png","RPT")</f>
        <v/>
      </c>
      <c r="F2042" s="2" t="n">
        <v>204</v>
      </c>
      <c r="G2042" s="6" t="n">
        <v>13</v>
      </c>
      <c r="I2042" s="0" t="n"/>
      <c r="J2042" s="0" t="n"/>
      <c r="K2042" s="0" t="n"/>
      <c r="L2042" t="inlineStr">
        <is>
          <t>Revolution CT</t>
        </is>
      </c>
      <c r="M2042" t="inlineStr">
        <is>
          <t>Pre Axial 3mm</t>
        </is>
      </c>
    </row>
    <row r="2043">
      <c r="A2043" s="2" t="n">
        <v>3616200</v>
      </c>
      <c r="B2043" s="2" t="inlineStr">
        <is>
          <t>70</t>
        </is>
      </c>
      <c r="C2043" s="2" t="inlineStr">
        <is>
          <t>F</t>
        </is>
      </c>
      <c r="D2043" s="2" t="inlineStr">
        <is>
          <t>100.0</t>
        </is>
      </c>
      <c r="E2043" s="4">
        <f>HYPERLINK("./Results/DLO\801\Osteo_Sarco_1.png","RPT")</f>
        <v/>
      </c>
      <c r="F2043" s="2" t="n">
        <v>101</v>
      </c>
      <c r="G2043" s="6" t="n">
        <v>11</v>
      </c>
      <c r="I2043" s="0" t="n"/>
      <c r="J2043" s="0" t="n"/>
      <c r="K2043" s="0" t="n"/>
      <c r="L2043" t="inlineStr">
        <is>
          <t>Revolution EVO</t>
        </is>
      </c>
      <c r="M2043" t="inlineStr">
        <is>
          <t>PRE</t>
        </is>
      </c>
    </row>
    <row r="2044">
      <c r="A2044" s="2" t="n">
        <v>2412158</v>
      </c>
      <c r="B2044" s="2" t="inlineStr">
        <is>
          <t>73</t>
        </is>
      </c>
      <c r="C2044" s="2" t="inlineStr">
        <is>
          <t>F</t>
        </is>
      </c>
      <c r="D2044" s="2" t="inlineStr">
        <is>
          <t>100.0</t>
        </is>
      </c>
      <c r="E2044" s="4">
        <f>HYPERLINK("./Results/DLO\802\Osteo_Sarco_1.png","RPT")</f>
        <v/>
      </c>
      <c r="F2044" s="2" t="n">
        <v>94</v>
      </c>
      <c r="G2044" s="6" t="n">
        <v>9</v>
      </c>
      <c r="H2044" t="n">
        <v>25.51</v>
      </c>
      <c r="L2044" t="inlineStr">
        <is>
          <t>Revolution EVO</t>
        </is>
      </c>
      <c r="M2044" t="inlineStr">
        <is>
          <t>AX 3mm</t>
        </is>
      </c>
    </row>
    <row r="2045">
      <c r="A2045" s="2" t="n">
        <v>3231105</v>
      </c>
      <c r="B2045" s="2" t="inlineStr">
        <is>
          <t>60</t>
        </is>
      </c>
      <c r="C2045" s="2" t="inlineStr">
        <is>
          <t>F</t>
        </is>
      </c>
      <c r="D2045" s="2" t="inlineStr">
        <is>
          <t>120.0</t>
        </is>
      </c>
      <c r="E2045" s="4">
        <f>HYPERLINK("./Results/DLO\803\Osteo_Sarco_1.png","RPT")</f>
        <v/>
      </c>
      <c r="F2045" s="2" t="n">
        <v>96</v>
      </c>
      <c r="G2045" s="6" t="n">
        <v>6</v>
      </c>
      <c r="I2045" s="0" t="n"/>
      <c r="J2045" s="0" t="n"/>
      <c r="K2045" s="0" t="n"/>
      <c r="L2045" t="inlineStr">
        <is>
          <t>LightSpeed VCT</t>
        </is>
      </c>
      <c r="M2045" t="inlineStr">
        <is>
          <t>HVP 3mm</t>
        </is>
      </c>
    </row>
    <row r="2046">
      <c r="A2046" s="2" t="n">
        <v>2823215</v>
      </c>
      <c r="B2046" s="2" t="inlineStr">
        <is>
          <t>37</t>
        </is>
      </c>
      <c r="C2046" s="2" t="inlineStr">
        <is>
          <t>F</t>
        </is>
      </c>
      <c r="D2046" s="2" t="inlineStr">
        <is>
          <t>100.0</t>
        </is>
      </c>
      <c r="E2046" s="4">
        <f>HYPERLINK("./Results/DLO\804\Osteo_Sarco_1.png","RPT")</f>
        <v/>
      </c>
      <c r="F2046" s="2" t="n">
        <v>109</v>
      </c>
      <c r="G2046" s="6" t="n">
        <v>5</v>
      </c>
      <c r="I2046" s="0" t="n"/>
      <c r="J2046" s="0" t="n"/>
      <c r="K2046" s="0" t="n"/>
      <c r="L2046" t="inlineStr">
        <is>
          <t>SOMATOM Definition...</t>
        </is>
      </c>
      <c r="M2046" t="inlineStr">
        <is>
          <t>HVP 2 3mm(63kg/126cc/3cc/xene)</t>
        </is>
      </c>
    </row>
    <row r="2047">
      <c r="A2047" s="2" t="n">
        <v>3382087</v>
      </c>
      <c r="B2047" s="2" t="inlineStr">
        <is>
          <t>78</t>
        </is>
      </c>
      <c r="C2047" s="2" t="inlineStr">
        <is>
          <t>M</t>
        </is>
      </c>
      <c r="D2047" s="2" t="inlineStr">
        <is>
          <t>100.0</t>
        </is>
      </c>
      <c r="E2047" s="4">
        <f>HYPERLINK("./Results/DLO\805\Osteo_Sarco_1.png","RPT")</f>
        <v/>
      </c>
      <c r="F2047" s="2" t="n">
        <v>128</v>
      </c>
      <c r="G2047" s="6" t="n">
        <v>7</v>
      </c>
      <c r="I2047" s="0" t="n"/>
      <c r="J2047" s="0" t="n"/>
      <c r="K2047" s="0" t="n"/>
      <c r="L2047" t="inlineStr">
        <is>
          <t>Sensation 64</t>
        </is>
      </c>
      <c r="M2047" t="inlineStr">
        <is>
          <t>PRE 3mm</t>
        </is>
      </c>
    </row>
    <row r="2048">
      <c r="A2048" s="2" t="n">
        <v>2021844</v>
      </c>
      <c r="B2048" s="2" t="inlineStr">
        <is>
          <t>83</t>
        </is>
      </c>
      <c r="C2048" s="2" t="inlineStr">
        <is>
          <t>M</t>
        </is>
      </c>
      <c r="D2048" s="2" t="inlineStr">
        <is>
          <t>100.0</t>
        </is>
      </c>
      <c r="E2048" s="4">
        <f>HYPERLINK("./Results/DLO\806\Osteo_Sarco_1.png","RPT")</f>
        <v/>
      </c>
      <c r="F2048" s="2" t="n">
        <v>131</v>
      </c>
      <c r="G2048" s="6" t="n">
        <v>13</v>
      </c>
      <c r="H2048" t="n">
        <v>26.7</v>
      </c>
      <c r="L2048" t="inlineStr">
        <is>
          <t>SOMATOM Force</t>
        </is>
      </c>
      <c r="M2048" t="inlineStr">
        <is>
          <t>Pre 3.0 Br32 1</t>
        </is>
      </c>
    </row>
    <row r="2049">
      <c r="A2049" s="2" t="n">
        <v>3440342</v>
      </c>
      <c r="B2049" s="2" t="inlineStr">
        <is>
          <t>58</t>
        </is>
      </c>
      <c r="C2049" s="2" t="inlineStr">
        <is>
          <t>F</t>
        </is>
      </c>
      <c r="D2049" s="2" t="inlineStr">
        <is>
          <t>120.0</t>
        </is>
      </c>
      <c r="E2049" s="4">
        <f>HYPERLINK("./Results/DLO\807\Osteo_Sarco_1.png","RPT")</f>
        <v/>
      </c>
      <c r="F2049" s="2" t="n">
        <v>103</v>
      </c>
      <c r="G2049" s="6" t="n">
        <v>9</v>
      </c>
      <c r="I2049" s="0" t="n"/>
      <c r="J2049" s="0" t="n"/>
      <c r="K2049" s="0" t="n"/>
      <c r="L2049" t="inlineStr">
        <is>
          <t>LightSpeed VCT</t>
        </is>
      </c>
      <c r="M2049" t="inlineStr">
        <is>
          <t>LAP 18sec 3mm</t>
        </is>
      </c>
    </row>
    <row r="2050">
      <c r="A2050" s="2" t="n">
        <v>1628193</v>
      </c>
      <c r="B2050" s="2" t="inlineStr">
        <is>
          <t>60</t>
        </is>
      </c>
      <c r="C2050" s="2" t="inlineStr">
        <is>
          <t>F</t>
        </is>
      </c>
      <c r="D2050" s="2" t="inlineStr">
        <is>
          <t>100.0</t>
        </is>
      </c>
      <c r="E2050" s="4">
        <f>HYPERLINK("./Results/DLO\808\Osteo_Sarco_1.png","RPT")</f>
        <v/>
      </c>
      <c r="F2050" s="2" t="n">
        <v>95</v>
      </c>
      <c r="G2050" s="6" t="n">
        <v>9</v>
      </c>
      <c r="H2050" t="n">
        <v>21.18</v>
      </c>
      <c r="L2050" t="inlineStr">
        <is>
          <t>LightSpeed VCT</t>
        </is>
      </c>
      <c r="M2050" t="inlineStr">
        <is>
          <t>PRE (CP angle~Pubic)</t>
        </is>
      </c>
    </row>
    <row r="2051">
      <c r="A2051" s="2" t="n">
        <v>2948372</v>
      </c>
      <c r="B2051" s="2" t="inlineStr">
        <is>
          <t>69</t>
        </is>
      </c>
      <c r="C2051" s="2" t="inlineStr">
        <is>
          <t>M</t>
        </is>
      </c>
      <c r="D2051" s="2" t="inlineStr">
        <is>
          <t>100.0</t>
        </is>
      </c>
      <c r="E2051" s="4">
        <f>HYPERLINK("./Results/DLO\809\Osteo_Sarco_1.png","RPT")</f>
        <v/>
      </c>
      <c r="F2051" s="2" t="n">
        <v>128</v>
      </c>
      <c r="G2051" s="6" t="n">
        <v>10</v>
      </c>
      <c r="I2051" s="0" t="n"/>
      <c r="J2051" s="0" t="n"/>
      <c r="K2051" s="0" t="n"/>
      <c r="L2051" t="inlineStr">
        <is>
          <t>Revolution CT</t>
        </is>
      </c>
      <c r="M2051" t="inlineStr">
        <is>
          <t>Pre Axial 3mm</t>
        </is>
      </c>
    </row>
    <row r="2052">
      <c r="A2052" s="2" t="n">
        <v>4040108</v>
      </c>
      <c r="B2052" s="2" t="inlineStr">
        <is>
          <t>53</t>
        </is>
      </c>
      <c r="C2052" s="2" t="inlineStr">
        <is>
          <t>F</t>
        </is>
      </c>
      <c r="D2052" s="2" t="inlineStr">
        <is>
          <t>100.0</t>
        </is>
      </c>
      <c r="E2052" s="4">
        <f>HYPERLINK("./Results/DLO\81\Osteo_Sarco_1.png","RPT")</f>
        <v/>
      </c>
      <c r="F2052" s="2" t="n">
        <v>98</v>
      </c>
      <c r="G2052" s="6" t="n">
        <v>8</v>
      </c>
      <c r="I2052" s="0" t="n"/>
      <c r="J2052" s="0" t="n"/>
      <c r="K2052" s="0" t="n"/>
      <c r="L2052" t="inlineStr">
        <is>
          <t>Sensation 64</t>
        </is>
      </c>
      <c r="M2052" t="inlineStr">
        <is>
          <t>Pre 3mm(100kvp100mAs)</t>
        </is>
      </c>
    </row>
    <row r="2053">
      <c r="A2053" s="2" t="n">
        <v>3760153</v>
      </c>
      <c r="B2053" s="2" t="inlineStr">
        <is>
          <t>66</t>
        </is>
      </c>
      <c r="C2053" s="2" t="inlineStr">
        <is>
          <t>M</t>
        </is>
      </c>
      <c r="D2053" s="2" t="inlineStr">
        <is>
          <t>100.0</t>
        </is>
      </c>
      <c r="E2053" s="4">
        <f>HYPERLINK("./Results/DLO\810\Osteo_Sarco_1.png","RPT")</f>
        <v/>
      </c>
      <c r="F2053" s="2" t="n">
        <v>168</v>
      </c>
      <c r="G2053" s="6" t="n">
        <v>20</v>
      </c>
      <c r="H2053" t="n">
        <v>26.12</v>
      </c>
      <c r="L2053" t="inlineStr">
        <is>
          <t>SOMATOM Force</t>
        </is>
      </c>
      <c r="M2053" t="inlineStr">
        <is>
          <t>Pre 3.0 Br40</t>
        </is>
      </c>
    </row>
    <row r="2054">
      <c r="A2054" s="2" t="n">
        <v>1745198</v>
      </c>
      <c r="B2054" s="2" t="inlineStr">
        <is>
          <t>56</t>
        </is>
      </c>
      <c r="C2054" s="2" t="inlineStr">
        <is>
          <t>M</t>
        </is>
      </c>
      <c r="D2054" s="2" t="inlineStr">
        <is>
          <t>120.0</t>
        </is>
      </c>
      <c r="E2054" s="4">
        <f>HYPERLINK("./Results/DLO\811\Osteo_Sarco_1.png","RPT")</f>
        <v/>
      </c>
      <c r="F2054" s="2" t="n">
        <v>176</v>
      </c>
      <c r="G2054" s="6" t="n">
        <v>7</v>
      </c>
      <c r="H2054" t="n">
        <v>24.11</v>
      </c>
      <c r="L2054" t="inlineStr">
        <is>
          <t>iCT 256</t>
        </is>
      </c>
      <c r="M2054" t="inlineStr">
        <is>
          <t>Pre 3/3mm, iDose (3)</t>
        </is>
      </c>
    </row>
    <row r="2055">
      <c r="A2055" s="2" t="n">
        <v>1902991</v>
      </c>
      <c r="B2055" s="2" t="inlineStr">
        <is>
          <t>66</t>
        </is>
      </c>
      <c r="C2055" s="2" t="inlineStr">
        <is>
          <t>F</t>
        </is>
      </c>
      <c r="D2055" s="2" t="inlineStr">
        <is>
          <t>100.0</t>
        </is>
      </c>
      <c r="E2055" s="4">
        <f>HYPERLINK("./Results/DLO\812\Osteo_Sarco_1.png","RPT")</f>
        <v/>
      </c>
      <c r="F2055" s="2" t="n">
        <v>93</v>
      </c>
      <c r="G2055" s="6" t="n">
        <v>9</v>
      </c>
      <c r="I2055" s="0" t="n"/>
      <c r="J2055" s="0" t="n"/>
      <c r="K2055" s="0" t="n"/>
      <c r="L2055" t="inlineStr">
        <is>
          <t>Revolution CT</t>
        </is>
      </c>
      <c r="M2055" t="inlineStr">
        <is>
          <t>Pre 3mm</t>
        </is>
      </c>
    </row>
    <row r="2056">
      <c r="A2056" s="2" t="n">
        <v>1771265</v>
      </c>
      <c r="B2056" s="2" t="inlineStr">
        <is>
          <t>62</t>
        </is>
      </c>
      <c r="C2056" s="2" t="inlineStr">
        <is>
          <t>F</t>
        </is>
      </c>
      <c r="D2056" s="2" t="inlineStr">
        <is>
          <t>120.0</t>
        </is>
      </c>
      <c r="E2056" s="4">
        <f>HYPERLINK("./Results/DLO\813\Osteo_Sarco_1.png","RPT")</f>
        <v/>
      </c>
      <c r="F2056" s="2" t="n">
        <v>104</v>
      </c>
      <c r="G2056" s="6" t="n">
        <v>19</v>
      </c>
      <c r="I2056" s="0" t="n"/>
      <c r="J2056" s="0" t="n"/>
      <c r="K2056" s="0" t="n"/>
      <c r="L2056" t="inlineStr">
        <is>
          <t>iCT 256</t>
        </is>
      </c>
      <c r="M2056" t="inlineStr">
        <is>
          <t>Pre (CP~Pubi)3mm, iDose (3)</t>
        </is>
      </c>
    </row>
    <row r="2057">
      <c r="A2057" s="2" t="n">
        <v>4526460</v>
      </c>
      <c r="B2057" s="2" t="inlineStr">
        <is>
          <t>75</t>
        </is>
      </c>
      <c r="C2057" s="2" t="inlineStr">
        <is>
          <t>F</t>
        </is>
      </c>
      <c r="D2057" s="2" t="inlineStr">
        <is>
          <t>100.0</t>
        </is>
      </c>
      <c r="E2057" s="4">
        <f>HYPERLINK("./Results/DLO\814\Osteo_Sarco_1.png","RPT")</f>
        <v/>
      </c>
      <c r="F2057" s="2" t="n">
        <v>124</v>
      </c>
      <c r="G2057" s="6" t="n">
        <v>21</v>
      </c>
      <c r="H2057" t="n">
        <v>28.35</v>
      </c>
      <c r="L2057" t="inlineStr">
        <is>
          <t>iCT 256</t>
        </is>
      </c>
      <c r="M2057" t="inlineStr">
        <is>
          <t>Pre3/3mm_I-3, iDose (3)</t>
        </is>
      </c>
    </row>
    <row r="2058">
      <c r="A2058" s="2" t="n">
        <v>4942703</v>
      </c>
      <c r="B2058" s="2" t="inlineStr">
        <is>
          <t>60</t>
        </is>
      </c>
      <c r="C2058" s="2" t="inlineStr">
        <is>
          <t>F</t>
        </is>
      </c>
      <c r="D2058" s="2" t="inlineStr">
        <is>
          <t>110.0</t>
        </is>
      </c>
      <c r="E2058" s="4">
        <f>HYPERLINK("./Results/DLO\815\Osteo_Sarco_1.png","RPT")</f>
        <v/>
      </c>
      <c r="F2058" s="2" t="n">
        <v>117</v>
      </c>
      <c r="G2058" s="6" t="n">
        <v>15</v>
      </c>
      <c r="I2058" s="0" t="n"/>
      <c r="J2058" s="0" t="n"/>
      <c r="K2058" s="0" t="n"/>
      <c r="L2058" t="inlineStr">
        <is>
          <t>SOMATOM Force</t>
        </is>
      </c>
      <c r="M2058" t="inlineStr">
        <is>
          <t>Pre 3.0 Br40 2</t>
        </is>
      </c>
    </row>
    <row r="2059">
      <c r="A2059" s="2" t="n">
        <v>1936714</v>
      </c>
      <c r="B2059" s="2" t="inlineStr">
        <is>
          <t>63</t>
        </is>
      </c>
      <c r="C2059" s="2" t="inlineStr">
        <is>
          <t>F</t>
        </is>
      </c>
      <c r="D2059" s="2" t="inlineStr">
        <is>
          <t>100.0</t>
        </is>
      </c>
      <c r="E2059" s="4">
        <f>HYPERLINK("./Results/DLO\816\Osteo_Sarco_1.png","RPT")</f>
        <v/>
      </c>
      <c r="F2059" s="2" t="n">
        <v>92</v>
      </c>
      <c r="G2059" s="6" t="n">
        <v>10</v>
      </c>
      <c r="H2059" t="n">
        <v>23.03</v>
      </c>
      <c r="L2059" t="inlineStr">
        <is>
          <t>SOMATOM Definition...</t>
        </is>
      </c>
      <c r="M2059" t="inlineStr">
        <is>
          <t>Pre 3mm B30f</t>
        </is>
      </c>
    </row>
    <row r="2060">
      <c r="A2060" s="2" t="n">
        <v>4932858</v>
      </c>
      <c r="B2060" s="2" t="inlineStr">
        <is>
          <t>32</t>
        </is>
      </c>
      <c r="C2060" s="2" t="inlineStr">
        <is>
          <t>F</t>
        </is>
      </c>
      <c r="D2060" s="2" t="inlineStr">
        <is>
          <t>100.0</t>
        </is>
      </c>
      <c r="E2060" s="4">
        <f>HYPERLINK("./Results/DLO\817\Osteo_Sarco_1.png","RPT")</f>
        <v/>
      </c>
      <c r="F2060" s="2" t="n">
        <v>109</v>
      </c>
      <c r="G2060" s="6" t="n">
        <v>11</v>
      </c>
      <c r="I2060" s="0" t="n"/>
      <c r="J2060" s="0" t="n"/>
      <c r="K2060" s="0" t="n"/>
      <c r="L2060" t="inlineStr">
        <is>
          <t>Revolution CT</t>
        </is>
      </c>
      <c r="M2060" t="inlineStr">
        <is>
          <t>Pre Axial 3mm</t>
        </is>
      </c>
    </row>
    <row r="2061">
      <c r="A2061" s="2" t="n">
        <v>4406983</v>
      </c>
      <c r="B2061" s="2" t="inlineStr">
        <is>
          <t>54</t>
        </is>
      </c>
      <c r="C2061" s="2" t="inlineStr">
        <is>
          <t>M</t>
        </is>
      </c>
      <c r="D2061" s="2" t="inlineStr">
        <is>
          <t>120.0</t>
        </is>
      </c>
      <c r="E2061" s="4">
        <f>HYPERLINK("./Results/DLO\818\Osteo_Sarco_1.png","RPT")</f>
        <v/>
      </c>
      <c r="F2061" s="2" t="n">
        <v>153</v>
      </c>
      <c r="G2061" s="6" t="n">
        <v>4</v>
      </c>
      <c r="I2061" s="0" t="n"/>
      <c r="J2061" s="0" t="n"/>
      <c r="K2061" s="0" t="n"/>
      <c r="L2061" t="inlineStr">
        <is>
          <t>LightSpeed VCT</t>
        </is>
      </c>
      <c r="M2061" t="inlineStr">
        <is>
          <t>HVP 3mm</t>
        </is>
      </c>
    </row>
    <row r="2062">
      <c r="A2062" s="2" t="n">
        <v>2881065</v>
      </c>
      <c r="B2062" s="2" t="inlineStr">
        <is>
          <t>45</t>
        </is>
      </c>
      <c r="C2062" s="2" t="inlineStr">
        <is>
          <t>M</t>
        </is>
      </c>
      <c r="D2062" s="2" t="inlineStr">
        <is>
          <t>100.0</t>
        </is>
      </c>
      <c r="E2062" s="4">
        <f>HYPERLINK("./Results/DLO\819\Osteo_Sarco_1.png","RPT")</f>
        <v/>
      </c>
      <c r="F2062" s="2" t="n">
        <v>121</v>
      </c>
      <c r="G2062" s="6" t="n">
        <v>4</v>
      </c>
      <c r="I2062" s="0" t="n"/>
      <c r="J2062" s="0" t="n"/>
      <c r="K2062" s="0" t="n"/>
      <c r="L2062" t="inlineStr">
        <is>
          <t>LightSpeed VCT</t>
        </is>
      </c>
      <c r="M2062" t="inlineStr">
        <is>
          <t>Pre 3mm</t>
        </is>
      </c>
    </row>
    <row r="2063">
      <c r="A2063" s="2" t="n">
        <v>3134500</v>
      </c>
      <c r="B2063" s="2" t="inlineStr">
        <is>
          <t>54</t>
        </is>
      </c>
      <c r="C2063" s="2" t="inlineStr">
        <is>
          <t>M</t>
        </is>
      </c>
      <c r="D2063" s="2" t="inlineStr">
        <is>
          <t>100.0</t>
        </is>
      </c>
      <c r="E2063" s="4">
        <f>HYPERLINK("./Results/DLO\82\Osteo_Sarco_1.png","RPT")</f>
        <v/>
      </c>
      <c r="F2063" s="2" t="n">
        <v>154</v>
      </c>
      <c r="G2063" s="6" t="n">
        <v>14</v>
      </c>
      <c r="I2063" s="0" t="n"/>
      <c r="J2063" s="0" t="n"/>
      <c r="K2063" s="0" t="n"/>
      <c r="L2063" t="inlineStr">
        <is>
          <t>SOMATOM Force</t>
        </is>
      </c>
      <c r="M2063" t="inlineStr">
        <is>
          <t>HVP 3.0 Br40 2 (68kg/136cc...</t>
        </is>
      </c>
    </row>
    <row r="2064">
      <c r="A2064" s="2" t="n">
        <v>3392202</v>
      </c>
      <c r="B2064" s="2" t="inlineStr">
        <is>
          <t>61</t>
        </is>
      </c>
      <c r="C2064" s="2" t="inlineStr">
        <is>
          <t>M</t>
        </is>
      </c>
      <c r="D2064" s="2" t="inlineStr">
        <is>
          <t>100.0</t>
        </is>
      </c>
      <c r="E2064" s="4">
        <f>HYPERLINK("./Results/DLO\820\Osteo_Sarco_1.png","RPT")</f>
        <v/>
      </c>
      <c r="F2064" s="2" t="n">
        <v>118</v>
      </c>
      <c r="G2064" s="6" t="n">
        <v>11</v>
      </c>
      <c r="I2064" s="0" t="n"/>
      <c r="J2064" s="0" t="n"/>
      <c r="K2064" s="0" t="n"/>
      <c r="L2064" t="inlineStr">
        <is>
          <t>SOMATOM Force</t>
        </is>
      </c>
      <c r="M2064" t="inlineStr">
        <is>
          <t>HVP 3.0 Br40 2 (61kg/122cc...</t>
        </is>
      </c>
    </row>
    <row r="2065">
      <c r="A2065" s="2" t="n">
        <v>3184620</v>
      </c>
      <c r="B2065" s="2" t="inlineStr">
        <is>
          <t>68</t>
        </is>
      </c>
      <c r="C2065" s="2" t="inlineStr">
        <is>
          <t>M</t>
        </is>
      </c>
      <c r="D2065" s="2" t="inlineStr">
        <is>
          <t>100.0</t>
        </is>
      </c>
      <c r="E2065" s="4">
        <f>HYPERLINK("./Results/DLO\821\Osteo_Sarco_1.png","RPT")</f>
        <v/>
      </c>
      <c r="F2065" s="2" t="n">
        <v>104</v>
      </c>
      <c r="G2065" s="6" t="n">
        <v>8</v>
      </c>
      <c r="I2065" s="0" t="n"/>
      <c r="J2065" s="0" t="n"/>
      <c r="K2065" s="0" t="n"/>
      <c r="L2065" t="inlineStr">
        <is>
          <t>Revolution EVO</t>
        </is>
      </c>
      <c r="M2065" t="inlineStr">
        <is>
          <t>Pre 2.5mm</t>
        </is>
      </c>
    </row>
    <row r="2066">
      <c r="A2066" s="2" t="n">
        <v>2991494</v>
      </c>
      <c r="B2066" s="2" t="inlineStr">
        <is>
          <t>75</t>
        </is>
      </c>
      <c r="C2066" s="2" t="inlineStr">
        <is>
          <t>F</t>
        </is>
      </c>
      <c r="D2066" s="2" t="inlineStr">
        <is>
          <t>100.0</t>
        </is>
      </c>
      <c r="E2066" s="4">
        <f>HYPERLINK("./Results/DLO\822\Osteo_Sarco_1.png","RPT")</f>
        <v/>
      </c>
      <c r="F2066" s="2" t="n">
        <v>90</v>
      </c>
      <c r="G2066" s="6" t="n">
        <v>8</v>
      </c>
      <c r="H2066" t="n">
        <v>23.68</v>
      </c>
      <c r="L2066" t="inlineStr">
        <is>
          <t>SOMATOM Force</t>
        </is>
      </c>
      <c r="M2066" t="inlineStr">
        <is>
          <t>HVP 3.0 Br40 2 (53kg/106cc...</t>
        </is>
      </c>
    </row>
    <row r="2067">
      <c r="A2067" s="2" t="n">
        <v>2769464</v>
      </c>
      <c r="B2067" s="2" t="inlineStr">
        <is>
          <t>73</t>
        </is>
      </c>
      <c r="C2067" s="2" t="inlineStr">
        <is>
          <t>M</t>
        </is>
      </c>
      <c r="D2067" s="2" t="inlineStr">
        <is>
          <t>100.0</t>
        </is>
      </c>
      <c r="E2067" s="4">
        <f>HYPERLINK("./Results/DLO\823\Osteo_Sarco_1.png","RPT")</f>
        <v/>
      </c>
      <c r="F2067" s="2" t="n">
        <v>132</v>
      </c>
      <c r="G2067" s="6" t="n">
        <v>10</v>
      </c>
      <c r="H2067" t="n">
        <v>27.03</v>
      </c>
      <c r="L2067" t="inlineStr">
        <is>
          <t>LightSpeed VCT</t>
        </is>
      </c>
      <c r="M2067" t="inlineStr">
        <is>
          <t>PRE (CP~L5)</t>
        </is>
      </c>
    </row>
    <row r="2068">
      <c r="A2068" s="2" t="n">
        <v>4431862</v>
      </c>
      <c r="B2068" s="2" t="inlineStr">
        <is>
          <t>77</t>
        </is>
      </c>
      <c r="C2068" s="2" t="inlineStr">
        <is>
          <t>M</t>
        </is>
      </c>
      <c r="D2068" s="2" t="inlineStr">
        <is>
          <t>120.0</t>
        </is>
      </c>
      <c r="E2068" s="4">
        <f>HYPERLINK("./Results/DLO\824\Osteo_Sarco_1.png","RPT")</f>
        <v/>
      </c>
      <c r="F2068" s="2" t="n">
        <v>129</v>
      </c>
      <c r="G2068" s="6" t="n">
        <v>14</v>
      </c>
      <c r="H2068" t="n">
        <v>22.89</v>
      </c>
      <c r="L2068" t="inlineStr">
        <is>
          <t>Discovery CT750 HD</t>
        </is>
      </c>
      <c r="M2068" t="inlineStr">
        <is>
          <t>LAP 3mm</t>
        </is>
      </c>
    </row>
    <row r="2069">
      <c r="A2069" s="2" t="n">
        <v>2796748</v>
      </c>
      <c r="B2069" s="2" t="inlineStr">
        <is>
          <t>59</t>
        </is>
      </c>
      <c r="C2069" s="2" t="inlineStr">
        <is>
          <t>M</t>
        </is>
      </c>
      <c r="D2069" s="2" t="inlineStr">
        <is>
          <t>100.0</t>
        </is>
      </c>
      <c r="E2069" s="4">
        <f>HYPERLINK("./Results/DLO\825\Osteo_Sarco_1.png","RPT")</f>
        <v/>
      </c>
      <c r="F2069" s="2" t="n">
        <v>140</v>
      </c>
      <c r="G2069" s="6" t="n">
        <v>6</v>
      </c>
      <c r="I2069" s="0" t="n"/>
      <c r="J2069" s="0" t="n"/>
      <c r="K2069" s="0" t="n"/>
      <c r="L2069" t="inlineStr">
        <is>
          <t>SOMATOM Definition...</t>
        </is>
      </c>
      <c r="M2069" t="inlineStr">
        <is>
          <t>HVP 2 3mm(63kg/126cc/3cc/xene)</t>
        </is>
      </c>
    </row>
    <row r="2070">
      <c r="A2070" s="2" t="n">
        <v>3374472</v>
      </c>
      <c r="B2070" s="2" t="inlineStr">
        <is>
          <t>36</t>
        </is>
      </c>
      <c r="C2070" s="2" t="inlineStr">
        <is>
          <t>F</t>
        </is>
      </c>
      <c r="D2070" s="2" t="inlineStr">
        <is>
          <t>100.0</t>
        </is>
      </c>
      <c r="E2070" s="4">
        <f>HYPERLINK("./Results/DLO\826\Osteo_Sarco_1.png","RPT")</f>
        <v/>
      </c>
      <c r="F2070" s="2" t="n">
        <v>104</v>
      </c>
      <c r="G2070" s="6" t="n">
        <v>5</v>
      </c>
      <c r="I2070" s="0" t="n"/>
      <c r="J2070" s="0" t="n"/>
      <c r="K2070" s="0" t="n"/>
      <c r="L2070" t="inlineStr">
        <is>
          <t>SOMATOM Definition...</t>
        </is>
      </c>
      <c r="M2070" t="inlineStr">
        <is>
          <t>HVP 2 3mm (53kg/106cc/3cc/bono)</t>
        </is>
      </c>
    </row>
    <row r="2071">
      <c r="A2071" s="2" t="n">
        <v>1802478</v>
      </c>
      <c r="B2071" s="2" t="inlineStr">
        <is>
          <t>67</t>
        </is>
      </c>
      <c r="C2071" s="2" t="inlineStr">
        <is>
          <t>M</t>
        </is>
      </c>
      <c r="D2071" s="2" t="inlineStr">
        <is>
          <t>120.0</t>
        </is>
      </c>
      <c r="E2071" s="4">
        <f>HYPERLINK("./Results/DLO\827\Osteo_Sarco_1.png","RPT")</f>
        <v/>
      </c>
      <c r="F2071" s="2" t="n">
        <v>143</v>
      </c>
      <c r="G2071" s="6" t="n">
        <v>14</v>
      </c>
      <c r="I2071" s="0" t="n"/>
      <c r="J2071" s="0" t="n"/>
      <c r="K2071" s="0" t="n"/>
      <c r="L2071" t="inlineStr">
        <is>
          <t>LightSpeed VCT</t>
        </is>
      </c>
      <c r="M2071" t="inlineStr">
        <is>
          <t>HVP 55sec 3mm</t>
        </is>
      </c>
    </row>
    <row r="2072">
      <c r="A2072" s="2" t="n">
        <v>1780000</v>
      </c>
      <c r="B2072" s="2" t="inlineStr">
        <is>
          <t>74</t>
        </is>
      </c>
      <c r="C2072" s="2" t="inlineStr">
        <is>
          <t>M</t>
        </is>
      </c>
      <c r="D2072" s="2" t="inlineStr">
        <is>
          <t>100.0</t>
        </is>
      </c>
      <c r="E2072" s="4">
        <f>HYPERLINK("./Results/DLO\828\Osteo_Sarco_1.png","RPT")</f>
        <v/>
      </c>
      <c r="F2072" s="2" t="n">
        <v>134</v>
      </c>
      <c r="G2072" s="6" t="n">
        <v>7</v>
      </c>
      <c r="I2072" s="0" t="n"/>
      <c r="J2072" s="0" t="n"/>
      <c r="K2072" s="0" t="n"/>
      <c r="L2072" t="inlineStr">
        <is>
          <t>Revolution CT</t>
        </is>
      </c>
      <c r="M2072" t="inlineStr">
        <is>
          <t>LAP 3mm(62kg/124cc/3.0cc/sure)</t>
        </is>
      </c>
    </row>
    <row r="2073">
      <c r="A2073" s="2" t="n">
        <v>4420675</v>
      </c>
      <c r="B2073" s="2" t="inlineStr">
        <is>
          <t>64</t>
        </is>
      </c>
      <c r="C2073" s="2" t="inlineStr">
        <is>
          <t>M</t>
        </is>
      </c>
      <c r="D2073" s="2" t="inlineStr">
        <is>
          <t>100.0</t>
        </is>
      </c>
      <c r="E2073" s="4">
        <f>HYPERLINK("./Results/DLO\829\Osteo_Sarco_1.png","RPT")</f>
        <v/>
      </c>
      <c r="F2073" s="2" t="n">
        <v>115</v>
      </c>
      <c r="G2073" s="6" t="n">
        <v>9</v>
      </c>
      <c r="I2073" s="0" t="n"/>
      <c r="J2073" s="0" t="n"/>
      <c r="K2073" s="0" t="n"/>
      <c r="L2073" t="inlineStr">
        <is>
          <t>SOMATOM Definition...</t>
        </is>
      </c>
      <c r="M2073" t="inlineStr">
        <is>
          <t>HVP 2 3mm (57kg/114cc/3cc/bono)</t>
        </is>
      </c>
    </row>
    <row r="2074">
      <c r="A2074" s="2" t="n">
        <v>3210647</v>
      </c>
      <c r="B2074" s="2" t="inlineStr">
        <is>
          <t>69</t>
        </is>
      </c>
      <c r="C2074" s="2" t="inlineStr">
        <is>
          <t>M</t>
        </is>
      </c>
      <c r="D2074" s="2" t="inlineStr">
        <is>
          <t>100.0</t>
        </is>
      </c>
      <c r="E2074" s="4">
        <f>HYPERLINK("./Results/DLO\83\Osteo_Sarco_1.png","RPT")</f>
        <v/>
      </c>
      <c r="F2074" s="2" t="n">
        <v>147</v>
      </c>
      <c r="G2074" s="6" t="n">
        <v>10</v>
      </c>
      <c r="H2074" t="n">
        <v>25.2</v>
      </c>
      <c r="L2074" t="inlineStr">
        <is>
          <t>SOMATOM Definition...</t>
        </is>
      </c>
      <c r="M2074" t="inlineStr">
        <is>
          <t>Pre 3mm</t>
        </is>
      </c>
    </row>
    <row r="2075">
      <c r="A2075" s="2" t="n">
        <v>1706615</v>
      </c>
      <c r="B2075" s="2" t="inlineStr">
        <is>
          <t>45</t>
        </is>
      </c>
      <c r="C2075" s="2" t="inlineStr">
        <is>
          <t>M</t>
        </is>
      </c>
      <c r="D2075" s="2" t="inlineStr">
        <is>
          <t>100.0</t>
        </is>
      </c>
      <c r="E2075" s="4">
        <f>HYPERLINK("./Results/DLO\830\Osteo_Sarco_1.png","RPT")</f>
        <v/>
      </c>
      <c r="F2075" s="2" t="n">
        <v>145</v>
      </c>
      <c r="G2075" s="6" t="n">
        <v>10</v>
      </c>
      <c r="I2075" s="0" t="n"/>
      <c r="J2075" s="0" t="n"/>
      <c r="K2075" s="0" t="n"/>
      <c r="L2075" t="inlineStr">
        <is>
          <t>Sensation 64</t>
        </is>
      </c>
      <c r="M2075" t="inlineStr">
        <is>
          <t>HVP 3mm(67kg/134cc/3cc/xene)</t>
        </is>
      </c>
    </row>
    <row r="2076">
      <c r="A2076" s="2" t="n">
        <v>3911802</v>
      </c>
      <c r="B2076" s="2" t="inlineStr">
        <is>
          <t>68</t>
        </is>
      </c>
      <c r="C2076" s="2" t="inlineStr">
        <is>
          <t>M</t>
        </is>
      </c>
      <c r="D2076" s="2" t="inlineStr">
        <is>
          <t>120.0</t>
        </is>
      </c>
      <c r="E2076" s="4">
        <f>HYPERLINK("./Results/DLO\831\Osteo_Sarco_1.png","RPT")</f>
        <v/>
      </c>
      <c r="F2076" s="2" t="n">
        <v>131</v>
      </c>
      <c r="G2076" s="6" t="n">
        <v>10</v>
      </c>
      <c r="I2076" s="0" t="n"/>
      <c r="J2076" s="0" t="n"/>
      <c r="K2076" s="0" t="n"/>
      <c r="L2076" t="inlineStr">
        <is>
          <t>LightSpeed VCT</t>
        </is>
      </c>
      <c r="M2076" t="inlineStr">
        <is>
          <t>HVP 55sec 3mm</t>
        </is>
      </c>
    </row>
    <row r="2077">
      <c r="A2077" s="2" t="n">
        <v>2801655</v>
      </c>
      <c r="B2077" s="2" t="inlineStr">
        <is>
          <t>57</t>
        </is>
      </c>
      <c r="C2077" s="2" t="inlineStr">
        <is>
          <t>M</t>
        </is>
      </c>
      <c r="D2077" s="2" t="inlineStr">
        <is>
          <t>100.0</t>
        </is>
      </c>
      <c r="E2077" s="4">
        <f>HYPERLINK("./Results/DLO\832\Osteo_Sarco_1.png","RPT")</f>
        <v/>
      </c>
      <c r="F2077" s="2" t="n">
        <v>134</v>
      </c>
      <c r="G2077" s="6" t="n">
        <v>12</v>
      </c>
      <c r="I2077" s="0" t="n"/>
      <c r="J2077" s="0" t="n"/>
      <c r="K2077" s="0" t="n"/>
      <c r="L2077" t="inlineStr">
        <is>
          <t>SOMATOM Definition...</t>
        </is>
      </c>
      <c r="M2077" t="inlineStr">
        <is>
          <t>HVP 2 3mm (63kg/126cc/3cc/omni)</t>
        </is>
      </c>
    </row>
    <row r="2078">
      <c r="A2078" s="2" t="n">
        <v>2190982</v>
      </c>
      <c r="B2078" s="2" t="inlineStr">
        <is>
          <t>51</t>
        </is>
      </c>
      <c r="C2078" s="2" t="inlineStr">
        <is>
          <t>M</t>
        </is>
      </c>
      <c r="D2078" s="2" t="inlineStr">
        <is>
          <t>100.0</t>
        </is>
      </c>
      <c r="E2078" s="4">
        <f>HYPERLINK("./Results/DLO\833\Osteo_Sarco_1.png","RPT")</f>
        <v/>
      </c>
      <c r="F2078" s="2" t="n">
        <v>174</v>
      </c>
      <c r="G2078" s="6" t="n">
        <v>6</v>
      </c>
      <c r="I2078" s="0" t="n"/>
      <c r="J2078" s="0" t="n"/>
      <c r="K2078" s="0" t="n"/>
      <c r="L2078" t="inlineStr">
        <is>
          <t>SOMATOM Definition...</t>
        </is>
      </c>
      <c r="M2078" t="inlineStr">
        <is>
          <t>Pre 3mm</t>
        </is>
      </c>
    </row>
    <row r="2079">
      <c r="A2079" s="2" t="n">
        <v>3209696</v>
      </c>
      <c r="B2079" s="2" t="inlineStr">
        <is>
          <t>64</t>
        </is>
      </c>
      <c r="C2079" s="2" t="inlineStr">
        <is>
          <t>M</t>
        </is>
      </c>
      <c r="D2079" s="2" t="inlineStr">
        <is>
          <t>100.0</t>
        </is>
      </c>
      <c r="E2079" s="4">
        <f>HYPERLINK("./Results/DLO\834\Osteo_Sarco_1.png","RPT")</f>
        <v/>
      </c>
      <c r="F2079" s="2" t="n">
        <v>176</v>
      </c>
      <c r="G2079" s="6" t="n">
        <v>7</v>
      </c>
      <c r="I2079" s="0" t="n"/>
      <c r="J2079" s="0" t="n"/>
      <c r="K2079" s="0" t="n"/>
      <c r="L2079" t="inlineStr">
        <is>
          <t>LightSpeed VCT</t>
        </is>
      </c>
      <c r="M2079" t="inlineStr">
        <is>
          <t>PRE (CP angle~Pubic)</t>
        </is>
      </c>
    </row>
    <row r="2080">
      <c r="A2080" s="2" t="n">
        <v>1752756</v>
      </c>
      <c r="B2080" s="2" t="inlineStr">
        <is>
          <t>80</t>
        </is>
      </c>
      <c r="C2080" s="2" t="inlineStr">
        <is>
          <t>M</t>
        </is>
      </c>
      <c r="D2080" s="2" t="inlineStr">
        <is>
          <t>100.0</t>
        </is>
      </c>
      <c r="E2080" s="4">
        <f>HYPERLINK("./Results/DLO\835\Osteo_Sarco_1.png","RPT")</f>
        <v/>
      </c>
      <c r="F2080" s="2" t="n">
        <v>171</v>
      </c>
      <c r="G2080" s="6" t="n">
        <v>26</v>
      </c>
      <c r="H2080" t="n">
        <v>21.01</v>
      </c>
      <c r="L2080" t="inlineStr">
        <is>
          <t>SOMATOM Definition...</t>
        </is>
      </c>
      <c r="M2080" t="inlineStr">
        <is>
          <t>Pre 3mm</t>
        </is>
      </c>
    </row>
    <row r="2081">
      <c r="A2081" s="2" t="n">
        <v>1600267</v>
      </c>
      <c r="B2081" s="2" t="inlineStr">
        <is>
          <t>49</t>
        </is>
      </c>
      <c r="C2081" s="2" t="inlineStr">
        <is>
          <t>F</t>
        </is>
      </c>
      <c r="D2081" s="2" t="inlineStr">
        <is>
          <t>100.0</t>
        </is>
      </c>
      <c r="E2081" s="4">
        <f>HYPERLINK("./Results/DLO\836\Osteo_Sarco_1.png","RPT")</f>
        <v/>
      </c>
      <c r="F2081" s="2" t="n">
        <v>79</v>
      </c>
      <c r="G2081" s="6" t="n">
        <v>7</v>
      </c>
      <c r="I2081" s="0" t="n"/>
      <c r="J2081" s="0" t="n"/>
      <c r="K2081" s="0" t="n"/>
      <c r="L2081" t="inlineStr">
        <is>
          <t>iCT 256</t>
        </is>
      </c>
      <c r="M2081" t="inlineStr">
        <is>
          <t>Pre3/3mm_I-3, iDose (3)</t>
        </is>
      </c>
    </row>
    <row r="2082">
      <c r="A2082" s="2" t="n">
        <v>3653004</v>
      </c>
      <c r="B2082" s="2" t="inlineStr">
        <is>
          <t>77</t>
        </is>
      </c>
      <c r="C2082" s="2" t="inlineStr">
        <is>
          <t>M</t>
        </is>
      </c>
      <c r="D2082" s="2" t="inlineStr">
        <is>
          <t>100.0</t>
        </is>
      </c>
      <c r="E2082" s="4">
        <f>HYPERLINK("./Results/DLO\837\Osteo_Sarco_1.png","RPT")</f>
        <v/>
      </c>
      <c r="F2082" s="2" t="n">
        <v>151</v>
      </c>
      <c r="G2082" s="6" t="n">
        <v>17</v>
      </c>
      <c r="I2082" s="0" t="n"/>
      <c r="J2082" s="0" t="n"/>
      <c r="K2082" s="0" t="n"/>
      <c r="L2082" t="inlineStr">
        <is>
          <t>Revolution EVO</t>
        </is>
      </c>
      <c r="M2082" t="inlineStr">
        <is>
          <t>PRE</t>
        </is>
      </c>
    </row>
    <row r="2083">
      <c r="A2083" s="2" t="n">
        <v>3263225</v>
      </c>
      <c r="B2083" s="2" t="inlineStr">
        <is>
          <t>57</t>
        </is>
      </c>
      <c r="C2083" s="2" t="inlineStr">
        <is>
          <t>F</t>
        </is>
      </c>
      <c r="D2083" s="2" t="inlineStr">
        <is>
          <t>100.0</t>
        </is>
      </c>
      <c r="E2083" s="4">
        <f>HYPERLINK("./Results/DLO\838\Osteo_Sarco_1.png","RPT")</f>
        <v/>
      </c>
      <c r="F2083" s="2" t="n">
        <v>99</v>
      </c>
      <c r="G2083" s="6" t="n">
        <v>10</v>
      </c>
      <c r="I2083" s="0" t="n"/>
      <c r="J2083" s="0" t="n"/>
      <c r="K2083" s="0" t="n"/>
      <c r="L2083" t="inlineStr">
        <is>
          <t>SOMATOM Definition...</t>
        </is>
      </c>
      <c r="M2083" t="inlineStr">
        <is>
          <t>PRE 3mm</t>
        </is>
      </c>
    </row>
    <row r="2084">
      <c r="A2084" s="2" t="n">
        <v>3788370</v>
      </c>
      <c r="B2084" s="2" t="inlineStr">
        <is>
          <t>72</t>
        </is>
      </c>
      <c r="C2084" s="2" t="inlineStr">
        <is>
          <t>M</t>
        </is>
      </c>
      <c r="D2084" s="2" t="inlineStr">
        <is>
          <t>120.0</t>
        </is>
      </c>
      <c r="E2084" s="4">
        <f>HYPERLINK("./Results/DLO\839\Osteo_Sarco_1.png","RPT")</f>
        <v/>
      </c>
      <c r="F2084" s="2" t="n">
        <v>109</v>
      </c>
      <c r="G2084" s="6" t="n">
        <v>7</v>
      </c>
      <c r="I2084" s="0" t="n"/>
      <c r="J2084" s="0" t="n"/>
      <c r="K2084" s="0" t="n"/>
      <c r="L2084" t="inlineStr">
        <is>
          <t>LightSpeed VCT</t>
        </is>
      </c>
      <c r="M2084" t="inlineStr">
        <is>
          <t>Abd_LPO</t>
        </is>
      </c>
    </row>
    <row r="2085">
      <c r="A2085" s="2" t="n">
        <v>4599126</v>
      </c>
      <c r="B2085" s="2" t="inlineStr">
        <is>
          <t>57</t>
        </is>
      </c>
      <c r="C2085" s="2" t="inlineStr">
        <is>
          <t>F</t>
        </is>
      </c>
      <c r="D2085" s="2" t="inlineStr">
        <is>
          <t>120.0</t>
        </is>
      </c>
      <c r="E2085" s="4">
        <f>HYPERLINK("./Results/DLO\84\Osteo_Sarco_1.png","RPT")</f>
        <v/>
      </c>
      <c r="F2085" s="2" t="n">
        <v>87</v>
      </c>
      <c r="G2085" s="6" t="n">
        <v>6</v>
      </c>
      <c r="I2085" s="0" t="n"/>
      <c r="J2085" s="0" t="n"/>
      <c r="K2085" s="0" t="n"/>
      <c r="L2085" t="inlineStr">
        <is>
          <t>LightSpeed VCT</t>
        </is>
      </c>
      <c r="M2085" t="inlineStr">
        <is>
          <t>HVP 3mm</t>
        </is>
      </c>
    </row>
    <row r="2086">
      <c r="A2086" s="2" t="n">
        <v>2699640</v>
      </c>
      <c r="B2086" s="2" t="inlineStr">
        <is>
          <t>49</t>
        </is>
      </c>
      <c r="C2086" s="2" t="inlineStr">
        <is>
          <t>F</t>
        </is>
      </c>
      <c r="D2086" s="2" t="inlineStr">
        <is>
          <t>100.0</t>
        </is>
      </c>
      <c r="E2086" s="4">
        <f>HYPERLINK("./Results/DLO\840\Osteo_Sarco_1.png","RPT")</f>
        <v/>
      </c>
      <c r="F2086" s="2" t="n">
        <v>94</v>
      </c>
      <c r="G2086" s="6" t="n">
        <v>7</v>
      </c>
      <c r="I2086" s="0" t="n"/>
      <c r="J2086" s="0" t="n"/>
      <c r="K2086" s="0" t="n"/>
      <c r="L2086" t="inlineStr">
        <is>
          <t>Revolution EVO</t>
        </is>
      </c>
      <c r="M2086" t="inlineStr">
        <is>
          <t>PRE</t>
        </is>
      </c>
    </row>
    <row r="2087">
      <c r="A2087" s="2" t="n">
        <v>3769003</v>
      </c>
      <c r="B2087" s="2" t="inlineStr">
        <is>
          <t>49</t>
        </is>
      </c>
      <c r="C2087" s="2" t="inlineStr">
        <is>
          <t>M</t>
        </is>
      </c>
      <c r="D2087" s="2" t="inlineStr">
        <is>
          <t>100.0</t>
        </is>
      </c>
      <c r="E2087" s="4">
        <f>HYPERLINK("./Results/DLO\841\Osteo_Sarco_1.png","RPT")</f>
        <v/>
      </c>
      <c r="F2087" s="2" t="n">
        <v>177</v>
      </c>
      <c r="G2087" s="6" t="n">
        <v>8</v>
      </c>
      <c r="H2087" t="n">
        <v>23.66</v>
      </c>
      <c r="L2087" t="inlineStr">
        <is>
          <t>Revolution CT</t>
        </is>
      </c>
      <c r="M2087" t="inlineStr">
        <is>
          <t>Pre Axial 3mm</t>
        </is>
      </c>
    </row>
    <row r="2088">
      <c r="A2088" s="2" t="n">
        <v>3797204</v>
      </c>
      <c r="B2088" s="2" t="inlineStr">
        <is>
          <t>58</t>
        </is>
      </c>
      <c r="C2088" s="2" t="inlineStr">
        <is>
          <t>M</t>
        </is>
      </c>
      <c r="D2088" s="2" t="inlineStr">
        <is>
          <t>100.0</t>
        </is>
      </c>
      <c r="E2088" s="4">
        <f>HYPERLINK("./Results/DLO\842\Osteo_Sarco_1.png","RPT")</f>
        <v/>
      </c>
      <c r="F2088" s="2" t="n">
        <v>130</v>
      </c>
      <c r="G2088" s="6" t="n">
        <v>5</v>
      </c>
      <c r="I2088" s="0" t="n"/>
      <c r="J2088" s="0" t="n"/>
      <c r="K2088" s="0" t="n"/>
      <c r="L2088" t="inlineStr">
        <is>
          <t>LightSpeed VCT</t>
        </is>
      </c>
      <c r="M2088" t="inlineStr">
        <is>
          <t>PRE 3mm</t>
        </is>
      </c>
    </row>
    <row r="2089">
      <c r="A2089" s="2" t="n">
        <v>3040438</v>
      </c>
      <c r="B2089" s="2" t="inlineStr">
        <is>
          <t>62</t>
        </is>
      </c>
      <c r="C2089" s="2" t="inlineStr">
        <is>
          <t>F</t>
        </is>
      </c>
      <c r="D2089" s="2" t="inlineStr">
        <is>
          <t>100.0</t>
        </is>
      </c>
      <c r="E2089" s="4">
        <f>HYPERLINK("./Results/DLO\843\Osteo_Sarco_1.png","RPT")</f>
        <v/>
      </c>
      <c r="F2089" s="2" t="n">
        <v>104</v>
      </c>
      <c r="G2089" s="6" t="n">
        <v>10</v>
      </c>
      <c r="H2089" t="n">
        <v>26.07</v>
      </c>
      <c r="L2089" t="inlineStr">
        <is>
          <t>Revolution CT</t>
        </is>
      </c>
      <c r="M2089" t="inlineStr">
        <is>
          <t>Pre Axial 3mm</t>
        </is>
      </c>
    </row>
    <row r="2090">
      <c r="A2090" s="2" t="n">
        <v>3234164</v>
      </c>
      <c r="B2090" s="2" t="inlineStr">
        <is>
          <t>73</t>
        </is>
      </c>
      <c r="C2090" s="2" t="inlineStr">
        <is>
          <t>M</t>
        </is>
      </c>
      <c r="D2090" s="2" t="inlineStr">
        <is>
          <t>100.0</t>
        </is>
      </c>
      <c r="E2090" s="4">
        <f>HYPERLINK("./Results/DLO\844\Osteo_Sarco_1.png","RPT")</f>
        <v/>
      </c>
      <c r="F2090" s="2" t="n">
        <v>125</v>
      </c>
      <c r="G2090" s="6" t="n">
        <v>14</v>
      </c>
      <c r="H2090" t="n">
        <v>23.53</v>
      </c>
      <c r="L2090" t="inlineStr">
        <is>
          <t>LightSpeed VCT</t>
        </is>
      </c>
      <c r="M2090" t="inlineStr">
        <is>
          <t>PRE 3mm axial</t>
        </is>
      </c>
    </row>
    <row r="2091">
      <c r="A2091" s="2" t="n">
        <v>2038177</v>
      </c>
      <c r="B2091" s="2" t="inlineStr">
        <is>
          <t>63</t>
        </is>
      </c>
      <c r="C2091" s="2" t="inlineStr">
        <is>
          <t>F</t>
        </is>
      </c>
      <c r="D2091" s="2" t="inlineStr">
        <is>
          <t>120.0</t>
        </is>
      </c>
      <c r="E2091" s="4">
        <f>HYPERLINK("./Results/DLO\845\Osteo_Sarco_1.png","RPT")</f>
        <v/>
      </c>
      <c r="F2091" s="2" t="n">
        <v>96</v>
      </c>
      <c r="G2091" s="6" t="n">
        <v>9</v>
      </c>
      <c r="I2091" s="0" t="n"/>
      <c r="J2091" s="0" t="n"/>
      <c r="K2091" s="0" t="n"/>
      <c r="L2091" t="inlineStr">
        <is>
          <t>Discovery CT750 HD</t>
        </is>
      </c>
      <c r="M2091" t="inlineStr">
        <is>
          <t>HVP 3mm</t>
        </is>
      </c>
    </row>
    <row r="2092">
      <c r="A2092" s="2" t="n">
        <v>4900218</v>
      </c>
      <c r="B2092" s="2" t="inlineStr">
        <is>
          <t>48</t>
        </is>
      </c>
      <c r="C2092" s="2" t="inlineStr">
        <is>
          <t>F</t>
        </is>
      </c>
      <c r="D2092" s="2" t="inlineStr">
        <is>
          <t>100.0</t>
        </is>
      </c>
      <c r="E2092" s="4">
        <f>HYPERLINK("./Results/DLO\846\Osteo_Sarco_1.png","RPT")</f>
        <v/>
      </c>
      <c r="F2092" s="2" t="n">
        <v>125</v>
      </c>
      <c r="G2092" s="6" t="n">
        <v>7</v>
      </c>
      <c r="H2092" t="n">
        <v>27.82</v>
      </c>
      <c r="L2092" t="inlineStr">
        <is>
          <t>Revolution CT</t>
        </is>
      </c>
      <c r="M2092" t="inlineStr">
        <is>
          <t>Pre 3mm pacs</t>
        </is>
      </c>
    </row>
    <row r="2093">
      <c r="A2093" s="2" t="n">
        <v>3865894</v>
      </c>
      <c r="B2093" s="2" t="inlineStr">
        <is>
          <t>69</t>
        </is>
      </c>
      <c r="C2093" s="2" t="inlineStr">
        <is>
          <t>M</t>
        </is>
      </c>
      <c r="D2093" s="2" t="inlineStr">
        <is>
          <t>100.0</t>
        </is>
      </c>
      <c r="E2093" s="4">
        <f>HYPERLINK("./Results/DLO\847\Osteo_Sarco_1.png","RPT")</f>
        <v/>
      </c>
      <c r="F2093" s="2" t="n">
        <v>141</v>
      </c>
      <c r="G2093" s="6" t="n">
        <v>4</v>
      </c>
      <c r="H2093" t="n">
        <v>18.68</v>
      </c>
      <c r="L2093" t="inlineStr">
        <is>
          <t>SOMATOM Definition...</t>
        </is>
      </c>
      <c r="M2093" t="inlineStr">
        <is>
          <t>HVP 2 3mm (58kg/116cc/3cc/p...</t>
        </is>
      </c>
    </row>
    <row r="2094">
      <c r="A2094" s="2" t="n">
        <v>2297511</v>
      </c>
      <c r="B2094" s="2" t="inlineStr">
        <is>
          <t>62</t>
        </is>
      </c>
      <c r="C2094" s="2" t="inlineStr">
        <is>
          <t>M</t>
        </is>
      </c>
      <c r="D2094" s="2" t="inlineStr">
        <is>
          <t>100.0</t>
        </is>
      </c>
      <c r="E2094" s="4">
        <f>HYPERLINK("./Results/DLO\848\Osteo_Sarco_1.png","RPT")</f>
        <v/>
      </c>
      <c r="F2094" s="2" t="n">
        <v>167</v>
      </c>
      <c r="G2094" s="6" t="n">
        <v>17</v>
      </c>
      <c r="I2094" s="0" t="n"/>
      <c r="J2094" s="0" t="n"/>
      <c r="K2094" s="0" t="n"/>
      <c r="L2094" t="inlineStr">
        <is>
          <t>Revolution CT</t>
        </is>
      </c>
      <c r="M2094" t="inlineStr">
        <is>
          <t>HVP 3mm(70kg/140cc/3cc/omni)</t>
        </is>
      </c>
    </row>
    <row r="2095">
      <c r="A2095" s="2" t="n">
        <v>4447402</v>
      </c>
      <c r="B2095" s="2" t="inlineStr">
        <is>
          <t>18</t>
        </is>
      </c>
      <c r="C2095" s="2" t="inlineStr">
        <is>
          <t>F</t>
        </is>
      </c>
      <c r="D2095" s="2" t="inlineStr">
        <is>
          <t>100.0</t>
        </is>
      </c>
      <c r="E2095" s="4">
        <f>HYPERLINK("./Results/DLO\849\Osteo_Sarco_1.png","RPT")</f>
        <v/>
      </c>
      <c r="F2095" s="2" t="n">
        <v>121</v>
      </c>
      <c r="G2095" s="6" t="n">
        <v>8</v>
      </c>
      <c r="H2095" t="n">
        <v>27.43</v>
      </c>
      <c r="L2095" t="inlineStr">
        <is>
          <t>LightSpeed VCT</t>
        </is>
      </c>
      <c r="M2095" t="inlineStr">
        <is>
          <t>PRE 3mm</t>
        </is>
      </c>
    </row>
    <row r="2096">
      <c r="A2096" s="2" t="n">
        <v>430439</v>
      </c>
      <c r="B2096" s="2" t="inlineStr">
        <is>
          <t>63</t>
        </is>
      </c>
      <c r="C2096" s="2" t="inlineStr">
        <is>
          <t>F</t>
        </is>
      </c>
      <c r="D2096" s="2" t="inlineStr">
        <is>
          <t>100.0</t>
        </is>
      </c>
      <c r="E2096" s="4">
        <f>HYPERLINK("./Results/DLO\85\Osteo_Sarco_1.png","RPT")</f>
        <v/>
      </c>
      <c r="F2096" s="2" t="n">
        <v>133</v>
      </c>
      <c r="G2096" s="6" t="n">
        <v>10</v>
      </c>
      <c r="I2096" s="0" t="n"/>
      <c r="J2096" s="0" t="n"/>
      <c r="K2096" s="0" t="n"/>
      <c r="L2096" t="inlineStr">
        <is>
          <t>SOMATOM Force</t>
        </is>
      </c>
      <c r="M2096" t="inlineStr">
        <is>
          <t>LAP 3.0 (76kg/150cc/3cc/radi)</t>
        </is>
      </c>
    </row>
    <row r="2097">
      <c r="A2097" s="2" t="n">
        <v>4667597</v>
      </c>
      <c r="B2097" s="2" t="inlineStr">
        <is>
          <t>64</t>
        </is>
      </c>
      <c r="C2097" s="2" t="inlineStr">
        <is>
          <t>F</t>
        </is>
      </c>
      <c r="D2097" s="2" t="inlineStr">
        <is>
          <t>110.0</t>
        </is>
      </c>
      <c r="E2097" s="4">
        <f>HYPERLINK("./Results/DLO\850\Osteo_Sarco_1.png","RPT")</f>
        <v/>
      </c>
      <c r="F2097" s="2" t="n">
        <v>99</v>
      </c>
      <c r="G2097" s="6" t="n">
        <v>7</v>
      </c>
      <c r="I2097" s="0" t="n"/>
      <c r="J2097" s="0" t="n"/>
      <c r="K2097" s="0" t="n"/>
      <c r="L2097" t="inlineStr">
        <is>
          <t>SOMATOM Force</t>
        </is>
      </c>
      <c r="M2097" t="inlineStr">
        <is>
          <t>Pre 3.0 Br40 2</t>
        </is>
      </c>
    </row>
    <row r="2098">
      <c r="A2098" s="2" t="n">
        <v>3262310</v>
      </c>
      <c r="B2098" s="2" t="inlineStr">
        <is>
          <t>73</t>
        </is>
      </c>
      <c r="C2098" s="2" t="inlineStr">
        <is>
          <t>M</t>
        </is>
      </c>
      <c r="D2098" s="2" t="inlineStr">
        <is>
          <t>120.0</t>
        </is>
      </c>
      <c r="E2098" s="4">
        <f>HYPERLINK("./Results/DLO\851\Osteo_Sarco_1.png","RPT")</f>
        <v/>
      </c>
      <c r="F2098" s="2" t="n">
        <v>126</v>
      </c>
      <c r="G2098" s="6" t="n">
        <v>7</v>
      </c>
      <c r="H2098" t="n">
        <v>22.63</v>
      </c>
      <c r="L2098" t="inlineStr">
        <is>
          <t>Brilliance 64</t>
        </is>
      </c>
      <c r="M2098" t="inlineStr">
        <is>
          <t>75sec,Portal 2mm</t>
        </is>
      </c>
    </row>
    <row r="2099">
      <c r="A2099" s="2" t="n">
        <v>4024262</v>
      </c>
      <c r="B2099" s="2" t="inlineStr">
        <is>
          <t>51</t>
        </is>
      </c>
      <c r="C2099" s="2" t="inlineStr">
        <is>
          <t>F</t>
        </is>
      </c>
      <c r="D2099" s="2" t="inlineStr">
        <is>
          <t>100.0</t>
        </is>
      </c>
      <c r="E2099" s="4">
        <f>HYPERLINK("./Results/DLO\852\Osteo_Sarco_1.png","RPT")</f>
        <v/>
      </c>
      <c r="F2099" s="2" t="n">
        <v>90</v>
      </c>
      <c r="G2099" s="6" t="n">
        <v>6</v>
      </c>
      <c r="I2099" s="0" t="n"/>
      <c r="J2099" s="0" t="n"/>
      <c r="K2099" s="0" t="n"/>
      <c r="L2099" t="inlineStr">
        <is>
          <t>SOMATOM Definition...</t>
        </is>
      </c>
      <c r="M2099" t="inlineStr">
        <is>
          <t>HVP 2 3mm (50kg/100cc/3cc/bono)</t>
        </is>
      </c>
    </row>
    <row r="2100">
      <c r="A2100" s="2" t="n">
        <v>4685635</v>
      </c>
      <c r="B2100" s="2" t="inlineStr">
        <is>
          <t>73</t>
        </is>
      </c>
      <c r="C2100" s="2" t="inlineStr">
        <is>
          <t>M</t>
        </is>
      </c>
      <c r="D2100" s="2" t="inlineStr">
        <is>
          <t>100.0</t>
        </is>
      </c>
      <c r="E2100" s="4">
        <f>HYPERLINK("./Results/DLO\853\Osteo_Sarco_1.png","RPT")</f>
        <v/>
      </c>
      <c r="F2100" s="2" t="n">
        <v>118</v>
      </c>
      <c r="G2100" s="6" t="n">
        <v>5</v>
      </c>
      <c r="I2100" s="0" t="n"/>
      <c r="J2100" s="0" t="n"/>
      <c r="K2100" s="0" t="n"/>
      <c r="L2100" t="inlineStr">
        <is>
          <t>SOMATOM Force</t>
        </is>
      </c>
      <c r="M2100" t="inlineStr">
        <is>
          <t>HVP 3.0 Br40 2 (57kg/114cc...</t>
        </is>
      </c>
    </row>
    <row r="2101">
      <c r="A2101" s="2" t="n">
        <v>4718575</v>
      </c>
      <c r="B2101" s="2" t="inlineStr">
        <is>
          <t>69</t>
        </is>
      </c>
      <c r="C2101" s="2" t="inlineStr">
        <is>
          <t>M</t>
        </is>
      </c>
      <c r="D2101" s="2" t="inlineStr">
        <is>
          <t>100.0</t>
        </is>
      </c>
      <c r="E2101" s="4">
        <f>HYPERLINK("./Results/DLO\854\Osteo_Sarco_1.png","RPT")</f>
        <v/>
      </c>
      <c r="F2101" s="2" t="n">
        <v>122</v>
      </c>
      <c r="G2101" s="6" t="n">
        <v>7</v>
      </c>
      <c r="I2101" s="0" t="n"/>
      <c r="J2101" s="0" t="n"/>
      <c r="K2101" s="0" t="n"/>
      <c r="L2101" t="inlineStr">
        <is>
          <t>SOMATOM Definition...</t>
        </is>
      </c>
      <c r="M2101" t="inlineStr">
        <is>
          <t>HVP 2 3mm (48kg/96cc/3cc/omni)</t>
        </is>
      </c>
    </row>
    <row r="2102">
      <c r="A2102" s="2" t="n">
        <v>2682023</v>
      </c>
      <c r="B2102" s="2" t="inlineStr">
        <is>
          <t>40</t>
        </is>
      </c>
      <c r="C2102" s="2" t="inlineStr">
        <is>
          <t>M</t>
        </is>
      </c>
      <c r="D2102" s="2" t="inlineStr">
        <is>
          <t>100.0</t>
        </is>
      </c>
      <c r="E2102" s="4">
        <f>HYPERLINK("./Results/DLO\855\Osteo_Sarco_1.png","RPT")</f>
        <v/>
      </c>
      <c r="F2102" s="2" t="n">
        <v>144</v>
      </c>
      <c r="G2102" s="6" t="n">
        <v>10</v>
      </c>
      <c r="I2102" s="0" t="n"/>
      <c r="J2102" s="0" t="n"/>
      <c r="K2102" s="0" t="n"/>
      <c r="L2102" t="inlineStr">
        <is>
          <t>LightSpeed VCT</t>
        </is>
      </c>
      <c r="M2102" t="inlineStr">
        <is>
          <t>PRE</t>
        </is>
      </c>
    </row>
    <row r="2103">
      <c r="A2103" s="2" t="n">
        <v>3644450</v>
      </c>
      <c r="B2103" s="2" t="inlineStr">
        <is>
          <t>65</t>
        </is>
      </c>
      <c r="C2103" s="2" t="inlineStr">
        <is>
          <t>F</t>
        </is>
      </c>
      <c r="D2103" s="2" t="inlineStr">
        <is>
          <t>100.0</t>
        </is>
      </c>
      <c r="E2103" s="4">
        <f>HYPERLINK("./Results/DLO\856\Osteo_Sarco_1.png","RPT")</f>
        <v/>
      </c>
      <c r="F2103" s="2" t="n">
        <v>106</v>
      </c>
      <c r="G2103" s="6" t="n">
        <v>12</v>
      </c>
      <c r="H2103" t="n">
        <v>23.11</v>
      </c>
      <c r="L2103" t="inlineStr">
        <is>
          <t>Discovery CT750 HD</t>
        </is>
      </c>
      <c r="M2103" t="inlineStr">
        <is>
          <t>CE 2.5mm(ASIR30%)</t>
        </is>
      </c>
    </row>
    <row r="2104">
      <c r="A2104" s="2" t="n">
        <v>3858685</v>
      </c>
      <c r="B2104" s="2" t="inlineStr">
        <is>
          <t>46</t>
        </is>
      </c>
      <c r="C2104" s="2" t="inlineStr">
        <is>
          <t>F</t>
        </is>
      </c>
      <c r="D2104" s="2" t="inlineStr">
        <is>
          <t>100.0</t>
        </is>
      </c>
      <c r="E2104" s="4">
        <f>HYPERLINK("./Results/DLO\858\Osteo_Sarco_1.png","RPT")</f>
        <v/>
      </c>
      <c r="F2104" s="2" t="n">
        <v>115</v>
      </c>
      <c r="G2104" s="6" t="n">
        <v>3</v>
      </c>
      <c r="I2104" s="0" t="n"/>
      <c r="J2104" s="0" t="n"/>
      <c r="K2104" s="0" t="n"/>
      <c r="L2104" t="inlineStr">
        <is>
          <t>Revolution EVO</t>
        </is>
      </c>
      <c r="M2104" t="inlineStr">
        <is>
          <t>AX 3mm</t>
        </is>
      </c>
    </row>
    <row r="2105">
      <c r="A2105" s="2" t="n">
        <v>1645067</v>
      </c>
      <c r="B2105" s="2" t="inlineStr">
        <is>
          <t>48</t>
        </is>
      </c>
      <c r="C2105" s="2" t="inlineStr">
        <is>
          <t>F</t>
        </is>
      </c>
      <c r="D2105" s="2" t="inlineStr">
        <is>
          <t>100.0</t>
        </is>
      </c>
      <c r="E2105" s="4">
        <f>HYPERLINK("./Results/DLO\859\Osteo_Sarco_1.png","RPT")</f>
        <v/>
      </c>
      <c r="F2105" s="2" t="n">
        <v>143</v>
      </c>
      <c r="G2105" s="6" t="n">
        <v>8</v>
      </c>
      <c r="I2105" s="0" t="n"/>
      <c r="J2105" s="0" t="n"/>
      <c r="K2105" s="0" t="n"/>
      <c r="L2105" t="inlineStr">
        <is>
          <t>LightSpeed VCT</t>
        </is>
      </c>
      <c r="M2105" t="inlineStr">
        <is>
          <t>PRE 3mm</t>
        </is>
      </c>
    </row>
    <row r="2106">
      <c r="A2106" s="2" t="n">
        <v>3336070</v>
      </c>
      <c r="B2106" s="2" t="inlineStr">
        <is>
          <t>70</t>
        </is>
      </c>
      <c r="C2106" s="2" t="inlineStr">
        <is>
          <t>F</t>
        </is>
      </c>
      <c r="D2106" s="2" t="inlineStr">
        <is>
          <t>110.0</t>
        </is>
      </c>
      <c r="E2106" s="4">
        <f>HYPERLINK("./Results/DLO\86\Osteo_Sarco_1.png","RPT")</f>
        <v/>
      </c>
      <c r="F2106" s="2" t="n">
        <v>102</v>
      </c>
      <c r="G2106" s="6" t="n">
        <v>13</v>
      </c>
      <c r="I2106" s="0" t="n"/>
      <c r="J2106" s="0" t="n"/>
      <c r="K2106" s="0" t="n"/>
      <c r="L2106" t="inlineStr">
        <is>
          <t>SOMATOM Force</t>
        </is>
      </c>
      <c r="M2106" t="inlineStr">
        <is>
          <t>Pre 3.0 Br40 2</t>
        </is>
      </c>
    </row>
    <row r="2107">
      <c r="A2107" s="2" t="n">
        <v>3635017</v>
      </c>
      <c r="B2107" s="2" t="inlineStr">
        <is>
          <t>70</t>
        </is>
      </c>
      <c r="C2107" s="2" t="inlineStr">
        <is>
          <t>F</t>
        </is>
      </c>
      <c r="D2107" s="2" t="inlineStr">
        <is>
          <t>120.0</t>
        </is>
      </c>
      <c r="E2107" s="4">
        <f>HYPERLINK("./Results/DLO\860\Osteo_Sarco_1.png","RPT")</f>
        <v/>
      </c>
      <c r="F2107" s="2" t="n">
        <v>111</v>
      </c>
      <c r="G2107" s="6" t="n">
        <v>12</v>
      </c>
      <c r="H2107" t="n">
        <v>27.35</v>
      </c>
      <c r="L2107" t="inlineStr">
        <is>
          <t>LightSpeed VCT</t>
        </is>
      </c>
      <c r="M2107" t="inlineStr">
        <is>
          <t>HVP 55sec 3mm</t>
        </is>
      </c>
    </row>
    <row r="2108">
      <c r="A2108" s="2" t="n">
        <v>2133750</v>
      </c>
      <c r="B2108" s="2" t="inlineStr">
        <is>
          <t>78</t>
        </is>
      </c>
      <c r="C2108" s="2" t="inlineStr">
        <is>
          <t>M</t>
        </is>
      </c>
      <c r="D2108" s="2" t="inlineStr">
        <is>
          <t>100.0</t>
        </is>
      </c>
      <c r="E2108" s="4">
        <f>HYPERLINK("./Results/DLO\861\Osteo_Sarco_1.png","RPT")</f>
        <v/>
      </c>
      <c r="F2108" s="2" t="n">
        <v>80</v>
      </c>
      <c r="G2108" s="6" t="n">
        <v>8</v>
      </c>
      <c r="H2108" t="n">
        <v>21.33</v>
      </c>
      <c r="L2108" t="inlineStr">
        <is>
          <t>Revolution EVO</t>
        </is>
      </c>
      <c r="M2108" t="inlineStr">
        <is>
          <t>Abdomen Pre 2.5mm</t>
        </is>
      </c>
    </row>
    <row r="2109">
      <c r="A2109" s="2" t="n">
        <v>4527315</v>
      </c>
      <c r="B2109" s="2" t="inlineStr">
        <is>
          <t>72</t>
        </is>
      </c>
      <c r="C2109" s="2" t="inlineStr">
        <is>
          <t>M</t>
        </is>
      </c>
      <c r="D2109" s="2" t="inlineStr">
        <is>
          <t>100.0</t>
        </is>
      </c>
      <c r="E2109" s="4">
        <f>HYPERLINK("./Results/DLO\862\Osteo_Sarco_1.png","RPT")</f>
        <v/>
      </c>
      <c r="F2109" s="2" t="n">
        <v>151</v>
      </c>
      <c r="G2109" s="6" t="n">
        <v>6</v>
      </c>
      <c r="I2109" s="0" t="n"/>
      <c r="J2109" s="0" t="n"/>
      <c r="K2109" s="0" t="n"/>
      <c r="L2109" t="inlineStr">
        <is>
          <t>Revolution CT</t>
        </is>
      </c>
      <c r="M2109" t="inlineStr">
        <is>
          <t>Pre Axial 3mm</t>
        </is>
      </c>
    </row>
    <row r="2110">
      <c r="A2110" s="2" t="n">
        <v>2187123</v>
      </c>
      <c r="B2110" s="2" t="inlineStr">
        <is>
          <t>63</t>
        </is>
      </c>
      <c r="C2110" s="2" t="inlineStr">
        <is>
          <t>F</t>
        </is>
      </c>
      <c r="D2110" s="2" t="inlineStr">
        <is>
          <t>100.0</t>
        </is>
      </c>
      <c r="E2110" s="4">
        <f>HYPERLINK("./Results/DLO\863\Osteo_Sarco_1.png","RPT")</f>
        <v/>
      </c>
      <c r="F2110" s="2" t="n">
        <v>106</v>
      </c>
      <c r="G2110" s="6" t="n">
        <v>9</v>
      </c>
      <c r="I2110" s="0" t="n"/>
      <c r="J2110" s="0" t="n"/>
      <c r="K2110" s="0" t="n"/>
      <c r="L2110" t="inlineStr">
        <is>
          <t>SOMATOM Definition...</t>
        </is>
      </c>
      <c r="M2110" t="inlineStr">
        <is>
          <t>Pre 3mm</t>
        </is>
      </c>
    </row>
    <row r="2111">
      <c r="A2111" s="2" t="n">
        <v>3386232</v>
      </c>
      <c r="B2111" s="2" t="inlineStr">
        <is>
          <t>59</t>
        </is>
      </c>
      <c r="C2111" s="2" t="inlineStr">
        <is>
          <t>F</t>
        </is>
      </c>
      <c r="D2111" s="2" t="inlineStr">
        <is>
          <t>100.0</t>
        </is>
      </c>
      <c r="E2111" s="4">
        <f>HYPERLINK("./Results/DLO\864\Osteo_Sarco_1.png","RPT")</f>
        <v/>
      </c>
      <c r="F2111" s="2" t="n">
        <v>99</v>
      </c>
      <c r="G2111" s="6" t="n">
        <v>13</v>
      </c>
      <c r="I2111" s="0" t="n"/>
      <c r="J2111" s="0" t="n"/>
      <c r="K2111" s="0" t="n"/>
      <c r="L2111" t="inlineStr">
        <is>
          <t>SOMATOM Force</t>
        </is>
      </c>
      <c r="M2111" t="inlineStr">
        <is>
          <t>Pre 3.0 Br40 1</t>
        </is>
      </c>
    </row>
    <row r="2112">
      <c r="A2112" s="2" t="n">
        <v>4614791</v>
      </c>
      <c r="B2112" s="2" t="inlineStr">
        <is>
          <t>59</t>
        </is>
      </c>
      <c r="C2112" s="2" t="inlineStr">
        <is>
          <t>F</t>
        </is>
      </c>
      <c r="D2112" s="2" t="inlineStr">
        <is>
          <t>100.0</t>
        </is>
      </c>
      <c r="E2112" s="4">
        <f>HYPERLINK("./Results/DLO\865\Osteo_Sarco_1.png","RPT")</f>
        <v/>
      </c>
      <c r="F2112" s="2" t="n">
        <v>96</v>
      </c>
      <c r="G2112" s="6" t="n">
        <v>12</v>
      </c>
      <c r="I2112" s="0" t="n"/>
      <c r="J2112" s="0" t="n"/>
      <c r="K2112" s="0" t="n"/>
      <c r="L2112" t="inlineStr">
        <is>
          <t>iCT 256</t>
        </is>
      </c>
      <c r="M2112" t="inlineStr">
        <is>
          <t>HVP 3/3mm, iDose (3)</t>
        </is>
      </c>
    </row>
    <row r="2113">
      <c r="A2113" s="2" t="n">
        <v>1541638</v>
      </c>
      <c r="B2113" s="2" t="inlineStr">
        <is>
          <t>60</t>
        </is>
      </c>
      <c r="C2113" s="2" t="inlineStr">
        <is>
          <t>M</t>
        </is>
      </c>
      <c r="D2113" s="2" t="inlineStr">
        <is>
          <t>100.0</t>
        </is>
      </c>
      <c r="E2113" s="4">
        <f>HYPERLINK("./Results/DLO\866\Osteo_Sarco_1.png","RPT")</f>
        <v/>
      </c>
      <c r="F2113" s="2" t="n">
        <v>131</v>
      </c>
      <c r="G2113" s="6" t="n">
        <v>13</v>
      </c>
      <c r="I2113" s="0" t="n"/>
      <c r="J2113" s="0" t="n"/>
      <c r="K2113" s="0" t="n"/>
      <c r="L2113" t="inlineStr">
        <is>
          <t>SOMATOM Definition...</t>
        </is>
      </c>
      <c r="M2113" t="inlineStr">
        <is>
          <t>Pre 3mm</t>
        </is>
      </c>
    </row>
    <row r="2114">
      <c r="A2114" s="2" t="n">
        <v>1929344</v>
      </c>
      <c r="B2114" s="2" t="inlineStr">
        <is>
          <t>60</t>
        </is>
      </c>
      <c r="C2114" s="2" t="inlineStr">
        <is>
          <t>F</t>
        </is>
      </c>
      <c r="D2114" s="2" t="inlineStr">
        <is>
          <t>110.0</t>
        </is>
      </c>
      <c r="E2114" s="4">
        <f>HYPERLINK("./Results/DLO\867\Osteo_Sarco_1.png","RPT")</f>
        <v/>
      </c>
      <c r="F2114" s="2" t="n">
        <v>105</v>
      </c>
      <c r="G2114" s="6" t="n">
        <v>19</v>
      </c>
      <c r="I2114" s="0" t="n"/>
      <c r="J2114" s="0" t="n"/>
      <c r="K2114" s="0" t="n"/>
      <c r="L2114" t="inlineStr">
        <is>
          <t>SOMATOM Force</t>
        </is>
      </c>
      <c r="M2114" t="inlineStr">
        <is>
          <t>Pre 3.0 Br40 2</t>
        </is>
      </c>
    </row>
    <row r="2115">
      <c r="A2115" s="2" t="n">
        <v>2802737</v>
      </c>
      <c r="B2115" s="2" t="inlineStr">
        <is>
          <t>69</t>
        </is>
      </c>
      <c r="C2115" s="2" t="inlineStr">
        <is>
          <t>M</t>
        </is>
      </c>
      <c r="D2115" s="2" t="inlineStr">
        <is>
          <t>120.0</t>
        </is>
      </c>
      <c r="E2115" s="4">
        <f>HYPERLINK("./Results/DLO\868\Osteo_Sarco_1.png","RPT")</f>
        <v/>
      </c>
      <c r="F2115" s="2" t="n">
        <v>123</v>
      </c>
      <c r="G2115" s="6" t="n">
        <v>3</v>
      </c>
      <c r="I2115" s="0" t="n"/>
      <c r="J2115" s="0" t="n"/>
      <c r="K2115" s="0" t="n"/>
      <c r="L2115" t="inlineStr">
        <is>
          <t>Discovery CT750 HD</t>
        </is>
      </c>
      <c r="M2115" t="inlineStr">
        <is>
          <t>HVP 3mm</t>
        </is>
      </c>
    </row>
    <row r="2116">
      <c r="A2116" s="2" t="n">
        <v>4552039</v>
      </c>
      <c r="B2116" s="2" t="inlineStr">
        <is>
          <t>76</t>
        </is>
      </c>
      <c r="C2116" s="2" t="inlineStr">
        <is>
          <t>F</t>
        </is>
      </c>
      <c r="D2116" s="2" t="inlineStr">
        <is>
          <t>100.0</t>
        </is>
      </c>
      <c r="E2116" s="4">
        <f>HYPERLINK("./Results/DLO\869\Osteo_Sarco_1.png","RPT")</f>
        <v/>
      </c>
      <c r="F2116" s="2" t="n">
        <v>122</v>
      </c>
      <c r="G2116" s="6" t="n">
        <v>23</v>
      </c>
      <c r="H2116" t="n">
        <v>29.43</v>
      </c>
      <c r="L2116" t="inlineStr">
        <is>
          <t>LightSpeed VCT</t>
        </is>
      </c>
      <c r="M2116" t="inlineStr">
        <is>
          <t>PRE 2,5mm</t>
        </is>
      </c>
    </row>
    <row r="2117">
      <c r="A2117" s="2" t="n">
        <v>4745789</v>
      </c>
      <c r="B2117" s="2" t="inlineStr">
        <is>
          <t>65</t>
        </is>
      </c>
      <c r="C2117" s="2" t="inlineStr">
        <is>
          <t>F</t>
        </is>
      </c>
      <c r="D2117" s="2" t="inlineStr">
        <is>
          <t>100.0</t>
        </is>
      </c>
      <c r="E2117" s="4">
        <f>HYPERLINK("./Results/DLO\87\Osteo_Sarco_1.png","RPT")</f>
        <v/>
      </c>
      <c r="F2117" s="2" t="n">
        <v>99</v>
      </c>
      <c r="G2117" s="6" t="n">
        <v>8</v>
      </c>
      <c r="H2117" t="n">
        <v>26.43</v>
      </c>
      <c r="L2117" t="inlineStr">
        <is>
          <t>iCT 256</t>
        </is>
      </c>
      <c r="M2117" t="inlineStr">
        <is>
          <t>HVP 3/3mm, iDose (3)</t>
        </is>
      </c>
    </row>
    <row r="2118">
      <c r="A2118" s="2" t="n">
        <v>4242562</v>
      </c>
      <c r="B2118" s="2" t="inlineStr">
        <is>
          <t>45</t>
        </is>
      </c>
      <c r="C2118" s="2" t="inlineStr">
        <is>
          <t>F</t>
        </is>
      </c>
      <c r="D2118" s="2" t="inlineStr">
        <is>
          <t>100.0</t>
        </is>
      </c>
      <c r="E2118" s="4">
        <f>HYPERLINK("./Results/DLO\870\Osteo_Sarco_1.png","RPT")</f>
        <v/>
      </c>
      <c r="F2118" s="2" t="n">
        <v>114</v>
      </c>
      <c r="G2118" s="6" t="n">
        <v>13</v>
      </c>
      <c r="I2118" s="0" t="n"/>
      <c r="J2118" s="0" t="n"/>
      <c r="K2118" s="0" t="n"/>
      <c r="L2118" t="inlineStr">
        <is>
          <t>SOMATOM Definition...</t>
        </is>
      </c>
      <c r="M2118" t="inlineStr">
        <is>
          <t>Pre(CP~pubic) 3mm</t>
        </is>
      </c>
    </row>
    <row r="2119">
      <c r="A2119" s="2" t="n">
        <v>2274901</v>
      </c>
      <c r="B2119" s="2" t="inlineStr">
        <is>
          <t>72</t>
        </is>
      </c>
      <c r="C2119" s="2" t="inlineStr">
        <is>
          <t>M</t>
        </is>
      </c>
      <c r="D2119" s="2" t="inlineStr">
        <is>
          <t>100.0</t>
        </is>
      </c>
      <c r="E2119" s="4">
        <f>HYPERLINK("./Results/DLO\871\Osteo_Sarco_1.png","RPT")</f>
        <v/>
      </c>
      <c r="F2119" s="2" t="n">
        <v>159</v>
      </c>
      <c r="G2119" s="6" t="n">
        <v>12</v>
      </c>
      <c r="H2119" t="n">
        <v>25.46</v>
      </c>
      <c r="L2119" t="inlineStr">
        <is>
          <t>SOMATOM Definition...</t>
        </is>
      </c>
      <c r="M2119" t="inlineStr">
        <is>
          <t>Pre 3/3mm</t>
        </is>
      </c>
    </row>
    <row r="2120">
      <c r="A2120" s="2" t="n">
        <v>3507514</v>
      </c>
      <c r="B2120" s="2" t="inlineStr">
        <is>
          <t>68</t>
        </is>
      </c>
      <c r="C2120" s="2" t="inlineStr">
        <is>
          <t>M</t>
        </is>
      </c>
      <c r="D2120" s="2" t="inlineStr">
        <is>
          <t>100.0</t>
        </is>
      </c>
      <c r="E2120" s="4">
        <f>HYPERLINK("./Results/DLO\872\Osteo_Sarco_1.png","RPT")</f>
        <v/>
      </c>
      <c r="F2120" s="2" t="n">
        <v>145</v>
      </c>
      <c r="G2120" s="6" t="n">
        <v>7</v>
      </c>
      <c r="I2120" s="0" t="n"/>
      <c r="J2120" s="0" t="n"/>
      <c r="K2120" s="0" t="n"/>
      <c r="L2120" t="inlineStr">
        <is>
          <t>Sensation 64</t>
        </is>
      </c>
      <c r="M2120" t="inlineStr">
        <is>
          <t>Pre 3/3mm</t>
        </is>
      </c>
    </row>
    <row r="2121">
      <c r="A2121" s="2" t="n">
        <v>4159897</v>
      </c>
      <c r="B2121" s="2" t="inlineStr">
        <is>
          <t>54</t>
        </is>
      </c>
      <c r="C2121" s="2" t="inlineStr">
        <is>
          <t>F</t>
        </is>
      </c>
      <c r="D2121" s="2" t="inlineStr">
        <is>
          <t>100.0</t>
        </is>
      </c>
      <c r="E2121" s="4">
        <f>HYPERLINK("./Results/DLO\873\Osteo_Sarco_1.png","RPT")</f>
        <v/>
      </c>
      <c r="F2121" s="2" t="n">
        <v>91</v>
      </c>
      <c r="G2121" s="6" t="n">
        <v>6</v>
      </c>
      <c r="I2121" s="0" t="n"/>
      <c r="J2121" s="0" t="n"/>
      <c r="K2121" s="0" t="n"/>
      <c r="L2121" t="inlineStr">
        <is>
          <t>SOMATOM Force</t>
        </is>
      </c>
      <c r="M2121" t="inlineStr">
        <is>
          <t>HVP 3.0 Br40 2(52kg/104cc/...</t>
        </is>
      </c>
    </row>
    <row r="2122">
      <c r="A2122" s="2" t="n">
        <v>3883135</v>
      </c>
      <c r="B2122" s="2" t="inlineStr">
        <is>
          <t>89</t>
        </is>
      </c>
      <c r="C2122" s="2" t="inlineStr">
        <is>
          <t>F</t>
        </is>
      </c>
      <c r="D2122" s="2" t="inlineStr">
        <is>
          <t>100.0</t>
        </is>
      </c>
      <c r="E2122" s="4">
        <f>HYPERLINK("./Results/DLO\874\Osteo_Sarco_1.png","RPT")</f>
        <v/>
      </c>
      <c r="F2122" s="2" t="n">
        <v>103</v>
      </c>
      <c r="G2122" s="6" t="n">
        <v>17</v>
      </c>
      <c r="H2122" t="n">
        <v>23.95</v>
      </c>
      <c r="L2122" t="inlineStr">
        <is>
          <t>Revolution EVO</t>
        </is>
      </c>
      <c r="M2122" t="inlineStr">
        <is>
          <t>Abdomen Pre 2.5mm</t>
        </is>
      </c>
    </row>
    <row r="2123">
      <c r="A2123" s="2" t="n">
        <v>3215766</v>
      </c>
      <c r="B2123" s="2" t="inlineStr">
        <is>
          <t>55</t>
        </is>
      </c>
      <c r="C2123" s="2" t="inlineStr">
        <is>
          <t>F</t>
        </is>
      </c>
      <c r="D2123" s="2" t="inlineStr">
        <is>
          <t>120.0</t>
        </is>
      </c>
      <c r="E2123" s="4">
        <f>HYPERLINK("./Results/DLO\875\Osteo_Sarco_1.png","RPT")</f>
        <v/>
      </c>
      <c r="F2123" s="2" t="n">
        <v>97</v>
      </c>
      <c r="G2123" s="6" t="n">
        <v>7</v>
      </c>
      <c r="I2123" s="0" t="n"/>
      <c r="J2123" s="0" t="n"/>
      <c r="K2123" s="0" t="n"/>
      <c r="L2123" t="inlineStr">
        <is>
          <t>Supria</t>
        </is>
      </c>
      <c r="M2123" t="inlineStr">
        <is>
          <t>N/A</t>
        </is>
      </c>
    </row>
    <row r="2124">
      <c r="A2124" s="2" t="n">
        <v>4015158</v>
      </c>
      <c r="B2124" s="2" t="inlineStr">
        <is>
          <t>63</t>
        </is>
      </c>
      <c r="C2124" s="2" t="inlineStr">
        <is>
          <t>F</t>
        </is>
      </c>
      <c r="D2124" s="2" t="inlineStr">
        <is>
          <t>100.0</t>
        </is>
      </c>
      <c r="E2124" s="4">
        <f>HYPERLINK("./Results/DLO\876\Osteo_Sarco_1.png","RPT")</f>
        <v/>
      </c>
      <c r="F2124" s="2" t="n">
        <v>99</v>
      </c>
      <c r="G2124" s="6" t="n">
        <v>9</v>
      </c>
      <c r="I2124" s="0" t="n"/>
      <c r="J2124" s="0" t="n"/>
      <c r="K2124" s="0" t="n"/>
      <c r="L2124" t="inlineStr">
        <is>
          <t>SOMATOM Definition...</t>
        </is>
      </c>
      <c r="M2124" t="inlineStr">
        <is>
          <t>Pre 3mm</t>
        </is>
      </c>
    </row>
    <row r="2125">
      <c r="A2125" s="2" t="n">
        <v>3216656</v>
      </c>
      <c r="B2125" s="2" t="inlineStr">
        <is>
          <t>66</t>
        </is>
      </c>
      <c r="C2125" s="2" t="inlineStr">
        <is>
          <t>F</t>
        </is>
      </c>
      <c r="D2125" s="2" t="inlineStr">
        <is>
          <t>100.0</t>
        </is>
      </c>
      <c r="E2125" s="4">
        <f>HYPERLINK("./Results/DLO\877\Osteo_Sarco_1.png","RPT")</f>
        <v/>
      </c>
      <c r="F2125" s="2" t="n">
        <v>93</v>
      </c>
      <c r="G2125" s="6" t="n">
        <v>6</v>
      </c>
      <c r="I2125" s="0" t="n"/>
      <c r="J2125" s="0" t="n"/>
      <c r="K2125" s="0" t="n"/>
      <c r="L2125" t="inlineStr">
        <is>
          <t>Revolution EVO</t>
        </is>
      </c>
      <c r="M2125" t="inlineStr">
        <is>
          <t>PRE</t>
        </is>
      </c>
    </row>
    <row r="2126">
      <c r="A2126" s="2" t="n">
        <v>3482141</v>
      </c>
      <c r="B2126" s="2" t="inlineStr">
        <is>
          <t>52</t>
        </is>
      </c>
      <c r="C2126" s="2" t="inlineStr">
        <is>
          <t>F</t>
        </is>
      </c>
      <c r="D2126" s="2" t="inlineStr">
        <is>
          <t>100.0</t>
        </is>
      </c>
      <c r="E2126" s="4">
        <f>HYPERLINK("./Results/DLO\878\Osteo_Sarco_1.png","RPT")</f>
        <v/>
      </c>
      <c r="F2126" s="2" t="n">
        <v>115</v>
      </c>
      <c r="G2126" s="6" t="n">
        <v>11</v>
      </c>
      <c r="I2126" s="0" t="n"/>
      <c r="J2126" s="0" t="n"/>
      <c r="K2126" s="0" t="n"/>
      <c r="L2126" t="inlineStr">
        <is>
          <t>Discovery CT750 HD</t>
        </is>
      </c>
      <c r="M2126" t="inlineStr">
        <is>
          <t>pre 3mm</t>
        </is>
      </c>
    </row>
    <row r="2127">
      <c r="A2127" s="2" t="n">
        <v>4250775</v>
      </c>
      <c r="B2127" s="2" t="inlineStr">
        <is>
          <t>59</t>
        </is>
      </c>
      <c r="C2127" s="2" t="inlineStr">
        <is>
          <t>M</t>
        </is>
      </c>
      <c r="D2127" s="2" t="inlineStr">
        <is>
          <t>100.0</t>
        </is>
      </c>
      <c r="E2127" s="4">
        <f>HYPERLINK("./Results/DLO\879\Osteo_Sarco_1.png","RPT")</f>
        <v/>
      </c>
      <c r="F2127" s="2" t="n">
        <v>124</v>
      </c>
      <c r="G2127" s="6" t="n">
        <v>5</v>
      </c>
      <c r="I2127" s="0" t="n"/>
      <c r="J2127" s="0" t="n"/>
      <c r="K2127" s="0" t="n"/>
      <c r="L2127" t="inlineStr">
        <is>
          <t>Revolution EVO</t>
        </is>
      </c>
      <c r="M2127" t="inlineStr">
        <is>
          <t>AX 3mm</t>
        </is>
      </c>
    </row>
    <row r="2128">
      <c r="A2128" s="2" t="n">
        <v>2425147</v>
      </c>
      <c r="B2128" s="2" t="inlineStr">
        <is>
          <t>79</t>
        </is>
      </c>
      <c r="C2128" s="2" t="inlineStr">
        <is>
          <t>F</t>
        </is>
      </c>
      <c r="D2128" s="2" t="inlineStr">
        <is>
          <t>120.0</t>
        </is>
      </c>
      <c r="E2128" s="4">
        <f>HYPERLINK("./Results/DLO\88\Osteo_Sarco_1.png","RPT")</f>
        <v/>
      </c>
      <c r="F2128" s="2" t="n">
        <v>102</v>
      </c>
      <c r="G2128" s="6" t="n">
        <v>9</v>
      </c>
      <c r="H2128" t="n">
        <v>22.48</v>
      </c>
      <c r="L2128" t="inlineStr">
        <is>
          <t>Discovery CT750 HD</t>
        </is>
      </c>
      <c r="M2128" t="inlineStr">
        <is>
          <t>HVP 3mm</t>
        </is>
      </c>
    </row>
    <row r="2129">
      <c r="A2129" s="2" t="n">
        <v>3897021</v>
      </c>
      <c r="B2129" s="2" t="inlineStr">
        <is>
          <t>64</t>
        </is>
      </c>
      <c r="C2129" s="2" t="inlineStr">
        <is>
          <t>M</t>
        </is>
      </c>
      <c r="D2129" s="2" t="inlineStr">
        <is>
          <t>100.0</t>
        </is>
      </c>
      <c r="E2129" s="4">
        <f>HYPERLINK("./Results/DLO\880\Osteo_Sarco_1.png","RPT")</f>
        <v/>
      </c>
      <c r="F2129" s="2" t="n">
        <v>156</v>
      </c>
      <c r="G2129" s="6" t="n">
        <v>8</v>
      </c>
      <c r="I2129" s="0" t="n"/>
      <c r="J2129" s="0" t="n"/>
      <c r="K2129" s="0" t="n"/>
      <c r="L2129" t="inlineStr">
        <is>
          <t>Revolution CT</t>
        </is>
      </c>
      <c r="M2129" t="inlineStr">
        <is>
          <t>Pre Axial 3mm</t>
        </is>
      </c>
    </row>
    <row r="2130">
      <c r="A2130" s="2" t="n">
        <v>2461056</v>
      </c>
      <c r="B2130" s="2" t="inlineStr">
        <is>
          <t>71</t>
        </is>
      </c>
      <c r="C2130" s="2" t="inlineStr">
        <is>
          <t>F</t>
        </is>
      </c>
      <c r="D2130" s="2" t="inlineStr">
        <is>
          <t>100.0</t>
        </is>
      </c>
      <c r="E2130" s="4">
        <f>HYPERLINK("./Results/DLO\881\Osteo_Sarco_1.png","RPT")</f>
        <v/>
      </c>
      <c r="F2130" s="2" t="n">
        <v>99</v>
      </c>
      <c r="G2130" s="6" t="n">
        <v>16</v>
      </c>
      <c r="I2130" s="0" t="n"/>
      <c r="J2130" s="0" t="n"/>
      <c r="K2130" s="0" t="n"/>
      <c r="L2130" t="inlineStr">
        <is>
          <t>SOMATOM Force</t>
        </is>
      </c>
      <c r="M2130" t="inlineStr">
        <is>
          <t>Pre 3.0 Br40 1</t>
        </is>
      </c>
    </row>
    <row r="2131">
      <c r="A2131" s="2" t="n">
        <v>2759694</v>
      </c>
      <c r="B2131" s="2" t="inlineStr">
        <is>
          <t>55</t>
        </is>
      </c>
      <c r="C2131" s="2" t="inlineStr">
        <is>
          <t>M</t>
        </is>
      </c>
      <c r="D2131" s="2" t="inlineStr">
        <is>
          <t>120.0</t>
        </is>
      </c>
      <c r="E2131" s="4">
        <f>HYPERLINK("./Results/DLO\882\Osteo_Sarco_1.png","RPT")</f>
        <v/>
      </c>
      <c r="F2131" s="2" t="n">
        <v>172</v>
      </c>
      <c r="G2131" s="6" t="n">
        <v>10</v>
      </c>
      <c r="I2131" s="0" t="n"/>
      <c r="J2131" s="0" t="n"/>
      <c r="K2131" s="0" t="n"/>
      <c r="L2131" t="inlineStr">
        <is>
          <t>iCT 256</t>
        </is>
      </c>
      <c r="M2131" t="inlineStr">
        <is>
          <t>HVP 3/3mm, iDose (3)</t>
        </is>
      </c>
    </row>
    <row r="2132">
      <c r="A2132" s="2" t="n">
        <v>2894525</v>
      </c>
      <c r="B2132" s="2" t="inlineStr">
        <is>
          <t>55</t>
        </is>
      </c>
      <c r="C2132" s="2" t="inlineStr">
        <is>
          <t>M</t>
        </is>
      </c>
      <c r="D2132" s="2" t="inlineStr">
        <is>
          <t>100.0</t>
        </is>
      </c>
      <c r="E2132" s="4">
        <f>HYPERLINK("./Results/DLO\883\Osteo_Sarco_1.png","RPT")</f>
        <v/>
      </c>
      <c r="F2132" s="2" t="n">
        <v>143</v>
      </c>
      <c r="G2132" s="6" t="n">
        <v>8</v>
      </c>
      <c r="I2132" s="0" t="n"/>
      <c r="J2132" s="0" t="n"/>
      <c r="K2132" s="0" t="n"/>
      <c r="L2132" t="inlineStr">
        <is>
          <t>Sensation 64</t>
        </is>
      </c>
      <c r="M2132" t="inlineStr">
        <is>
          <t>Pre 3mm(100kvp100mAs)</t>
        </is>
      </c>
    </row>
    <row r="2133">
      <c r="A2133" s="2" t="n">
        <v>3204440</v>
      </c>
      <c r="B2133" s="2" t="inlineStr">
        <is>
          <t>62</t>
        </is>
      </c>
      <c r="C2133" s="2" t="inlineStr">
        <is>
          <t>F</t>
        </is>
      </c>
      <c r="D2133" s="2" t="inlineStr">
        <is>
          <t>100.0</t>
        </is>
      </c>
      <c r="E2133" s="4">
        <f>HYPERLINK("./Results/DLO\884\Osteo_Sarco_1.png","RPT")</f>
        <v/>
      </c>
      <c r="F2133" s="2" t="n">
        <v>114</v>
      </c>
      <c r="G2133" s="6" t="n">
        <v>18</v>
      </c>
      <c r="H2133" t="n">
        <v>22.94</v>
      </c>
      <c r="L2133" t="inlineStr">
        <is>
          <t>Revolution CT</t>
        </is>
      </c>
      <c r="M2133" t="inlineStr">
        <is>
          <t>HVP 3mm-pacs(51kg/102cc/2cc/B...</t>
        </is>
      </c>
    </row>
    <row r="2134">
      <c r="A2134" s="2" t="n">
        <v>1937763</v>
      </c>
      <c r="B2134" s="2" t="inlineStr">
        <is>
          <t>65</t>
        </is>
      </c>
      <c r="C2134" s="2" t="inlineStr">
        <is>
          <t>F</t>
        </is>
      </c>
      <c r="D2134" s="2" t="inlineStr">
        <is>
          <t>100.0</t>
        </is>
      </c>
      <c r="E2134" s="4">
        <f>HYPERLINK("./Results/DLO\885\Osteo_Sarco_1.png","RPT")</f>
        <v/>
      </c>
      <c r="F2134" s="2" t="n">
        <v>121</v>
      </c>
      <c r="G2134" s="6" t="n">
        <v>14</v>
      </c>
      <c r="I2134" s="0" t="n"/>
      <c r="J2134" s="0" t="n"/>
      <c r="K2134" s="0" t="n"/>
      <c r="L2134" t="inlineStr">
        <is>
          <t>SOMATOM Definition...</t>
        </is>
      </c>
      <c r="M2134" t="inlineStr">
        <is>
          <t>HVP 2 3mm(60kg/ 120cc/ 3cc/...</t>
        </is>
      </c>
    </row>
    <row r="2135">
      <c r="A2135" s="2" t="n">
        <v>2422336</v>
      </c>
      <c r="B2135" s="2" t="inlineStr">
        <is>
          <t>67</t>
        </is>
      </c>
      <c r="C2135" s="2" t="inlineStr">
        <is>
          <t>F</t>
        </is>
      </c>
      <c r="D2135" s="2" t="inlineStr">
        <is>
          <t>100.0</t>
        </is>
      </c>
      <c r="E2135" s="4">
        <f>HYPERLINK("./Results/DLO\886\Osteo_Sarco_1.png","RPT")</f>
        <v/>
      </c>
      <c r="F2135" s="2" t="n">
        <v>104</v>
      </c>
      <c r="G2135" s="6" t="n">
        <v>20</v>
      </c>
      <c r="I2135" s="0" t="n"/>
      <c r="J2135" s="0" t="n"/>
      <c r="K2135" s="0" t="n"/>
      <c r="L2135" t="inlineStr">
        <is>
          <t>Sensation 64</t>
        </is>
      </c>
      <c r="M2135" t="inlineStr">
        <is>
          <t>Pre 3mm(100kvp100mAs)</t>
        </is>
      </c>
    </row>
    <row r="2136">
      <c r="A2136" s="2" t="n">
        <v>2992514</v>
      </c>
      <c r="B2136" s="2" t="inlineStr">
        <is>
          <t>58</t>
        </is>
      </c>
      <c r="C2136" s="2" t="inlineStr">
        <is>
          <t>M</t>
        </is>
      </c>
      <c r="D2136" s="2" t="inlineStr">
        <is>
          <t>100.0</t>
        </is>
      </c>
      <c r="E2136" s="4">
        <f>HYPERLINK("./Results/DLO\887\Osteo_Sarco_1.png","RPT")</f>
        <v/>
      </c>
      <c r="F2136" s="2" t="n">
        <v>168</v>
      </c>
      <c r="G2136" s="6" t="n">
        <v>8</v>
      </c>
      <c r="I2136" s="0" t="n"/>
      <c r="J2136" s="0" t="n"/>
      <c r="K2136" s="0" t="n"/>
      <c r="L2136" t="inlineStr">
        <is>
          <t>Revolution EVO</t>
        </is>
      </c>
      <c r="M2136" t="inlineStr">
        <is>
          <t>Pre(CP~Pelvic)</t>
        </is>
      </c>
    </row>
    <row r="2137">
      <c r="A2137" s="2" t="n">
        <v>3884948</v>
      </c>
      <c r="B2137" s="2" t="inlineStr">
        <is>
          <t>55</t>
        </is>
      </c>
      <c r="C2137" s="2" t="inlineStr">
        <is>
          <t>M</t>
        </is>
      </c>
      <c r="D2137" s="2" t="inlineStr">
        <is>
          <t>100.0</t>
        </is>
      </c>
      <c r="E2137" s="4">
        <f>HYPERLINK("./Results/DLO\889\Osteo_Sarco_1.png","RPT")</f>
        <v/>
      </c>
      <c r="F2137" s="2" t="n">
        <v>124</v>
      </c>
      <c r="G2137" s="6" t="n">
        <v>4</v>
      </c>
      <c r="I2137" s="0" t="n"/>
      <c r="J2137" s="0" t="n"/>
      <c r="K2137" s="0" t="n"/>
      <c r="L2137" t="inlineStr">
        <is>
          <t>Revolution EVO</t>
        </is>
      </c>
      <c r="M2137" t="inlineStr">
        <is>
          <t>AX 3mm</t>
        </is>
      </c>
    </row>
    <row r="2138">
      <c r="A2138" s="2" t="n">
        <v>1727674</v>
      </c>
      <c r="B2138" s="2" t="inlineStr">
        <is>
          <t>77</t>
        </is>
      </c>
      <c r="C2138" s="2" t="inlineStr">
        <is>
          <t>M</t>
        </is>
      </c>
      <c r="D2138" s="2" t="inlineStr">
        <is>
          <t>110.0</t>
        </is>
      </c>
      <c r="E2138" s="4">
        <f>HYPERLINK("./Results/DLO\89\Osteo_Sarco_1.png","RPT")</f>
        <v/>
      </c>
      <c r="F2138" s="2" t="n">
        <v>127</v>
      </c>
      <c r="G2138" s="6" t="n">
        <v>10</v>
      </c>
      <c r="H2138" t="n">
        <v>20.55</v>
      </c>
      <c r="L2138" t="inlineStr">
        <is>
          <t>SOMATOM Perspective</t>
        </is>
      </c>
      <c r="M2138" t="inlineStr">
        <is>
          <t>Abdmen pre 3.0 140s 2</t>
        </is>
      </c>
    </row>
    <row r="2139">
      <c r="A2139" s="2" t="n">
        <v>4230497</v>
      </c>
      <c r="B2139" s="2" t="inlineStr">
        <is>
          <t>63</t>
        </is>
      </c>
      <c r="C2139" s="2" t="inlineStr">
        <is>
          <t>F</t>
        </is>
      </c>
      <c r="D2139" s="2" t="inlineStr">
        <is>
          <t>100.0</t>
        </is>
      </c>
      <c r="E2139" s="4">
        <f>HYPERLINK("./Results/DLO\890\Osteo_Sarco_1.png","RPT")</f>
        <v/>
      </c>
      <c r="F2139" s="2" t="n">
        <v>69</v>
      </c>
      <c r="G2139" s="6" t="n">
        <v>4</v>
      </c>
      <c r="H2139" t="n">
        <v>17.74</v>
      </c>
      <c r="L2139" t="inlineStr">
        <is>
          <t>SOMATOM Force</t>
        </is>
      </c>
      <c r="M2139" t="inlineStr">
        <is>
          <t>Pre 3.0 Br40 2</t>
        </is>
      </c>
    </row>
    <row r="2140">
      <c r="A2140" s="2" t="n">
        <v>4875865</v>
      </c>
      <c r="B2140" s="2" t="inlineStr">
        <is>
          <t>55</t>
        </is>
      </c>
      <c r="C2140" s="2" t="inlineStr">
        <is>
          <t>F</t>
        </is>
      </c>
      <c r="D2140" s="2" t="inlineStr">
        <is>
          <t>120.0</t>
        </is>
      </c>
      <c r="E2140" s="4">
        <f>HYPERLINK("./Results/DLO\891\Osteo_Sarco_1.png","RPT")</f>
        <v/>
      </c>
      <c r="F2140" s="2" t="n">
        <v>86</v>
      </c>
      <c r="G2140" s="6" t="n">
        <v>6</v>
      </c>
      <c r="I2140" s="0" t="n"/>
      <c r="J2140" s="0" t="n"/>
      <c r="K2140" s="0" t="n"/>
      <c r="L2140" t="inlineStr">
        <is>
          <t>LightSpeed VCT</t>
        </is>
      </c>
      <c r="M2140" t="inlineStr">
        <is>
          <t>HVP 3mm</t>
        </is>
      </c>
    </row>
    <row r="2141">
      <c r="A2141" s="2" t="n">
        <v>3260918</v>
      </c>
      <c r="B2141" s="2" t="inlineStr">
        <is>
          <t>37</t>
        </is>
      </c>
      <c r="C2141" s="2" t="inlineStr">
        <is>
          <t>F</t>
        </is>
      </c>
      <c r="D2141" s="2" t="inlineStr">
        <is>
          <t>100.0</t>
        </is>
      </c>
      <c r="E2141" s="4">
        <f>HYPERLINK("./Results/DLO\892\Osteo_Sarco_1.png","RPT")</f>
        <v/>
      </c>
      <c r="F2141" s="2" t="n">
        <v>114</v>
      </c>
      <c r="G2141" s="6" t="n">
        <v>8</v>
      </c>
      <c r="I2141" s="0" t="n"/>
      <c r="J2141" s="0" t="n"/>
      <c r="K2141" s="0" t="n"/>
      <c r="L2141" t="inlineStr">
        <is>
          <t>Discovery CT750 HD</t>
        </is>
      </c>
      <c r="M2141" t="inlineStr">
        <is>
          <t>Pre 3mm</t>
        </is>
      </c>
    </row>
    <row r="2142">
      <c r="A2142" s="2" t="n">
        <v>2214183</v>
      </c>
      <c r="B2142" s="2" t="inlineStr">
        <is>
          <t>34</t>
        </is>
      </c>
      <c r="C2142" s="2" t="inlineStr">
        <is>
          <t>F</t>
        </is>
      </c>
      <c r="D2142" s="2" t="inlineStr">
        <is>
          <t>100.0</t>
        </is>
      </c>
      <c r="E2142" s="4">
        <f>HYPERLINK("./Results/DLO\893\Osteo_Sarco_1.png","RPT")</f>
        <v/>
      </c>
      <c r="F2142" s="2" t="n">
        <v>98</v>
      </c>
      <c r="G2142" s="6" t="n">
        <v>11</v>
      </c>
      <c r="I2142" s="0" t="n"/>
      <c r="J2142" s="0" t="n"/>
      <c r="K2142" s="0" t="n"/>
      <c r="L2142" t="inlineStr">
        <is>
          <t>LightSpeed VCT</t>
        </is>
      </c>
      <c r="M2142" t="inlineStr">
        <is>
          <t>PRE 3mm</t>
        </is>
      </c>
    </row>
    <row r="2143">
      <c r="A2143" s="2" t="n">
        <v>2982512</v>
      </c>
      <c r="B2143" s="2" t="inlineStr">
        <is>
          <t>70</t>
        </is>
      </c>
      <c r="C2143" s="2" t="inlineStr">
        <is>
          <t>M</t>
        </is>
      </c>
      <c r="D2143" s="2" t="inlineStr">
        <is>
          <t>100.0</t>
        </is>
      </c>
      <c r="E2143" s="4">
        <f>HYPERLINK("./Results/DLO\894\Osteo_Sarco_1.png","RPT")</f>
        <v/>
      </c>
      <c r="F2143" s="2" t="n">
        <v>175</v>
      </c>
      <c r="G2143" s="6" t="n">
        <v>7</v>
      </c>
      <c r="I2143" s="0" t="n"/>
      <c r="J2143" s="0" t="n"/>
      <c r="K2143" s="0" t="n"/>
      <c r="L2143" t="inlineStr">
        <is>
          <t>SOMATOM Force</t>
        </is>
      </c>
      <c r="M2143" t="inlineStr">
        <is>
          <t>HVP 3.0 Br40 2 (77kg/140cc...</t>
        </is>
      </c>
    </row>
    <row r="2144">
      <c r="A2144" s="2" t="n">
        <v>2019463</v>
      </c>
      <c r="B2144" s="2" t="inlineStr">
        <is>
          <t>75</t>
        </is>
      </c>
      <c r="C2144" s="2" t="inlineStr">
        <is>
          <t>M</t>
        </is>
      </c>
      <c r="D2144" s="2" t="inlineStr">
        <is>
          <t>100.0</t>
        </is>
      </c>
      <c r="E2144" s="4">
        <f>HYPERLINK("./Results/DLO\896\Osteo_Sarco_1.png","RPT")</f>
        <v/>
      </c>
      <c r="F2144" s="2" t="n">
        <v>121</v>
      </c>
      <c r="G2144" s="6" t="n">
        <v>5</v>
      </c>
      <c r="I2144" s="0" t="n"/>
      <c r="J2144" s="0" t="n"/>
      <c r="K2144" s="0" t="n"/>
      <c r="L2144" t="inlineStr">
        <is>
          <t>SOMATOM Definition...</t>
        </is>
      </c>
      <c r="M2144" t="inlineStr">
        <is>
          <t>Pre(Abd) 3mm</t>
        </is>
      </c>
    </row>
    <row r="2145">
      <c r="A2145" s="2" t="n">
        <v>3645671</v>
      </c>
      <c r="B2145" s="2" t="inlineStr">
        <is>
          <t>41</t>
        </is>
      </c>
      <c r="C2145" s="2" t="inlineStr">
        <is>
          <t>F</t>
        </is>
      </c>
      <c r="D2145" s="2" t="inlineStr">
        <is>
          <t>100.0</t>
        </is>
      </c>
      <c r="E2145" s="4">
        <f>HYPERLINK("./Results/DLO\897\Osteo_Sarco_1.png","RPT")</f>
        <v/>
      </c>
      <c r="F2145" s="2" t="n">
        <v>105</v>
      </c>
      <c r="G2145" s="6" t="n">
        <v>5</v>
      </c>
      <c r="I2145" s="0" t="n"/>
      <c r="J2145" s="0" t="n"/>
      <c r="K2145" s="0" t="n"/>
      <c r="L2145" t="inlineStr">
        <is>
          <t>Revolution CT</t>
        </is>
      </c>
      <c r="M2145" t="inlineStr">
        <is>
          <t>Pre Axial 3mm</t>
        </is>
      </c>
    </row>
    <row r="2146">
      <c r="A2146" s="2" t="n">
        <v>1792765</v>
      </c>
      <c r="B2146" s="2" t="inlineStr">
        <is>
          <t>40</t>
        </is>
      </c>
      <c r="C2146" s="2" t="inlineStr">
        <is>
          <t>M</t>
        </is>
      </c>
      <c r="D2146" s="2" t="inlineStr">
        <is>
          <t>100.0</t>
        </is>
      </c>
      <c r="E2146" s="4">
        <f>HYPERLINK("./Results/DLO\898\Osteo_Sarco_1.png","RPT")</f>
        <v/>
      </c>
      <c r="F2146" s="2" t="n">
        <v>172</v>
      </c>
      <c r="G2146" s="6" t="n">
        <v>9</v>
      </c>
      <c r="I2146" s="0" t="n"/>
      <c r="J2146" s="0" t="n"/>
      <c r="K2146" s="0" t="n"/>
      <c r="L2146" t="inlineStr">
        <is>
          <t>Revolution CT</t>
        </is>
      </c>
      <c r="M2146" t="inlineStr">
        <is>
          <t>Pre Axial 3mm(AR40%)</t>
        </is>
      </c>
    </row>
    <row r="2147">
      <c r="A2147" s="2" t="n">
        <v>4811694</v>
      </c>
      <c r="B2147" s="2" t="inlineStr">
        <is>
          <t>62</t>
        </is>
      </c>
      <c r="C2147" s="2" t="inlineStr">
        <is>
          <t>F</t>
        </is>
      </c>
      <c r="D2147" s="2" t="inlineStr">
        <is>
          <t>100.0</t>
        </is>
      </c>
      <c r="E2147" s="4">
        <f>HYPERLINK("./Results/DLO\899\Osteo_Sarco_1.png","RPT")</f>
        <v/>
      </c>
      <c r="F2147" s="2" t="n">
        <v>128</v>
      </c>
      <c r="G2147" s="6" t="n">
        <v>19</v>
      </c>
      <c r="H2147" t="n">
        <v>35.12</v>
      </c>
      <c r="L2147" t="inlineStr">
        <is>
          <t>SOMATOM Definition...</t>
        </is>
      </c>
      <c r="M2147" t="inlineStr">
        <is>
          <t>HVP 2 3mm (57kg/116cc/3cc/radi)</t>
        </is>
      </c>
    </row>
    <row r="2148">
      <c r="A2148" s="2" t="n">
        <v>3251610</v>
      </c>
      <c r="B2148" s="2" t="inlineStr">
        <is>
          <t>72</t>
        </is>
      </c>
      <c r="C2148" s="2" t="inlineStr">
        <is>
          <t>F</t>
        </is>
      </c>
      <c r="D2148" s="2" t="inlineStr">
        <is>
          <t>120.0</t>
        </is>
      </c>
      <c r="E2148" s="4">
        <f>HYPERLINK("./Results/DLO\9\Osteo_Sarco_1.png","RPT")</f>
        <v/>
      </c>
      <c r="F2148" s="2" t="n">
        <v>102</v>
      </c>
      <c r="G2148" s="6" t="n">
        <v>17</v>
      </c>
      <c r="H2148" t="n">
        <v>29.75</v>
      </c>
      <c r="L2148" t="inlineStr">
        <is>
          <t>LightSpeed VCT</t>
        </is>
      </c>
      <c r="M2148" t="inlineStr">
        <is>
          <t>HVP 55sec 3mm</t>
        </is>
      </c>
    </row>
    <row r="2149">
      <c r="A2149" s="2" t="n">
        <v>2856050</v>
      </c>
      <c r="B2149" s="2" t="inlineStr">
        <is>
          <t>75</t>
        </is>
      </c>
      <c r="C2149" s="2" t="inlineStr">
        <is>
          <t>F</t>
        </is>
      </c>
      <c r="D2149" s="2" t="inlineStr">
        <is>
          <t>100.0</t>
        </is>
      </c>
      <c r="E2149" s="4">
        <f>HYPERLINK("./Results/DLO\90\Osteo_Sarco_1.png","RPT")</f>
        <v/>
      </c>
      <c r="F2149" s="2" t="n">
        <v>103</v>
      </c>
      <c r="G2149" s="6" t="n">
        <v>21</v>
      </c>
      <c r="I2149" s="0" t="n"/>
      <c r="J2149" s="0" t="n"/>
      <c r="K2149" s="0" t="n"/>
      <c r="L2149" t="inlineStr">
        <is>
          <t>SOMATOM Definition...</t>
        </is>
      </c>
      <c r="M2149" t="inlineStr">
        <is>
          <t>Pre 2mm</t>
        </is>
      </c>
    </row>
    <row r="2150">
      <c r="A2150" s="2" t="n">
        <v>2254717</v>
      </c>
      <c r="B2150" s="2" t="inlineStr">
        <is>
          <t>67</t>
        </is>
      </c>
      <c r="C2150" s="2" t="inlineStr">
        <is>
          <t>M</t>
        </is>
      </c>
      <c r="D2150" s="2" t="inlineStr">
        <is>
          <t>120.0</t>
        </is>
      </c>
      <c r="E2150" s="4">
        <f>HYPERLINK("./Results/DLO\900\Osteo_Sarco_1.png","RPT")</f>
        <v/>
      </c>
      <c r="F2150" s="2" t="n">
        <v>135</v>
      </c>
      <c r="G2150" s="6" t="n">
        <v>9</v>
      </c>
      <c r="I2150" s="0" t="n"/>
      <c r="J2150" s="0" t="n"/>
      <c r="K2150" s="0" t="n"/>
      <c r="L2150" t="inlineStr">
        <is>
          <t>Optima CT660</t>
        </is>
      </c>
      <c r="M2150" t="inlineStr">
        <is>
          <t>PRE</t>
        </is>
      </c>
    </row>
    <row r="2151">
      <c r="A2151" s="2" t="n">
        <v>4344870</v>
      </c>
      <c r="B2151" s="2" t="inlineStr">
        <is>
          <t>54</t>
        </is>
      </c>
      <c r="C2151" s="2" t="inlineStr">
        <is>
          <t>M</t>
        </is>
      </c>
      <c r="D2151" s="2" t="inlineStr">
        <is>
          <t>100.0</t>
        </is>
      </c>
      <c r="E2151" s="4">
        <f>HYPERLINK("./Results/DLO\901\Osteo_Sarco_1.png","RPT")</f>
        <v/>
      </c>
      <c r="F2151" s="2" t="n">
        <v>150</v>
      </c>
      <c r="G2151" s="6" t="n">
        <v>17</v>
      </c>
      <c r="I2151" s="0" t="n"/>
      <c r="J2151" s="0" t="n"/>
      <c r="K2151" s="0" t="n"/>
      <c r="L2151" t="inlineStr">
        <is>
          <t>SOMATOM Definition...</t>
        </is>
      </c>
      <c r="M2151" t="inlineStr">
        <is>
          <t>Pre 3mm</t>
        </is>
      </c>
    </row>
    <row r="2152">
      <c r="A2152" s="2" t="n">
        <v>4671434</v>
      </c>
      <c r="B2152" s="2" t="inlineStr">
        <is>
          <t>78</t>
        </is>
      </c>
      <c r="C2152" s="2" t="inlineStr">
        <is>
          <t>F</t>
        </is>
      </c>
      <c r="D2152" s="2" t="inlineStr">
        <is>
          <t>120.0</t>
        </is>
      </c>
      <c r="E2152" s="4">
        <f>HYPERLINK("./Results/DLO\902\Osteo_Sarco_1.png","RPT")</f>
        <v/>
      </c>
      <c r="F2152" s="2" t="n">
        <v>82</v>
      </c>
      <c r="G2152" s="6" t="n">
        <v>6</v>
      </c>
      <c r="H2152" t="n">
        <v>21.65</v>
      </c>
      <c r="L2152" t="inlineStr">
        <is>
          <t>Discovery CT750 HD</t>
        </is>
      </c>
      <c r="M2152" t="inlineStr">
        <is>
          <t>HVP 3mm</t>
        </is>
      </c>
    </row>
    <row r="2153">
      <c r="A2153" s="2" t="n">
        <v>4596004</v>
      </c>
      <c r="B2153" s="2" t="inlineStr">
        <is>
          <t>43</t>
        </is>
      </c>
      <c r="C2153" s="2" t="inlineStr">
        <is>
          <t>F</t>
        </is>
      </c>
      <c r="D2153" s="2" t="inlineStr">
        <is>
          <t>100.0</t>
        </is>
      </c>
      <c r="E2153" s="4">
        <f>HYPERLINK("./Results/DLO\903\Osteo_Sarco_1.png","RPT")</f>
        <v/>
      </c>
      <c r="F2153" s="2" t="n">
        <v>100</v>
      </c>
      <c r="G2153" s="6" t="n">
        <v>3</v>
      </c>
      <c r="I2153" s="0" t="n"/>
      <c r="J2153" s="0" t="n"/>
      <c r="K2153" s="0" t="n"/>
      <c r="L2153" t="inlineStr">
        <is>
          <t>LightSpeed VCT</t>
        </is>
      </c>
      <c r="M2153" t="inlineStr">
        <is>
          <t>PRE 3mm</t>
        </is>
      </c>
    </row>
    <row r="2154">
      <c r="A2154" s="2" t="n">
        <v>2439096</v>
      </c>
      <c r="B2154" s="2" t="inlineStr">
        <is>
          <t>62</t>
        </is>
      </c>
      <c r="C2154" s="2" t="inlineStr">
        <is>
          <t>M</t>
        </is>
      </c>
      <c r="D2154" s="2" t="inlineStr">
        <is>
          <t>100.0</t>
        </is>
      </c>
      <c r="E2154" s="4">
        <f>HYPERLINK("./Results/DLO\904\Osteo_Sarco_1.png","RPT")</f>
        <v/>
      </c>
      <c r="F2154" s="2" t="n">
        <v>164</v>
      </c>
      <c r="G2154" s="6" t="n">
        <v>10</v>
      </c>
      <c r="H2154" t="n">
        <v>21.63</v>
      </c>
      <c r="L2154" t="inlineStr">
        <is>
          <t>Discovery CT750 HD</t>
        </is>
      </c>
      <c r="M2154" t="inlineStr">
        <is>
          <t>CE 2.5mm(ASIR30%)</t>
        </is>
      </c>
    </row>
    <row r="2155">
      <c r="A2155" s="2" t="n">
        <v>4540859</v>
      </c>
      <c r="B2155" s="2" t="inlineStr">
        <is>
          <t>56</t>
        </is>
      </c>
      <c r="C2155" s="2" t="inlineStr">
        <is>
          <t>F</t>
        </is>
      </c>
      <c r="D2155" s="2" t="inlineStr">
        <is>
          <t>100.0</t>
        </is>
      </c>
      <c r="E2155" s="4">
        <f>HYPERLINK("./Results/DLO\905\Osteo_Sarco_1.png","RPT")</f>
        <v/>
      </c>
      <c r="F2155" s="2" t="n">
        <v>71</v>
      </c>
      <c r="G2155" s="6" t="n">
        <v>7</v>
      </c>
      <c r="I2155" s="0" t="n"/>
      <c r="J2155" s="0" t="n"/>
      <c r="K2155" s="0" t="n"/>
      <c r="L2155" t="inlineStr">
        <is>
          <t>Revolution EVO</t>
        </is>
      </c>
      <c r="M2155" t="inlineStr">
        <is>
          <t>PRE</t>
        </is>
      </c>
    </row>
    <row r="2156">
      <c r="A2156" s="2" t="n">
        <v>1651888</v>
      </c>
      <c r="B2156" s="2" t="inlineStr">
        <is>
          <t>68</t>
        </is>
      </c>
      <c r="C2156" s="2" t="inlineStr">
        <is>
          <t>F</t>
        </is>
      </c>
      <c r="D2156" s="2" t="inlineStr">
        <is>
          <t>100.0</t>
        </is>
      </c>
      <c r="E2156" s="4">
        <f>HYPERLINK("./Results/DLO\906\Osteo_Sarco_1.png","RPT")</f>
        <v/>
      </c>
      <c r="F2156" s="2" t="n">
        <v>109</v>
      </c>
      <c r="G2156" s="6" t="n">
        <v>14</v>
      </c>
      <c r="H2156" t="n">
        <v>32.04</v>
      </c>
      <c r="L2156" t="inlineStr">
        <is>
          <t>SOMATOM Definition...</t>
        </is>
      </c>
      <c r="M2156" t="inlineStr">
        <is>
          <t>Pre 3mm</t>
        </is>
      </c>
    </row>
    <row r="2157">
      <c r="A2157" s="2" t="n">
        <v>2110537</v>
      </c>
      <c r="B2157" s="2" t="inlineStr">
        <is>
          <t>39</t>
        </is>
      </c>
      <c r="C2157" s="2" t="inlineStr">
        <is>
          <t>M</t>
        </is>
      </c>
      <c r="D2157" s="2" t="inlineStr">
        <is>
          <t>120.0</t>
        </is>
      </c>
      <c r="E2157" s="4">
        <f>HYPERLINK("./Results/DLO\907\Osteo_Sarco_1.png","RPT")</f>
        <v/>
      </c>
      <c r="F2157" s="2" t="n">
        <v>181</v>
      </c>
      <c r="G2157" s="6" t="n">
        <v>5</v>
      </c>
      <c r="I2157" s="0" t="n"/>
      <c r="J2157" s="0" t="n"/>
      <c r="K2157" s="0" t="n"/>
      <c r="L2157" t="inlineStr">
        <is>
          <t>Brilliance 64</t>
        </is>
      </c>
      <c r="M2157" t="inlineStr">
        <is>
          <t>post</t>
        </is>
      </c>
    </row>
    <row r="2158">
      <c r="A2158" s="2" t="n">
        <v>1990798</v>
      </c>
      <c r="B2158" s="2" t="inlineStr">
        <is>
          <t>38</t>
        </is>
      </c>
      <c r="C2158" s="2" t="inlineStr">
        <is>
          <t>F</t>
        </is>
      </c>
      <c r="D2158" s="2" t="inlineStr">
        <is>
          <t>120.0</t>
        </is>
      </c>
      <c r="E2158" s="4">
        <f>HYPERLINK("./Results/DLO\908\Osteo_Sarco_1.png","RPT")</f>
        <v/>
      </c>
      <c r="F2158" s="2" t="n">
        <v>119</v>
      </c>
      <c r="G2158" s="6" t="n">
        <v>5</v>
      </c>
      <c r="I2158" s="0" t="n"/>
      <c r="J2158" s="0" t="n"/>
      <c r="K2158" s="0" t="n"/>
      <c r="L2158" t="inlineStr">
        <is>
          <t>iCT 256</t>
        </is>
      </c>
      <c r="M2158" t="inlineStr">
        <is>
          <t>Pre 3/3mm, iDose (3)</t>
        </is>
      </c>
    </row>
    <row r="2159">
      <c r="A2159" s="2" t="n">
        <v>4768437</v>
      </c>
      <c r="B2159" s="2" t="inlineStr">
        <is>
          <t>9</t>
        </is>
      </c>
      <c r="C2159" s="2" t="inlineStr">
        <is>
          <t>M</t>
        </is>
      </c>
      <c r="D2159" s="2" t="inlineStr">
        <is>
          <t>80.0</t>
        </is>
      </c>
      <c r="E2159" s="4">
        <f>HYPERLINK("./Results/DLO\909\Osteo_Sarco_1.png","RPT")</f>
        <v/>
      </c>
      <c r="F2159" s="2" t="n">
        <v>55</v>
      </c>
      <c r="G2159" s="6" t="n">
        <v>2</v>
      </c>
      <c r="H2159" t="n">
        <v>13.02</v>
      </c>
      <c r="L2159" t="inlineStr">
        <is>
          <t>iCT 256</t>
        </is>
      </c>
      <c r="M2159" t="inlineStr">
        <is>
          <t>HVP 3mm CTDI 1.2, iDose (2)</t>
        </is>
      </c>
    </row>
    <row r="2160">
      <c r="A2160" s="2" t="n">
        <v>2549641</v>
      </c>
      <c r="B2160" s="2" t="inlineStr">
        <is>
          <t>65</t>
        </is>
      </c>
      <c r="C2160" s="2" t="inlineStr">
        <is>
          <t>M</t>
        </is>
      </c>
      <c r="D2160" s="2" t="inlineStr">
        <is>
          <t>100.0</t>
        </is>
      </c>
      <c r="E2160" s="4">
        <f>HYPERLINK("./Results/DLO\91\Osteo_Sarco_1.png","RPT")</f>
        <v/>
      </c>
      <c r="F2160" s="2" t="n">
        <v>139</v>
      </c>
      <c r="G2160" s="6" t="n">
        <v>13</v>
      </c>
      <c r="I2160" s="0" t="n"/>
      <c r="J2160" s="0" t="n"/>
      <c r="K2160" s="0" t="n"/>
      <c r="L2160" t="inlineStr">
        <is>
          <t>iCT 256</t>
        </is>
      </c>
      <c r="M2160" t="inlineStr">
        <is>
          <t>LAP 3/3mm, iDose (3)</t>
        </is>
      </c>
    </row>
    <row r="2161">
      <c r="A2161" s="2" t="n">
        <v>3954819</v>
      </c>
      <c r="B2161" s="2" t="inlineStr">
        <is>
          <t>65</t>
        </is>
      </c>
      <c r="C2161" s="2" t="inlineStr">
        <is>
          <t>M</t>
        </is>
      </c>
      <c r="D2161" s="2" t="inlineStr">
        <is>
          <t>100.0</t>
        </is>
      </c>
      <c r="E2161" s="4">
        <f>HYPERLINK("./Results/DLO\910\Osteo_Sarco_1.png","RPT")</f>
        <v/>
      </c>
      <c r="F2161" s="2" t="n">
        <v>118</v>
      </c>
      <c r="G2161" s="6" t="n">
        <v>8</v>
      </c>
      <c r="H2161" t="n">
        <v>17.9</v>
      </c>
      <c r="L2161" t="inlineStr">
        <is>
          <t>Revolution EVO</t>
        </is>
      </c>
      <c r="M2161" t="inlineStr">
        <is>
          <t>PRE</t>
        </is>
      </c>
    </row>
    <row r="2162">
      <c r="A2162" s="2" t="n">
        <v>4721355</v>
      </c>
      <c r="B2162" s="2" t="inlineStr">
        <is>
          <t>56</t>
        </is>
      </c>
      <c r="C2162" s="2" t="inlineStr">
        <is>
          <t>F</t>
        </is>
      </c>
      <c r="D2162" s="2" t="inlineStr">
        <is>
          <t>120.0</t>
        </is>
      </c>
      <c r="E2162" s="4">
        <f>HYPERLINK("./Results/DLO\911\Osteo_Sarco_1.png","RPT")</f>
        <v/>
      </c>
      <c r="F2162" s="2" t="n">
        <v>124</v>
      </c>
      <c r="G2162" s="6" t="n">
        <v>16</v>
      </c>
      <c r="H2162" t="n">
        <v>29.21</v>
      </c>
      <c r="L2162" t="inlineStr">
        <is>
          <t>iCT 256</t>
        </is>
      </c>
      <c r="M2162" t="inlineStr">
        <is>
          <t>HVP 3/3mm, iDose (3)</t>
        </is>
      </c>
    </row>
    <row r="2163">
      <c r="A2163" s="2" t="n">
        <v>3073004</v>
      </c>
      <c r="B2163" s="2" t="inlineStr">
        <is>
          <t>24</t>
        </is>
      </c>
      <c r="C2163" s="2" t="inlineStr">
        <is>
          <t>F</t>
        </is>
      </c>
      <c r="D2163" s="2" t="inlineStr">
        <is>
          <t>100.0</t>
        </is>
      </c>
      <c r="E2163" s="4">
        <f>HYPERLINK("./Results/DLO\912\Osteo_Sarco_1.png","RPT")</f>
        <v/>
      </c>
      <c r="F2163" s="2" t="n">
        <v>87</v>
      </c>
      <c r="G2163" s="6" t="n">
        <v>5</v>
      </c>
      <c r="I2163" s="0" t="n"/>
      <c r="J2163" s="0" t="n"/>
      <c r="K2163" s="0" t="n"/>
      <c r="L2163" t="inlineStr">
        <is>
          <t>Revolution EVO</t>
        </is>
      </c>
      <c r="M2163" t="inlineStr">
        <is>
          <t>Pre 2.5mm</t>
        </is>
      </c>
    </row>
    <row r="2164">
      <c r="A2164" s="2" t="n">
        <v>2234868</v>
      </c>
      <c r="B2164" s="2" t="inlineStr">
        <is>
          <t>64</t>
        </is>
      </c>
      <c r="C2164" s="2" t="inlineStr">
        <is>
          <t>F</t>
        </is>
      </c>
      <c r="D2164" s="2" t="inlineStr">
        <is>
          <t>100.0</t>
        </is>
      </c>
      <c r="E2164" s="4">
        <f>HYPERLINK("./Results/DLO\913\Osteo_Sarco_1.png","RPT")</f>
        <v/>
      </c>
      <c r="F2164" s="2" t="n">
        <v>101</v>
      </c>
      <c r="G2164" s="6" t="n">
        <v>13</v>
      </c>
      <c r="I2164" s="0" t="n"/>
      <c r="J2164" s="0" t="n"/>
      <c r="K2164" s="0" t="n"/>
      <c r="L2164" t="inlineStr">
        <is>
          <t>iCT 256</t>
        </is>
      </c>
      <c r="M2164" t="inlineStr">
        <is>
          <t>Pre 3/3mm, iDose (3)</t>
        </is>
      </c>
    </row>
    <row r="2165">
      <c r="A2165" s="2" t="n">
        <v>2893659</v>
      </c>
      <c r="B2165" s="2" t="inlineStr">
        <is>
          <t>56</t>
        </is>
      </c>
      <c r="C2165" s="2" t="inlineStr">
        <is>
          <t>F</t>
        </is>
      </c>
      <c r="D2165" s="2" t="inlineStr">
        <is>
          <t>100.0</t>
        </is>
      </c>
      <c r="E2165" s="4">
        <f>HYPERLINK("./Results/DLO\914\Osteo_Sarco_1.png","RPT")</f>
        <v/>
      </c>
      <c r="F2165" s="2" t="n">
        <v>100</v>
      </c>
      <c r="G2165" s="6" t="n">
        <v>7</v>
      </c>
      <c r="I2165" s="0" t="n"/>
      <c r="J2165" s="0" t="n"/>
      <c r="K2165" s="0" t="n"/>
      <c r="L2165" t="inlineStr">
        <is>
          <t>Revolution CT</t>
        </is>
      </c>
      <c r="M2165" t="inlineStr">
        <is>
          <t>LAP 3mm(52kg/104cc/3.0cc/hexo)</t>
        </is>
      </c>
    </row>
    <row r="2166">
      <c r="A2166" s="2" t="n">
        <v>3206882</v>
      </c>
      <c r="B2166" s="2" t="inlineStr">
        <is>
          <t>61</t>
        </is>
      </c>
      <c r="C2166" s="2" t="inlineStr">
        <is>
          <t>F</t>
        </is>
      </c>
      <c r="D2166" s="2" t="inlineStr">
        <is>
          <t>100.0</t>
        </is>
      </c>
      <c r="E2166" s="4">
        <f>HYPERLINK("./Results/DLO\915\Osteo_Sarco_1.png","RPT")</f>
        <v/>
      </c>
      <c r="F2166" s="2" t="n">
        <v>114</v>
      </c>
      <c r="G2166" s="6" t="n">
        <v>16</v>
      </c>
      <c r="I2166" s="0" t="n"/>
      <c r="J2166" s="0" t="n"/>
      <c r="K2166" s="0" t="n"/>
      <c r="L2166" t="inlineStr">
        <is>
          <t>LightSpeed VCT</t>
        </is>
      </c>
      <c r="M2166" t="inlineStr">
        <is>
          <t>Pre 3mm</t>
        </is>
      </c>
    </row>
    <row r="2167">
      <c r="A2167" s="2" t="n">
        <v>3136198</v>
      </c>
      <c r="B2167" s="2" t="inlineStr">
        <is>
          <t>58</t>
        </is>
      </c>
      <c r="C2167" s="2" t="inlineStr">
        <is>
          <t>M</t>
        </is>
      </c>
      <c r="D2167" s="2" t="inlineStr">
        <is>
          <t>100.0</t>
        </is>
      </c>
      <c r="E2167" s="4">
        <f>HYPERLINK("./Results/DLO\916\Osteo_Sarco_1.png","RPT")</f>
        <v/>
      </c>
      <c r="F2167" s="2" t="n">
        <v>130</v>
      </c>
      <c r="G2167" s="6" t="n">
        <v>2</v>
      </c>
      <c r="I2167" s="0" t="n"/>
      <c r="J2167" s="0" t="n"/>
      <c r="K2167" s="0" t="n"/>
      <c r="L2167" t="inlineStr">
        <is>
          <t>SOMATOM Definition...</t>
        </is>
      </c>
      <c r="M2167" t="inlineStr">
        <is>
          <t>Pre 3mm</t>
        </is>
      </c>
    </row>
    <row r="2168">
      <c r="A2168" s="2" t="n">
        <v>2706444</v>
      </c>
      <c r="B2168" s="2" t="inlineStr">
        <is>
          <t>62</t>
        </is>
      </c>
      <c r="C2168" s="2" t="inlineStr">
        <is>
          <t>F</t>
        </is>
      </c>
      <c r="D2168" s="2" t="inlineStr">
        <is>
          <t>100.0</t>
        </is>
      </c>
      <c r="E2168" s="4">
        <f>HYPERLINK("./Results/DLO\917\Osteo_Sarco_1.png","RPT")</f>
        <v/>
      </c>
      <c r="F2168" s="2" t="n">
        <v>95</v>
      </c>
      <c r="G2168" s="6" t="n">
        <v>8</v>
      </c>
      <c r="H2168" t="n">
        <v>26.07</v>
      </c>
      <c r="L2168" t="inlineStr">
        <is>
          <t>Revolution CT</t>
        </is>
      </c>
      <c r="M2168" t="inlineStr">
        <is>
          <t>HVP 3mm(51kg/102cc/3cc/pami)</t>
        </is>
      </c>
    </row>
    <row r="2169">
      <c r="A2169" s="2" t="n">
        <v>4633346</v>
      </c>
      <c r="B2169" s="2" t="inlineStr">
        <is>
          <t>78</t>
        </is>
      </c>
      <c r="C2169" s="2" t="inlineStr">
        <is>
          <t>M</t>
        </is>
      </c>
      <c r="D2169" s="2" t="inlineStr">
        <is>
          <t>100.0</t>
        </is>
      </c>
      <c r="E2169" s="4">
        <f>HYPERLINK("./Results/DLO\918\Osteo_Sarco_1.png","RPT")</f>
        <v/>
      </c>
      <c r="F2169" s="2" t="n">
        <v>148</v>
      </c>
      <c r="G2169" s="6" t="n">
        <v>12</v>
      </c>
      <c r="I2169" s="0" t="n"/>
      <c r="J2169" s="0" t="n"/>
      <c r="K2169" s="0" t="n"/>
      <c r="L2169" t="inlineStr">
        <is>
          <t>SOMATOM Definition...</t>
        </is>
      </c>
      <c r="M2169" t="inlineStr">
        <is>
          <t>GU Pre 3mm</t>
        </is>
      </c>
    </row>
    <row r="2170">
      <c r="A2170" s="2" t="n">
        <v>3470745</v>
      </c>
      <c r="B2170" s="2" t="inlineStr">
        <is>
          <t>54</t>
        </is>
      </c>
      <c r="C2170" s="2" t="inlineStr">
        <is>
          <t>F</t>
        </is>
      </c>
      <c r="D2170" s="2" t="inlineStr">
        <is>
          <t>100.0</t>
        </is>
      </c>
      <c r="E2170" s="4">
        <f>HYPERLINK("./Results/DLO\919\Osteo_Sarco_1.png","RPT")</f>
        <v/>
      </c>
      <c r="F2170" s="2" t="n">
        <v>118</v>
      </c>
      <c r="G2170" s="6" t="n">
        <v>7</v>
      </c>
      <c r="H2170" t="n">
        <v>23.92</v>
      </c>
      <c r="L2170" t="inlineStr">
        <is>
          <t>LightSpeed VCT</t>
        </is>
      </c>
      <c r="M2170" t="inlineStr">
        <is>
          <t>PRE (CP angle~Pubic)</t>
        </is>
      </c>
    </row>
    <row r="2171">
      <c r="A2171" s="2" t="n">
        <v>1800176</v>
      </c>
      <c r="B2171" s="2" t="inlineStr">
        <is>
          <t>82</t>
        </is>
      </c>
      <c r="C2171" s="2" t="inlineStr">
        <is>
          <t>M</t>
        </is>
      </c>
      <c r="D2171" s="2" t="inlineStr">
        <is>
          <t>120.0</t>
        </is>
      </c>
      <c r="E2171" s="4">
        <f>HYPERLINK("./Results/DLO\92\Osteo_Sarco_1.png","RPT")</f>
        <v/>
      </c>
      <c r="F2171" s="2" t="n">
        <v>159</v>
      </c>
      <c r="G2171" s="6" t="n">
        <v>15</v>
      </c>
      <c r="I2171" s="0" t="n"/>
      <c r="J2171" s="0" t="n"/>
      <c r="K2171" s="0" t="n"/>
      <c r="L2171" t="inlineStr">
        <is>
          <t>iCT 256</t>
        </is>
      </c>
      <c r="M2171" t="inlineStr">
        <is>
          <t>Pre 3/3mm, iDose (3)</t>
        </is>
      </c>
    </row>
    <row r="2172">
      <c r="A2172" s="2" t="n">
        <v>4932360</v>
      </c>
      <c r="B2172" s="2" t="inlineStr">
        <is>
          <t>61</t>
        </is>
      </c>
      <c r="C2172" s="2" t="inlineStr">
        <is>
          <t>M</t>
        </is>
      </c>
      <c r="D2172" s="2" t="inlineStr">
        <is>
          <t>100.0</t>
        </is>
      </c>
      <c r="E2172" s="4">
        <f>HYPERLINK("./Results/DLO\920\Osteo_Sarco_1.png","RPT")</f>
        <v/>
      </c>
      <c r="F2172" s="2" t="n">
        <v>161</v>
      </c>
      <c r="G2172" s="6" t="n">
        <v>29</v>
      </c>
      <c r="H2172" t="n">
        <v>24.56</v>
      </c>
      <c r="L2172" t="inlineStr">
        <is>
          <t>LightSpeed VCT</t>
        </is>
      </c>
      <c r="M2172" t="inlineStr">
        <is>
          <t>PRE 3mm</t>
        </is>
      </c>
    </row>
    <row r="2173">
      <c r="A2173" s="2" t="n">
        <v>3423239</v>
      </c>
      <c r="B2173" s="2" t="inlineStr">
        <is>
          <t>52</t>
        </is>
      </c>
      <c r="C2173" s="2" t="inlineStr">
        <is>
          <t>F</t>
        </is>
      </c>
      <c r="D2173" s="2" t="inlineStr">
        <is>
          <t>100.0</t>
        </is>
      </c>
      <c r="E2173" s="4">
        <f>HYPERLINK("./Results/DLO\921\Osteo_Sarco_1.png","RPT")</f>
        <v/>
      </c>
      <c r="F2173" s="2" t="n">
        <v>77</v>
      </c>
      <c r="G2173" s="6" t="n">
        <v>8</v>
      </c>
      <c r="I2173" s="0" t="n"/>
      <c r="J2173" s="0" t="n"/>
      <c r="K2173" s="0" t="n"/>
      <c r="L2173" t="inlineStr">
        <is>
          <t>iCT 256</t>
        </is>
      </c>
      <c r="M2173" t="inlineStr">
        <is>
          <t>Pre3/3mm_I-3, iDose (3)</t>
        </is>
      </c>
    </row>
    <row r="2174">
      <c r="A2174" s="2" t="n">
        <v>4178423</v>
      </c>
      <c r="B2174" s="2" t="inlineStr">
        <is>
          <t>64</t>
        </is>
      </c>
      <c r="C2174" s="2" t="inlineStr">
        <is>
          <t>F</t>
        </is>
      </c>
      <c r="D2174" s="2" t="inlineStr">
        <is>
          <t>120.0</t>
        </is>
      </c>
      <c r="E2174" s="4">
        <f>HYPERLINK("./Results/DLO\922\Osteo_Sarco_1.png","RPT")</f>
        <v/>
      </c>
      <c r="F2174" s="2" t="n">
        <v>101</v>
      </c>
      <c r="G2174" s="6" t="n">
        <v>11</v>
      </c>
      <c r="I2174" s="0" t="n"/>
      <c r="J2174" s="0" t="n"/>
      <c r="K2174" s="0" t="n"/>
      <c r="L2174" t="inlineStr">
        <is>
          <t>Brilliance16</t>
        </is>
      </c>
      <c r="M2174" t="inlineStr">
        <is>
          <t>PRE</t>
        </is>
      </c>
    </row>
    <row r="2175">
      <c r="A2175" s="2" t="n">
        <v>4701332</v>
      </c>
      <c r="B2175" s="2" t="inlineStr">
        <is>
          <t>66</t>
        </is>
      </c>
      <c r="C2175" s="2" t="inlineStr">
        <is>
          <t>M</t>
        </is>
      </c>
      <c r="D2175" s="2" t="inlineStr">
        <is>
          <t>100.0</t>
        </is>
      </c>
      <c r="E2175" s="4">
        <f>HYPERLINK("./Results/DLO\923\Osteo_Sarco_1.png","RPT")</f>
        <v/>
      </c>
      <c r="F2175" s="2" t="n">
        <v>157</v>
      </c>
      <c r="G2175" s="6" t="n">
        <v>10</v>
      </c>
      <c r="I2175" s="0" t="n"/>
      <c r="J2175" s="0" t="n"/>
      <c r="K2175" s="0" t="n"/>
      <c r="L2175" t="inlineStr">
        <is>
          <t>SOMATOM Definition...</t>
        </is>
      </c>
      <c r="M2175" t="inlineStr">
        <is>
          <t>Pre 3mm</t>
        </is>
      </c>
    </row>
    <row r="2176">
      <c r="A2176" s="2" t="n">
        <v>3442657</v>
      </c>
      <c r="B2176" s="2" t="inlineStr">
        <is>
          <t>76</t>
        </is>
      </c>
      <c r="C2176" s="2" t="inlineStr">
        <is>
          <t>F</t>
        </is>
      </c>
      <c r="D2176" s="2" t="inlineStr">
        <is>
          <t>120.0</t>
        </is>
      </c>
      <c r="E2176" s="4">
        <f>HYPERLINK("./Results/DLO\924\Osteo_Sarco_1.png","RPT")</f>
        <v/>
      </c>
      <c r="F2176" s="2" t="n">
        <v>85</v>
      </c>
      <c r="G2176" s="6" t="n">
        <v>10</v>
      </c>
      <c r="H2176" t="n">
        <v>24.92</v>
      </c>
      <c r="L2176" t="inlineStr">
        <is>
          <t>Brilliance 64</t>
        </is>
      </c>
      <c r="M2176" t="inlineStr">
        <is>
          <t>Pre, 5mm</t>
        </is>
      </c>
    </row>
    <row r="2177">
      <c r="A2177" s="2" t="n">
        <v>2889039</v>
      </c>
      <c r="B2177" s="2" t="inlineStr">
        <is>
          <t>28</t>
        </is>
      </c>
      <c r="C2177" s="2" t="inlineStr">
        <is>
          <t>F</t>
        </is>
      </c>
      <c r="D2177" s="2" t="inlineStr">
        <is>
          <t>120.0</t>
        </is>
      </c>
      <c r="E2177" s="4">
        <f>HYPERLINK("./Results/DLO\925\Osteo_Sarco_1.png","RPT")</f>
        <v/>
      </c>
      <c r="F2177" s="2" t="n">
        <v>108</v>
      </c>
      <c r="G2177" s="6" t="n">
        <v>19</v>
      </c>
      <c r="I2177" s="0" t="n"/>
      <c r="J2177" s="0" t="n"/>
      <c r="K2177" s="0" t="n"/>
      <c r="L2177" t="inlineStr">
        <is>
          <t>LightSpeed VCT</t>
        </is>
      </c>
      <c r="M2177" t="inlineStr">
        <is>
          <t>HVP 55sec 3mm</t>
        </is>
      </c>
    </row>
    <row r="2178">
      <c r="A2178" s="2" t="n">
        <v>4613922</v>
      </c>
      <c r="B2178" s="2" t="inlineStr">
        <is>
          <t>54</t>
        </is>
      </c>
      <c r="C2178" s="2" t="inlineStr">
        <is>
          <t>F</t>
        </is>
      </c>
      <c r="D2178" s="2" t="inlineStr">
        <is>
          <t>120.0</t>
        </is>
      </c>
      <c r="E2178" s="4">
        <f>HYPERLINK("./Results/DLO\926\Osteo_Sarco_1.png","RPT")</f>
        <v/>
      </c>
      <c r="F2178" s="2" t="n">
        <v>116</v>
      </c>
      <c r="G2178" s="6" t="n">
        <v>6</v>
      </c>
      <c r="I2178" s="0" t="n"/>
      <c r="J2178" s="0" t="n"/>
      <c r="K2178" s="0" t="n"/>
      <c r="L2178" t="inlineStr">
        <is>
          <t>LightSpeed VCT</t>
        </is>
      </c>
      <c r="M2178" t="inlineStr">
        <is>
          <t>HVP 3mm</t>
        </is>
      </c>
    </row>
    <row r="2179">
      <c r="A2179" s="2" t="n">
        <v>4090598</v>
      </c>
      <c r="B2179" s="2" t="inlineStr">
        <is>
          <t>25</t>
        </is>
      </c>
      <c r="C2179" s="2" t="inlineStr">
        <is>
          <t>M</t>
        </is>
      </c>
      <c r="D2179" s="2" t="inlineStr">
        <is>
          <t>100.0</t>
        </is>
      </c>
      <c r="E2179" s="4">
        <f>HYPERLINK("./Results/DLO\927\Osteo_Sarco_1.png","RPT")</f>
        <v/>
      </c>
      <c r="F2179" s="2" t="n">
        <v>184</v>
      </c>
      <c r="G2179" s="6" t="n">
        <v>9</v>
      </c>
      <c r="I2179" s="0" t="n"/>
      <c r="J2179" s="0" t="n"/>
      <c r="K2179" s="0" t="n"/>
      <c r="L2179" t="inlineStr">
        <is>
          <t>iCT 256</t>
        </is>
      </c>
      <c r="M2179" t="inlineStr">
        <is>
          <t>Pre (CP~Pubi)3mm, iDose (3)</t>
        </is>
      </c>
    </row>
    <row r="2180">
      <c r="A2180" s="2" t="n">
        <v>2735677</v>
      </c>
      <c r="B2180" s="2" t="inlineStr">
        <is>
          <t>76</t>
        </is>
      </c>
      <c r="C2180" s="2" t="inlineStr">
        <is>
          <t>M</t>
        </is>
      </c>
      <c r="D2180" s="2" t="inlineStr">
        <is>
          <t>100.0</t>
        </is>
      </c>
      <c r="E2180" s="4">
        <f>HYPERLINK("./Results/DLO\928\Osteo_Sarco_1.png","RPT")</f>
        <v/>
      </c>
      <c r="F2180" s="2" t="n">
        <v>162</v>
      </c>
      <c r="G2180" s="6" t="n">
        <v>15</v>
      </c>
      <c r="H2180" t="n">
        <v>26.02</v>
      </c>
      <c r="L2180" t="inlineStr">
        <is>
          <t>LightSpeed VCT</t>
        </is>
      </c>
      <c r="M2180" t="inlineStr">
        <is>
          <t>PRE (CP angle~Pubic)</t>
        </is>
      </c>
    </row>
    <row r="2181">
      <c r="A2181" s="2" t="n">
        <v>1910388</v>
      </c>
      <c r="B2181" s="2" t="inlineStr">
        <is>
          <t>51</t>
        </is>
      </c>
      <c r="C2181" s="2" t="inlineStr">
        <is>
          <t>F</t>
        </is>
      </c>
      <c r="D2181" s="2" t="inlineStr">
        <is>
          <t>120.0</t>
        </is>
      </c>
      <c r="E2181" s="4">
        <f>HYPERLINK("./Results/DLO\929\Osteo_Sarco_1.png","RPT")</f>
        <v/>
      </c>
      <c r="F2181" s="2" t="n">
        <v>115</v>
      </c>
      <c r="G2181" s="6" t="n">
        <v>16</v>
      </c>
      <c r="I2181" s="0" t="n"/>
      <c r="J2181" s="0" t="n"/>
      <c r="K2181" s="0" t="n"/>
      <c r="L2181" t="inlineStr">
        <is>
          <t>LightSpeed VCT</t>
        </is>
      </c>
      <c r="M2181" t="inlineStr">
        <is>
          <t>HVP 55sec 3mm</t>
        </is>
      </c>
    </row>
    <row r="2182">
      <c r="A2182" s="2" t="n">
        <v>3559699</v>
      </c>
      <c r="B2182" s="2" t="inlineStr">
        <is>
          <t>83</t>
        </is>
      </c>
      <c r="C2182" s="2" t="inlineStr">
        <is>
          <t>M</t>
        </is>
      </c>
      <c r="D2182" s="2" t="inlineStr">
        <is>
          <t>120.0</t>
        </is>
      </c>
      <c r="E2182" s="4">
        <f>HYPERLINK("./Results/DLO\93\Osteo_Sarco_1.png","RPT")</f>
        <v/>
      </c>
      <c r="F2182" s="2" t="n">
        <v>131</v>
      </c>
      <c r="G2182" s="6" t="n">
        <v>7</v>
      </c>
      <c r="I2182" s="0" t="n"/>
      <c r="J2182" s="0" t="n"/>
      <c r="K2182" s="0" t="n"/>
      <c r="L2182" t="inlineStr">
        <is>
          <t>Ingenuity Core 128</t>
        </is>
      </c>
      <c r="M2182" t="inlineStr">
        <is>
          <t>Abd/Pel PRE, iDose (2)</t>
        </is>
      </c>
    </row>
    <row r="2183">
      <c r="A2183" s="2" t="n">
        <v>4769539</v>
      </c>
      <c r="B2183" s="2" t="inlineStr">
        <is>
          <t>60</t>
        </is>
      </c>
      <c r="C2183" s="2" t="inlineStr">
        <is>
          <t>F</t>
        </is>
      </c>
      <c r="D2183" s="2" t="inlineStr">
        <is>
          <t>100.0</t>
        </is>
      </c>
      <c r="E2183" s="4">
        <f>HYPERLINK("./Results/DLO\930\Osteo_Sarco_1.png","RPT")</f>
        <v/>
      </c>
      <c r="F2183" s="2" t="n">
        <v>107</v>
      </c>
      <c r="G2183" s="6" t="n">
        <v>11</v>
      </c>
      <c r="I2183" s="0" t="n"/>
      <c r="J2183" s="0" t="n"/>
      <c r="K2183" s="0" t="n"/>
      <c r="L2183" t="inlineStr">
        <is>
          <t>LightSpeed VCT</t>
        </is>
      </c>
      <c r="M2183" t="inlineStr">
        <is>
          <t>PRE</t>
        </is>
      </c>
    </row>
    <row r="2184">
      <c r="A2184" s="2" t="n">
        <v>4504756</v>
      </c>
      <c r="B2184" s="2" t="inlineStr">
        <is>
          <t>61</t>
        </is>
      </c>
      <c r="C2184" s="2" t="inlineStr">
        <is>
          <t>M</t>
        </is>
      </c>
      <c r="D2184" s="2" t="inlineStr">
        <is>
          <t>100.0</t>
        </is>
      </c>
      <c r="E2184" s="4">
        <f>HYPERLINK("./Results/DLO\931\Osteo_Sarco_1.png","RPT")</f>
        <v/>
      </c>
      <c r="F2184" s="2" t="n">
        <v>156</v>
      </c>
      <c r="G2184" s="6" t="n">
        <v>13</v>
      </c>
      <c r="I2184" s="0" t="n"/>
      <c r="J2184" s="0" t="n"/>
      <c r="K2184" s="0" t="n"/>
      <c r="L2184" t="inlineStr">
        <is>
          <t>Discovery CT750 HD</t>
        </is>
      </c>
      <c r="M2184" t="inlineStr">
        <is>
          <t>Pre 3mm</t>
        </is>
      </c>
    </row>
    <row r="2185">
      <c r="A2185" s="2" t="n">
        <v>1785575</v>
      </c>
      <c r="B2185" s="2" t="inlineStr">
        <is>
          <t>78</t>
        </is>
      </c>
      <c r="C2185" s="2" t="inlineStr">
        <is>
          <t>M</t>
        </is>
      </c>
      <c r="D2185" s="2" t="inlineStr">
        <is>
          <t>100.0</t>
        </is>
      </c>
      <c r="E2185" s="4">
        <f>HYPERLINK("./Results/DLO\932\Osteo_Sarco_1.png","RPT")</f>
        <v/>
      </c>
      <c r="F2185" s="2" t="n">
        <v>104</v>
      </c>
      <c r="G2185" s="6" t="n">
        <v>9</v>
      </c>
      <c r="H2185" t="n">
        <v>19.47</v>
      </c>
      <c r="L2185" t="inlineStr">
        <is>
          <t>Sensation 64</t>
        </is>
      </c>
      <c r="M2185" t="inlineStr">
        <is>
          <t>PRE 3mm</t>
        </is>
      </c>
    </row>
    <row r="2186">
      <c r="A2186" s="2" t="n">
        <v>1670320</v>
      </c>
      <c r="B2186" s="2" t="inlineStr">
        <is>
          <t>55</t>
        </is>
      </c>
      <c r="C2186" s="2" t="inlineStr">
        <is>
          <t>F</t>
        </is>
      </c>
      <c r="D2186" s="2" t="inlineStr">
        <is>
          <t>100.0</t>
        </is>
      </c>
      <c r="E2186" s="4">
        <f>HYPERLINK("./Results/DLO\933\Osteo_Sarco_1.png","RPT")</f>
        <v/>
      </c>
      <c r="F2186" s="2" t="n">
        <v>102</v>
      </c>
      <c r="G2186" s="6" t="n">
        <v>9</v>
      </c>
      <c r="H2186" t="n">
        <v>21.5</v>
      </c>
      <c r="L2186" t="inlineStr">
        <is>
          <t>iCT 256</t>
        </is>
      </c>
      <c r="M2186" t="inlineStr">
        <is>
          <t>LAP 3/3mm, iDose (3)</t>
        </is>
      </c>
    </row>
    <row r="2187">
      <c r="A2187" s="2" t="n">
        <v>4136245</v>
      </c>
      <c r="B2187" s="2" t="inlineStr">
        <is>
          <t>60</t>
        </is>
      </c>
      <c r="C2187" s="2" t="inlineStr">
        <is>
          <t>F</t>
        </is>
      </c>
      <c r="D2187" s="2" t="inlineStr">
        <is>
          <t>100.0</t>
        </is>
      </c>
      <c r="E2187" s="4">
        <f>HYPERLINK("./Results/DLO\934\Osteo_Sarco_1.png","RPT")</f>
        <v/>
      </c>
      <c r="F2187" s="2" t="n">
        <v>102</v>
      </c>
      <c r="G2187" s="6" t="n">
        <v>15</v>
      </c>
      <c r="I2187" s="0" t="n"/>
      <c r="J2187" s="0" t="n"/>
      <c r="K2187" s="0" t="n"/>
      <c r="L2187" t="inlineStr">
        <is>
          <t>Revolution EVO</t>
        </is>
      </c>
      <c r="M2187" t="inlineStr">
        <is>
          <t>Pre(CP~Pelvic)</t>
        </is>
      </c>
    </row>
    <row r="2188">
      <c r="A2188" s="2" t="n">
        <v>3213873</v>
      </c>
      <c r="B2188" s="2" t="inlineStr">
        <is>
          <t>75</t>
        </is>
      </c>
      <c r="C2188" s="2" t="inlineStr">
        <is>
          <t>M</t>
        </is>
      </c>
      <c r="D2188" s="2" t="inlineStr">
        <is>
          <t>100.0</t>
        </is>
      </c>
      <c r="E2188" s="4">
        <f>HYPERLINK("./Results/DLO\935\Osteo_Sarco_1.png","RPT")</f>
        <v/>
      </c>
      <c r="F2188" s="2" t="n">
        <v>136</v>
      </c>
      <c r="G2188" s="6" t="n">
        <v>13</v>
      </c>
      <c r="H2188" t="n">
        <v>25.5</v>
      </c>
      <c r="L2188" t="inlineStr">
        <is>
          <t>Revolution CT</t>
        </is>
      </c>
      <c r="M2188" t="inlineStr">
        <is>
          <t>HVP 3mm-pacs(70kg/140cc/hexol)</t>
        </is>
      </c>
    </row>
    <row r="2189">
      <c r="A2189" s="2" t="n">
        <v>2746074</v>
      </c>
      <c r="B2189" s="2" t="inlineStr">
        <is>
          <t>63</t>
        </is>
      </c>
      <c r="C2189" s="2" t="inlineStr">
        <is>
          <t>F</t>
        </is>
      </c>
      <c r="D2189" s="2" t="inlineStr">
        <is>
          <t>100.0</t>
        </is>
      </c>
      <c r="E2189" s="4">
        <f>HYPERLINK("./Results/DLO\936\Osteo_Sarco_1.png","RPT")</f>
        <v/>
      </c>
      <c r="F2189" s="2" t="n">
        <v>94</v>
      </c>
      <c r="G2189" s="6" t="n">
        <v>8</v>
      </c>
      <c r="I2189" s="0" t="n"/>
      <c r="J2189" s="0" t="n"/>
      <c r="K2189" s="0" t="n"/>
      <c r="L2189" t="inlineStr">
        <is>
          <t>SOMATOM Definition...</t>
        </is>
      </c>
      <c r="M2189" t="inlineStr">
        <is>
          <t>Pre 3mm</t>
        </is>
      </c>
    </row>
    <row r="2190">
      <c r="A2190" s="2" t="n">
        <v>4408330</v>
      </c>
      <c r="B2190" s="2" t="inlineStr">
        <is>
          <t>60</t>
        </is>
      </c>
      <c r="C2190" s="2" t="inlineStr">
        <is>
          <t>F</t>
        </is>
      </c>
      <c r="D2190" s="2" t="inlineStr">
        <is>
          <t>100.0</t>
        </is>
      </c>
      <c r="E2190" s="4">
        <f>HYPERLINK("./Results/DLO\937\Osteo_Sarco_1.png","RPT")</f>
        <v/>
      </c>
      <c r="F2190" s="2" t="n">
        <v>116</v>
      </c>
      <c r="G2190" s="6" t="n">
        <v>19</v>
      </c>
      <c r="I2190" s="0" t="n"/>
      <c r="J2190" s="0" t="n"/>
      <c r="K2190" s="0" t="n"/>
      <c r="L2190" t="inlineStr">
        <is>
          <t>LightSpeed VCT</t>
        </is>
      </c>
      <c r="M2190" t="inlineStr">
        <is>
          <t>PRE 3mm</t>
        </is>
      </c>
    </row>
    <row r="2191">
      <c r="A2191" s="2" t="n">
        <v>2165387</v>
      </c>
      <c r="B2191" s="2" t="inlineStr">
        <is>
          <t>54</t>
        </is>
      </c>
      <c r="C2191" s="2" t="inlineStr">
        <is>
          <t>F</t>
        </is>
      </c>
      <c r="D2191" s="2" t="inlineStr">
        <is>
          <t>120.0</t>
        </is>
      </c>
      <c r="E2191" s="4">
        <f>HYPERLINK("./Results/DLO\938\Osteo_Sarco_1.png","RPT")</f>
        <v/>
      </c>
      <c r="F2191" s="2" t="n">
        <v>129</v>
      </c>
      <c r="G2191" s="6" t="n">
        <v>20</v>
      </c>
      <c r="I2191" s="0" t="n"/>
      <c r="J2191" s="0" t="n"/>
      <c r="K2191" s="0" t="n"/>
      <c r="L2191" t="inlineStr">
        <is>
          <t>iCT 256</t>
        </is>
      </c>
      <c r="M2191" t="inlineStr">
        <is>
          <t>Pre 3/3mm, iDose (3)</t>
        </is>
      </c>
    </row>
    <row r="2192">
      <c r="A2192" s="2" t="n">
        <v>4296878</v>
      </c>
      <c r="B2192" s="2" t="inlineStr">
        <is>
          <t>43</t>
        </is>
      </c>
      <c r="C2192" s="2" t="inlineStr">
        <is>
          <t>F</t>
        </is>
      </c>
      <c r="D2192" s="2" t="inlineStr">
        <is>
          <t>100.0</t>
        </is>
      </c>
      <c r="E2192" s="4">
        <f>HYPERLINK("./Results/DLO\939\Osteo_Sarco_1.png","RPT")</f>
        <v/>
      </c>
      <c r="F2192" s="2" t="n">
        <v>107</v>
      </c>
      <c r="G2192" s="6" t="n">
        <v>10</v>
      </c>
      <c r="I2192" s="0" t="n"/>
      <c r="J2192" s="0" t="n"/>
      <c r="K2192" s="0" t="n"/>
      <c r="L2192" t="inlineStr">
        <is>
          <t>Revolution CT</t>
        </is>
      </c>
      <c r="M2192" t="inlineStr">
        <is>
          <t>LAP 3mm(52kg/104cc/3.0cc/xene...</t>
        </is>
      </c>
    </row>
    <row r="2193">
      <c r="A2193" s="2" t="n">
        <v>2661396</v>
      </c>
      <c r="B2193" s="2" t="inlineStr">
        <is>
          <t>50</t>
        </is>
      </c>
      <c r="C2193" s="2" t="inlineStr">
        <is>
          <t>M</t>
        </is>
      </c>
      <c r="D2193" s="2" t="inlineStr">
        <is>
          <t>100.0</t>
        </is>
      </c>
      <c r="E2193" s="4">
        <f>HYPERLINK("./Results/DLO\94\Osteo_Sarco_1.png","RPT")</f>
        <v/>
      </c>
      <c r="F2193" s="2" t="n">
        <v>162</v>
      </c>
      <c r="G2193" s="6" t="n">
        <v>10</v>
      </c>
      <c r="I2193" s="0" t="n"/>
      <c r="J2193" s="0" t="n"/>
      <c r="K2193" s="0" t="n"/>
      <c r="L2193" t="inlineStr">
        <is>
          <t>Revolution EVO</t>
        </is>
      </c>
      <c r="M2193" t="inlineStr">
        <is>
          <t>Pre(CP~Pelvic)</t>
        </is>
      </c>
    </row>
    <row r="2194">
      <c r="A2194" s="2" t="n">
        <v>1548549</v>
      </c>
      <c r="B2194" s="2" t="inlineStr">
        <is>
          <t>61</t>
        </is>
      </c>
      <c r="C2194" s="2" t="inlineStr">
        <is>
          <t>F</t>
        </is>
      </c>
      <c r="D2194" s="2" t="inlineStr">
        <is>
          <t>100.0</t>
        </is>
      </c>
      <c r="E2194" s="4">
        <f>HYPERLINK("./Results/DLO\940\Osteo_Sarco_1.png","RPT")</f>
        <v/>
      </c>
      <c r="F2194" s="2" t="n">
        <v>92</v>
      </c>
      <c r="G2194" s="6" t="n">
        <v>7</v>
      </c>
      <c r="I2194" s="0" t="n"/>
      <c r="J2194" s="0" t="n"/>
      <c r="K2194" s="0" t="n"/>
      <c r="L2194" t="inlineStr">
        <is>
          <t>Revolution EVO</t>
        </is>
      </c>
      <c r="M2194" t="inlineStr">
        <is>
          <t>PRE</t>
        </is>
      </c>
    </row>
    <row r="2195">
      <c r="A2195" s="2" t="n">
        <v>1805315</v>
      </c>
      <c r="B2195" s="2" t="inlineStr">
        <is>
          <t>50</t>
        </is>
      </c>
      <c r="C2195" s="2" t="inlineStr">
        <is>
          <t>F</t>
        </is>
      </c>
      <c r="D2195" s="2" t="inlineStr">
        <is>
          <t>100.0</t>
        </is>
      </c>
      <c r="E2195" s="4">
        <f>HYPERLINK("./Results/DLO\941\Osteo_Sarco_1.png","RPT")</f>
        <v/>
      </c>
      <c r="F2195" s="2" t="n">
        <v>126</v>
      </c>
      <c r="G2195" s="6" t="n">
        <v>4</v>
      </c>
      <c r="I2195" s="0" t="n"/>
      <c r="J2195" s="0" t="n"/>
      <c r="K2195" s="0" t="n"/>
      <c r="L2195" t="inlineStr">
        <is>
          <t>Revolution EVO</t>
        </is>
      </c>
      <c r="M2195" t="inlineStr">
        <is>
          <t>Pre(CP~Pelvic)</t>
        </is>
      </c>
    </row>
    <row r="2196">
      <c r="A2196" s="2" t="n">
        <v>2572899</v>
      </c>
      <c r="B2196" s="2" t="inlineStr">
        <is>
          <t>69</t>
        </is>
      </c>
      <c r="C2196" s="2" t="inlineStr">
        <is>
          <t>M</t>
        </is>
      </c>
      <c r="D2196" s="2" t="inlineStr">
        <is>
          <t>100.0</t>
        </is>
      </c>
      <c r="E2196" s="4">
        <f>HYPERLINK("./Results/DLO\942\Osteo_Sarco_1.png","RPT")</f>
        <v/>
      </c>
      <c r="F2196" s="2" t="n">
        <v>159</v>
      </c>
      <c r="G2196" s="6" t="n">
        <v>8</v>
      </c>
      <c r="I2196" s="0" t="n"/>
      <c r="J2196" s="0" t="n"/>
      <c r="K2196" s="0" t="n"/>
      <c r="L2196" t="inlineStr">
        <is>
          <t>SOMATOM Definition...</t>
        </is>
      </c>
      <c r="M2196" t="inlineStr">
        <is>
          <t>LAP 2 3mm(67kg/134ml/3ml/he...</t>
        </is>
      </c>
    </row>
    <row r="2197">
      <c r="A2197" s="2" t="n">
        <v>2366963</v>
      </c>
      <c r="B2197" s="2" t="inlineStr">
        <is>
          <t>59</t>
        </is>
      </c>
      <c r="C2197" s="2" t="inlineStr">
        <is>
          <t>M</t>
        </is>
      </c>
      <c r="D2197" s="2" t="inlineStr">
        <is>
          <t>100.0</t>
        </is>
      </c>
      <c r="E2197" s="4">
        <f>HYPERLINK("./Results/DLO\943\Osteo_Sarco_1.png","RPT")</f>
        <v/>
      </c>
      <c r="F2197" s="2" t="n">
        <v>119</v>
      </c>
      <c r="G2197" s="6" t="n">
        <v>12</v>
      </c>
      <c r="I2197" s="0" t="n"/>
      <c r="J2197" s="0" t="n"/>
      <c r="K2197" s="0" t="n"/>
      <c r="L2197" t="inlineStr">
        <is>
          <t>Discovery CT750 HD</t>
        </is>
      </c>
      <c r="M2197" t="inlineStr">
        <is>
          <t>CMP 2.5mm(ASIR30%)</t>
        </is>
      </c>
    </row>
    <row r="2198">
      <c r="A2198" s="2" t="n">
        <v>3450398</v>
      </c>
      <c r="B2198" s="2" t="inlineStr">
        <is>
          <t>67</t>
        </is>
      </c>
      <c r="C2198" s="2" t="inlineStr">
        <is>
          <t>M</t>
        </is>
      </c>
      <c r="D2198" s="2" t="inlineStr">
        <is>
          <t>100.0</t>
        </is>
      </c>
      <c r="E2198" s="4">
        <f>HYPERLINK("./Results/DLO\944\Osteo_Sarco_1.png","RPT")</f>
        <v/>
      </c>
      <c r="F2198" s="2" t="n">
        <v>121</v>
      </c>
      <c r="G2198" s="6" t="n">
        <v>5</v>
      </c>
      <c r="I2198" s="0" t="n"/>
      <c r="J2198" s="0" t="n"/>
      <c r="K2198" s="0" t="n"/>
      <c r="L2198" t="inlineStr">
        <is>
          <t>SOMATOM Force</t>
        </is>
      </c>
      <c r="M2198" t="inlineStr">
        <is>
          <t>HVP 3.0 Br40 2 (60kg/120cc...</t>
        </is>
      </c>
    </row>
    <row r="2199">
      <c r="A2199" s="2" t="n">
        <v>1655505</v>
      </c>
      <c r="B2199" s="2" t="inlineStr">
        <is>
          <t>75</t>
        </is>
      </c>
      <c r="C2199" s="2" t="inlineStr">
        <is>
          <t>F</t>
        </is>
      </c>
      <c r="D2199" s="2" t="inlineStr">
        <is>
          <t>100.0</t>
        </is>
      </c>
      <c r="E2199" s="4">
        <f>HYPERLINK("./Results/DLO\945\Osteo_Sarco_1.png","RPT")</f>
        <v/>
      </c>
      <c r="F2199" s="2" t="n">
        <v>107</v>
      </c>
      <c r="G2199" s="6" t="n">
        <v>15</v>
      </c>
      <c r="H2199" t="n">
        <v>25.55</v>
      </c>
      <c r="L2199" t="inlineStr">
        <is>
          <t>SOMATOM Definition...</t>
        </is>
      </c>
      <c r="M2199" t="inlineStr">
        <is>
          <t>Pre 3mm</t>
        </is>
      </c>
    </row>
    <row r="2200">
      <c r="A2200" s="2" t="n">
        <v>2577459</v>
      </c>
      <c r="B2200" s="2" t="inlineStr">
        <is>
          <t>62</t>
        </is>
      </c>
      <c r="C2200" s="2" t="inlineStr">
        <is>
          <t>F</t>
        </is>
      </c>
      <c r="D2200" s="2" t="inlineStr">
        <is>
          <t>100.0</t>
        </is>
      </c>
      <c r="E2200" s="4">
        <f>HYPERLINK("./Results/DLO\946\Osteo_Sarco_1.png","RPT")</f>
        <v/>
      </c>
      <c r="F2200" s="2" t="n">
        <v>116</v>
      </c>
      <c r="G2200" s="6" t="n">
        <v>8</v>
      </c>
      <c r="I2200" s="0" t="n"/>
      <c r="J2200" s="0" t="n"/>
      <c r="K2200" s="0" t="n"/>
      <c r="L2200" t="inlineStr">
        <is>
          <t>LightSpeed VCT</t>
        </is>
      </c>
      <c r="M2200" t="inlineStr">
        <is>
          <t>PRE</t>
        </is>
      </c>
    </row>
    <row r="2201">
      <c r="A2201" s="2" t="n">
        <v>4559567</v>
      </c>
      <c r="B2201" s="2" t="inlineStr">
        <is>
          <t>59</t>
        </is>
      </c>
      <c r="C2201" s="2" t="inlineStr">
        <is>
          <t>M</t>
        </is>
      </c>
      <c r="D2201" s="2" t="inlineStr">
        <is>
          <t>120.0</t>
        </is>
      </c>
      <c r="E2201" s="4">
        <f>HYPERLINK("./Results/DLO\947\Osteo_Sarco_1.png","RPT")</f>
        <v/>
      </c>
      <c r="F2201" s="2" t="n">
        <v>111</v>
      </c>
      <c r="G2201" s="6" t="n">
        <v>3</v>
      </c>
      <c r="I2201" s="0" t="n"/>
      <c r="J2201" s="0" t="n"/>
      <c r="K2201" s="0" t="n"/>
      <c r="L2201" t="inlineStr">
        <is>
          <t>LightSpeed VCT</t>
        </is>
      </c>
      <c r="M2201" t="inlineStr">
        <is>
          <t>HVP 55sec 3mm</t>
        </is>
      </c>
    </row>
    <row r="2202">
      <c r="A2202" s="2" t="n">
        <v>4783677</v>
      </c>
      <c r="B2202" s="2" t="inlineStr">
        <is>
          <t>65</t>
        </is>
      </c>
      <c r="C2202" s="2" t="inlineStr">
        <is>
          <t>F</t>
        </is>
      </c>
      <c r="D2202" s="2" t="inlineStr">
        <is>
          <t>100.0</t>
        </is>
      </c>
      <c r="E2202" s="4">
        <f>HYPERLINK("./Results/DLO\948\Osteo_Sarco_1.png","RPT")</f>
        <v/>
      </c>
      <c r="F2202" s="2" t="n">
        <v>93</v>
      </c>
      <c r="G2202" s="6" t="n">
        <v>10</v>
      </c>
      <c r="I2202" s="0" t="n"/>
      <c r="J2202" s="0" t="n"/>
      <c r="K2202" s="0" t="n"/>
      <c r="L2202" t="inlineStr">
        <is>
          <t>Sensation 64</t>
        </is>
      </c>
      <c r="M2202" t="inlineStr">
        <is>
          <t>Pre 3/3mm</t>
        </is>
      </c>
    </row>
    <row r="2203">
      <c r="A2203" s="2" t="n">
        <v>2036751</v>
      </c>
      <c r="B2203" s="2" t="inlineStr">
        <is>
          <t>60</t>
        </is>
      </c>
      <c r="C2203" s="2" t="inlineStr">
        <is>
          <t>M</t>
        </is>
      </c>
      <c r="D2203" s="2" t="inlineStr">
        <is>
          <t>100.0</t>
        </is>
      </c>
      <c r="E2203" s="4">
        <f>HYPERLINK("./Results/DLO\949\Osteo_Sarco_1.png","RPT")</f>
        <v/>
      </c>
      <c r="F2203" s="2" t="n">
        <v>144</v>
      </c>
      <c r="G2203" s="6" t="n">
        <v>5</v>
      </c>
      <c r="H2203" t="n">
        <v>19.69</v>
      </c>
      <c r="L2203" t="inlineStr">
        <is>
          <t>SOMATOM Definition...</t>
        </is>
      </c>
      <c r="M2203" t="inlineStr">
        <is>
          <t>HVP 2 3mm (63kg/126cc/3cc/radi)</t>
        </is>
      </c>
    </row>
    <row r="2204">
      <c r="A2204" s="2" t="n">
        <v>221462</v>
      </c>
      <c r="B2204" s="2" t="inlineStr">
        <is>
          <t>52</t>
        </is>
      </c>
      <c r="C2204" s="2" t="inlineStr">
        <is>
          <t>M</t>
        </is>
      </c>
      <c r="D2204" s="2" t="inlineStr">
        <is>
          <t>100.0</t>
        </is>
      </c>
      <c r="E2204" s="4">
        <f>HYPERLINK("./Results/DLO\95\Osteo_Sarco_1.png","RPT")</f>
        <v/>
      </c>
      <c r="F2204" s="2" t="n">
        <v>197</v>
      </c>
      <c r="G2204" s="6" t="n">
        <v>16</v>
      </c>
      <c r="H2204" t="n">
        <v>29.6</v>
      </c>
      <c r="L2204" t="inlineStr">
        <is>
          <t>Revolution EVO</t>
        </is>
      </c>
      <c r="M2204" t="inlineStr">
        <is>
          <t>PRE</t>
        </is>
      </c>
    </row>
    <row r="2205">
      <c r="A2205" s="2" t="n">
        <v>2321426</v>
      </c>
      <c r="B2205" s="2" t="inlineStr">
        <is>
          <t>69</t>
        </is>
      </c>
      <c r="C2205" s="2" t="inlineStr">
        <is>
          <t>F</t>
        </is>
      </c>
      <c r="D2205" s="2" t="inlineStr">
        <is>
          <t>120.0</t>
        </is>
      </c>
      <c r="E2205" s="4">
        <f>HYPERLINK("./Results/DLO\950\Osteo_Sarco_1.png","RPT")</f>
        <v/>
      </c>
      <c r="F2205" s="2" t="n">
        <v>101</v>
      </c>
      <c r="G2205" s="6" t="n">
        <v>8</v>
      </c>
      <c r="I2205" s="0" t="n"/>
      <c r="J2205" s="0" t="n"/>
      <c r="K2205" s="0" t="n"/>
      <c r="L2205" t="inlineStr">
        <is>
          <t>LightSpeed VCT</t>
        </is>
      </c>
      <c r="M2205" t="inlineStr">
        <is>
          <t>HVP 55sec 3mm</t>
        </is>
      </c>
    </row>
    <row r="2206">
      <c r="A2206" s="2" t="n">
        <v>4656166</v>
      </c>
      <c r="B2206" s="2" t="inlineStr">
        <is>
          <t>69</t>
        </is>
      </c>
      <c r="C2206" s="2" t="inlineStr">
        <is>
          <t>F</t>
        </is>
      </c>
      <c r="D2206" s="2" t="inlineStr">
        <is>
          <t>120.0</t>
        </is>
      </c>
      <c r="E2206" s="4">
        <f>HYPERLINK("./Results/DLO\951\Osteo_Sarco_1.png","RPT")</f>
        <v/>
      </c>
      <c r="F2206" s="2" t="n">
        <v>111</v>
      </c>
      <c r="G2206" s="6" t="n">
        <v>12</v>
      </c>
      <c r="I2206" s="0" t="n"/>
      <c r="J2206" s="0" t="n"/>
      <c r="K2206" s="0" t="n"/>
      <c r="L2206" t="inlineStr">
        <is>
          <t>iCT 256</t>
        </is>
      </c>
      <c r="M2206" t="inlineStr">
        <is>
          <t>Pre (CP~Pubi)3mm, iDose (3)</t>
        </is>
      </c>
    </row>
    <row r="2207">
      <c r="A2207" s="2" t="n">
        <v>3945245</v>
      </c>
      <c r="B2207" s="2" t="inlineStr">
        <is>
          <t>77</t>
        </is>
      </c>
      <c r="C2207" s="2" t="inlineStr">
        <is>
          <t>F</t>
        </is>
      </c>
      <c r="D2207" s="2" t="inlineStr">
        <is>
          <t>100.0</t>
        </is>
      </c>
      <c r="E2207" s="4">
        <f>HYPERLINK("./Results/DLO\952\Osteo_Sarco_1.png","RPT")</f>
        <v/>
      </c>
      <c r="F2207" s="2" t="n">
        <v>92</v>
      </c>
      <c r="G2207" s="6" t="n">
        <v>11</v>
      </c>
      <c r="I2207" s="0" t="n"/>
      <c r="J2207" s="0" t="n"/>
      <c r="K2207" s="0" t="n"/>
      <c r="L2207" t="inlineStr">
        <is>
          <t>SOMATOM Definition...</t>
        </is>
      </c>
      <c r="M2207" t="inlineStr">
        <is>
          <t>HVP 2 3mm(45kg/90cc/3cc/hexol)</t>
        </is>
      </c>
    </row>
    <row r="2208">
      <c r="A2208" s="2" t="n">
        <v>4029749</v>
      </c>
      <c r="B2208" s="2" t="inlineStr">
        <is>
          <t>44</t>
        </is>
      </c>
      <c r="C2208" s="2" t="inlineStr">
        <is>
          <t>F</t>
        </is>
      </c>
      <c r="D2208" s="2" t="inlineStr">
        <is>
          <t>100.0</t>
        </is>
      </c>
      <c r="E2208" s="4">
        <f>HYPERLINK("./Results/DLO\953\Osteo_Sarco_1.png","RPT")</f>
        <v/>
      </c>
      <c r="F2208" s="2" t="n">
        <v>121</v>
      </c>
      <c r="G2208" s="6" t="n">
        <v>5</v>
      </c>
      <c r="I2208" s="0" t="n"/>
      <c r="J2208" s="0" t="n"/>
      <c r="K2208" s="0" t="n"/>
      <c r="L2208" t="inlineStr">
        <is>
          <t>Revolution EVO</t>
        </is>
      </c>
      <c r="M2208" t="inlineStr">
        <is>
          <t>PRE</t>
        </is>
      </c>
    </row>
    <row r="2209">
      <c r="A2209" s="2" t="n">
        <v>3417489</v>
      </c>
      <c r="B2209" s="2" t="inlineStr">
        <is>
          <t>48</t>
        </is>
      </c>
      <c r="C2209" s="2" t="inlineStr">
        <is>
          <t>F</t>
        </is>
      </c>
      <c r="D2209" s="2" t="inlineStr">
        <is>
          <t>120.0</t>
        </is>
      </c>
      <c r="E2209" s="4">
        <f>HYPERLINK("./Results/DLO\954\Osteo_Sarco_1.png","RPT")</f>
        <v/>
      </c>
      <c r="F2209" s="2" t="n">
        <v>103</v>
      </c>
      <c r="G2209" s="6" t="n">
        <v>10</v>
      </c>
      <c r="I2209" s="0" t="n"/>
      <c r="J2209" s="0" t="n"/>
      <c r="K2209" s="0" t="n"/>
      <c r="L2209" t="inlineStr">
        <is>
          <t>LightSpeed VCT</t>
        </is>
      </c>
      <c r="M2209" t="inlineStr">
        <is>
          <t>HVP 55sec 3mm</t>
        </is>
      </c>
    </row>
    <row r="2210">
      <c r="A2210" s="2" t="n">
        <v>3960247</v>
      </c>
      <c r="B2210" s="2" t="inlineStr">
        <is>
          <t>60</t>
        </is>
      </c>
      <c r="C2210" s="2" t="inlineStr">
        <is>
          <t>F</t>
        </is>
      </c>
      <c r="D2210" s="2" t="inlineStr">
        <is>
          <t>120.0</t>
        </is>
      </c>
      <c r="E2210" s="4">
        <f>HYPERLINK("./Results/DLO\955\Osteo_Sarco_1.png","RPT")</f>
        <v/>
      </c>
      <c r="F2210" s="2" t="n">
        <v>106</v>
      </c>
      <c r="G2210" s="6" t="n">
        <v>13</v>
      </c>
      <c r="I2210" s="0" t="n"/>
      <c r="J2210" s="0" t="n"/>
      <c r="K2210" s="0" t="n"/>
      <c r="L2210" t="inlineStr">
        <is>
          <t>iCT 256</t>
        </is>
      </c>
      <c r="M2210" t="inlineStr">
        <is>
          <t>Pre 3/3mm, iDose (3)</t>
        </is>
      </c>
    </row>
    <row r="2211">
      <c r="A2211" s="2" t="n">
        <v>4836796</v>
      </c>
      <c r="B2211" s="2" t="inlineStr">
        <is>
          <t>71</t>
        </is>
      </c>
      <c r="C2211" s="2" t="inlineStr">
        <is>
          <t>M</t>
        </is>
      </c>
      <c r="D2211" s="2" t="inlineStr">
        <is>
          <t>100.0</t>
        </is>
      </c>
      <c r="E2211" s="4">
        <f>HYPERLINK("./Results/DLO\956\Osteo_Sarco_1.png","RPT")</f>
        <v/>
      </c>
      <c r="F2211" s="2" t="n">
        <v>143</v>
      </c>
      <c r="G2211" s="6" t="n">
        <v>7</v>
      </c>
      <c r="I2211" s="0" t="n"/>
      <c r="J2211" s="0" t="n"/>
      <c r="K2211" s="0" t="n"/>
      <c r="L2211" t="inlineStr">
        <is>
          <t>LightSpeed VCT</t>
        </is>
      </c>
      <c r="M2211" t="inlineStr">
        <is>
          <t>PRE</t>
        </is>
      </c>
    </row>
    <row r="2212">
      <c r="A2212" s="2" t="n">
        <v>2006903</v>
      </c>
      <c r="B2212" s="2" t="inlineStr">
        <is>
          <t>55</t>
        </is>
      </c>
      <c r="C2212" s="2" t="inlineStr">
        <is>
          <t>M</t>
        </is>
      </c>
      <c r="D2212" s="2" t="inlineStr">
        <is>
          <t>100.0</t>
        </is>
      </c>
      <c r="E2212" s="4">
        <f>HYPERLINK("./Results/DLO\957\Osteo_Sarco_1.png","RPT")</f>
        <v/>
      </c>
      <c r="F2212" s="2" t="n">
        <v>150</v>
      </c>
      <c r="G2212" s="6" t="n">
        <v>9</v>
      </c>
      <c r="H2212" t="n">
        <v>27.16</v>
      </c>
      <c r="L2212" t="inlineStr">
        <is>
          <t>Discovery CT750 HD</t>
        </is>
      </c>
      <c r="M2212" t="inlineStr">
        <is>
          <t>NP 2.5mm(ASIR30%)</t>
        </is>
      </c>
    </row>
    <row r="2213">
      <c r="A2213" s="2" t="n">
        <v>2850370</v>
      </c>
      <c r="B2213" s="2" t="inlineStr">
        <is>
          <t>57</t>
        </is>
      </c>
      <c r="C2213" s="2" t="inlineStr">
        <is>
          <t>M</t>
        </is>
      </c>
      <c r="D2213" s="2" t="inlineStr">
        <is>
          <t>130.0</t>
        </is>
      </c>
      <c r="E2213" s="4">
        <f>HYPERLINK("./Results/DLO\958\Osteo_Sarco_1.png","RPT")</f>
        <v/>
      </c>
      <c r="F2213" s="2" t="n">
        <v>217</v>
      </c>
      <c r="G2213" s="6" t="n">
        <v>16</v>
      </c>
      <c r="H2213" t="n">
        <v>31.14</v>
      </c>
      <c r="L2213" t="inlineStr">
        <is>
          <t>Emotion 6</t>
        </is>
      </c>
      <c r="M2213" t="inlineStr">
        <is>
          <t>Abd Pre 4.0 B31s</t>
        </is>
      </c>
    </row>
    <row r="2214">
      <c r="A2214" s="2" t="n">
        <v>3127419</v>
      </c>
      <c r="B2214" s="2" t="inlineStr">
        <is>
          <t>32</t>
        </is>
      </c>
      <c r="C2214" s="2" t="inlineStr">
        <is>
          <t>F</t>
        </is>
      </c>
      <c r="D2214" s="2" t="inlineStr">
        <is>
          <t>100.0</t>
        </is>
      </c>
      <c r="E2214" s="4">
        <f>HYPERLINK("./Results/DLO\959\Osteo_Sarco_1.png","RPT")</f>
        <v/>
      </c>
      <c r="F2214" s="2" t="n">
        <v>125</v>
      </c>
      <c r="G2214" s="6" t="n">
        <v>14</v>
      </c>
      <c r="I2214" s="0" t="n"/>
      <c r="J2214" s="0" t="n"/>
      <c r="K2214" s="0" t="n"/>
      <c r="L2214" t="inlineStr">
        <is>
          <t>iCT 256</t>
        </is>
      </c>
      <c r="M2214" t="inlineStr">
        <is>
          <t>Pre3/3mm_I-3, iDose (3)</t>
        </is>
      </c>
    </row>
    <row r="2215">
      <c r="A2215" s="2" t="n">
        <v>2025858</v>
      </c>
      <c r="B2215" s="2" t="inlineStr">
        <is>
          <t>79</t>
        </is>
      </c>
      <c r="C2215" s="2" t="inlineStr">
        <is>
          <t>F</t>
        </is>
      </c>
      <c r="D2215" s="2" t="inlineStr">
        <is>
          <t>100.0</t>
        </is>
      </c>
      <c r="E2215" s="4">
        <f>HYPERLINK("./Results/DLO\96\Osteo_Sarco_1.png","RPT")</f>
        <v/>
      </c>
      <c r="F2215" s="2" t="n">
        <v>109</v>
      </c>
      <c r="G2215" s="6" t="n">
        <v>16</v>
      </c>
      <c r="I2215" s="0" t="n"/>
      <c r="J2215" s="0" t="n"/>
      <c r="K2215" s="0" t="n"/>
      <c r="L2215" t="inlineStr">
        <is>
          <t>iCT 256</t>
        </is>
      </c>
      <c r="M2215" t="inlineStr">
        <is>
          <t>HVP 3/3mm, iDose (3)</t>
        </is>
      </c>
    </row>
    <row r="2216">
      <c r="A2216" s="2" t="n">
        <v>3976197</v>
      </c>
      <c r="B2216" s="2" t="inlineStr">
        <is>
          <t>52</t>
        </is>
      </c>
      <c r="C2216" s="2" t="inlineStr">
        <is>
          <t>M</t>
        </is>
      </c>
      <c r="D2216" s="2" t="inlineStr">
        <is>
          <t>100.0</t>
        </is>
      </c>
      <c r="E2216" s="4">
        <f>HYPERLINK("./Results/DLO\960\Osteo_Sarco_1.png","RPT")</f>
        <v/>
      </c>
      <c r="F2216" s="2" t="n">
        <v>167</v>
      </c>
      <c r="G2216" s="6" t="n">
        <v>9</v>
      </c>
      <c r="H2216" t="n">
        <v>25.62</v>
      </c>
      <c r="L2216" t="inlineStr">
        <is>
          <t>SOMATOM Definition...</t>
        </is>
      </c>
      <c r="M2216" t="inlineStr">
        <is>
          <t>Pre 3mm</t>
        </is>
      </c>
    </row>
    <row r="2217">
      <c r="A2217" s="2" t="n">
        <v>4446091</v>
      </c>
      <c r="B2217" s="2" t="inlineStr">
        <is>
          <t>63</t>
        </is>
      </c>
      <c r="C2217" s="2" t="inlineStr">
        <is>
          <t>F</t>
        </is>
      </c>
      <c r="D2217" s="2" t="inlineStr">
        <is>
          <t>100.0</t>
        </is>
      </c>
      <c r="E2217" s="4">
        <f>HYPERLINK("./Results/DLO\961\Osteo_Sarco_1.png","RPT")</f>
        <v/>
      </c>
      <c r="F2217" s="2" t="n">
        <v>99</v>
      </c>
      <c r="G2217" s="6" t="n">
        <v>6</v>
      </c>
      <c r="I2217" s="0" t="n"/>
      <c r="J2217" s="0" t="n"/>
      <c r="K2217" s="0" t="n"/>
      <c r="L2217" t="inlineStr">
        <is>
          <t>Revolution EVO</t>
        </is>
      </c>
      <c r="M2217" t="inlineStr">
        <is>
          <t>PRE</t>
        </is>
      </c>
    </row>
    <row r="2218">
      <c r="A2218" s="2" t="n">
        <v>1931863</v>
      </c>
      <c r="B2218" s="2" t="inlineStr">
        <is>
          <t>59</t>
        </is>
      </c>
      <c r="C2218" s="2" t="inlineStr">
        <is>
          <t>F</t>
        </is>
      </c>
      <c r="D2218" s="2" t="inlineStr">
        <is>
          <t>120.0</t>
        </is>
      </c>
      <c r="E2218" s="4">
        <f>HYPERLINK("./Results/DLO\962\Osteo_Sarco_1.png","RPT")</f>
        <v/>
      </c>
      <c r="F2218" s="2" t="n">
        <v>101</v>
      </c>
      <c r="G2218" s="6" t="n">
        <v>6</v>
      </c>
      <c r="I2218" s="0" t="n"/>
      <c r="J2218" s="0" t="n"/>
      <c r="K2218" s="0" t="n"/>
      <c r="L2218" t="inlineStr">
        <is>
          <t>iCT 256</t>
        </is>
      </c>
      <c r="M2218" t="inlineStr">
        <is>
          <t>HVP 3/3mm, iDose (3)</t>
        </is>
      </c>
    </row>
    <row r="2219">
      <c r="A2219" s="2" t="n">
        <v>2495166</v>
      </c>
      <c r="B2219" s="2" t="inlineStr">
        <is>
          <t>65</t>
        </is>
      </c>
      <c r="C2219" s="2" t="inlineStr">
        <is>
          <t>F</t>
        </is>
      </c>
      <c r="D2219" s="2" t="inlineStr">
        <is>
          <t>120.0</t>
        </is>
      </c>
      <c r="E2219" s="4">
        <f>HYPERLINK("./Results/DLO\963\Osteo_Sarco_1.png","RPT")</f>
        <v/>
      </c>
      <c r="F2219" s="2" t="n">
        <v>96</v>
      </c>
      <c r="G2219" s="6" t="n">
        <v>7</v>
      </c>
      <c r="I2219" s="0" t="n"/>
      <c r="J2219" s="0" t="n"/>
      <c r="K2219" s="0" t="n"/>
      <c r="L2219" t="inlineStr">
        <is>
          <t>LightSpeed VCT</t>
        </is>
      </c>
      <c r="M2219" t="inlineStr">
        <is>
          <t>HVP 55sec 3mm</t>
        </is>
      </c>
    </row>
    <row r="2220">
      <c r="A2220" s="2" t="n">
        <v>3580995</v>
      </c>
      <c r="B2220" s="2" t="inlineStr">
        <is>
          <t>25</t>
        </is>
      </c>
      <c r="C2220" s="2" t="inlineStr">
        <is>
          <t>F</t>
        </is>
      </c>
      <c r="D2220" s="2" t="inlineStr">
        <is>
          <t>120.0</t>
        </is>
      </c>
      <c r="E2220" s="4">
        <f>HYPERLINK("./Results/DLO\964\Osteo_Sarco_1.png","RPT")</f>
        <v/>
      </c>
      <c r="F2220" s="2" t="n">
        <v>140</v>
      </c>
      <c r="G2220" s="6" t="n">
        <v>13</v>
      </c>
      <c r="H2220" t="n">
        <v>34.91</v>
      </c>
      <c r="L2220" t="inlineStr">
        <is>
          <t>LightSpeed VCT</t>
        </is>
      </c>
      <c r="M2220" t="inlineStr">
        <is>
          <t>LAP 18sec 3mm</t>
        </is>
      </c>
    </row>
    <row r="2221">
      <c r="A2221" s="2" t="n">
        <v>3553799</v>
      </c>
      <c r="B2221" s="2" t="inlineStr">
        <is>
          <t>62</t>
        </is>
      </c>
      <c r="C2221" s="2" t="inlineStr">
        <is>
          <t>F</t>
        </is>
      </c>
      <c r="D2221" s="2" t="inlineStr">
        <is>
          <t>100.0</t>
        </is>
      </c>
      <c r="E2221" s="4">
        <f>HYPERLINK("./Results/DLO\965\Osteo_Sarco_1.png","RPT")</f>
        <v/>
      </c>
      <c r="F2221" s="2" t="n">
        <v>93</v>
      </c>
      <c r="G2221" s="6" t="n">
        <v>10</v>
      </c>
      <c r="I2221" s="0" t="n"/>
      <c r="J2221" s="0" t="n"/>
      <c r="K2221" s="0" t="n"/>
      <c r="L2221" t="inlineStr">
        <is>
          <t>SOMATOM Definition...</t>
        </is>
      </c>
      <c r="M2221" t="inlineStr">
        <is>
          <t>HVP 2 3mm(47Kg/100ml/2.5ml/...</t>
        </is>
      </c>
    </row>
    <row r="2222">
      <c r="A2222" s="2" t="n">
        <v>2848236</v>
      </c>
      <c r="B2222" s="2" t="inlineStr">
        <is>
          <t>58</t>
        </is>
      </c>
      <c r="C2222" s="2" t="inlineStr">
        <is>
          <t>M</t>
        </is>
      </c>
      <c r="D2222" s="2" t="inlineStr">
        <is>
          <t>120.0</t>
        </is>
      </c>
      <c r="E2222" s="4">
        <f>HYPERLINK("./Results/DLO\966\Osteo_Sarco_1.png","RPT")</f>
        <v/>
      </c>
      <c r="F2222" s="2" t="n">
        <v>165</v>
      </c>
      <c r="G2222" s="6" t="n">
        <v>9</v>
      </c>
      <c r="I2222" s="0" t="n"/>
      <c r="J2222" s="0" t="n"/>
      <c r="K2222" s="0" t="n"/>
      <c r="L2222" t="inlineStr">
        <is>
          <t>LightSpeed VCT</t>
        </is>
      </c>
      <c r="M2222" t="inlineStr">
        <is>
          <t>HVP 55sec 3mm</t>
        </is>
      </c>
    </row>
    <row r="2223">
      <c r="A2223" s="2" t="n">
        <v>1660972</v>
      </c>
      <c r="B2223" s="2" t="inlineStr">
        <is>
          <t>47</t>
        </is>
      </c>
      <c r="C2223" s="2" t="inlineStr">
        <is>
          <t>M</t>
        </is>
      </c>
      <c r="D2223" s="2" t="inlineStr">
        <is>
          <t>100.0</t>
        </is>
      </c>
      <c r="E2223" s="4">
        <f>HYPERLINK("./Results/DLO\967\Osteo_Sarco_1.png","RPT")</f>
        <v/>
      </c>
      <c r="F2223" s="2" t="n">
        <v>132</v>
      </c>
      <c r="G2223" s="6" t="n">
        <v>12</v>
      </c>
      <c r="I2223" s="0" t="n"/>
      <c r="J2223" s="0" t="n"/>
      <c r="K2223" s="0" t="n"/>
      <c r="L2223" t="inlineStr">
        <is>
          <t>Revolution EVO</t>
        </is>
      </c>
      <c r="M2223" t="inlineStr">
        <is>
          <t>Abdomen Pre 2.5mm</t>
        </is>
      </c>
    </row>
    <row r="2224">
      <c r="A2224" s="2" t="n">
        <v>3024220</v>
      </c>
      <c r="B2224" s="2" t="inlineStr">
        <is>
          <t>65</t>
        </is>
      </c>
      <c r="C2224" s="2" t="inlineStr">
        <is>
          <t>M</t>
        </is>
      </c>
      <c r="D2224" s="2" t="inlineStr">
        <is>
          <t>100.0</t>
        </is>
      </c>
      <c r="E2224" s="4">
        <f>HYPERLINK("./Results/DLO\968\Osteo_Sarco_1.png","RPT")</f>
        <v/>
      </c>
      <c r="F2224" s="2" t="n">
        <v>144</v>
      </c>
      <c r="G2224" s="6" t="n">
        <v>9</v>
      </c>
      <c r="I2224" s="0" t="n"/>
      <c r="J2224" s="0" t="n"/>
      <c r="K2224" s="0" t="n"/>
      <c r="L2224" t="inlineStr">
        <is>
          <t>SOMATOM Definition...</t>
        </is>
      </c>
      <c r="M2224" t="inlineStr">
        <is>
          <t>Pre 3mm</t>
        </is>
      </c>
    </row>
    <row r="2225">
      <c r="A2225" s="2" t="n">
        <v>1798849</v>
      </c>
      <c r="B2225" s="2" t="inlineStr">
        <is>
          <t>60</t>
        </is>
      </c>
      <c r="C2225" s="2" t="inlineStr">
        <is>
          <t>F</t>
        </is>
      </c>
      <c r="D2225" s="2" t="inlineStr">
        <is>
          <t>100.0</t>
        </is>
      </c>
      <c r="E2225" s="4">
        <f>HYPERLINK("./Results/DLO\969\Osteo_Sarco_1.png","RPT")</f>
        <v/>
      </c>
      <c r="F2225" s="2" t="n">
        <v>134</v>
      </c>
      <c r="G2225" s="6" t="n">
        <v>19</v>
      </c>
      <c r="H2225" t="n">
        <v>23.87</v>
      </c>
      <c r="L2225" t="inlineStr">
        <is>
          <t>SOMATOM Definition...</t>
        </is>
      </c>
      <c r="M2225" t="inlineStr">
        <is>
          <t>Pre 3mm</t>
        </is>
      </c>
    </row>
    <row r="2226">
      <c r="A2226" s="2" t="n">
        <v>4894396</v>
      </c>
      <c r="B2226" s="2" t="inlineStr">
        <is>
          <t>35</t>
        </is>
      </c>
      <c r="C2226" s="2" t="inlineStr">
        <is>
          <t>F</t>
        </is>
      </c>
      <c r="D2226" s="2" t="inlineStr">
        <is>
          <t>100.0</t>
        </is>
      </c>
      <c r="E2226" s="4">
        <f>HYPERLINK("./Results/DLO\97\Osteo_Sarco_1.png","RPT")</f>
        <v/>
      </c>
      <c r="F2226" s="2" t="n">
        <v>90</v>
      </c>
      <c r="G2226" s="6" t="n">
        <v>4</v>
      </c>
      <c r="I2226" s="0" t="n"/>
      <c r="J2226" s="0" t="n"/>
      <c r="K2226" s="0" t="n"/>
      <c r="L2226" t="inlineStr">
        <is>
          <t>SOMATOM Definition...</t>
        </is>
      </c>
      <c r="M2226" t="inlineStr">
        <is>
          <t>HVP 2 3mm(44Kg/88ml/3ml/radi)</t>
        </is>
      </c>
    </row>
    <row r="2227">
      <c r="A2227" s="2" t="n">
        <v>3825074</v>
      </c>
      <c r="B2227" s="2" t="inlineStr">
        <is>
          <t>49</t>
        </is>
      </c>
      <c r="C2227" s="2" t="inlineStr">
        <is>
          <t>F</t>
        </is>
      </c>
      <c r="D2227" s="2" t="inlineStr">
        <is>
          <t>100.0</t>
        </is>
      </c>
      <c r="E2227" s="4">
        <f>HYPERLINK("./Results/DLO\970\Osteo_Sarco_1.png","RPT")</f>
        <v/>
      </c>
      <c r="F2227" s="2" t="n">
        <v>126</v>
      </c>
      <c r="G2227" s="6" t="n">
        <v>11</v>
      </c>
      <c r="H2227" t="n">
        <v>27.02</v>
      </c>
      <c r="L2227" t="inlineStr">
        <is>
          <t>LightSpeed VCT</t>
        </is>
      </c>
      <c r="M2227" t="inlineStr">
        <is>
          <t>PRE 2,5mm</t>
        </is>
      </c>
    </row>
    <row r="2228">
      <c r="A2228" s="2" t="n">
        <v>3771284</v>
      </c>
      <c r="B2228" s="2" t="inlineStr">
        <is>
          <t>64</t>
        </is>
      </c>
      <c r="C2228" s="2" t="inlineStr">
        <is>
          <t>M</t>
        </is>
      </c>
      <c r="D2228" s="2" t="inlineStr">
        <is>
          <t>120.0</t>
        </is>
      </c>
      <c r="E2228" s="4">
        <f>HYPERLINK("./Results/DLO\971\Osteo_Sarco_1.png","RPT")</f>
        <v/>
      </c>
      <c r="F2228" s="2" t="n">
        <v>115</v>
      </c>
      <c r="G2228" s="6" t="n">
        <v>6</v>
      </c>
      <c r="I2228" s="0" t="n"/>
      <c r="J2228" s="0" t="n"/>
      <c r="K2228" s="0" t="n"/>
      <c r="L2228" t="inlineStr">
        <is>
          <t>Discovery CT750 HD</t>
        </is>
      </c>
      <c r="M2228" t="inlineStr">
        <is>
          <t>LAP 3mm</t>
        </is>
      </c>
    </row>
    <row r="2229">
      <c r="A2229" s="2" t="n">
        <v>1808123</v>
      </c>
      <c r="B2229" s="2" t="inlineStr">
        <is>
          <t>50</t>
        </is>
      </c>
      <c r="C2229" s="2" t="inlineStr">
        <is>
          <t>M</t>
        </is>
      </c>
      <c r="D2229" s="2" t="inlineStr">
        <is>
          <t>120.0</t>
        </is>
      </c>
      <c r="E2229" s="4">
        <f>HYPERLINK("./Results/DLO\972\Osteo_Sarco_1.png","RPT")</f>
        <v/>
      </c>
      <c r="F2229" s="2" t="n">
        <v>136</v>
      </c>
      <c r="G2229" s="6" t="n">
        <v>6</v>
      </c>
      <c r="I2229" s="0" t="n"/>
      <c r="J2229" s="0" t="n"/>
      <c r="K2229" s="0" t="n"/>
      <c r="L2229" t="inlineStr">
        <is>
          <t>LightSpeed VCT</t>
        </is>
      </c>
      <c r="M2229" t="inlineStr">
        <is>
          <t>post contrast</t>
        </is>
      </c>
    </row>
    <row r="2230">
      <c r="A2230" s="2" t="n">
        <v>4884743</v>
      </c>
      <c r="B2230" s="2" t="inlineStr">
        <is>
          <t>36</t>
        </is>
      </c>
      <c r="C2230" s="2" t="inlineStr">
        <is>
          <t>F</t>
        </is>
      </c>
      <c r="D2230" s="2" t="inlineStr">
        <is>
          <t>120.0</t>
        </is>
      </c>
      <c r="E2230" s="4">
        <f>HYPERLINK("./Results/DLO\973\Osteo_Sarco_1.png","RPT")</f>
        <v/>
      </c>
      <c r="F2230" s="2" t="n">
        <v>131</v>
      </c>
      <c r="G2230" s="6" t="n">
        <v>4</v>
      </c>
      <c r="I2230" s="0" t="n"/>
      <c r="J2230" s="0" t="n"/>
      <c r="K2230" s="0" t="n"/>
      <c r="L2230" t="inlineStr">
        <is>
          <t>LightSpeed VCT</t>
        </is>
      </c>
      <c r="M2230" t="inlineStr">
        <is>
          <t>HVP 55sec 3mm</t>
        </is>
      </c>
    </row>
    <row r="2231">
      <c r="A2231" s="2" t="n">
        <v>3844103</v>
      </c>
      <c r="B2231" s="2" t="inlineStr">
        <is>
          <t>39</t>
        </is>
      </c>
      <c r="C2231" s="2" t="inlineStr">
        <is>
          <t>M</t>
        </is>
      </c>
      <c r="D2231" s="2" t="inlineStr">
        <is>
          <t>100.0</t>
        </is>
      </c>
      <c r="E2231" s="4">
        <f>HYPERLINK("./Results/DLO\974\Osteo_Sarco_1.png","RPT")</f>
        <v/>
      </c>
      <c r="F2231" s="2" t="n">
        <v>182</v>
      </c>
      <c r="G2231" s="6" t="n">
        <v>8</v>
      </c>
      <c r="I2231" s="0" t="n"/>
      <c r="J2231" s="0" t="n"/>
      <c r="K2231" s="0" t="n"/>
      <c r="L2231" t="inlineStr">
        <is>
          <t>SOMATOM Force</t>
        </is>
      </c>
      <c r="M2231" t="inlineStr">
        <is>
          <t>Pre 3.0 Br40 1</t>
        </is>
      </c>
    </row>
    <row r="2232">
      <c r="A2232" s="2" t="n">
        <v>4625102</v>
      </c>
      <c r="B2232" s="2" t="inlineStr">
        <is>
          <t>79</t>
        </is>
      </c>
      <c r="C2232" s="2" t="inlineStr">
        <is>
          <t>M</t>
        </is>
      </c>
      <c r="D2232" s="2" t="inlineStr">
        <is>
          <t>100.0</t>
        </is>
      </c>
      <c r="E2232" s="4">
        <f>HYPERLINK("./Results/DLO\975\Osteo_Sarco_1.png","RPT")</f>
        <v/>
      </c>
      <c r="F2232" s="2" t="n">
        <v>143</v>
      </c>
      <c r="G2232" s="6" t="n">
        <v>9</v>
      </c>
      <c r="I2232" s="0" t="n"/>
      <c r="J2232" s="0" t="n"/>
      <c r="K2232" s="0" t="n"/>
      <c r="L2232" t="inlineStr">
        <is>
          <t>SOMATOM Force</t>
        </is>
      </c>
      <c r="M2232" t="inlineStr">
        <is>
          <t>HVP 3.0 Br40 2 (64kg/128cc...</t>
        </is>
      </c>
    </row>
    <row r="2233">
      <c r="A2233" s="2" t="n">
        <v>2268387</v>
      </c>
      <c r="B2233" s="2" t="inlineStr">
        <is>
          <t>67</t>
        </is>
      </c>
      <c r="C2233" s="2" t="inlineStr">
        <is>
          <t>M</t>
        </is>
      </c>
      <c r="D2233" s="2" t="inlineStr">
        <is>
          <t>100.0</t>
        </is>
      </c>
      <c r="E2233" s="4">
        <f>HYPERLINK("./Results/DLO\976\Osteo_Sarco_1.png","RPT")</f>
        <v/>
      </c>
      <c r="F2233" s="2" t="n">
        <v>146</v>
      </c>
      <c r="G2233" s="6" t="n">
        <v>7</v>
      </c>
      <c r="I2233" s="0" t="n"/>
      <c r="J2233" s="0" t="n"/>
      <c r="K2233" s="0" t="n"/>
      <c r="L2233" t="inlineStr">
        <is>
          <t>SOMATOM Definition...</t>
        </is>
      </c>
      <c r="M2233" t="inlineStr">
        <is>
          <t>HVP 2 3mm (59kg/118cc/3cc/b...</t>
        </is>
      </c>
    </row>
    <row r="2234">
      <c r="A2234" s="2" t="n">
        <v>2863564</v>
      </c>
      <c r="B2234" s="2" t="inlineStr">
        <is>
          <t>59</t>
        </is>
      </c>
      <c r="C2234" s="2" t="inlineStr">
        <is>
          <t>F</t>
        </is>
      </c>
      <c r="D2234" s="2" t="inlineStr">
        <is>
          <t>100.0</t>
        </is>
      </c>
      <c r="E2234" s="4">
        <f>HYPERLINK("./Results/DLO\977\Osteo_Sarco_1.png","RPT")</f>
        <v/>
      </c>
      <c r="F2234" s="2" t="n">
        <v>98</v>
      </c>
      <c r="G2234" s="6" t="n">
        <v>9</v>
      </c>
      <c r="H2234" t="n">
        <v>22.96</v>
      </c>
      <c r="L2234" t="inlineStr">
        <is>
          <t>LightSpeed VCT</t>
        </is>
      </c>
      <c r="M2234" t="inlineStr">
        <is>
          <t>PRE 3mm</t>
        </is>
      </c>
    </row>
    <row r="2235">
      <c r="A2235" s="2" t="n">
        <v>4062058</v>
      </c>
      <c r="B2235" s="2" t="inlineStr">
        <is>
          <t>67</t>
        </is>
      </c>
      <c r="C2235" s="2" t="inlineStr">
        <is>
          <t>M</t>
        </is>
      </c>
      <c r="D2235" s="2" t="inlineStr">
        <is>
          <t>100.0</t>
        </is>
      </c>
      <c r="E2235" s="4">
        <f>HYPERLINK("./Results/DLO\978\Osteo_Sarco_1.png","RPT")</f>
        <v/>
      </c>
      <c r="F2235" s="2" t="n">
        <v>111</v>
      </c>
      <c r="G2235" s="6" t="n">
        <v>10</v>
      </c>
      <c r="I2235" s="0" t="n"/>
      <c r="J2235" s="0" t="n"/>
      <c r="K2235" s="0" t="n"/>
      <c r="L2235" t="inlineStr">
        <is>
          <t>SOMATOM Definition...</t>
        </is>
      </c>
      <c r="M2235" t="inlineStr">
        <is>
          <t>Pre 3mm</t>
        </is>
      </c>
    </row>
    <row r="2236">
      <c r="A2236" s="2" t="n">
        <v>4926565</v>
      </c>
      <c r="B2236" s="2" t="inlineStr">
        <is>
          <t>58</t>
        </is>
      </c>
      <c r="C2236" s="2" t="inlineStr">
        <is>
          <t>F</t>
        </is>
      </c>
      <c r="D2236" s="2" t="inlineStr">
        <is>
          <t>100.0</t>
        </is>
      </c>
      <c r="E2236" s="4">
        <f>HYPERLINK("./Results/DLO\979\Osteo_Sarco_1.png","RPT")</f>
        <v/>
      </c>
      <c r="F2236" s="2" t="n">
        <v>97</v>
      </c>
      <c r="G2236" s="6" t="n">
        <v>7</v>
      </c>
      <c r="I2236" s="0" t="n"/>
      <c r="J2236" s="0" t="n"/>
      <c r="K2236" s="0" t="n"/>
      <c r="L2236" t="inlineStr">
        <is>
          <t>SOMATOM Force</t>
        </is>
      </c>
      <c r="M2236" t="inlineStr">
        <is>
          <t>Pre 3.0 Br40 1</t>
        </is>
      </c>
    </row>
    <row r="2237">
      <c r="A2237" s="2" t="n">
        <v>4616425</v>
      </c>
      <c r="B2237" s="2" t="inlineStr">
        <is>
          <t>58</t>
        </is>
      </c>
      <c r="C2237" s="2" t="inlineStr">
        <is>
          <t>M</t>
        </is>
      </c>
      <c r="D2237" s="2" t="inlineStr">
        <is>
          <t>120.0</t>
        </is>
      </c>
      <c r="E2237" s="4">
        <f>HYPERLINK("./Results/DLO\98\Osteo_Sarco_1.png","RPT")</f>
        <v/>
      </c>
      <c r="F2237" s="2" t="n">
        <v>163</v>
      </c>
      <c r="G2237" s="6" t="n">
        <v>3</v>
      </c>
      <c r="I2237" s="0" t="n"/>
      <c r="J2237" s="0" t="n"/>
      <c r="K2237" s="0" t="n"/>
      <c r="L2237" t="inlineStr">
        <is>
          <t>LightSpeed VCT</t>
        </is>
      </c>
      <c r="M2237" t="inlineStr">
        <is>
          <t>LAP 18sec 3mm</t>
        </is>
      </c>
    </row>
    <row r="2238">
      <c r="A2238" s="2" t="n">
        <v>2834678</v>
      </c>
      <c r="B2238" s="2" t="inlineStr">
        <is>
          <t>36</t>
        </is>
      </c>
      <c r="C2238" s="2" t="inlineStr">
        <is>
          <t>M</t>
        </is>
      </c>
      <c r="D2238" s="2" t="inlineStr">
        <is>
          <t>100.0</t>
        </is>
      </c>
      <c r="E2238" s="4">
        <f>HYPERLINK("./Results/DLO\980\Osteo_Sarco_1.png","RPT")</f>
        <v/>
      </c>
      <c r="F2238" s="2" t="n">
        <v>146</v>
      </c>
      <c r="G2238" s="6" t="n">
        <v>8</v>
      </c>
      <c r="I2238" s="0" t="n"/>
      <c r="J2238" s="0" t="n"/>
      <c r="K2238" s="0" t="n"/>
      <c r="L2238" t="inlineStr">
        <is>
          <t>Revolution CT</t>
        </is>
      </c>
      <c r="M2238" t="inlineStr">
        <is>
          <t>Pre 3mm</t>
        </is>
      </c>
    </row>
    <row r="2239">
      <c r="A2239" s="2" t="n">
        <v>1987656</v>
      </c>
      <c r="B2239" s="2" t="inlineStr">
        <is>
          <t>48</t>
        </is>
      </c>
      <c r="C2239" s="2" t="inlineStr">
        <is>
          <t>F</t>
        </is>
      </c>
      <c r="D2239" s="2" t="inlineStr">
        <is>
          <t>100.0</t>
        </is>
      </c>
      <c r="E2239" s="4">
        <f>HYPERLINK("./Results/DLO\981\Osteo_Sarco_1.png","RPT")</f>
        <v/>
      </c>
      <c r="F2239" s="2" t="n">
        <v>96</v>
      </c>
      <c r="G2239" s="6" t="n">
        <v>16</v>
      </c>
      <c r="I2239" s="0" t="n"/>
      <c r="J2239" s="0" t="n"/>
      <c r="K2239" s="0" t="n"/>
      <c r="L2239" t="inlineStr">
        <is>
          <t>iCT 256</t>
        </is>
      </c>
      <c r="M2239" t="inlineStr">
        <is>
          <t>Pre3/3mm_I-3, iDose (3)</t>
        </is>
      </c>
    </row>
    <row r="2240">
      <c r="A2240" s="2" t="n">
        <v>1644355</v>
      </c>
      <c r="B2240" s="2" t="inlineStr">
        <is>
          <t>72</t>
        </is>
      </c>
      <c r="C2240" s="2" t="inlineStr">
        <is>
          <t>M</t>
        </is>
      </c>
      <c r="D2240" s="2" t="inlineStr">
        <is>
          <t>120.0</t>
        </is>
      </c>
      <c r="E2240" s="4">
        <f>HYPERLINK("./Results/DLO\982\Osteo_Sarco_1.png","RPT")</f>
        <v/>
      </c>
      <c r="F2240" s="2" t="n">
        <v>126</v>
      </c>
      <c r="G2240" s="6" t="n">
        <v>6</v>
      </c>
      <c r="I2240" s="0" t="n"/>
      <c r="J2240" s="0" t="n"/>
      <c r="K2240" s="0" t="n"/>
      <c r="L2240" t="inlineStr">
        <is>
          <t>Discovery CT750 HD</t>
        </is>
      </c>
      <c r="M2240" t="inlineStr">
        <is>
          <t>HVP 3mm</t>
        </is>
      </c>
    </row>
    <row r="2241">
      <c r="A2241" s="2" t="n">
        <v>4916346</v>
      </c>
      <c r="B2241" s="2" t="inlineStr">
        <is>
          <t>58</t>
        </is>
      </c>
      <c r="C2241" s="2" t="inlineStr">
        <is>
          <t>M</t>
        </is>
      </c>
      <c r="D2241" s="2" t="inlineStr">
        <is>
          <t>120.0</t>
        </is>
      </c>
      <c r="E2241" s="4">
        <f>HYPERLINK("./Results/DLO\983\Osteo_Sarco_1.png","RPT")</f>
        <v/>
      </c>
      <c r="F2241" s="2" t="n">
        <v>153</v>
      </c>
      <c r="G2241" s="6" t="n">
        <v>11</v>
      </c>
      <c r="I2241" s="0" t="n"/>
      <c r="J2241" s="0" t="n"/>
      <c r="K2241" s="0" t="n"/>
      <c r="L2241" t="inlineStr">
        <is>
          <t>SOMATOM Definition...</t>
        </is>
      </c>
      <c r="M2241" t="inlineStr">
        <is>
          <t>Non Abdomen 3mm</t>
        </is>
      </c>
    </row>
    <row r="2242">
      <c r="A2242" s="2" t="n">
        <v>4229413</v>
      </c>
      <c r="B2242" s="2" t="inlineStr">
        <is>
          <t>57</t>
        </is>
      </c>
      <c r="C2242" s="2" t="inlineStr">
        <is>
          <t>M</t>
        </is>
      </c>
      <c r="D2242" s="2" t="inlineStr">
        <is>
          <t>120.0</t>
        </is>
      </c>
      <c r="E2242" s="4">
        <f>HYPERLINK("./Results/DLO\984\Osteo_Sarco_1.png","RPT")</f>
        <v/>
      </c>
      <c r="F2242" s="2" t="n">
        <v>194</v>
      </c>
      <c r="G2242" s="6" t="n">
        <v>5</v>
      </c>
      <c r="I2242" s="0" t="n"/>
      <c r="J2242" s="0" t="n"/>
      <c r="K2242" s="0" t="n"/>
      <c r="L2242" t="inlineStr">
        <is>
          <t>Aquilion/LB</t>
        </is>
      </c>
      <c r="M2242" t="inlineStr">
        <is>
          <t>30 Body 3.0</t>
        </is>
      </c>
    </row>
    <row r="2243">
      <c r="A2243" s="2" t="n">
        <v>2016023</v>
      </c>
      <c r="B2243" s="2" t="inlineStr">
        <is>
          <t>85</t>
        </is>
      </c>
      <c r="C2243" s="2" t="inlineStr">
        <is>
          <t>M</t>
        </is>
      </c>
      <c r="D2243" s="2" t="inlineStr">
        <is>
          <t>110.0</t>
        </is>
      </c>
      <c r="E2243" s="4">
        <f>HYPERLINK("./Results/DLO\985\Osteo_Sarco_1.png","RPT")</f>
        <v/>
      </c>
      <c r="F2243" s="2" t="n">
        <v>118</v>
      </c>
      <c r="G2243" s="6" t="n">
        <v>5</v>
      </c>
      <c r="I2243" s="0" t="n"/>
      <c r="J2243" s="0" t="n"/>
      <c r="K2243" s="0" t="n"/>
      <c r="L2243" t="inlineStr">
        <is>
          <t>SOMATOM Force</t>
        </is>
      </c>
      <c r="M2243" t="inlineStr">
        <is>
          <t>Pre 3.0 Br40 2</t>
        </is>
      </c>
    </row>
    <row r="2244">
      <c r="A2244" s="2" t="n">
        <v>3875214</v>
      </c>
      <c r="B2244" s="2" t="inlineStr">
        <is>
          <t>55</t>
        </is>
      </c>
      <c r="C2244" s="2" t="inlineStr">
        <is>
          <t>F</t>
        </is>
      </c>
      <c r="D2244" s="2" t="inlineStr">
        <is>
          <t>100.0</t>
        </is>
      </c>
      <c r="E2244" s="4">
        <f>HYPERLINK("./Results/DLO\986\Osteo_Sarco_1.png","RPT")</f>
        <v/>
      </c>
      <c r="F2244" s="2" t="n">
        <v>104</v>
      </c>
      <c r="G2244" s="6" t="n">
        <v>12</v>
      </c>
      <c r="H2244" t="n">
        <v>26.06</v>
      </c>
      <c r="L2244" t="inlineStr">
        <is>
          <t>iCT 256</t>
        </is>
      </c>
      <c r="M2244" t="inlineStr">
        <is>
          <t>HVP 3/3mm, iDose (3)</t>
        </is>
      </c>
    </row>
    <row r="2245">
      <c r="A2245" s="2" t="n">
        <v>4111364</v>
      </c>
      <c r="B2245" s="2" t="inlineStr">
        <is>
          <t>73</t>
        </is>
      </c>
      <c r="C2245" s="2" t="inlineStr">
        <is>
          <t>F</t>
        </is>
      </c>
      <c r="D2245" s="2" t="inlineStr">
        <is>
          <t>120.0</t>
        </is>
      </c>
      <c r="E2245" s="4">
        <f>HYPERLINK("./Results/DLO\987\Osteo_Sarco_1.png","RPT")</f>
        <v/>
      </c>
      <c r="F2245" s="2" t="n">
        <v>109</v>
      </c>
      <c r="G2245" s="6" t="n">
        <v>12</v>
      </c>
      <c r="I2245" s="0" t="n"/>
      <c r="J2245" s="0" t="n"/>
      <c r="K2245" s="0" t="n"/>
      <c r="L2245" t="inlineStr">
        <is>
          <t>LightSpeed VCT</t>
        </is>
      </c>
      <c r="M2245" t="inlineStr">
        <is>
          <t>LAP 18sec 3mm</t>
        </is>
      </c>
    </row>
    <row r="2246">
      <c r="A2246" s="2" t="n">
        <v>2327448</v>
      </c>
      <c r="B2246" s="2" t="inlineStr">
        <is>
          <t>70</t>
        </is>
      </c>
      <c r="C2246" s="2" t="inlineStr">
        <is>
          <t>M</t>
        </is>
      </c>
      <c r="D2246" s="2" t="inlineStr">
        <is>
          <t>100.0</t>
        </is>
      </c>
      <c r="E2246" s="4">
        <f>HYPERLINK("./Results/DLO\988\Osteo_Sarco_1.png","RPT")</f>
        <v/>
      </c>
      <c r="F2246" s="2" t="n">
        <v>125</v>
      </c>
      <c r="G2246" s="6" t="n">
        <v>8</v>
      </c>
      <c r="I2246" s="0" t="n"/>
      <c r="J2246" s="0" t="n"/>
      <c r="K2246" s="0" t="n"/>
      <c r="L2246" t="inlineStr">
        <is>
          <t>Revolution CT</t>
        </is>
      </c>
      <c r="M2246" t="inlineStr">
        <is>
          <t>HVP 3mm-pacs(66kg/132cc/2.5cc...</t>
        </is>
      </c>
    </row>
    <row r="2247">
      <c r="A2247" s="2" t="n">
        <v>2681178</v>
      </c>
      <c r="B2247" s="2" t="inlineStr">
        <is>
          <t>62</t>
        </is>
      </c>
      <c r="C2247" s="2" t="inlineStr">
        <is>
          <t>F</t>
        </is>
      </c>
      <c r="D2247" s="2" t="inlineStr">
        <is>
          <t>120.0</t>
        </is>
      </c>
      <c r="E2247" s="4">
        <f>HYPERLINK("./Results/DLO\989\Osteo_Sarco_1.png","RPT")</f>
        <v/>
      </c>
      <c r="F2247" s="2" t="n">
        <v>86</v>
      </c>
      <c r="G2247" s="6" t="n">
        <v>9</v>
      </c>
      <c r="I2247" s="0" t="n"/>
      <c r="J2247" s="0" t="n"/>
      <c r="K2247" s="0" t="n"/>
      <c r="L2247" t="inlineStr">
        <is>
          <t>iCT 256</t>
        </is>
      </c>
      <c r="M2247" t="inlineStr">
        <is>
          <t>HVP 3/3mm, iDose (3)</t>
        </is>
      </c>
    </row>
    <row r="2248">
      <c r="A2248" s="2" t="n">
        <v>4958133</v>
      </c>
      <c r="B2248" s="2" t="inlineStr">
        <is>
          <t>60</t>
        </is>
      </c>
      <c r="C2248" s="2" t="inlineStr">
        <is>
          <t>F</t>
        </is>
      </c>
      <c r="D2248" s="2" t="inlineStr">
        <is>
          <t>100.0</t>
        </is>
      </c>
      <c r="E2248" s="4">
        <f>HYPERLINK("./Results/DLO\99\Osteo_Sarco_1.png","RPT")</f>
        <v/>
      </c>
      <c r="F2248" s="2" t="n">
        <v>99</v>
      </c>
      <c r="G2248" s="6" t="n">
        <v>6</v>
      </c>
      <c r="H2248" t="n">
        <v>23.51</v>
      </c>
      <c r="L2248" t="inlineStr">
        <is>
          <t>SOMATOM Force</t>
        </is>
      </c>
      <c r="M2248" t="inlineStr">
        <is>
          <t>Pre 3.0 Br32 1</t>
        </is>
      </c>
    </row>
    <row r="2249">
      <c r="A2249" s="2" t="n">
        <v>2732764</v>
      </c>
      <c r="B2249" s="2" t="inlineStr">
        <is>
          <t>34</t>
        </is>
      </c>
      <c r="C2249" s="2" t="inlineStr">
        <is>
          <t>F</t>
        </is>
      </c>
      <c r="D2249" s="2" t="inlineStr">
        <is>
          <t>100.0</t>
        </is>
      </c>
      <c r="E2249" s="4">
        <f>HYPERLINK("./Results/DLO\990\Osteo_Sarco_1.png","RPT")</f>
        <v/>
      </c>
      <c r="F2249" s="2" t="n">
        <v>104</v>
      </c>
      <c r="G2249" s="6" t="n">
        <v>10</v>
      </c>
      <c r="I2249" s="0" t="n"/>
      <c r="J2249" s="0" t="n"/>
      <c r="K2249" s="0" t="n"/>
      <c r="L2249" t="inlineStr">
        <is>
          <t>Revolution EVO</t>
        </is>
      </c>
      <c r="M2249" t="inlineStr">
        <is>
          <t>PRE</t>
        </is>
      </c>
    </row>
    <row r="2250">
      <c r="A2250" s="2" t="n">
        <v>2150605</v>
      </c>
      <c r="B2250" s="2" t="inlineStr">
        <is>
          <t>55</t>
        </is>
      </c>
      <c r="C2250" s="2" t="inlineStr">
        <is>
          <t>F</t>
        </is>
      </c>
      <c r="D2250" s="2" t="inlineStr">
        <is>
          <t>100.0</t>
        </is>
      </c>
      <c r="E2250" s="4">
        <f>HYPERLINK("./Results/DLO\991\Osteo_Sarco_1.png","RPT")</f>
        <v/>
      </c>
      <c r="F2250" s="2" t="n">
        <v>112</v>
      </c>
      <c r="G2250" s="6" t="n">
        <v>5</v>
      </c>
      <c r="I2250" s="0" t="n"/>
      <c r="J2250" s="0" t="n"/>
      <c r="K2250" s="0" t="n"/>
      <c r="L2250" t="inlineStr">
        <is>
          <t>Revolution CT</t>
        </is>
      </c>
      <c r="M2250" t="inlineStr">
        <is>
          <t>HVP 3mm-pacs(49kg/98cc/2.5cc/...</t>
        </is>
      </c>
    </row>
    <row r="2251">
      <c r="A2251" s="2" t="n">
        <v>2617732</v>
      </c>
      <c r="B2251" s="2" t="inlineStr">
        <is>
          <t>34</t>
        </is>
      </c>
      <c r="C2251" s="2" t="inlineStr">
        <is>
          <t>F</t>
        </is>
      </c>
      <c r="D2251" s="2" t="inlineStr">
        <is>
          <t>100.0</t>
        </is>
      </c>
      <c r="E2251" s="4">
        <f>HYPERLINK("./Results/DLO\992\Osteo_Sarco_1.png","RPT")</f>
        <v/>
      </c>
      <c r="F2251" s="2" t="n">
        <v>123</v>
      </c>
      <c r="G2251" s="6" t="n">
        <v>11</v>
      </c>
      <c r="I2251" s="0" t="n"/>
      <c r="J2251" s="0" t="n"/>
      <c r="K2251" s="0" t="n"/>
      <c r="L2251" t="inlineStr">
        <is>
          <t>Revolution EVO</t>
        </is>
      </c>
      <c r="M2251" t="inlineStr">
        <is>
          <t>PRE</t>
        </is>
      </c>
    </row>
    <row r="2252">
      <c r="A2252" s="2" t="n">
        <v>3306398</v>
      </c>
      <c r="B2252" s="2" t="inlineStr">
        <is>
          <t>66</t>
        </is>
      </c>
      <c r="C2252" s="2" t="inlineStr">
        <is>
          <t>M</t>
        </is>
      </c>
      <c r="D2252" s="2" t="inlineStr">
        <is>
          <t>100.0</t>
        </is>
      </c>
      <c r="E2252" s="4">
        <f>HYPERLINK("./Results/DLO\993\Osteo_Sarco_1.png","RPT")</f>
        <v/>
      </c>
      <c r="F2252" s="2" t="n">
        <v>157</v>
      </c>
      <c r="G2252" s="6" t="n">
        <v>9</v>
      </c>
      <c r="I2252" s="0" t="n"/>
      <c r="J2252" s="0" t="n"/>
      <c r="K2252" s="0" t="n"/>
      <c r="L2252" t="inlineStr">
        <is>
          <t>SOMATOM Force</t>
        </is>
      </c>
      <c r="M2252" t="inlineStr">
        <is>
          <t>Pre 3.0 Br40</t>
        </is>
      </c>
    </row>
    <row r="2253">
      <c r="A2253" s="2" t="n">
        <v>2232190</v>
      </c>
      <c r="B2253" s="2" t="inlineStr">
        <is>
          <t>51</t>
        </is>
      </c>
      <c r="C2253" s="2" t="inlineStr">
        <is>
          <t>M</t>
        </is>
      </c>
      <c r="D2253" s="2" t="inlineStr">
        <is>
          <t>100.0</t>
        </is>
      </c>
      <c r="E2253" s="4">
        <f>HYPERLINK("./Results/DLO\994\Osteo_Sarco_1.png","RPT")</f>
        <v/>
      </c>
      <c r="F2253" s="2" t="n">
        <v>132</v>
      </c>
      <c r="G2253" s="6" t="n">
        <v>7</v>
      </c>
      <c r="I2253" s="0" t="n"/>
      <c r="J2253" s="0" t="n"/>
      <c r="K2253" s="0" t="n"/>
      <c r="L2253" t="inlineStr">
        <is>
          <t>Discovery CT750 HD</t>
        </is>
      </c>
      <c r="M2253" t="inlineStr">
        <is>
          <t>CMP 2.5mm(ASIR30%)</t>
        </is>
      </c>
    </row>
    <row r="2254">
      <c r="A2254" s="2" t="n">
        <v>1651525</v>
      </c>
      <c r="B2254" s="2" t="inlineStr">
        <is>
          <t>56</t>
        </is>
      </c>
      <c r="C2254" s="2" t="inlineStr">
        <is>
          <t>M</t>
        </is>
      </c>
      <c r="D2254" s="2" t="inlineStr">
        <is>
          <t>100.0</t>
        </is>
      </c>
      <c r="E2254" s="4">
        <f>HYPERLINK("./Results/DLO\995\Osteo_Sarco_1.png","RPT")</f>
        <v/>
      </c>
      <c r="F2254" s="2" t="n">
        <v>186</v>
      </c>
      <c r="G2254" s="6" t="n">
        <v>9</v>
      </c>
      <c r="I2254" s="0" t="n"/>
      <c r="J2254" s="0" t="n"/>
      <c r="K2254" s="0" t="n"/>
      <c r="L2254" t="inlineStr">
        <is>
          <t>iCT 256</t>
        </is>
      </c>
      <c r="M2254" t="inlineStr">
        <is>
          <t>HVP 3/3mm, iDose (3)</t>
        </is>
      </c>
    </row>
    <row r="2255">
      <c r="A2255" s="2" t="n">
        <v>2973430</v>
      </c>
      <c r="B2255" s="2" t="inlineStr">
        <is>
          <t>76</t>
        </is>
      </c>
      <c r="C2255" s="2" t="inlineStr">
        <is>
          <t>F</t>
        </is>
      </c>
      <c r="D2255" s="2" t="inlineStr">
        <is>
          <t>120.0</t>
        </is>
      </c>
      <c r="E2255" s="4">
        <f>HYPERLINK("./Results/DLO\996\Osteo_Sarco_1.png","RPT")</f>
        <v/>
      </c>
      <c r="F2255" s="2" t="n">
        <v>102</v>
      </c>
      <c r="G2255" s="6" t="n">
        <v>16</v>
      </c>
      <c r="I2255" s="0" t="n"/>
      <c r="J2255" s="0" t="n"/>
      <c r="K2255" s="0" t="n"/>
      <c r="L2255" t="inlineStr">
        <is>
          <t>LightSpeed VCT</t>
        </is>
      </c>
      <c r="M2255" t="inlineStr">
        <is>
          <t>HVP 55sec 3mm</t>
        </is>
      </c>
    </row>
    <row r="2256">
      <c r="A2256" s="2" t="n">
        <v>3225599</v>
      </c>
      <c r="B2256" s="2" t="inlineStr">
        <is>
          <t>48</t>
        </is>
      </c>
      <c r="C2256" s="2" t="inlineStr">
        <is>
          <t>M</t>
        </is>
      </c>
      <c r="D2256" s="2" t="inlineStr">
        <is>
          <t>120.0</t>
        </is>
      </c>
      <c r="E2256" s="4">
        <f>HYPERLINK("./Results/DLO\997\Osteo_Sarco_1.png","RPT")</f>
        <v/>
      </c>
      <c r="F2256" s="2" t="n">
        <v>183</v>
      </c>
      <c r="G2256" s="6" t="n">
        <v>4</v>
      </c>
      <c r="I2256" s="0" t="n"/>
      <c r="J2256" s="0" t="n"/>
      <c r="K2256" s="0" t="n"/>
      <c r="L2256" t="inlineStr">
        <is>
          <t>Revolution EVO</t>
        </is>
      </c>
      <c r="M2256" t="inlineStr">
        <is>
          <t>HVP 3mm</t>
        </is>
      </c>
    </row>
    <row r="2257">
      <c r="A2257" s="2" t="n">
        <v>4439971</v>
      </c>
      <c r="B2257" s="2" t="inlineStr">
        <is>
          <t>64</t>
        </is>
      </c>
      <c r="C2257" s="2" t="inlineStr">
        <is>
          <t>F</t>
        </is>
      </c>
      <c r="D2257" s="2" t="inlineStr">
        <is>
          <t>100.0</t>
        </is>
      </c>
      <c r="E2257" s="4">
        <f>HYPERLINK("./Results/DLO\998\Osteo_Sarco_1.png","RPT")</f>
        <v/>
      </c>
      <c r="F2257" s="2" t="n">
        <v>120</v>
      </c>
      <c r="G2257" s="6" t="n">
        <v>7</v>
      </c>
      <c r="I2257" s="0" t="n"/>
      <c r="J2257" s="0" t="n"/>
      <c r="K2257" s="0" t="n"/>
      <c r="L2257" t="inlineStr">
        <is>
          <t>SOMATOM Definition...</t>
        </is>
      </c>
      <c r="M2257" t="inlineStr">
        <is>
          <t>Pre 3mm</t>
        </is>
      </c>
    </row>
    <row r="2258">
      <c r="A2258" s="2" t="n">
        <v>4815349</v>
      </c>
      <c r="B2258" s="2" t="inlineStr">
        <is>
          <t>42</t>
        </is>
      </c>
      <c r="C2258" s="2" t="inlineStr">
        <is>
          <t>F</t>
        </is>
      </c>
      <c r="D2258" s="2" t="inlineStr">
        <is>
          <t>100.0</t>
        </is>
      </c>
      <c r="E2258" s="4">
        <f>HYPERLINK("./Results/DLO\999\Osteo_Sarco_1.png","RPT")</f>
        <v/>
      </c>
      <c r="F2258" s="2" t="n">
        <v>113</v>
      </c>
      <c r="G2258" s="6" t="n">
        <v>6</v>
      </c>
      <c r="I2258" s="0" t="n"/>
      <c r="J2258" s="0" t="n"/>
      <c r="K2258" s="0" t="n"/>
      <c r="L2258" t="inlineStr">
        <is>
          <t>Revolution CT</t>
        </is>
      </c>
      <c r="M2258" t="inlineStr">
        <is>
          <t>HVP 3mm-pacs(49kg/98cc/3cc/xene)</t>
        </is>
      </c>
    </row>
  </sheetData>
  <autoFilter ref="A1:H3163"/>
  <pageMargins left="0.75" right="0.75" top="1" bottom="1" header="0.5" footer="0.5"/>
  <pageSetup orientation="portrait" paperSize="9" fitToHeight="0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2026-01-08T05:15:11Z</dcterms:created>
  <dcterms:modified xmlns:dcterms="http://purl.org/dc/terms/" xmlns:xsi="http://www.w3.org/2001/XMLSchema-instance" xsi:type="dcterms:W3CDTF">2026-06-19T10:26:14Z</dcterms:modified>
  <cp:lastModifiedBy>전장훈</cp:lastModifiedBy>
  <cp:version>1000.0100.01</cp:version>
  <cp:revision>1</cp:revision>
</cp:coreProperties>
</file>