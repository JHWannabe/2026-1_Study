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2130" yWindow="3645" windowWidth="24075" windowHeight="1129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'Sheet1'!$A$1:$H$2374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color rgb="FF000000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FF"/>
      <sz val="11"/>
      <u val="single"/>
    </font>
    <font>
      <name val="돋움"/>
      <charset val="129"/>
      <family val="3"/>
      <sz val="8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 val="1"/>
      </font>
    </dxf>
    <dxf>
      <font>
        <b val="1"/>
      </font>
    </dxf>
    <dxf>
      <font>
        <b val="1"/>
      </font>
      <border>
        <top style="thin">
          <color rgb="FF6182D6"/>
        </top>
      </border>
    </dxf>
    <dxf>
      <font>
        <b val="1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M1211"/>
  <sheetViews>
    <sheetView tabSelected="1" zoomScaleNormal="100" zoomScaleSheetLayoutView="75" workbookViewId="0">
      <pane ySplit="1" topLeftCell="A2" activePane="bottomLeft" state="frozen"/>
      <selection pane="bottomLeft" activeCell="G3" sqref="G3"/>
    </sheetView>
  </sheetViews>
  <sheetFormatPr baseColWidth="8" defaultColWidth="8.875" defaultRowHeight="16.5"/>
  <cols>
    <col width="13.625" customWidth="1" style="1" min="1" max="3"/>
    <col width="13.625" customWidth="1" style="1" min="5" max="7"/>
    <col width="10.5" customWidth="1" style="1" min="9" max="11"/>
  </cols>
  <sheetData>
    <row r="1">
      <c r="A1" s="5" t="inlineStr">
        <is>
          <t>PatientID</t>
        </is>
      </c>
      <c r="B1" s="5" t="inlineStr">
        <is>
          <t>PatientAge</t>
        </is>
      </c>
      <c r="C1" s="5" t="inlineStr">
        <is>
          <t>PatientSex</t>
        </is>
      </c>
      <c r="D1" s="5" t="inlineStr">
        <is>
          <t>kVp</t>
        </is>
      </c>
      <c r="E1" s="5" t="inlineStr">
        <is>
          <t>SRC_Report</t>
        </is>
      </c>
      <c r="F1" s="5" t="inlineStr">
        <is>
          <t>TAMA</t>
        </is>
      </c>
      <c r="G1" s="5" t="inlineStr">
        <is>
          <t>IMATA</t>
        </is>
      </c>
      <c r="H1" s="5" t="inlineStr">
        <is>
          <t>BMI</t>
        </is>
      </c>
      <c r="I1" s="0" t="inlineStr">
        <is>
          <t>ManufacturerModelName</t>
        </is>
      </c>
      <c r="J1" s="0" t="inlineStr">
        <is>
          <t>SeriesDescription</t>
        </is>
      </c>
      <c r="K1" t="inlineStr">
        <is>
          <t>Height</t>
        </is>
      </c>
      <c r="L1" t="inlineStr">
        <is>
          <t>Weight</t>
        </is>
      </c>
      <c r="M1" t="inlineStr">
        <is>
          <t>SMI</t>
        </is>
      </c>
    </row>
    <row r="2">
      <c r="A2" s="2" t="n">
        <v>8880464</v>
      </c>
      <c r="B2" s="2" t="n">
        <v>14</v>
      </c>
      <c r="C2" s="2" t="inlineStr">
        <is>
          <t>F</t>
        </is>
      </c>
      <c r="D2" s="2" t="n">
        <v>100</v>
      </c>
      <c r="E2" s="4">
        <f>HYPERLINK("./Results/DLO\20190501_1.3.12.2.1107.5.1.4.65253.30000019051319530377800254444_2_512_512_\Osteo_Sarco_1.png","RPT")</f>
        <v/>
      </c>
      <c r="F2" s="3" t="n">
        <v>100</v>
      </c>
      <c r="G2" s="3" t="n">
        <v>3</v>
      </c>
      <c r="H2" s="7" t="n">
        <v>20.77</v>
      </c>
      <c r="I2" s="0" t="inlineStr">
        <is>
          <t>SOMATOM Definition AS</t>
        </is>
      </c>
      <c r="J2" s="0" t="inlineStr">
        <is>
          <t>With Contrast 3.0 B30f</t>
        </is>
      </c>
      <c r="K2" t="n">
        <v>157</v>
      </c>
      <c r="L2" t="n">
        <v>51.2</v>
      </c>
      <c r="M2" t="n">
        <v>39.35</v>
      </c>
    </row>
    <row r="3">
      <c r="A3" s="2" t="n">
        <v>5028366</v>
      </c>
      <c r="B3" s="2" t="n">
        <v>18</v>
      </c>
      <c r="C3" s="2" t="inlineStr">
        <is>
          <t>F</t>
        </is>
      </c>
      <c r="D3" s="2" t="n">
        <v>100</v>
      </c>
      <c r="E3" s="4">
        <f>HYPERLINK("./Results/DLO\20190801_1.3.12.2.1107.5.1.4.65253.30000019080821094770100124757_3_512_512_\Osteo_Sarco_1.png","RPT")</f>
        <v/>
      </c>
      <c r="F3" s="3" t="n">
        <v>139</v>
      </c>
      <c r="G3" s="3" t="n">
        <v>9</v>
      </c>
      <c r="H3" s="6" t="n">
        <v>28.78</v>
      </c>
      <c r="I3" s="0" t="inlineStr">
        <is>
          <t>SOMATOM Definition AS</t>
        </is>
      </c>
      <c r="J3" s="0" t="inlineStr">
        <is>
          <t>Post Contrast 3.0 B30f</t>
        </is>
      </c>
      <c r="K3" t="n">
        <v>164</v>
      </c>
      <c r="L3" t="n">
        <v>77.40000000000001</v>
      </c>
      <c r="M3" t="n">
        <v>48.33</v>
      </c>
    </row>
    <row r="4">
      <c r="A4" s="2" t="n">
        <v>5609491</v>
      </c>
      <c r="B4" s="2" t="n">
        <v>20</v>
      </c>
      <c r="C4" s="2" t="inlineStr">
        <is>
          <t>M</t>
        </is>
      </c>
      <c r="D4" s="2" t="n">
        <v>100</v>
      </c>
      <c r="E4" s="4">
        <f>HYPERLINK("./Results/DLO\20180901_1.2.840.113619.2.311.138147613750949266470335228288290552590_304_512_512_\Osteo_Sarco_1.png","RPT")</f>
        <v/>
      </c>
      <c r="F4" s="3" t="n">
        <v>155</v>
      </c>
      <c r="G4" s="3" t="n">
        <v>8</v>
      </c>
      <c r="H4" s="7" t="n">
        <v>24.94</v>
      </c>
      <c r="I4" s="0" t="inlineStr">
        <is>
          <t>Revolution CT</t>
        </is>
      </c>
      <c r="J4" s="0" t="inlineStr">
        <is>
          <t>ABD 2.5mm</t>
        </is>
      </c>
      <c r="K4" t="n">
        <v>177.2</v>
      </c>
      <c r="L4" t="n">
        <v>78.3</v>
      </c>
      <c r="M4" t="n">
        <v>46.82</v>
      </c>
    </row>
    <row r="5">
      <c r="A5" s="2" t="n">
        <v>8862299</v>
      </c>
      <c r="B5" s="2" t="n">
        <v>22</v>
      </c>
      <c r="C5" s="2" t="inlineStr">
        <is>
          <t>M</t>
        </is>
      </c>
      <c r="D5" s="2" t="n">
        <v>100</v>
      </c>
      <c r="E5" s="4">
        <f>HYPERLINK("./Results/DLO\20180201_1.2.840.113619.2.416.333463483697454865419126353232191921182_305_512_512_\Osteo_Sarco_1.png","RPT")</f>
        <v/>
      </c>
      <c r="F5" s="3" t="n">
        <v>164</v>
      </c>
      <c r="G5" s="3" t="n">
        <v>5</v>
      </c>
      <c r="H5" s="7" t="n">
        <v>21.68</v>
      </c>
      <c r="I5" s="0" t="inlineStr">
        <is>
          <t>Revolution CT</t>
        </is>
      </c>
      <c r="J5" s="0" t="inlineStr">
        <is>
          <t>DELAY</t>
        </is>
      </c>
      <c r="K5" t="n">
        <v>186</v>
      </c>
      <c r="L5" t="n">
        <v>75</v>
      </c>
      <c r="M5" t="n">
        <v>45.96</v>
      </c>
    </row>
    <row r="6">
      <c r="A6" s="2" t="n">
        <v>6743331</v>
      </c>
      <c r="B6" s="2" t="n">
        <v>23</v>
      </c>
      <c r="C6" s="2" t="inlineStr">
        <is>
          <t>F</t>
        </is>
      </c>
      <c r="D6" s="2" t="n">
        <v>100</v>
      </c>
      <c r="E6" s="4">
        <f>HYPERLINK("./Results/DLO\20190301_1.3.46.670589.33.1.63688606969581114700001.4977579121112012312_201_512_512_\Osteo_Sarco_1.png","RPT")</f>
        <v/>
      </c>
      <c r="F6" s="3" t="n">
        <v>96</v>
      </c>
      <c r="G6" s="3" t="n">
        <v>3</v>
      </c>
      <c r="H6" s="6" t="n">
        <v>21.69</v>
      </c>
      <c r="I6" s="0" t="inlineStr">
        <is>
          <t>Ingenuity Core 128</t>
        </is>
      </c>
      <c r="J6" s="0" t="inlineStr">
        <is>
          <t>Post 3mm, iDose (3)</t>
        </is>
      </c>
      <c r="K6" t="n">
        <v>172.3</v>
      </c>
      <c r="L6" t="n">
        <v>64.40000000000001</v>
      </c>
      <c r="M6" t="n">
        <v>31.33</v>
      </c>
    </row>
    <row r="7">
      <c r="A7" s="2" t="n">
        <v>6738095</v>
      </c>
      <c r="B7" s="2" t="n">
        <v>23</v>
      </c>
      <c r="C7" s="2" t="inlineStr">
        <is>
          <t>F</t>
        </is>
      </c>
      <c r="D7" s="2" t="n">
        <v>100</v>
      </c>
      <c r="E7" s="4">
        <f>HYPERLINK("./Results/DLO\20180201_1.3.12.2.1107.5.1.4.54310.30000018021923135375000029081_2_512_512_\Osteo_Sarco_1.png","RPT")</f>
        <v/>
      </c>
      <c r="F7" s="3" t="n">
        <v>117</v>
      </c>
      <c r="G7" s="3" t="n">
        <v>8</v>
      </c>
      <c r="H7" s="7" t="n">
        <v>28.9</v>
      </c>
      <c r="I7" s="0" t="inlineStr">
        <is>
          <t>Sensation 64</t>
        </is>
      </c>
      <c r="J7" s="0" t="inlineStr">
        <is>
          <t>With Contrast 3.0 B30f</t>
        </is>
      </c>
      <c r="K7" t="n">
        <v>162.9</v>
      </c>
      <c r="L7" t="n">
        <v>76.7</v>
      </c>
      <c r="M7" t="n">
        <v>41.08</v>
      </c>
    </row>
    <row r="8">
      <c r="A8" s="2" t="n">
        <v>5025954</v>
      </c>
      <c r="B8" s="2" t="n">
        <v>23</v>
      </c>
      <c r="C8" s="2" t="inlineStr">
        <is>
          <t>M</t>
        </is>
      </c>
      <c r="D8" s="2" t="n">
        <v>100</v>
      </c>
      <c r="E8" s="4">
        <f>HYPERLINK("./Results/DLO\20181101_1.3.12.2.1107.5.1.4.54310.30000018112823185235900058176_2_512_512_\Osteo_Sarco_1.png","RPT")</f>
        <v/>
      </c>
      <c r="F8" s="3" t="n">
        <v>101</v>
      </c>
      <c r="G8" s="3" t="n">
        <v>3</v>
      </c>
      <c r="H8" s="7" t="n">
        <v>17.65</v>
      </c>
      <c r="I8" s="0" t="inlineStr">
        <is>
          <t>Sensation 64</t>
        </is>
      </c>
      <c r="J8" s="0" t="inlineStr">
        <is>
          <t>With Contrast 3.0 B30f</t>
        </is>
      </c>
      <c r="K8" t="n">
        <v>170</v>
      </c>
      <c r="L8" t="n">
        <v>51</v>
      </c>
      <c r="M8" t="n">
        <v>33.91</v>
      </c>
    </row>
    <row r="9">
      <c r="A9" s="2" t="n">
        <v>9085933</v>
      </c>
      <c r="B9" s="2" t="n">
        <v>24</v>
      </c>
      <c r="C9" s="2" t="inlineStr">
        <is>
          <t>F</t>
        </is>
      </c>
      <c r="D9" s="2" t="n">
        <v>100</v>
      </c>
      <c r="E9" s="4">
        <f>HYPERLINK("./Results/DLO\20190901_1.3.12.2.1107.5.1.4.54310.30000019091621180282800083298_9_512_512_\Osteo_Sarco_1.png","RPT")</f>
        <v/>
      </c>
      <c r="F9" s="3" t="n">
        <v>128</v>
      </c>
      <c r="G9" s="3" t="n">
        <v>9</v>
      </c>
      <c r="H9" s="7" t="n">
        <v>23.46</v>
      </c>
      <c r="I9" s="0" t="inlineStr">
        <is>
          <t>Sensation 64</t>
        </is>
      </c>
      <c r="J9" s="0" t="inlineStr">
        <is>
          <t>Delay 3.0 B30f</t>
        </is>
      </c>
      <c r="K9" t="n">
        <v>158.6</v>
      </c>
      <c r="L9" t="n">
        <v>59</v>
      </c>
      <c r="M9" t="n">
        <v>47.31</v>
      </c>
    </row>
    <row r="10">
      <c r="A10" s="2" t="n">
        <v>8554651</v>
      </c>
      <c r="B10" s="2" t="n">
        <v>25</v>
      </c>
      <c r="C10" s="2" t="inlineStr">
        <is>
          <t>F</t>
        </is>
      </c>
      <c r="D10" s="2" t="n">
        <v>100</v>
      </c>
      <c r="E10" s="4">
        <f>HYPERLINK("./Results/DLO\20191201_1.3.12.2.1107.5.1.4.65253.30000019121221144545000038909_3_512_512_\Osteo_Sarco_1.png","RPT")</f>
        <v/>
      </c>
      <c r="F10" s="3" t="n">
        <v>112</v>
      </c>
      <c r="G10" s="3" t="n">
        <v>5</v>
      </c>
      <c r="H10" s="7" t="n">
        <v>21.99</v>
      </c>
      <c r="I10" s="0" t="inlineStr">
        <is>
          <t>SOMATOM Definition AS</t>
        </is>
      </c>
      <c r="J10" s="0" t="inlineStr">
        <is>
          <t>Post Contrast 3.0 B30f</t>
        </is>
      </c>
      <c r="K10" t="n">
        <v>161</v>
      </c>
      <c r="L10" t="n">
        <v>57</v>
      </c>
      <c r="M10" t="n">
        <v>41.28</v>
      </c>
    </row>
    <row r="11">
      <c r="A11" s="2" t="n">
        <v>8539277</v>
      </c>
      <c r="B11" s="2" t="n">
        <v>27</v>
      </c>
      <c r="C11" s="2" t="inlineStr">
        <is>
          <t>F</t>
        </is>
      </c>
      <c r="D11" s="2" t="n">
        <v>100</v>
      </c>
      <c r="E11" s="4">
        <f>HYPERLINK("./Results/DLO\20191201_1.2.840.113619.2.416.142758867273373301486728148343558467273_310_512_512_\Osteo_Sarco_1.png","RPT")</f>
        <v/>
      </c>
      <c r="F11" s="3" t="n">
        <v>91</v>
      </c>
      <c r="G11" s="3" t="n">
        <v>4</v>
      </c>
      <c r="H11" s="7" t="n">
        <v>19.65</v>
      </c>
      <c r="I11" s="0" t="inlineStr">
        <is>
          <t>Revolution CT</t>
        </is>
      </c>
      <c r="J11" s="0" t="inlineStr">
        <is>
          <t>ABD</t>
        </is>
      </c>
      <c r="K11" t="n">
        <v>165</v>
      </c>
      <c r="L11" t="n">
        <v>53.5</v>
      </c>
      <c r="M11" t="n">
        <v>31.96</v>
      </c>
    </row>
    <row r="12">
      <c r="A12" s="2" t="n">
        <v>9513954</v>
      </c>
      <c r="B12" s="2" t="n">
        <v>28</v>
      </c>
      <c r="C12" s="2" t="inlineStr">
        <is>
          <t>M</t>
        </is>
      </c>
      <c r="D12" s="2" t="n">
        <v>100</v>
      </c>
      <c r="E12" s="4">
        <f>HYPERLINK("./Results/DLO\20200201_1.3.46.670589.33.1.63716927572575420500001.5692608831589494600_201_512_512_\Osteo_Sarco_1.png","RPT")</f>
        <v/>
      </c>
      <c r="F12" s="3" t="n">
        <v>152</v>
      </c>
      <c r="G12" s="3" t="n">
        <v>3</v>
      </c>
      <c r="H12" s="7" t="n">
        <v>22.1</v>
      </c>
      <c r="I12" s="0" t="inlineStr">
        <is>
          <t>Ingenuity Core 128</t>
        </is>
      </c>
      <c r="J12" s="0" t="inlineStr">
        <is>
          <t>Post 3mm, iDose (3)</t>
        </is>
      </c>
      <c r="K12" t="n">
        <v>180</v>
      </c>
      <c r="L12" t="n">
        <v>71.59999999999999</v>
      </c>
      <c r="M12" t="n">
        <v>45.99</v>
      </c>
    </row>
    <row r="13">
      <c r="A13" s="2" t="n">
        <v>9424730</v>
      </c>
      <c r="B13" s="2" t="n">
        <v>29</v>
      </c>
      <c r="C13" s="2" t="inlineStr">
        <is>
          <t>F</t>
        </is>
      </c>
      <c r="D13" s="2" t="n">
        <v>100</v>
      </c>
      <c r="E13" s="4">
        <f>HYPERLINK("./Results/DLO\20180901_1.3.12.2.1107.5.1.4.65253.30000018090720354500700016562_2_512_512_\Osteo_Sarco_1.png","RPT")</f>
        <v/>
      </c>
      <c r="F13" s="3" t="n">
        <v>98</v>
      </c>
      <c r="G13" s="3" t="n">
        <v>7</v>
      </c>
      <c r="H13" s="7" t="n">
        <v>19.52</v>
      </c>
      <c r="I13" s="0" t="inlineStr">
        <is>
          <t>SOMATOM Definition AS</t>
        </is>
      </c>
      <c r="J13" s="0" t="inlineStr">
        <is>
          <t>Pre Contrast 3.0 B30f</t>
        </is>
      </c>
      <c r="K13" t="n">
        <v>159.9</v>
      </c>
      <c r="L13" t="n">
        <v>49.9</v>
      </c>
      <c r="M13" t="n">
        <v>35.59</v>
      </c>
    </row>
    <row r="14">
      <c r="A14" s="2" t="n">
        <v>8862831</v>
      </c>
      <c r="B14" s="2" t="n">
        <v>29</v>
      </c>
      <c r="C14" s="2" t="inlineStr">
        <is>
          <t>F</t>
        </is>
      </c>
      <c r="D14" s="2" t="n">
        <v>100</v>
      </c>
      <c r="E14" s="4">
        <f>HYPERLINK("./Results/DLO\20180101_1.3.12.2.1107.5.1.4.54310.30000018011123091746800011938_2_512_512_\Osteo_Sarco_1.png","RPT")</f>
        <v/>
      </c>
      <c r="F14" s="3" t="n">
        <v>86</v>
      </c>
      <c r="G14" s="3" t="n">
        <v>5</v>
      </c>
      <c r="H14" s="7" t="n">
        <v>21.23</v>
      </c>
      <c r="I14" s="0" t="inlineStr">
        <is>
          <t>Sensation 64</t>
        </is>
      </c>
      <c r="J14" s="0" t="inlineStr">
        <is>
          <t>With Contrast 3.0 B30f</t>
        </is>
      </c>
      <c r="K14" t="n">
        <v>156.5</v>
      </c>
      <c r="L14" t="n">
        <v>52</v>
      </c>
      <c r="M14" t="n">
        <v>33.07</v>
      </c>
    </row>
    <row r="15">
      <c r="A15" s="2" t="n">
        <v>6177201</v>
      </c>
      <c r="B15" s="2" t="n">
        <v>29</v>
      </c>
      <c r="C15" s="2" t="inlineStr">
        <is>
          <t>F</t>
        </is>
      </c>
      <c r="D15" s="2" t="n">
        <v>100</v>
      </c>
      <c r="E15" s="4">
        <f>HYPERLINK("./Results/DLO\20181001_1.3.12.2.1107.5.1.4.65253.30000018102820442742000031365_2_512_512_\Osteo_Sarco_1.png","RPT")</f>
        <v/>
      </c>
      <c r="F15" s="3" t="n">
        <v>75</v>
      </c>
      <c r="G15" s="3" t="n">
        <v>3</v>
      </c>
      <c r="H15" s="7" t="n">
        <v>18.2</v>
      </c>
      <c r="I15" s="0" t="inlineStr">
        <is>
          <t>SOMATOM Definition AS</t>
        </is>
      </c>
      <c r="J15" s="0" t="inlineStr">
        <is>
          <t>Pre 3.0 B30f</t>
        </is>
      </c>
      <c r="K15" t="n">
        <v>158.3</v>
      </c>
      <c r="L15" t="n">
        <v>45.6</v>
      </c>
      <c r="M15" t="n">
        <v>28.73</v>
      </c>
    </row>
    <row r="16">
      <c r="A16" s="2" t="n">
        <v>8411396</v>
      </c>
      <c r="B16" s="2" t="n">
        <v>29</v>
      </c>
      <c r="C16" s="2" t="inlineStr">
        <is>
          <t>M</t>
        </is>
      </c>
      <c r="D16" s="2" t="n">
        <v>100</v>
      </c>
      <c r="E16" s="4">
        <f>HYPERLINK("./Results/DLO\20180601_1.3.12.2.1107.5.1.4.54310.30000018060823520751500004749_2_512_512_\Osteo_Sarco_1.png","RPT")</f>
        <v/>
      </c>
      <c r="F16" s="3" t="n">
        <v>148</v>
      </c>
      <c r="G16" s="3" t="n">
        <v>7</v>
      </c>
      <c r="H16" s="7" t="n">
        <v>23</v>
      </c>
      <c r="I16" s="0" t="inlineStr">
        <is>
          <t>Sensation 64</t>
        </is>
      </c>
      <c r="J16" s="0" t="inlineStr">
        <is>
          <t>With Contrast 3.0 B30f</t>
        </is>
      </c>
      <c r="K16" t="n">
        <v>179.6</v>
      </c>
      <c r="L16" t="n">
        <v>74.2</v>
      </c>
      <c r="M16" t="n">
        <v>43.71</v>
      </c>
    </row>
    <row r="17">
      <c r="A17" s="2" t="n">
        <v>8978957</v>
      </c>
      <c r="B17" s="2" t="n">
        <v>29</v>
      </c>
      <c r="C17" s="2" t="inlineStr">
        <is>
          <t>F</t>
        </is>
      </c>
      <c r="D17" s="2" t="n">
        <v>100</v>
      </c>
      <c r="E17" s="4">
        <f>HYPERLINK("./Results/DLO\20180601_1.3.12.2.1107.5.1.4.54310.30000018062900074454600004151_2_512_512_\Osteo_Sarco_1.png","RPT")</f>
        <v/>
      </c>
      <c r="F17" s="3" t="n">
        <v>124</v>
      </c>
      <c r="G17" s="3" t="n">
        <v>10</v>
      </c>
      <c r="H17" s="7" t="n">
        <v>31.75</v>
      </c>
      <c r="I17" s="0" t="inlineStr">
        <is>
          <t>Sensation 64</t>
        </is>
      </c>
      <c r="J17" s="0" t="inlineStr">
        <is>
          <t>With Contrast 3.0 B30f</t>
        </is>
      </c>
      <c r="K17" t="n">
        <v>170.4</v>
      </c>
      <c r="L17" t="n">
        <v>92.2</v>
      </c>
      <c r="M17" t="n">
        <v>39.26</v>
      </c>
    </row>
    <row r="18">
      <c r="A18" s="2" t="n">
        <v>8740155</v>
      </c>
      <c r="B18" s="2" t="n">
        <v>29</v>
      </c>
      <c r="C18" s="2" t="inlineStr">
        <is>
          <t>F</t>
        </is>
      </c>
      <c r="D18" s="2" t="n">
        <v>100</v>
      </c>
      <c r="E18" s="4">
        <f>HYPERLINK("./Results/DLO\20180301_1.2.840.113619.2.416.113219500153694044426880480634998907250_304_512_512_\Osteo_Sarco_1.png","RPT")</f>
        <v/>
      </c>
      <c r="F18" s="3" t="n">
        <v>120</v>
      </c>
      <c r="G18" s="3" t="n">
        <v>11</v>
      </c>
      <c r="H18" s="7" t="n">
        <v>20.04</v>
      </c>
      <c r="I18" s="0" t="inlineStr">
        <is>
          <t>Revolution CT</t>
        </is>
      </c>
      <c r="J18" s="0" t="inlineStr">
        <is>
          <t>ABD 2.5mm</t>
        </is>
      </c>
      <c r="K18" t="n">
        <v>172</v>
      </c>
      <c r="L18" t="n">
        <v>59.3</v>
      </c>
      <c r="M18" t="n">
        <v>36.84</v>
      </c>
    </row>
    <row r="19">
      <c r="A19" s="2" t="n">
        <v>9004621</v>
      </c>
      <c r="B19" s="2" t="n">
        <v>29</v>
      </c>
      <c r="C19" s="2" t="inlineStr">
        <is>
          <t>F</t>
        </is>
      </c>
      <c r="D19" s="2" t="n">
        <v>100</v>
      </c>
      <c r="E19" s="4">
        <f>HYPERLINK("./Results/DLO\20180901_1.3.12.2.1107.5.1.4.65253.30000018090720354500700009232_2_512_512_\Osteo_Sarco_1.png","RPT")</f>
        <v/>
      </c>
      <c r="F19" s="3" t="n">
        <v>101</v>
      </c>
      <c r="G19" s="3" t="n">
        <v>5</v>
      </c>
      <c r="H19" s="7" t="n">
        <v>19.88</v>
      </c>
      <c r="I19" s="0" t="inlineStr">
        <is>
          <t>SOMATOM Definition AS</t>
        </is>
      </c>
      <c r="J19" s="0" t="inlineStr">
        <is>
          <t>Pre Contrast 3.0 B30f</t>
        </is>
      </c>
      <c r="K19" t="n">
        <v>161.4</v>
      </c>
      <c r="L19" t="n">
        <v>51.8</v>
      </c>
      <c r="M19" t="n">
        <v>36.85</v>
      </c>
    </row>
    <row r="20">
      <c r="A20" s="2" t="n">
        <v>9901549</v>
      </c>
      <c r="B20" s="2" t="n">
        <v>30</v>
      </c>
      <c r="C20" s="2" t="inlineStr">
        <is>
          <t>F</t>
        </is>
      </c>
      <c r="D20" s="2" t="n">
        <v>100</v>
      </c>
      <c r="E20" s="4">
        <f>HYPERLINK("./Results/DLO\20200201_1.3.12.2.1107.5.1.4.54310.30000020020422310098400053295_7_512_512_\Osteo_Sarco_1.png","RPT")</f>
        <v/>
      </c>
      <c r="F20" s="3" t="n">
        <v>106</v>
      </c>
      <c r="G20" s="3" t="n">
        <v>4</v>
      </c>
      <c r="H20" s="7" t="n">
        <v>20.71</v>
      </c>
      <c r="I20" s="0" t="inlineStr">
        <is>
          <t>Sensation 64</t>
        </is>
      </c>
      <c r="J20" s="0" t="inlineStr">
        <is>
          <t>ABD 3mm B30f</t>
        </is>
      </c>
      <c r="K20" t="n">
        <v>159.2</v>
      </c>
      <c r="L20" t="n">
        <v>52.5</v>
      </c>
      <c r="M20" t="n">
        <v>40.25</v>
      </c>
    </row>
    <row r="21">
      <c r="A21" s="2" t="n">
        <v>8753655</v>
      </c>
      <c r="B21" s="2" t="n">
        <v>31</v>
      </c>
      <c r="C21" s="2" t="inlineStr">
        <is>
          <t>M</t>
        </is>
      </c>
      <c r="D21" s="2" t="n">
        <v>100</v>
      </c>
      <c r="E21" s="4">
        <f>HYPERLINK("./Results/DLO\20180401_1.2.840.113619.2.416.339834868838058760114941442231287942572_2_512_512_\Osteo_Sarco_1.png","RPT")</f>
        <v/>
      </c>
      <c r="F21" s="3" t="n">
        <v>156</v>
      </c>
      <c r="G21" s="3" t="n">
        <v>12</v>
      </c>
      <c r="H21" s="7" t="n">
        <v>22.2</v>
      </c>
      <c r="I21" s="0" t="inlineStr">
        <is>
          <t>Revolution CT</t>
        </is>
      </c>
      <c r="J21" s="0" t="inlineStr">
        <is>
          <t>Pre</t>
        </is>
      </c>
      <c r="K21" t="n">
        <v>175</v>
      </c>
      <c r="L21" t="n">
        <v>68</v>
      </c>
      <c r="M21" t="n">
        <v>47.02</v>
      </c>
    </row>
    <row r="22">
      <c r="A22" s="2" t="n">
        <v>9626988</v>
      </c>
      <c r="B22" s="2" t="n">
        <v>31</v>
      </c>
      <c r="C22" s="2" t="inlineStr">
        <is>
          <t>M</t>
        </is>
      </c>
      <c r="D22" s="2" t="n">
        <v>100</v>
      </c>
      <c r="E22" s="4">
        <f>HYPERLINK("./Results/DLO\20190301_1.3.12.2.1107.5.1.4.65253.30000019032015023695200012477_2_512_512_\Osteo_Sarco_1.png","RPT")</f>
        <v/>
      </c>
      <c r="F22" s="3" t="n">
        <v>147</v>
      </c>
      <c r="G22" s="3" t="n">
        <v>8</v>
      </c>
      <c r="H22" s="7" t="n">
        <v>24.07</v>
      </c>
      <c r="I22" s="0" t="inlineStr">
        <is>
          <t>SOMATOM Definition AS</t>
        </is>
      </c>
      <c r="J22" s="0" t="inlineStr">
        <is>
          <t>Pre Contrast 3.0 B30f</t>
        </is>
      </c>
      <c r="K22" t="n">
        <v>180</v>
      </c>
      <c r="L22" t="n">
        <v>78</v>
      </c>
      <c r="M22" t="n">
        <v>42.9</v>
      </c>
    </row>
    <row r="23">
      <c r="A23" s="2" t="n">
        <v>8885437</v>
      </c>
      <c r="B23" s="2" t="n">
        <v>32</v>
      </c>
      <c r="C23" s="2" t="inlineStr">
        <is>
          <t>F</t>
        </is>
      </c>
      <c r="D23" s="2" t="n">
        <v>100</v>
      </c>
      <c r="E23" s="4">
        <f>HYPERLINK("./Results/DLO\20181201_1.2.840.113619.2.311.159771600122870310876334512227287120165_304_512_512_\Osteo_Sarco_1.png","RPT")</f>
        <v/>
      </c>
      <c r="F23" s="3" t="n">
        <v>99</v>
      </c>
      <c r="G23" s="3" t="n">
        <v>8</v>
      </c>
      <c r="H23" s="7" t="n">
        <v>20.61</v>
      </c>
      <c r="I23" s="0" t="inlineStr">
        <is>
          <t>Revolution CT</t>
        </is>
      </c>
      <c r="J23" s="0" t="inlineStr">
        <is>
          <t>ABD 2.5mm</t>
        </is>
      </c>
      <c r="K23" t="n">
        <v>157.6</v>
      </c>
      <c r="L23" t="n">
        <v>51.2</v>
      </c>
      <c r="M23" t="n">
        <v>36.64</v>
      </c>
    </row>
    <row r="24">
      <c r="A24" s="2" t="n">
        <v>9657767</v>
      </c>
      <c r="B24" s="2" t="n">
        <v>32</v>
      </c>
      <c r="C24" s="2" t="inlineStr">
        <is>
          <t>M</t>
        </is>
      </c>
      <c r="D24" s="2" t="n">
        <v>100</v>
      </c>
      <c r="E24" s="4">
        <f>HYPERLINK("./Results/DLO\20191001_1.3.12.2.1107.5.1.4.65253.30000019103020295683500044048_2_512_512_\Osteo_Sarco_1.png","RPT")</f>
        <v/>
      </c>
      <c r="F24" s="3" t="n">
        <v>206</v>
      </c>
      <c r="G24" s="3" t="n">
        <v>15</v>
      </c>
      <c r="H24" s="7" t="n">
        <v>32.56</v>
      </c>
      <c r="I24" s="0" t="inlineStr">
        <is>
          <t>SOMATOM Definition AS</t>
        </is>
      </c>
      <c r="J24" s="0" t="inlineStr">
        <is>
          <t>W/O Contrast 2.0 B30f</t>
        </is>
      </c>
      <c r="K24" t="n">
        <v>178.2</v>
      </c>
      <c r="L24" t="n">
        <v>103.4</v>
      </c>
      <c r="M24" t="n">
        <v>60.15</v>
      </c>
    </row>
    <row r="25">
      <c r="A25" s="2" t="n">
        <v>6084501</v>
      </c>
      <c r="B25" s="2" t="n">
        <v>32</v>
      </c>
      <c r="C25" s="2" t="inlineStr">
        <is>
          <t>M</t>
        </is>
      </c>
      <c r="D25" s="2" t="n">
        <v>100</v>
      </c>
      <c r="E25" s="4">
        <f>HYPERLINK("./Results/DLO\20180501_1.3.12.2.1107.5.1.4.65253.30000018050120301199700015417_2_512_512_\Osteo_Sarco_1.png","RPT")</f>
        <v/>
      </c>
      <c r="F25" s="3" t="n">
        <v>202</v>
      </c>
      <c r="G25" s="3" t="n">
        <v>12</v>
      </c>
      <c r="H25" s="7" t="n">
        <v>27.44</v>
      </c>
      <c r="I25" s="0" t="inlineStr">
        <is>
          <t>SOMATOM Definition AS</t>
        </is>
      </c>
      <c r="J25" s="0" t="inlineStr">
        <is>
          <t>W/O Contrast 2.0 B30f</t>
        </is>
      </c>
      <c r="K25" t="n">
        <v>176</v>
      </c>
      <c r="L25" t="n">
        <v>85</v>
      </c>
      <c r="M25" t="n">
        <v>61.34</v>
      </c>
    </row>
    <row r="26">
      <c r="A26" s="2" t="n">
        <v>5892970</v>
      </c>
      <c r="B26" s="2" t="n">
        <v>32</v>
      </c>
      <c r="C26" s="2" t="inlineStr">
        <is>
          <t>M</t>
        </is>
      </c>
      <c r="D26" s="2" t="n">
        <v>100</v>
      </c>
      <c r="E26" s="4">
        <f>HYPERLINK("./Results/DLO\20180901_1.2.840.113619.2.311.31337611133086722626393205240748240987_303_512_512_\Osteo_Sarco_1.png","RPT")</f>
        <v/>
      </c>
      <c r="F26" s="3" t="n">
        <v>142</v>
      </c>
      <c r="G26" s="3" t="n">
        <v>5</v>
      </c>
      <c r="H26" s="7" t="n">
        <v>23.84</v>
      </c>
      <c r="I26" s="0" t="inlineStr">
        <is>
          <t>Revolution CT</t>
        </is>
      </c>
      <c r="J26" s="0" t="inlineStr">
        <is>
          <t>ABD 2.5mm</t>
        </is>
      </c>
      <c r="K26" t="n">
        <v>175</v>
      </c>
      <c r="L26" t="n">
        <v>73</v>
      </c>
      <c r="M26" t="n">
        <v>44.73</v>
      </c>
    </row>
    <row r="27">
      <c r="A27" s="2" t="n">
        <v>9745889</v>
      </c>
      <c r="B27" s="2" t="n">
        <v>32</v>
      </c>
      <c r="C27" s="2" t="inlineStr">
        <is>
          <t>F</t>
        </is>
      </c>
      <c r="D27" s="2" t="n">
        <v>100</v>
      </c>
      <c r="E27" s="4">
        <f>HYPERLINK("./Results/DLO\20190801_1.2.840.113619.2.416.57721096500131610202539504464710165920_310_512_512_\Osteo_Sarco_1.png","RPT")</f>
        <v/>
      </c>
      <c r="F27" s="3" t="n">
        <v>104</v>
      </c>
      <c r="G27" s="3" t="n">
        <v>6</v>
      </c>
      <c r="H27" s="7" t="n">
        <v>23.16</v>
      </c>
      <c r="I27" s="0" t="inlineStr">
        <is>
          <t>Revolution CT</t>
        </is>
      </c>
      <c r="J27" s="0" t="inlineStr">
        <is>
          <t>ABD</t>
        </is>
      </c>
      <c r="K27" t="n">
        <v>162.3</v>
      </c>
      <c r="L27" t="n">
        <v>61</v>
      </c>
      <c r="M27" t="n">
        <v>37.2</v>
      </c>
    </row>
    <row r="28">
      <c r="A28" s="2" t="n">
        <v>5894279</v>
      </c>
      <c r="B28" s="2" t="n">
        <v>32</v>
      </c>
      <c r="C28" s="2" t="inlineStr">
        <is>
          <t>F</t>
        </is>
      </c>
      <c r="D28" s="2" t="n">
        <v>100</v>
      </c>
      <c r="E28" s="4">
        <f>HYPERLINK("./Results/DLO\20180801_1.3.12.2.1107.5.1.4.65253.30000018082521211609600011772_2_512_512_\Osteo_Sarco_1.png","RPT")</f>
        <v/>
      </c>
      <c r="F28" s="3" t="n">
        <v>103</v>
      </c>
      <c r="G28" s="3" t="n">
        <v>6</v>
      </c>
      <c r="H28" s="7" t="n">
        <v>20.21</v>
      </c>
      <c r="I28" s="0" t="inlineStr">
        <is>
          <t>SOMATOM Definition AS</t>
        </is>
      </c>
      <c r="J28" s="0" t="inlineStr">
        <is>
          <t>Pre Contrast 3.0 B30f</t>
        </is>
      </c>
      <c r="K28" t="n">
        <v>166.3</v>
      </c>
      <c r="L28" t="n">
        <v>55.9</v>
      </c>
      <c r="M28" t="n">
        <v>35.07</v>
      </c>
    </row>
    <row r="29">
      <c r="A29" s="2" t="n">
        <v>9844369</v>
      </c>
      <c r="B29" s="2" t="n">
        <v>32</v>
      </c>
      <c r="C29" s="2" t="inlineStr">
        <is>
          <t>F</t>
        </is>
      </c>
      <c r="D29" s="2" t="n">
        <v>100</v>
      </c>
      <c r="E29" s="4">
        <f>HYPERLINK("./Results/DLO\20191101_1.2.840.113619.2.416.330998339567574467322175224707135373238_310_512_512_\Osteo_Sarco_1.png","RPT")</f>
        <v/>
      </c>
      <c r="F29" s="3" t="n">
        <v>102</v>
      </c>
      <c r="G29" s="3" t="n">
        <v>9</v>
      </c>
      <c r="H29" s="7" t="n">
        <v>24.09</v>
      </c>
      <c r="I29" s="0" t="inlineStr">
        <is>
          <t>Revolution CT</t>
        </is>
      </c>
      <c r="J29" s="0" t="inlineStr">
        <is>
          <t>ABD</t>
        </is>
      </c>
      <c r="K29" t="n">
        <v>168</v>
      </c>
      <c r="L29" t="n">
        <v>68</v>
      </c>
      <c r="M29" t="n">
        <v>32.95</v>
      </c>
    </row>
    <row r="30">
      <c r="A30" s="2" t="n">
        <v>8892401</v>
      </c>
      <c r="B30" s="2" t="n">
        <v>32</v>
      </c>
      <c r="C30" s="2" t="inlineStr">
        <is>
          <t>F</t>
        </is>
      </c>
      <c r="D30" s="2" t="n">
        <v>100</v>
      </c>
      <c r="E30" s="4">
        <f>HYPERLINK("./Results/DLO\20180401_1.3.12.2.1107.5.1.4.54310.30000018040523200193700002219_2_512_512_\Osteo_Sarco_1.png","RPT")</f>
        <v/>
      </c>
      <c r="F30" s="3" t="n">
        <v>101</v>
      </c>
      <c r="G30" s="3" t="n">
        <v>6</v>
      </c>
      <c r="H30" s="6" t="n">
        <v>16.51</v>
      </c>
      <c r="I30" s="0" t="inlineStr">
        <is>
          <t>Sensation 64</t>
        </is>
      </c>
      <c r="J30" s="0" t="inlineStr">
        <is>
          <t>With Contrast 3.0 B30f</t>
        </is>
      </c>
      <c r="K30" t="n">
        <v>162.9</v>
      </c>
      <c r="L30" t="n">
        <v>43.8</v>
      </c>
      <c r="M30" t="n">
        <v>35.8</v>
      </c>
    </row>
    <row r="31">
      <c r="A31" s="2" t="n">
        <v>9001509</v>
      </c>
      <c r="B31" s="2" t="n">
        <v>32</v>
      </c>
      <c r="C31" s="2" t="inlineStr">
        <is>
          <t>F</t>
        </is>
      </c>
      <c r="D31" s="2" t="n">
        <v>100</v>
      </c>
      <c r="E31" s="4">
        <f>HYPERLINK("./Results/DLO\20180801_1.2.840.113619.2.94.485650834948.2.9014667.19561892.1_2_512_512_\Osteo_Sarco_1.png","RPT")</f>
        <v/>
      </c>
      <c r="F31" s="3" t="n">
        <v>100</v>
      </c>
      <c r="G31" s="3" t="n">
        <v>7</v>
      </c>
      <c r="H31" s="7" t="n">
        <v>17.73</v>
      </c>
      <c r="I31" s="0" t="inlineStr">
        <is>
          <t>Sensation 64</t>
        </is>
      </c>
      <c r="J31" s="0" t="inlineStr">
        <is>
          <t>With Contrast 3.0 B30f</t>
        </is>
      </c>
      <c r="K31" t="n">
        <v>169.1</v>
      </c>
      <c r="L31" t="n">
        <v>50.7</v>
      </c>
      <c r="M31" t="n">
        <v>32.52</v>
      </c>
    </row>
    <row r="32">
      <c r="A32" s="2" t="n">
        <v>9595378</v>
      </c>
      <c r="B32" s="2" t="n">
        <v>33</v>
      </c>
      <c r="C32" s="2" t="inlineStr">
        <is>
          <t>M</t>
        </is>
      </c>
      <c r="D32" s="2" t="n">
        <v>100</v>
      </c>
      <c r="E32" s="4">
        <f>HYPERLINK("./Results/DLO\20190701_1.3.12.2.1107.5.1.4.54310.30000019070721291192100019703_2_512_512_\Osteo_Sarco_1.png","RPT")</f>
        <v/>
      </c>
      <c r="F32" s="3" t="n">
        <v>137</v>
      </c>
      <c r="G32" s="3" t="n">
        <v>6</v>
      </c>
      <c r="H32" s="7" t="n">
        <v>21.38</v>
      </c>
      <c r="I32" s="0" t="inlineStr">
        <is>
          <t>Sensation 64</t>
        </is>
      </c>
      <c r="J32" s="0" t="inlineStr">
        <is>
          <t>With Contrast 3.0 B30f</t>
        </is>
      </c>
      <c r="K32" t="n">
        <v>173</v>
      </c>
      <c r="L32" t="n">
        <v>64</v>
      </c>
      <c r="M32" t="n">
        <v>43.77</v>
      </c>
    </row>
    <row r="33">
      <c r="A33" s="2" t="n">
        <v>8369009</v>
      </c>
      <c r="B33" s="2" t="n">
        <v>33</v>
      </c>
      <c r="C33" s="2" t="inlineStr">
        <is>
          <t>F</t>
        </is>
      </c>
      <c r="D33" s="2" t="n">
        <v>100</v>
      </c>
      <c r="E33" s="4">
        <f>HYPERLINK("./Results/DLO\20180801_1.2.840.113619.2.311.196373782538498542583868578401622774797_304_512_512_\Osteo_Sarco_1.png","RPT")</f>
        <v/>
      </c>
      <c r="F33" s="3" t="n">
        <v>102</v>
      </c>
      <c r="G33" s="3" t="n">
        <v>8</v>
      </c>
      <c r="H33" s="7" t="n">
        <v>24.44</v>
      </c>
      <c r="I33" s="0" t="inlineStr">
        <is>
          <t>Revolution CT</t>
        </is>
      </c>
      <c r="J33" s="0" t="inlineStr">
        <is>
          <t>ABD 2.5mm</t>
        </is>
      </c>
      <c r="K33" t="n">
        <v>158</v>
      </c>
      <c r="L33" t="n">
        <v>61</v>
      </c>
      <c r="M33" t="n">
        <v>37.65</v>
      </c>
    </row>
    <row r="34">
      <c r="A34" s="2" t="n">
        <v>9500760</v>
      </c>
      <c r="B34" s="2" t="n">
        <v>34</v>
      </c>
      <c r="C34" s="2" t="inlineStr">
        <is>
          <t>F</t>
        </is>
      </c>
      <c r="D34" s="2" t="n">
        <v>100</v>
      </c>
      <c r="E34" s="4">
        <f>HYPERLINK("./Results/DLO\20181101_1.2.410.100011.172.24.16.221.6367717532536364532.1_1_512_512_\Osteo_Sarco_1.png","RPT")</f>
        <v/>
      </c>
      <c r="F34" s="3" t="n">
        <v>96</v>
      </c>
      <c r="G34" s="3" t="n">
        <v>5</v>
      </c>
      <c r="H34" s="7" t="n">
        <v>24.58</v>
      </c>
      <c r="I34" s="0" t="inlineStr">
        <is>
          <t>SOMATOM Force</t>
        </is>
      </c>
      <c r="J34" s="0" t="inlineStr">
        <is>
          <t>Aobdomen 5.0 Br40 2</t>
        </is>
      </c>
      <c r="K34" t="n">
        <v>161.6</v>
      </c>
      <c r="L34" t="n">
        <v>64.2</v>
      </c>
      <c r="M34" t="n">
        <v>34.85</v>
      </c>
    </row>
    <row r="35">
      <c r="A35" s="2" t="n">
        <v>5020290</v>
      </c>
      <c r="B35" s="2" t="n">
        <v>34</v>
      </c>
      <c r="C35" s="2" t="inlineStr">
        <is>
          <t>M</t>
        </is>
      </c>
      <c r="D35" s="2" t="n">
        <v>100</v>
      </c>
      <c r="E35" s="4">
        <f>HYPERLINK("./Results/DLO\20180401_1.3.12.2.1107.5.1.4.54310.30000018042223285812500046898_2_512_512_\Osteo_Sarco_1.png","RPT")</f>
        <v/>
      </c>
      <c r="F35" s="3" t="n">
        <v>194</v>
      </c>
      <c r="G35" s="3" t="n">
        <v>10</v>
      </c>
      <c r="H35" s="7" t="n">
        <v>25.48</v>
      </c>
      <c r="I35" s="0" t="inlineStr">
        <is>
          <t>Sensation 64</t>
        </is>
      </c>
      <c r="J35" s="0" t="inlineStr">
        <is>
          <t>Pre Contrast 3.0 B30f</t>
        </is>
      </c>
      <c r="K35" t="n">
        <v>174.5</v>
      </c>
      <c r="L35" t="n">
        <v>77.59999999999999</v>
      </c>
      <c r="M35" t="n">
        <v>60.43</v>
      </c>
    </row>
    <row r="36">
      <c r="A36" s="2" t="n">
        <v>5177990</v>
      </c>
      <c r="B36" s="2" t="n">
        <v>34</v>
      </c>
      <c r="C36" s="2" t="inlineStr">
        <is>
          <t>M</t>
        </is>
      </c>
      <c r="D36" s="2" t="n">
        <v>100</v>
      </c>
      <c r="E36" s="4">
        <f>HYPERLINK("./Results/DLO\20181001_1.3.12.2.1107.5.1.4.54310.30000018102223082700000042473_2_512_512_\Osteo_Sarco_1.png","RPT")</f>
        <v/>
      </c>
      <c r="F36" s="3" t="n">
        <v>181</v>
      </c>
      <c r="G36" s="3" t="n">
        <v>8</v>
      </c>
      <c r="H36" s="7" t="n">
        <v>26.99</v>
      </c>
      <c r="I36" s="0" t="inlineStr">
        <is>
          <t>Sensation 64</t>
        </is>
      </c>
      <c r="J36" s="0" t="inlineStr">
        <is>
          <t>Pre Contrast 3.0 B30f</t>
        </is>
      </c>
      <c r="K36" t="n">
        <v>170</v>
      </c>
      <c r="L36" t="n">
        <v>78</v>
      </c>
      <c r="M36" t="n">
        <v>59.86</v>
      </c>
    </row>
    <row r="37">
      <c r="A37" s="2" t="n">
        <v>8974379</v>
      </c>
      <c r="B37" s="2" t="n">
        <v>34</v>
      </c>
      <c r="C37" s="2" t="inlineStr">
        <is>
          <t>M</t>
        </is>
      </c>
      <c r="D37" s="2" t="n">
        <v>100</v>
      </c>
      <c r="E37" s="4">
        <f>HYPERLINK("./Results/DLO\20180301_1.3.12.2.1107.5.1.4.65253.30000018030317415401900044784_2_512_512_\Osteo_Sarco_1.png","RPT")</f>
        <v/>
      </c>
      <c r="F37" s="3" t="n">
        <v>155</v>
      </c>
      <c r="G37" s="3" t="n">
        <v>8</v>
      </c>
      <c r="H37" s="7" t="n">
        <v>23.66</v>
      </c>
      <c r="I37" s="0" t="inlineStr">
        <is>
          <t>SOMATOM Definition AS</t>
        </is>
      </c>
      <c r="J37" s="0" t="inlineStr">
        <is>
          <t>Pre Contrast 3.0 B30f</t>
        </is>
      </c>
      <c r="K37" t="n">
        <v>172</v>
      </c>
      <c r="L37" t="n">
        <v>70</v>
      </c>
      <c r="M37" t="n">
        <v>49.69</v>
      </c>
    </row>
    <row r="38">
      <c r="A38" s="2" t="n">
        <v>6741744</v>
      </c>
      <c r="B38" s="2" t="n">
        <v>34</v>
      </c>
      <c r="C38" s="2" t="inlineStr">
        <is>
          <t>M</t>
        </is>
      </c>
      <c r="D38" s="2" t="n">
        <v>100</v>
      </c>
      <c r="E38" s="4">
        <f>HYPERLINK("./Results/DLO\20180801_1.3.12.2.1107.5.1.4.65253.30000018073119211097100004387_3_512_512_\Osteo_Sarco_1.png","RPT")</f>
        <v/>
      </c>
      <c r="F38" s="3" t="n">
        <v>154</v>
      </c>
      <c r="G38" s="3" t="n">
        <v>8</v>
      </c>
      <c r="H38" s="7" t="n">
        <v>26.35</v>
      </c>
      <c r="I38" s="0" t="inlineStr">
        <is>
          <t>SOMATOM Definition AS</t>
        </is>
      </c>
      <c r="J38" s="0" t="inlineStr">
        <is>
          <t>With Contrast 3.0 B30f</t>
        </is>
      </c>
      <c r="K38" t="n">
        <v>167.7</v>
      </c>
      <c r="L38" t="n">
        <v>74.09999999999999</v>
      </c>
      <c r="M38" t="n">
        <v>51.91</v>
      </c>
    </row>
    <row r="39">
      <c r="A39" s="2" t="n">
        <v>8877020</v>
      </c>
      <c r="B39" s="2" t="n">
        <v>34</v>
      </c>
      <c r="C39" s="2" t="inlineStr">
        <is>
          <t>F</t>
        </is>
      </c>
      <c r="D39" s="2" t="n">
        <v>100</v>
      </c>
      <c r="E39" s="4">
        <f>HYPERLINK("./Results/DLO\20181201_1.2.840.113619.2.311.142843228901674250135552982705939007009_304_512_512_\Osteo_Sarco_1.png","RPT")</f>
        <v/>
      </c>
      <c r="F39" s="3" t="n">
        <v>123</v>
      </c>
      <c r="G39" s="3" t="n">
        <v>8</v>
      </c>
      <c r="H39" s="7" t="n">
        <v>21.54</v>
      </c>
      <c r="I39" s="0" t="inlineStr">
        <is>
          <t>Revolution CT</t>
        </is>
      </c>
      <c r="J39" s="0" t="inlineStr">
        <is>
          <t>ABD 2.5mm</t>
        </is>
      </c>
      <c r="K39" t="n">
        <v>151.3</v>
      </c>
      <c r="L39" t="n">
        <v>49.3</v>
      </c>
      <c r="M39" t="n">
        <v>50.24</v>
      </c>
    </row>
    <row r="40">
      <c r="A40" s="2" t="n">
        <v>8628261</v>
      </c>
      <c r="B40" s="2" t="n">
        <v>34</v>
      </c>
      <c r="C40" s="2" t="inlineStr">
        <is>
          <t>F</t>
        </is>
      </c>
      <c r="D40" s="2" t="n">
        <v>100</v>
      </c>
      <c r="E40" s="4">
        <f>HYPERLINK("./Results/DLO\20181101_1.3.12.2.1107.5.1.4.54310.30000018110523144489000036074_2_512_512_\Osteo_Sarco_1.png","RPT")</f>
        <v/>
      </c>
      <c r="F40" s="3" t="n">
        <v>110</v>
      </c>
      <c r="G40" s="3" t="n">
        <v>5</v>
      </c>
      <c r="H40" s="7" t="n">
        <v>20.02</v>
      </c>
      <c r="I40" s="0" t="inlineStr">
        <is>
          <t>Sensation 64</t>
        </is>
      </c>
      <c r="J40" s="0" t="inlineStr">
        <is>
          <t>With Contrast 3.0 B30f</t>
        </is>
      </c>
      <c r="K40" t="n">
        <v>161.8</v>
      </c>
      <c r="L40" t="n">
        <v>52.4</v>
      </c>
      <c r="M40" t="n">
        <v>40.11</v>
      </c>
    </row>
    <row r="41">
      <c r="A41" s="2" t="n">
        <v>1855280</v>
      </c>
      <c r="B41" s="2" t="n">
        <v>35</v>
      </c>
      <c r="C41" s="2" t="inlineStr">
        <is>
          <t>F</t>
        </is>
      </c>
      <c r="D41" s="2" t="n">
        <v>100</v>
      </c>
      <c r="E41" s="4">
        <f>HYPERLINK("./Results/DLO\20181101_1.2.840.113619.2.416.131843173115300671591164863542121661341_304_512_512_\Osteo_Sarco_1.png","RPT")</f>
        <v/>
      </c>
      <c r="F41" s="3" t="n">
        <v>97</v>
      </c>
      <c r="G41" s="3" t="n">
        <v>6</v>
      </c>
      <c r="H41" s="7" t="n">
        <v>18.73</v>
      </c>
      <c r="I41" s="0" t="inlineStr">
        <is>
          <t>Revolution CT</t>
        </is>
      </c>
      <c r="J41" s="0" t="inlineStr">
        <is>
          <t>ABD 2.5mm</t>
        </is>
      </c>
      <c r="K41" t="n">
        <v>161.6</v>
      </c>
      <c r="L41" t="n">
        <v>48.9</v>
      </c>
      <c r="M41" t="n">
        <v>34.85</v>
      </c>
    </row>
    <row r="42">
      <c r="A42" s="2" t="n">
        <v>5870434</v>
      </c>
      <c r="B42" s="2" t="n">
        <v>35</v>
      </c>
      <c r="C42" s="2" t="inlineStr">
        <is>
          <t>M</t>
        </is>
      </c>
      <c r="D42" s="2" t="n">
        <v>100</v>
      </c>
      <c r="E42" s="4">
        <f>HYPERLINK("./Results/DLO\20190501_1.3.46.670589.33.1.63692989943480750200001.4825464485975557686_201_512_512_\Osteo_Sarco_1.png","RPT")</f>
        <v/>
      </c>
      <c r="F42" s="3" t="n">
        <v>178</v>
      </c>
      <c r="G42" s="3" t="n">
        <v>7</v>
      </c>
      <c r="H42" s="7" t="n">
        <v>22.64</v>
      </c>
      <c r="I42" s="0" t="inlineStr">
        <is>
          <t>Ingenuity Core 128</t>
        </is>
      </c>
      <c r="J42" s="0" t="inlineStr">
        <is>
          <t>Pre 3mm, iDose (4)</t>
        </is>
      </c>
      <c r="K42" t="n">
        <v>182</v>
      </c>
      <c r="L42" t="n">
        <v>75</v>
      </c>
      <c r="M42" t="n">
        <v>51.62</v>
      </c>
    </row>
    <row r="43">
      <c r="A43" s="2" t="n">
        <v>9829884</v>
      </c>
      <c r="B43" s="2" t="n">
        <v>35</v>
      </c>
      <c r="C43" s="2" t="inlineStr">
        <is>
          <t>M</t>
        </is>
      </c>
      <c r="D43" s="2" t="n">
        <v>100</v>
      </c>
      <c r="E43" s="4">
        <f>HYPERLINK("./Results/DLO\20200501_1.3.12.2.1107.5.1.4.54310.30000020052722380034300020117_12_512_512_\Osteo_Sarco_1.png","RPT")</f>
        <v/>
      </c>
      <c r="F43" s="3" t="n">
        <v>169</v>
      </c>
      <c r="G43" s="3" t="n">
        <v>6</v>
      </c>
      <c r="H43" s="7" t="n">
        <v>24.11</v>
      </c>
      <c r="I43" s="0" t="inlineStr">
        <is>
          <t>Sensation 64</t>
        </is>
      </c>
      <c r="J43" s="0" t="inlineStr">
        <is>
          <t>ABD 3mm B30f</t>
        </is>
      </c>
      <c r="K43" t="n">
        <v>174</v>
      </c>
      <c r="L43" t="n">
        <v>73</v>
      </c>
      <c r="M43" t="n">
        <v>53.84</v>
      </c>
    </row>
    <row r="44">
      <c r="A44" s="2" t="n">
        <v>8566270</v>
      </c>
      <c r="B44" s="2" t="n">
        <v>35</v>
      </c>
      <c r="C44" s="2" t="inlineStr">
        <is>
          <t>M</t>
        </is>
      </c>
      <c r="D44" s="2" t="n">
        <v>100</v>
      </c>
      <c r="E44" s="4">
        <f>HYPERLINK("./Results/DLO\20180101_1.3.12.2.1107.5.1.4.65253.30000018010521290718700000690_2_512_512_\Osteo_Sarco_1.png","RPT")</f>
        <v/>
      </c>
      <c r="F44" s="3" t="n">
        <v>141</v>
      </c>
      <c r="G44" s="3" t="n">
        <v>5</v>
      </c>
      <c r="H44" s="7" t="n">
        <v>23.52</v>
      </c>
      <c r="I44" s="0" t="inlineStr">
        <is>
          <t>SOMATOM Definition AS</t>
        </is>
      </c>
      <c r="J44" s="0" t="inlineStr">
        <is>
          <t>With Contrast 3.0 B40f</t>
        </is>
      </c>
      <c r="K44" t="n">
        <v>173</v>
      </c>
      <c r="L44" t="n">
        <v>70.40000000000001</v>
      </c>
      <c r="M44" t="n">
        <v>45.44</v>
      </c>
    </row>
    <row r="45">
      <c r="A45" s="2" t="n">
        <v>9486038</v>
      </c>
      <c r="B45" s="2" t="n">
        <v>35</v>
      </c>
      <c r="C45" s="2" t="inlineStr">
        <is>
          <t>F</t>
        </is>
      </c>
      <c r="D45" s="2" t="n">
        <v>100</v>
      </c>
      <c r="E45" s="4">
        <f>HYPERLINK("./Results/DLO\20181201_1.2.840.113619.2.311.142946798872187234499047758958446345556_304_512_512_\Osteo_Sarco_1.png","RPT")</f>
        <v/>
      </c>
      <c r="F45" s="3" t="n">
        <v>110</v>
      </c>
      <c r="G45" s="3" t="n">
        <v>6</v>
      </c>
      <c r="H45" s="7" t="n">
        <v>26.48</v>
      </c>
      <c r="I45" s="0" t="inlineStr">
        <is>
          <t>Revolution CT</t>
        </is>
      </c>
      <c r="J45" s="0" t="inlineStr">
        <is>
          <t>ABD 2.5mm</t>
        </is>
      </c>
      <c r="K45" t="n">
        <v>162.6</v>
      </c>
      <c r="L45" t="n">
        <v>70</v>
      </c>
      <c r="M45" t="n">
        <v>39.34</v>
      </c>
    </row>
    <row r="46">
      <c r="A46" s="2" t="n">
        <v>9751838</v>
      </c>
      <c r="B46" s="2" t="n">
        <v>35</v>
      </c>
      <c r="C46" s="2" t="inlineStr">
        <is>
          <t>F</t>
        </is>
      </c>
      <c r="D46" s="2" t="n">
        <v>100</v>
      </c>
      <c r="E46" s="4">
        <f>HYPERLINK("./Results/DLO\20190701_1.2.410.100011.172.24.16.217.6370119634253552782.3_3_512_512_\Osteo_Sarco_1.png","RPT")</f>
        <v/>
      </c>
      <c r="F46" s="3" t="n">
        <v>109</v>
      </c>
      <c r="G46" s="3" t="n">
        <v>6</v>
      </c>
      <c r="H46" s="7" t="n">
        <v>16.42</v>
      </c>
      <c r="I46" s="0" t="inlineStr">
        <is>
          <t>SOMATOM Definition Edge</t>
        </is>
      </c>
      <c r="J46" s="0" t="inlineStr">
        <is>
          <t>Post Abdomen 3.0 I30f 2</t>
        </is>
      </c>
      <c r="K46" t="n">
        <v>169.9</v>
      </c>
      <c r="L46" t="n">
        <v>47.4</v>
      </c>
      <c r="M46" t="n">
        <v>35.68</v>
      </c>
    </row>
    <row r="47">
      <c r="A47" s="2" t="n">
        <v>8689257</v>
      </c>
      <c r="B47" s="2" t="n">
        <v>35</v>
      </c>
      <c r="C47" s="2" t="inlineStr">
        <is>
          <t>F</t>
        </is>
      </c>
      <c r="D47" s="2" t="n">
        <v>100</v>
      </c>
      <c r="E47" s="4">
        <f>HYPERLINK("./Results/DLO\20180901_1.2.840.113619.2.94.485650834948.2.9063111.19682457.1_2_512_512_\Osteo_Sarco_1.png","RPT")</f>
        <v/>
      </c>
      <c r="F47" s="3" t="n">
        <v>107</v>
      </c>
      <c r="G47" s="3" t="n">
        <v>7</v>
      </c>
      <c r="H47" s="6" t="n">
        <v>20.45</v>
      </c>
      <c r="I47" s="0" t="inlineStr">
        <is>
          <t>Sensation 64</t>
        </is>
      </c>
      <c r="J47" s="0" t="inlineStr">
        <is>
          <t>With Contrast 3.0 B30f</t>
        </is>
      </c>
      <c r="K47" t="n">
        <v>168.4</v>
      </c>
      <c r="L47" t="n">
        <v>58</v>
      </c>
      <c r="M47" t="n">
        <v>35.26</v>
      </c>
    </row>
    <row r="48">
      <c r="A48" s="2" t="n">
        <v>9825626</v>
      </c>
      <c r="B48" s="2" t="n">
        <v>35</v>
      </c>
      <c r="C48" s="2" t="inlineStr">
        <is>
          <t>F</t>
        </is>
      </c>
      <c r="D48" s="2" t="n">
        <v>100</v>
      </c>
      <c r="E48" s="4">
        <f>HYPERLINK("./Results/DLO\20191001_1.2.840.113619.2.416.94197313878895141056357684216050190554_310_512_512_\Osteo_Sarco_1.png","RPT")</f>
        <v/>
      </c>
      <c r="F48" s="3" t="n">
        <v>101</v>
      </c>
      <c r="G48" s="3" t="n">
        <v>8</v>
      </c>
      <c r="H48" s="7" t="n">
        <v>21.37</v>
      </c>
      <c r="I48" s="0" t="inlineStr">
        <is>
          <t>Revolution CT</t>
        </is>
      </c>
      <c r="J48" s="0" t="inlineStr">
        <is>
          <t>ABD</t>
        </is>
      </c>
      <c r="K48" t="n">
        <v>156</v>
      </c>
      <c r="L48" t="n">
        <v>52</v>
      </c>
      <c r="M48" t="n">
        <v>38.21</v>
      </c>
    </row>
    <row r="49">
      <c r="A49" s="2" t="n">
        <v>8833777</v>
      </c>
      <c r="B49" s="2" t="n">
        <v>36</v>
      </c>
      <c r="C49" s="2" t="inlineStr">
        <is>
          <t>F</t>
        </is>
      </c>
      <c r="D49" s="2" t="n">
        <v>100</v>
      </c>
      <c r="E49" s="4">
        <f>HYPERLINK("./Results/DLO\20190401_1.2.840.113619.2.94.485650834948.2.9503148.20784998.1_2_512_512_\Osteo_Sarco_1.png","RPT")</f>
        <v/>
      </c>
      <c r="F49" s="3" t="n">
        <v>88</v>
      </c>
      <c r="G49" s="3" t="n">
        <v>6</v>
      </c>
      <c r="H49" s="7" t="n">
        <v>24.36</v>
      </c>
      <c r="I49" s="0" t="inlineStr">
        <is>
          <t>Sensation 64</t>
        </is>
      </c>
      <c r="J49" s="0" t="inlineStr">
        <is>
          <t>With Contrast 3.0 B30f</t>
        </is>
      </c>
      <c r="K49" t="n">
        <v>162.6</v>
      </c>
      <c r="L49" t="n">
        <v>64.40000000000001</v>
      </c>
      <c r="M49" t="n">
        <v>31.02</v>
      </c>
    </row>
    <row r="50">
      <c r="A50" s="2" t="n">
        <v>9577928</v>
      </c>
      <c r="B50" s="2" t="n">
        <v>36</v>
      </c>
      <c r="C50" s="2" t="inlineStr">
        <is>
          <t>F</t>
        </is>
      </c>
      <c r="D50" s="2" t="n">
        <v>100</v>
      </c>
      <c r="E50" s="4">
        <f>HYPERLINK("./Results/DLO\20190301_1.3.46.670589.33.1.63688245957778741200001.5752415587529754063_201_512_512_\Osteo_Sarco_1.png","RPT")</f>
        <v/>
      </c>
      <c r="F50" s="3" t="n">
        <v>77</v>
      </c>
      <c r="G50" s="3" t="n">
        <v>4</v>
      </c>
      <c r="H50" s="7" t="n">
        <v>16.92</v>
      </c>
      <c r="I50" s="0" t="inlineStr">
        <is>
          <t>Ingenuity Core 128</t>
        </is>
      </c>
      <c r="J50" s="0" t="inlineStr">
        <is>
          <t>Post 3mm, iDose (3)</t>
        </is>
      </c>
      <c r="K50" t="n">
        <v>153</v>
      </c>
      <c r="L50" t="n">
        <v>39.6</v>
      </c>
      <c r="M50" t="n">
        <v>31.18</v>
      </c>
    </row>
    <row r="51">
      <c r="A51" s="2" t="n">
        <v>9956604</v>
      </c>
      <c r="B51" s="2" t="n">
        <v>36</v>
      </c>
      <c r="C51" s="2" t="inlineStr">
        <is>
          <t>M</t>
        </is>
      </c>
      <c r="D51" s="2" t="n">
        <v>100</v>
      </c>
      <c r="E51" s="4">
        <f>HYPERLINK("./Results/DLO\20200401_1.3.46.670589.33.1.63721951285033982800001.5679732805274984359_301_512_512_\Osteo_Sarco_1.png","RPT")</f>
        <v/>
      </c>
      <c r="F51" s="3" t="n">
        <v>151</v>
      </c>
      <c r="G51" s="3" t="n">
        <v>14</v>
      </c>
      <c r="H51" s="7" t="n">
        <v>24.53</v>
      </c>
      <c r="I51" s="0" t="inlineStr">
        <is>
          <t>Ingenuity Core 128</t>
        </is>
      </c>
      <c r="J51" s="0" t="inlineStr">
        <is>
          <t>Pre 3mm, iDose (3)</t>
        </is>
      </c>
      <c r="K51" t="n">
        <v>184.5</v>
      </c>
      <c r="L51" t="n">
        <v>83.5</v>
      </c>
      <c r="M51" t="n">
        <v>40.25</v>
      </c>
    </row>
    <row r="52">
      <c r="A52" s="2" t="n">
        <v>9912449</v>
      </c>
      <c r="B52" s="2" t="n">
        <v>36</v>
      </c>
      <c r="C52" s="2" t="inlineStr">
        <is>
          <t>F</t>
        </is>
      </c>
      <c r="D52" s="2" t="n">
        <v>100</v>
      </c>
      <c r="E52" s="4">
        <f>HYPERLINK("./Results/DLO\20200201_1.2.840.113619.2.416.265961893536154367310147539876545175773_310_512_512_\Osteo_Sarco_1.png","RPT")</f>
        <v/>
      </c>
      <c r="F52" s="3" t="n">
        <v>145</v>
      </c>
      <c r="G52" s="3" t="n">
        <v>8</v>
      </c>
      <c r="H52" s="7" t="n">
        <v>24.74</v>
      </c>
      <c r="I52" s="0" t="inlineStr">
        <is>
          <t>Revolution CT</t>
        </is>
      </c>
      <c r="J52" s="0" t="inlineStr">
        <is>
          <t>ABD</t>
        </is>
      </c>
      <c r="K52" t="n">
        <v>167</v>
      </c>
      <c r="L52" t="n">
        <v>69</v>
      </c>
      <c r="M52" t="n">
        <v>49.12</v>
      </c>
    </row>
    <row r="53">
      <c r="A53" s="2" t="n">
        <v>8436389</v>
      </c>
      <c r="B53" s="2" t="n">
        <v>36</v>
      </c>
      <c r="C53" s="2" t="inlineStr">
        <is>
          <t>M</t>
        </is>
      </c>
      <c r="D53" s="2" t="n">
        <v>100</v>
      </c>
      <c r="E53" s="4">
        <f>HYPERLINK("./Results/DLO\20180601_1.3.12.2.1107.5.1.4.65253.30000018061020144610600016241_3_512_512_\Osteo_Sarco_1.png","RPT")</f>
        <v/>
      </c>
      <c r="F53" s="3" t="n">
        <v>137</v>
      </c>
      <c r="G53" s="3" t="n">
        <v>6</v>
      </c>
      <c r="H53" s="7" t="n">
        <v>23.67</v>
      </c>
      <c r="I53" s="0" t="inlineStr">
        <is>
          <t>SOMATOM Definition AS</t>
        </is>
      </c>
      <c r="J53" s="0" t="inlineStr">
        <is>
          <t>Post Contrast 3.0 B30f</t>
        </is>
      </c>
      <c r="K53" t="n">
        <v>178</v>
      </c>
      <c r="L53" t="n">
        <v>75</v>
      </c>
      <c r="M53" t="n">
        <v>41.35</v>
      </c>
    </row>
    <row r="54">
      <c r="A54" s="2" t="n">
        <v>9493649</v>
      </c>
      <c r="B54" s="2" t="n">
        <v>36</v>
      </c>
      <c r="C54" s="2" t="inlineStr">
        <is>
          <t>F</t>
        </is>
      </c>
      <c r="D54" s="2" t="n">
        <v>100</v>
      </c>
      <c r="E54" s="4">
        <f>HYPERLINK("./Results/DLO\20181001_1.2.840.113619.2.311.12406477006833149080973326969372597523_304_512_512_\Osteo_Sarco_1.png","RPT")</f>
        <v/>
      </c>
      <c r="F54" s="3" t="n">
        <v>124</v>
      </c>
      <c r="G54" s="3" t="n">
        <v>9</v>
      </c>
      <c r="H54" s="7" t="n">
        <v>25.88</v>
      </c>
      <c r="I54" s="0" t="inlineStr">
        <is>
          <t>Revolution CT</t>
        </is>
      </c>
      <c r="J54" s="0" t="inlineStr">
        <is>
          <t>ABD 2.5mm</t>
        </is>
      </c>
      <c r="K54" t="n">
        <v>163.4</v>
      </c>
      <c r="L54" t="n">
        <v>69.09999999999999</v>
      </c>
      <c r="M54" t="n">
        <v>43.07</v>
      </c>
    </row>
    <row r="55">
      <c r="A55" s="2" t="n">
        <v>8848342</v>
      </c>
      <c r="B55" s="2" t="n">
        <v>37</v>
      </c>
      <c r="C55" s="2" t="inlineStr">
        <is>
          <t>F</t>
        </is>
      </c>
      <c r="D55" s="2" t="n">
        <v>100</v>
      </c>
      <c r="E55" s="4">
        <f>HYPERLINK("./Results/DLO\20180201_1.2.840.113619.2.416.66073420355813234103631647329430787845_304_512_512_\Osteo_Sarco_1.png","RPT")</f>
        <v/>
      </c>
      <c r="F55" s="3" t="n">
        <v>97</v>
      </c>
      <c r="G55" s="3" t="n">
        <v>4</v>
      </c>
      <c r="H55" s="7" t="n">
        <v>18.66</v>
      </c>
      <c r="I55" s="0" t="inlineStr">
        <is>
          <t>Revolution CT</t>
        </is>
      </c>
      <c r="J55" s="0" t="inlineStr">
        <is>
          <t>ABD 2.5mm</t>
        </is>
      </c>
      <c r="K55" t="n">
        <v>157</v>
      </c>
      <c r="L55" t="n">
        <v>46</v>
      </c>
      <c r="M55" t="n">
        <v>37.73</v>
      </c>
    </row>
    <row r="56">
      <c r="A56" s="2" t="n">
        <v>8452405</v>
      </c>
      <c r="B56" s="2" t="n">
        <v>37</v>
      </c>
      <c r="C56" s="2" t="inlineStr">
        <is>
          <t>F</t>
        </is>
      </c>
      <c r="D56" s="2" t="n">
        <v>100</v>
      </c>
      <c r="E56" s="4">
        <f>HYPERLINK("./Results/DLO\20181001_1.3.12.2.1107.5.1.4.54310.30000018101823515412500010306_2_512_512_\Osteo_Sarco_1.png","RPT")</f>
        <v/>
      </c>
      <c r="F56" s="3" t="n">
        <v>88</v>
      </c>
      <c r="G56" s="3" t="n">
        <v>6</v>
      </c>
      <c r="H56" s="7" t="n">
        <v>17.25</v>
      </c>
      <c r="I56" s="0" t="inlineStr">
        <is>
          <t>Sensation 64</t>
        </is>
      </c>
      <c r="J56" s="0" t="inlineStr">
        <is>
          <t>With Contrast 3.0 B30f</t>
        </is>
      </c>
      <c r="K56" t="n">
        <v>163.3</v>
      </c>
      <c r="L56" t="n">
        <v>46</v>
      </c>
      <c r="M56" t="n">
        <v>30.75</v>
      </c>
    </row>
    <row r="57">
      <c r="A57" s="2" t="n">
        <v>9444742</v>
      </c>
      <c r="B57" s="2" t="n">
        <v>37</v>
      </c>
      <c r="C57" s="2" t="inlineStr">
        <is>
          <t>F</t>
        </is>
      </c>
      <c r="D57" s="2" t="n">
        <v>100</v>
      </c>
      <c r="E57" s="4">
        <f>HYPERLINK("./Results/DLO\20181101_1.3.12.2.1107.5.1.4.65253.30000018112521135692300016530_2_512_512_\Osteo_Sarco_1.png","RPT")</f>
        <v/>
      </c>
      <c r="F57" s="3" t="n">
        <v>86</v>
      </c>
      <c r="G57" s="3" t="n">
        <v>8</v>
      </c>
      <c r="H57" s="7" t="n">
        <v>19.49</v>
      </c>
      <c r="I57" s="0" t="inlineStr">
        <is>
          <t>SOMATOM Definition AS</t>
        </is>
      </c>
      <c r="J57" s="0" t="inlineStr">
        <is>
          <t>W/O Contrast 2.0 B30f</t>
        </is>
      </c>
      <c r="K57" t="n">
        <v>173.1</v>
      </c>
      <c r="L57" t="n">
        <v>58.4</v>
      </c>
      <c r="M57" t="n">
        <v>26.03</v>
      </c>
    </row>
    <row r="58">
      <c r="A58" s="2" t="n">
        <v>6038103</v>
      </c>
      <c r="B58" s="2" t="n">
        <v>37</v>
      </c>
      <c r="C58" s="2" t="inlineStr">
        <is>
          <t>M</t>
        </is>
      </c>
      <c r="D58" s="2" t="n">
        <v>100</v>
      </c>
      <c r="E58" s="4">
        <f>HYPERLINK("./Results/DLO\20180101_1.2.840.113619.2.311.54181217019504526735451010640995650164_304_512_512_\Osteo_Sarco_1.png","RPT")</f>
        <v/>
      </c>
      <c r="F58" s="3" t="n">
        <v>211</v>
      </c>
      <c r="G58" s="3" t="n">
        <v>9</v>
      </c>
      <c r="H58" s="7" t="n">
        <v>32.31</v>
      </c>
      <c r="I58" s="0" t="inlineStr">
        <is>
          <t>Revolution CT</t>
        </is>
      </c>
      <c r="J58" s="0" t="inlineStr">
        <is>
          <t>ABD 2.5mm</t>
        </is>
      </c>
      <c r="K58" t="n">
        <v>175.4</v>
      </c>
      <c r="L58" t="n">
        <v>99.40000000000001</v>
      </c>
      <c r="M58" t="n">
        <v>65.66</v>
      </c>
    </row>
    <row r="59">
      <c r="A59" s="2" t="n">
        <v>9839344</v>
      </c>
      <c r="B59" s="2" t="n">
        <v>37</v>
      </c>
      <c r="C59" s="2" t="inlineStr">
        <is>
          <t>M</t>
        </is>
      </c>
      <c r="D59" s="2" t="n">
        <v>100</v>
      </c>
      <c r="E59" s="4">
        <f>HYPERLINK("./Results/DLO\20191101_1.3.12.2.1107.5.1.4.54310.30000019112821370418700000751_2_512_512_\Osteo_Sarco_1.png","RPT")</f>
        <v/>
      </c>
      <c r="F59" s="3" t="n">
        <v>167</v>
      </c>
      <c r="G59" s="3" t="n">
        <v>11</v>
      </c>
      <c r="H59" s="7" t="n">
        <v>23.41</v>
      </c>
      <c r="I59" s="0" t="inlineStr">
        <is>
          <t>Sensation 64</t>
        </is>
      </c>
      <c r="J59" s="0" t="inlineStr">
        <is>
          <t>With Contrast 3.0 B30f</t>
        </is>
      </c>
      <c r="K59" t="n">
        <v>186</v>
      </c>
      <c r="L59" t="n">
        <v>81</v>
      </c>
      <c r="M59" t="n">
        <v>45.09</v>
      </c>
    </row>
    <row r="60">
      <c r="A60" s="2" t="n">
        <v>1356838</v>
      </c>
      <c r="B60" s="2" t="n">
        <v>37</v>
      </c>
      <c r="C60" s="2" t="inlineStr">
        <is>
          <t>F</t>
        </is>
      </c>
      <c r="D60" s="2" t="n">
        <v>100</v>
      </c>
      <c r="E60" s="4">
        <f>HYPERLINK("./Results/DLO\20181001_1.2.840.113619.2.416.255640115672949554710299977542139167172_304_512_512_\Osteo_Sarco_1.png","RPT")</f>
        <v/>
      </c>
      <c r="F60" s="3" t="n">
        <v>125</v>
      </c>
      <c r="G60" s="3" t="n">
        <v>12</v>
      </c>
      <c r="H60" s="7" t="n">
        <v>25.57</v>
      </c>
      <c r="I60" s="0" t="inlineStr">
        <is>
          <t>Revolution CT</t>
        </is>
      </c>
      <c r="J60" s="0" t="inlineStr">
        <is>
          <t>ABD 2.5mm</t>
        </is>
      </c>
      <c r="K60" t="n">
        <v>167.1</v>
      </c>
      <c r="L60" t="n">
        <v>71.40000000000001</v>
      </c>
      <c r="M60" t="n">
        <v>40.47</v>
      </c>
    </row>
    <row r="61">
      <c r="A61" s="2" t="n">
        <v>8638119</v>
      </c>
      <c r="B61" s="2" t="n">
        <v>37</v>
      </c>
      <c r="C61" s="2" t="inlineStr">
        <is>
          <t>F</t>
        </is>
      </c>
      <c r="D61" s="2" t="n">
        <v>100</v>
      </c>
      <c r="E61" s="4">
        <f>HYPERLINK("./Results/DLO\20190201_1.3.46.670589.33.1.63685998699956000300001.5202200711458794102_201_512_512_\Osteo_Sarco_1.png","RPT")</f>
        <v/>
      </c>
      <c r="F61" s="3" t="n">
        <v>125</v>
      </c>
      <c r="G61" s="3" t="n">
        <v>9</v>
      </c>
      <c r="H61" s="7" t="n">
        <v>22.76</v>
      </c>
      <c r="I61" s="0" t="inlineStr">
        <is>
          <t>Ingenuity Core 128</t>
        </is>
      </c>
      <c r="J61" s="0" t="inlineStr">
        <is>
          <t>Post 3mm, iDose (3)</t>
        </is>
      </c>
      <c r="K61" t="n">
        <v>158.1</v>
      </c>
      <c r="L61" t="n">
        <v>56.9</v>
      </c>
      <c r="M61" t="n">
        <v>46.41</v>
      </c>
    </row>
    <row r="62">
      <c r="A62" s="2" t="n">
        <v>9990204</v>
      </c>
      <c r="B62" s="2" t="n">
        <v>37</v>
      </c>
      <c r="C62" s="2" t="inlineStr">
        <is>
          <t>F</t>
        </is>
      </c>
      <c r="D62" s="2" t="n">
        <v>100</v>
      </c>
      <c r="E62" s="4">
        <f>HYPERLINK("./Results/DLO\20200501_1.2.840.113619.2.416.237334515615484104432744409195057542519_307_512_512_\Osteo_Sarco_1.png","RPT")</f>
        <v/>
      </c>
      <c r="F62" s="3" t="n">
        <v>109</v>
      </c>
      <c r="G62" s="3" t="n">
        <v>9</v>
      </c>
      <c r="H62" s="7" t="n">
        <v>18.94</v>
      </c>
      <c r="I62" s="0" t="inlineStr">
        <is>
          <t>Revolution CT</t>
        </is>
      </c>
      <c r="J62" s="0" t="inlineStr">
        <is>
          <t>ABD</t>
        </is>
      </c>
      <c r="K62" t="n">
        <v>168.4</v>
      </c>
      <c r="L62" t="n">
        <v>53.7</v>
      </c>
      <c r="M62" t="n">
        <v>35.26</v>
      </c>
    </row>
    <row r="63">
      <c r="A63" s="2" t="n">
        <v>2735825</v>
      </c>
      <c r="B63" s="2" t="n">
        <v>37</v>
      </c>
      <c r="C63" s="2" t="inlineStr">
        <is>
          <t>F</t>
        </is>
      </c>
      <c r="D63" s="2" t="n">
        <v>100</v>
      </c>
      <c r="E63" s="4">
        <f>HYPERLINK("./Results/DLO\20181201_1.3.12.2.1107.5.1.4.65253.30000018121120031523800028630_3_512_512_\Osteo_Sarco_1.png","RPT")</f>
        <v/>
      </c>
      <c r="F63" s="3" t="n">
        <v>103</v>
      </c>
      <c r="G63" s="3" t="n">
        <v>6</v>
      </c>
      <c r="H63" s="7" t="n">
        <v>18.73</v>
      </c>
      <c r="I63" s="0" t="inlineStr">
        <is>
          <t>SOMATOM Definition AS</t>
        </is>
      </c>
      <c r="J63" s="0" t="inlineStr">
        <is>
          <t>Post Contrast 3.0 B30f</t>
        </is>
      </c>
      <c r="K63" t="n">
        <v>155</v>
      </c>
      <c r="L63" t="n">
        <v>45</v>
      </c>
      <c r="M63" t="n">
        <v>40.37</v>
      </c>
    </row>
    <row r="64">
      <c r="A64" s="2" t="n">
        <v>4341096</v>
      </c>
      <c r="B64" s="2" t="n">
        <v>38</v>
      </c>
      <c r="C64" s="2" t="inlineStr">
        <is>
          <t>F</t>
        </is>
      </c>
      <c r="D64" s="2" t="n">
        <v>100</v>
      </c>
      <c r="E64" s="4">
        <f>HYPERLINK("./Results/DLO\20190701_1.3.46.670589.33.1.63697745182161632800001.4743750189490868073_201_512_512_\Osteo_Sarco_1.png","RPT")</f>
        <v/>
      </c>
      <c r="F64" s="3" t="n">
        <v>94</v>
      </c>
      <c r="G64" s="3" t="n">
        <v>8</v>
      </c>
      <c r="H64" s="7" t="n">
        <v>21.62</v>
      </c>
      <c r="I64" s="0" t="inlineStr">
        <is>
          <t>Ingenuity Core 128</t>
        </is>
      </c>
      <c r="J64" s="0" t="inlineStr">
        <is>
          <t>Post 3mm, iDose (3)</t>
        </is>
      </c>
      <c r="K64" t="n">
        <v>163.8</v>
      </c>
      <c r="L64" t="n">
        <v>58</v>
      </c>
      <c r="M64" t="n">
        <v>32.05</v>
      </c>
    </row>
    <row r="65">
      <c r="A65" s="2" t="n">
        <v>8856024</v>
      </c>
      <c r="B65" s="2" t="n">
        <v>38</v>
      </c>
      <c r="C65" s="2" t="inlineStr">
        <is>
          <t>F</t>
        </is>
      </c>
      <c r="D65" s="2" t="n">
        <v>100</v>
      </c>
      <c r="E65" s="4">
        <f>HYPERLINK("./Results/DLO\20200501_1.3.46.670589.33.1.63724356315459538500001.5167128441056253577_201_512_512_\Osteo_Sarco_1.png","RPT")</f>
        <v/>
      </c>
      <c r="F65" s="3" t="n">
        <v>90</v>
      </c>
      <c r="G65" s="3" t="n">
        <v>6</v>
      </c>
      <c r="H65" s="7" t="n">
        <v>17.51</v>
      </c>
      <c r="I65" s="0" t="inlineStr">
        <is>
          <t>Ingenuity Core 128</t>
        </is>
      </c>
      <c r="J65" s="0" t="inlineStr">
        <is>
          <t>Post 3mm, iDose (3)</t>
        </is>
      </c>
      <c r="K65" t="n">
        <v>153</v>
      </c>
      <c r="L65" t="n">
        <v>41</v>
      </c>
      <c r="M65" t="n">
        <v>35.88</v>
      </c>
    </row>
    <row r="66">
      <c r="A66" s="2" t="n">
        <v>8279358</v>
      </c>
      <c r="B66" s="2" t="n">
        <v>38</v>
      </c>
      <c r="C66" s="2" t="inlineStr">
        <is>
          <t>F</t>
        </is>
      </c>
      <c r="D66" s="2" t="n">
        <v>100</v>
      </c>
      <c r="E66" s="4">
        <f>HYPERLINK("./Results/DLO\20180401_1.2.840.113619.2.94.485650834948.2.8781381.18989277.1_2_512_512_\Osteo_Sarco_1.png","RPT")</f>
        <v/>
      </c>
      <c r="F66" s="3" t="n">
        <v>88</v>
      </c>
      <c r="G66" s="3" t="n">
        <v>6</v>
      </c>
      <c r="H66" s="7" t="n">
        <v>19.91</v>
      </c>
      <c r="I66" s="0" t="inlineStr">
        <is>
          <t>Sensation 64</t>
        </is>
      </c>
      <c r="J66" s="0" t="inlineStr">
        <is>
          <t>With Contrast 3.0 B30f</t>
        </is>
      </c>
      <c r="K66" t="n">
        <v>167.1</v>
      </c>
      <c r="L66" t="n">
        <v>55.6</v>
      </c>
      <c r="M66" t="n">
        <v>29.37</v>
      </c>
    </row>
    <row r="67">
      <c r="A67" s="2" t="n">
        <v>5739830</v>
      </c>
      <c r="B67" s="2" t="n">
        <v>38</v>
      </c>
      <c r="C67" s="2" t="inlineStr">
        <is>
          <t>F</t>
        </is>
      </c>
      <c r="D67" s="2" t="n">
        <v>100</v>
      </c>
      <c r="E67" s="4">
        <f>HYPERLINK("./Results/DLO\20181101_1.3.12.2.1107.5.1.4.54310.30000018110623281529600009752_2_512_512_\Osteo_Sarco_1.png","RPT")</f>
        <v/>
      </c>
      <c r="F67" s="3" t="n">
        <v>84</v>
      </c>
      <c r="G67" s="3" t="n">
        <v>5</v>
      </c>
      <c r="H67" s="7" t="n">
        <v>19.08</v>
      </c>
      <c r="I67" s="0" t="inlineStr">
        <is>
          <t>Sensation 64</t>
        </is>
      </c>
      <c r="J67" s="0" t="inlineStr">
        <is>
          <t>With Contrast 3.0 B30f</t>
        </is>
      </c>
      <c r="K67" t="n">
        <v>157.8</v>
      </c>
      <c r="L67" t="n">
        <v>47.5</v>
      </c>
      <c r="M67" t="n">
        <v>31.73</v>
      </c>
    </row>
    <row r="68">
      <c r="A68" s="2" t="n">
        <v>8328245</v>
      </c>
      <c r="B68" s="2" t="n">
        <v>38</v>
      </c>
      <c r="C68" s="2" t="inlineStr">
        <is>
          <t>M</t>
        </is>
      </c>
      <c r="D68" s="2" t="n">
        <v>100</v>
      </c>
      <c r="E68" s="4">
        <f>HYPERLINK("./Results/DLO\20190301_1.3.12.2.1107.5.1.4.65253.30000019030620083671800046209_2_512_512_\Osteo_Sarco_1.png","RPT")</f>
        <v/>
      </c>
      <c r="F68" s="3" t="n">
        <v>182</v>
      </c>
      <c r="G68" s="3" t="n">
        <v>9</v>
      </c>
      <c r="H68" s="7" t="n">
        <v>27.68</v>
      </c>
      <c r="I68" s="0" t="inlineStr">
        <is>
          <t>SOMATOM Definition AS</t>
        </is>
      </c>
      <c r="J68" s="0" t="inlineStr">
        <is>
          <t>With Contrast 3.0 B30f</t>
        </is>
      </c>
      <c r="K68" t="n">
        <v>170</v>
      </c>
      <c r="L68" t="n">
        <v>80</v>
      </c>
      <c r="M68" t="n">
        <v>59.86</v>
      </c>
    </row>
    <row r="69">
      <c r="A69" s="2" t="n">
        <v>1252461</v>
      </c>
      <c r="B69" s="2" t="n">
        <v>38</v>
      </c>
      <c r="C69" s="2" t="inlineStr">
        <is>
          <t>M</t>
        </is>
      </c>
      <c r="D69" s="2" t="n">
        <v>100</v>
      </c>
      <c r="E69" s="4">
        <f>HYPERLINK("./Results/DLO\20180401_1.3.12.2.1107.5.1.4.65253.30000018041320101722900007952_3_512_512_\Osteo_Sarco_1.png","RPT")</f>
        <v/>
      </c>
      <c r="F69" s="3" t="n">
        <v>135</v>
      </c>
      <c r="G69" s="3" t="n">
        <v>7</v>
      </c>
      <c r="H69" s="7" t="n">
        <v>20.26</v>
      </c>
      <c r="I69" s="0" t="inlineStr">
        <is>
          <t>SOMATOM Definition AS</t>
        </is>
      </c>
      <c r="J69" s="0" t="inlineStr">
        <is>
          <t>Post Contrast 3.0 B30f</t>
        </is>
      </c>
      <c r="K69" t="n">
        <v>172.1</v>
      </c>
      <c r="L69" t="n">
        <v>60</v>
      </c>
      <c r="M69" t="n">
        <v>43.22</v>
      </c>
    </row>
    <row r="70">
      <c r="A70" s="2" t="n">
        <v>9869884</v>
      </c>
      <c r="B70" s="2" t="n">
        <v>38</v>
      </c>
      <c r="C70" s="2" t="inlineStr">
        <is>
          <t>M</t>
        </is>
      </c>
      <c r="D70" s="2" t="n">
        <v>100</v>
      </c>
      <c r="E70" s="4">
        <f>HYPERLINK("./Results/DLO\20191201_1.3.12.2.1107.5.1.4.54310.30000019122221242184300039996_4_512_512_\Osteo_Sarco_1.png","RPT")</f>
        <v/>
      </c>
      <c r="F70" s="3" t="n">
        <v>127</v>
      </c>
      <c r="G70" s="3" t="n">
        <v>8</v>
      </c>
      <c r="H70" s="7" t="n">
        <v>20.24</v>
      </c>
      <c r="I70" s="0" t="inlineStr">
        <is>
          <t>Sensation 64</t>
        </is>
      </c>
      <c r="J70" s="0" t="inlineStr">
        <is>
          <t>Arterial 3.0 B30f</t>
        </is>
      </c>
      <c r="K70" t="n">
        <v>175</v>
      </c>
      <c r="L70" t="n">
        <v>62</v>
      </c>
      <c r="M70" t="n">
        <v>38.86</v>
      </c>
    </row>
    <row r="71">
      <c r="A71" s="2" t="n">
        <v>9666989</v>
      </c>
      <c r="B71" s="2" t="n">
        <v>38</v>
      </c>
      <c r="C71" s="2" t="inlineStr">
        <is>
          <t>F</t>
        </is>
      </c>
      <c r="D71" s="2" t="n">
        <v>100</v>
      </c>
      <c r="E71" s="4">
        <f>HYPERLINK("./Results/DLO\20190801_1.3.12.2.1107.5.1.4.54310.30000019081822233132800040586_2_512_512_\Osteo_Sarco_1.png","RPT")</f>
        <v/>
      </c>
      <c r="F71" s="3" t="n">
        <v>123</v>
      </c>
      <c r="G71" s="3" t="n">
        <v>10</v>
      </c>
      <c r="H71" s="7" t="n">
        <v>27.05</v>
      </c>
      <c r="I71" s="0" t="inlineStr">
        <is>
          <t>Sensation 64</t>
        </is>
      </c>
      <c r="J71" s="0" t="inlineStr">
        <is>
          <t>ABD Pre 3.0 B30f</t>
        </is>
      </c>
      <c r="K71" t="n">
        <v>162</v>
      </c>
      <c r="L71" t="n">
        <v>71</v>
      </c>
      <c r="M71" t="n">
        <v>43.06</v>
      </c>
    </row>
    <row r="72">
      <c r="A72" s="2" t="n">
        <v>9621668</v>
      </c>
      <c r="B72" s="2" t="n">
        <v>38</v>
      </c>
      <c r="C72" s="2" t="inlineStr">
        <is>
          <t>F</t>
        </is>
      </c>
      <c r="D72" s="2" t="n">
        <v>100</v>
      </c>
      <c r="E72" s="4">
        <f>HYPERLINK("./Results/DLO\20190301_1.2.840.113619.2.311.323778572236644445970390947216178163033_304_512_512_\Osteo_Sarco_1.png","RPT")</f>
        <v/>
      </c>
      <c r="F72" s="3" t="n">
        <v>117</v>
      </c>
      <c r="G72" s="3" t="n">
        <v>10</v>
      </c>
      <c r="H72" s="7" t="n">
        <v>31.98</v>
      </c>
      <c r="I72" s="0" t="inlineStr">
        <is>
          <t>Revolution CT</t>
        </is>
      </c>
      <c r="J72" s="0" t="inlineStr">
        <is>
          <t>ABD 2.5mm</t>
        </is>
      </c>
      <c r="K72" t="n">
        <v>164</v>
      </c>
      <c r="L72" t="n">
        <v>86</v>
      </c>
      <c r="M72" t="n">
        <v>39.78</v>
      </c>
    </row>
    <row r="73">
      <c r="A73" s="2" t="n">
        <v>8787572</v>
      </c>
      <c r="B73" s="2" t="n">
        <v>38</v>
      </c>
      <c r="C73" s="2" t="inlineStr">
        <is>
          <t>F</t>
        </is>
      </c>
      <c r="D73" s="2" t="n">
        <v>100</v>
      </c>
      <c r="E73" s="4">
        <f>HYPERLINK("./Results/DLO\20180601_1.3.12.2.1107.5.1.4.54310.30000018062523303743700008453_3_512_512_\Osteo_Sarco_1.png","RPT")</f>
        <v/>
      </c>
      <c r="F73" s="3" t="n">
        <v>111</v>
      </c>
      <c r="G73" s="3" t="n">
        <v>8</v>
      </c>
      <c r="H73" s="7" t="n">
        <v>21.25</v>
      </c>
      <c r="I73" s="0" t="inlineStr">
        <is>
          <t>Sensation 64</t>
        </is>
      </c>
      <c r="J73" s="0" t="inlineStr">
        <is>
          <t>Pre Contrast 3.0 B30f</t>
        </is>
      </c>
      <c r="K73" t="n">
        <v>162.9</v>
      </c>
      <c r="L73" t="n">
        <v>56.4</v>
      </c>
      <c r="M73" t="n">
        <v>38.81</v>
      </c>
    </row>
    <row r="74">
      <c r="A74" s="2" t="n">
        <v>9421181</v>
      </c>
      <c r="B74" s="2" t="n">
        <v>38</v>
      </c>
      <c r="C74" s="2" t="inlineStr">
        <is>
          <t>F</t>
        </is>
      </c>
      <c r="D74" s="2" t="n">
        <v>100</v>
      </c>
      <c r="E74" s="4">
        <f>HYPERLINK("./Results/DLO\20180801_1.3.46.670589.33.1.63669145796550992100001.5216036111274301210_201_512_512_\Osteo_Sarco_1.png","RPT")</f>
        <v/>
      </c>
      <c r="F74" s="3" t="n">
        <v>107</v>
      </c>
      <c r="G74" s="3" t="n">
        <v>5</v>
      </c>
      <c r="H74" s="7" t="n">
        <v>19.84</v>
      </c>
      <c r="I74" s="0" t="inlineStr">
        <is>
          <t>Ingenuity Core 128</t>
        </is>
      </c>
      <c r="J74" s="0" t="inlineStr">
        <is>
          <t>Post 100/236 i3, iDose (3)</t>
        </is>
      </c>
      <c r="K74" t="n">
        <v>168</v>
      </c>
      <c r="L74" t="n">
        <v>56</v>
      </c>
      <c r="M74" t="n">
        <v>36.14</v>
      </c>
    </row>
    <row r="75">
      <c r="A75" s="2" t="n">
        <v>5255906</v>
      </c>
      <c r="B75" s="2" t="n">
        <v>38</v>
      </c>
      <c r="C75" s="2" t="inlineStr">
        <is>
          <t>F</t>
        </is>
      </c>
      <c r="D75" s="2" t="n">
        <v>100</v>
      </c>
      <c r="E75" s="4">
        <f>HYPERLINK("./Results/DLO\20200301_1.3.46.670589.33.1.63720210421776606000001.5111595564426887177_201_512_512_\Osteo_Sarco_1.png","RPT")</f>
        <v/>
      </c>
      <c r="F75" s="3" t="n">
        <v>107</v>
      </c>
      <c r="G75" s="3" t="n">
        <v>7</v>
      </c>
      <c r="H75" s="7" t="n">
        <v>19.63</v>
      </c>
      <c r="I75" s="0" t="inlineStr">
        <is>
          <t>Ingenuity Core 128</t>
        </is>
      </c>
      <c r="J75" s="0" t="inlineStr">
        <is>
          <t>Post 3mm, iDose (3)</t>
        </is>
      </c>
      <c r="K75" t="n">
        <v>158</v>
      </c>
      <c r="L75" t="n">
        <v>49</v>
      </c>
      <c r="M75" t="n">
        <v>40.06</v>
      </c>
    </row>
    <row r="76">
      <c r="A76" s="2" t="n">
        <v>9713380</v>
      </c>
      <c r="B76" s="2" t="n">
        <v>38</v>
      </c>
      <c r="C76" s="2" t="inlineStr">
        <is>
          <t>F</t>
        </is>
      </c>
      <c r="D76" s="2" t="n">
        <v>100</v>
      </c>
      <c r="E76" s="4">
        <f>HYPERLINK("./Results/DLO\20190701_1.3.12.2.1107.5.1.4.54310.30000019063022203612500047057_6_512_512_\Osteo_Sarco_1.png","RPT")</f>
        <v/>
      </c>
      <c r="F76" s="3" t="n">
        <v>104</v>
      </c>
      <c r="G76" s="3" t="n">
        <v>7</v>
      </c>
      <c r="H76" s="7" t="n">
        <v>24.53</v>
      </c>
      <c r="I76" s="0" t="inlineStr">
        <is>
          <t>Sensation 64</t>
        </is>
      </c>
      <c r="J76" s="0" t="inlineStr">
        <is>
          <t>Portal 3.0 B30f</t>
        </is>
      </c>
      <c r="K76" t="n">
        <v>161.9</v>
      </c>
      <c r="L76" t="n">
        <v>64.3</v>
      </c>
      <c r="M76" t="n">
        <v>37.01</v>
      </c>
    </row>
    <row r="77">
      <c r="A77" s="2" t="n">
        <v>9728889</v>
      </c>
      <c r="B77" s="2" t="n">
        <v>38</v>
      </c>
      <c r="C77" s="2" t="inlineStr">
        <is>
          <t>F</t>
        </is>
      </c>
      <c r="D77" s="2" t="n">
        <v>100</v>
      </c>
      <c r="E77" s="4">
        <f>HYPERLINK("./Results/DLO\20190701_1.2.840.113619.2.416.293407023531150046616968310172133605664_310_512_512_\Osteo_Sarco_1.png","RPT")</f>
        <v/>
      </c>
      <c r="F77" s="3" t="n">
        <v>103</v>
      </c>
      <c r="G77" s="3" t="n">
        <v>9</v>
      </c>
      <c r="H77" s="7" t="n">
        <v>19.2</v>
      </c>
      <c r="I77" s="0" t="inlineStr">
        <is>
          <t>Revolution CT</t>
        </is>
      </c>
      <c r="J77" s="0" t="inlineStr">
        <is>
          <t>ABD</t>
        </is>
      </c>
      <c r="K77" t="n">
        <v>163</v>
      </c>
      <c r="L77" t="n">
        <v>51</v>
      </c>
      <c r="M77" t="n">
        <v>35.38</v>
      </c>
    </row>
    <row r="78">
      <c r="A78" s="2" t="n">
        <v>8780557</v>
      </c>
      <c r="B78" s="2" t="n">
        <v>38</v>
      </c>
      <c r="C78" s="2" t="inlineStr">
        <is>
          <t>F</t>
        </is>
      </c>
      <c r="D78" s="2" t="n">
        <v>100</v>
      </c>
      <c r="E78" s="4">
        <f>HYPERLINK("./Results/DLO\20190701_1.2.840.113619.2.416.189882123197222889149481546094141653856_310_512_512_\Osteo_Sarco_1.png","RPT")</f>
        <v/>
      </c>
      <c r="F78" s="3" t="n">
        <v>101</v>
      </c>
      <c r="G78" s="3" t="n">
        <v>13</v>
      </c>
      <c r="H78" s="7" t="n">
        <v>26.8</v>
      </c>
      <c r="I78" s="0" t="inlineStr">
        <is>
          <t>Revolution CT</t>
        </is>
      </c>
      <c r="J78" s="0" t="inlineStr">
        <is>
          <t>ABD</t>
        </is>
      </c>
      <c r="K78" t="n">
        <v>156.1</v>
      </c>
      <c r="L78" t="n">
        <v>65.3</v>
      </c>
      <c r="M78" t="n">
        <v>36.11</v>
      </c>
    </row>
    <row r="79">
      <c r="A79" s="2" t="n">
        <v>9753834</v>
      </c>
      <c r="B79" s="2" t="n">
        <v>38</v>
      </c>
      <c r="C79" s="2" t="inlineStr">
        <is>
          <t>F</t>
        </is>
      </c>
      <c r="D79" s="2" t="n">
        <v>100</v>
      </c>
      <c r="E79" s="4">
        <f>HYPERLINK("./Results/DLO\20190801_1.3.12.2.1107.5.1.4.54310.30000019082606111698400010020_9_512_512_\Osteo_Sarco_1.png","RPT")</f>
        <v/>
      </c>
      <c r="F79" s="3" t="n">
        <v>100</v>
      </c>
      <c r="G79" s="3" t="n">
        <v>3</v>
      </c>
      <c r="H79" s="7" t="n">
        <v>21.2</v>
      </c>
      <c r="I79" s="0" t="inlineStr">
        <is>
          <t>Sensation 64</t>
        </is>
      </c>
      <c r="J79" s="0" t="inlineStr">
        <is>
          <t>Delay 3.0 B30f</t>
        </is>
      </c>
      <c r="K79" t="n">
        <v>156.3</v>
      </c>
      <c r="L79" t="n">
        <v>51.8</v>
      </c>
      <c r="M79" t="n">
        <v>39.71</v>
      </c>
    </row>
    <row r="80">
      <c r="A80" s="2" t="n">
        <v>9422344</v>
      </c>
      <c r="B80" s="2" t="n">
        <v>39</v>
      </c>
      <c r="C80" s="2" t="inlineStr">
        <is>
          <t>F</t>
        </is>
      </c>
      <c r="D80" s="2" t="n">
        <v>100</v>
      </c>
      <c r="E80" s="4">
        <f>HYPERLINK("./Results/DLO\20190901_1.3.12.2.1107.5.1.4.54310.30000019091721201029600034159_10_512_512_\Osteo_Sarco_1.png","RPT")</f>
        <v/>
      </c>
      <c r="F80" s="3" t="n">
        <v>94</v>
      </c>
      <c r="G80" s="3" t="n">
        <v>6</v>
      </c>
      <c r="H80" s="7" t="n">
        <v>21.47</v>
      </c>
      <c r="I80" s="0" t="inlineStr">
        <is>
          <t>Sensation 64</t>
        </is>
      </c>
      <c r="J80" s="0" t="inlineStr">
        <is>
          <t>ABD Contrast 3.0 B30f</t>
        </is>
      </c>
      <c r="K80" t="n">
        <v>164.5</v>
      </c>
      <c r="L80" t="n">
        <v>58.1</v>
      </c>
      <c r="M80" t="n">
        <v>32.52</v>
      </c>
    </row>
    <row r="81">
      <c r="A81" s="2" t="n">
        <v>9645539</v>
      </c>
      <c r="B81" s="2" t="n">
        <v>39</v>
      </c>
      <c r="C81" s="2" t="inlineStr">
        <is>
          <t>F</t>
        </is>
      </c>
      <c r="D81" s="2" t="n">
        <v>100</v>
      </c>
      <c r="E81" s="4">
        <f>HYPERLINK("./Results/DLO\20190401_1.3.12.2.1107.5.1.4.54310.30000019041623401839000011287_2_512_512_\Osteo_Sarco_1.png","RPT")</f>
        <v/>
      </c>
      <c r="F81" s="3" t="n">
        <v>91</v>
      </c>
      <c r="G81" s="3" t="n">
        <v>7</v>
      </c>
      <c r="H81" s="7" t="n">
        <v>22.29</v>
      </c>
      <c r="I81" s="0" t="inlineStr">
        <is>
          <t>Sensation 64</t>
        </is>
      </c>
      <c r="J81" s="0" t="inlineStr">
        <is>
          <t>With Contrast 3.0 B30f</t>
        </is>
      </c>
      <c r="K81" t="n">
        <v>166.1</v>
      </c>
      <c r="L81" t="n">
        <v>61.5</v>
      </c>
      <c r="M81" t="n">
        <v>30.45</v>
      </c>
    </row>
    <row r="82">
      <c r="A82" s="2" t="n">
        <v>9761446</v>
      </c>
      <c r="B82" s="2" t="n">
        <v>39</v>
      </c>
      <c r="C82" s="2" t="inlineStr">
        <is>
          <t>M</t>
        </is>
      </c>
      <c r="D82" s="2" t="n">
        <v>100</v>
      </c>
      <c r="E82" s="4">
        <f>HYPERLINK("./Results/DLO\20191001_1.3.46.670589.33.1.63707420811423841000001.4928433525527421914_201_512_512_\Osteo_Sarco_1.png","RPT")</f>
        <v/>
      </c>
      <c r="F82" s="3" t="n">
        <v>176</v>
      </c>
      <c r="G82" s="3" t="n">
        <v>8</v>
      </c>
      <c r="H82" s="7" t="n">
        <v>25.98</v>
      </c>
      <c r="I82" s="0" t="inlineStr">
        <is>
          <t>Ingenuity Core 128</t>
        </is>
      </c>
      <c r="J82" s="0" t="inlineStr">
        <is>
          <t>Post 3mm, iDose (3)</t>
        </is>
      </c>
      <c r="K82" t="n">
        <v>183</v>
      </c>
      <c r="L82" t="n">
        <v>87</v>
      </c>
      <c r="M82" t="n">
        <v>50.17</v>
      </c>
    </row>
    <row r="83">
      <c r="A83" s="2" t="n">
        <v>9145432</v>
      </c>
      <c r="B83" s="2" t="n">
        <v>39</v>
      </c>
      <c r="C83" s="2" t="inlineStr">
        <is>
          <t>M</t>
        </is>
      </c>
      <c r="D83" s="2" t="n">
        <v>100</v>
      </c>
      <c r="E83" s="4">
        <f>HYPERLINK("./Results/DLO\20190201_1.2.840.113619.2.416.286444429103534874309391188281848041470_2_512_512_\Osteo_Sarco_1.png","RPT")</f>
        <v/>
      </c>
      <c r="F83" s="3" t="n">
        <v>164</v>
      </c>
      <c r="G83" s="3" t="n">
        <v>16</v>
      </c>
      <c r="H83" s="7" t="n">
        <v>25.03</v>
      </c>
      <c r="I83" s="0" t="inlineStr">
        <is>
          <t>Revolution CT</t>
        </is>
      </c>
      <c r="J83" s="0" t="inlineStr">
        <is>
          <t>Pre</t>
        </is>
      </c>
      <c r="K83" t="n">
        <v>181</v>
      </c>
      <c r="L83" t="n">
        <v>82</v>
      </c>
      <c r="M83" t="n">
        <v>45.18</v>
      </c>
    </row>
    <row r="84">
      <c r="A84" s="2" t="n">
        <v>9591479</v>
      </c>
      <c r="B84" s="2" t="n">
        <v>39</v>
      </c>
      <c r="C84" s="2" t="inlineStr">
        <is>
          <t>M</t>
        </is>
      </c>
      <c r="D84" s="2" t="n">
        <v>100</v>
      </c>
      <c r="E84" s="4">
        <f>HYPERLINK("./Results/DLO\20190301_1.3.46.670589.33.1.63687630850180449300001.4877935569811879297_201_512_512_\Osteo_Sarco_1.png","RPT")</f>
        <v/>
      </c>
      <c r="F84" s="3" t="n">
        <v>163</v>
      </c>
      <c r="G84" s="3" t="n">
        <v>7</v>
      </c>
      <c r="H84" s="7" t="n">
        <v>24.17</v>
      </c>
      <c r="I84" s="0" t="inlineStr">
        <is>
          <t>Ingenuity Core 128</t>
        </is>
      </c>
      <c r="J84" s="0" t="inlineStr">
        <is>
          <t>Post 3mm, iDose (3)</t>
        </is>
      </c>
      <c r="K84" t="n">
        <v>174.4</v>
      </c>
      <c r="L84" t="n">
        <v>73.5</v>
      </c>
      <c r="M84" t="n">
        <v>51.29</v>
      </c>
    </row>
    <row r="85">
      <c r="A85" s="2" t="n">
        <v>8321551</v>
      </c>
      <c r="B85" s="2" t="n">
        <v>39</v>
      </c>
      <c r="C85" s="2" t="inlineStr">
        <is>
          <t>M</t>
        </is>
      </c>
      <c r="D85" s="2" t="n">
        <v>100</v>
      </c>
      <c r="E85" s="4">
        <f>HYPERLINK("./Results/DLO\20180201_1.3.12.2.1107.5.1.4.54310.30000018020823081534300020230_3_512_512_\Osteo_Sarco_1.png","RPT")</f>
        <v/>
      </c>
      <c r="F85" s="3" t="n">
        <v>157</v>
      </c>
      <c r="G85" s="3" t="n">
        <v>3</v>
      </c>
      <c r="H85" s="7" t="n">
        <v>25.06</v>
      </c>
      <c r="I85" s="0" t="inlineStr">
        <is>
          <t>Sensation 64</t>
        </is>
      </c>
      <c r="J85" s="0" t="inlineStr">
        <is>
          <t>With Contrast 3.0 B30f</t>
        </is>
      </c>
      <c r="K85" t="n">
        <v>173</v>
      </c>
      <c r="L85" t="n">
        <v>75</v>
      </c>
      <c r="M85" t="n">
        <v>51.46</v>
      </c>
    </row>
    <row r="86">
      <c r="A86" s="2" t="n">
        <v>9526643</v>
      </c>
      <c r="B86" s="2" t="n">
        <v>39</v>
      </c>
      <c r="C86" s="2" t="inlineStr">
        <is>
          <t>F</t>
        </is>
      </c>
      <c r="D86" s="2" t="n">
        <v>100</v>
      </c>
      <c r="E86" s="4">
        <f>HYPERLINK("./Results/DLO\20181201_1.2.840.113619.2.94.485650834948.2.9256284.20156624.1_2_512_512_\Osteo_Sarco_1.png","RPT")</f>
        <v/>
      </c>
      <c r="F86" s="3" t="n">
        <v>148</v>
      </c>
      <c r="G86" s="3" t="n">
        <v>6</v>
      </c>
      <c r="H86" s="7" t="n">
        <v>29.05</v>
      </c>
      <c r="I86" s="0" t="inlineStr">
        <is>
          <t>Sensation 64</t>
        </is>
      </c>
      <c r="J86" s="0" t="inlineStr">
        <is>
          <t>With Contrast 3.0 B30f</t>
        </is>
      </c>
      <c r="K86" t="n">
        <v>164.5</v>
      </c>
      <c r="L86" t="n">
        <v>78.59999999999999</v>
      </c>
      <c r="M86" t="n">
        <v>52.48</v>
      </c>
    </row>
    <row r="87">
      <c r="A87" s="2" t="n">
        <v>5881841</v>
      </c>
      <c r="B87" s="2" t="n">
        <v>39</v>
      </c>
      <c r="C87" s="2" t="inlineStr">
        <is>
          <t>M</t>
        </is>
      </c>
      <c r="D87" s="2" t="n">
        <v>100</v>
      </c>
      <c r="E87" s="4">
        <f>HYPERLINK("./Results/DLO\20190401_1.3.46.670589.33.1.63689796360071645200001.5137157322829333803_201_512_512_\Osteo_Sarco_1.png","RPT")</f>
        <v/>
      </c>
      <c r="F87" s="3" t="n">
        <v>138</v>
      </c>
      <c r="G87" s="3" t="n">
        <v>8</v>
      </c>
      <c r="H87" s="7" t="n">
        <v>23.94</v>
      </c>
      <c r="I87" s="0" t="inlineStr">
        <is>
          <t>Ingenuity Core 128</t>
        </is>
      </c>
      <c r="J87" s="0" t="inlineStr">
        <is>
          <t>Pre 3mm, iDose (4)</t>
        </is>
      </c>
      <c r="K87" t="n">
        <v>171</v>
      </c>
      <c r="L87" t="n">
        <v>70</v>
      </c>
      <c r="M87" t="n">
        <v>44.46</v>
      </c>
    </row>
    <row r="88">
      <c r="A88" s="2" t="n">
        <v>6742595</v>
      </c>
      <c r="B88" s="2" t="n">
        <v>39</v>
      </c>
      <c r="C88" s="2" t="inlineStr">
        <is>
          <t>F</t>
        </is>
      </c>
      <c r="D88" s="2" t="n">
        <v>100</v>
      </c>
      <c r="E88" s="4">
        <f>HYPERLINK("./Results/DLO\20190301_1.3.46.670589.33.1.63688498286535111200001.5671789091801374539_601_512_512_\Osteo_Sarco_1.png","RPT")</f>
        <v/>
      </c>
      <c r="F88" s="3" t="n">
        <v>121</v>
      </c>
      <c r="G88" s="3" t="n">
        <v>19</v>
      </c>
      <c r="H88" s="7" t="n">
        <v>27.24</v>
      </c>
      <c r="I88" s="0" t="inlineStr">
        <is>
          <t>Ingenuity Core 128</t>
        </is>
      </c>
      <c r="J88" s="0" t="inlineStr">
        <is>
          <t>Post 3mm, iDose (3)</t>
        </is>
      </c>
      <c r="K88" t="n">
        <v>158</v>
      </c>
      <c r="L88" t="n">
        <v>68</v>
      </c>
      <c r="M88" t="n">
        <v>40.86</v>
      </c>
    </row>
    <row r="89">
      <c r="A89" s="2" t="n">
        <v>9001439</v>
      </c>
      <c r="B89" s="2" t="n">
        <v>39</v>
      </c>
      <c r="C89" s="2" t="inlineStr">
        <is>
          <t>F</t>
        </is>
      </c>
      <c r="D89" s="2" t="n">
        <v>100</v>
      </c>
      <c r="E89" s="4">
        <f>HYPERLINK("./Results/DLO\20191001_1.2.840.113619.2.416.209243786893483978695900150116539228423_310_512_512_\Osteo_Sarco_1.png","RPT")</f>
        <v/>
      </c>
      <c r="F89" s="3" t="n">
        <v>119</v>
      </c>
      <c r="G89" s="3" t="n">
        <v>11</v>
      </c>
      <c r="H89" s="7" t="n">
        <v>27.46</v>
      </c>
      <c r="I89" s="0" t="inlineStr">
        <is>
          <t>Revolution CT</t>
        </is>
      </c>
      <c r="J89" s="0" t="inlineStr">
        <is>
          <t>ABD</t>
        </is>
      </c>
      <c r="K89" t="n">
        <v>161.7</v>
      </c>
      <c r="L89" t="n">
        <v>71.8</v>
      </c>
      <c r="M89" t="n">
        <v>41.31</v>
      </c>
    </row>
    <row r="90">
      <c r="A90" s="2" t="n">
        <v>8441839</v>
      </c>
      <c r="B90" s="2" t="n">
        <v>39</v>
      </c>
      <c r="C90" s="2" t="inlineStr">
        <is>
          <t>F</t>
        </is>
      </c>
      <c r="D90" s="2" t="n">
        <v>100</v>
      </c>
      <c r="E90" s="4">
        <f>HYPERLINK("./Results/DLO\20200501_1.2.840.113619.2.416.232680416464345963689647870057027769241_307_512_512_\Osteo_Sarco_1.png","RPT")</f>
        <v/>
      </c>
      <c r="F90" s="3" t="n">
        <v>117</v>
      </c>
      <c r="G90" s="3" t="n">
        <v>7</v>
      </c>
      <c r="H90" s="6" t="n">
        <v>18.67</v>
      </c>
      <c r="I90" s="0" t="inlineStr">
        <is>
          <t>Revolution CT</t>
        </is>
      </c>
      <c r="J90" s="0" t="inlineStr">
        <is>
          <t>ABD</t>
        </is>
      </c>
      <c r="K90" t="n">
        <v>165.1</v>
      </c>
      <c r="L90" t="n">
        <v>50.9</v>
      </c>
      <c r="M90" t="n">
        <v>40.36</v>
      </c>
    </row>
    <row r="91">
      <c r="A91" s="2" t="n">
        <v>1174889</v>
      </c>
      <c r="B91" s="2" t="n">
        <v>39</v>
      </c>
      <c r="C91" s="2" t="inlineStr">
        <is>
          <t>F</t>
        </is>
      </c>
      <c r="D91" s="2" t="n">
        <v>100</v>
      </c>
      <c r="E91" s="4">
        <f>HYPERLINK("./Results/DLO\20190801_1.3.12.2.1107.5.1.4.65253.30000019081419583491200042011_2_512_512_\Osteo_Sarco_1.png","RPT")</f>
        <v/>
      </c>
      <c r="F91" s="3" t="n">
        <v>110</v>
      </c>
      <c r="G91" s="3" t="n">
        <v>8</v>
      </c>
      <c r="H91" s="7" t="n">
        <v>22.1</v>
      </c>
      <c r="I91" s="0" t="inlineStr">
        <is>
          <t>SOMATOM Definition AS</t>
        </is>
      </c>
      <c r="J91" s="0" t="inlineStr">
        <is>
          <t>Pre Contrast 3.0 B30f</t>
        </is>
      </c>
      <c r="K91" t="n">
        <v>162</v>
      </c>
      <c r="L91" t="n">
        <v>58</v>
      </c>
      <c r="M91" t="n">
        <v>38.87</v>
      </c>
    </row>
    <row r="92">
      <c r="A92" s="2" t="n">
        <v>5022247</v>
      </c>
      <c r="B92" s="2" t="n">
        <v>39</v>
      </c>
      <c r="C92" s="2" t="inlineStr">
        <is>
          <t>F</t>
        </is>
      </c>
      <c r="D92" s="2" t="n">
        <v>100</v>
      </c>
      <c r="E92" s="4">
        <f>HYPERLINK("./Results/DLO\20180301_1.3.12.2.1107.5.1.4.54310.30000018031323122990600006465_2_512_512_\Osteo_Sarco_1.png","RPT")</f>
        <v/>
      </c>
      <c r="F92" s="3" t="n">
        <v>104</v>
      </c>
      <c r="G92" s="3" t="n">
        <v>3</v>
      </c>
      <c r="H92" s="7" t="n">
        <v>21.91</v>
      </c>
      <c r="I92" s="0" t="inlineStr">
        <is>
          <t>Sensation 64</t>
        </is>
      </c>
      <c r="J92" s="0" t="inlineStr">
        <is>
          <t>With Contrast 3.0 B30f</t>
        </is>
      </c>
      <c r="K92" t="n">
        <v>157</v>
      </c>
      <c r="L92" t="n">
        <v>54</v>
      </c>
      <c r="M92" t="n">
        <v>40.98</v>
      </c>
    </row>
    <row r="93">
      <c r="A93" s="2" t="n">
        <v>6742849</v>
      </c>
      <c r="B93" s="2" t="n">
        <v>40</v>
      </c>
      <c r="C93" s="2" t="inlineStr">
        <is>
          <t>F</t>
        </is>
      </c>
      <c r="D93" s="2" t="n">
        <v>100</v>
      </c>
      <c r="E93" s="4">
        <f>HYPERLINK("./Results/DLO\20181201_1.3.12.2.1107.5.1.4.54310.30000018120323385423400010794_2_512_512_\Osteo_Sarco_1.png","RPT")</f>
        <v/>
      </c>
      <c r="F93" s="3" t="n">
        <v>95</v>
      </c>
      <c r="G93" s="3" t="n">
        <v>7</v>
      </c>
      <c r="H93" s="7" t="n">
        <v>22.47</v>
      </c>
      <c r="I93" s="0" t="inlineStr">
        <is>
          <t>Sensation 64</t>
        </is>
      </c>
      <c r="J93" s="0" t="inlineStr">
        <is>
          <t>With Contrast 3.0 B30f</t>
        </is>
      </c>
      <c r="K93" t="n">
        <v>153</v>
      </c>
      <c r="L93" t="n">
        <v>52.6</v>
      </c>
      <c r="M93" t="n">
        <v>37.59</v>
      </c>
    </row>
    <row r="94">
      <c r="A94" s="2" t="n">
        <v>9854078</v>
      </c>
      <c r="B94" s="2" t="n">
        <v>40</v>
      </c>
      <c r="C94" s="2" t="inlineStr">
        <is>
          <t>F</t>
        </is>
      </c>
      <c r="D94" s="2" t="n">
        <v>100</v>
      </c>
      <c r="E94" s="4">
        <f>HYPERLINK("./Results/DLO\20191201_1.3.46.670589.33.1.63710898354030997800001.5330313058770449455_201_512_512_\Osteo_Sarco_1.png","RPT")</f>
        <v/>
      </c>
      <c r="F94" s="3" t="n">
        <v>95</v>
      </c>
      <c r="G94" s="3" t="n">
        <v>7</v>
      </c>
      <c r="H94" s="7" t="n">
        <v>24.39</v>
      </c>
      <c r="I94" s="0" t="inlineStr">
        <is>
          <t>Ingenuity Core 128</t>
        </is>
      </c>
      <c r="J94" s="0" t="inlineStr">
        <is>
          <t>Pre 3mm, iDose (3)</t>
        </is>
      </c>
      <c r="K94" t="n">
        <v>162</v>
      </c>
      <c r="L94" t="n">
        <v>64</v>
      </c>
      <c r="M94" t="n">
        <v>33.53</v>
      </c>
    </row>
    <row r="95">
      <c r="A95" s="2" t="n">
        <v>8465181</v>
      </c>
      <c r="B95" s="2" t="n">
        <v>40</v>
      </c>
      <c r="C95" s="2" t="inlineStr">
        <is>
          <t>F</t>
        </is>
      </c>
      <c r="D95" s="2" t="n">
        <v>100</v>
      </c>
      <c r="E95" s="4">
        <f>HYPERLINK("./Results/DLO\20190901_1.3.46.670589.33.1.63703202176500537700001.5354691177786904448_201_512_512_\Osteo_Sarco_1.png","RPT")</f>
        <v/>
      </c>
      <c r="F95" s="3" t="n">
        <v>94</v>
      </c>
      <c r="G95" s="3" t="n">
        <v>5</v>
      </c>
      <c r="H95" s="7" t="n">
        <v>18.36</v>
      </c>
      <c r="I95" s="0" t="inlineStr">
        <is>
          <t>Ingenuity Core 128</t>
        </is>
      </c>
      <c r="J95" s="0" t="inlineStr">
        <is>
          <t>Post 3mm, iDose (3)</t>
        </is>
      </c>
      <c r="K95" t="n">
        <v>160</v>
      </c>
      <c r="L95" t="n">
        <v>47</v>
      </c>
      <c r="M95" t="n">
        <v>34.77</v>
      </c>
    </row>
    <row r="96">
      <c r="A96" s="2" t="n">
        <v>5023482</v>
      </c>
      <c r="B96" s="2" t="n">
        <v>40</v>
      </c>
      <c r="C96" s="2" t="inlineStr">
        <is>
          <t>F</t>
        </is>
      </c>
      <c r="D96" s="2" t="n">
        <v>100</v>
      </c>
      <c r="E96" s="4">
        <f>HYPERLINK("./Results/DLO\20181201_1.2.840.113619.2.94.485650834948.2.9255849.20155412.1_304_512_512_\Osteo_Sarco_1.png","RPT")</f>
        <v/>
      </c>
      <c r="F96" s="3" t="n">
        <v>93</v>
      </c>
      <c r="G96" s="3" t="n">
        <v>5</v>
      </c>
      <c r="H96" s="7" t="n">
        <v>19.33</v>
      </c>
      <c r="I96" s="0" t="inlineStr">
        <is>
          <t>Revolution CT</t>
        </is>
      </c>
      <c r="J96" s="0" t="inlineStr">
        <is>
          <t>ABD 2.5mm</t>
        </is>
      </c>
      <c r="K96" t="n">
        <v>150.7</v>
      </c>
      <c r="L96" t="n">
        <v>43.9</v>
      </c>
      <c r="M96" t="n">
        <v>38.75</v>
      </c>
    </row>
    <row r="97">
      <c r="A97" s="2" t="n">
        <v>9739190</v>
      </c>
      <c r="B97" s="2" t="n">
        <v>40</v>
      </c>
      <c r="C97" s="2" t="inlineStr">
        <is>
          <t>F</t>
        </is>
      </c>
      <c r="D97" s="2" t="n">
        <v>100</v>
      </c>
      <c r="E97" s="4">
        <f>HYPERLINK("./Results/DLO\20190701_1.2.840.113619.2.416.294430773721640252847544762112197445307_310_512_512_\Osteo_Sarco_1.png","RPT")</f>
        <v/>
      </c>
      <c r="F97" s="3" t="n">
        <v>92</v>
      </c>
      <c r="G97" s="3" t="n">
        <v>5</v>
      </c>
      <c r="H97" s="7" t="n">
        <v>18.44</v>
      </c>
      <c r="I97" s="0" t="inlineStr">
        <is>
          <t>Revolution CT</t>
        </is>
      </c>
      <c r="J97" s="0" t="inlineStr">
        <is>
          <t>ABD</t>
        </is>
      </c>
      <c r="K97" t="n">
        <v>162</v>
      </c>
      <c r="L97" t="n">
        <v>48.4</v>
      </c>
      <c r="M97" t="n">
        <v>33.15</v>
      </c>
    </row>
    <row r="98">
      <c r="A98" s="2" t="n">
        <v>6738893</v>
      </c>
      <c r="B98" s="2" t="n">
        <v>40</v>
      </c>
      <c r="C98" s="2" t="inlineStr">
        <is>
          <t>F</t>
        </is>
      </c>
      <c r="D98" s="2" t="n">
        <v>100</v>
      </c>
      <c r="E98" s="4">
        <f>HYPERLINK("./Results/DLO\20181001_1.2.840.113619.2.94.485650834948.2.9168171.19937437.1_2_512_512_\Osteo_Sarco_1.png","RPT")</f>
        <v/>
      </c>
      <c r="F98" s="3" t="n">
        <v>89</v>
      </c>
      <c r="G98" s="3" t="n">
        <v>7</v>
      </c>
      <c r="H98" s="7" t="n">
        <v>20.78</v>
      </c>
      <c r="I98" s="0" t="inlineStr">
        <is>
          <t>Sensation 64</t>
        </is>
      </c>
      <c r="J98" s="0" t="inlineStr">
        <is>
          <t>With Contrast 3.0 B30f</t>
        </is>
      </c>
      <c r="K98" t="n">
        <v>148.8</v>
      </c>
      <c r="L98" t="n">
        <v>46</v>
      </c>
      <c r="M98" t="n">
        <v>37.03</v>
      </c>
    </row>
    <row r="99">
      <c r="A99" s="2" t="n">
        <v>8451636</v>
      </c>
      <c r="B99" s="2" t="n">
        <v>40</v>
      </c>
      <c r="C99" s="2" t="inlineStr">
        <is>
          <t>F</t>
        </is>
      </c>
      <c r="D99" s="2" t="n">
        <v>100</v>
      </c>
      <c r="E99" s="4">
        <f>HYPERLINK("./Results/DLO\20180201_1.3.12.2.1107.5.1.4.54310.30000018020523134789000006625_2_512_512_\Osteo_Sarco_1.png","RPT")</f>
        <v/>
      </c>
      <c r="F99" s="3" t="n">
        <v>75</v>
      </c>
      <c r="G99" s="3" t="n">
        <v>5</v>
      </c>
      <c r="H99" s="7" t="n">
        <v>18.38</v>
      </c>
      <c r="I99" s="0" t="inlineStr">
        <is>
          <t>Sensation 64</t>
        </is>
      </c>
      <c r="J99" s="0" t="inlineStr">
        <is>
          <t>With Contrast 3.0 B30f</t>
        </is>
      </c>
      <c r="K99" t="n">
        <v>157.5</v>
      </c>
      <c r="L99" t="n">
        <v>45.6</v>
      </c>
      <c r="M99" t="n">
        <v>28.22</v>
      </c>
    </row>
    <row r="100">
      <c r="A100" s="2" t="n">
        <v>9529065</v>
      </c>
      <c r="B100" s="2" t="n">
        <v>40</v>
      </c>
      <c r="C100" s="2" t="inlineStr">
        <is>
          <t>M</t>
        </is>
      </c>
      <c r="D100" s="2" t="n">
        <v>100</v>
      </c>
      <c r="E100" s="4">
        <f>HYPERLINK("./Results/DLO\20181201_1.3.46.670589.33.1.63681417777591674100001.5184510700061143948_201_512_512_\Osteo_Sarco_1.png","RPT")</f>
        <v/>
      </c>
      <c r="F100" s="3" t="n">
        <v>161</v>
      </c>
      <c r="G100" s="3" t="n">
        <v>5</v>
      </c>
      <c r="H100" s="7" t="n">
        <v>23.3</v>
      </c>
      <c r="I100" s="0" t="inlineStr">
        <is>
          <t>Ingenuity Core 128</t>
        </is>
      </c>
      <c r="J100" s="0" t="inlineStr">
        <is>
          <t>Post 3mm, iDose (3)</t>
        </is>
      </c>
      <c r="K100" t="n">
        <v>177</v>
      </c>
      <c r="L100" t="n">
        <v>73</v>
      </c>
      <c r="M100" t="n">
        <v>49.79</v>
      </c>
    </row>
    <row r="101">
      <c r="A101" s="2" t="n">
        <v>9518320</v>
      </c>
      <c r="B101" s="2" t="n">
        <v>40</v>
      </c>
      <c r="C101" s="2" t="inlineStr">
        <is>
          <t>M</t>
        </is>
      </c>
      <c r="D101" s="2" t="n">
        <v>100</v>
      </c>
      <c r="E101" s="4">
        <f>HYPERLINK("./Results/DLO\20191201_1.3.46.670589.33.1.63712341551343209400001.4732100910361666900_201_512_512_\Osteo_Sarco_1.png","RPT")</f>
        <v/>
      </c>
      <c r="F101" s="3" t="n">
        <v>160</v>
      </c>
      <c r="G101" s="3" t="n">
        <v>9</v>
      </c>
      <c r="H101" s="7" t="n">
        <v>25.35</v>
      </c>
      <c r="I101" s="0" t="inlineStr">
        <is>
          <t>Ingenuity Core 128</t>
        </is>
      </c>
      <c r="J101" s="0" t="inlineStr">
        <is>
          <t>Post 3mm, iDose (3)</t>
        </is>
      </c>
      <c r="K101" t="n">
        <v>172</v>
      </c>
      <c r="L101" t="n">
        <v>75</v>
      </c>
      <c r="M101" t="n">
        <v>51.04</v>
      </c>
    </row>
    <row r="102">
      <c r="A102" s="2" t="n">
        <v>9432556</v>
      </c>
      <c r="B102" s="2" t="n">
        <v>40</v>
      </c>
      <c r="C102" s="2" t="inlineStr">
        <is>
          <t>M</t>
        </is>
      </c>
      <c r="D102" s="2" t="n">
        <v>100</v>
      </c>
      <c r="E102" s="4">
        <f>HYPERLINK("./Results/DLO\20181101_1.3.46.670589.33.1.63678738590672849200001.5585514201982582640_201_512_512_\Osteo_Sarco_1.png","RPT")</f>
        <v/>
      </c>
      <c r="F102" s="3" t="n">
        <v>158</v>
      </c>
      <c r="G102" s="3" t="n">
        <v>12</v>
      </c>
      <c r="H102" s="7" t="n">
        <v>24.11</v>
      </c>
      <c r="I102" s="0" t="inlineStr">
        <is>
          <t>Ingenuity Core 128</t>
        </is>
      </c>
      <c r="J102" s="0" t="inlineStr">
        <is>
          <t>Post 100/236 i3, iDose (3)</t>
        </is>
      </c>
      <c r="K102" t="n">
        <v>174</v>
      </c>
      <c r="L102" t="n">
        <v>73</v>
      </c>
      <c r="M102" t="n">
        <v>48.22</v>
      </c>
    </row>
    <row r="103">
      <c r="A103" s="2" t="n">
        <v>3426570</v>
      </c>
      <c r="B103" s="2" t="n">
        <v>40</v>
      </c>
      <c r="C103" s="2" t="inlineStr">
        <is>
          <t>M</t>
        </is>
      </c>
      <c r="D103" s="2" t="n">
        <v>100</v>
      </c>
      <c r="E103" s="4">
        <f>HYPERLINK("./Results/DLO\20190901_1.3.12.2.1107.5.1.4.54310.30000019090121244076500061870_7_512_512_\Osteo_Sarco_1.png","RPT")</f>
        <v/>
      </c>
      <c r="F103" s="3" t="n">
        <v>143</v>
      </c>
      <c r="G103" s="3" t="n">
        <v>5</v>
      </c>
      <c r="H103" s="7" t="n">
        <v>22.84</v>
      </c>
      <c r="I103" s="0" t="inlineStr">
        <is>
          <t>Sensation 64</t>
        </is>
      </c>
      <c r="J103" s="0" t="inlineStr">
        <is>
          <t>ABD Contrast 3.0 B30f</t>
        </is>
      </c>
      <c r="K103" t="n">
        <v>170</v>
      </c>
      <c r="L103" t="n">
        <v>66</v>
      </c>
      <c r="M103" t="n">
        <v>47.75</v>
      </c>
    </row>
    <row r="104">
      <c r="A104" s="2" t="n">
        <v>9001866</v>
      </c>
      <c r="B104" s="2" t="n">
        <v>40</v>
      </c>
      <c r="C104" s="2" t="inlineStr">
        <is>
          <t>F</t>
        </is>
      </c>
      <c r="D104" s="2" t="n">
        <v>100</v>
      </c>
      <c r="E104" s="4">
        <f>HYPERLINK("./Results/DLO\20190801_1.3.12.2.1107.5.1.4.54310.30000019082622275389000043275_10_512_512_\Osteo_Sarco_1.png","RPT")</f>
        <v/>
      </c>
      <c r="F104" s="3" t="n">
        <v>118</v>
      </c>
      <c r="G104" s="3" t="n">
        <v>7</v>
      </c>
      <c r="H104" s="7" t="n">
        <v>27.53</v>
      </c>
      <c r="I104" s="0" t="inlineStr">
        <is>
          <t>Sensation 64</t>
        </is>
      </c>
      <c r="J104" s="0" t="inlineStr">
        <is>
          <t>ABD Contrast 3.0 B30f</t>
        </is>
      </c>
      <c r="K104" t="n">
        <v>164.6</v>
      </c>
      <c r="L104" t="n">
        <v>74.59999999999999</v>
      </c>
      <c r="M104" t="n">
        <v>40.97</v>
      </c>
    </row>
    <row r="105">
      <c r="A105" s="2" t="n">
        <v>1146907</v>
      </c>
      <c r="B105" s="2" t="n">
        <v>40</v>
      </c>
      <c r="C105" s="2" t="inlineStr">
        <is>
          <t>F</t>
        </is>
      </c>
      <c r="D105" s="2" t="n">
        <v>100</v>
      </c>
      <c r="E105" s="4">
        <f>HYPERLINK("./Results/DLO\20180601_1.2.840.113619.2.416.1105822604560446660898534615427058006_304_512_512_\Osteo_Sarco_1.png","RPT")</f>
        <v/>
      </c>
      <c r="F105" s="3" t="n">
        <v>101</v>
      </c>
      <c r="G105" s="3" t="n">
        <v>12</v>
      </c>
      <c r="H105" s="7" t="n">
        <v>23.6</v>
      </c>
      <c r="I105" s="0" t="inlineStr">
        <is>
          <t>Revolution CT</t>
        </is>
      </c>
      <c r="J105" s="0" t="inlineStr">
        <is>
          <t>ABD 2.5mm</t>
        </is>
      </c>
      <c r="K105" t="n">
        <v>162.6</v>
      </c>
      <c r="L105" t="n">
        <v>62.4</v>
      </c>
      <c r="M105" t="n">
        <v>33.66</v>
      </c>
    </row>
    <row r="106">
      <c r="A106" s="2" t="n">
        <v>9440805</v>
      </c>
      <c r="B106" s="2" t="n">
        <v>40</v>
      </c>
      <c r="C106" s="2" t="inlineStr">
        <is>
          <t>F</t>
        </is>
      </c>
      <c r="D106" s="2" t="n">
        <v>100</v>
      </c>
      <c r="E106" s="4">
        <f>HYPERLINK("./Results/DLO\20180901_1.3.12.2.1107.5.1.4.65253.30000018091320460370100000000_2_512_512_\Osteo_Sarco_1.png","RPT")</f>
        <v/>
      </c>
      <c r="F106" s="3" t="n">
        <v>101</v>
      </c>
      <c r="G106" s="3" t="n">
        <v>9</v>
      </c>
      <c r="H106" s="7" t="n">
        <v>21.2</v>
      </c>
      <c r="I106" s="0" t="inlineStr">
        <is>
          <t>SOMATOM Definition AS</t>
        </is>
      </c>
      <c r="J106" s="0" t="inlineStr">
        <is>
          <t>Pre 3.0 B30f</t>
        </is>
      </c>
      <c r="K106" t="n">
        <v>163.7</v>
      </c>
      <c r="L106" t="n">
        <v>56.8</v>
      </c>
      <c r="M106" t="n">
        <v>34.33</v>
      </c>
    </row>
    <row r="107">
      <c r="A107" s="2" t="n">
        <v>9967143</v>
      </c>
      <c r="B107" s="2" t="n">
        <v>41</v>
      </c>
      <c r="C107" s="2" t="inlineStr">
        <is>
          <t>F</t>
        </is>
      </c>
      <c r="D107" s="2" t="n">
        <v>100</v>
      </c>
      <c r="E107" s="4">
        <f>HYPERLINK("./Results/DLO\20200401_1.2.840.113619.2.416.274683203452496887537421790857049584715_309_512_512_\Osteo_Sarco_1.png","RPT")</f>
        <v/>
      </c>
      <c r="F107" s="3" t="n">
        <v>95</v>
      </c>
      <c r="G107" s="3" t="n">
        <v>6</v>
      </c>
      <c r="H107" s="7" t="n">
        <v>22.77</v>
      </c>
      <c r="I107" s="0" t="inlineStr">
        <is>
          <t>Revolution CT</t>
        </is>
      </c>
      <c r="J107" s="0" t="inlineStr">
        <is>
          <t>Contrast</t>
        </is>
      </c>
      <c r="K107" t="n">
        <v>154</v>
      </c>
      <c r="L107" t="n">
        <v>54</v>
      </c>
      <c r="M107" t="n">
        <v>37.53</v>
      </c>
    </row>
    <row r="108">
      <c r="A108" s="2" t="n">
        <v>8920671</v>
      </c>
      <c r="B108" s="2" t="n">
        <v>41</v>
      </c>
      <c r="C108" s="2" t="inlineStr">
        <is>
          <t>F</t>
        </is>
      </c>
      <c r="D108" s="2" t="n">
        <v>100</v>
      </c>
      <c r="E108" s="4">
        <f>HYPERLINK("./Results/DLO\20180401_1.2.840.113619.2.311.75412727217786849284846216153291557481_304_512_512_\Osteo_Sarco_1.png","RPT")</f>
        <v/>
      </c>
      <c r="F108" s="3" t="n">
        <v>91</v>
      </c>
      <c r="G108" s="3" t="n">
        <v>9</v>
      </c>
      <c r="H108" s="7" t="n">
        <v>22.8</v>
      </c>
      <c r="I108" s="0" t="inlineStr">
        <is>
          <t>Revolution CT</t>
        </is>
      </c>
      <c r="J108" s="0" t="inlineStr">
        <is>
          <t>ABD 2.5mm</t>
        </is>
      </c>
      <c r="K108" t="n">
        <v>158.4</v>
      </c>
      <c r="L108" t="n">
        <v>57.2</v>
      </c>
      <c r="M108" t="n">
        <v>32.68</v>
      </c>
    </row>
    <row r="109">
      <c r="A109" s="2" t="n">
        <v>8720123</v>
      </c>
      <c r="B109" s="2" t="n">
        <v>41</v>
      </c>
      <c r="C109" s="2" t="inlineStr">
        <is>
          <t>F</t>
        </is>
      </c>
      <c r="D109" s="2" t="n">
        <v>100</v>
      </c>
      <c r="E109" s="4">
        <f>HYPERLINK("./Results/DLO\20180801_1.2.840.113619.2.416.324446520429908659643245001372403521196_304_512_512_\Osteo_Sarco_1.png","RPT")</f>
        <v/>
      </c>
      <c r="F109" s="3" t="n">
        <v>91</v>
      </c>
      <c r="G109" s="3" t="n">
        <v>8</v>
      </c>
      <c r="H109" s="7" t="n">
        <v>19.42</v>
      </c>
      <c r="I109" s="0" t="inlineStr">
        <is>
          <t>Revolution CT</t>
        </is>
      </c>
      <c r="J109" s="0" t="inlineStr">
        <is>
          <t>ABD 2.5mm</t>
        </is>
      </c>
      <c r="K109" t="n">
        <v>162.2</v>
      </c>
      <c r="L109" t="n">
        <v>51.1</v>
      </c>
      <c r="M109" t="n">
        <v>31.55</v>
      </c>
    </row>
    <row r="110">
      <c r="A110" s="2" t="n">
        <v>9623536</v>
      </c>
      <c r="B110" s="2" t="n">
        <v>41</v>
      </c>
      <c r="C110" s="2" t="inlineStr">
        <is>
          <t>F</t>
        </is>
      </c>
      <c r="D110" s="2" t="n">
        <v>100</v>
      </c>
      <c r="E110" s="4">
        <f>HYPERLINK("./Results/DLO\20190301_1.3.12.2.1107.5.1.4.54310.30000019032123303645300070249_6_512_512_\Osteo_Sarco_1.png","RPT")</f>
        <v/>
      </c>
      <c r="F110" s="3" t="n">
        <v>91</v>
      </c>
      <c r="G110" s="3" t="n">
        <v>8</v>
      </c>
      <c r="H110" s="6" t="n">
        <v>23.88</v>
      </c>
      <c r="I110" s="0" t="inlineStr">
        <is>
          <t>Sensation 64</t>
        </is>
      </c>
      <c r="J110" s="0" t="inlineStr">
        <is>
          <t>2min-delay 3.0 B30f</t>
        </is>
      </c>
      <c r="K110" t="n">
        <v>154.1</v>
      </c>
      <c r="L110" t="n">
        <v>56.7</v>
      </c>
      <c r="M110" t="n">
        <v>34.95</v>
      </c>
    </row>
    <row r="111">
      <c r="A111" s="2" t="n">
        <v>9493637</v>
      </c>
      <c r="B111" s="2" t="n">
        <v>41</v>
      </c>
      <c r="C111" s="2" t="inlineStr">
        <is>
          <t>F</t>
        </is>
      </c>
      <c r="D111" s="2" t="n">
        <v>100</v>
      </c>
      <c r="E111" s="4">
        <f>HYPERLINK("./Results/DLO\20181001_1.2.840.113619.2.311.40082382207522776779908418122121477669_303_512_512_\Osteo_Sarco_1.png","RPT")</f>
        <v/>
      </c>
      <c r="F111" s="3" t="n">
        <v>84</v>
      </c>
      <c r="G111" s="3" t="n">
        <v>6</v>
      </c>
      <c r="H111" s="7" t="n">
        <v>21.02</v>
      </c>
      <c r="I111" s="0" t="inlineStr">
        <is>
          <t>Revolution CT</t>
        </is>
      </c>
      <c r="J111" s="0" t="inlineStr">
        <is>
          <t>ABD 2.5mm</t>
        </is>
      </c>
      <c r="K111" t="n">
        <v>161.3</v>
      </c>
      <c r="L111" t="n">
        <v>54.7</v>
      </c>
      <c r="M111" t="n">
        <v>29.98</v>
      </c>
    </row>
    <row r="112">
      <c r="A112" s="2" t="n">
        <v>8863929</v>
      </c>
      <c r="B112" s="2" t="n">
        <v>41</v>
      </c>
      <c r="C112" s="2" t="inlineStr">
        <is>
          <t>F</t>
        </is>
      </c>
      <c r="D112" s="2" t="n">
        <v>100</v>
      </c>
      <c r="E112" s="4">
        <f>HYPERLINK("./Results/DLO\20190401_1.2.840.113619.2.311.270481087823378260689283211201196453862_304_512_512_\Osteo_Sarco_1.png","RPT")</f>
        <v/>
      </c>
      <c r="F112" s="3" t="n">
        <v>80</v>
      </c>
      <c r="G112" s="3" t="n">
        <v>5</v>
      </c>
      <c r="H112" s="7" t="n">
        <v>20.77</v>
      </c>
      <c r="I112" s="0" t="inlineStr">
        <is>
          <t>Revolution CT</t>
        </is>
      </c>
      <c r="J112" s="0" t="inlineStr">
        <is>
          <t>ABD 2.5mm</t>
        </is>
      </c>
      <c r="K112" t="n">
        <v>156.4</v>
      </c>
      <c r="L112" t="n">
        <v>50.8</v>
      </c>
      <c r="M112" t="n">
        <v>30.66</v>
      </c>
    </row>
    <row r="113">
      <c r="A113" s="2" t="n">
        <v>5242623</v>
      </c>
      <c r="B113" s="2" t="n">
        <v>41</v>
      </c>
      <c r="C113" s="2" t="inlineStr">
        <is>
          <t>M</t>
        </is>
      </c>
      <c r="D113" s="2" t="n">
        <v>100</v>
      </c>
      <c r="E113" s="4">
        <f>HYPERLINK("./Results/DLO\20181101_1.2.840.113619.2.94.485650834948.2.9190697.19994645.1_2_512_512_\Osteo_Sarco_1.png","RPT")</f>
        <v/>
      </c>
      <c r="F113" s="3" t="n">
        <v>148</v>
      </c>
      <c r="G113" s="3" t="n">
        <v>11</v>
      </c>
      <c r="H113" s="7" t="n">
        <v>25.82</v>
      </c>
      <c r="I113" s="0" t="inlineStr">
        <is>
          <t>Sensation 64</t>
        </is>
      </c>
      <c r="J113" s="0" t="inlineStr">
        <is>
          <t>With Contrast 3.0 B30f</t>
        </is>
      </c>
      <c r="K113" t="n">
        <v>167</v>
      </c>
      <c r="L113" t="n">
        <v>72</v>
      </c>
      <c r="M113" t="n">
        <v>49.12</v>
      </c>
    </row>
    <row r="114">
      <c r="A114" s="2" t="n">
        <v>3706361</v>
      </c>
      <c r="B114" s="2" t="n">
        <v>41</v>
      </c>
      <c r="C114" s="2" t="inlineStr">
        <is>
          <t>F</t>
        </is>
      </c>
      <c r="D114" s="2" t="n">
        <v>100</v>
      </c>
      <c r="E114" s="4">
        <f>HYPERLINK("./Results/DLO\20191001_1.2.410.100011.172.16.64.21.6370916576267571911.6_6_512_512_\Osteo_Sarco_1.png","RPT")</f>
        <v/>
      </c>
      <c r="F114" s="3" t="n">
        <v>134</v>
      </c>
      <c r="G114" s="3" t="n">
        <v>5</v>
      </c>
      <c r="H114" s="7" t="n">
        <v>23.01</v>
      </c>
      <c r="I114" s="0" t="inlineStr">
        <is>
          <t>SOMATOM Definition Flabh</t>
        </is>
      </c>
      <c r="J114" s="0" t="inlineStr">
        <is>
          <t>Delay 180s 3.0 I40f 2</t>
        </is>
      </c>
      <c r="K114" t="n">
        <v>172.4</v>
      </c>
      <c r="L114" t="n">
        <v>68.40000000000001</v>
      </c>
      <c r="M114" t="n">
        <v>43.4</v>
      </c>
    </row>
    <row r="115">
      <c r="A115" s="2" t="n">
        <v>5580240</v>
      </c>
      <c r="B115" s="2" t="n">
        <v>41</v>
      </c>
      <c r="C115" s="2" t="inlineStr">
        <is>
          <t>F</t>
        </is>
      </c>
      <c r="D115" s="2" t="n">
        <v>100</v>
      </c>
      <c r="E115" s="4">
        <f>HYPERLINK("./Results/DLO\20181101_1.2.840.113619.2.94.485650834948.2.9209293.20040620.1_2_512_512_\Osteo_Sarco_1.png","RPT")</f>
        <v/>
      </c>
      <c r="F115" s="3" t="n">
        <v>130</v>
      </c>
      <c r="G115" s="3" t="n">
        <v>10</v>
      </c>
      <c r="H115" s="7" t="n">
        <v>22.72</v>
      </c>
      <c r="I115" s="0" t="inlineStr">
        <is>
          <t>Sensation 64</t>
        </is>
      </c>
      <c r="J115" s="0" t="inlineStr">
        <is>
          <t>With Contrast 3.0 B30f</t>
        </is>
      </c>
      <c r="K115" t="n">
        <v>175.4</v>
      </c>
      <c r="L115" t="n">
        <v>69.90000000000001</v>
      </c>
      <c r="M115" t="n">
        <v>39.01</v>
      </c>
    </row>
    <row r="116">
      <c r="A116" s="2" t="n">
        <v>9007181</v>
      </c>
      <c r="B116" s="2" t="n">
        <v>41</v>
      </c>
      <c r="C116" s="2" t="inlineStr">
        <is>
          <t>F</t>
        </is>
      </c>
      <c r="D116" s="2" t="n">
        <v>100</v>
      </c>
      <c r="E116" s="4">
        <f>HYPERLINK("./Results/DLO\20180801_1.2.840.113619.2.94.485650834948.2.8999521.19524041.1_2_512_512_\Osteo_Sarco_1.png","RPT")</f>
        <v/>
      </c>
      <c r="F116" s="3" t="n">
        <v>119</v>
      </c>
      <c r="G116" s="3" t="n">
        <v>5</v>
      </c>
      <c r="H116" s="7" t="n">
        <v>25.08</v>
      </c>
      <c r="I116" s="0" t="inlineStr">
        <is>
          <t>Sensation 64</t>
        </is>
      </c>
      <c r="J116" s="0" t="inlineStr">
        <is>
          <t>With Contrast 3.0 B30f</t>
        </is>
      </c>
      <c r="K116" t="n">
        <v>153.9</v>
      </c>
      <c r="L116" t="n">
        <v>59.4</v>
      </c>
      <c r="M116" t="n">
        <v>48.13</v>
      </c>
    </row>
    <row r="117">
      <c r="A117" s="2" t="n">
        <v>5550778</v>
      </c>
      <c r="B117" s="2" t="n">
        <v>41</v>
      </c>
      <c r="C117" s="2" t="inlineStr">
        <is>
          <t>F</t>
        </is>
      </c>
      <c r="D117" s="2" t="n">
        <v>100</v>
      </c>
      <c r="E117" s="4">
        <f>HYPERLINK("./Results/DLO\20190301_1.2.840.113619.2.311.188466879986843631755387488376641927349_304_512_512_\Osteo_Sarco_1.png","RPT")</f>
        <v/>
      </c>
      <c r="F117" s="3" t="n">
        <v>118</v>
      </c>
      <c r="G117" s="3" t="n">
        <v>12</v>
      </c>
      <c r="H117" s="7" t="n">
        <v>21.08</v>
      </c>
      <c r="I117" s="0" t="inlineStr">
        <is>
          <t>Revolution CT</t>
        </is>
      </c>
      <c r="J117" s="0" t="inlineStr">
        <is>
          <t>ABD 2.5mm</t>
        </is>
      </c>
      <c r="K117" t="n">
        <v>163</v>
      </c>
      <c r="L117" t="n">
        <v>56</v>
      </c>
      <c r="M117" t="n">
        <v>39.9</v>
      </c>
    </row>
    <row r="118">
      <c r="A118" s="2" t="n">
        <v>9992337</v>
      </c>
      <c r="B118" s="2" t="n">
        <v>41</v>
      </c>
      <c r="C118" s="2" t="inlineStr">
        <is>
          <t>F</t>
        </is>
      </c>
      <c r="D118" s="2" t="n">
        <v>100</v>
      </c>
      <c r="E118" s="4">
        <f>HYPERLINK("./Results/DLO\20200501_1.2.840.113619.2.416.160252790045503427772612870445515768120_307_512_512_\Osteo_Sarco_1.png","RPT")</f>
        <v/>
      </c>
      <c r="F118" s="3" t="n">
        <v>116</v>
      </c>
      <c r="G118" s="3" t="n">
        <v>12</v>
      </c>
      <c r="H118" s="7" t="n">
        <v>23.63</v>
      </c>
      <c r="I118" s="0" t="inlineStr">
        <is>
          <t>Revolution CT</t>
        </is>
      </c>
      <c r="J118" s="0" t="inlineStr">
        <is>
          <t>ABD</t>
        </is>
      </c>
      <c r="K118" t="n">
        <v>158</v>
      </c>
      <c r="L118" t="n">
        <v>59</v>
      </c>
      <c r="M118" t="n">
        <v>41.66</v>
      </c>
    </row>
    <row r="119">
      <c r="A119" s="2" t="n">
        <v>5517453</v>
      </c>
      <c r="B119" s="2" t="n">
        <v>41</v>
      </c>
      <c r="C119" s="2" t="inlineStr">
        <is>
          <t>F</t>
        </is>
      </c>
      <c r="D119" s="2" t="n">
        <v>100</v>
      </c>
      <c r="E119" s="4">
        <f>HYPERLINK("./Results/DLO\20190101_1.2.410.100011.172.24.16.217.6368341431705244083.3_3_512_512_\Osteo_Sarco_1.png","RPT")</f>
        <v/>
      </c>
      <c r="F119" s="3" t="n">
        <v>110</v>
      </c>
      <c r="G119" s="3" t="n">
        <v>5</v>
      </c>
      <c r="H119" s="7" t="n">
        <v>20.98</v>
      </c>
      <c r="I119" s="0" t="inlineStr">
        <is>
          <t>Aquilion ONE</t>
        </is>
      </c>
      <c r="J119" s="0" t="inlineStr">
        <is>
          <t>Body 4.0</t>
        </is>
      </c>
      <c r="K119" t="n">
        <v>169.8</v>
      </c>
      <c r="L119" t="n">
        <v>60.5</v>
      </c>
      <c r="M119" t="n">
        <v>36.42</v>
      </c>
    </row>
    <row r="120">
      <c r="A120" s="2" t="n">
        <v>9672260</v>
      </c>
      <c r="B120" s="2" t="n">
        <v>41</v>
      </c>
      <c r="C120" s="2" t="inlineStr">
        <is>
          <t>F</t>
        </is>
      </c>
      <c r="D120" s="2" t="n">
        <v>100</v>
      </c>
      <c r="E120" s="4">
        <f>HYPERLINK("./Results/DLO\20190501_1.2.840.113619.2.416.321765488984543616189021177002282970164_310_512_512_\Osteo_Sarco_1.png","RPT")</f>
        <v/>
      </c>
      <c r="F120" s="3" t="n">
        <v>107</v>
      </c>
      <c r="G120" s="3" t="n">
        <v>10</v>
      </c>
      <c r="H120" s="7" t="n">
        <v>20.57</v>
      </c>
      <c r="I120" s="0" t="inlineStr">
        <is>
          <t>Revolution CT</t>
        </is>
      </c>
      <c r="J120" s="0" t="inlineStr">
        <is>
          <t>ABD</t>
        </is>
      </c>
      <c r="K120" t="n">
        <v>165</v>
      </c>
      <c r="L120" t="n">
        <v>56</v>
      </c>
      <c r="M120" t="n">
        <v>35.63</v>
      </c>
    </row>
    <row r="121">
      <c r="A121" s="2" t="n">
        <v>8882799</v>
      </c>
      <c r="B121" s="2" t="n">
        <v>41</v>
      </c>
      <c r="C121" s="2" t="inlineStr">
        <is>
          <t>F</t>
        </is>
      </c>
      <c r="D121" s="2" t="n">
        <v>100</v>
      </c>
      <c r="E121" s="4">
        <f>HYPERLINK("./Results/DLO\20181101_1.3.12.2.1107.5.1.4.54310.30000018103123203500000028499_3_512_512_\Osteo_Sarco_1.png","RPT")</f>
        <v/>
      </c>
      <c r="F121" s="3" t="n">
        <v>105</v>
      </c>
      <c r="G121" s="3" t="n">
        <v>4</v>
      </c>
      <c r="H121" s="7" t="n">
        <v>18.03</v>
      </c>
      <c r="I121" s="0" t="inlineStr">
        <is>
          <t>Sensation 64</t>
        </is>
      </c>
      <c r="J121" s="0" t="inlineStr">
        <is>
          <t>Pre Contrast 3.0 B30f</t>
        </is>
      </c>
      <c r="K121" t="n">
        <v>158</v>
      </c>
      <c r="L121" t="n">
        <v>45</v>
      </c>
      <c r="M121" t="n">
        <v>40.46</v>
      </c>
    </row>
    <row r="122">
      <c r="A122" s="2" t="n">
        <v>8422522</v>
      </c>
      <c r="B122" s="2" t="n">
        <v>41</v>
      </c>
      <c r="C122" s="2" t="inlineStr">
        <is>
          <t>F</t>
        </is>
      </c>
      <c r="D122" s="2" t="n">
        <v>100</v>
      </c>
      <c r="E122" s="4">
        <f>HYPERLINK("./Results/DLO\20191001_1.3.46.670589.33.1.63706057334791471500001.5384563894146004199_501_512_512_\Osteo_Sarco_1.png","RPT")</f>
        <v/>
      </c>
      <c r="F122" s="3" t="n">
        <v>105</v>
      </c>
      <c r="G122" s="3" t="n">
        <v>8</v>
      </c>
      <c r="H122" s="7" t="n">
        <v>22.91</v>
      </c>
      <c r="I122" s="0" t="inlineStr">
        <is>
          <t>Ingenuity Core 128</t>
        </is>
      </c>
      <c r="J122" s="0" t="inlineStr">
        <is>
          <t>Arterial 3mm, iDose (3)</t>
        </is>
      </c>
      <c r="K122" t="n">
        <v>165.7</v>
      </c>
      <c r="L122" t="n">
        <v>62.9</v>
      </c>
      <c r="M122" t="n">
        <v>35.33</v>
      </c>
    </row>
    <row r="123">
      <c r="A123" s="2" t="n">
        <v>9003856</v>
      </c>
      <c r="B123" s="2" t="n">
        <v>41</v>
      </c>
      <c r="C123" s="2" t="inlineStr">
        <is>
          <t>F</t>
        </is>
      </c>
      <c r="D123" s="2" t="n">
        <v>100</v>
      </c>
      <c r="E123" s="4">
        <f>HYPERLINK("./Results/DLO\20180701_1.2.840.113619.2.311.197416948679076719078315897870889530718_303_512_512_\Osteo_Sarco_1.png","RPT")</f>
        <v/>
      </c>
      <c r="F123" s="3" t="n">
        <v>104</v>
      </c>
      <c r="G123" s="3" t="n">
        <v>8</v>
      </c>
      <c r="H123" s="7" t="n">
        <v>25.78</v>
      </c>
      <c r="I123" s="0" t="inlineStr">
        <is>
          <t>Revolution CT</t>
        </is>
      </c>
      <c r="J123" s="0" t="inlineStr">
        <is>
          <t>ABD 2.5mm</t>
        </is>
      </c>
      <c r="K123" t="n">
        <v>160</v>
      </c>
      <c r="L123" t="n">
        <v>66</v>
      </c>
      <c r="M123" t="n">
        <v>37.5</v>
      </c>
    </row>
    <row r="124">
      <c r="A124" s="2" t="n">
        <v>5869973</v>
      </c>
      <c r="B124" s="2" t="n">
        <v>41</v>
      </c>
      <c r="C124" s="2" t="inlineStr">
        <is>
          <t>F</t>
        </is>
      </c>
      <c r="D124" s="2" t="n">
        <v>100</v>
      </c>
      <c r="E124" s="4">
        <f>HYPERLINK("./Results/DLO\20180201_1.3.12.2.1107.5.1.4.65253.30000018021918063995500021548_3_512_512_\Osteo_Sarco_1.png","RPT")</f>
        <v/>
      </c>
      <c r="F124" s="3" t="n">
        <v>101</v>
      </c>
      <c r="G124" s="3" t="n">
        <v>3</v>
      </c>
      <c r="H124" s="7" t="n">
        <v>17.48</v>
      </c>
      <c r="I124" s="0" t="inlineStr">
        <is>
          <t>SOMATOM Definition AS</t>
        </is>
      </c>
      <c r="J124" s="0" t="inlineStr">
        <is>
          <t>With Contrast 3.0 B40f</t>
        </is>
      </c>
      <c r="K124" t="n">
        <v>155</v>
      </c>
      <c r="L124" t="n">
        <v>42</v>
      </c>
      <c r="M124" t="n">
        <v>40.79</v>
      </c>
    </row>
    <row r="125">
      <c r="A125" s="2" t="n">
        <v>9424267</v>
      </c>
      <c r="B125" s="2" t="n">
        <v>41</v>
      </c>
      <c r="C125" s="2" t="inlineStr">
        <is>
          <t>F</t>
        </is>
      </c>
      <c r="D125" s="2" t="n">
        <v>100</v>
      </c>
      <c r="E125" s="4">
        <f>HYPERLINK("./Results/DLO\20180901_1.3.12.2.1107.5.1.4.54310.30000018090500190828100013527_2_512_512_\Osteo_Sarco_1.png","RPT")</f>
        <v/>
      </c>
      <c r="F125" s="3" t="n">
        <v>100</v>
      </c>
      <c r="G125" s="3" t="n">
        <v>6</v>
      </c>
      <c r="H125" s="7" t="n">
        <v>20.06</v>
      </c>
      <c r="I125" s="0" t="inlineStr">
        <is>
          <t>Sensation 64</t>
        </is>
      </c>
      <c r="J125" s="0" t="inlineStr">
        <is>
          <t>With Contrast 3.0 B30f</t>
        </is>
      </c>
      <c r="K125" t="n">
        <v>166.8</v>
      </c>
      <c r="L125" t="n">
        <v>55.8</v>
      </c>
      <c r="M125" t="n">
        <v>33.79</v>
      </c>
    </row>
    <row r="126">
      <c r="A126" s="2" t="n">
        <v>8312216</v>
      </c>
      <c r="B126" s="2" t="n">
        <v>42</v>
      </c>
      <c r="C126" s="2" t="inlineStr">
        <is>
          <t>F</t>
        </is>
      </c>
      <c r="D126" s="2" t="n">
        <v>100</v>
      </c>
      <c r="E126" s="4">
        <f>HYPERLINK("./Results/DLO\20180801_1.2.840.113619.2.94.485650834948.2.9030337.19600313.1_2_512_512_\Osteo_Sarco_1.png","RPT")</f>
        <v/>
      </c>
      <c r="F126" s="3" t="n">
        <v>97</v>
      </c>
      <c r="G126" s="3" t="n">
        <v>5</v>
      </c>
      <c r="H126" s="7" t="n">
        <v>21.23</v>
      </c>
      <c r="I126" s="0" t="inlineStr">
        <is>
          <t>Sensation 64</t>
        </is>
      </c>
      <c r="J126" s="0" t="inlineStr">
        <is>
          <t>With Contrast 3.0 B30f</t>
        </is>
      </c>
      <c r="K126" t="n">
        <v>161.7</v>
      </c>
      <c r="L126" t="n">
        <v>55.5</v>
      </c>
      <c r="M126" t="n">
        <v>35.19</v>
      </c>
    </row>
    <row r="127">
      <c r="A127" s="2" t="n">
        <v>9597426</v>
      </c>
      <c r="B127" s="2" t="n">
        <v>42</v>
      </c>
      <c r="C127" s="2" t="inlineStr">
        <is>
          <t>F</t>
        </is>
      </c>
      <c r="D127" s="2" t="n">
        <v>100</v>
      </c>
      <c r="E127" s="4">
        <f>HYPERLINK("./Results/DLO\20190201_1.3.12.2.1107.5.1.4.54310.30000019022423353610900003453_2_512_512_\Osteo_Sarco_1.png","RPT")</f>
        <v/>
      </c>
      <c r="F127" s="3" t="n">
        <v>97</v>
      </c>
      <c r="G127" s="3" t="n">
        <v>5</v>
      </c>
      <c r="H127" s="7" t="n">
        <v>24.8</v>
      </c>
      <c r="I127" s="0" t="inlineStr">
        <is>
          <t>Sensation 64</t>
        </is>
      </c>
      <c r="J127" s="0" t="inlineStr">
        <is>
          <t>With Contrast 3.0 B30f</t>
        </is>
      </c>
      <c r="K127" t="n">
        <v>156.2</v>
      </c>
      <c r="L127" t="n">
        <v>60.5</v>
      </c>
      <c r="M127" t="n">
        <v>37.71</v>
      </c>
    </row>
    <row r="128">
      <c r="A128" s="2" t="n">
        <v>8296031</v>
      </c>
      <c r="B128" s="2" t="n">
        <v>42</v>
      </c>
      <c r="C128" s="2" t="inlineStr">
        <is>
          <t>F</t>
        </is>
      </c>
      <c r="D128" s="2" t="n">
        <v>100</v>
      </c>
      <c r="E128" s="4">
        <f>HYPERLINK("./Results/DLO\20180601_1.2.840.113619.2.311.106159194432254574054552865838911171574_304_512_512_\Osteo_Sarco_1.png","RPT")</f>
        <v/>
      </c>
      <c r="F128" s="3" t="n">
        <v>88</v>
      </c>
      <c r="G128" s="3" t="n">
        <v>5</v>
      </c>
      <c r="H128" s="7" t="n">
        <v>20.1</v>
      </c>
      <c r="I128" s="0" t="inlineStr">
        <is>
          <t>Revolution CT</t>
        </is>
      </c>
      <c r="J128" s="0" t="inlineStr">
        <is>
          <t>ABD 2.5mm</t>
        </is>
      </c>
      <c r="K128" t="n">
        <v>148.3</v>
      </c>
      <c r="L128" t="n">
        <v>44.2</v>
      </c>
      <c r="M128" t="n">
        <v>37.74</v>
      </c>
    </row>
    <row r="129">
      <c r="A129" s="2" t="n">
        <v>5023901</v>
      </c>
      <c r="B129" s="2" t="n">
        <v>42</v>
      </c>
      <c r="C129" s="2" t="inlineStr">
        <is>
          <t>F</t>
        </is>
      </c>
      <c r="D129" s="2" t="n">
        <v>100</v>
      </c>
      <c r="E129" s="4">
        <f>HYPERLINK("./Results/DLO\20190201_1.3.12.2.1107.5.1.4.54310.30000019022423353610900003034_2_512_512_\Osteo_Sarco_1.png","RPT")</f>
        <v/>
      </c>
      <c r="F129" s="3" t="n">
        <v>85</v>
      </c>
      <c r="G129" s="3" t="n">
        <v>4</v>
      </c>
      <c r="H129" s="6" t="n">
        <v>21.19</v>
      </c>
      <c r="I129" s="0" t="inlineStr">
        <is>
          <t>Sensation 64</t>
        </is>
      </c>
      <c r="J129" s="0" t="inlineStr">
        <is>
          <t>With Contrast 3.0 B30f</t>
        </is>
      </c>
      <c r="K129" t="n">
        <v>153</v>
      </c>
      <c r="L129" t="n">
        <v>49.6</v>
      </c>
      <c r="M129" t="n">
        <v>34.6</v>
      </c>
    </row>
    <row r="130">
      <c r="A130" s="2" t="n">
        <v>9770408</v>
      </c>
      <c r="B130" s="2" t="n">
        <v>42</v>
      </c>
      <c r="C130" s="2" t="inlineStr">
        <is>
          <t>F</t>
        </is>
      </c>
      <c r="D130" s="2" t="n">
        <v>100</v>
      </c>
      <c r="E130" s="4">
        <f>HYPERLINK("./Results/DLO\20190801_1.3.46.670589.33.1.63702423190120457300001.5729959237664088067_301_512_512_\Osteo_Sarco_1.png","RPT")</f>
        <v/>
      </c>
      <c r="F130" s="3" t="n">
        <v>84</v>
      </c>
      <c r="G130" s="3" t="n">
        <v>5</v>
      </c>
      <c r="H130" s="7" t="n">
        <v>18.82</v>
      </c>
      <c r="I130" s="0" t="inlineStr">
        <is>
          <t>Ingenuity Core 128</t>
        </is>
      </c>
      <c r="J130" s="0" t="inlineStr">
        <is>
          <t>Post 3mm, iDose (3)</t>
        </is>
      </c>
      <c r="K130" t="n">
        <v>161.2</v>
      </c>
      <c r="L130" t="n">
        <v>48.9</v>
      </c>
      <c r="M130" t="n">
        <v>30.4</v>
      </c>
    </row>
    <row r="131">
      <c r="A131" s="2" t="n">
        <v>6737372</v>
      </c>
      <c r="B131" s="2" t="n">
        <v>42</v>
      </c>
      <c r="C131" s="2" t="inlineStr">
        <is>
          <t>F</t>
        </is>
      </c>
      <c r="D131" s="2" t="n">
        <v>100</v>
      </c>
      <c r="E131" s="4">
        <f>HYPERLINK("./Results/DLO\20181201_1.2.840.113619.2.311.226178271945267089583625093785118199263_304_512_512_\Osteo_Sarco_1.png","RPT")</f>
        <v/>
      </c>
      <c r="F131" s="3" t="n">
        <v>83</v>
      </c>
      <c r="G131" s="3" t="n">
        <v>9</v>
      </c>
      <c r="H131" s="7" t="n">
        <v>19.26</v>
      </c>
      <c r="I131" s="0" t="inlineStr">
        <is>
          <t>Revolution CT</t>
        </is>
      </c>
      <c r="J131" s="0" t="inlineStr">
        <is>
          <t>ABD 2.5mm</t>
        </is>
      </c>
      <c r="K131" t="n">
        <v>165.9</v>
      </c>
      <c r="L131" t="n">
        <v>53</v>
      </c>
      <c r="M131" t="n">
        <v>26.89</v>
      </c>
    </row>
    <row r="132">
      <c r="A132" s="2" t="n">
        <v>9585614</v>
      </c>
      <c r="B132" s="2" t="n">
        <v>42</v>
      </c>
      <c r="C132" s="2" t="inlineStr">
        <is>
          <t>M</t>
        </is>
      </c>
      <c r="D132" s="2" t="n">
        <v>100</v>
      </c>
      <c r="E132" s="4">
        <f>HYPERLINK("./Results/DLO\20190201_1.3.46.670589.33.1.63686858280383658100001.4911062842061016257_601_512_512_\Osteo_Sarco_1.png","RPT")</f>
        <v/>
      </c>
      <c r="F132" s="3" t="n">
        <v>197</v>
      </c>
      <c r="G132" s="3" t="n">
        <v>3</v>
      </c>
      <c r="H132" s="7" t="n">
        <v>31.05</v>
      </c>
      <c r="I132" s="0" t="inlineStr">
        <is>
          <t>Ingenuity Core 128</t>
        </is>
      </c>
      <c r="J132" s="0" t="inlineStr">
        <is>
          <t>Post 3mm, iDose (3)</t>
        </is>
      </c>
      <c r="K132" t="n">
        <v>174</v>
      </c>
      <c r="L132" t="n">
        <v>94</v>
      </c>
      <c r="M132" t="n">
        <v>64.08</v>
      </c>
    </row>
    <row r="133">
      <c r="A133" s="2" t="n">
        <v>5020379</v>
      </c>
      <c r="B133" s="2" t="n">
        <v>42</v>
      </c>
      <c r="C133" s="2" t="inlineStr">
        <is>
          <t>M</t>
        </is>
      </c>
      <c r="D133" s="2" t="n">
        <v>100</v>
      </c>
      <c r="E133" s="4">
        <f>HYPERLINK("./Results/DLO\20180101_1.3.12.2.1107.5.1.4.65253.30000018011219540099800007793_2_512_512_\Osteo_Sarco_1.png","RPT")</f>
        <v/>
      </c>
      <c r="F133" s="3" t="n">
        <v>167</v>
      </c>
      <c r="G133" s="3" t="n">
        <v>5</v>
      </c>
      <c r="H133" s="6" t="n">
        <v>25.98</v>
      </c>
      <c r="I133" s="0" t="inlineStr">
        <is>
          <t>SOMATOM Definition AS</t>
        </is>
      </c>
      <c r="J133" s="0" t="inlineStr">
        <is>
          <t>W/O Contrast 2.0 B40f</t>
        </is>
      </c>
      <c r="K133" t="n">
        <v>173.6</v>
      </c>
      <c r="L133" t="n">
        <v>78.3</v>
      </c>
      <c r="M133" t="n">
        <v>53.75</v>
      </c>
    </row>
    <row r="134">
      <c r="A134" s="2" t="n">
        <v>9684610</v>
      </c>
      <c r="B134" s="2" t="n">
        <v>42</v>
      </c>
      <c r="C134" s="2" t="inlineStr">
        <is>
          <t>M</t>
        </is>
      </c>
      <c r="D134" s="2" t="n">
        <v>100</v>
      </c>
      <c r="E134" s="4">
        <f>HYPERLINK("./Results/DLO\20190801_1.3.46.670589.33.1.63700853490913533400001.4833944019984539635_201_512_512_\Osteo_Sarco_1.png","RPT")</f>
        <v/>
      </c>
      <c r="F134" s="3" t="n">
        <v>157</v>
      </c>
      <c r="G134" s="3" t="n">
        <v>15</v>
      </c>
      <c r="H134" s="7" t="n">
        <v>24.42</v>
      </c>
      <c r="I134" s="0" t="inlineStr">
        <is>
          <t>Ingenuity Core 128</t>
        </is>
      </c>
      <c r="J134" s="0" t="inlineStr">
        <is>
          <t>Post 3mm, iDose (3)</t>
        </is>
      </c>
      <c r="K134" t="n">
        <v>181</v>
      </c>
      <c r="L134" t="n">
        <v>80</v>
      </c>
      <c r="M134" t="n">
        <v>43.34</v>
      </c>
    </row>
    <row r="135">
      <c r="A135" s="2" t="n">
        <v>6739045</v>
      </c>
      <c r="B135" s="2" t="n">
        <v>42</v>
      </c>
      <c r="C135" s="2" t="inlineStr">
        <is>
          <t>F</t>
        </is>
      </c>
      <c r="D135" s="2" t="n">
        <v>100</v>
      </c>
      <c r="E135" s="4">
        <f>HYPERLINK("./Results/DLO\20191201_1.2.840.113619.2.416.106379529841496652847779311716911405422_310_512_512_\Osteo_Sarco_1.png","RPT")</f>
        <v/>
      </c>
      <c r="F135" s="3" t="n">
        <v>126</v>
      </c>
      <c r="G135" s="3" t="n">
        <v>5</v>
      </c>
      <c r="H135" s="6" t="n">
        <v>25.72</v>
      </c>
      <c r="I135" s="0" t="inlineStr">
        <is>
          <t>Revolution CT</t>
        </is>
      </c>
      <c r="J135" s="0" t="inlineStr">
        <is>
          <t>ABD</t>
        </is>
      </c>
      <c r="K135" t="n">
        <v>165.1</v>
      </c>
      <c r="L135" t="n">
        <v>70.09999999999999</v>
      </c>
      <c r="M135" t="n">
        <v>44.39</v>
      </c>
    </row>
    <row r="136">
      <c r="A136" s="2" t="n">
        <v>4703771</v>
      </c>
      <c r="B136" s="2" t="n">
        <v>42</v>
      </c>
      <c r="C136" s="2" t="inlineStr">
        <is>
          <t>F</t>
        </is>
      </c>
      <c r="D136" s="2" t="n">
        <v>100</v>
      </c>
      <c r="E136" s="4">
        <f>HYPERLINK("./Results/DLO\20180901_1.3.12.2.1107.5.1.4.65253.30000018090920342184100078037_2_512_512_\Osteo_Sarco_1.png","RPT")</f>
        <v/>
      </c>
      <c r="F136" s="3" t="n">
        <v>119</v>
      </c>
      <c r="G136" s="3" t="n">
        <v>6</v>
      </c>
      <c r="H136" s="7" t="n">
        <v>23.34</v>
      </c>
      <c r="I136" s="0" t="inlineStr">
        <is>
          <t>SOMATOM Definition AS</t>
        </is>
      </c>
      <c r="J136" s="0" t="inlineStr">
        <is>
          <t>Pre Contrast 3.0 B30f</t>
        </is>
      </c>
      <c r="K136" t="n">
        <v>163</v>
      </c>
      <c r="L136" t="n">
        <v>62</v>
      </c>
      <c r="M136" t="n">
        <v>42.53</v>
      </c>
    </row>
    <row r="137">
      <c r="A137" s="2" t="n">
        <v>6736998</v>
      </c>
      <c r="B137" s="2" t="n">
        <v>42</v>
      </c>
      <c r="C137" s="2" t="inlineStr">
        <is>
          <t>F</t>
        </is>
      </c>
      <c r="D137" s="2" t="n">
        <v>100</v>
      </c>
      <c r="E137" s="4">
        <f>HYPERLINK("./Results/DLO\20190501_1.3.12.2.1107.5.1.4.54310.30000019051521013667100006115_2_512_512_\Osteo_Sarco_1.png","RPT")</f>
        <v/>
      </c>
      <c r="F137" s="3" t="n">
        <v>112</v>
      </c>
      <c r="G137" s="3" t="n">
        <v>11</v>
      </c>
      <c r="H137" s="7" t="n">
        <v>21.11</v>
      </c>
      <c r="I137" s="0" t="inlineStr">
        <is>
          <t>Sensation 64</t>
        </is>
      </c>
      <c r="J137" s="0" t="inlineStr">
        <is>
          <t>With Contrast 3.0 B30f</t>
        </is>
      </c>
      <c r="K137" t="n">
        <v>170</v>
      </c>
      <c r="L137" t="n">
        <v>61</v>
      </c>
      <c r="M137" t="n">
        <v>34.95</v>
      </c>
    </row>
    <row r="138">
      <c r="A138" s="2" t="n">
        <v>8853630</v>
      </c>
      <c r="B138" s="2" t="n">
        <v>42</v>
      </c>
      <c r="C138" s="2" t="inlineStr">
        <is>
          <t>F</t>
        </is>
      </c>
      <c r="D138" s="2" t="n">
        <v>100</v>
      </c>
      <c r="E138" s="4">
        <f>HYPERLINK("./Results/DLO\20180701_1.2.840.113619.2.311.313685807266108090677914993569593312846_304_512_512_\Osteo_Sarco_1.png","RPT")</f>
        <v/>
      </c>
      <c r="F138" s="3" t="n">
        <v>106</v>
      </c>
      <c r="G138" s="3" t="n">
        <v>7</v>
      </c>
      <c r="H138" s="7" t="n">
        <v>21.93</v>
      </c>
      <c r="I138" s="0" t="inlineStr">
        <is>
          <t>Revolution CT</t>
        </is>
      </c>
      <c r="J138" s="0" t="inlineStr">
        <is>
          <t>ABD 2.5mm</t>
        </is>
      </c>
      <c r="K138" t="n">
        <v>168.4</v>
      </c>
      <c r="L138" t="n">
        <v>62.2</v>
      </c>
      <c r="M138" t="n">
        <v>34.91</v>
      </c>
    </row>
    <row r="139">
      <c r="A139" s="2" t="n">
        <v>9806429</v>
      </c>
      <c r="B139" s="2" t="n">
        <v>42</v>
      </c>
      <c r="C139" s="2" t="inlineStr">
        <is>
          <t>F</t>
        </is>
      </c>
      <c r="D139" s="2" t="n">
        <v>100</v>
      </c>
      <c r="E139" s="4">
        <f>HYPERLINK("./Results/DLO\20191001_1.2.840.113619.2.416.235575204901170551088112827426949554805_310_512_512_\Osteo_Sarco_1.png","RPT")</f>
        <v/>
      </c>
      <c r="F139" s="3" t="n">
        <v>105</v>
      </c>
      <c r="G139" s="3" t="n">
        <v>11</v>
      </c>
      <c r="H139" s="7" t="n">
        <v>21.89</v>
      </c>
      <c r="I139" s="0" t="inlineStr">
        <is>
          <t>Revolution CT</t>
        </is>
      </c>
      <c r="J139" s="0" t="inlineStr">
        <is>
          <t>ABD</t>
        </is>
      </c>
      <c r="K139" t="n">
        <v>162.2</v>
      </c>
      <c r="L139" t="n">
        <v>57.6</v>
      </c>
      <c r="M139" t="n">
        <v>35.73</v>
      </c>
    </row>
    <row r="140">
      <c r="A140" s="2" t="n">
        <v>5028346</v>
      </c>
      <c r="B140" s="2" t="n">
        <v>42</v>
      </c>
      <c r="C140" s="2" t="inlineStr">
        <is>
          <t>F</t>
        </is>
      </c>
      <c r="D140" s="2" t="n">
        <v>100</v>
      </c>
      <c r="E140" s="4">
        <f>HYPERLINK("./Results/DLO\20180301_1.2.840.113619.2.94.485650834948.2.8680603.18739227.1_2_512_512_\Osteo_Sarco_1.png","RPT")</f>
        <v/>
      </c>
      <c r="F140" s="3" t="n">
        <v>104</v>
      </c>
      <c r="G140" s="3" t="n">
        <v>5</v>
      </c>
      <c r="H140" s="7" t="n">
        <v>21.5</v>
      </c>
      <c r="I140" s="0" t="inlineStr">
        <is>
          <t>Sensation 64</t>
        </is>
      </c>
      <c r="J140" s="0" t="inlineStr">
        <is>
          <t>With Contrast 3.0 B30f</t>
        </is>
      </c>
      <c r="K140" t="n">
        <v>157</v>
      </c>
      <c r="L140" t="n">
        <v>53</v>
      </c>
      <c r="M140" t="n">
        <v>40.16</v>
      </c>
    </row>
    <row r="141">
      <c r="A141" s="2" t="n">
        <v>6742848</v>
      </c>
      <c r="B141" s="2" t="n">
        <v>42</v>
      </c>
      <c r="C141" s="2" t="inlineStr">
        <is>
          <t>F</t>
        </is>
      </c>
      <c r="D141" s="2" t="n">
        <v>100</v>
      </c>
      <c r="E141" s="4">
        <f>HYPERLINK("./Results/DLO\20180701_1.2.840.113619.2.94.485650834948.2.8931096.19355413.1_2_512_512_\Osteo_Sarco_1.png","RPT")</f>
        <v/>
      </c>
      <c r="F141" s="3" t="n">
        <v>103</v>
      </c>
      <c r="G141" s="3" t="n">
        <v>6</v>
      </c>
      <c r="H141" s="7" t="n">
        <v>21.95</v>
      </c>
      <c r="I141" s="0" t="inlineStr">
        <is>
          <t>Sensation 64</t>
        </is>
      </c>
      <c r="J141" s="0" t="inlineStr">
        <is>
          <t>With Contrast 3.0 B30f</t>
        </is>
      </c>
      <c r="K141" t="n">
        <v>163.4</v>
      </c>
      <c r="L141" t="n">
        <v>58.6</v>
      </c>
      <c r="M141" t="n">
        <v>36.33</v>
      </c>
    </row>
    <row r="142">
      <c r="A142" s="2" t="n">
        <v>5874744</v>
      </c>
      <c r="B142" s="2" t="n">
        <v>43</v>
      </c>
      <c r="C142" s="2" t="inlineStr">
        <is>
          <t>F</t>
        </is>
      </c>
      <c r="D142" s="2" t="n">
        <v>100</v>
      </c>
      <c r="E142" s="4">
        <f>HYPERLINK("./Results/DLO\20181201_1.2.840.113619.2.416.28256509387387122366581367180881084420_304_512_512_\Osteo_Sarco_1.png","RPT")</f>
        <v/>
      </c>
      <c r="F142" s="3" t="n">
        <v>99</v>
      </c>
      <c r="G142" s="3" t="n">
        <v>7</v>
      </c>
      <c r="H142" s="7" t="n">
        <v>20.79</v>
      </c>
      <c r="I142" s="0" t="inlineStr">
        <is>
          <t>Revolution CT</t>
        </is>
      </c>
      <c r="J142" s="0" t="inlineStr">
        <is>
          <t>ABD 2.5mm</t>
        </is>
      </c>
      <c r="K142" t="n">
        <v>161.6</v>
      </c>
      <c r="L142" t="n">
        <v>54.3</v>
      </c>
      <c r="M142" t="n">
        <v>35.23</v>
      </c>
    </row>
    <row r="143">
      <c r="A143" s="2" t="n">
        <v>5022316</v>
      </c>
      <c r="B143" s="2" t="n">
        <v>43</v>
      </c>
      <c r="C143" s="2" t="inlineStr">
        <is>
          <t>F</t>
        </is>
      </c>
      <c r="D143" s="2" t="n">
        <v>100</v>
      </c>
      <c r="E143" s="4">
        <f>HYPERLINK("./Results/DLO\20180701_1.2.840.113619.2.94.485650834948.2.8974439.19461135.1_2_512_512_\Osteo_Sarco_1.png","RPT")</f>
        <v/>
      </c>
      <c r="F143" s="3" t="n">
        <v>96</v>
      </c>
      <c r="G143" s="3" t="n">
        <v>7</v>
      </c>
      <c r="H143" s="7" t="n">
        <v>19.42</v>
      </c>
      <c r="I143" s="0" t="inlineStr">
        <is>
          <t>Sensation 64</t>
        </is>
      </c>
      <c r="J143" s="0" t="inlineStr">
        <is>
          <t>With Contrast 3.0 B30f</t>
        </is>
      </c>
      <c r="K143" t="n">
        <v>170.7</v>
      </c>
      <c r="L143" t="n">
        <v>56.6</v>
      </c>
      <c r="M143" t="n">
        <v>30.54</v>
      </c>
    </row>
    <row r="144">
      <c r="A144" s="2" t="n">
        <v>9656252</v>
      </c>
      <c r="B144" s="2" t="n">
        <v>43</v>
      </c>
      <c r="C144" s="2" t="inlineStr">
        <is>
          <t>F</t>
        </is>
      </c>
      <c r="D144" s="2" t="n">
        <v>100</v>
      </c>
      <c r="E144" s="4">
        <f>HYPERLINK("./Results/DLO\20190501_1.2.840.113619.2.416.207188839133121664561782471849562205462_310_512_512_\Osteo_Sarco_1.png","RPT")</f>
        <v/>
      </c>
      <c r="F144" s="3" t="n">
        <v>90</v>
      </c>
      <c r="G144" s="3" t="n">
        <v>7</v>
      </c>
      <c r="H144" s="7" t="n">
        <v>20.58</v>
      </c>
      <c r="I144" s="0" t="inlineStr">
        <is>
          <t>Revolution CT</t>
        </is>
      </c>
      <c r="J144" s="0" t="inlineStr">
        <is>
          <t>ABD</t>
        </is>
      </c>
      <c r="K144" t="n">
        <v>156.5</v>
      </c>
      <c r="L144" t="n">
        <v>50.4</v>
      </c>
      <c r="M144" t="n">
        <v>33.89</v>
      </c>
    </row>
    <row r="145">
      <c r="A145" s="2" t="n">
        <v>8614021</v>
      </c>
      <c r="B145" s="2" t="n">
        <v>43</v>
      </c>
      <c r="C145" s="2" t="inlineStr">
        <is>
          <t>F</t>
        </is>
      </c>
      <c r="D145" s="2" t="n">
        <v>100</v>
      </c>
      <c r="E145" s="4">
        <f>HYPERLINK("./Results/DLO\20191101_1.2.840.113619.2.416.193431157730350100978258415242562896947_310_512_512_\Osteo_Sarco_1.png","RPT")</f>
        <v/>
      </c>
      <c r="F145" s="3" t="n">
        <v>80</v>
      </c>
      <c r="G145" s="3" t="n">
        <v>5</v>
      </c>
      <c r="H145" s="7" t="n">
        <v>21.08</v>
      </c>
      <c r="I145" s="0" t="inlineStr">
        <is>
          <t>Revolution CT</t>
        </is>
      </c>
      <c r="J145" s="0" t="inlineStr">
        <is>
          <t>ABD</t>
        </is>
      </c>
      <c r="K145" t="n">
        <v>158.1</v>
      </c>
      <c r="L145" t="n">
        <v>52.7</v>
      </c>
      <c r="M145" t="n">
        <v>30.01</v>
      </c>
    </row>
    <row r="146">
      <c r="A146" s="2" t="n">
        <v>6110072</v>
      </c>
      <c r="B146" s="2" t="n">
        <v>43</v>
      </c>
      <c r="C146" s="2" t="inlineStr">
        <is>
          <t>M</t>
        </is>
      </c>
      <c r="D146" s="2" t="n">
        <v>100</v>
      </c>
      <c r="E146" s="4">
        <f>HYPERLINK("./Results/DLO\20180701_1.3.12.2.1107.5.1.4.54310.30000018072223193428100023749_2_512_512_\Osteo_Sarco_1.png","RPT")</f>
        <v/>
      </c>
      <c r="F146" s="3" t="n">
        <v>170</v>
      </c>
      <c r="G146" s="3" t="n">
        <v>3</v>
      </c>
      <c r="H146" s="7" t="n">
        <v>23.05</v>
      </c>
      <c r="I146" s="0" t="inlineStr">
        <is>
          <t>Sensation 64</t>
        </is>
      </c>
      <c r="J146" s="0" t="inlineStr">
        <is>
          <t>With Contrast 3.0 B30f</t>
        </is>
      </c>
      <c r="K146" t="n">
        <v>173</v>
      </c>
      <c r="L146" t="n">
        <v>69</v>
      </c>
      <c r="M146" t="n">
        <v>55.8</v>
      </c>
    </row>
    <row r="147">
      <c r="A147" s="2" t="n">
        <v>9424177</v>
      </c>
      <c r="B147" s="2" t="n">
        <v>43</v>
      </c>
      <c r="C147" s="2" t="inlineStr">
        <is>
          <t>F</t>
        </is>
      </c>
      <c r="D147" s="2" t="n">
        <v>100</v>
      </c>
      <c r="E147" s="4">
        <f>HYPERLINK("./Results/DLO\20180801_1.2.840.113619.2.311.188301274076675883214206062940447600472_304_512_512_\Osteo_Sarco_1.png","RPT")</f>
        <v/>
      </c>
      <c r="F147" s="3" t="n">
        <v>167</v>
      </c>
      <c r="G147" s="3" t="n">
        <v>10</v>
      </c>
      <c r="H147" s="7" t="n">
        <v>31.25</v>
      </c>
      <c r="I147" s="0" t="inlineStr">
        <is>
          <t>Revolution CT</t>
        </is>
      </c>
      <c r="J147" s="0" t="inlineStr">
        <is>
          <t>ABD 2.5mm</t>
        </is>
      </c>
      <c r="K147" t="n">
        <v>161.9</v>
      </c>
      <c r="L147" t="n">
        <v>81.91</v>
      </c>
      <c r="M147" t="n">
        <v>59.9</v>
      </c>
    </row>
    <row r="148">
      <c r="A148" s="2" t="n">
        <v>6741423</v>
      </c>
      <c r="B148" s="2" t="n">
        <v>43</v>
      </c>
      <c r="C148" s="2" t="inlineStr">
        <is>
          <t>F</t>
        </is>
      </c>
      <c r="D148" s="2" t="n">
        <v>100</v>
      </c>
      <c r="E148" s="4">
        <f>HYPERLINK("./Results/DLO\20180101_1.3.12.2.1107.5.1.4.65253.30000018013021202395500002902_2_512_512_\Osteo_Sarco_1.png","RPT")</f>
        <v/>
      </c>
      <c r="F148" s="3" t="n">
        <v>131</v>
      </c>
      <c r="G148" s="3" t="n">
        <v>7</v>
      </c>
      <c r="H148" s="7" t="n">
        <v>24.22</v>
      </c>
      <c r="I148" s="0" t="inlineStr">
        <is>
          <t>SOMATOM Definition AS</t>
        </is>
      </c>
      <c r="J148" s="0" t="inlineStr">
        <is>
          <t>With Contrast 3.0 B40f</t>
        </is>
      </c>
      <c r="K148" t="n">
        <v>160</v>
      </c>
      <c r="L148" t="n">
        <v>62</v>
      </c>
      <c r="M148" t="n">
        <v>48.44</v>
      </c>
    </row>
    <row r="149">
      <c r="A149" s="2" t="n">
        <v>8540379</v>
      </c>
      <c r="B149" s="2" t="n">
        <v>43</v>
      </c>
      <c r="C149" s="2" t="inlineStr">
        <is>
          <t>F</t>
        </is>
      </c>
      <c r="D149" s="2" t="n">
        <v>100</v>
      </c>
      <c r="E149" s="4">
        <f>HYPERLINK("./Results/DLO\20180401_1.2.840.113619.2.311.161367489445258689357812294294276982954_304_512_512_\Osteo_Sarco_1.png","RPT")</f>
        <v/>
      </c>
      <c r="F149" s="3" t="n">
        <v>126</v>
      </c>
      <c r="G149" s="3" t="n">
        <v>12</v>
      </c>
      <c r="H149" s="7" t="n">
        <v>25.5</v>
      </c>
      <c r="I149" s="0" t="inlineStr">
        <is>
          <t>Revolution CT</t>
        </is>
      </c>
      <c r="J149" s="0" t="inlineStr">
        <is>
          <t>ABD 2.5mm</t>
        </is>
      </c>
      <c r="K149" t="n">
        <v>161</v>
      </c>
      <c r="L149" t="n">
        <v>66.09999999999999</v>
      </c>
      <c r="M149" t="n">
        <v>43.98</v>
      </c>
    </row>
    <row r="150">
      <c r="A150" s="2" t="n">
        <v>8792539</v>
      </c>
      <c r="B150" s="2" t="n">
        <v>43</v>
      </c>
      <c r="C150" s="2" t="inlineStr">
        <is>
          <t>F</t>
        </is>
      </c>
      <c r="D150" s="2" t="n">
        <v>100</v>
      </c>
      <c r="E150" s="4">
        <f>HYPERLINK("./Results/DLO\20180201_1.3.12.2.1107.5.1.4.54310.30000018020123131201500064056_4_512_512_\Osteo_Sarco_1.png","RPT")</f>
        <v/>
      </c>
      <c r="F150" s="3" t="n">
        <v>122</v>
      </c>
      <c r="G150" s="3" t="n">
        <v>5</v>
      </c>
      <c r="H150" s="7" t="n">
        <v>22.55</v>
      </c>
      <c r="I150" s="0" t="inlineStr">
        <is>
          <t>Sensation 64</t>
        </is>
      </c>
      <c r="J150" s="0" t="inlineStr">
        <is>
          <t>With Contrast 3.0 B30f</t>
        </is>
      </c>
      <c r="K150" t="n">
        <v>151.7</v>
      </c>
      <c r="L150" t="n">
        <v>51.9</v>
      </c>
      <c r="M150" t="n">
        <v>50.84</v>
      </c>
    </row>
    <row r="151">
      <c r="A151" s="2" t="n">
        <v>8670226</v>
      </c>
      <c r="B151" s="2" t="n">
        <v>43</v>
      </c>
      <c r="C151" s="2" t="inlineStr">
        <is>
          <t>F</t>
        </is>
      </c>
      <c r="D151" s="2" t="n">
        <v>100</v>
      </c>
      <c r="E151" s="4">
        <f>HYPERLINK("./Results/DLO\20180901_1.3.12.2.1107.5.1.4.54310.30000018091223300103100014838_2_512_512_\Osteo_Sarco_1.png","RPT")</f>
        <v/>
      </c>
      <c r="F151" s="3" t="n">
        <v>119</v>
      </c>
      <c r="G151" s="3" t="n">
        <v>7</v>
      </c>
      <c r="H151" s="7" t="n">
        <v>24.92</v>
      </c>
      <c r="I151" s="0" t="inlineStr">
        <is>
          <t>Sensation 64</t>
        </is>
      </c>
      <c r="J151" s="0" t="inlineStr">
        <is>
          <t>Pre Contrast 3.0 B30f</t>
        </is>
      </c>
      <c r="K151" t="n">
        <v>159</v>
      </c>
      <c r="L151" t="n">
        <v>63</v>
      </c>
      <c r="M151" t="n">
        <v>44.3</v>
      </c>
    </row>
    <row r="152">
      <c r="A152" s="2" t="n">
        <v>8694618</v>
      </c>
      <c r="B152" s="2" t="n">
        <v>43</v>
      </c>
      <c r="C152" s="2" t="inlineStr">
        <is>
          <t>F</t>
        </is>
      </c>
      <c r="D152" s="2" t="n">
        <v>100</v>
      </c>
      <c r="E152" s="4">
        <f>HYPERLINK("./Results/DLO\20181001_1.3.12.2.1107.5.1.4.54310.30000018101523272337500030948_3_512_512_\Osteo_Sarco_1.png","RPT")</f>
        <v/>
      </c>
      <c r="F152" s="3" t="n">
        <v>117</v>
      </c>
      <c r="G152" s="3" t="n">
        <v>14</v>
      </c>
      <c r="H152" s="7" t="n">
        <v>18.51</v>
      </c>
      <c r="I152" s="0" t="inlineStr">
        <is>
          <t>Sensation 64</t>
        </is>
      </c>
      <c r="J152" s="0" t="inlineStr">
        <is>
          <t>Pre Contrast 3.0 B30f</t>
        </is>
      </c>
      <c r="K152" t="n">
        <v>165</v>
      </c>
      <c r="L152" t="n">
        <v>50.4</v>
      </c>
      <c r="M152" t="n">
        <v>37.83</v>
      </c>
    </row>
    <row r="153">
      <c r="A153" s="2" t="n">
        <v>5822238</v>
      </c>
      <c r="B153" s="2" t="n">
        <v>43</v>
      </c>
      <c r="C153" s="2" t="inlineStr">
        <is>
          <t>F</t>
        </is>
      </c>
      <c r="D153" s="2" t="n">
        <v>100</v>
      </c>
      <c r="E153" s="4">
        <f>HYPERLINK("./Results/DLO\20180901_1.3.12.2.1107.5.1.4.54310.30000018090223262171800011567_2_512_512_\Osteo_Sarco_1.png","RPT")</f>
        <v/>
      </c>
      <c r="F153" s="3" t="n">
        <v>114</v>
      </c>
      <c r="G153" s="3" t="n">
        <v>7</v>
      </c>
      <c r="H153" s="7" t="n">
        <v>24.02</v>
      </c>
      <c r="I153" s="0" t="inlineStr">
        <is>
          <t>Sensation 64</t>
        </is>
      </c>
      <c r="J153" s="0" t="inlineStr">
        <is>
          <t>With Contrast 3.0 B30f</t>
        </is>
      </c>
      <c r="K153" t="n">
        <v>167</v>
      </c>
      <c r="L153" t="n">
        <v>67</v>
      </c>
      <c r="M153" t="n">
        <v>38.37</v>
      </c>
    </row>
    <row r="154">
      <c r="A154" s="2" t="n">
        <v>5022246</v>
      </c>
      <c r="B154" s="2" t="n">
        <v>43</v>
      </c>
      <c r="C154" s="2" t="inlineStr">
        <is>
          <t>F</t>
        </is>
      </c>
      <c r="D154" s="2" t="n">
        <v>100</v>
      </c>
      <c r="E154" s="4">
        <f>HYPERLINK("./Results/DLO\20181001_1.2.840.113619.2.416.250295535513106221195250628267890552252_304_512_512_\Osteo_Sarco_1.png","RPT")</f>
        <v/>
      </c>
      <c r="F154" s="3" t="n">
        <v>113</v>
      </c>
      <c r="G154" s="3" t="n">
        <v>14</v>
      </c>
      <c r="H154" s="7" t="n">
        <v>24.47</v>
      </c>
      <c r="I154" s="0" t="inlineStr">
        <is>
          <t>Revolution CT</t>
        </is>
      </c>
      <c r="J154" s="0" t="inlineStr">
        <is>
          <t>ABD 2.5mm</t>
        </is>
      </c>
      <c r="K154" t="n">
        <v>158.4</v>
      </c>
      <c r="L154" t="n">
        <v>61.4</v>
      </c>
      <c r="M154" t="n">
        <v>39.46</v>
      </c>
    </row>
    <row r="155">
      <c r="A155" s="2" t="n">
        <v>9002712</v>
      </c>
      <c r="B155" s="2" t="n">
        <v>43</v>
      </c>
      <c r="C155" s="2" t="inlineStr">
        <is>
          <t>F</t>
        </is>
      </c>
      <c r="D155" s="2" t="n">
        <v>100</v>
      </c>
      <c r="E155" s="4">
        <f>HYPERLINK("./Results/DLO\20180601_1.2.840.113619.2.94.485650834948.2.8907199.19296764.1_2_512_512_\Osteo_Sarco_1.png","RPT")</f>
        <v/>
      </c>
      <c r="F155" s="3" t="n">
        <v>110</v>
      </c>
      <c r="G155" s="3" t="n">
        <v>6</v>
      </c>
      <c r="H155" s="7" t="n">
        <v>30.63</v>
      </c>
      <c r="I155" s="0" t="inlineStr">
        <is>
          <t>Sensation 64</t>
        </is>
      </c>
      <c r="J155" s="0" t="inlineStr">
        <is>
          <t>With Contrast 3.0 B30f</t>
        </is>
      </c>
      <c r="K155" t="n">
        <v>149</v>
      </c>
      <c r="L155" t="n">
        <v>68</v>
      </c>
      <c r="M155" t="n">
        <v>46.84</v>
      </c>
    </row>
    <row r="156">
      <c r="A156" s="2" t="n">
        <v>9930495</v>
      </c>
      <c r="B156" s="2" t="n">
        <v>43</v>
      </c>
      <c r="C156" s="2" t="inlineStr">
        <is>
          <t>F</t>
        </is>
      </c>
      <c r="D156" s="2" t="n">
        <v>100</v>
      </c>
      <c r="E156" s="4">
        <f>HYPERLINK("./Results/DLO\20200201_1.2.840.113619.2.416.171091668177241859271738682812175709667_310_512_512_\Osteo_Sarco_1.png","RPT")</f>
        <v/>
      </c>
      <c r="F156" s="3" t="n">
        <v>109</v>
      </c>
      <c r="G156" s="3" t="n">
        <v>5</v>
      </c>
      <c r="H156" s="7" t="n">
        <v>20.8</v>
      </c>
      <c r="I156" s="0" t="inlineStr">
        <is>
          <t>Revolution CT</t>
        </is>
      </c>
      <c r="J156" s="0" t="inlineStr">
        <is>
          <t>ABD</t>
        </is>
      </c>
      <c r="K156" t="n">
        <v>162</v>
      </c>
      <c r="L156" t="n">
        <v>54.6</v>
      </c>
      <c r="M156" t="n">
        <v>39.63</v>
      </c>
    </row>
    <row r="157">
      <c r="A157" s="2" t="n">
        <v>9670730</v>
      </c>
      <c r="B157" s="2" t="n">
        <v>43</v>
      </c>
      <c r="C157" s="2" t="inlineStr">
        <is>
          <t>F</t>
        </is>
      </c>
      <c r="D157" s="2" t="n">
        <v>100</v>
      </c>
      <c r="E157" s="4">
        <f>HYPERLINK("./Results/DLO\20190501_1.2.840.113619.2.416.162405290722500233380788644962623513492_310_512_512_\Osteo_Sarco_1.png","RPT")</f>
        <v/>
      </c>
      <c r="F157" s="3" t="n">
        <v>108</v>
      </c>
      <c r="G157" s="3" t="n">
        <v>7</v>
      </c>
      <c r="H157" s="6" t="n">
        <v>22.17</v>
      </c>
      <c r="I157" s="0" t="inlineStr">
        <is>
          <t>Revolution CT</t>
        </is>
      </c>
      <c r="J157" s="0" t="inlineStr">
        <is>
          <t>ABD</t>
        </is>
      </c>
      <c r="K157" t="n">
        <v>153</v>
      </c>
      <c r="L157" t="n">
        <v>51.9</v>
      </c>
      <c r="M157" t="n">
        <v>43.15</v>
      </c>
    </row>
    <row r="158">
      <c r="A158" s="2" t="n">
        <v>6739988</v>
      </c>
      <c r="B158" s="2" t="n">
        <v>43</v>
      </c>
      <c r="C158" s="2" t="inlineStr">
        <is>
          <t>F</t>
        </is>
      </c>
      <c r="D158" s="2" t="n">
        <v>100</v>
      </c>
      <c r="E158" s="4">
        <f>HYPERLINK("./Results/DLO\20180401_1.2.840.113619.2.311.7045371610636794664547555143710875534_304_512_512_\Osteo_Sarco_1.png","RPT")</f>
        <v/>
      </c>
      <c r="F158" s="3" t="n">
        <v>105</v>
      </c>
      <c r="G158" s="3" t="n">
        <v>5</v>
      </c>
      <c r="H158" s="7" t="n">
        <v>16.93</v>
      </c>
      <c r="I158" s="0" t="inlineStr">
        <is>
          <t>Revolution CT</t>
        </is>
      </c>
      <c r="J158" s="0" t="inlineStr">
        <is>
          <t>ABD 2.5mm</t>
        </is>
      </c>
      <c r="K158" t="n">
        <v>168.2</v>
      </c>
      <c r="L158" t="n">
        <v>47.9</v>
      </c>
      <c r="M158" t="n">
        <v>35.35</v>
      </c>
    </row>
    <row r="159">
      <c r="A159" s="2" t="n">
        <v>8621890</v>
      </c>
      <c r="B159" s="2" t="n">
        <v>43</v>
      </c>
      <c r="C159" s="2" t="inlineStr">
        <is>
          <t>F</t>
        </is>
      </c>
      <c r="D159" s="2" t="n">
        <v>100</v>
      </c>
      <c r="E159" s="4">
        <f>HYPERLINK("./Results/DLO\20191001_1.2.840.113619.2.416.202272436543819794813783030030413887669_310_512_512_\Osteo_Sarco_1.png","RPT")</f>
        <v/>
      </c>
      <c r="F159" s="3" t="n">
        <v>105</v>
      </c>
      <c r="G159" s="3" t="n">
        <v>8</v>
      </c>
      <c r="H159" s="7" t="n">
        <v>25.58</v>
      </c>
      <c r="I159" s="0" t="inlineStr">
        <is>
          <t>Revolution CT</t>
        </is>
      </c>
      <c r="J159" s="0" t="inlineStr">
        <is>
          <t>ABD</t>
        </is>
      </c>
      <c r="K159" t="n">
        <v>159.4</v>
      </c>
      <c r="L159" t="n">
        <v>65</v>
      </c>
      <c r="M159" t="n">
        <v>38.18</v>
      </c>
    </row>
    <row r="160">
      <c r="A160" s="2" t="n">
        <v>5020065</v>
      </c>
      <c r="B160" s="2" t="n">
        <v>43</v>
      </c>
      <c r="C160" s="2" t="inlineStr">
        <is>
          <t>F</t>
        </is>
      </c>
      <c r="D160" s="2" t="n">
        <v>100</v>
      </c>
      <c r="E160" s="4">
        <f>HYPERLINK("./Results/DLO\20180601_1.3.12.2.1107.5.1.4.54310.30000018061900181645300007540_2_512_512_\Osteo_Sarco_1.png","RPT")</f>
        <v/>
      </c>
      <c r="F160" s="3" t="n">
        <v>104</v>
      </c>
      <c r="G160" s="3" t="n">
        <v>5</v>
      </c>
      <c r="H160" s="7" t="n">
        <v>18.25</v>
      </c>
      <c r="I160" s="0" t="inlineStr">
        <is>
          <t>Sensation 64</t>
        </is>
      </c>
      <c r="J160" s="0" t="inlineStr">
        <is>
          <t>With Contrast 3.0 B30f</t>
        </is>
      </c>
      <c r="K160" t="n">
        <v>169.3</v>
      </c>
      <c r="L160" t="n">
        <v>52.3</v>
      </c>
      <c r="M160" t="n">
        <v>34.54</v>
      </c>
    </row>
    <row r="161">
      <c r="A161" s="2" t="n">
        <v>9640120</v>
      </c>
      <c r="B161" s="2" t="n">
        <v>43</v>
      </c>
      <c r="C161" s="2" t="inlineStr">
        <is>
          <t>F</t>
        </is>
      </c>
      <c r="D161" s="2" t="n">
        <v>100</v>
      </c>
      <c r="E161" s="4">
        <f>HYPERLINK("./Results/DLO\20190401_1.2.840.113619.2.94.485650834948.2.9531244.20857394.1_2_512_512_\Osteo_Sarco_1.png","RPT")</f>
        <v/>
      </c>
      <c r="F161" s="3" t="n">
        <v>104</v>
      </c>
      <c r="G161" s="3" t="n">
        <v>7</v>
      </c>
      <c r="H161" s="7" t="n">
        <v>20.7</v>
      </c>
      <c r="I161" s="0" t="inlineStr">
        <is>
          <t>Sensation 64</t>
        </is>
      </c>
      <c r="J161" s="0" t="inlineStr">
        <is>
          <t>With Contrast 3.0 B30f</t>
        </is>
      </c>
      <c r="K161" t="n">
        <v>160</v>
      </c>
      <c r="L161" t="n">
        <v>53</v>
      </c>
      <c r="M161" t="n">
        <v>37.89</v>
      </c>
    </row>
    <row r="162">
      <c r="A162" s="2" t="n">
        <v>9767575</v>
      </c>
      <c r="B162" s="2" t="n">
        <v>43</v>
      </c>
      <c r="C162" s="2" t="inlineStr">
        <is>
          <t>F</t>
        </is>
      </c>
      <c r="D162" s="2" t="n">
        <v>100</v>
      </c>
      <c r="E162" s="4">
        <f>HYPERLINK("./Results/DLO\20190801_1.2.840.113619.2.416.9560022449676709303416022352845701726_310_512_512_\Osteo_Sarco_1.png","RPT")</f>
        <v/>
      </c>
      <c r="F162" s="3" t="n">
        <v>104</v>
      </c>
      <c r="G162" s="3" t="n">
        <v>6</v>
      </c>
      <c r="H162" s="6" t="n">
        <v>21.34</v>
      </c>
      <c r="I162" s="0" t="inlineStr">
        <is>
          <t>Revolution CT</t>
        </is>
      </c>
      <c r="J162" s="0" t="inlineStr">
        <is>
          <t>ABD</t>
        </is>
      </c>
      <c r="K162" t="n">
        <v>162</v>
      </c>
      <c r="L162" t="n">
        <v>56</v>
      </c>
      <c r="M162" t="n">
        <v>37.34</v>
      </c>
    </row>
    <row r="163">
      <c r="A163" s="2" t="n">
        <v>2587327</v>
      </c>
      <c r="B163" s="2" t="n">
        <v>43</v>
      </c>
      <c r="C163" s="2" t="inlineStr">
        <is>
          <t>F</t>
        </is>
      </c>
      <c r="D163" s="2" t="n">
        <v>100</v>
      </c>
      <c r="E163" s="4">
        <f>HYPERLINK("./Results/DLO\20180401_1.2.840.113619.2.311.228190814807358448533299059690064091480_303_512_512_\Osteo_Sarco_1.png","RPT")</f>
        <v/>
      </c>
      <c r="F163" s="3" t="n">
        <v>102</v>
      </c>
      <c r="G163" s="3" t="n">
        <v>5</v>
      </c>
      <c r="H163" s="6" t="n">
        <v>21.23</v>
      </c>
      <c r="I163" s="0" t="inlineStr">
        <is>
          <t>Revolution CT</t>
        </is>
      </c>
      <c r="J163" s="0" t="inlineStr">
        <is>
          <t>ABD 2.5mm</t>
        </is>
      </c>
      <c r="K163" t="n">
        <v>158</v>
      </c>
      <c r="L163" t="n">
        <v>53</v>
      </c>
      <c r="M163" t="n">
        <v>38.86</v>
      </c>
    </row>
    <row r="164">
      <c r="A164" s="2" t="n">
        <v>6167718</v>
      </c>
      <c r="B164" s="2" t="n">
        <v>43</v>
      </c>
      <c r="C164" s="2" t="inlineStr">
        <is>
          <t>F</t>
        </is>
      </c>
      <c r="D164" s="2" t="n">
        <v>100</v>
      </c>
      <c r="E164" s="4">
        <f>HYPERLINK("./Results/DLO\20180201_1.3.46.670589.33.1.63653514291557329400001.5256753628488147338_701_512_512_\Osteo_Sarco_1.png","RPT")</f>
        <v/>
      </c>
      <c r="F164" s="3" t="n">
        <v>101</v>
      </c>
      <c r="G164" s="3" t="n">
        <v>12</v>
      </c>
      <c r="H164" s="7" t="n">
        <v>19.08</v>
      </c>
      <c r="I164" s="0" t="inlineStr">
        <is>
          <t>Ingenuity Core 128</t>
        </is>
      </c>
      <c r="J164" s="0" t="inlineStr">
        <is>
          <t>Post 100/236 i3, iDose (3)</t>
        </is>
      </c>
      <c r="K164" t="n">
        <v>169.8</v>
      </c>
      <c r="L164" t="n">
        <v>55</v>
      </c>
      <c r="M164" t="n">
        <v>30.87</v>
      </c>
    </row>
    <row r="165">
      <c r="A165" s="2" t="n">
        <v>9788506</v>
      </c>
      <c r="B165" s="2" t="n">
        <v>44</v>
      </c>
      <c r="C165" s="2" t="inlineStr">
        <is>
          <t>F</t>
        </is>
      </c>
      <c r="D165" s="2" t="n">
        <v>100</v>
      </c>
      <c r="E165" s="4">
        <f>HYPERLINK("./Results/DLO\20190901_1.2.840.113619.2.416.115762736448691432353728699725869766473_310_512_512_\Osteo_Sarco_1.png","RPT")</f>
        <v/>
      </c>
      <c r="F165" s="3" t="n">
        <v>99</v>
      </c>
      <c r="G165" s="3" t="n">
        <v>6</v>
      </c>
      <c r="H165" s="7" t="n">
        <v>19.23</v>
      </c>
      <c r="I165" s="0" t="inlineStr">
        <is>
          <t>Revolution CT</t>
        </is>
      </c>
      <c r="J165" s="0" t="inlineStr">
        <is>
          <t>ABD</t>
        </is>
      </c>
      <c r="K165" t="n">
        <v>158</v>
      </c>
      <c r="L165" t="n">
        <v>48</v>
      </c>
      <c r="M165" t="n">
        <v>37.25</v>
      </c>
    </row>
    <row r="166">
      <c r="A166" s="2" t="n">
        <v>9032217</v>
      </c>
      <c r="B166" s="2" t="n">
        <v>44</v>
      </c>
      <c r="C166" s="2" t="inlineStr">
        <is>
          <t>F</t>
        </is>
      </c>
      <c r="D166" s="2" t="n">
        <v>100</v>
      </c>
      <c r="E166" s="4">
        <f>HYPERLINK("./Results/DLO\20180201_1.3.12.2.1107.5.1.4.54310.30000018021323092489000035901_2_512_512_\Osteo_Sarco_1.png","RPT")</f>
        <v/>
      </c>
      <c r="F166" s="3" t="n">
        <v>95</v>
      </c>
      <c r="G166" s="3" t="n">
        <v>6</v>
      </c>
      <c r="H166" s="7" t="n">
        <v>20.45</v>
      </c>
      <c r="I166" s="0" t="inlineStr">
        <is>
          <t>Sensation 64</t>
        </is>
      </c>
      <c r="J166" s="0" t="inlineStr">
        <is>
          <t>With Contrast 3.0 B30f</t>
        </is>
      </c>
      <c r="K166" t="n">
        <v>164</v>
      </c>
      <c r="L166" t="n">
        <v>55</v>
      </c>
      <c r="M166" t="n">
        <v>33.09</v>
      </c>
    </row>
    <row r="167">
      <c r="A167" s="2" t="n">
        <v>6739694</v>
      </c>
      <c r="B167" s="2" t="n">
        <v>44</v>
      </c>
      <c r="C167" s="2" t="inlineStr">
        <is>
          <t>F</t>
        </is>
      </c>
      <c r="D167" s="2" t="n">
        <v>100</v>
      </c>
      <c r="E167" s="4">
        <f>HYPERLINK("./Results/DLO\20180301_1.3.12.2.1107.5.1.4.54310.30000018031523240600000011374_2_512_512_\Osteo_Sarco_1.png","RPT")</f>
        <v/>
      </c>
      <c r="F167" s="3" t="n">
        <v>95</v>
      </c>
      <c r="G167" s="3" t="n">
        <v>8</v>
      </c>
      <c r="H167" s="7" t="n">
        <v>21.51</v>
      </c>
      <c r="I167" s="0" t="inlineStr">
        <is>
          <t>Sensation 64</t>
        </is>
      </c>
      <c r="J167" s="0" t="inlineStr">
        <is>
          <t>With Contrast 3.0 B30f</t>
        </is>
      </c>
      <c r="K167" t="n">
        <v>164.2</v>
      </c>
      <c r="L167" t="n">
        <v>58</v>
      </c>
      <c r="M167" t="n">
        <v>32.27</v>
      </c>
    </row>
    <row r="168">
      <c r="A168" s="2" t="n">
        <v>9503421</v>
      </c>
      <c r="B168" s="2" t="n">
        <v>44</v>
      </c>
      <c r="C168" s="2" t="inlineStr">
        <is>
          <t>F</t>
        </is>
      </c>
      <c r="D168" s="2" t="n">
        <v>100</v>
      </c>
      <c r="E168" s="4">
        <f>HYPERLINK("./Results/DLO\20191101_1.3.12.2.1107.5.1.4.54310.30000019112421230878100048577_10_512_512_\Osteo_Sarco_1.png","RPT")</f>
        <v/>
      </c>
      <c r="F168" s="3" t="n">
        <v>93</v>
      </c>
      <c r="G168" s="3" t="n">
        <v>9</v>
      </c>
      <c r="H168" s="7" t="n">
        <v>26.29</v>
      </c>
      <c r="I168" s="0" t="inlineStr">
        <is>
          <t>Sensation 64</t>
        </is>
      </c>
      <c r="J168" s="0" t="inlineStr">
        <is>
          <t>Post ABD AXL 3mm B30f</t>
        </is>
      </c>
      <c r="K168" t="n">
        <v>162</v>
      </c>
      <c r="L168" t="n">
        <v>69</v>
      </c>
      <c r="M168" t="n">
        <v>32.01</v>
      </c>
    </row>
    <row r="169">
      <c r="A169" s="2" t="n">
        <v>5816492</v>
      </c>
      <c r="B169" s="2" t="n">
        <v>44</v>
      </c>
      <c r="C169" s="2" t="inlineStr">
        <is>
          <t>F</t>
        </is>
      </c>
      <c r="D169" s="2" t="n">
        <v>100</v>
      </c>
      <c r="E169" s="4">
        <f>HYPERLINK("./Results/DLO\20190501_1.3.12.2.1107.5.1.4.65253.30000019052819441403100023076_2_512_512_\Osteo_Sarco_1.png","RPT")</f>
        <v/>
      </c>
      <c r="F169" s="3" t="n">
        <v>92</v>
      </c>
      <c r="G169" s="3" t="n">
        <v>5</v>
      </c>
      <c r="H169" s="7" t="n">
        <v>18.37</v>
      </c>
      <c r="I169" s="0" t="inlineStr">
        <is>
          <t>SOMATOM Definition AS</t>
        </is>
      </c>
      <c r="J169" s="0" t="inlineStr">
        <is>
          <t>W/O Contrast 2.0 B30f</t>
        </is>
      </c>
      <c r="K169" t="n">
        <v>165</v>
      </c>
      <c r="L169" t="n">
        <v>50</v>
      </c>
      <c r="M169" t="n">
        <v>31.96</v>
      </c>
    </row>
    <row r="170">
      <c r="A170" s="2" t="n">
        <v>8986153</v>
      </c>
      <c r="B170" s="2" t="n">
        <v>44</v>
      </c>
      <c r="C170" s="2" t="inlineStr">
        <is>
          <t>F</t>
        </is>
      </c>
      <c r="D170" s="2" t="n">
        <v>100</v>
      </c>
      <c r="E170" s="4">
        <f>HYPERLINK("./Results/DLO\20180801_1.3.46.670589.33.1.63669325033972786200001.4983288048009975888_201_512_512_\Osteo_Sarco_1.png","RPT")</f>
        <v/>
      </c>
      <c r="F170" s="3" t="n">
        <v>79</v>
      </c>
      <c r="G170" s="3" t="n">
        <v>4</v>
      </c>
      <c r="H170" s="7" t="n">
        <v>16.8</v>
      </c>
      <c r="I170" s="0" t="inlineStr">
        <is>
          <t>Ingenuity Core 128</t>
        </is>
      </c>
      <c r="J170" s="0" t="inlineStr">
        <is>
          <t>Post 100/236 i3, iDose (3)</t>
        </is>
      </c>
      <c r="K170" t="n">
        <v>160</v>
      </c>
      <c r="L170" t="n">
        <v>43</v>
      </c>
      <c r="M170" t="n">
        <v>29.3</v>
      </c>
    </row>
    <row r="171">
      <c r="A171" s="2" t="n">
        <v>8678452</v>
      </c>
      <c r="B171" s="2" t="n">
        <v>44</v>
      </c>
      <c r="C171" s="2" t="inlineStr">
        <is>
          <t>M</t>
        </is>
      </c>
      <c r="D171" s="2" t="n">
        <v>100</v>
      </c>
      <c r="E171" s="4">
        <f>HYPERLINK("./Results/DLO\20180101_1.3.12.2.1107.5.1.4.54310.30000018010723041601500019502_6_512_512_\Osteo_Sarco_1.png","RPT")</f>
        <v/>
      </c>
      <c r="F171" s="3" t="n">
        <v>198</v>
      </c>
      <c r="G171" s="3" t="n">
        <v>12</v>
      </c>
      <c r="H171" s="7" t="n">
        <v>29.39</v>
      </c>
      <c r="I171" s="0" t="inlineStr">
        <is>
          <t>Sensation 64</t>
        </is>
      </c>
      <c r="J171" s="0" t="inlineStr">
        <is>
          <t>With Contrast 3.0 B30f</t>
        </is>
      </c>
      <c r="K171" t="n">
        <v>175</v>
      </c>
      <c r="L171" t="n">
        <v>90</v>
      </c>
      <c r="M171" t="n">
        <v>60.73</v>
      </c>
    </row>
    <row r="172">
      <c r="A172" s="2" t="n">
        <v>9498843</v>
      </c>
      <c r="B172" s="2" t="n">
        <v>44</v>
      </c>
      <c r="C172" s="2" t="inlineStr">
        <is>
          <t>M</t>
        </is>
      </c>
      <c r="D172" s="2" t="n">
        <v>100</v>
      </c>
      <c r="E172" s="4">
        <f>HYPERLINK("./Results/DLO\20181001_1.2.410.100011.172.16.68.202.6367676216446955631.2.4_4_512_512_\Osteo_Sarco_1.png","RPT")</f>
        <v/>
      </c>
      <c r="F172" s="3" t="n">
        <v>168</v>
      </c>
      <c r="G172" s="3" t="n">
        <v>8</v>
      </c>
      <c r="H172" s="6" t="n">
        <v>27.44</v>
      </c>
      <c r="I172" s="0" t="inlineStr">
        <is>
          <t>SOMATOM Definition AS</t>
        </is>
      </c>
      <c r="J172" s="0" t="inlineStr">
        <is>
          <t>Abdomen pre 5.0 I40f 2</t>
        </is>
      </c>
      <c r="K172" t="n">
        <v>173.3</v>
      </c>
      <c r="L172" t="n">
        <v>82.40000000000001</v>
      </c>
      <c r="M172" t="n">
        <v>53.27</v>
      </c>
    </row>
    <row r="173">
      <c r="A173" s="2" t="n">
        <v>5023331</v>
      </c>
      <c r="B173" s="2" t="n">
        <v>44</v>
      </c>
      <c r="C173" s="2" t="inlineStr">
        <is>
          <t>M</t>
        </is>
      </c>
      <c r="D173" s="2" t="n">
        <v>100</v>
      </c>
      <c r="E173" s="4">
        <f>HYPERLINK("./Results/DLO\20190201_1.3.12.2.1107.5.1.4.65253.30000019021320240819400036292_2_512_512_\Osteo_Sarco_1.png","RPT")</f>
        <v/>
      </c>
      <c r="F173" s="3" t="n">
        <v>166</v>
      </c>
      <c r="G173" s="3" t="n">
        <v>5</v>
      </c>
      <c r="H173" s="6" t="n">
        <v>25.7</v>
      </c>
      <c r="I173" s="0" t="inlineStr">
        <is>
          <t>SOMATOM Definition AS</t>
        </is>
      </c>
      <c r="J173" s="0" t="inlineStr">
        <is>
          <t>Pre Contrast 3.0 B30f</t>
        </is>
      </c>
      <c r="K173" t="n">
        <v>184</v>
      </c>
      <c r="L173" t="n">
        <v>87</v>
      </c>
      <c r="M173" t="n">
        <v>47.55</v>
      </c>
    </row>
    <row r="174">
      <c r="A174" s="2" t="n">
        <v>6741957</v>
      </c>
      <c r="B174" s="2" t="n">
        <v>44</v>
      </c>
      <c r="C174" s="2" t="inlineStr">
        <is>
          <t>M</t>
        </is>
      </c>
      <c r="D174" s="2" t="n">
        <v>100</v>
      </c>
      <c r="E174" s="4">
        <f>HYPERLINK("./Results/DLO\20200401_1.3.46.670589.33.1.63723753023849954300001.4901897395460907374_201_512_512_\Osteo_Sarco_1.png","RPT")</f>
        <v/>
      </c>
      <c r="F174" s="3" t="n">
        <v>162</v>
      </c>
      <c r="G174" s="3" t="n">
        <v>8</v>
      </c>
      <c r="H174" s="7" t="n">
        <v>23.88</v>
      </c>
      <c r="I174" s="0" t="inlineStr">
        <is>
          <t>Ingenuity Core 128</t>
        </is>
      </c>
      <c r="J174" s="0" t="inlineStr">
        <is>
          <t>Post 3mm, iDose (3)</t>
        </is>
      </c>
      <c r="K174" t="n">
        <v>170</v>
      </c>
      <c r="L174" t="n">
        <v>69</v>
      </c>
      <c r="M174" t="n">
        <v>53.29</v>
      </c>
    </row>
    <row r="175">
      <c r="A175" s="2" t="n">
        <v>5044817</v>
      </c>
      <c r="B175" s="2" t="n">
        <v>44</v>
      </c>
      <c r="C175" s="2" t="inlineStr">
        <is>
          <t>M</t>
        </is>
      </c>
      <c r="D175" s="2" t="n">
        <v>100</v>
      </c>
      <c r="E175" s="4">
        <f>HYPERLINK("./Results/DLO\20180501_1.3.46.670589.33.1.63663356255006798500001.5055123477556050400_201_512_512_\Osteo_Sarco_1.png","RPT")</f>
        <v/>
      </c>
      <c r="F175" s="3" t="n">
        <v>149</v>
      </c>
      <c r="G175" s="3" t="n">
        <v>4</v>
      </c>
      <c r="H175" s="7" t="n">
        <v>27.01</v>
      </c>
      <c r="I175" s="0" t="inlineStr">
        <is>
          <t>Ingenuity Core 128</t>
        </is>
      </c>
      <c r="J175" s="0" t="inlineStr">
        <is>
          <t>Post 100/236 i3, iDose (3)</t>
        </is>
      </c>
      <c r="K175" t="n">
        <v>161</v>
      </c>
      <c r="L175" t="n">
        <v>70</v>
      </c>
      <c r="M175" t="n">
        <v>55.94</v>
      </c>
    </row>
    <row r="176">
      <c r="A176" s="2" t="n">
        <v>9467453</v>
      </c>
      <c r="B176" s="2" t="n">
        <v>44</v>
      </c>
      <c r="C176" s="2" t="inlineStr">
        <is>
          <t>M</t>
        </is>
      </c>
      <c r="D176" s="2" t="n">
        <v>100</v>
      </c>
      <c r="E176" s="4">
        <f>HYPERLINK("./Results/DLO\20180801_1.2.410.100011.172.24.80.187.6367458657761989633.2_2_512_512_\Osteo_Sarco_1.png","RPT")</f>
        <v/>
      </c>
      <c r="F176" s="3" t="n">
        <v>137</v>
      </c>
      <c r="G176" s="3" t="n">
        <v>5</v>
      </c>
      <c r="H176" s="7" t="n">
        <v>20.24</v>
      </c>
      <c r="I176" s="0" t="inlineStr">
        <is>
          <t>SOMATOM Drive</t>
        </is>
      </c>
      <c r="J176" s="0" t="inlineStr">
        <is>
          <t>Pre 5.0 I40f 3</t>
        </is>
      </c>
      <c r="K176" t="n">
        <v>175</v>
      </c>
      <c r="L176" t="n">
        <v>62</v>
      </c>
      <c r="M176" t="n">
        <v>43.1</v>
      </c>
    </row>
    <row r="177">
      <c r="A177" s="2" t="n">
        <v>8543684</v>
      </c>
      <c r="B177" s="2" t="n">
        <v>44</v>
      </c>
      <c r="C177" s="2" t="inlineStr">
        <is>
          <t>F</t>
        </is>
      </c>
      <c r="D177" s="2" t="n">
        <v>100</v>
      </c>
      <c r="E177" s="4">
        <f>HYPERLINK("./Results/DLO\20190801_1.2.840.113619.2.416.245885843124691865064944475080371714211_310_512_512_\Osteo_Sarco_1.png","RPT")</f>
        <v/>
      </c>
      <c r="F177" s="3" t="n">
        <v>134</v>
      </c>
      <c r="G177" s="3" t="n">
        <v>8</v>
      </c>
      <c r="H177" s="6" t="n">
        <v>21.94</v>
      </c>
      <c r="I177" s="0" t="inlineStr">
        <is>
          <t>Revolution CT</t>
        </is>
      </c>
      <c r="J177" s="0" t="inlineStr">
        <is>
          <t>ABD</t>
        </is>
      </c>
      <c r="K177" t="n">
        <v>162.3</v>
      </c>
      <c r="L177" t="n">
        <v>57.8</v>
      </c>
      <c r="M177" t="n">
        <v>47.83</v>
      </c>
    </row>
    <row r="178">
      <c r="A178" s="2" t="n">
        <v>9466854</v>
      </c>
      <c r="B178" s="2" t="n">
        <v>44</v>
      </c>
      <c r="C178" s="2" t="inlineStr">
        <is>
          <t>F</t>
        </is>
      </c>
      <c r="D178" s="2" t="n">
        <v>100</v>
      </c>
      <c r="E178" s="4">
        <f>HYPERLINK("./Results/DLO\20181001_1.2.410.100011.172.16.68.202.6367433798945270991.2.4_4_512_512_\Osteo_Sarco_1.png","RPT")</f>
        <v/>
      </c>
      <c r="F178" s="3" t="n">
        <v>133</v>
      </c>
      <c r="G178" s="3" t="n">
        <v>7</v>
      </c>
      <c r="H178" s="6" t="n">
        <v>28.01</v>
      </c>
      <c r="I178" s="0" t="inlineStr">
        <is>
          <t>SOMATOM Definition AS</t>
        </is>
      </c>
      <c r="J178" s="0" t="inlineStr">
        <is>
          <t>Pre 5.0 I30f 2</t>
        </is>
      </c>
      <c r="K178" t="n">
        <v>160</v>
      </c>
      <c r="L178" t="n">
        <v>71.7</v>
      </c>
      <c r="M178" t="n">
        <v>49.22</v>
      </c>
    </row>
    <row r="179">
      <c r="A179" s="2" t="n">
        <v>9753880</v>
      </c>
      <c r="B179" s="2" t="n">
        <v>44</v>
      </c>
      <c r="C179" s="2" t="inlineStr">
        <is>
          <t>F</t>
        </is>
      </c>
      <c r="D179" s="2" t="n">
        <v>100</v>
      </c>
      <c r="E179" s="4">
        <f>HYPERLINK("./Results/DLO\20190801_1.2.840.113619.2.416.307503012593731610074247635009727403672_310_512_512_\Osteo_Sarco_1.png","RPT")</f>
        <v/>
      </c>
      <c r="F179" s="3" t="n">
        <v>116</v>
      </c>
      <c r="G179" s="3" t="n">
        <v>8</v>
      </c>
      <c r="H179" s="6" t="n">
        <v>24.93</v>
      </c>
      <c r="I179" s="0" t="inlineStr">
        <is>
          <t>Revolution CT</t>
        </is>
      </c>
      <c r="J179" s="0" t="inlineStr">
        <is>
          <t>ABD</t>
        </is>
      </c>
      <c r="K179" t="n">
        <v>157.2</v>
      </c>
      <c r="L179" t="n">
        <v>61.6</v>
      </c>
      <c r="M179" t="n">
        <v>43.7</v>
      </c>
    </row>
    <row r="180">
      <c r="A180" s="2" t="n">
        <v>9887347</v>
      </c>
      <c r="B180" s="2" t="n">
        <v>44</v>
      </c>
      <c r="C180" s="2" t="inlineStr">
        <is>
          <t>F</t>
        </is>
      </c>
      <c r="D180" s="2" t="n">
        <v>100</v>
      </c>
      <c r="E180" s="4">
        <f>HYPERLINK("./Results/DLO\20200301_1.2.840.113619.2.416.208671703034456590939755698124408032357_312_512_512_\Osteo_Sarco_1.png","RPT")</f>
        <v/>
      </c>
      <c r="F180" s="3" t="n">
        <v>116</v>
      </c>
      <c r="G180" s="3" t="n">
        <v>8</v>
      </c>
      <c r="H180" s="7" t="n">
        <v>26.74</v>
      </c>
      <c r="I180" s="0" t="inlineStr">
        <is>
          <t>Revolution CT</t>
        </is>
      </c>
      <c r="J180" s="0" t="inlineStr">
        <is>
          <t>ABD</t>
        </is>
      </c>
      <c r="K180" t="n">
        <v>159.6</v>
      </c>
      <c r="L180" t="n">
        <v>68.09999999999999</v>
      </c>
      <c r="M180" t="n">
        <v>42.4</v>
      </c>
    </row>
    <row r="181">
      <c r="A181" s="2" t="n">
        <v>6181201</v>
      </c>
      <c r="B181" s="2" t="n">
        <v>44</v>
      </c>
      <c r="C181" s="2" t="inlineStr">
        <is>
          <t>F</t>
        </is>
      </c>
      <c r="D181" s="2" t="n">
        <v>100</v>
      </c>
      <c r="E181" s="4">
        <f>HYPERLINK("./Results/DLO\20180201_1.3.12.2.1107.5.1.4.54310.30000018020823081534300019389_2_512_512_\Osteo_Sarco_1.png","RPT")</f>
        <v/>
      </c>
      <c r="F181" s="3" t="n">
        <v>113</v>
      </c>
      <c r="G181" s="3" t="n">
        <v>11</v>
      </c>
      <c r="H181" s="7" t="n">
        <v>25.53</v>
      </c>
      <c r="I181" s="0" t="inlineStr">
        <is>
          <t>Sensation 64</t>
        </is>
      </c>
      <c r="J181" s="0" t="inlineStr">
        <is>
          <t>With Contrast 3.0 B30f</t>
        </is>
      </c>
      <c r="K181" t="n">
        <v>162</v>
      </c>
      <c r="L181" t="n">
        <v>67</v>
      </c>
      <c r="M181" t="n">
        <v>38.87</v>
      </c>
    </row>
    <row r="182">
      <c r="A182" s="2" t="n">
        <v>6739329</v>
      </c>
      <c r="B182" s="2" t="n">
        <v>44</v>
      </c>
      <c r="C182" s="2" t="inlineStr">
        <is>
          <t>F</t>
        </is>
      </c>
      <c r="D182" s="2" t="n">
        <v>100</v>
      </c>
      <c r="E182" s="4">
        <f>HYPERLINK("./Results/DLO\20180101_1.2.840.113619.2.311.281169779001640315898171619563679264806_304_512_512_\Osteo_Sarco_1.png","RPT")</f>
        <v/>
      </c>
      <c r="F182" s="3" t="n">
        <v>112</v>
      </c>
      <c r="G182" s="3" t="n">
        <v>11</v>
      </c>
      <c r="H182" s="7" t="n">
        <v>29.06</v>
      </c>
      <c r="I182" s="0" t="inlineStr">
        <is>
          <t>Revolution CT</t>
        </is>
      </c>
      <c r="J182" s="0" t="inlineStr">
        <is>
          <t>ABD 2.5mm</t>
        </is>
      </c>
      <c r="K182" t="n">
        <v>163.3</v>
      </c>
      <c r="L182" t="n">
        <v>77.5</v>
      </c>
      <c r="M182" t="n">
        <v>37.87</v>
      </c>
    </row>
    <row r="183">
      <c r="A183" s="2" t="n">
        <v>5259980</v>
      </c>
      <c r="B183" s="2" t="n">
        <v>44</v>
      </c>
      <c r="C183" s="2" t="inlineStr">
        <is>
          <t>F</t>
        </is>
      </c>
      <c r="D183" s="2" t="n">
        <v>100</v>
      </c>
      <c r="E183" s="4">
        <f>HYPERLINK("./Results/DLO\20190201_1.2.840.113619.2.311.249179943005235583844010677748003840771_304_512_512_\Osteo_Sarco_1.png","RPT")</f>
        <v/>
      </c>
      <c r="F183" s="3" t="n">
        <v>108</v>
      </c>
      <c r="G183" s="3" t="n">
        <v>9</v>
      </c>
      <c r="H183" s="7" t="n">
        <v>24.69</v>
      </c>
      <c r="I183" s="0" t="inlineStr">
        <is>
          <t>Revolution CT</t>
        </is>
      </c>
      <c r="J183" s="0" t="inlineStr">
        <is>
          <t>ABD 2.5mm</t>
        </is>
      </c>
      <c r="K183" t="n">
        <v>161</v>
      </c>
      <c r="L183" t="n">
        <v>64</v>
      </c>
      <c r="M183" t="n">
        <v>38.19</v>
      </c>
    </row>
    <row r="184">
      <c r="A184" s="2" t="n">
        <v>9837198</v>
      </c>
      <c r="B184" s="2" t="n">
        <v>44</v>
      </c>
      <c r="C184" s="2" t="inlineStr">
        <is>
          <t>F</t>
        </is>
      </c>
      <c r="D184" s="2" t="n">
        <v>100</v>
      </c>
      <c r="E184" s="4">
        <f>HYPERLINK("./Results/DLO\20191101_1.2.840.113619.2.416.228330064788718031106281828147036759136_310_512_512_\Osteo_Sarco_1.png","RPT")</f>
        <v/>
      </c>
      <c r="F184" s="3" t="n">
        <v>105</v>
      </c>
      <c r="G184" s="3" t="n">
        <v>10</v>
      </c>
      <c r="H184" s="6" t="n">
        <v>21.9</v>
      </c>
      <c r="I184" s="0" t="inlineStr">
        <is>
          <t>Revolution CT</t>
        </is>
      </c>
      <c r="J184" s="0" t="inlineStr">
        <is>
          <t>ABD</t>
        </is>
      </c>
      <c r="K184" t="n">
        <v>159.9</v>
      </c>
      <c r="L184" t="n">
        <v>56</v>
      </c>
      <c r="M184" t="n">
        <v>37.16</v>
      </c>
    </row>
    <row r="185">
      <c r="A185" s="2" t="n">
        <v>8889638</v>
      </c>
      <c r="B185" s="2" t="n">
        <v>45</v>
      </c>
      <c r="C185" s="2" t="inlineStr">
        <is>
          <t>F</t>
        </is>
      </c>
      <c r="D185" s="2" t="n">
        <v>100</v>
      </c>
      <c r="E185" s="4">
        <f>HYPERLINK("./Results/DLO\20181101_1.2.840.113619.2.311.316671347588831339581846550607886791540_304_512_512_\Osteo_Sarco_1.png","RPT")</f>
        <v/>
      </c>
      <c r="F185" s="3" t="n">
        <v>99</v>
      </c>
      <c r="G185" s="3" t="n">
        <v>9</v>
      </c>
      <c r="H185" s="7" t="n">
        <v>21.37</v>
      </c>
      <c r="I185" s="0" t="inlineStr">
        <is>
          <t>Revolution CT</t>
        </is>
      </c>
      <c r="J185" s="0" t="inlineStr">
        <is>
          <t>ABD 2.5mm</t>
        </is>
      </c>
      <c r="K185" t="n">
        <v>163.3</v>
      </c>
      <c r="L185" t="n">
        <v>57</v>
      </c>
      <c r="M185" t="n">
        <v>33.75</v>
      </c>
    </row>
    <row r="186">
      <c r="A186" s="2" t="n">
        <v>8792692</v>
      </c>
      <c r="B186" s="2" t="n">
        <v>45</v>
      </c>
      <c r="C186" s="2" t="inlineStr">
        <is>
          <t>F</t>
        </is>
      </c>
      <c r="D186" s="2" t="n">
        <v>100</v>
      </c>
      <c r="E186" s="4">
        <f>HYPERLINK("./Results/DLO\20190301_1.3.46.670589.33.1.63688506009141819000001.5519429274112303913_201_512_512_\Osteo_Sarco_1.png","RPT")</f>
        <v/>
      </c>
      <c r="F186" s="3" t="n">
        <v>95</v>
      </c>
      <c r="G186" s="3" t="n">
        <v>9</v>
      </c>
      <c r="H186" s="7" t="n">
        <v>17.72</v>
      </c>
      <c r="I186" s="0" t="inlineStr">
        <is>
          <t>Ingenuity Core 128</t>
        </is>
      </c>
      <c r="J186" s="0" t="inlineStr">
        <is>
          <t>Post 3mm, iDose (3)</t>
        </is>
      </c>
      <c r="K186" t="n">
        <v>168</v>
      </c>
      <c r="L186" t="n">
        <v>50</v>
      </c>
      <c r="M186" t="n">
        <v>30.47</v>
      </c>
    </row>
    <row r="187">
      <c r="A187" s="2" t="n">
        <v>9791821</v>
      </c>
      <c r="B187" s="2" t="n">
        <v>45</v>
      </c>
      <c r="C187" s="2" t="inlineStr">
        <is>
          <t>F</t>
        </is>
      </c>
      <c r="D187" s="2" t="n">
        <v>100</v>
      </c>
      <c r="E187" s="4">
        <f>HYPERLINK("./Results/DLO\20190901_1.2.840.113619.2.416.68637676144253916718486292614525854412_306_512_512_\Osteo_Sarco_1.png","RPT")</f>
        <v/>
      </c>
      <c r="F187" s="3" t="n">
        <v>95</v>
      </c>
      <c r="G187" s="3" t="n">
        <v>13</v>
      </c>
      <c r="H187" s="7" t="n">
        <v>21.4</v>
      </c>
      <c r="I187" s="0" t="inlineStr">
        <is>
          <t>Revolution CT</t>
        </is>
      </c>
      <c r="J187" s="0" t="inlineStr">
        <is>
          <t>ABD</t>
        </is>
      </c>
      <c r="K187" t="n">
        <v>159.3</v>
      </c>
      <c r="L187" t="n">
        <v>54.3</v>
      </c>
      <c r="M187" t="n">
        <v>32.31</v>
      </c>
    </row>
    <row r="188">
      <c r="A188" s="2" t="n">
        <v>6740770</v>
      </c>
      <c r="B188" s="2" t="n">
        <v>45</v>
      </c>
      <c r="C188" s="2" t="inlineStr">
        <is>
          <t>F</t>
        </is>
      </c>
      <c r="D188" s="2" t="n">
        <v>100</v>
      </c>
      <c r="E188" s="4">
        <f>HYPERLINK("./Results/DLO\20190201_1.2.840.113619.2.311.184723799424423551333113502155341585541_304_512_512_\Osteo_Sarco_1.png","RPT")</f>
        <v/>
      </c>
      <c r="F188" s="3" t="n">
        <v>90</v>
      </c>
      <c r="G188" s="3" t="n">
        <v>12</v>
      </c>
      <c r="H188" s="6" t="n">
        <v>26.49</v>
      </c>
      <c r="I188" s="0" t="inlineStr">
        <is>
          <t>Revolution CT</t>
        </is>
      </c>
      <c r="J188" s="0" t="inlineStr">
        <is>
          <t>ABD 2.5mm</t>
        </is>
      </c>
      <c r="K188" t="n">
        <v>161.4</v>
      </c>
      <c r="L188" t="n">
        <v>69</v>
      </c>
      <c r="M188" t="n">
        <v>29.94</v>
      </c>
    </row>
    <row r="189">
      <c r="A189" s="2" t="n">
        <v>9686852</v>
      </c>
      <c r="B189" s="2" t="n">
        <v>45</v>
      </c>
      <c r="C189" s="2" t="inlineStr">
        <is>
          <t>M</t>
        </is>
      </c>
      <c r="D189" s="2" t="n">
        <v>100</v>
      </c>
      <c r="E189" s="4">
        <f>HYPERLINK("./Results/DLO\20190501_1.3.12.2.1107.5.1.4.65253.30000019052819441403100046063_2_512_512_\Osteo_Sarco_1.png","RPT")</f>
        <v/>
      </c>
      <c r="F189" s="3" t="n">
        <v>183</v>
      </c>
      <c r="G189" s="3" t="n">
        <v>6</v>
      </c>
      <c r="H189" s="6" t="n">
        <v>24.13</v>
      </c>
      <c r="I189" s="0" t="inlineStr">
        <is>
          <t>SOMATOM Definition AS</t>
        </is>
      </c>
      <c r="J189" s="0" t="inlineStr">
        <is>
          <t>Pre Contrast 3.0 B30f</t>
        </is>
      </c>
      <c r="K189" t="n">
        <v>176.9</v>
      </c>
      <c r="L189" t="n">
        <v>75.5</v>
      </c>
      <c r="M189" t="n">
        <v>56.56</v>
      </c>
    </row>
    <row r="190">
      <c r="A190" s="2" t="n">
        <v>9555807</v>
      </c>
      <c r="B190" s="2" t="n">
        <v>45</v>
      </c>
      <c r="C190" s="2" t="inlineStr">
        <is>
          <t>M</t>
        </is>
      </c>
      <c r="D190" s="2" t="n">
        <v>100</v>
      </c>
      <c r="E190" s="4">
        <f>HYPERLINK("./Results/DLO\20190101_1.2.840.113619.2.416.128011958102112953196995400122806811442_301_512_512_\Osteo_Sarco_1.png","RPT")</f>
        <v/>
      </c>
      <c r="F190" s="3" t="n">
        <v>178</v>
      </c>
      <c r="G190" s="3" t="n">
        <v>7</v>
      </c>
      <c r="H190" s="7" t="n">
        <v>25.76</v>
      </c>
      <c r="I190" s="0" t="inlineStr">
        <is>
          <t>Revolution CT</t>
        </is>
      </c>
      <c r="J190" s="0" t="inlineStr">
        <is>
          <t>ARTERY</t>
        </is>
      </c>
      <c r="K190" t="n">
        <v>174</v>
      </c>
      <c r="L190" t="n">
        <v>78</v>
      </c>
      <c r="M190" t="n">
        <v>56.48</v>
      </c>
    </row>
    <row r="191">
      <c r="A191" s="2" t="n">
        <v>8739567</v>
      </c>
      <c r="B191" s="2" t="n">
        <v>45</v>
      </c>
      <c r="C191" s="2" t="inlineStr">
        <is>
          <t>M</t>
        </is>
      </c>
      <c r="D191" s="2" t="n">
        <v>100</v>
      </c>
      <c r="E191" s="4">
        <f>HYPERLINK("./Results/DLO\20180601_1.2.840.113619.2.311.301204161635447080948195724374405802513_304_512_512_\Osteo_Sarco_1.png","RPT")</f>
        <v/>
      </c>
      <c r="F191" s="3" t="n">
        <v>177</v>
      </c>
      <c r="G191" s="3" t="n">
        <v>15</v>
      </c>
      <c r="H191" s="7" t="n">
        <v>23.77</v>
      </c>
      <c r="I191" s="0" t="inlineStr">
        <is>
          <t>Revolution CT</t>
        </is>
      </c>
      <c r="J191" s="0" t="inlineStr">
        <is>
          <t>ABD 2.5mm</t>
        </is>
      </c>
      <c r="K191" t="n">
        <v>180</v>
      </c>
      <c r="L191" t="n">
        <v>77</v>
      </c>
      <c r="M191" t="n">
        <v>50</v>
      </c>
    </row>
    <row r="192">
      <c r="A192" s="2" t="n">
        <v>9004300</v>
      </c>
      <c r="B192" s="2" t="n">
        <v>45</v>
      </c>
      <c r="C192" s="2" t="inlineStr">
        <is>
          <t>M</t>
        </is>
      </c>
      <c r="D192" s="2" t="n">
        <v>100</v>
      </c>
      <c r="E192" s="4">
        <f>HYPERLINK("./Results/DLO\20190301_1.3.46.670589.33.1.63687383580471656400001.4950214717612475876_301_512_512_\Osteo_Sarco_1.png","RPT")</f>
        <v/>
      </c>
      <c r="F192" s="3" t="n">
        <v>162</v>
      </c>
      <c r="G192" s="3" t="n">
        <v>9</v>
      </c>
      <c r="H192" s="7" t="n">
        <v>24.89</v>
      </c>
      <c r="I192" s="0" t="inlineStr">
        <is>
          <t>Ingenuity Core 128</t>
        </is>
      </c>
      <c r="J192" s="0" t="inlineStr">
        <is>
          <t>Post 3mm, iDose (3)</t>
        </is>
      </c>
      <c r="K192" t="n">
        <v>167.7</v>
      </c>
      <c r="L192" t="n">
        <v>70</v>
      </c>
      <c r="M192" t="n">
        <v>54.4</v>
      </c>
    </row>
    <row r="193">
      <c r="A193" s="2" t="n">
        <v>9764072</v>
      </c>
      <c r="B193" s="2" t="n">
        <v>45</v>
      </c>
      <c r="C193" s="2" t="inlineStr">
        <is>
          <t>M</t>
        </is>
      </c>
      <c r="D193" s="2" t="n">
        <v>100</v>
      </c>
      <c r="E193" s="4">
        <f>HYPERLINK("./Results/DLO\20191101_1.3.12.2.1107.5.1.4.65253.30000019112020361423300057062_3_512_512_\Osteo_Sarco_1.png","RPT")</f>
        <v/>
      </c>
      <c r="F193" s="3" t="n">
        <v>159</v>
      </c>
      <c r="G193" s="3" t="n">
        <v>4</v>
      </c>
      <c r="H193" s="7" t="n">
        <v>24.54</v>
      </c>
      <c r="I193" s="0" t="inlineStr">
        <is>
          <t>SOMATOM Definition AS</t>
        </is>
      </c>
      <c r="J193" s="0" t="inlineStr">
        <is>
          <t>ABD Contrast 3.0 B30f</t>
        </is>
      </c>
      <c r="K193" t="n">
        <v>168.9</v>
      </c>
      <c r="L193" t="n">
        <v>70</v>
      </c>
      <c r="M193" t="n">
        <v>54.33</v>
      </c>
    </row>
    <row r="194">
      <c r="A194" s="2" t="n">
        <v>6738589</v>
      </c>
      <c r="B194" s="2" t="n">
        <v>45</v>
      </c>
      <c r="C194" s="2" t="inlineStr">
        <is>
          <t>M</t>
        </is>
      </c>
      <c r="D194" s="2" t="n">
        <v>100</v>
      </c>
      <c r="E194" s="4">
        <f>HYPERLINK("./Results/DLO\20180701_1.2.840.113619.2.416.132832867594440207606905996284403795127_2_512_512_\Osteo_Sarco_1.png","RPT")</f>
        <v/>
      </c>
      <c r="F194" s="3" t="n">
        <v>157</v>
      </c>
      <c r="G194" s="3" t="n">
        <v>13</v>
      </c>
      <c r="H194" s="7" t="n">
        <v>19.18</v>
      </c>
      <c r="I194" s="0" t="inlineStr">
        <is>
          <t>Revolution CT</t>
        </is>
      </c>
      <c r="J194" s="0" t="inlineStr">
        <is>
          <t>Pre</t>
        </is>
      </c>
      <c r="K194" t="n">
        <v>180.5</v>
      </c>
      <c r="L194" t="n">
        <v>62.5</v>
      </c>
      <c r="M194" t="n">
        <v>44.2</v>
      </c>
    </row>
    <row r="195">
      <c r="A195" s="2" t="n">
        <v>2734911</v>
      </c>
      <c r="B195" s="2" t="n">
        <v>45</v>
      </c>
      <c r="C195" s="2" t="inlineStr">
        <is>
          <t>M</t>
        </is>
      </c>
      <c r="D195" s="2" t="n">
        <v>100</v>
      </c>
      <c r="E195" s="4">
        <f>HYPERLINK("./Results/DLO\20180701_1.3.12.2.1107.5.1.4.65253.30000018071221203865800049723_2_512_512_\Osteo_Sarco_1.png","RPT")</f>
        <v/>
      </c>
      <c r="F195" s="3" t="n">
        <v>144</v>
      </c>
      <c r="G195" s="3" t="n">
        <v>3</v>
      </c>
      <c r="H195" s="7" t="n">
        <v>22.59</v>
      </c>
      <c r="I195" s="0" t="inlineStr">
        <is>
          <t>SOMATOM Definition AS</t>
        </is>
      </c>
      <c r="J195" s="0" t="inlineStr">
        <is>
          <t>Pre 3.0 B30f</t>
        </is>
      </c>
      <c r="K195" t="n">
        <v>167</v>
      </c>
      <c r="L195" t="n">
        <v>63</v>
      </c>
      <c r="M195" t="n">
        <v>50.56</v>
      </c>
    </row>
    <row r="196">
      <c r="A196" s="2" t="n">
        <v>5248719</v>
      </c>
      <c r="B196" s="2" t="n">
        <v>45</v>
      </c>
      <c r="C196" s="2" t="inlineStr">
        <is>
          <t>M</t>
        </is>
      </c>
      <c r="D196" s="2" t="n">
        <v>100</v>
      </c>
      <c r="E196" s="4">
        <f>HYPERLINK("./Results/DLO\20200501_1.3.12.2.1107.5.1.4.54310.30000020051422075267100021739_5_512_512_\Osteo_Sarco_1.png","RPT")</f>
        <v/>
      </c>
      <c r="F196" s="3" t="n">
        <v>140</v>
      </c>
      <c r="G196" s="3" t="n">
        <v>6</v>
      </c>
      <c r="H196" s="6" t="n">
        <v>23.72</v>
      </c>
      <c r="I196" s="0" t="inlineStr">
        <is>
          <t>Sensation 64</t>
        </is>
      </c>
      <c r="J196" s="0" t="inlineStr">
        <is>
          <t>Arterial 3.0 B30f</t>
        </is>
      </c>
      <c r="K196" t="n">
        <v>173</v>
      </c>
      <c r="L196" t="n">
        <v>71</v>
      </c>
      <c r="M196" t="n">
        <v>44.77</v>
      </c>
    </row>
    <row r="197">
      <c r="A197" s="2" t="n">
        <v>5835682</v>
      </c>
      <c r="B197" s="2" t="n">
        <v>45</v>
      </c>
      <c r="C197" s="2" t="inlineStr">
        <is>
          <t>F</t>
        </is>
      </c>
      <c r="D197" s="2" t="n">
        <v>100</v>
      </c>
      <c r="E197" s="4">
        <f>HYPERLINK("./Results/DLO\20180501_1.2.840.113619.2.311.113916069892555171909266573913539461725_305_512_512_\Osteo_Sarco_1.png","RPT")</f>
        <v/>
      </c>
      <c r="F197" s="3" t="n">
        <v>128</v>
      </c>
      <c r="G197" s="3" t="n">
        <v>11</v>
      </c>
      <c r="H197" s="7" t="n">
        <v>26.11</v>
      </c>
      <c r="I197" s="0" t="inlineStr">
        <is>
          <t>Revolution CT</t>
        </is>
      </c>
      <c r="J197" s="0" t="inlineStr">
        <is>
          <t>ABD 2.5mm</t>
        </is>
      </c>
      <c r="K197" t="n">
        <v>162.8</v>
      </c>
      <c r="L197" t="n">
        <v>69.2</v>
      </c>
      <c r="M197" t="n">
        <v>44.14</v>
      </c>
    </row>
    <row r="198">
      <c r="A198" s="2" t="n">
        <v>9424249</v>
      </c>
      <c r="B198" s="2" t="n">
        <v>45</v>
      </c>
      <c r="C198" s="2" t="inlineStr">
        <is>
          <t>F</t>
        </is>
      </c>
      <c r="D198" s="2" t="n">
        <v>100</v>
      </c>
      <c r="E198" s="4">
        <f>HYPERLINK("./Results/DLO\20180801_1.2.840.113619.2.311.190273225759436619182068126857805940586_304_512_512_\Osteo_Sarco_1.png","RPT")</f>
        <v/>
      </c>
      <c r="F198" s="3" t="n">
        <v>119</v>
      </c>
      <c r="G198" s="3" t="n">
        <v>6</v>
      </c>
      <c r="H198" s="7" t="n">
        <v>21.16</v>
      </c>
      <c r="I198" s="0" t="inlineStr">
        <is>
          <t>Revolution CT</t>
        </is>
      </c>
      <c r="J198" s="0" t="inlineStr">
        <is>
          <t>ABD 2.5mm</t>
        </is>
      </c>
      <c r="K198" t="n">
        <v>168.1</v>
      </c>
      <c r="L198" t="n">
        <v>59.8</v>
      </c>
      <c r="M198" t="n">
        <v>39.99</v>
      </c>
    </row>
    <row r="199">
      <c r="A199" s="2" t="n">
        <v>8761043</v>
      </c>
      <c r="B199" s="2" t="n">
        <v>45</v>
      </c>
      <c r="C199" s="2" t="inlineStr">
        <is>
          <t>M</t>
        </is>
      </c>
      <c r="D199" s="2" t="n">
        <v>100</v>
      </c>
      <c r="E199" s="4">
        <f>HYPERLINK("./Results/DLO\20190701_1.3.12.2.1107.5.1.4.65253.30000019063017391722700073408_6_512_512_\Osteo_Sarco_1.png","RPT")</f>
        <v/>
      </c>
      <c r="F199" s="3" t="n">
        <v>119</v>
      </c>
      <c r="G199" s="3" t="n">
        <v>6</v>
      </c>
      <c r="H199" s="7" t="n">
        <v>21.45</v>
      </c>
      <c r="I199" s="0" t="inlineStr">
        <is>
          <t>SOMATOM Definition AS</t>
        </is>
      </c>
      <c r="J199" s="0" t="inlineStr">
        <is>
          <t>Portal Phase 3.0 B30f</t>
        </is>
      </c>
      <c r="K199" t="n">
        <v>163</v>
      </c>
      <c r="L199" t="n">
        <v>57</v>
      </c>
      <c r="M199" t="n">
        <v>42.53</v>
      </c>
    </row>
    <row r="200">
      <c r="A200" s="2" t="n">
        <v>8854832</v>
      </c>
      <c r="B200" s="2" t="n">
        <v>45</v>
      </c>
      <c r="C200" s="2" t="inlineStr">
        <is>
          <t>F</t>
        </is>
      </c>
      <c r="D200" s="2" t="n">
        <v>100</v>
      </c>
      <c r="E200" s="4">
        <f>HYPERLINK("./Results/DLO\20180101_1.2.840.113619.2.416.229968991239876933948846467981894090828_304_512_512_\Osteo_Sarco_1.png","RPT")</f>
        <v/>
      </c>
      <c r="F200" s="3" t="n">
        <v>114</v>
      </c>
      <c r="G200" s="3" t="n">
        <v>7</v>
      </c>
      <c r="H200" s="7" t="n">
        <v>22.31</v>
      </c>
      <c r="I200" s="0" t="inlineStr">
        <is>
          <t>Revolution CT</t>
        </is>
      </c>
      <c r="J200" s="0" t="inlineStr">
        <is>
          <t>ABD 2.5mm</t>
        </is>
      </c>
      <c r="K200" t="n">
        <v>153.4</v>
      </c>
      <c r="L200" t="n">
        <v>52.5</v>
      </c>
      <c r="M200" t="n">
        <v>45.47</v>
      </c>
    </row>
    <row r="201">
      <c r="A201" s="2" t="n">
        <v>9016733</v>
      </c>
      <c r="B201" s="2" t="n">
        <v>45</v>
      </c>
      <c r="C201" s="2" t="inlineStr">
        <is>
          <t>F</t>
        </is>
      </c>
      <c r="D201" s="2" t="n">
        <v>100</v>
      </c>
      <c r="E201" s="4">
        <f>HYPERLINK("./Results/DLO\20180401_1.2.840.113619.2.94.485650834948.2.8798029.19029189.1_2_512_512_\Osteo_Sarco_1.png","RPT")</f>
        <v/>
      </c>
      <c r="F201" s="3" t="n">
        <v>113</v>
      </c>
      <c r="G201" s="3" t="n">
        <v>12</v>
      </c>
      <c r="H201" s="7" t="n">
        <v>31.01</v>
      </c>
      <c r="I201" s="0" t="inlineStr">
        <is>
          <t>SOMATOM Definition AS</t>
        </is>
      </c>
      <c r="J201" s="0" t="inlineStr">
        <is>
          <t>With Contrast 3.0 B30f</t>
        </is>
      </c>
      <c r="K201" t="n">
        <v>159.2</v>
      </c>
      <c r="L201" t="n">
        <v>78.59999999999999</v>
      </c>
      <c r="M201" t="n">
        <v>39.85</v>
      </c>
    </row>
    <row r="202">
      <c r="A202" s="2" t="n">
        <v>9840327</v>
      </c>
      <c r="B202" s="2" t="n">
        <v>45</v>
      </c>
      <c r="C202" s="2" t="inlineStr">
        <is>
          <t>F</t>
        </is>
      </c>
      <c r="D202" s="2" t="n">
        <v>100</v>
      </c>
      <c r="E202" s="4">
        <f>HYPERLINK("./Results/DLO\20191101_1.2.840.113619.2.416.165932418533477488080651505982937581186_310_512_512_\Osteo_Sarco_1.png","RPT")</f>
        <v/>
      </c>
      <c r="F202" s="3" t="n">
        <v>113</v>
      </c>
      <c r="G202" s="3" t="n">
        <v>11</v>
      </c>
      <c r="H202" s="7" t="n">
        <v>26.26</v>
      </c>
      <c r="I202" s="0" t="inlineStr">
        <is>
          <t>Revolution CT</t>
        </is>
      </c>
      <c r="J202" s="0" t="inlineStr">
        <is>
          <t>ABD</t>
        </is>
      </c>
      <c r="K202" t="n">
        <v>158.3</v>
      </c>
      <c r="L202" t="n">
        <v>65.8</v>
      </c>
      <c r="M202" t="n">
        <v>40.7</v>
      </c>
    </row>
    <row r="203">
      <c r="A203" s="2" t="n">
        <v>9851504</v>
      </c>
      <c r="B203" s="2" t="n">
        <v>45</v>
      </c>
      <c r="C203" s="2" t="inlineStr">
        <is>
          <t>F</t>
        </is>
      </c>
      <c r="D203" s="2" t="n">
        <v>100</v>
      </c>
      <c r="E203" s="4">
        <f>HYPERLINK("./Results/DLO\20191101_1.2.840.113619.2.416.248011718704473119366885865136332055559_310_512_512_\Osteo_Sarco_1.png","RPT")</f>
        <v/>
      </c>
      <c r="F203" s="3" t="n">
        <v>109</v>
      </c>
      <c r="G203" s="3" t="n">
        <v>9</v>
      </c>
      <c r="H203" s="7" t="n">
        <v>24.09</v>
      </c>
      <c r="I203" s="0" t="inlineStr">
        <is>
          <t>Revolution CT</t>
        </is>
      </c>
      <c r="J203" s="0" t="inlineStr">
        <is>
          <t>ABD</t>
        </is>
      </c>
      <c r="K203" t="n">
        <v>155.3</v>
      </c>
      <c r="L203" t="n">
        <v>58.1</v>
      </c>
      <c r="M203" t="n">
        <v>41.46</v>
      </c>
    </row>
    <row r="204">
      <c r="A204" s="2" t="n">
        <v>8899338</v>
      </c>
      <c r="B204" s="2" t="n">
        <v>45</v>
      </c>
      <c r="C204" s="2" t="inlineStr">
        <is>
          <t>F</t>
        </is>
      </c>
      <c r="D204" s="2" t="n">
        <v>100</v>
      </c>
      <c r="E204" s="4">
        <f>HYPERLINK("./Results/DLO\20190501_1.2.840.113619.2.416.5869769159055386654244652174849346774_310_512_512_\Osteo_Sarco_1.png","RPT")</f>
        <v/>
      </c>
      <c r="F204" s="3" t="n">
        <v>104</v>
      </c>
      <c r="G204" s="3" t="n">
        <v>8</v>
      </c>
      <c r="H204" s="7" t="n">
        <v>20.57</v>
      </c>
      <c r="I204" s="0" t="inlineStr">
        <is>
          <t>Revolution CT</t>
        </is>
      </c>
      <c r="J204" s="0" t="inlineStr">
        <is>
          <t>ABD</t>
        </is>
      </c>
      <c r="K204" t="n">
        <v>165</v>
      </c>
      <c r="L204" t="n">
        <v>56</v>
      </c>
      <c r="M204" t="n">
        <v>35.26</v>
      </c>
    </row>
    <row r="205">
      <c r="A205" s="2" t="n">
        <v>6739278</v>
      </c>
      <c r="B205" s="2" t="n">
        <v>45</v>
      </c>
      <c r="C205" s="2" t="inlineStr">
        <is>
          <t>F</t>
        </is>
      </c>
      <c r="D205" s="2" t="n">
        <v>100</v>
      </c>
      <c r="E205" s="4">
        <f>HYPERLINK("./Results/DLO\20190101_1.2.840.113619.2.416.68895366909351846896844835579701744577_304_512_512_\Osteo_Sarco_1.png","RPT")</f>
        <v/>
      </c>
      <c r="F205" s="3" t="n">
        <v>103</v>
      </c>
      <c r="G205" s="3" t="n">
        <v>9</v>
      </c>
      <c r="H205" s="7" t="n">
        <v>24.76</v>
      </c>
      <c r="I205" s="0" t="inlineStr">
        <is>
          <t>Revolution CT</t>
        </is>
      </c>
      <c r="J205" s="0" t="inlineStr">
        <is>
          <t>ABD 2.5mm</t>
        </is>
      </c>
      <c r="K205" t="n">
        <v>151.2</v>
      </c>
      <c r="L205" t="n">
        <v>56.6</v>
      </c>
      <c r="M205" t="n">
        <v>41.12</v>
      </c>
    </row>
    <row r="206">
      <c r="A206" s="2" t="n">
        <v>8514943</v>
      </c>
      <c r="B206" s="2" t="n">
        <v>45</v>
      </c>
      <c r="C206" s="2" t="inlineStr">
        <is>
          <t>F</t>
        </is>
      </c>
      <c r="D206" s="2" t="n">
        <v>100</v>
      </c>
      <c r="E206" s="4">
        <f>HYPERLINK("./Results/DLO\20190101_1.3.12.2.1107.5.1.4.65253.30000019012720315968700072856_2_512_512_\Osteo_Sarco_1.png","RPT")</f>
        <v/>
      </c>
      <c r="F206" s="3" t="n">
        <v>103</v>
      </c>
      <c r="G206" s="3" t="n">
        <v>5</v>
      </c>
      <c r="H206" s="7" t="n">
        <v>21.14</v>
      </c>
      <c r="I206" s="0" t="inlineStr">
        <is>
          <t>SOMATOM Definition AS</t>
        </is>
      </c>
      <c r="J206" s="0" t="inlineStr">
        <is>
          <t>Pre Contrast 3.0 B30f</t>
        </is>
      </c>
      <c r="K206" t="n">
        <v>153.8</v>
      </c>
      <c r="L206" t="n">
        <v>50</v>
      </c>
      <c r="M206" t="n">
        <v>41.43</v>
      </c>
    </row>
    <row r="207">
      <c r="A207" s="2" t="n">
        <v>9784614</v>
      </c>
      <c r="B207" s="2" t="n">
        <v>45</v>
      </c>
      <c r="C207" s="2" t="inlineStr">
        <is>
          <t>F</t>
        </is>
      </c>
      <c r="D207" s="2" t="n">
        <v>100</v>
      </c>
      <c r="E207" s="4">
        <f>HYPERLINK("./Results/DLO\20190901_1.2.840.113619.2.416.88516085353270368408171170585876511757_310_512_512_\Osteo_Sarco_1.png","RPT")</f>
        <v/>
      </c>
      <c r="F207" s="3" t="n">
        <v>102</v>
      </c>
      <c r="G207" s="3" t="n">
        <v>7</v>
      </c>
      <c r="H207" s="7" t="n">
        <v>20.82</v>
      </c>
      <c r="I207" s="0" t="inlineStr">
        <is>
          <t>Revolution CT</t>
        </is>
      </c>
      <c r="J207" s="0" t="inlineStr">
        <is>
          <t>ABD</t>
        </is>
      </c>
      <c r="K207" t="n">
        <v>164.3</v>
      </c>
      <c r="L207" t="n">
        <v>56.2</v>
      </c>
      <c r="M207" t="n">
        <v>35.19</v>
      </c>
    </row>
    <row r="208">
      <c r="A208" s="2" t="n">
        <v>5886195</v>
      </c>
      <c r="B208" s="2" t="n">
        <v>45</v>
      </c>
      <c r="C208" s="2" t="inlineStr">
        <is>
          <t>F</t>
        </is>
      </c>
      <c r="D208" s="2" t="n">
        <v>100</v>
      </c>
      <c r="E208" s="4">
        <f>HYPERLINK("./Results/DLO\20180301_1.3.12.2.1107.5.1.4.54310.30000018031923074687500008667_2_512_512_\Osteo_Sarco_1.png","RPT")</f>
        <v/>
      </c>
      <c r="F208" s="3" t="n">
        <v>101</v>
      </c>
      <c r="G208" s="3" t="n">
        <v>2</v>
      </c>
      <c r="H208" s="7" t="n">
        <v>18.94</v>
      </c>
      <c r="I208" s="0" t="inlineStr">
        <is>
          <t>Sensation 64</t>
        </is>
      </c>
      <c r="J208" s="0" t="inlineStr">
        <is>
          <t>With Contrast 3.0 B30f</t>
        </is>
      </c>
      <c r="K208" t="n">
        <v>156.7</v>
      </c>
      <c r="L208" t="n">
        <v>46.5</v>
      </c>
      <c r="M208" t="n">
        <v>40.32</v>
      </c>
    </row>
    <row r="209">
      <c r="A209" s="2" t="n">
        <v>5514392</v>
      </c>
      <c r="B209" s="2" t="n">
        <v>46</v>
      </c>
      <c r="C209" s="2" t="inlineStr">
        <is>
          <t>F</t>
        </is>
      </c>
      <c r="D209" s="2" t="n">
        <v>100</v>
      </c>
      <c r="E209" s="4">
        <f>HYPERLINK("./Results/DLO\20190901_1.3.46.670589.33.1.63703272508775964200001.4646191461343754137_201_512_512_\Osteo_Sarco_1.png","RPT")</f>
        <v/>
      </c>
      <c r="F209" s="3" t="n">
        <v>98</v>
      </c>
      <c r="G209" s="3" t="n">
        <v>7</v>
      </c>
      <c r="H209" s="7" t="n">
        <v>21.64</v>
      </c>
      <c r="I209" s="0" t="inlineStr">
        <is>
          <t>Ingenuity Core 128</t>
        </is>
      </c>
      <c r="J209" s="0" t="inlineStr">
        <is>
          <t>Post 3mm, iDose (3)</t>
        </is>
      </c>
      <c r="K209" t="n">
        <v>155</v>
      </c>
      <c r="L209" t="n">
        <v>52</v>
      </c>
      <c r="M209" t="n">
        <v>37.88</v>
      </c>
    </row>
    <row r="210">
      <c r="A210" s="2" t="n">
        <v>6742172</v>
      </c>
      <c r="B210" s="2" t="n">
        <v>46</v>
      </c>
      <c r="C210" s="2" t="inlineStr">
        <is>
          <t>F</t>
        </is>
      </c>
      <c r="D210" s="2" t="n">
        <v>100</v>
      </c>
      <c r="E210" s="4">
        <f>HYPERLINK("./Results/DLO\20180501_1.3.12.2.1107.5.1.4.54310.30000018050123303617100010399_2_512_512_\Osteo_Sarco_1.png","RPT")</f>
        <v/>
      </c>
      <c r="F210" s="3" t="n">
        <v>96</v>
      </c>
      <c r="G210" s="3" t="n">
        <v>11</v>
      </c>
      <c r="H210" s="6" t="n">
        <v>27.41</v>
      </c>
      <c r="I210" s="0" t="inlineStr">
        <is>
          <t>Sensation 64</t>
        </is>
      </c>
      <c r="J210" s="0" t="inlineStr">
        <is>
          <t>With Contrast 3.0 B30f</t>
        </is>
      </c>
      <c r="K210" t="n">
        <v>154</v>
      </c>
      <c r="L210" t="n">
        <v>65</v>
      </c>
      <c r="M210" t="n">
        <v>35.84</v>
      </c>
    </row>
    <row r="211">
      <c r="A211" s="2" t="n">
        <v>9424286</v>
      </c>
      <c r="B211" s="2" t="n">
        <v>46</v>
      </c>
      <c r="C211" s="2" t="inlineStr">
        <is>
          <t>F</t>
        </is>
      </c>
      <c r="D211" s="2" t="n">
        <v>100</v>
      </c>
      <c r="E211" s="4">
        <f>HYPERLINK("./Results/DLO\20180801_1.3.12.2.1107.5.1.4.54310.30000018082900102528100005093_2_512_512_\Osteo_Sarco_1.png","RPT")</f>
        <v/>
      </c>
      <c r="F211" s="3" t="n">
        <v>96</v>
      </c>
      <c r="G211" s="3" t="n">
        <v>9</v>
      </c>
      <c r="H211" s="7" t="n">
        <v>22.9</v>
      </c>
      <c r="I211" s="0" t="inlineStr">
        <is>
          <t>Sensation 64</t>
        </is>
      </c>
      <c r="J211" s="0" t="inlineStr">
        <is>
          <t>With Contrast 3.0 B30f</t>
        </is>
      </c>
      <c r="K211" t="n">
        <v>157.5</v>
      </c>
      <c r="L211" t="n">
        <v>56.8</v>
      </c>
      <c r="M211" t="n">
        <v>35.07</v>
      </c>
    </row>
    <row r="212">
      <c r="A212" s="2" t="n">
        <v>9872556</v>
      </c>
      <c r="B212" s="2" t="n">
        <v>46</v>
      </c>
      <c r="C212" s="2" t="inlineStr">
        <is>
          <t>F</t>
        </is>
      </c>
      <c r="D212" s="2" t="n">
        <v>100</v>
      </c>
      <c r="E212" s="4">
        <f>HYPERLINK("./Results/DLO\20191201_1.2.840.113619.2.416.23644531757178331350921016499397019825_310_512_512_\Osteo_Sarco_1.png","RPT")</f>
        <v/>
      </c>
      <c r="F212" s="3" t="n">
        <v>93</v>
      </c>
      <c r="G212" s="3" t="n">
        <v>7</v>
      </c>
      <c r="H212" s="7" t="n">
        <v>21.31</v>
      </c>
      <c r="I212" s="0" t="inlineStr">
        <is>
          <t>Revolution CT</t>
        </is>
      </c>
      <c r="J212" s="0" t="inlineStr">
        <is>
          <t>ABD</t>
        </is>
      </c>
      <c r="K212" t="n">
        <v>160.8</v>
      </c>
      <c r="L212" t="n">
        <v>55.1</v>
      </c>
      <c r="M212" t="n">
        <v>33.26</v>
      </c>
    </row>
    <row r="213">
      <c r="A213" s="2" t="n">
        <v>9432613</v>
      </c>
      <c r="B213" s="2" t="n">
        <v>46</v>
      </c>
      <c r="C213" s="2" t="inlineStr">
        <is>
          <t>F</t>
        </is>
      </c>
      <c r="D213" s="2" t="n">
        <v>100</v>
      </c>
      <c r="E213" s="4">
        <f>HYPERLINK("./Results/DLO\20180901_1.3.46.670589.33.1.63672782676705680400001.5686538560351112000_201_512_512_\Osteo_Sarco_1.png","RPT")</f>
        <v/>
      </c>
      <c r="F213" s="3" t="n">
        <v>92</v>
      </c>
      <c r="G213" s="3" t="n">
        <v>8</v>
      </c>
      <c r="H213" s="7" t="n">
        <v>22.76</v>
      </c>
      <c r="I213" s="0" t="inlineStr">
        <is>
          <t>Ingenuity Core 128</t>
        </is>
      </c>
      <c r="J213" s="0" t="inlineStr">
        <is>
          <t>Post 100/236 i3, iDose (3)</t>
        </is>
      </c>
      <c r="K213" t="n">
        <v>151</v>
      </c>
      <c r="L213" t="n">
        <v>51.9</v>
      </c>
      <c r="M213" t="n">
        <v>36.84</v>
      </c>
    </row>
    <row r="214">
      <c r="A214" s="2" t="n">
        <v>815427</v>
      </c>
      <c r="B214" s="2" t="n">
        <v>46</v>
      </c>
      <c r="C214" s="2" t="inlineStr">
        <is>
          <t>M</t>
        </is>
      </c>
      <c r="D214" s="2" t="n">
        <v>100</v>
      </c>
      <c r="E214" s="4">
        <f>HYPERLINK("./Results/DLO\20191201_1.3.12.2.1107.5.1.4.54310.30000019120522423939000050112_6_512_512_\Osteo_Sarco_1.png","RPT")</f>
        <v/>
      </c>
      <c r="F214" s="3" t="n">
        <v>201</v>
      </c>
      <c r="G214" s="3" t="n">
        <v>6</v>
      </c>
      <c r="H214" s="7" t="n">
        <v>31.14</v>
      </c>
      <c r="I214" s="0" t="inlineStr">
        <is>
          <t>Sensation 64</t>
        </is>
      </c>
      <c r="J214" s="0" t="inlineStr">
        <is>
          <t>Portal 3.0 B30f</t>
        </is>
      </c>
      <c r="K214" t="n">
        <v>170</v>
      </c>
      <c r="L214" t="n">
        <v>90</v>
      </c>
      <c r="M214" t="n">
        <v>67.47</v>
      </c>
    </row>
    <row r="215">
      <c r="A215" s="2" t="n">
        <v>9716824</v>
      </c>
      <c r="B215" s="2" t="n">
        <v>46</v>
      </c>
      <c r="C215" s="2" t="inlineStr">
        <is>
          <t>M</t>
        </is>
      </c>
      <c r="D215" s="2" t="n">
        <v>100</v>
      </c>
      <c r="E215" s="4">
        <f>HYPERLINK("./Results/DLO\20200301_1.3.12.2.1107.5.1.4.54310.30000020030222261332800004015_3_512_512_\Osteo_Sarco_1.png","RPT")</f>
        <v/>
      </c>
      <c r="F215" s="3" t="n">
        <v>187</v>
      </c>
      <c r="G215" s="3" t="n">
        <v>9</v>
      </c>
      <c r="H215" s="7" t="n">
        <v>26.3</v>
      </c>
      <c r="I215" s="0" t="inlineStr">
        <is>
          <t>Sensation 64</t>
        </is>
      </c>
      <c r="J215" s="0" t="inlineStr">
        <is>
          <t>With Contrast 3.0 B30f</t>
        </is>
      </c>
      <c r="K215" t="n">
        <v>176.8</v>
      </c>
      <c r="L215" t="n">
        <v>82.2</v>
      </c>
      <c r="M215" t="n">
        <v>56.94</v>
      </c>
    </row>
    <row r="216">
      <c r="A216" s="2" t="n">
        <v>9825906</v>
      </c>
      <c r="B216" s="2" t="n">
        <v>46</v>
      </c>
      <c r="C216" s="2" t="inlineStr">
        <is>
          <t>M</t>
        </is>
      </c>
      <c r="D216" s="2" t="n">
        <v>100</v>
      </c>
      <c r="E216" s="4">
        <f>HYPERLINK("./Results/DLO\20191101_1.3.46.670589.33.1.63708799100160621400001.4964894487692852412_201_512_512_\Osteo_Sarco_1.png","RPT")</f>
        <v/>
      </c>
      <c r="F216" s="3" t="n">
        <v>153</v>
      </c>
      <c r="G216" s="3" t="n">
        <v>11</v>
      </c>
      <c r="H216" s="7" t="n">
        <v>25.8</v>
      </c>
      <c r="I216" s="0" t="inlineStr">
        <is>
          <t>Ingenuity Core 128</t>
        </is>
      </c>
      <c r="J216" s="0" t="inlineStr">
        <is>
          <t>Post 3mm, iDose (3)</t>
        </is>
      </c>
      <c r="K216" t="n">
        <v>175</v>
      </c>
      <c r="L216" t="n">
        <v>79</v>
      </c>
      <c r="M216" t="n">
        <v>46.37</v>
      </c>
    </row>
    <row r="217">
      <c r="A217" s="2" t="n">
        <v>6737286</v>
      </c>
      <c r="B217" s="2" t="n">
        <v>46</v>
      </c>
      <c r="C217" s="2" t="inlineStr">
        <is>
          <t>F</t>
        </is>
      </c>
      <c r="D217" s="2" t="n">
        <v>100</v>
      </c>
      <c r="E217" s="4">
        <f>HYPERLINK("./Results/DLO\20180201_1.2.840.113619.2.94.485650834948.2.8673182.18721012.1_2_512_512_\Osteo_Sarco_1.png","RPT")</f>
        <v/>
      </c>
      <c r="F217" s="3" t="n">
        <v>135</v>
      </c>
      <c r="G217" s="3" t="n">
        <v>17</v>
      </c>
      <c r="H217" s="7" t="n">
        <v>31.89</v>
      </c>
      <c r="I217" s="0" t="inlineStr">
        <is>
          <t>Sensation 64</t>
        </is>
      </c>
      <c r="J217" s="0" t="inlineStr">
        <is>
          <t>With Contrast 3.0 B30f</t>
        </is>
      </c>
      <c r="K217" t="n">
        <v>161.9</v>
      </c>
      <c r="L217" t="n">
        <v>83.59999999999999</v>
      </c>
      <c r="M217" t="n">
        <v>45.02</v>
      </c>
    </row>
    <row r="218">
      <c r="A218" s="2" t="n">
        <v>4608389</v>
      </c>
      <c r="B218" s="2" t="n">
        <v>46</v>
      </c>
      <c r="C218" s="2" t="inlineStr">
        <is>
          <t>F</t>
        </is>
      </c>
      <c r="D218" s="2" t="n">
        <v>100</v>
      </c>
      <c r="E218" s="4">
        <f>HYPERLINK("./Results/DLO\20181201_1.2.840.113619.2.311.13370137071130050588560953136988392399_304_512_512_\Osteo_Sarco_1.png","RPT")</f>
        <v/>
      </c>
      <c r="F218" s="3" t="n">
        <v>127</v>
      </c>
      <c r="G218" s="3" t="n">
        <v>8</v>
      </c>
      <c r="H218" s="7" t="n">
        <v>19.71</v>
      </c>
      <c r="I218" s="0" t="inlineStr">
        <is>
          <t>Revolution CT</t>
        </is>
      </c>
      <c r="J218" s="0" t="inlineStr">
        <is>
          <t>ABD 2.5mm</t>
        </is>
      </c>
      <c r="K218" t="n">
        <v>164</v>
      </c>
      <c r="L218" t="n">
        <v>53</v>
      </c>
      <c r="M218" t="n">
        <v>44.24</v>
      </c>
    </row>
    <row r="219">
      <c r="A219" s="2" t="n">
        <v>9516295</v>
      </c>
      <c r="B219" s="2" t="n">
        <v>46</v>
      </c>
      <c r="C219" s="2" t="inlineStr">
        <is>
          <t>F</t>
        </is>
      </c>
      <c r="D219" s="2" t="n">
        <v>100</v>
      </c>
      <c r="E219" s="4">
        <f>HYPERLINK("./Results/DLO\20181201_1.2.840.113619.2.311.37684559473679560544431753667569005994_304_512_512_\Osteo_Sarco_1.png","RPT")</f>
        <v/>
      </c>
      <c r="F219" s="3" t="n">
        <v>123</v>
      </c>
      <c r="G219" s="3" t="n">
        <v>9</v>
      </c>
      <c r="H219" s="7" t="n">
        <v>26.72</v>
      </c>
      <c r="I219" s="0" t="inlineStr">
        <is>
          <t>Revolution CT</t>
        </is>
      </c>
      <c r="J219" s="0" t="inlineStr">
        <is>
          <t>ABD 2.5mm</t>
        </is>
      </c>
      <c r="K219" t="n">
        <v>163</v>
      </c>
      <c r="L219" t="n">
        <v>71</v>
      </c>
      <c r="M219" t="n">
        <v>42.91</v>
      </c>
    </row>
    <row r="220">
      <c r="A220" s="2" t="n">
        <v>9812531</v>
      </c>
      <c r="B220" s="2" t="n">
        <v>46</v>
      </c>
      <c r="C220" s="2" t="inlineStr">
        <is>
          <t>F</t>
        </is>
      </c>
      <c r="D220" s="2" t="n">
        <v>100</v>
      </c>
      <c r="E220" s="4">
        <f>HYPERLINK("./Results/DLO\20191101_1.3.46.670589.33.1.63708562921867970100001.4966688928073187375_301_512_512_\Osteo_Sarco_1.png","RPT")</f>
        <v/>
      </c>
      <c r="F220" s="3" t="n">
        <v>123</v>
      </c>
      <c r="G220" s="3" t="n">
        <v>11</v>
      </c>
      <c r="H220" s="7" t="n">
        <v>25.53</v>
      </c>
      <c r="I220" s="0" t="inlineStr">
        <is>
          <t>Ingenuity Core 128</t>
        </is>
      </c>
      <c r="J220" s="0" t="inlineStr">
        <is>
          <t>Post 3mm, iDose (3)</t>
        </is>
      </c>
      <c r="K220" t="n">
        <v>162</v>
      </c>
      <c r="L220" t="n">
        <v>67</v>
      </c>
      <c r="M220" t="n">
        <v>42.68</v>
      </c>
    </row>
    <row r="221">
      <c r="A221" s="2" t="n">
        <v>4358846</v>
      </c>
      <c r="B221" s="2" t="n">
        <v>46</v>
      </c>
      <c r="C221" s="2" t="inlineStr">
        <is>
          <t>F</t>
        </is>
      </c>
      <c r="D221" s="2" t="n">
        <v>100</v>
      </c>
      <c r="E221" s="4">
        <f>HYPERLINK("./Results/DLO\20180101_1.3.46.670589.33.1.63652814660948866300001.5083582921376546742_201_512_512_\Osteo_Sarco_1.png","RPT")</f>
        <v/>
      </c>
      <c r="F221" s="3" t="n">
        <v>121</v>
      </c>
      <c r="G221" s="3" t="n">
        <v>10</v>
      </c>
      <c r="H221" s="7" t="n">
        <v>22.43</v>
      </c>
      <c r="I221" s="0" t="inlineStr">
        <is>
          <t>Ingenuity Core 128</t>
        </is>
      </c>
      <c r="J221" s="0" t="inlineStr">
        <is>
          <t>Post 100/236 i3, iDose (3)</t>
        </is>
      </c>
      <c r="K221" t="n">
        <v>158</v>
      </c>
      <c r="L221" t="n">
        <v>56</v>
      </c>
      <c r="M221" t="n">
        <v>44.46</v>
      </c>
    </row>
    <row r="222">
      <c r="A222" s="2" t="n">
        <v>9779411</v>
      </c>
      <c r="B222" s="2" t="n">
        <v>46</v>
      </c>
      <c r="C222" s="2" t="inlineStr">
        <is>
          <t>F</t>
        </is>
      </c>
      <c r="D222" s="2" t="n">
        <v>100</v>
      </c>
      <c r="E222" s="4">
        <f>HYPERLINK("./Results/DLO\20190901_1.2.840.113619.2.416.328441274030069012663558522874520093759_310_512_512_\Osteo_Sarco_1.png","RPT")</f>
        <v/>
      </c>
      <c r="F222" s="3" t="n">
        <v>117</v>
      </c>
      <c r="G222" s="3" t="n">
        <v>7</v>
      </c>
      <c r="H222" s="7" t="n">
        <v>20.31</v>
      </c>
      <c r="I222" s="0" t="inlineStr">
        <is>
          <t>Revolution CT</t>
        </is>
      </c>
      <c r="J222" s="0" t="inlineStr">
        <is>
          <t>ABD</t>
        </is>
      </c>
      <c r="K222" t="n">
        <v>160</v>
      </c>
      <c r="L222" t="n">
        <v>52</v>
      </c>
      <c r="M222" t="n">
        <v>42.97</v>
      </c>
    </row>
    <row r="223">
      <c r="A223" s="2" t="n">
        <v>9424229</v>
      </c>
      <c r="B223" s="2" t="n">
        <v>46</v>
      </c>
      <c r="C223" s="2" t="inlineStr">
        <is>
          <t>F</t>
        </is>
      </c>
      <c r="D223" s="2" t="n">
        <v>100</v>
      </c>
      <c r="E223" s="4">
        <f>HYPERLINK("./Results/DLO\20180901_1.2.840.113619.2.311.253947421889818580533693732061585494351_303_512_512_\Osteo_Sarco_1.png","RPT")</f>
        <v/>
      </c>
      <c r="F223" s="3" t="n">
        <v>115</v>
      </c>
      <c r="G223" s="3" t="n">
        <v>9</v>
      </c>
      <c r="H223" s="7" t="n">
        <v>24.87</v>
      </c>
      <c r="I223" s="0" t="inlineStr">
        <is>
          <t>Revolution CT</t>
        </is>
      </c>
      <c r="J223" s="0" t="inlineStr">
        <is>
          <t>ABD 2.5mm</t>
        </is>
      </c>
      <c r="K223" t="n">
        <v>151.4</v>
      </c>
      <c r="L223" t="n">
        <v>57</v>
      </c>
      <c r="M223" t="n">
        <v>46.24</v>
      </c>
    </row>
    <row r="224">
      <c r="A224" s="2" t="n">
        <v>5029604</v>
      </c>
      <c r="B224" s="2" t="n">
        <v>46</v>
      </c>
      <c r="C224" s="2" t="inlineStr">
        <is>
          <t>F</t>
        </is>
      </c>
      <c r="D224" s="2" t="n">
        <v>100</v>
      </c>
      <c r="E224" s="4">
        <f>HYPERLINK("./Results/DLO\20180201_1.2.840.113619.2.311.253130731215852022183007814808392083244_304_512_512_\Osteo_Sarco_1.png","RPT")</f>
        <v/>
      </c>
      <c r="F224" s="3" t="n">
        <v>114</v>
      </c>
      <c r="G224" s="3" t="n">
        <v>11</v>
      </c>
      <c r="H224" s="6" t="n">
        <v>20.54</v>
      </c>
      <c r="I224" s="0" t="inlineStr">
        <is>
          <t>Revolution CT</t>
        </is>
      </c>
      <c r="J224" s="0" t="inlineStr">
        <is>
          <t>ABD 2.5mm</t>
        </is>
      </c>
      <c r="K224" t="n">
        <v>163.5</v>
      </c>
      <c r="L224" t="n">
        <v>54.9</v>
      </c>
      <c r="M224" t="n">
        <v>38.53</v>
      </c>
    </row>
    <row r="225">
      <c r="A225" s="2" t="n">
        <v>433117</v>
      </c>
      <c r="B225" s="2" t="n">
        <v>46</v>
      </c>
      <c r="C225" s="2" t="inlineStr">
        <is>
          <t>F</t>
        </is>
      </c>
      <c r="D225" s="2" t="n">
        <v>100</v>
      </c>
      <c r="E225" s="4">
        <f>HYPERLINK("./Results/DLO\20190401_1.2.840.113619.2.311.26506538982352755797309031278517630736_304_512_512_\Osteo_Sarco_1.png","RPT")</f>
        <v/>
      </c>
      <c r="F225" s="3" t="n">
        <v>114</v>
      </c>
      <c r="G225" s="3" t="n">
        <v>7</v>
      </c>
      <c r="H225" s="7" t="n">
        <v>21.5</v>
      </c>
      <c r="I225" s="0" t="inlineStr">
        <is>
          <t>Revolution CT</t>
        </is>
      </c>
      <c r="J225" s="0" t="inlineStr">
        <is>
          <t>ABD 2.5mm</t>
        </is>
      </c>
      <c r="K225" t="n">
        <v>167.2</v>
      </c>
      <c r="L225" t="n">
        <v>60.1</v>
      </c>
      <c r="M225" t="n">
        <v>38.27</v>
      </c>
    </row>
    <row r="226">
      <c r="A226" s="2" t="n">
        <v>6171801</v>
      </c>
      <c r="B226" s="2" t="n">
        <v>46</v>
      </c>
      <c r="C226" s="2" t="inlineStr">
        <is>
          <t>F</t>
        </is>
      </c>
      <c r="D226" s="2" t="n">
        <v>100</v>
      </c>
      <c r="E226" s="4">
        <f>HYPERLINK("./Results/DLO\20181101_1.3.12.2.1107.5.1.4.54310.30000018111423480982800013012_2_512_512_\Osteo_Sarco_1.png","RPT")</f>
        <v/>
      </c>
      <c r="F226" s="3" t="n">
        <v>106</v>
      </c>
      <c r="G226" s="3" t="n">
        <v>10</v>
      </c>
      <c r="H226" s="7" t="n">
        <v>20.21</v>
      </c>
      <c r="I226" s="0" t="inlineStr">
        <is>
          <t>Sensation 64</t>
        </is>
      </c>
      <c r="J226" s="0" t="inlineStr">
        <is>
          <t>With Contrast 3.0 B30f</t>
        </is>
      </c>
      <c r="K226" t="n">
        <v>159.8</v>
      </c>
      <c r="L226" t="n">
        <v>51.6</v>
      </c>
      <c r="M226" t="n">
        <v>37.59</v>
      </c>
    </row>
    <row r="227">
      <c r="A227" s="2" t="n">
        <v>9822683</v>
      </c>
      <c r="B227" s="2" t="n">
        <v>46</v>
      </c>
      <c r="C227" s="2" t="inlineStr">
        <is>
          <t>F</t>
        </is>
      </c>
      <c r="D227" s="2" t="n">
        <v>100</v>
      </c>
      <c r="E227" s="4">
        <f>HYPERLINK("./Results/DLO\20191001_1.3.12.2.1107.5.1.4.65253.30000019101821091323300045886_3_512_512_\Osteo_Sarco_1.png","RPT")</f>
        <v/>
      </c>
      <c r="F227" s="3" t="n">
        <v>101</v>
      </c>
      <c r="G227" s="3" t="n">
        <v>6</v>
      </c>
      <c r="H227" s="7" t="n">
        <v>24.54</v>
      </c>
      <c r="I227" s="0" t="inlineStr">
        <is>
          <t>SOMATOM Definition AS</t>
        </is>
      </c>
      <c r="J227" s="0" t="inlineStr">
        <is>
          <t>With Contrast 3.0 B30f</t>
        </is>
      </c>
      <c r="K227" t="n">
        <v>148.9</v>
      </c>
      <c r="L227" t="n">
        <v>54.4</v>
      </c>
      <c r="M227" t="n">
        <v>42.85</v>
      </c>
    </row>
    <row r="228">
      <c r="A228" s="2" t="n">
        <v>8750626</v>
      </c>
      <c r="B228" s="2" t="n">
        <v>46</v>
      </c>
      <c r="C228" s="2" t="inlineStr">
        <is>
          <t>F</t>
        </is>
      </c>
      <c r="D228" s="2" t="n">
        <v>100</v>
      </c>
      <c r="E228" s="4">
        <f>HYPERLINK("./Results/DLO\20180601_1.3.46.670589.33.1.63665862631157178300001.5448766104246184902_301_512_512_\Osteo_Sarco_1.png","RPT")</f>
        <v/>
      </c>
      <c r="F228" s="3" t="n">
        <v>100</v>
      </c>
      <c r="G228" s="3" t="n">
        <v>6</v>
      </c>
      <c r="H228" s="7" t="n">
        <v>17.32</v>
      </c>
      <c r="I228" s="0" t="inlineStr">
        <is>
          <t>Ingenuity Core 128</t>
        </is>
      </c>
      <c r="J228" s="0" t="inlineStr">
        <is>
          <t>Post 100/236 i3, iDose (3)</t>
        </is>
      </c>
      <c r="K228" t="n">
        <v>166.8</v>
      </c>
      <c r="L228" t="n">
        <v>48.2</v>
      </c>
      <c r="M228" t="n">
        <v>33.79</v>
      </c>
    </row>
    <row r="229">
      <c r="A229" s="2" t="n">
        <v>4636602</v>
      </c>
      <c r="B229" s="2" t="n">
        <v>46</v>
      </c>
      <c r="C229" s="2" t="inlineStr">
        <is>
          <t>F</t>
        </is>
      </c>
      <c r="D229" s="2" t="n">
        <v>100</v>
      </c>
      <c r="E229" s="4">
        <f>HYPERLINK("./Results/DLO\20180801_1.3.12.2.1107.5.1.4.65253.30000018080619082202800002380_2_512_512_\Osteo_Sarco_1.png","RPT")</f>
        <v/>
      </c>
      <c r="F229" s="3" t="n">
        <v>100</v>
      </c>
      <c r="G229" s="3" t="n">
        <v>3</v>
      </c>
      <c r="H229" s="7" t="n">
        <v>19.02</v>
      </c>
      <c r="I229" s="0" t="inlineStr">
        <is>
          <t>SOMATOM Definition AS</t>
        </is>
      </c>
      <c r="J229" s="0" t="inlineStr">
        <is>
          <t>With Contrast 3.0 B30f</t>
        </is>
      </c>
      <c r="K229" t="n">
        <v>166.6</v>
      </c>
      <c r="L229" t="n">
        <v>52.8</v>
      </c>
      <c r="M229" t="n">
        <v>34.95</v>
      </c>
    </row>
    <row r="230">
      <c r="A230" s="2" t="n">
        <v>9493244</v>
      </c>
      <c r="B230" s="2" t="n">
        <v>46</v>
      </c>
      <c r="C230" s="2" t="inlineStr">
        <is>
          <t>F</t>
        </is>
      </c>
      <c r="D230" s="2" t="n">
        <v>100</v>
      </c>
      <c r="E230" s="4">
        <f>HYPERLINK("./Results/DLO\20181001_1.2.840.113619.2.311.152955756853914909637151572926174080909_304_512_512_\Osteo_Sarco_1.png","RPT")</f>
        <v/>
      </c>
      <c r="F230" s="3" t="n">
        <v>100</v>
      </c>
      <c r="G230" s="3" t="n">
        <v>9</v>
      </c>
      <c r="H230" s="7" t="n">
        <v>23.02</v>
      </c>
      <c r="I230" s="0" t="inlineStr">
        <is>
          <t>Revolution CT</t>
        </is>
      </c>
      <c r="J230" s="0" t="inlineStr">
        <is>
          <t>ABD 2.5mm</t>
        </is>
      </c>
      <c r="K230" t="n">
        <v>156.4</v>
      </c>
      <c r="L230" t="n">
        <v>56.3</v>
      </c>
      <c r="M230" t="n">
        <v>37.2</v>
      </c>
    </row>
    <row r="231">
      <c r="A231" s="2" t="n">
        <v>8272351</v>
      </c>
      <c r="B231" s="2" t="n">
        <v>46</v>
      </c>
      <c r="C231" s="2" t="inlineStr">
        <is>
          <t>F</t>
        </is>
      </c>
      <c r="D231" s="2" t="n">
        <v>100</v>
      </c>
      <c r="E231" s="4">
        <f>HYPERLINK("./Results/DLO\20190701_1.3.12.2.1107.5.1.4.54310.30000019071823200842100017918_7_512_512_\Osteo_Sarco_1.png","RPT")</f>
        <v/>
      </c>
      <c r="F231" s="3" t="n">
        <v>100</v>
      </c>
      <c r="G231" s="3" t="n">
        <v>7</v>
      </c>
      <c r="H231" s="7" t="n">
        <v>17.37</v>
      </c>
      <c r="I231" s="0" t="inlineStr">
        <is>
          <t>Sensation 64</t>
        </is>
      </c>
      <c r="J231" s="0" t="inlineStr">
        <is>
          <t>ABD Contrast 3.0 B30f</t>
        </is>
      </c>
      <c r="K231" t="n">
        <v>163.1</v>
      </c>
      <c r="L231" t="n">
        <v>46.2</v>
      </c>
      <c r="M231" t="n">
        <v>34.96</v>
      </c>
    </row>
    <row r="232">
      <c r="A232" s="2" t="n">
        <v>9947689</v>
      </c>
      <c r="B232" s="2" t="n">
        <v>47</v>
      </c>
      <c r="C232" s="2" t="inlineStr">
        <is>
          <t>F</t>
        </is>
      </c>
      <c r="D232" s="2" t="n">
        <v>100</v>
      </c>
      <c r="E232" s="4">
        <f>HYPERLINK("./Results/DLO\20200301_1.2.840.113619.2.416.88285016837279560571059547900548487123_310_512_512_\Osteo_Sarco_1.png","RPT")</f>
        <v/>
      </c>
      <c r="F232" s="3" t="n">
        <v>99</v>
      </c>
      <c r="G232" s="3" t="n">
        <v>7</v>
      </c>
      <c r="H232" s="7" t="n">
        <v>20.22</v>
      </c>
      <c r="I232" s="0" t="inlineStr">
        <is>
          <t>Revolution CT</t>
        </is>
      </c>
      <c r="J232" s="0" t="inlineStr">
        <is>
          <t>ABD</t>
        </is>
      </c>
      <c r="K232" t="n">
        <v>159.3</v>
      </c>
      <c r="L232" t="n">
        <v>51.3</v>
      </c>
      <c r="M232" t="n">
        <v>36.25</v>
      </c>
    </row>
    <row r="233">
      <c r="A233" s="2" t="n">
        <v>1327057</v>
      </c>
      <c r="B233" s="2" t="n">
        <v>47</v>
      </c>
      <c r="C233" s="2" t="inlineStr">
        <is>
          <t>F</t>
        </is>
      </c>
      <c r="D233" s="2" t="n">
        <v>100</v>
      </c>
      <c r="E233" s="4">
        <f>HYPERLINK("./Results/DLO\20180701_1.3.12.2.1107.5.1.4.54310.30000018072223435926500008301_2_512_512_\Osteo_Sarco_1.png","RPT")</f>
        <v/>
      </c>
      <c r="F233" s="3" t="n">
        <v>97</v>
      </c>
      <c r="G233" s="3" t="n">
        <v>7</v>
      </c>
      <c r="H233" s="7" t="n">
        <v>20.62</v>
      </c>
      <c r="I233" s="0" t="inlineStr">
        <is>
          <t>Sensation 64</t>
        </is>
      </c>
      <c r="J233" s="0" t="inlineStr">
        <is>
          <t>With Contrast 3.0 B30f</t>
        </is>
      </c>
      <c r="K233" t="n">
        <v>155.4</v>
      </c>
      <c r="L233" t="n">
        <v>49.8</v>
      </c>
      <c r="M233" t="n">
        <v>37.27</v>
      </c>
    </row>
    <row r="234">
      <c r="A234" s="2" t="n">
        <v>6079571</v>
      </c>
      <c r="B234" s="2" t="n">
        <v>47</v>
      </c>
      <c r="C234" s="2" t="inlineStr">
        <is>
          <t>F</t>
        </is>
      </c>
      <c r="D234" s="2" t="n">
        <v>100</v>
      </c>
      <c r="E234" s="4">
        <f>HYPERLINK("./Results/DLO\20180101_1.2.840.113619.2.311.21528194800091104760762889235027494500_304_512_512_\Osteo_Sarco_1.png","RPT")</f>
        <v/>
      </c>
      <c r="F234" s="3" t="n">
        <v>95</v>
      </c>
      <c r="G234" s="3" t="n">
        <v>6</v>
      </c>
      <c r="H234" s="7" t="n">
        <v>19.57</v>
      </c>
      <c r="I234" s="0" t="inlineStr">
        <is>
          <t>Revolution CT</t>
        </is>
      </c>
      <c r="J234" s="0" t="inlineStr">
        <is>
          <t>ABD 2.5mm</t>
        </is>
      </c>
      <c r="K234" t="n">
        <v>163</v>
      </c>
      <c r="L234" t="n">
        <v>52</v>
      </c>
      <c r="M234" t="n">
        <v>33.5</v>
      </c>
    </row>
    <row r="235">
      <c r="A235" s="2" t="n">
        <v>5022785</v>
      </c>
      <c r="B235" s="2" t="n">
        <v>47</v>
      </c>
      <c r="C235" s="2" t="inlineStr">
        <is>
          <t>F</t>
        </is>
      </c>
      <c r="D235" s="2" t="n">
        <v>100</v>
      </c>
      <c r="E235" s="4">
        <f>HYPERLINK("./Results/DLO\20181001_1.2.840.113619.2.94.485650834948.2.9120960.19820160.1_2_512_512_\Osteo_Sarco_1.png","RPT")</f>
        <v/>
      </c>
      <c r="F235" s="3" t="n">
        <v>94</v>
      </c>
      <c r="G235" s="3" t="n">
        <v>9</v>
      </c>
      <c r="H235" s="7" t="n">
        <v>20.31</v>
      </c>
      <c r="I235" s="0" t="inlineStr">
        <is>
          <t>Sensation 64</t>
        </is>
      </c>
      <c r="J235" s="0" t="inlineStr">
        <is>
          <t>With Contrast 3.0 B30f</t>
        </is>
      </c>
      <c r="K235" t="n">
        <v>160</v>
      </c>
      <c r="L235" t="n">
        <v>52</v>
      </c>
      <c r="M235" t="n">
        <v>33.2</v>
      </c>
    </row>
    <row r="236">
      <c r="A236" s="2" t="n">
        <v>5021943</v>
      </c>
      <c r="B236" s="2" t="n">
        <v>47</v>
      </c>
      <c r="C236" s="2" t="inlineStr">
        <is>
          <t>F</t>
        </is>
      </c>
      <c r="D236" s="2" t="n">
        <v>100</v>
      </c>
      <c r="E236" s="4">
        <f>HYPERLINK("./Results/DLO\20190101_1.2.840.113619.2.311.138749350682931649135617009852595967613_304_512_512_\Osteo_Sarco_1.png","RPT")</f>
        <v/>
      </c>
      <c r="F236" s="3" t="n">
        <v>94</v>
      </c>
      <c r="G236" s="3" t="n">
        <v>6</v>
      </c>
      <c r="H236" s="7" t="n">
        <v>18.94</v>
      </c>
      <c r="I236" s="0" t="inlineStr">
        <is>
          <t>Revolution CT</t>
        </is>
      </c>
      <c r="J236" s="0" t="inlineStr">
        <is>
          <t>ABD 2.5mm</t>
        </is>
      </c>
      <c r="K236" t="n">
        <v>155.5</v>
      </c>
      <c r="L236" t="n">
        <v>45.8</v>
      </c>
      <c r="M236" t="n">
        <v>36.39</v>
      </c>
    </row>
    <row r="237">
      <c r="A237" s="2" t="n">
        <v>8750406</v>
      </c>
      <c r="B237" s="2" t="n">
        <v>47</v>
      </c>
      <c r="C237" s="2" t="inlineStr">
        <is>
          <t>F</t>
        </is>
      </c>
      <c r="D237" s="2" t="n">
        <v>100</v>
      </c>
      <c r="E237" s="4">
        <f>HYPERLINK("./Results/DLO\20190801_1.3.12.2.1107.5.1.4.65253.30000019082618565141200000000_2_512_512_\Osteo_Sarco_1.png","RPT")</f>
        <v/>
      </c>
      <c r="F237" s="3" t="n">
        <v>94</v>
      </c>
      <c r="G237" s="3" t="n">
        <v>9</v>
      </c>
      <c r="H237" s="7" t="n">
        <v>21.91</v>
      </c>
      <c r="I237" s="0" t="inlineStr">
        <is>
          <t>SOMATOM Definition AS</t>
        </is>
      </c>
      <c r="J237" s="0" t="inlineStr">
        <is>
          <t>Pre Contrast 3.0 B30f</t>
        </is>
      </c>
      <c r="K237" t="n">
        <v>157</v>
      </c>
      <c r="L237" t="n">
        <v>54</v>
      </c>
      <c r="M237" t="n">
        <v>34.48</v>
      </c>
    </row>
    <row r="238">
      <c r="A238" s="2" t="n">
        <v>9000858</v>
      </c>
      <c r="B238" s="2" t="n">
        <v>47</v>
      </c>
      <c r="C238" s="2" t="inlineStr">
        <is>
          <t>F</t>
        </is>
      </c>
      <c r="D238" s="2" t="n">
        <v>100</v>
      </c>
      <c r="E238" s="4">
        <f>HYPERLINK("./Results/DLO\20180401_1.2.840.113619.2.94.485650834948.2.8742394.18890986.1_2_512_512_\Osteo_Sarco_1.png","RPT")</f>
        <v/>
      </c>
      <c r="F238" s="3" t="n">
        <v>93</v>
      </c>
      <c r="G238" s="3" t="n">
        <v>6</v>
      </c>
      <c r="H238" s="7" t="n">
        <v>22</v>
      </c>
      <c r="I238" s="0" t="inlineStr">
        <is>
          <t>Sensation 64</t>
        </is>
      </c>
      <c r="J238" s="0" t="inlineStr">
        <is>
          <t>With Contrast 3.0 B30f</t>
        </is>
      </c>
      <c r="K238" t="n">
        <v>156.1</v>
      </c>
      <c r="L238" t="n">
        <v>53.6</v>
      </c>
      <c r="M238" t="n">
        <v>35.7</v>
      </c>
    </row>
    <row r="239">
      <c r="A239" s="2" t="n">
        <v>6080996</v>
      </c>
      <c r="B239" s="2" t="n">
        <v>47</v>
      </c>
      <c r="C239" s="2" t="inlineStr">
        <is>
          <t>F</t>
        </is>
      </c>
      <c r="D239" s="2" t="n">
        <v>100</v>
      </c>
      <c r="E239" s="4">
        <f>HYPERLINK("./Results/DLO\20190101_1.3.46.670589.33.1.63683146337613939100001.5414092647621515893_201_512_512_\Osteo_Sarco_1.png","RPT")</f>
        <v/>
      </c>
      <c r="F239" s="3" t="n">
        <v>91</v>
      </c>
      <c r="G239" s="3" t="n">
        <v>7</v>
      </c>
      <c r="H239" s="7" t="n">
        <v>18.37</v>
      </c>
      <c r="I239" s="0" t="inlineStr">
        <is>
          <t>Ingenuity Core 128</t>
        </is>
      </c>
      <c r="J239" s="0" t="inlineStr">
        <is>
          <t>Post 3mm, iDose (3)</t>
        </is>
      </c>
      <c r="K239" t="n">
        <v>165</v>
      </c>
      <c r="L239" t="n">
        <v>50</v>
      </c>
      <c r="M239" t="n">
        <v>30.85</v>
      </c>
    </row>
    <row r="240">
      <c r="A240" s="2" t="n">
        <v>8863808</v>
      </c>
      <c r="B240" s="2" t="n">
        <v>47</v>
      </c>
      <c r="C240" s="2" t="inlineStr">
        <is>
          <t>F</t>
        </is>
      </c>
      <c r="D240" s="2" t="n">
        <v>100</v>
      </c>
      <c r="E240" s="4">
        <f>HYPERLINK("./Results/DLO\20180301_1.3.12.2.1107.5.1.4.54310.30000018030823112768700042239_3_512_512_\Osteo_Sarco_1.png","RPT")</f>
        <v/>
      </c>
      <c r="F240" s="3" t="n">
        <v>89</v>
      </c>
      <c r="G240" s="3" t="n">
        <v>3</v>
      </c>
      <c r="H240" s="7" t="n">
        <v>19.45</v>
      </c>
      <c r="I240" s="0" t="inlineStr">
        <is>
          <t>Sensation 64</t>
        </is>
      </c>
      <c r="J240" s="0" t="inlineStr">
        <is>
          <t>Pre Contrast 3.0 B30f</t>
        </is>
      </c>
      <c r="K240" t="n">
        <v>153.8</v>
      </c>
      <c r="L240" t="n">
        <v>46</v>
      </c>
      <c r="M240" t="n">
        <v>36.36</v>
      </c>
    </row>
    <row r="241">
      <c r="A241" s="2" t="n">
        <v>8845486</v>
      </c>
      <c r="B241" s="2" t="n">
        <v>47</v>
      </c>
      <c r="C241" s="2" t="inlineStr">
        <is>
          <t>F</t>
        </is>
      </c>
      <c r="D241" s="2" t="n">
        <v>100</v>
      </c>
      <c r="E241" s="4">
        <f>HYPERLINK("./Results/DLO\20200201_1.2.840.113619.2.416.8819417141873090346840289471935599682_310_512_512_\Osteo_Sarco_1.png","RPT")</f>
        <v/>
      </c>
      <c r="F241" s="3" t="n">
        <v>87</v>
      </c>
      <c r="G241" s="3" t="n">
        <v>12</v>
      </c>
      <c r="H241" s="7" t="n">
        <v>23.88</v>
      </c>
      <c r="I241" s="0" t="inlineStr">
        <is>
          <t>Revolution CT</t>
        </is>
      </c>
      <c r="J241" s="0" t="inlineStr">
        <is>
          <t>ABD</t>
        </is>
      </c>
      <c r="K241" t="n">
        <v>165</v>
      </c>
      <c r="L241" t="n">
        <v>65</v>
      </c>
      <c r="M241" t="n">
        <v>27.55</v>
      </c>
    </row>
    <row r="242">
      <c r="A242" s="2" t="n">
        <v>8554328</v>
      </c>
      <c r="B242" s="2" t="n">
        <v>47</v>
      </c>
      <c r="C242" s="2" t="inlineStr">
        <is>
          <t>F</t>
        </is>
      </c>
      <c r="D242" s="2" t="n">
        <v>100</v>
      </c>
      <c r="E242" s="4">
        <f>HYPERLINK("./Results/DLO\20180901_1.3.46.670589.33.1.63672866437905217400001.5135467606401945970_201_512_512_\Osteo_Sarco_1.png","RPT")</f>
        <v/>
      </c>
      <c r="F242" s="3" t="n">
        <v>84</v>
      </c>
      <c r="G242" s="3" t="n">
        <v>6</v>
      </c>
      <c r="H242" s="7" t="n">
        <v>22.48</v>
      </c>
      <c r="I242" s="0" t="inlineStr">
        <is>
          <t>Ingenuity Core 128</t>
        </is>
      </c>
      <c r="J242" s="0" t="inlineStr">
        <is>
          <t>Pre 100/107 i4, iDose (4)</t>
        </is>
      </c>
      <c r="K242" t="n">
        <v>155</v>
      </c>
      <c r="L242" t="n">
        <v>54</v>
      </c>
      <c r="M242" t="n">
        <v>32.47</v>
      </c>
    </row>
    <row r="243">
      <c r="A243" s="2" t="n">
        <v>6067989</v>
      </c>
      <c r="B243" s="2" t="n">
        <v>47</v>
      </c>
      <c r="C243" s="2" t="inlineStr">
        <is>
          <t>F</t>
        </is>
      </c>
      <c r="D243" s="2" t="n">
        <v>100</v>
      </c>
      <c r="E243" s="4">
        <f>HYPERLINK("./Results/DLO\20190101_1.3.46.670589.33.1.63683405600928727100001.4648874522015349782_301_512_512_\Osteo_Sarco_1.png","RPT")</f>
        <v/>
      </c>
      <c r="F243" s="3" t="n">
        <v>62</v>
      </c>
      <c r="G243" s="3" t="n">
        <v>1</v>
      </c>
      <c r="H243" s="7" t="n">
        <v>16</v>
      </c>
      <c r="I243" s="0" t="inlineStr">
        <is>
          <t>Ingenuity Core 128</t>
        </is>
      </c>
      <c r="J243" s="0" t="inlineStr">
        <is>
          <t>Post 3mm, iDose (3)</t>
        </is>
      </c>
      <c r="K243" t="n">
        <v>162</v>
      </c>
      <c r="L243" t="n">
        <v>42</v>
      </c>
      <c r="M243" t="n">
        <v>23.24</v>
      </c>
    </row>
    <row r="244">
      <c r="A244" s="2" t="n">
        <v>5902720</v>
      </c>
      <c r="B244" s="2" t="n">
        <v>47</v>
      </c>
      <c r="C244" s="2" t="inlineStr">
        <is>
          <t>M</t>
        </is>
      </c>
      <c r="D244" s="2" t="n">
        <v>100</v>
      </c>
      <c r="E244" s="4">
        <f>HYPERLINK("./Results/DLO\20181001_1.3.46.670589.33.1.63676494379901643600001.4794688774296578796_201_512_512_\Osteo_Sarco_1.png","RPT")</f>
        <v/>
      </c>
      <c r="F244" s="3" t="n">
        <v>195</v>
      </c>
      <c r="G244" s="3" t="n">
        <v>10</v>
      </c>
      <c r="H244" s="7" t="n">
        <v>27.1</v>
      </c>
      <c r="I244" s="0" t="inlineStr">
        <is>
          <t>Ingenuity Core 128</t>
        </is>
      </c>
      <c r="J244" s="0" t="inlineStr">
        <is>
          <t>Post 100/236 i3, iDose (3)</t>
        </is>
      </c>
      <c r="K244" t="n">
        <v>175</v>
      </c>
      <c r="L244" t="n">
        <v>83</v>
      </c>
      <c r="M244" t="n">
        <v>60.41</v>
      </c>
    </row>
    <row r="245">
      <c r="A245" s="2" t="n">
        <v>3262421</v>
      </c>
      <c r="B245" s="2" t="n">
        <v>47</v>
      </c>
      <c r="C245" s="2" t="inlineStr">
        <is>
          <t>M</t>
        </is>
      </c>
      <c r="D245" s="2" t="n">
        <v>100</v>
      </c>
      <c r="E245" s="4">
        <f>HYPERLINK("./Results/DLO\20180601_1.3.46.670589.33.1.63663441489181914500001.5125021702768735109_201_512_512_\Osteo_Sarco_1.png","RPT")</f>
        <v/>
      </c>
      <c r="F245" s="3" t="n">
        <v>172</v>
      </c>
      <c r="G245" s="3" t="n">
        <v>9</v>
      </c>
      <c r="H245" s="7" t="n">
        <v>22.98</v>
      </c>
      <c r="I245" s="0" t="inlineStr">
        <is>
          <t>Ingenuity Core 128</t>
        </is>
      </c>
      <c r="J245" s="0" t="inlineStr">
        <is>
          <t>Post 100/236 i3, iDose (3)</t>
        </is>
      </c>
      <c r="K245" t="n">
        <v>177</v>
      </c>
      <c r="L245" t="n">
        <v>72</v>
      </c>
      <c r="M245" t="n">
        <v>52.03</v>
      </c>
    </row>
    <row r="246">
      <c r="A246" s="2" t="n">
        <v>1718562</v>
      </c>
      <c r="B246" s="2" t="n">
        <v>47</v>
      </c>
      <c r="C246" s="2" t="inlineStr">
        <is>
          <t>M</t>
        </is>
      </c>
      <c r="D246" s="2" t="n">
        <v>100</v>
      </c>
      <c r="E246" s="4">
        <f>HYPERLINK("./Results/DLO\20180101_1.3.12.2.1107.5.1.4.54310.30000018010223094192100023871_3_512_512_\Osteo_Sarco_1.png","RPT")</f>
        <v/>
      </c>
      <c r="F246" s="3" t="n">
        <v>142</v>
      </c>
      <c r="G246" s="3" t="n">
        <v>6</v>
      </c>
      <c r="H246" s="6" t="n">
        <v>23.84</v>
      </c>
      <c r="I246" s="0" t="inlineStr">
        <is>
          <t>Sensation 64</t>
        </is>
      </c>
      <c r="J246" s="0" t="inlineStr">
        <is>
          <t>Pre Contrast 3.0 B30f</t>
        </is>
      </c>
      <c r="K246" t="n">
        <v>175</v>
      </c>
      <c r="L246" t="n">
        <v>73</v>
      </c>
      <c r="M246" t="n">
        <v>44.41</v>
      </c>
    </row>
    <row r="247">
      <c r="A247" s="2" t="n">
        <v>6737229</v>
      </c>
      <c r="B247" s="2" t="n">
        <v>47</v>
      </c>
      <c r="C247" s="2" t="inlineStr">
        <is>
          <t>F</t>
        </is>
      </c>
      <c r="D247" s="2" t="n">
        <v>100</v>
      </c>
      <c r="E247" s="4">
        <f>HYPERLINK("./Results/DLO\20180401_1.2.840.113619.2.94.485650834948.2.8758979.18932907.1_2_512_512_\Osteo_Sarco_1.png","RPT")</f>
        <v/>
      </c>
      <c r="F247" s="3" t="n">
        <v>131</v>
      </c>
      <c r="G247" s="3" t="n">
        <v>15</v>
      </c>
      <c r="H247" s="7" t="n">
        <v>29.09</v>
      </c>
      <c r="I247" s="0" t="inlineStr">
        <is>
          <t>Sensation 64</t>
        </is>
      </c>
      <c r="J247" s="0" t="inlineStr">
        <is>
          <t>With Contrast 3.0 B30f</t>
        </is>
      </c>
      <c r="K247" t="n">
        <v>160.9</v>
      </c>
      <c r="L247" t="n">
        <v>75.3</v>
      </c>
      <c r="M247" t="n">
        <v>44.81</v>
      </c>
    </row>
    <row r="248">
      <c r="A248" s="2" t="n">
        <v>9685687</v>
      </c>
      <c r="B248" s="2" t="n">
        <v>47</v>
      </c>
      <c r="C248" s="2" t="inlineStr">
        <is>
          <t>F</t>
        </is>
      </c>
      <c r="D248" s="2" t="n">
        <v>100</v>
      </c>
      <c r="E248" s="4">
        <f>HYPERLINK("./Results/DLO\20190501_1.2.840.113619.2.416.195732379996258754631039466069666900768_310_512_512_\Osteo_Sarco_1.png","RPT")</f>
        <v/>
      </c>
      <c r="F248" s="3" t="n">
        <v>131</v>
      </c>
      <c r="G248" s="3" t="n">
        <v>11</v>
      </c>
      <c r="H248" s="7" t="n">
        <v>27.5</v>
      </c>
      <c r="I248" s="0" t="inlineStr">
        <is>
          <t>Revolution CT</t>
        </is>
      </c>
      <c r="J248" s="0" t="inlineStr">
        <is>
          <t>ABD</t>
        </is>
      </c>
      <c r="K248" t="n">
        <v>161.8</v>
      </c>
      <c r="L248" t="n">
        <v>72</v>
      </c>
      <c r="M248" t="n">
        <v>45.84</v>
      </c>
    </row>
    <row r="249">
      <c r="A249" s="2" t="n">
        <v>6087784</v>
      </c>
      <c r="B249" s="2" t="n">
        <v>47</v>
      </c>
      <c r="C249" s="2" t="inlineStr">
        <is>
          <t>M</t>
        </is>
      </c>
      <c r="D249" s="2" t="n">
        <v>100</v>
      </c>
      <c r="E249" s="4">
        <f>HYPERLINK("./Results/DLO\20181001_1.2.840.113619.2.416.214871423449797270250857648254169835717_302_512_512_\Osteo_Sarco_1.png","RPT")</f>
        <v/>
      </c>
      <c r="F249" s="3" t="n">
        <v>126</v>
      </c>
      <c r="G249" s="3" t="n">
        <v>6</v>
      </c>
      <c r="H249" s="6" t="n">
        <v>24.73</v>
      </c>
      <c r="I249" s="0" t="inlineStr">
        <is>
          <t>Revolution CT</t>
        </is>
      </c>
      <c r="J249" s="0" t="inlineStr">
        <is>
          <t>PORTAL</t>
        </is>
      </c>
      <c r="K249" t="n">
        <v>157.3</v>
      </c>
      <c r="L249" t="n">
        <v>61.2</v>
      </c>
      <c r="M249" t="n">
        <v>48.5</v>
      </c>
    </row>
    <row r="250">
      <c r="A250" s="2" t="n">
        <v>8399145</v>
      </c>
      <c r="B250" s="2" t="n">
        <v>47</v>
      </c>
      <c r="C250" s="2" t="inlineStr">
        <is>
          <t>F</t>
        </is>
      </c>
      <c r="D250" s="2" t="n">
        <v>100</v>
      </c>
      <c r="E250" s="4">
        <f>HYPERLINK("./Results/DLO\20180201_1.3.12.2.1107.5.1.4.54310.30000018020423031940600000000_2_512_512_\Osteo_Sarco_1.png","RPT")</f>
        <v/>
      </c>
      <c r="F250" s="3" t="n">
        <v>124</v>
      </c>
      <c r="G250" s="3" t="n">
        <v>8</v>
      </c>
      <c r="H250" s="7" t="n">
        <v>21.69</v>
      </c>
      <c r="I250" s="0" t="inlineStr">
        <is>
          <t>Sensation 64</t>
        </is>
      </c>
      <c r="J250" s="0" t="inlineStr">
        <is>
          <t>With Contrast 3.0 B30f</t>
        </is>
      </c>
      <c r="K250" t="n">
        <v>167.3</v>
      </c>
      <c r="L250" t="n">
        <v>60.7</v>
      </c>
      <c r="M250" t="n">
        <v>41.44</v>
      </c>
    </row>
    <row r="251">
      <c r="A251" s="2" t="n">
        <v>8323812</v>
      </c>
      <c r="B251" s="2" t="n">
        <v>47</v>
      </c>
      <c r="C251" s="2" t="inlineStr">
        <is>
          <t>F</t>
        </is>
      </c>
      <c r="D251" s="2" t="n">
        <v>100</v>
      </c>
      <c r="E251" s="4">
        <f>HYPERLINK("./Results/DLO\20180101_1.2.840.113619.2.94.485650834948.2.8579239.18492727.1_2_512_512_\Osteo_Sarco_1.png","RPT")</f>
        <v/>
      </c>
      <c r="F251" s="3" t="n">
        <v>120</v>
      </c>
      <c r="G251" s="3" t="n">
        <v>4</v>
      </c>
      <c r="H251" s="7" t="n">
        <v>22.91</v>
      </c>
      <c r="I251" s="0" t="inlineStr">
        <is>
          <t>Sensation 64</t>
        </is>
      </c>
      <c r="J251" s="0" t="inlineStr">
        <is>
          <t>With Contrast 3.0 B30f</t>
        </is>
      </c>
      <c r="K251" t="n">
        <v>156.2</v>
      </c>
      <c r="L251" t="n">
        <v>55.9</v>
      </c>
      <c r="M251" t="n">
        <v>47.54</v>
      </c>
    </row>
    <row r="252">
      <c r="A252" s="2" t="n">
        <v>6740186</v>
      </c>
      <c r="B252" s="2" t="n">
        <v>47</v>
      </c>
      <c r="C252" s="2" t="inlineStr">
        <is>
          <t>F</t>
        </is>
      </c>
      <c r="D252" s="2" t="n">
        <v>100</v>
      </c>
      <c r="E252" s="4">
        <f>HYPERLINK("./Results/DLO\20190601_1.3.12.2.1107.5.1.4.54310.30000019060322140368700040596_6_512_512_\Osteo_Sarco_1.png","RPT")</f>
        <v/>
      </c>
      <c r="F252" s="3" t="n">
        <v>116</v>
      </c>
      <c r="G252" s="3" t="n">
        <v>9</v>
      </c>
      <c r="H252" s="7" t="n">
        <v>25.48</v>
      </c>
      <c r="I252" s="0" t="inlineStr">
        <is>
          <t>Sensation 64</t>
        </is>
      </c>
      <c r="J252" s="0" t="inlineStr">
        <is>
          <t>ABD Contrast 3.0 B30f</t>
        </is>
      </c>
      <c r="K252" t="n">
        <v>161.3</v>
      </c>
      <c r="L252" t="n">
        <v>66.3</v>
      </c>
      <c r="M252" t="n">
        <v>41.13</v>
      </c>
    </row>
    <row r="253">
      <c r="A253" s="2" t="n">
        <v>9614974</v>
      </c>
      <c r="B253" s="2" t="n">
        <v>47</v>
      </c>
      <c r="C253" s="2" t="inlineStr">
        <is>
          <t>F</t>
        </is>
      </c>
      <c r="D253" s="2" t="n">
        <v>100</v>
      </c>
      <c r="E253" s="4">
        <f>HYPERLINK("./Results/DLO\20190301_1.3.12.2.1107.5.1.4.54310.30000019031223532048400004993_2_512_512_\Osteo_Sarco_1.png","RPT")</f>
        <v/>
      </c>
      <c r="F253" s="3" t="n">
        <v>113</v>
      </c>
      <c r="G253" s="3" t="n">
        <v>12</v>
      </c>
      <c r="H253" s="7" t="n">
        <v>25.94</v>
      </c>
      <c r="I253" s="0" t="inlineStr">
        <is>
          <t>Sensation 64</t>
        </is>
      </c>
      <c r="J253" s="0" t="inlineStr">
        <is>
          <t>With Contrast 3.0 B30f</t>
        </is>
      </c>
      <c r="K253" t="n">
        <v>161.8</v>
      </c>
      <c r="L253" t="n">
        <v>67.90000000000001</v>
      </c>
      <c r="M253" t="n">
        <v>38.58</v>
      </c>
    </row>
    <row r="254">
      <c r="A254" s="2" t="n">
        <v>9794940</v>
      </c>
      <c r="B254" s="2" t="n">
        <v>47</v>
      </c>
      <c r="C254" s="2" t="inlineStr">
        <is>
          <t>F</t>
        </is>
      </c>
      <c r="D254" s="2" t="n">
        <v>100</v>
      </c>
      <c r="E254" s="4">
        <f>HYPERLINK("./Results/DLO\20190901_1.2.840.113619.2.416.54633350882917600642288650352819709600_310_512_512_\Osteo_Sarco_1.png","RPT")</f>
        <v/>
      </c>
      <c r="F254" s="3" t="n">
        <v>113</v>
      </c>
      <c r="G254" s="3" t="n">
        <v>6</v>
      </c>
      <c r="H254" s="7" t="n">
        <v>23.59</v>
      </c>
      <c r="I254" s="0" t="inlineStr">
        <is>
          <t>Revolution CT</t>
        </is>
      </c>
      <c r="J254" s="0" t="inlineStr">
        <is>
          <t>ABD</t>
        </is>
      </c>
      <c r="K254" t="n">
        <v>166</v>
      </c>
      <c r="L254" t="n">
        <v>65</v>
      </c>
      <c r="M254" t="n">
        <v>38.83</v>
      </c>
    </row>
    <row r="255">
      <c r="A255" s="2" t="n">
        <v>5574614</v>
      </c>
      <c r="B255" s="2" t="n">
        <v>47</v>
      </c>
      <c r="C255" s="2" t="inlineStr">
        <is>
          <t>F</t>
        </is>
      </c>
      <c r="D255" s="2" t="n">
        <v>100</v>
      </c>
      <c r="E255" s="4">
        <f>HYPERLINK("./Results/DLO\20191101_1.3.12.2.1107.5.1.4.54310.30000019111021234665600019513_2_512_512_\Osteo_Sarco_1.png","RPT")</f>
        <v/>
      </c>
      <c r="F255" s="3" t="n">
        <v>113</v>
      </c>
      <c r="G255" s="3" t="n">
        <v>13</v>
      </c>
      <c r="H255" s="7" t="n">
        <v>20.09</v>
      </c>
      <c r="I255" s="0" t="inlineStr">
        <is>
          <t>Sensation 64</t>
        </is>
      </c>
      <c r="J255" s="0" t="inlineStr">
        <is>
          <t>With Contrast 3.0 B30f</t>
        </is>
      </c>
      <c r="K255" t="n">
        <v>161.2</v>
      </c>
      <c r="L255" t="n">
        <v>52.2</v>
      </c>
      <c r="M255" t="n">
        <v>38.48</v>
      </c>
    </row>
    <row r="256">
      <c r="A256" s="2" t="n">
        <v>1353459</v>
      </c>
      <c r="B256" s="2" t="n">
        <v>47</v>
      </c>
      <c r="C256" s="2" t="inlineStr">
        <is>
          <t>F</t>
        </is>
      </c>
      <c r="D256" s="2" t="n">
        <v>100</v>
      </c>
      <c r="E256" s="4">
        <f>HYPERLINK("./Results/DLO\20180501_1.2.840.113619.2.416.45396019321690807093773588929348024989_303_512_512_\Osteo_Sarco_1.png","RPT")</f>
        <v/>
      </c>
      <c r="F256" s="3" t="n">
        <v>112</v>
      </c>
      <c r="G256" s="3" t="n">
        <v>7</v>
      </c>
      <c r="H256" s="7" t="n">
        <v>20.44</v>
      </c>
      <c r="I256" s="0" t="inlineStr">
        <is>
          <t>Revolution CT</t>
        </is>
      </c>
      <c r="J256" s="0" t="inlineStr">
        <is>
          <t>ABD 2.5mm</t>
        </is>
      </c>
      <c r="K256" t="n">
        <v>164.2</v>
      </c>
      <c r="L256" t="n">
        <v>55.1</v>
      </c>
      <c r="M256" t="n">
        <v>38.94</v>
      </c>
    </row>
    <row r="257">
      <c r="A257" s="2" t="n">
        <v>9619584</v>
      </c>
      <c r="B257" s="2" t="n">
        <v>47</v>
      </c>
      <c r="C257" s="2" t="inlineStr">
        <is>
          <t>F</t>
        </is>
      </c>
      <c r="D257" s="2" t="n">
        <v>100</v>
      </c>
      <c r="E257" s="4">
        <f>HYPERLINK("./Results/DLO\20190301_1.2.840.113619.2.94.485650834948.2.9464393.20685007.1_2_512_512_\Osteo_Sarco_1.png","RPT")</f>
        <v/>
      </c>
      <c r="F257" s="3" t="n">
        <v>112</v>
      </c>
      <c r="G257" s="3" t="n">
        <v>15</v>
      </c>
      <c r="H257" s="7" t="n">
        <v>20.45</v>
      </c>
      <c r="I257" s="0" t="inlineStr">
        <is>
          <t>Sensation 64</t>
        </is>
      </c>
      <c r="J257" s="0" t="inlineStr">
        <is>
          <t>With Contrast 3.0 B30f</t>
        </is>
      </c>
      <c r="K257" t="n">
        <v>161</v>
      </c>
      <c r="L257" t="n">
        <v>53</v>
      </c>
      <c r="M257" t="n">
        <v>37.42</v>
      </c>
    </row>
    <row r="258">
      <c r="A258" s="2" t="n">
        <v>6738102</v>
      </c>
      <c r="B258" s="2" t="n">
        <v>47</v>
      </c>
      <c r="C258" s="2" t="inlineStr">
        <is>
          <t>F</t>
        </is>
      </c>
      <c r="D258" s="2" t="n">
        <v>100</v>
      </c>
      <c r="E258" s="4">
        <f>HYPERLINK("./Results/DLO\20191201_1.2.840.113619.2.416.17609714785436275499230336339276168996_310_512_512_\Osteo_Sarco_1.png","RPT")</f>
        <v/>
      </c>
      <c r="F258" s="3" t="n">
        <v>95</v>
      </c>
      <c r="G258" s="3" t="n">
        <v>7</v>
      </c>
      <c r="H258" s="7" t="n">
        <v>18.2</v>
      </c>
      <c r="I258" s="0" t="inlineStr">
        <is>
          <t>Revolution CT</t>
        </is>
      </c>
      <c r="J258" s="0" t="inlineStr">
        <is>
          <t>ABD</t>
        </is>
      </c>
      <c r="K258" t="n">
        <v>167.9</v>
      </c>
      <c r="L258" t="n">
        <v>51.3</v>
      </c>
      <c r="M258" t="n">
        <v>31.22</v>
      </c>
    </row>
    <row r="259">
      <c r="A259" s="2" t="n">
        <v>9540871</v>
      </c>
      <c r="B259" s="2" t="n">
        <v>47</v>
      </c>
      <c r="C259" s="2" t="inlineStr">
        <is>
          <t>F</t>
        </is>
      </c>
      <c r="D259" s="2" t="n">
        <v>100</v>
      </c>
      <c r="E259" s="4">
        <f>HYPERLINK("./Results/DLO\20191001_1.2.840.113619.2.416.326153312104720191872543192337971100485_314_512_512_\Osteo_Sarco_1.png","RPT")</f>
        <v/>
      </c>
      <c r="F259" s="3" t="n">
        <v>107</v>
      </c>
      <c r="G259" s="3" t="n">
        <v>8</v>
      </c>
      <c r="H259" s="7" t="n">
        <v>19.96</v>
      </c>
      <c r="I259" s="0" t="inlineStr">
        <is>
          <t>Revolution CT</t>
        </is>
      </c>
      <c r="J259" s="0" t="inlineStr">
        <is>
          <t>ABD</t>
        </is>
      </c>
      <c r="K259" t="n">
        <v>166</v>
      </c>
      <c r="L259" t="n">
        <v>55</v>
      </c>
      <c r="M259" t="n">
        <v>35.93</v>
      </c>
    </row>
    <row r="260">
      <c r="A260" s="2" t="n">
        <v>8454602</v>
      </c>
      <c r="B260" s="2" t="n">
        <v>47</v>
      </c>
      <c r="C260" s="2" t="inlineStr">
        <is>
          <t>F</t>
        </is>
      </c>
      <c r="D260" s="2" t="n">
        <v>100</v>
      </c>
      <c r="E260" s="4">
        <f>HYPERLINK("./Results/DLO\20180701_1.3.12.2.1107.5.1.4.54310.30000018070523354215600010513_2_512_512_\Osteo_Sarco_1.png","RPT")</f>
        <v/>
      </c>
      <c r="F260" s="3" t="n">
        <v>104</v>
      </c>
      <c r="G260" s="3" t="n">
        <v>6</v>
      </c>
      <c r="H260" s="7" t="n">
        <v>24.67</v>
      </c>
      <c r="I260" s="0" t="inlineStr">
        <is>
          <t>Sensation 64</t>
        </is>
      </c>
      <c r="J260" s="0" t="inlineStr">
        <is>
          <t>With Contrast 3.0 B30f</t>
        </is>
      </c>
      <c r="K260" t="n">
        <v>160.7</v>
      </c>
      <c r="L260" t="n">
        <v>63.7</v>
      </c>
      <c r="M260" t="n">
        <v>37.95</v>
      </c>
    </row>
    <row r="261">
      <c r="A261" s="2" t="n">
        <v>9783611</v>
      </c>
      <c r="B261" s="2" t="n">
        <v>47</v>
      </c>
      <c r="C261" s="2" t="inlineStr">
        <is>
          <t>F</t>
        </is>
      </c>
      <c r="D261" s="2" t="n">
        <v>100</v>
      </c>
      <c r="E261" s="4">
        <f>HYPERLINK("./Results/DLO\20190901_1.2.840.113619.2.416.39754929046021605577443328902064442044_310_512_512_\Osteo_Sarco_1.png","RPT")</f>
        <v/>
      </c>
      <c r="F261" s="3" t="n">
        <v>104</v>
      </c>
      <c r="G261" s="3" t="n">
        <v>7</v>
      </c>
      <c r="H261" s="7" t="n">
        <v>23.21</v>
      </c>
      <c r="I261" s="0" t="inlineStr">
        <is>
          <t>Revolution CT</t>
        </is>
      </c>
      <c r="J261" s="0" t="inlineStr">
        <is>
          <t>ABD</t>
        </is>
      </c>
      <c r="K261" t="n">
        <v>161.7</v>
      </c>
      <c r="L261" t="n">
        <v>60.7</v>
      </c>
      <c r="M261" t="n">
        <v>37.1</v>
      </c>
    </row>
    <row r="262">
      <c r="A262" s="2" t="n">
        <v>9592946</v>
      </c>
      <c r="B262" s="2" t="n">
        <v>47</v>
      </c>
      <c r="C262" s="2" t="inlineStr">
        <is>
          <t>F</t>
        </is>
      </c>
      <c r="D262" s="2" t="n">
        <v>100</v>
      </c>
      <c r="E262" s="4">
        <f>HYPERLINK("./Results/DLO\20190201_1.2.840.113619.2.416.161385867065672303530446059245426213796_304_512_512_\Osteo_Sarco_1.png","RPT")</f>
        <v/>
      </c>
      <c r="F262" s="3" t="n">
        <v>103</v>
      </c>
      <c r="G262" s="3" t="n">
        <v>7</v>
      </c>
      <c r="H262" s="7" t="n">
        <v>19.02</v>
      </c>
      <c r="I262" s="0" t="inlineStr">
        <is>
          <t>Revolution CT</t>
        </is>
      </c>
      <c r="J262" s="0" t="inlineStr">
        <is>
          <t>ABD 2.5mm</t>
        </is>
      </c>
      <c r="K262" t="n">
        <v>160.5</v>
      </c>
      <c r="L262" t="n">
        <v>49</v>
      </c>
      <c r="M262" t="n">
        <v>37.27</v>
      </c>
    </row>
    <row r="263">
      <c r="A263" s="2" t="n">
        <v>9002545</v>
      </c>
      <c r="B263" s="2" t="n">
        <v>47</v>
      </c>
      <c r="C263" s="2" t="inlineStr">
        <is>
          <t>F</t>
        </is>
      </c>
      <c r="D263" s="2" t="n">
        <v>100</v>
      </c>
      <c r="E263" s="4">
        <f>HYPERLINK("./Results/DLO\20200101_1.3.46.670589.33.1.63715198964325611800001.4811360589118981655_201_512_512_\Osteo_Sarco_1.png","RPT")</f>
        <v/>
      </c>
      <c r="F263" s="3" t="n">
        <v>103</v>
      </c>
      <c r="G263" s="3" t="n">
        <v>7</v>
      </c>
      <c r="H263" s="7" t="n">
        <v>23.05</v>
      </c>
      <c r="I263" s="0" t="inlineStr">
        <is>
          <t>Ingenuity Core 128</t>
        </is>
      </c>
      <c r="J263" s="0" t="inlineStr">
        <is>
          <t>Post 3mm, iDose (3)</t>
        </is>
      </c>
      <c r="K263" t="n">
        <v>160</v>
      </c>
      <c r="L263" t="n">
        <v>59</v>
      </c>
      <c r="M263" t="n">
        <v>37.5</v>
      </c>
    </row>
    <row r="264">
      <c r="A264" s="2" t="n">
        <v>5672891</v>
      </c>
      <c r="B264" s="2" t="n">
        <v>47</v>
      </c>
      <c r="C264" s="2" t="inlineStr">
        <is>
          <t>F</t>
        </is>
      </c>
      <c r="D264" s="2" t="n">
        <v>100</v>
      </c>
      <c r="E264" s="4">
        <f>HYPERLINK("./Results/DLO\20200401_1.3.12.2.1107.5.1.4.54310.30000020042022091262500052307_2_512_512_\Osteo_Sarco_1.png","RPT")</f>
        <v/>
      </c>
      <c r="F264" s="3" t="n">
        <v>103</v>
      </c>
      <c r="G264" s="3" t="n">
        <v>6</v>
      </c>
      <c r="H264" s="7" t="n">
        <v>27.34</v>
      </c>
      <c r="I264" s="0" t="inlineStr">
        <is>
          <t>Sensation 64</t>
        </is>
      </c>
      <c r="J264" s="0" t="inlineStr">
        <is>
          <t>With Contrast 3.0 B30f</t>
        </is>
      </c>
      <c r="K264" t="n">
        <v>157.7</v>
      </c>
      <c r="L264" t="n">
        <v>68</v>
      </c>
      <c r="M264" t="n">
        <v>39</v>
      </c>
    </row>
    <row r="265">
      <c r="A265" s="2" t="n">
        <v>6739972</v>
      </c>
      <c r="B265" s="2" t="n">
        <v>47</v>
      </c>
      <c r="C265" s="2" t="inlineStr">
        <is>
          <t>F</t>
        </is>
      </c>
      <c r="D265" s="2" t="n">
        <v>100</v>
      </c>
      <c r="E265" s="4">
        <f>HYPERLINK("./Results/DLO\20180401_1.3.12.2.1107.5.1.4.54310.30000018041523193462500014059_2_512_512_\Osteo_Sarco_1.png","RPT")</f>
        <v/>
      </c>
      <c r="F265" s="3" t="n">
        <v>100</v>
      </c>
      <c r="G265" s="3" t="n">
        <v>6</v>
      </c>
      <c r="H265" s="7" t="n">
        <v>21.77</v>
      </c>
      <c r="I265" s="0" t="inlineStr">
        <is>
          <t>Sensation 64</t>
        </is>
      </c>
      <c r="J265" s="0" t="inlineStr">
        <is>
          <t>With Contrast 3.0 B30f</t>
        </is>
      </c>
      <c r="K265" t="n">
        <v>158.5</v>
      </c>
      <c r="L265" t="n">
        <v>54.7</v>
      </c>
      <c r="M265" t="n">
        <v>37.42</v>
      </c>
    </row>
    <row r="266">
      <c r="A266" s="2" t="n">
        <v>5158796</v>
      </c>
      <c r="B266" s="2" t="n">
        <v>48</v>
      </c>
      <c r="C266" s="2" t="inlineStr">
        <is>
          <t>F</t>
        </is>
      </c>
      <c r="D266" s="2" t="n">
        <v>100</v>
      </c>
      <c r="E266" s="4">
        <f>HYPERLINK("./Results/DLO\20180401_1.2.840.113619.2.311.216925137507996477325177123145385037224_304_512_512_\Osteo_Sarco_1.png","RPT")</f>
        <v/>
      </c>
      <c r="F266" s="3" t="n">
        <v>99</v>
      </c>
      <c r="G266" s="3" t="n">
        <v>6</v>
      </c>
      <c r="H266" s="7" t="n">
        <v>18.65</v>
      </c>
      <c r="I266" s="0" t="inlineStr">
        <is>
          <t>Revolution CT</t>
        </is>
      </c>
      <c r="J266" s="0" t="inlineStr">
        <is>
          <t>ABD 2.5mm</t>
        </is>
      </c>
      <c r="K266" t="n">
        <v>167</v>
      </c>
      <c r="L266" t="n">
        <v>52</v>
      </c>
      <c r="M266" t="n">
        <v>33.35</v>
      </c>
    </row>
    <row r="267">
      <c r="A267" s="2" t="n">
        <v>8873451</v>
      </c>
      <c r="B267" s="2" t="n">
        <v>48</v>
      </c>
      <c r="C267" s="2" t="inlineStr">
        <is>
          <t>F</t>
        </is>
      </c>
      <c r="D267" s="2" t="n">
        <v>100</v>
      </c>
      <c r="E267" s="4">
        <f>HYPERLINK("./Results/DLO\20191001_1.2.840.113619.2.416.28517115324995688419152907112014843856_310_512_512_\Osteo_Sarco_1.png","RPT")</f>
        <v/>
      </c>
      <c r="F267" s="3" t="n">
        <v>97</v>
      </c>
      <c r="G267" s="3" t="n">
        <v>9</v>
      </c>
      <c r="H267" s="7" t="n">
        <v>21.36</v>
      </c>
      <c r="I267" s="0" t="inlineStr">
        <is>
          <t>Revolution CT</t>
        </is>
      </c>
      <c r="J267" s="0" t="inlineStr">
        <is>
          <t>ABD</t>
        </is>
      </c>
      <c r="K267" t="n">
        <v>159</v>
      </c>
      <c r="L267" t="n">
        <v>54</v>
      </c>
      <c r="M267" t="n">
        <v>34.81</v>
      </c>
    </row>
    <row r="268">
      <c r="A268" s="2" t="n">
        <v>9640243</v>
      </c>
      <c r="B268" s="2" t="n">
        <v>48</v>
      </c>
      <c r="C268" s="2" t="inlineStr">
        <is>
          <t>F</t>
        </is>
      </c>
      <c r="D268" s="2" t="n">
        <v>100</v>
      </c>
      <c r="E268" s="4">
        <f>HYPERLINK("./Results/DLO\20190401_1.3.12.2.1107.5.1.4.54310.30000019041623401839000006507_2_512_512_\Osteo_Sarco_1.png","RPT")</f>
        <v/>
      </c>
      <c r="F268" s="3" t="n">
        <v>95</v>
      </c>
      <c r="G268" s="3" t="n">
        <v>7</v>
      </c>
      <c r="H268" s="7" t="n">
        <v>22.95</v>
      </c>
      <c r="I268" s="0" t="inlineStr">
        <is>
          <t>Sensation 64</t>
        </is>
      </c>
      <c r="J268" s="0" t="inlineStr">
        <is>
          <t>With Contrast 3.0 B30f</t>
        </is>
      </c>
      <c r="K268" t="n">
        <v>161.7</v>
      </c>
      <c r="L268" t="n">
        <v>60</v>
      </c>
      <c r="M268" t="n">
        <v>33.66</v>
      </c>
    </row>
    <row r="269">
      <c r="A269" s="2" t="n">
        <v>5011276</v>
      </c>
      <c r="B269" s="2" t="n">
        <v>48</v>
      </c>
      <c r="C269" s="2" t="inlineStr">
        <is>
          <t>F</t>
        </is>
      </c>
      <c r="D269" s="2" t="n">
        <v>100</v>
      </c>
      <c r="E269" s="4">
        <f>HYPERLINK("./Results/DLO\20180701_1.3.12.2.1107.5.1.4.54310.30000018070300074559300002506_2_512_512_\Osteo_Sarco_1.png","RPT")</f>
        <v/>
      </c>
      <c r="F269" s="3" t="n">
        <v>91</v>
      </c>
      <c r="G269" s="3" t="n">
        <v>4</v>
      </c>
      <c r="H269" s="7" t="n">
        <v>21.51</v>
      </c>
      <c r="I269" s="0" t="inlineStr">
        <is>
          <t>Sensation 64</t>
        </is>
      </c>
      <c r="J269" s="0" t="inlineStr">
        <is>
          <t>With Contrast 3.0 B30f</t>
        </is>
      </c>
      <c r="K269" t="n">
        <v>155.5</v>
      </c>
      <c r="L269" t="n">
        <v>52</v>
      </c>
      <c r="M269" t="n">
        <v>35.98</v>
      </c>
    </row>
    <row r="270">
      <c r="A270" s="2" t="n">
        <v>1589698</v>
      </c>
      <c r="B270" s="2" t="n">
        <v>48</v>
      </c>
      <c r="C270" s="2" t="inlineStr">
        <is>
          <t>F</t>
        </is>
      </c>
      <c r="D270" s="2" t="n">
        <v>100</v>
      </c>
      <c r="E270" s="4">
        <f>HYPERLINK("./Results/DLO\20180401_1.3.12.2.1107.5.1.4.54310.30000018040123113548400003843_2_512_512_\Osteo_Sarco_1.png","RPT")</f>
        <v/>
      </c>
      <c r="F270" s="3" t="n">
        <v>87</v>
      </c>
      <c r="G270" s="3" t="n">
        <v>9</v>
      </c>
      <c r="H270" s="7" t="n">
        <v>21.37</v>
      </c>
      <c r="I270" s="0" t="inlineStr">
        <is>
          <t>Sensation 64</t>
        </is>
      </c>
      <c r="J270" s="0" t="inlineStr">
        <is>
          <t>With Contrast 3.0 B30f</t>
        </is>
      </c>
      <c r="K270" t="n">
        <v>163.6</v>
      </c>
      <c r="L270" t="n">
        <v>57.2</v>
      </c>
      <c r="M270" t="n">
        <v>29.14</v>
      </c>
    </row>
    <row r="271">
      <c r="A271" s="2" t="n">
        <v>8720477</v>
      </c>
      <c r="B271" s="2" t="n">
        <v>48</v>
      </c>
      <c r="C271" s="2" t="inlineStr">
        <is>
          <t>F</t>
        </is>
      </c>
      <c r="D271" s="2" t="n">
        <v>100</v>
      </c>
      <c r="E271" s="4">
        <f>HYPERLINK("./Results/DLO\20180401_1.2.840.113619.2.311.154966231423548725021229643258439952558_303_512_512_\Osteo_Sarco_1.png","RPT")</f>
        <v/>
      </c>
      <c r="F271" s="3" t="n">
        <v>85</v>
      </c>
      <c r="G271" s="3" t="n">
        <v>6</v>
      </c>
      <c r="H271" s="7" t="n">
        <v>15.84</v>
      </c>
      <c r="I271" s="0" t="inlineStr">
        <is>
          <t>Revolution CT</t>
        </is>
      </c>
      <c r="J271" s="0" t="inlineStr">
        <is>
          <t>ABD 2.5mm</t>
        </is>
      </c>
      <c r="K271" t="n">
        <v>160.5</v>
      </c>
      <c r="L271" t="n">
        <v>40.8</v>
      </c>
      <c r="M271" t="n">
        <v>30.67</v>
      </c>
    </row>
    <row r="272">
      <c r="A272" s="2" t="n">
        <v>1616094</v>
      </c>
      <c r="B272" s="2" t="n">
        <v>48</v>
      </c>
      <c r="C272" s="2" t="inlineStr">
        <is>
          <t>F</t>
        </is>
      </c>
      <c r="D272" s="2" t="n">
        <v>100</v>
      </c>
      <c r="E272" s="4">
        <f>HYPERLINK("./Results/DLO\20190901_1.2.840.113619.2.416.303823446491670807226256448480346483909_310_512_512_\Osteo_Sarco_1.png","RPT")</f>
        <v/>
      </c>
      <c r="F272" s="3" t="n">
        <v>81</v>
      </c>
      <c r="G272" s="3" t="n">
        <v>7</v>
      </c>
      <c r="H272" s="7" t="n">
        <v>23.22</v>
      </c>
      <c r="I272" s="0" t="inlineStr">
        <is>
          <t>Revolution CT</t>
        </is>
      </c>
      <c r="J272" s="0" t="inlineStr">
        <is>
          <t>ABD</t>
        </is>
      </c>
      <c r="K272" t="n">
        <v>153.2</v>
      </c>
      <c r="L272" t="n">
        <v>54.5</v>
      </c>
      <c r="M272" t="n">
        <v>31.53</v>
      </c>
    </row>
    <row r="273">
      <c r="A273" s="2" t="n">
        <v>8433847</v>
      </c>
      <c r="B273" s="2" t="n">
        <v>48</v>
      </c>
      <c r="C273" s="2" t="inlineStr">
        <is>
          <t>M</t>
        </is>
      </c>
      <c r="D273" s="2" t="n">
        <v>100</v>
      </c>
      <c r="E273" s="4">
        <f>HYPERLINK("./Results/DLO\20180701_1.3.12.2.1107.5.1.4.65253.30000018072021135576000044083_2_512_512_\Osteo_Sarco_1.png","RPT")</f>
        <v/>
      </c>
      <c r="F273" s="3" t="n">
        <v>171</v>
      </c>
      <c r="G273" s="3" t="n">
        <v>14</v>
      </c>
      <c r="H273" s="7" t="n">
        <v>25.07</v>
      </c>
      <c r="I273" s="0" t="inlineStr">
        <is>
          <t>SOMATOM Definition AS</t>
        </is>
      </c>
      <c r="J273" s="0" t="inlineStr">
        <is>
          <t>W/O Contrast 2.0 B30f</t>
        </is>
      </c>
      <c r="K273" t="n">
        <v>170.4</v>
      </c>
      <c r="L273" t="n">
        <v>72.8</v>
      </c>
      <c r="M273" t="n">
        <v>54.07</v>
      </c>
    </row>
    <row r="274">
      <c r="A274" s="2" t="n">
        <v>555291</v>
      </c>
      <c r="B274" s="2" t="n">
        <v>48</v>
      </c>
      <c r="C274" s="2" t="inlineStr">
        <is>
          <t>M</t>
        </is>
      </c>
      <c r="D274" s="2" t="n">
        <v>100</v>
      </c>
      <c r="E274" s="4">
        <f>HYPERLINK("./Results/DLO\20190201_1.3.46.670589.33.1.63686001402227561400001.4967443661917989722_201_512_512_\Osteo_Sarco_1.png","RPT")</f>
        <v/>
      </c>
      <c r="F274" s="3" t="n">
        <v>169</v>
      </c>
      <c r="G274" s="3" t="n">
        <v>4</v>
      </c>
      <c r="H274" s="7" t="n">
        <v>25.01</v>
      </c>
      <c r="I274" s="0" t="inlineStr">
        <is>
          <t>Ingenuity Core 128</t>
        </is>
      </c>
      <c r="J274" s="0" t="inlineStr">
        <is>
          <t>Pre 3mm, iDose (3)</t>
        </is>
      </c>
      <c r="K274" t="n">
        <v>172</v>
      </c>
      <c r="L274" t="n">
        <v>74</v>
      </c>
      <c r="M274" t="n">
        <v>55.77</v>
      </c>
    </row>
    <row r="275">
      <c r="A275" s="2" t="n">
        <v>5962153</v>
      </c>
      <c r="B275" s="2" t="n">
        <v>48</v>
      </c>
      <c r="C275" s="2" t="inlineStr">
        <is>
          <t>M</t>
        </is>
      </c>
      <c r="D275" s="2" t="n">
        <v>100</v>
      </c>
      <c r="E275" s="4">
        <f>HYPERLINK("./Results/DLO\20180401_1.2.840.113619.2.416.176190748352336801882482356055587890178_301_512_512_\Osteo_Sarco_1.png","RPT")</f>
        <v/>
      </c>
      <c r="F275" s="3" t="n">
        <v>159</v>
      </c>
      <c r="G275" s="3" t="n">
        <v>9</v>
      </c>
      <c r="H275" s="7" t="n">
        <v>23.76</v>
      </c>
      <c r="I275" s="0" t="inlineStr">
        <is>
          <t>Revolution CT</t>
        </is>
      </c>
      <c r="J275" s="0" t="inlineStr">
        <is>
          <t>ABD 2.5mm</t>
        </is>
      </c>
      <c r="K275" t="n">
        <v>176.6</v>
      </c>
      <c r="L275" t="n">
        <v>74.09999999999999</v>
      </c>
      <c r="M275" t="n">
        <v>48.1</v>
      </c>
    </row>
    <row r="276">
      <c r="A276" s="2" t="n">
        <v>9466484</v>
      </c>
      <c r="B276" s="2" t="n">
        <v>48</v>
      </c>
      <c r="C276" s="2" t="inlineStr">
        <is>
          <t>M</t>
        </is>
      </c>
      <c r="D276" s="2" t="n">
        <v>100</v>
      </c>
      <c r="E276" s="4">
        <f>HYPERLINK("./Results/DLO\20181001_1.3.12.2.1107.5.1.4.65253.30000018101918161339600003986_2_512_512_\Osteo_Sarco_1.png","RPT")</f>
        <v/>
      </c>
      <c r="F276" s="3" t="n">
        <v>157</v>
      </c>
      <c r="G276" s="3" t="n">
        <v>7</v>
      </c>
      <c r="H276" s="7" t="n">
        <v>29.07</v>
      </c>
      <c r="I276" s="0" t="inlineStr">
        <is>
          <t>SOMATOM Definition AS</t>
        </is>
      </c>
      <c r="J276" s="0" t="inlineStr">
        <is>
          <t>With Contrast 3.0 B30f</t>
        </is>
      </c>
      <c r="K276" t="n">
        <v>172</v>
      </c>
      <c r="L276" t="n">
        <v>86</v>
      </c>
      <c r="M276" t="n">
        <v>50.7</v>
      </c>
    </row>
    <row r="277">
      <c r="A277" s="2" t="n">
        <v>5831818</v>
      </c>
      <c r="B277" s="2" t="n">
        <v>48</v>
      </c>
      <c r="C277" s="2" t="inlineStr">
        <is>
          <t>M</t>
        </is>
      </c>
      <c r="D277" s="2" t="n">
        <v>100</v>
      </c>
      <c r="E277" s="4">
        <f>HYPERLINK("./Results/DLO\20180101_1.3.46.670589.33.1.63651688682557586200001.5524230549698153133_201_512_512_\Osteo_Sarco_1.png","RPT")</f>
        <v/>
      </c>
      <c r="F277" s="3" t="n">
        <v>155</v>
      </c>
      <c r="G277" s="3" t="n">
        <v>8</v>
      </c>
      <c r="H277" s="7" t="n">
        <v>26.64</v>
      </c>
      <c r="I277" s="0" t="inlineStr">
        <is>
          <t>Ingenuity Core 128</t>
        </is>
      </c>
      <c r="J277" s="0" t="inlineStr">
        <is>
          <t>Post 100/236 i3, iDose (3)</t>
        </is>
      </c>
      <c r="K277" t="n">
        <v>170</v>
      </c>
      <c r="L277" t="n">
        <v>77</v>
      </c>
      <c r="M277" t="n">
        <v>50.87</v>
      </c>
    </row>
    <row r="278">
      <c r="A278" s="2" t="n">
        <v>8489859</v>
      </c>
      <c r="B278" s="2" t="n">
        <v>48</v>
      </c>
      <c r="C278" s="2" t="inlineStr">
        <is>
          <t>M</t>
        </is>
      </c>
      <c r="D278" s="2" t="n">
        <v>100</v>
      </c>
      <c r="E278" s="4">
        <f>HYPERLINK("./Results/DLO\20190501_1.3.12.2.1107.5.1.4.54310.30000019050323485237500006454_6_512_512_\Osteo_Sarco_1.png","RPT")</f>
        <v/>
      </c>
      <c r="F278" s="3" t="n">
        <v>152</v>
      </c>
      <c r="G278" s="3" t="n">
        <v>12</v>
      </c>
      <c r="H278" s="7" t="n">
        <v>26.45</v>
      </c>
      <c r="I278" s="0" t="inlineStr">
        <is>
          <t>Sensation 64</t>
        </is>
      </c>
      <c r="J278" s="0" t="inlineStr">
        <is>
          <t>ABD Contrast 3.0 B30f</t>
        </is>
      </c>
      <c r="K278" t="n">
        <v>165</v>
      </c>
      <c r="L278" t="n">
        <v>72</v>
      </c>
      <c r="M278" t="n">
        <v>51.42</v>
      </c>
    </row>
    <row r="279">
      <c r="A279" s="2" t="n">
        <v>5482800</v>
      </c>
      <c r="B279" s="2" t="n">
        <v>48</v>
      </c>
      <c r="C279" s="2" t="inlineStr">
        <is>
          <t>F</t>
        </is>
      </c>
      <c r="D279" s="2" t="n">
        <v>100</v>
      </c>
      <c r="E279" s="4">
        <f>HYPERLINK("./Results/DLO\20180101_1.3.12.2.1107.5.1.4.54310.30000018012823132665600011099_2_512_512_\Osteo_Sarco_1.png","RPT")</f>
        <v/>
      </c>
      <c r="F279" s="3" t="n">
        <v>141</v>
      </c>
      <c r="G279" s="3" t="n">
        <v>7</v>
      </c>
      <c r="H279" s="7" t="n">
        <v>22.04</v>
      </c>
      <c r="I279" s="0" t="inlineStr">
        <is>
          <t>Sensation 64</t>
        </is>
      </c>
      <c r="J279" s="0" t="inlineStr">
        <is>
          <t>With Contrast 3.0 B30f</t>
        </is>
      </c>
      <c r="K279" t="n">
        <v>165</v>
      </c>
      <c r="L279" t="n">
        <v>60</v>
      </c>
      <c r="M279" t="n">
        <v>49.22</v>
      </c>
    </row>
    <row r="280">
      <c r="A280" s="2" t="n">
        <v>9573815</v>
      </c>
      <c r="B280" s="2" t="n">
        <v>48</v>
      </c>
      <c r="C280" s="2" t="inlineStr">
        <is>
          <t>M</t>
        </is>
      </c>
      <c r="D280" s="2" t="n">
        <v>100</v>
      </c>
      <c r="E280" s="4">
        <f>HYPERLINK("./Results/DLO\20190501_1.3.12.2.1107.5.1.4.54310.30000019050721174979600033969_2_512_512_\Osteo_Sarco_1.png","RPT")</f>
        <v/>
      </c>
      <c r="F280" s="3" t="n">
        <v>141</v>
      </c>
      <c r="G280" s="3" t="n">
        <v>7</v>
      </c>
      <c r="H280" s="7" t="n">
        <v>24.28</v>
      </c>
      <c r="I280" s="0" t="inlineStr">
        <is>
          <t>Sensation 64</t>
        </is>
      </c>
      <c r="J280" s="0" t="inlineStr">
        <is>
          <t>With Contrast 3.0 B30f</t>
        </is>
      </c>
      <c r="K280" t="n">
        <v>171</v>
      </c>
      <c r="L280" t="n">
        <v>71</v>
      </c>
      <c r="M280" t="n">
        <v>45.83</v>
      </c>
    </row>
    <row r="281">
      <c r="A281" s="2" t="n">
        <v>8405417</v>
      </c>
      <c r="B281" s="2" t="n">
        <v>48</v>
      </c>
      <c r="C281" s="2" t="inlineStr">
        <is>
          <t>F</t>
        </is>
      </c>
      <c r="D281" s="2" t="n">
        <v>100</v>
      </c>
      <c r="E281" s="4">
        <f>HYPERLINK("./Results/DLO\20190801_1.3.12.2.1107.5.1.4.54310.30000019081822233132800050346_7_512_512_\Osteo_Sarco_1.png","RPT")</f>
        <v/>
      </c>
      <c r="F281" s="3" t="n">
        <v>138</v>
      </c>
      <c r="G281" s="3" t="n">
        <v>9</v>
      </c>
      <c r="H281" s="7" t="n">
        <v>30.22</v>
      </c>
      <c r="I281" s="0" t="inlineStr">
        <is>
          <t>Sensation 64</t>
        </is>
      </c>
      <c r="J281" s="0" t="inlineStr">
        <is>
          <t>ABD Contrast 3.0 B30f</t>
        </is>
      </c>
      <c r="K281" t="n">
        <v>168.3</v>
      </c>
      <c r="L281" t="n">
        <v>85.59999999999999</v>
      </c>
      <c r="M281" t="n">
        <v>45.54</v>
      </c>
    </row>
    <row r="282">
      <c r="A282" s="2" t="n">
        <v>9466763</v>
      </c>
      <c r="B282" s="2" t="n">
        <v>48</v>
      </c>
      <c r="C282" s="2" t="inlineStr">
        <is>
          <t>F</t>
        </is>
      </c>
      <c r="D282" s="2" t="n">
        <v>100</v>
      </c>
      <c r="E282" s="4">
        <f>HYPERLINK("./Results/DLO\20181001_1.2.840.113619.2.311.258266666919461930339035337969880325694_303_512_512_\Osteo_Sarco_1.png","RPT")</f>
        <v/>
      </c>
      <c r="F282" s="3" t="n">
        <v>131</v>
      </c>
      <c r="G282" s="3" t="n">
        <v>7</v>
      </c>
      <c r="H282" s="7" t="n">
        <v>27.66</v>
      </c>
      <c r="I282" s="0" t="inlineStr">
        <is>
          <t>Revolution CT</t>
        </is>
      </c>
      <c r="J282" s="0" t="inlineStr">
        <is>
          <t>ABD 2.5mm</t>
        </is>
      </c>
      <c r="K282" t="n">
        <v>156.1</v>
      </c>
      <c r="L282" t="n">
        <v>67.40000000000001</v>
      </c>
      <c r="M282" t="n">
        <v>50.89</v>
      </c>
    </row>
    <row r="283">
      <c r="A283" s="2" t="n">
        <v>5894614</v>
      </c>
      <c r="B283" s="2" t="n">
        <v>48</v>
      </c>
      <c r="C283" s="2" t="inlineStr">
        <is>
          <t>F</t>
        </is>
      </c>
      <c r="D283" s="2" t="n">
        <v>100</v>
      </c>
      <c r="E283" s="4">
        <f>HYPERLINK("./Results/DLO\20181201_1.3.46.670589.33.1.63680124194317386700001.4737420749141007020_201_512_512_\Osteo_Sarco_1.png","RPT")</f>
        <v/>
      </c>
      <c r="F283" s="3" t="n">
        <v>131</v>
      </c>
      <c r="G283" s="3" t="n">
        <v>11</v>
      </c>
      <c r="H283" s="7" t="n">
        <v>20.32</v>
      </c>
      <c r="I283" s="0" t="inlineStr">
        <is>
          <t>Ingenuity Core 128</t>
        </is>
      </c>
      <c r="J283" s="0" t="inlineStr">
        <is>
          <t>Post 100/236 i3, iDose (3)</t>
        </is>
      </c>
      <c r="K283" t="n">
        <v>163</v>
      </c>
      <c r="L283" t="n">
        <v>54</v>
      </c>
      <c r="M283" t="n">
        <v>45.17</v>
      </c>
    </row>
    <row r="284">
      <c r="A284" s="2" t="n">
        <v>5689466</v>
      </c>
      <c r="B284" s="2" t="n">
        <v>48</v>
      </c>
      <c r="C284" s="2" t="inlineStr">
        <is>
          <t>F</t>
        </is>
      </c>
      <c r="D284" s="2" t="n">
        <v>100</v>
      </c>
      <c r="E284" s="4">
        <f>HYPERLINK("./Results/DLO\20190801_1.3.12.2.1107.5.1.4.54310.30000019082722430853100062963_2_512_512_\Osteo_Sarco_1.png","RPT")</f>
        <v/>
      </c>
      <c r="F284" s="3" t="n">
        <v>131</v>
      </c>
      <c r="G284" s="3" t="n">
        <v>7</v>
      </c>
      <c r="H284" s="7" t="n">
        <v>26.19</v>
      </c>
      <c r="I284" s="0" t="inlineStr">
        <is>
          <t>Sensation 64</t>
        </is>
      </c>
      <c r="J284" s="0" t="inlineStr">
        <is>
          <t>With Contrast 3.0 B30f</t>
        </is>
      </c>
      <c r="K284" t="n">
        <v>156.2</v>
      </c>
      <c r="L284" t="n">
        <v>63.9</v>
      </c>
      <c r="M284" t="n">
        <v>50.82</v>
      </c>
    </row>
    <row r="285">
      <c r="A285" s="2" t="n">
        <v>1283595</v>
      </c>
      <c r="B285" s="2" t="n">
        <v>48</v>
      </c>
      <c r="C285" s="2" t="inlineStr">
        <is>
          <t>F</t>
        </is>
      </c>
      <c r="D285" s="2" t="n">
        <v>100</v>
      </c>
      <c r="E285" s="4">
        <f>HYPERLINK("./Results/DLO\20180801_1.3.12.2.1107.5.1.4.54310.30000018080923254621800062532_3_512_512_\Osteo_Sarco_1.png","RPT")</f>
        <v/>
      </c>
      <c r="F285" s="3" t="n">
        <v>127</v>
      </c>
      <c r="G285" s="3" t="n">
        <v>11</v>
      </c>
      <c r="H285" s="7" t="n">
        <v>26.68</v>
      </c>
      <c r="I285" s="0" t="inlineStr">
        <is>
          <t>Sensation 64</t>
        </is>
      </c>
      <c r="J285" s="0" t="inlineStr">
        <is>
          <t>With Contrast 3.0 B30f</t>
        </is>
      </c>
      <c r="K285" t="n">
        <v>156.1</v>
      </c>
      <c r="L285" t="n">
        <v>65</v>
      </c>
      <c r="M285" t="n">
        <v>47.6</v>
      </c>
    </row>
    <row r="286">
      <c r="A286" s="2" t="n">
        <v>8574944</v>
      </c>
      <c r="B286" s="2" t="n">
        <v>48</v>
      </c>
      <c r="C286" s="2" t="inlineStr">
        <is>
          <t>F</t>
        </is>
      </c>
      <c r="D286" s="2" t="n">
        <v>100</v>
      </c>
      <c r="E286" s="4">
        <f>HYPERLINK("./Results/DLO\20200101_1.2.840.113619.2.416.285010108405075614166448699374613913017_310_512_512_\Osteo_Sarco_1.png","RPT")</f>
        <v/>
      </c>
      <c r="F286" s="3" t="n">
        <v>125</v>
      </c>
      <c r="G286" s="3" t="n">
        <v>6</v>
      </c>
      <c r="H286" s="7" t="n">
        <v>21.73</v>
      </c>
      <c r="I286" s="0" t="inlineStr">
        <is>
          <t>Revolution CT</t>
        </is>
      </c>
      <c r="J286" s="0" t="inlineStr">
        <is>
          <t>ABD</t>
        </is>
      </c>
      <c r="K286" t="n">
        <v>168.1</v>
      </c>
      <c r="L286" t="n">
        <v>61.4</v>
      </c>
      <c r="M286" t="n">
        <v>42.11</v>
      </c>
    </row>
    <row r="287">
      <c r="A287" s="2" t="n">
        <v>9481396</v>
      </c>
      <c r="B287" s="2" t="n">
        <v>48</v>
      </c>
      <c r="C287" s="2" t="inlineStr">
        <is>
          <t>F</t>
        </is>
      </c>
      <c r="D287" s="2" t="n">
        <v>100</v>
      </c>
      <c r="E287" s="4">
        <f>HYPERLINK("./Results/DLO\20181001_1.2.840.113619.2.94.485650834948.2.9170831.19943781.1_2_512_512_\Osteo_Sarco_1.png","RPT")</f>
        <v/>
      </c>
      <c r="F287" s="3" t="n">
        <v>123</v>
      </c>
      <c r="G287" s="3" t="n">
        <v>12</v>
      </c>
      <c r="H287" s="7" t="n">
        <v>23.66</v>
      </c>
      <c r="I287" s="0" t="inlineStr">
        <is>
          <t>Sensation 64</t>
        </is>
      </c>
      <c r="J287" s="0" t="inlineStr">
        <is>
          <t>With Contrast 3.0 B30f</t>
        </is>
      </c>
      <c r="K287" t="n">
        <v>159.1</v>
      </c>
      <c r="L287" t="n">
        <v>59.9</v>
      </c>
      <c r="M287" t="n">
        <v>43.85</v>
      </c>
    </row>
    <row r="288">
      <c r="A288" s="2" t="n">
        <v>3669881</v>
      </c>
      <c r="B288" s="2" t="n">
        <v>48</v>
      </c>
      <c r="C288" s="2" t="inlineStr">
        <is>
          <t>F</t>
        </is>
      </c>
      <c r="D288" s="2" t="n">
        <v>100</v>
      </c>
      <c r="E288" s="4">
        <f>HYPERLINK("./Results/DLO\20190701_1.3.12.2.1107.5.1.4.54310.30000019072521262465600078485_8_512_512_\Osteo_Sarco_1.png","RPT")</f>
        <v/>
      </c>
      <c r="F288" s="3" t="n">
        <v>122</v>
      </c>
      <c r="G288" s="3" t="n">
        <v>9</v>
      </c>
      <c r="H288" s="7" t="n">
        <v>21.41</v>
      </c>
      <c r="I288" s="0" t="inlineStr">
        <is>
          <t>Sensation 64</t>
        </is>
      </c>
      <c r="J288" s="0" t="inlineStr">
        <is>
          <t>ABD Contrast 3.0 B30f</t>
        </is>
      </c>
      <c r="K288" t="n">
        <v>158.8</v>
      </c>
      <c r="L288" t="n">
        <v>54</v>
      </c>
      <c r="M288" t="n">
        <v>44.81</v>
      </c>
    </row>
    <row r="289">
      <c r="A289" s="2" t="n">
        <v>9003837</v>
      </c>
      <c r="B289" s="2" t="n">
        <v>48</v>
      </c>
      <c r="C289" s="2" t="inlineStr">
        <is>
          <t>M</t>
        </is>
      </c>
      <c r="D289" s="2" t="n">
        <v>100</v>
      </c>
      <c r="E289" s="4">
        <f>HYPERLINK("./Results/DLO\20180801_1.3.12.2.1107.5.1.4.54310.30000018080223110143700060420_2_512_512_\Osteo_Sarco_1.png","RPT")</f>
        <v/>
      </c>
      <c r="F289" s="3" t="n">
        <v>120</v>
      </c>
      <c r="G289" s="3" t="n">
        <v>5</v>
      </c>
      <c r="H289" s="7" t="n">
        <v>19.03</v>
      </c>
      <c r="I289" s="0" t="inlineStr">
        <is>
          <t>Sensation 64</t>
        </is>
      </c>
      <c r="J289" s="0" t="inlineStr">
        <is>
          <t>With Contrast 3.0 B30f</t>
        </is>
      </c>
      <c r="K289" t="n">
        <v>170</v>
      </c>
      <c r="L289" t="n">
        <v>55</v>
      </c>
      <c r="M289" t="n">
        <v>39.79</v>
      </c>
    </row>
    <row r="290">
      <c r="A290" s="2" t="n">
        <v>5768375</v>
      </c>
      <c r="B290" s="2" t="n">
        <v>48</v>
      </c>
      <c r="C290" s="2" t="inlineStr">
        <is>
          <t>F</t>
        </is>
      </c>
      <c r="D290" s="2" t="n">
        <v>100</v>
      </c>
      <c r="E290" s="4">
        <f>HYPERLINK("./Results/DLO\20181101_1.2.840.113619.2.94.485650834948.2.9203759.20026785.1_2_512_512_\Osteo_Sarco_1.png","RPT")</f>
        <v/>
      </c>
      <c r="F290" s="3" t="n">
        <v>120</v>
      </c>
      <c r="G290" s="3" t="n">
        <v>5</v>
      </c>
      <c r="H290" s="7" t="n">
        <v>24.19</v>
      </c>
      <c r="I290" s="0" t="inlineStr">
        <is>
          <t>Sensation 64</t>
        </is>
      </c>
      <c r="J290" s="0" t="inlineStr">
        <is>
          <t>With Contrast 3.0 B30f</t>
        </is>
      </c>
      <c r="K290" t="n">
        <v>169</v>
      </c>
      <c r="L290" t="n">
        <v>69.09999999999999</v>
      </c>
      <c r="M290" t="n">
        <v>40.26</v>
      </c>
    </row>
    <row r="291">
      <c r="A291" s="2" t="n">
        <v>5795687</v>
      </c>
      <c r="B291" s="2" t="n">
        <v>48</v>
      </c>
      <c r="C291" s="2" t="inlineStr">
        <is>
          <t>F</t>
        </is>
      </c>
      <c r="D291" s="2" t="n">
        <v>100</v>
      </c>
      <c r="E291" s="4">
        <f>HYPERLINK("./Results/DLO\20180801_1.2.840.113619.2.94.485650834948.2.9048696.19647619.1_2_512_512_\Osteo_Sarco_1.png","RPT")</f>
        <v/>
      </c>
      <c r="F291" s="3" t="n">
        <v>117</v>
      </c>
      <c r="G291" s="3" t="n">
        <v>8</v>
      </c>
      <c r="H291" s="7" t="n">
        <v>22.26</v>
      </c>
      <c r="I291" s="0" t="inlineStr">
        <is>
          <t>Sensation 64</t>
        </is>
      </c>
      <c r="J291" s="0" t="inlineStr">
        <is>
          <t>With Contrast 3.0 B30f</t>
        </is>
      </c>
      <c r="K291" t="n">
        <v>168.1</v>
      </c>
      <c r="L291" t="n">
        <v>62.9</v>
      </c>
      <c r="M291" t="n">
        <v>38.57</v>
      </c>
    </row>
    <row r="292">
      <c r="A292" s="2" t="n">
        <v>9010079</v>
      </c>
      <c r="B292" s="2" t="n">
        <v>48</v>
      </c>
      <c r="C292" s="2" t="inlineStr">
        <is>
          <t>F</t>
        </is>
      </c>
      <c r="D292" s="2" t="n">
        <v>100</v>
      </c>
      <c r="E292" s="4">
        <f>HYPERLINK("./Results/DLO\20190901_1.3.12.2.1107.5.1.4.54310.30000019090522532218700008137_3_512_512_\Osteo_Sarco_1.png","RPT")</f>
        <v/>
      </c>
      <c r="F292" s="3" t="n">
        <v>117</v>
      </c>
      <c r="G292" s="3" t="n">
        <v>8</v>
      </c>
      <c r="H292" s="6" t="n">
        <v>28.05</v>
      </c>
      <c r="I292" s="0" t="inlineStr">
        <is>
          <t>Sensation 64</t>
        </is>
      </c>
      <c r="J292" s="0" t="inlineStr">
        <is>
          <t>Pre Contrast 3.0 B30f</t>
        </is>
      </c>
      <c r="K292" t="n">
        <v>159.7</v>
      </c>
      <c r="L292" t="n">
        <v>71.55</v>
      </c>
      <c r="M292" t="n">
        <v>42.74</v>
      </c>
    </row>
    <row r="293">
      <c r="A293" s="2" t="n">
        <v>6742941</v>
      </c>
      <c r="B293" s="2" t="n">
        <v>48</v>
      </c>
      <c r="C293" s="2" t="inlineStr">
        <is>
          <t>F</t>
        </is>
      </c>
      <c r="D293" s="2" t="n">
        <v>100</v>
      </c>
      <c r="E293" s="4">
        <f>HYPERLINK("./Results/DLO\20180101_1.2.840.113619.2.311.327987761087770746287021865672491319185_304_512_512_\Osteo_Sarco_1.png","RPT")</f>
        <v/>
      </c>
      <c r="F293" s="3" t="n">
        <v>115</v>
      </c>
      <c r="G293" s="3" t="n">
        <v>7</v>
      </c>
      <c r="H293" s="7" t="n">
        <v>20.2</v>
      </c>
      <c r="I293" s="0" t="inlineStr">
        <is>
          <t>Revolution CT</t>
        </is>
      </c>
      <c r="J293" s="0" t="inlineStr">
        <is>
          <t>ABD 2.5mm</t>
        </is>
      </c>
      <c r="K293" t="n">
        <v>161.6</v>
      </c>
      <c r="L293" t="n">
        <v>52.75</v>
      </c>
      <c r="M293" t="n">
        <v>41.36</v>
      </c>
    </row>
    <row r="294">
      <c r="A294" s="2" t="n">
        <v>8679850</v>
      </c>
      <c r="B294" s="2" t="n">
        <v>48</v>
      </c>
      <c r="C294" s="2" t="inlineStr">
        <is>
          <t>F</t>
        </is>
      </c>
      <c r="D294" s="2" t="n">
        <v>100</v>
      </c>
      <c r="E294" s="4">
        <f>HYPERLINK("./Results/DLO\20180801_1.2.840.113619.2.311.66343366773120842978880787029326059038_304_512_512_\Osteo_Sarco_1.png","RPT")</f>
        <v/>
      </c>
      <c r="F294" s="3" t="n">
        <v>115</v>
      </c>
      <c r="G294" s="3" t="n">
        <v>9</v>
      </c>
      <c r="H294" s="7" t="n">
        <v>22.49</v>
      </c>
      <c r="I294" s="0" t="inlineStr">
        <is>
          <t>Revolution CT</t>
        </is>
      </c>
      <c r="J294" s="0" t="inlineStr">
        <is>
          <t>ABD 2.5mm</t>
        </is>
      </c>
      <c r="K294" t="n">
        <v>160.6</v>
      </c>
      <c r="L294" t="n">
        <v>58</v>
      </c>
      <c r="M294" t="n">
        <v>41.1</v>
      </c>
    </row>
    <row r="295">
      <c r="A295" s="2" t="n">
        <v>6737629</v>
      </c>
      <c r="B295" s="2" t="n">
        <v>48</v>
      </c>
      <c r="C295" s="2" t="inlineStr">
        <is>
          <t>F</t>
        </is>
      </c>
      <c r="D295" s="2" t="n">
        <v>100</v>
      </c>
      <c r="E295" s="4">
        <f>HYPERLINK("./Results/DLO\20181201_1.2.840.113619.2.94.485650834948.2.9243805.20125717.1_2_512_512_\Osteo_Sarco_1.png","RPT")</f>
        <v/>
      </c>
      <c r="F295" s="3" t="n">
        <v>113</v>
      </c>
      <c r="G295" s="3" t="n">
        <v>8</v>
      </c>
      <c r="H295" s="7" t="n">
        <v>23.56</v>
      </c>
      <c r="I295" s="0" t="inlineStr">
        <is>
          <t>Sensation 64</t>
        </is>
      </c>
      <c r="J295" s="0" t="inlineStr">
        <is>
          <t>With Contrast 3.0 B30f</t>
        </is>
      </c>
      <c r="K295" t="n">
        <v>160.9</v>
      </c>
      <c r="L295" t="n">
        <v>61</v>
      </c>
      <c r="M295" t="n">
        <v>40.56</v>
      </c>
    </row>
    <row r="296">
      <c r="A296" s="2" t="n">
        <v>8776612</v>
      </c>
      <c r="B296" s="2" t="n">
        <v>48</v>
      </c>
      <c r="C296" s="2" t="inlineStr">
        <is>
          <t>F</t>
        </is>
      </c>
      <c r="D296" s="2" t="n">
        <v>100</v>
      </c>
      <c r="E296" s="4">
        <f>HYPERLINK("./Results/DLO\20200601_1.2.840.113619.2.416.175667042145230511713480028627042626239_307_512_512_\Osteo_Sarco_1.png","RPT")</f>
        <v/>
      </c>
      <c r="F296" s="3" t="n">
        <v>111</v>
      </c>
      <c r="G296" s="3" t="n">
        <v>6</v>
      </c>
      <c r="H296" s="7" t="n">
        <v>20.03</v>
      </c>
      <c r="I296" s="0" t="inlineStr">
        <is>
          <t>Revolution CT</t>
        </is>
      </c>
      <c r="J296" s="0" t="inlineStr">
        <is>
          <t>ABD</t>
        </is>
      </c>
      <c r="K296" t="n">
        <v>158</v>
      </c>
      <c r="L296" t="n">
        <v>50</v>
      </c>
      <c r="M296" t="n">
        <v>42.06</v>
      </c>
    </row>
    <row r="297">
      <c r="A297" s="2" t="n">
        <v>9424215</v>
      </c>
      <c r="B297" s="2" t="n">
        <v>48</v>
      </c>
      <c r="C297" s="2" t="inlineStr">
        <is>
          <t>F</t>
        </is>
      </c>
      <c r="D297" s="2" t="n">
        <v>100</v>
      </c>
      <c r="E297" s="4">
        <f>HYPERLINK("./Results/DLO\20180901_1.2.840.113619.2.94.485650834948.2.9057855.19669711.1_2_512_512_\Osteo_Sarco_1.png","RPT")</f>
        <v/>
      </c>
      <c r="F297" s="3" t="n">
        <v>109</v>
      </c>
      <c r="G297" s="3" t="n">
        <v>3</v>
      </c>
      <c r="H297" s="7" t="n">
        <v>19.03</v>
      </c>
      <c r="I297" s="0" t="inlineStr">
        <is>
          <t>Sensation 64</t>
        </is>
      </c>
      <c r="J297" s="0" t="inlineStr">
        <is>
          <t>With Contrast 3.0 B30f</t>
        </is>
      </c>
      <c r="K297" t="n">
        <v>147.3</v>
      </c>
      <c r="L297" t="n">
        <v>41.3</v>
      </c>
      <c r="M297" t="n">
        <v>48.85</v>
      </c>
    </row>
    <row r="298">
      <c r="A298" s="2" t="n">
        <v>1448769</v>
      </c>
      <c r="B298" s="2" t="n">
        <v>48</v>
      </c>
      <c r="C298" s="2" t="inlineStr">
        <is>
          <t>M</t>
        </is>
      </c>
      <c r="D298" s="2" t="n">
        <v>100</v>
      </c>
      <c r="E298" s="4">
        <f>HYPERLINK("./Results/DLO\20190301_1.3.46.670589.33.1.63688241474491311900001.5008622576487794246_201_512_512_\Osteo_Sarco_1.png","RPT")</f>
        <v/>
      </c>
      <c r="F298" s="3" t="n">
        <v>109</v>
      </c>
      <c r="G298" s="3" t="n">
        <v>11</v>
      </c>
      <c r="H298" s="7" t="n">
        <v>20.7</v>
      </c>
      <c r="I298" s="0" t="inlineStr">
        <is>
          <t>Ingenuity Core 128</t>
        </is>
      </c>
      <c r="J298" s="0" t="inlineStr">
        <is>
          <t>Pre 3mm, iDose (4)</t>
        </is>
      </c>
      <c r="K298" t="n">
        <v>163</v>
      </c>
      <c r="L298" t="n">
        <v>55</v>
      </c>
      <c r="M298" t="n">
        <v>36.89</v>
      </c>
    </row>
    <row r="299">
      <c r="A299" s="2" t="n">
        <v>8324063</v>
      </c>
      <c r="B299" s="2" t="n">
        <v>48</v>
      </c>
      <c r="C299" s="2" t="inlineStr">
        <is>
          <t>F</t>
        </is>
      </c>
      <c r="D299" s="2" t="n">
        <v>100</v>
      </c>
      <c r="E299" s="4">
        <f>HYPERLINK("./Results/DLO\20180701_1.2.840.113619.2.94.485650834948.2.8964699.19437490.1_2_512_512_\Osteo_Sarco_1.png","RPT")</f>
        <v/>
      </c>
      <c r="F299" s="3" t="n">
        <v>106</v>
      </c>
      <c r="G299" s="3" t="n">
        <v>8</v>
      </c>
      <c r="H299" s="7" t="n">
        <v>22.23</v>
      </c>
      <c r="I299" s="0" t="inlineStr">
        <is>
          <t>Sensation 64</t>
        </is>
      </c>
      <c r="J299" s="0" t="inlineStr">
        <is>
          <t>With Contrast 3.0 B30f</t>
        </is>
      </c>
      <c r="K299" t="n">
        <v>171</v>
      </c>
      <c r="L299" t="n">
        <v>65</v>
      </c>
      <c r="M299" t="n">
        <v>33.51</v>
      </c>
    </row>
    <row r="300">
      <c r="A300" s="2" t="n">
        <v>8556237</v>
      </c>
      <c r="B300" s="2" t="n">
        <v>48</v>
      </c>
      <c r="C300" s="2" t="inlineStr">
        <is>
          <t>F</t>
        </is>
      </c>
      <c r="D300" s="2" t="n">
        <v>100</v>
      </c>
      <c r="E300" s="4">
        <f>HYPERLINK("./Results/DLO\20180201_1.2.840.113619.2.416.262175673661712823372345191591623797299_304_512_512_\Osteo_Sarco_1.png","RPT")</f>
        <v/>
      </c>
      <c r="F300" s="3" t="n">
        <v>105</v>
      </c>
      <c r="G300" s="3" t="n">
        <v>11</v>
      </c>
      <c r="H300" s="7" t="n">
        <v>20.81</v>
      </c>
      <c r="I300" s="0" t="inlineStr">
        <is>
          <t>Revolution CT</t>
        </is>
      </c>
      <c r="J300" s="0" t="inlineStr">
        <is>
          <t>ABD 2.5mm</t>
        </is>
      </c>
      <c r="K300" t="n">
        <v>163.6</v>
      </c>
      <c r="L300" t="n">
        <v>55.7</v>
      </c>
      <c r="M300" t="n">
        <v>35.12</v>
      </c>
    </row>
    <row r="301">
      <c r="A301" s="2" t="n">
        <v>4190994</v>
      </c>
      <c r="B301" s="2" t="n">
        <v>48</v>
      </c>
      <c r="C301" s="2" t="inlineStr">
        <is>
          <t>F</t>
        </is>
      </c>
      <c r="D301" s="2" t="n">
        <v>100</v>
      </c>
      <c r="E301" s="4">
        <f>HYPERLINK("./Results/DLO\20180701_1.2.840.113619.2.311.337051686724732317838299329495457708171_303_512_512_\Osteo_Sarco_1.png","RPT")</f>
        <v/>
      </c>
      <c r="F301" s="3" t="n">
        <v>105</v>
      </c>
      <c r="G301" s="3" t="n">
        <v>9</v>
      </c>
      <c r="H301" s="7" t="n">
        <v>24.69</v>
      </c>
      <c r="I301" s="0" t="inlineStr">
        <is>
          <t>Revolution CT</t>
        </is>
      </c>
      <c r="J301" s="0" t="inlineStr">
        <is>
          <t>ABD 2.5mm</t>
        </is>
      </c>
      <c r="K301" t="n">
        <v>161</v>
      </c>
      <c r="L301" t="n">
        <v>64</v>
      </c>
      <c r="M301" t="n">
        <v>37.04</v>
      </c>
    </row>
    <row r="302">
      <c r="A302" s="2" t="n">
        <v>5449277</v>
      </c>
      <c r="B302" s="2" t="n">
        <v>48</v>
      </c>
      <c r="C302" s="2" t="inlineStr">
        <is>
          <t>F</t>
        </is>
      </c>
      <c r="D302" s="2" t="n">
        <v>100</v>
      </c>
      <c r="E302" s="4">
        <f>HYPERLINK("./Results/DLO\20190201_1.3.46.670589.33.1.63686944509884278300001.5496912160714132807_201_512_512_\Osteo_Sarco_1.png","RPT")</f>
        <v/>
      </c>
      <c r="F302" s="3" t="n">
        <v>105</v>
      </c>
      <c r="G302" s="3" t="n">
        <v>6</v>
      </c>
      <c r="H302" s="7" t="n">
        <v>26.67</v>
      </c>
      <c r="I302" s="0" t="inlineStr">
        <is>
          <t>Ingenuity Core 128</t>
        </is>
      </c>
      <c r="J302" s="0" t="inlineStr">
        <is>
          <t>Post 3mm, iDose (3)</t>
        </is>
      </c>
      <c r="K302" t="n">
        <v>162</v>
      </c>
      <c r="L302" t="n">
        <v>70</v>
      </c>
      <c r="M302" t="n">
        <v>37.72</v>
      </c>
    </row>
    <row r="303">
      <c r="A303" s="2" t="n">
        <v>820691</v>
      </c>
      <c r="B303" s="2" t="n">
        <v>48</v>
      </c>
      <c r="C303" s="2" t="inlineStr">
        <is>
          <t>F</t>
        </is>
      </c>
      <c r="D303" s="2" t="n">
        <v>100</v>
      </c>
      <c r="E303" s="4">
        <f>HYPERLINK("./Results/DLO\20180701_1.3.12.2.1107.5.1.4.54310.30000018071823254187500026246_2_512_512_\Osteo_Sarco_1.png","RPT")</f>
        <v/>
      </c>
      <c r="F303" s="3" t="n">
        <v>104</v>
      </c>
      <c r="G303" s="3" t="n">
        <v>12</v>
      </c>
      <c r="H303" s="7" t="n">
        <v>18.83</v>
      </c>
      <c r="I303" s="0" t="inlineStr">
        <is>
          <t>Sensation 64</t>
        </is>
      </c>
      <c r="J303" s="0" t="inlineStr">
        <is>
          <t>Pre Contrast 3.0 B30f</t>
        </is>
      </c>
      <c r="K303" t="n">
        <v>158</v>
      </c>
      <c r="L303" t="n">
        <v>47</v>
      </c>
      <c r="M303" t="n">
        <v>36.85</v>
      </c>
    </row>
    <row r="304">
      <c r="A304" s="2" t="n">
        <v>9005713</v>
      </c>
      <c r="B304" s="2" t="n">
        <v>48</v>
      </c>
      <c r="C304" s="2" t="inlineStr">
        <is>
          <t>F</t>
        </is>
      </c>
      <c r="D304" s="2" t="n">
        <v>100</v>
      </c>
      <c r="E304" s="4">
        <f>HYPERLINK("./Results/DLO\20180101_1.2.840.113619.2.94.485650834948.2.8620284.18593769.1_2_512_512_\Osteo_Sarco_1.png","RPT")</f>
        <v/>
      </c>
      <c r="F304" s="3" t="n">
        <v>100</v>
      </c>
      <c r="G304" s="3" t="n">
        <v>5</v>
      </c>
      <c r="H304" s="7" t="n">
        <v>21.67</v>
      </c>
      <c r="I304" s="0" t="inlineStr">
        <is>
          <t>SOMATOM Definition AS</t>
        </is>
      </c>
      <c r="J304" s="0" t="inlineStr">
        <is>
          <t>With Contrast 3.0 B40f</t>
        </is>
      </c>
      <c r="K304" t="n">
        <v>158.3</v>
      </c>
      <c r="L304" t="n">
        <v>54.3</v>
      </c>
      <c r="M304" t="n">
        <v>37.91</v>
      </c>
    </row>
    <row r="305">
      <c r="A305" s="2" t="n">
        <v>8793111</v>
      </c>
      <c r="B305" s="2" t="n">
        <v>48</v>
      </c>
      <c r="C305" s="2" t="inlineStr">
        <is>
          <t>F</t>
        </is>
      </c>
      <c r="D305" s="2" t="n">
        <v>100</v>
      </c>
      <c r="E305" s="4">
        <f>HYPERLINK("./Results/DLO\20180101_1.3.12.2.1107.5.1.4.54310.30000018011623145625000000103_2_512_512_\Osteo_Sarco_1.png","RPT")</f>
        <v/>
      </c>
      <c r="F305" s="3" t="n">
        <v>100</v>
      </c>
      <c r="G305" s="3" t="n">
        <v>8</v>
      </c>
      <c r="H305" s="7" t="n">
        <v>28.4</v>
      </c>
      <c r="I305" s="0" t="inlineStr">
        <is>
          <t>Sensation 64</t>
        </is>
      </c>
      <c r="J305" s="0" t="inlineStr">
        <is>
          <t>With Contrast 3.0 B30f</t>
        </is>
      </c>
      <c r="K305" t="n">
        <v>148.7</v>
      </c>
      <c r="L305" t="n">
        <v>62.8</v>
      </c>
      <c r="M305" t="n">
        <v>41.61</v>
      </c>
    </row>
    <row r="306">
      <c r="A306" s="2" t="n">
        <v>8864445</v>
      </c>
      <c r="B306" s="2" t="n">
        <v>49</v>
      </c>
      <c r="C306" s="2" t="inlineStr">
        <is>
          <t>F</t>
        </is>
      </c>
      <c r="D306" s="2" t="n">
        <v>100</v>
      </c>
      <c r="E306" s="4">
        <f>HYPERLINK("./Results/DLO\20180901_1.2.840.113619.2.311.247938596415651198059622655052890700963_304_512_512_\Osteo_Sarco_1.png","RPT")</f>
        <v/>
      </c>
      <c r="F306" s="3" t="n">
        <v>99</v>
      </c>
      <c r="G306" s="3" t="n">
        <v>8</v>
      </c>
      <c r="H306" s="7" t="n">
        <v>24.23</v>
      </c>
      <c r="I306" s="0" t="inlineStr">
        <is>
          <t>Revolution CT</t>
        </is>
      </c>
      <c r="J306" s="0" t="inlineStr">
        <is>
          <t>ABD 2.5mm</t>
        </is>
      </c>
      <c r="K306" t="n">
        <v>152.7</v>
      </c>
      <c r="L306" t="n">
        <v>56.5</v>
      </c>
      <c r="M306" t="n">
        <v>39.03</v>
      </c>
    </row>
    <row r="307">
      <c r="A307" s="2" t="n">
        <v>1366476</v>
      </c>
      <c r="B307" s="2" t="n">
        <v>49</v>
      </c>
      <c r="C307" s="2" t="inlineStr">
        <is>
          <t>F</t>
        </is>
      </c>
      <c r="D307" s="2" t="n">
        <v>100</v>
      </c>
      <c r="E307" s="4">
        <f>HYPERLINK("./Results/DLO\20180901_1.2.840.113619.2.311.100960404799664694549328552299518490047_304_512_512_\Osteo_Sarco_1.png","RPT")</f>
        <v/>
      </c>
      <c r="F307" s="3" t="n">
        <v>98</v>
      </c>
      <c r="G307" s="3" t="n">
        <v>12</v>
      </c>
      <c r="H307" s="7" t="n">
        <v>16.97</v>
      </c>
      <c r="I307" s="0" t="inlineStr">
        <is>
          <t>Revolution CT</t>
        </is>
      </c>
      <c r="J307" s="0" t="inlineStr">
        <is>
          <t>ABD 2.5mm</t>
        </is>
      </c>
      <c r="K307" t="n">
        <v>164.8</v>
      </c>
      <c r="L307" t="n">
        <v>46.1</v>
      </c>
      <c r="M307" t="n">
        <v>31.67</v>
      </c>
    </row>
    <row r="308">
      <c r="A308" s="2" t="n">
        <v>8282695</v>
      </c>
      <c r="B308" s="2" t="n">
        <v>49</v>
      </c>
      <c r="C308" s="2" t="inlineStr">
        <is>
          <t>F</t>
        </is>
      </c>
      <c r="D308" s="2" t="n">
        <v>100</v>
      </c>
      <c r="E308" s="4">
        <f>HYPERLINK("./Results/DLO\20180701_1.2.840.113619.2.311.226983047473604694436582671185023892725_304_512_512_\Osteo_Sarco_1.png","RPT")</f>
        <v/>
      </c>
      <c r="F308" s="3" t="n">
        <v>97</v>
      </c>
      <c r="G308" s="3" t="n">
        <v>7</v>
      </c>
      <c r="H308" s="7" t="n">
        <v>20.11</v>
      </c>
      <c r="I308" s="0" t="inlineStr">
        <is>
          <t>Revolution CT</t>
        </is>
      </c>
      <c r="J308" s="0" t="inlineStr">
        <is>
          <t>ABD 2.5mm</t>
        </is>
      </c>
      <c r="K308" t="n">
        <v>160.5</v>
      </c>
      <c r="L308" t="n">
        <v>51.8</v>
      </c>
      <c r="M308" t="n">
        <v>34.94</v>
      </c>
    </row>
    <row r="309">
      <c r="A309" s="2" t="n">
        <v>1338051</v>
      </c>
      <c r="B309" s="2" t="n">
        <v>49</v>
      </c>
      <c r="C309" s="2" t="inlineStr">
        <is>
          <t>F</t>
        </is>
      </c>
      <c r="D309" s="2" t="n">
        <v>100</v>
      </c>
      <c r="E309" s="4">
        <f>HYPERLINK("./Results/DLO\20180901_1.2.840.113619.2.311.39566044419890465235810740811315830691_304_512_512_\Osteo_Sarco_1.png","RPT")</f>
        <v/>
      </c>
      <c r="F309" s="3" t="n">
        <v>97</v>
      </c>
      <c r="G309" s="3" t="n">
        <v>8</v>
      </c>
      <c r="H309" s="7" t="n">
        <v>22.48</v>
      </c>
      <c r="I309" s="0" t="inlineStr">
        <is>
          <t>Revolution CT</t>
        </is>
      </c>
      <c r="J309" s="0" t="inlineStr">
        <is>
          <t>ABD 2.5mm</t>
        </is>
      </c>
      <c r="K309" t="n">
        <v>158.4</v>
      </c>
      <c r="L309" t="n">
        <v>56.4</v>
      </c>
      <c r="M309" t="n">
        <v>35.47</v>
      </c>
    </row>
    <row r="310">
      <c r="A310" s="2" t="n">
        <v>9953649</v>
      </c>
      <c r="B310" s="2" t="n">
        <v>49</v>
      </c>
      <c r="C310" s="2" t="inlineStr">
        <is>
          <t>F</t>
        </is>
      </c>
      <c r="D310" s="2" t="n">
        <v>100</v>
      </c>
      <c r="E310" s="4">
        <f>HYPERLINK("./Results/DLO\20200401_1.3.12.2.1107.5.1.4.54310.30000020040521135451500037409_2_512_512_\Osteo_Sarco_1.png","RPT")</f>
        <v/>
      </c>
      <c r="F310" s="3" t="n">
        <v>93</v>
      </c>
      <c r="G310" s="3" t="n">
        <v>3</v>
      </c>
      <c r="H310" s="7" t="n">
        <v>21.81</v>
      </c>
      <c r="I310" s="0" t="inlineStr">
        <is>
          <t>Sensation 64</t>
        </is>
      </c>
      <c r="J310" s="0" t="inlineStr">
        <is>
          <t>With Contrast 3.0 B30f</t>
        </is>
      </c>
      <c r="K310" t="n">
        <v>158.8</v>
      </c>
      <c r="L310" t="n">
        <v>55</v>
      </c>
      <c r="M310" t="n">
        <v>35.69</v>
      </c>
    </row>
    <row r="311">
      <c r="A311" s="2" t="n">
        <v>6053602</v>
      </c>
      <c r="B311" s="2" t="n">
        <v>49</v>
      </c>
      <c r="C311" s="2" t="inlineStr">
        <is>
          <t>F</t>
        </is>
      </c>
      <c r="D311" s="2" t="n">
        <v>100</v>
      </c>
      <c r="E311" s="4">
        <f>HYPERLINK("./Results/DLO\20181001_1.2.840.113619.2.311.297550273518845188458039110803813972734_304_512_512_\Osteo_Sarco_1.png","RPT")</f>
        <v/>
      </c>
      <c r="F311" s="3" t="n">
        <v>92</v>
      </c>
      <c r="G311" s="3" t="n">
        <v>8</v>
      </c>
      <c r="H311" s="7" t="n">
        <v>23.31</v>
      </c>
      <c r="I311" s="0" t="inlineStr">
        <is>
          <t>Revolution CT</t>
        </is>
      </c>
      <c r="J311" s="0" t="inlineStr">
        <is>
          <t>ABD 2.5mm</t>
        </is>
      </c>
      <c r="K311" t="n">
        <v>155</v>
      </c>
      <c r="L311" t="n">
        <v>56</v>
      </c>
      <c r="M311" t="n">
        <v>34.96</v>
      </c>
    </row>
    <row r="312">
      <c r="A312" s="2" t="n">
        <v>5256817</v>
      </c>
      <c r="B312" s="2" t="n">
        <v>49</v>
      </c>
      <c r="C312" s="2" t="inlineStr">
        <is>
          <t>F</t>
        </is>
      </c>
      <c r="D312" s="2" t="n">
        <v>100</v>
      </c>
      <c r="E312" s="4">
        <f>HYPERLINK("./Results/DLO\20180201_1.3.12.2.1107.5.1.4.54310.30000018020823251125000005200_2_512_512_\Osteo_Sarco_1.png","RPT")</f>
        <v/>
      </c>
      <c r="F312" s="3" t="n">
        <v>87</v>
      </c>
      <c r="G312" s="3" t="n">
        <v>7</v>
      </c>
      <c r="H312" s="7" t="n">
        <v>16.02</v>
      </c>
      <c r="I312" s="0" t="inlineStr">
        <is>
          <t>Sensation 64</t>
        </is>
      </c>
      <c r="J312" s="0" t="inlineStr">
        <is>
          <t>With Contrast 3.0 B30f</t>
        </is>
      </c>
      <c r="K312" t="n">
        <v>158</v>
      </c>
      <c r="L312" t="n">
        <v>40</v>
      </c>
      <c r="M312" t="n">
        <v>32.05</v>
      </c>
    </row>
    <row r="313">
      <c r="A313" s="2" t="n">
        <v>9871060</v>
      </c>
      <c r="B313" s="2" t="n">
        <v>49</v>
      </c>
      <c r="C313" s="2" t="inlineStr">
        <is>
          <t>F</t>
        </is>
      </c>
      <c r="D313" s="2" t="n">
        <v>100</v>
      </c>
      <c r="E313" s="4">
        <f>HYPERLINK("./Results/DLO\20191201_1.3.12.2.1107.5.1.4.65253.30000019121718134503300063631_2_512_512_\Osteo_Sarco_1.png","RPT")</f>
        <v/>
      </c>
      <c r="F313" s="3" t="n">
        <v>86</v>
      </c>
      <c r="G313" s="3" t="n">
        <v>8</v>
      </c>
      <c r="H313" s="7" t="n">
        <v>19.33</v>
      </c>
      <c r="I313" s="0" t="inlineStr">
        <is>
          <t>SOMATOM Definition AS</t>
        </is>
      </c>
      <c r="J313" s="0" t="inlineStr">
        <is>
          <t>ABD Contrast 3.0 B30f</t>
        </is>
      </c>
      <c r="K313" t="n">
        <v>164</v>
      </c>
      <c r="L313" t="n">
        <v>52</v>
      </c>
      <c r="M313" t="n">
        <v>29</v>
      </c>
    </row>
    <row r="314">
      <c r="A314" s="2" t="n">
        <v>5020404</v>
      </c>
      <c r="B314" s="2" t="n">
        <v>49</v>
      </c>
      <c r="C314" s="2" t="inlineStr">
        <is>
          <t>M</t>
        </is>
      </c>
      <c r="D314" s="2" t="n">
        <v>100</v>
      </c>
      <c r="E314" s="4">
        <f>HYPERLINK("./Results/DLO\20180601_1.3.46.670589.33.1.63663964040469056700001.5385973552367785818_201_512_512_\Osteo_Sarco_1.png","RPT")</f>
        <v/>
      </c>
      <c r="F314" s="3" t="n">
        <v>218</v>
      </c>
      <c r="G314" s="3" t="n">
        <v>5</v>
      </c>
      <c r="H314" s="7" t="n">
        <v>32.33</v>
      </c>
      <c r="I314" s="0" t="inlineStr">
        <is>
          <t>Ingenuity Core 128</t>
        </is>
      </c>
      <c r="J314" s="0" t="inlineStr">
        <is>
          <t>Post 100/236 i3, iDose (3)</t>
        </is>
      </c>
      <c r="K314" t="n">
        <v>166.1</v>
      </c>
      <c r="L314" t="n">
        <v>89.2</v>
      </c>
      <c r="M314" t="n">
        <v>77.2</v>
      </c>
    </row>
    <row r="315">
      <c r="A315" s="2" t="n">
        <v>4009493</v>
      </c>
      <c r="B315" s="2" t="n">
        <v>49</v>
      </c>
      <c r="C315" s="2" t="inlineStr">
        <is>
          <t>M</t>
        </is>
      </c>
      <c r="D315" s="2" t="n">
        <v>100</v>
      </c>
      <c r="E315" s="4">
        <f>HYPERLINK("./Results/DLO\20200501_1.3.46.670589.33.1.63725994103196966300001.5642967628589923468_201_512_512_\Osteo_Sarco_1.png","RPT")</f>
        <v/>
      </c>
      <c r="F315" s="3" t="n">
        <v>186</v>
      </c>
      <c r="G315" s="3" t="n">
        <v>6</v>
      </c>
      <c r="H315" s="7" t="n">
        <v>28.08</v>
      </c>
      <c r="I315" s="0" t="inlineStr">
        <is>
          <t>Ingenuity Core 128</t>
        </is>
      </c>
      <c r="J315" s="0" t="inlineStr">
        <is>
          <t>Post 3mm, iDose (3)</t>
        </is>
      </c>
      <c r="K315" t="n">
        <v>175</v>
      </c>
      <c r="L315" t="n">
        <v>86</v>
      </c>
      <c r="M315" t="n">
        <v>58.78</v>
      </c>
    </row>
    <row r="316">
      <c r="A316" s="2" t="n">
        <v>8425448</v>
      </c>
      <c r="B316" s="2" t="n">
        <v>49</v>
      </c>
      <c r="C316" s="2" t="inlineStr">
        <is>
          <t>M</t>
        </is>
      </c>
      <c r="D316" s="2" t="n">
        <v>100</v>
      </c>
      <c r="E316" s="4">
        <f>HYPERLINK("./Results/DLO\20181101_1.3.46.670589.33.1.63676745659305182300001.4739951345838071587_201_512_512_\Osteo_Sarco_1.png","RPT")</f>
        <v/>
      </c>
      <c r="F316" s="3" t="n">
        <v>185</v>
      </c>
      <c r="G316" s="3" t="n">
        <v>3</v>
      </c>
      <c r="H316" s="7" t="n">
        <v>24.83</v>
      </c>
      <c r="I316" s="0" t="inlineStr">
        <is>
          <t>Ingenuity Core 128</t>
        </is>
      </c>
      <c r="J316" s="0" t="inlineStr">
        <is>
          <t>Post 100/236 i3, iDose (3)</t>
        </is>
      </c>
      <c r="K316" t="n">
        <v>176</v>
      </c>
      <c r="L316" t="n">
        <v>76.90000000000001</v>
      </c>
      <c r="M316" t="n">
        <v>58.76</v>
      </c>
    </row>
    <row r="317">
      <c r="A317" s="2" t="n">
        <v>8824341</v>
      </c>
      <c r="B317" s="2" t="n">
        <v>49</v>
      </c>
      <c r="C317" s="2" t="inlineStr">
        <is>
          <t>M</t>
        </is>
      </c>
      <c r="D317" s="2" t="n">
        <v>100</v>
      </c>
      <c r="E317" s="4">
        <f>HYPERLINK("./Results/DLO\20180101_1.2.840.113619.2.94.485650834948.2.8563774.18454890.1_2_512_512_\Osteo_Sarco_1.png","RPT")</f>
        <v/>
      </c>
      <c r="F317" s="3" t="n">
        <v>172</v>
      </c>
      <c r="G317" s="3" t="n">
        <v>12</v>
      </c>
      <c r="H317" s="7" t="n">
        <v>25.21</v>
      </c>
      <c r="I317" s="0" t="inlineStr">
        <is>
          <t>Sensation 64</t>
        </is>
      </c>
      <c r="J317" s="0" t="inlineStr">
        <is>
          <t>With Contrast 3.0 B30f</t>
        </is>
      </c>
      <c r="K317" t="n">
        <v>169</v>
      </c>
      <c r="L317" t="n">
        <v>72</v>
      </c>
      <c r="M317" t="n">
        <v>56.02</v>
      </c>
    </row>
    <row r="318">
      <c r="A318" s="2" t="n">
        <v>8452087</v>
      </c>
      <c r="B318" s="2" t="n">
        <v>49</v>
      </c>
      <c r="C318" s="2" t="inlineStr">
        <is>
          <t>M</t>
        </is>
      </c>
      <c r="D318" s="2" t="n">
        <v>100</v>
      </c>
      <c r="E318" s="4">
        <f>HYPERLINK("./Results/DLO\20180301_1.3.12.2.1107.5.1.4.54310.30000018030823202420300009742_2_512_512_\Osteo_Sarco_1.png","RPT")</f>
        <v/>
      </c>
      <c r="F318" s="3" t="n">
        <v>171</v>
      </c>
      <c r="G318" s="3" t="n">
        <v>7</v>
      </c>
      <c r="H318" s="7" t="n">
        <v>25.73</v>
      </c>
      <c r="I318" s="0" t="inlineStr">
        <is>
          <t>Sensation 64</t>
        </is>
      </c>
      <c r="J318" s="0" t="inlineStr">
        <is>
          <t>With Contrast 3.0 B30f</t>
        </is>
      </c>
      <c r="K318" t="n">
        <v>173</v>
      </c>
      <c r="L318" t="n">
        <v>77</v>
      </c>
      <c r="M318" t="n">
        <v>54.8</v>
      </c>
    </row>
    <row r="319">
      <c r="A319" s="2" t="n">
        <v>6715946</v>
      </c>
      <c r="B319" s="2" t="n">
        <v>49</v>
      </c>
      <c r="C319" s="2" t="inlineStr">
        <is>
          <t>M</t>
        </is>
      </c>
      <c r="D319" s="2" t="n">
        <v>100</v>
      </c>
      <c r="E319" s="4">
        <f>HYPERLINK("./Results/DLO\20180201_1.2.840.113619.2.94.485650834948.2.8626200.18608140.1_2_512_512_\Osteo_Sarco_1.png","RPT")</f>
        <v/>
      </c>
      <c r="F319" s="3" t="n">
        <v>160</v>
      </c>
      <c r="G319" s="3" t="n">
        <v>4</v>
      </c>
      <c r="H319" s="7" t="n">
        <v>24.67</v>
      </c>
      <c r="I319" s="0" t="inlineStr">
        <is>
          <t>Sensation 64</t>
        </is>
      </c>
      <c r="J319" s="0" t="inlineStr">
        <is>
          <t>With Contrast 3.0 B30f</t>
        </is>
      </c>
      <c r="K319" t="n">
        <v>169.3</v>
      </c>
      <c r="L319" t="n">
        <v>70.7</v>
      </c>
      <c r="M319" t="n">
        <v>54.43</v>
      </c>
    </row>
    <row r="320">
      <c r="A320" s="2" t="n">
        <v>8708035</v>
      </c>
      <c r="B320" s="2" t="n">
        <v>49</v>
      </c>
      <c r="C320" s="2" t="inlineStr">
        <is>
          <t>F</t>
        </is>
      </c>
      <c r="D320" s="2" t="n">
        <v>100</v>
      </c>
      <c r="E320" s="4">
        <f>HYPERLINK("./Results/DLO\20180301_1.3.12.2.1107.5.1.4.54310.30000018032623215707800011069_2_512_512_\Osteo_Sarco_1.png","RPT")</f>
        <v/>
      </c>
      <c r="F320" s="3" t="n">
        <v>149</v>
      </c>
      <c r="G320" s="3" t="n">
        <v>6</v>
      </c>
      <c r="H320" s="7" t="n">
        <v>23.28</v>
      </c>
      <c r="I320" s="0" t="inlineStr">
        <is>
          <t>Sensation 64</t>
        </is>
      </c>
      <c r="J320" s="0" t="inlineStr">
        <is>
          <t>With Contrast 3.0 B30f</t>
        </is>
      </c>
      <c r="K320" t="n">
        <v>164.5</v>
      </c>
      <c r="L320" t="n">
        <v>63</v>
      </c>
      <c r="M320" t="n">
        <v>52.85</v>
      </c>
    </row>
    <row r="321">
      <c r="A321" s="2" t="n">
        <v>6738036</v>
      </c>
      <c r="B321" s="2" t="n">
        <v>49</v>
      </c>
      <c r="C321" s="2" t="inlineStr">
        <is>
          <t>F</t>
        </is>
      </c>
      <c r="D321" s="2" t="n">
        <v>100</v>
      </c>
      <c r="E321" s="4">
        <f>HYPERLINK("./Results/DLO\20180101_1.2.840.113619.2.311.208258891100932075961347134746373595741_303_512_512_\Osteo_Sarco_1.png","RPT")</f>
        <v/>
      </c>
      <c r="F321" s="3" t="n">
        <v>142</v>
      </c>
      <c r="G321" s="3" t="n">
        <v>12</v>
      </c>
      <c r="H321" s="7" t="n">
        <v>26.03</v>
      </c>
      <c r="I321" s="0" t="inlineStr">
        <is>
          <t>Revolution CT</t>
        </is>
      </c>
      <c r="J321" s="0" t="inlineStr">
        <is>
          <t>ABD 2.5mm</t>
        </is>
      </c>
      <c r="K321" t="n">
        <v>164</v>
      </c>
      <c r="L321" t="n">
        <v>70</v>
      </c>
      <c r="M321" t="n">
        <v>48.33</v>
      </c>
    </row>
    <row r="322">
      <c r="A322" s="2" t="n">
        <v>6157584</v>
      </c>
      <c r="B322" s="2" t="n">
        <v>49</v>
      </c>
      <c r="C322" s="2" t="inlineStr">
        <is>
          <t>M</t>
        </is>
      </c>
      <c r="D322" s="2" t="n">
        <v>100</v>
      </c>
      <c r="E322" s="4">
        <f>HYPERLINK("./Results/DLO\20200601_1.3.46.670589.33.1.63726600414120051400001.4879599266366373450_201_512_512_\Osteo_Sarco_1.png","RPT")</f>
        <v/>
      </c>
      <c r="F322" s="3" t="n">
        <v>132</v>
      </c>
      <c r="G322" s="3" t="n">
        <v>8</v>
      </c>
      <c r="H322" s="7" t="n">
        <v>21.47</v>
      </c>
      <c r="I322" s="0" t="inlineStr">
        <is>
          <t>Ingenuity Core 128</t>
        </is>
      </c>
      <c r="J322" s="0" t="inlineStr">
        <is>
          <t>Post 3mm, iDose (3)</t>
        </is>
      </c>
      <c r="K322" t="n">
        <v>174</v>
      </c>
      <c r="L322" t="n">
        <v>65</v>
      </c>
      <c r="M322" t="n">
        <v>40.96</v>
      </c>
    </row>
    <row r="323">
      <c r="A323" s="2" t="n">
        <v>9811101</v>
      </c>
      <c r="B323" s="2" t="n">
        <v>49</v>
      </c>
      <c r="C323" s="2" t="inlineStr">
        <is>
          <t>F</t>
        </is>
      </c>
      <c r="D323" s="2" t="n">
        <v>100</v>
      </c>
      <c r="E323" s="4">
        <f>HYPERLINK("./Results/DLO\20191001_1.2.840.113619.2.416.300399548390147711282144621560457279294_312_512_512_\Osteo_Sarco_1.png","RPT")</f>
        <v/>
      </c>
      <c r="F323" s="3" t="n">
        <v>129</v>
      </c>
      <c r="G323" s="3" t="n">
        <v>9</v>
      </c>
      <c r="H323" s="7" t="n">
        <v>25.89</v>
      </c>
      <c r="I323" s="0" t="inlineStr">
        <is>
          <t>Revolution CT</t>
        </is>
      </c>
      <c r="J323" s="0" t="inlineStr">
        <is>
          <t>ABD</t>
        </is>
      </c>
      <c r="K323" t="n">
        <v>165.5</v>
      </c>
      <c r="L323" t="n">
        <v>70.90000000000001</v>
      </c>
      <c r="M323" t="n">
        <v>43.81</v>
      </c>
    </row>
    <row r="324">
      <c r="A324" s="2" t="n">
        <v>9507221</v>
      </c>
      <c r="B324" s="2" t="n">
        <v>49</v>
      </c>
      <c r="C324" s="2" t="inlineStr">
        <is>
          <t>F</t>
        </is>
      </c>
      <c r="D324" s="2" t="n">
        <v>100</v>
      </c>
      <c r="E324" s="4">
        <f>HYPERLINK("./Results/DLO\20181101_1.2.840.113619.2.311.190024955141583090092460008190367421687_304_512_512_\Osteo_Sarco_1.png","RPT")</f>
        <v/>
      </c>
      <c r="F324" s="3" t="n">
        <v>124</v>
      </c>
      <c r="G324" s="3" t="n">
        <v>9</v>
      </c>
      <c r="H324" s="7" t="n">
        <v>30.75</v>
      </c>
      <c r="I324" s="0" t="inlineStr">
        <is>
          <t>Revolution CT</t>
        </is>
      </c>
      <c r="J324" s="0" t="inlineStr">
        <is>
          <t>ABD 2.5mm</t>
        </is>
      </c>
      <c r="K324" t="n">
        <v>163.6</v>
      </c>
      <c r="L324" t="n">
        <v>82.3</v>
      </c>
      <c r="M324" t="n">
        <v>42.97</v>
      </c>
    </row>
    <row r="325">
      <c r="A325" s="2" t="n">
        <v>6738123</v>
      </c>
      <c r="B325" s="2" t="n">
        <v>49</v>
      </c>
      <c r="C325" s="2" t="inlineStr">
        <is>
          <t>M</t>
        </is>
      </c>
      <c r="D325" s="2" t="n">
        <v>100</v>
      </c>
      <c r="E325" s="4">
        <f>HYPERLINK("./Results/DLO\20180501_1.3.12.2.1107.5.1.4.54310.30000018051023541153100009251_2_512_512_\Osteo_Sarco_1.png","RPT")</f>
        <v/>
      </c>
      <c r="F325" s="3" t="n">
        <v>122</v>
      </c>
      <c r="G325" s="3" t="n">
        <v>5</v>
      </c>
      <c r="H325" s="6" t="n">
        <v>19.22</v>
      </c>
      <c r="I325" s="0" t="inlineStr">
        <is>
          <t>Sensation 64</t>
        </is>
      </c>
      <c r="J325" s="0" t="inlineStr">
        <is>
          <t>With Contrast 3.0 B30f</t>
        </is>
      </c>
      <c r="K325" t="n">
        <v>170.7</v>
      </c>
      <c r="L325" t="n">
        <v>56</v>
      </c>
      <c r="M325" t="n">
        <v>40.15</v>
      </c>
    </row>
    <row r="326">
      <c r="A326" s="2" t="n">
        <v>2029645</v>
      </c>
      <c r="B326" s="2" t="n">
        <v>49</v>
      </c>
      <c r="C326" s="2" t="inlineStr">
        <is>
          <t>F</t>
        </is>
      </c>
      <c r="D326" s="2" t="n">
        <v>100</v>
      </c>
      <c r="E326" s="4">
        <f>HYPERLINK("./Results/DLO\20180701_1.2.840.113619.2.416.162901327935166017630407412543229038017_304_512_512_\Osteo_Sarco_1.png","RPT")</f>
        <v/>
      </c>
      <c r="F326" s="3" t="n">
        <v>113</v>
      </c>
      <c r="G326" s="3" t="n">
        <v>6</v>
      </c>
      <c r="H326" s="7" t="n">
        <v>19.07</v>
      </c>
      <c r="I326" s="0" t="inlineStr">
        <is>
          <t>Revolution CT</t>
        </is>
      </c>
      <c r="J326" s="0" t="inlineStr">
        <is>
          <t>ABD 2.5mm</t>
        </is>
      </c>
      <c r="K326" t="n">
        <v>166.4</v>
      </c>
      <c r="L326" t="n">
        <v>52.8</v>
      </c>
      <c r="M326" t="n">
        <v>38.64</v>
      </c>
    </row>
    <row r="327">
      <c r="A327" s="2" t="n">
        <v>6738942</v>
      </c>
      <c r="B327" s="2" t="n">
        <v>49</v>
      </c>
      <c r="C327" s="2" t="inlineStr">
        <is>
          <t>F</t>
        </is>
      </c>
      <c r="D327" s="2" t="n">
        <v>100</v>
      </c>
      <c r="E327" s="4">
        <f>HYPERLINK("./Results/DLO\20181001_1.3.12.2.1107.5.1.4.54310.30000018100400030451500006310_2_512_512_\Osteo_Sarco_1.png","RPT")</f>
        <v/>
      </c>
      <c r="F327" s="3" t="n">
        <v>113</v>
      </c>
      <c r="G327" s="3" t="n">
        <v>5</v>
      </c>
      <c r="H327" s="7" t="n">
        <v>23.99</v>
      </c>
      <c r="I327" s="0" t="inlineStr">
        <is>
          <t>Sensation 64</t>
        </is>
      </c>
      <c r="J327" s="0" t="inlineStr">
        <is>
          <t>With Contrast 3.0 B30f</t>
        </is>
      </c>
      <c r="K327" t="n">
        <v>161.8</v>
      </c>
      <c r="L327" t="n">
        <v>62.8</v>
      </c>
      <c r="M327" t="n">
        <v>41.25</v>
      </c>
    </row>
    <row r="328">
      <c r="A328" s="2" t="n">
        <v>6742894</v>
      </c>
      <c r="B328" s="2" t="n">
        <v>49</v>
      </c>
      <c r="C328" s="2" t="inlineStr">
        <is>
          <t>F</t>
        </is>
      </c>
      <c r="D328" s="2" t="n">
        <v>100</v>
      </c>
      <c r="E328" s="4">
        <f>HYPERLINK("./Results/DLO\20180201_1.3.12.2.1107.5.1.4.65253.30000018022018502937900032810_2_512_512_\Osteo_Sarco_1.png","RPT")</f>
        <v/>
      </c>
      <c r="F328" s="3" t="n">
        <v>110</v>
      </c>
      <c r="G328" s="3" t="n">
        <v>15</v>
      </c>
      <c r="H328" s="6" t="n">
        <v>20.39</v>
      </c>
      <c r="I328" s="0" t="inlineStr">
        <is>
          <t>SOMATOM Definition AS</t>
        </is>
      </c>
      <c r="J328" s="0" t="inlineStr">
        <is>
          <t>With Contrast 3.0 B30f</t>
        </is>
      </c>
      <c r="K328" t="n">
        <v>162.3</v>
      </c>
      <c r="L328" t="n">
        <v>53.7</v>
      </c>
      <c r="M328" t="n">
        <v>36.07</v>
      </c>
    </row>
    <row r="329">
      <c r="A329" s="2" t="n">
        <v>8637691</v>
      </c>
      <c r="B329" s="2" t="n">
        <v>49</v>
      </c>
      <c r="C329" s="2" t="inlineStr">
        <is>
          <t>F</t>
        </is>
      </c>
      <c r="D329" s="2" t="n">
        <v>100</v>
      </c>
      <c r="E329" s="4">
        <f>HYPERLINK("./Results/DLO\20180401_1.2.840.113619.2.311.194530814301598243372983297059154822007_303_512_512_\Osteo_Sarco_1.png","RPT")</f>
        <v/>
      </c>
      <c r="F329" s="3" t="n">
        <v>109</v>
      </c>
      <c r="G329" s="3" t="n">
        <v>11</v>
      </c>
      <c r="H329" s="7" t="n">
        <v>26.35</v>
      </c>
      <c r="I329" s="0" t="inlineStr">
        <is>
          <t>Revolution CT</t>
        </is>
      </c>
      <c r="J329" s="0" t="inlineStr">
        <is>
          <t>ABD 2.5mm</t>
        </is>
      </c>
      <c r="K329" t="n">
        <v>167.8</v>
      </c>
      <c r="L329" t="n">
        <v>74.2</v>
      </c>
      <c r="M329" t="n">
        <v>34.81</v>
      </c>
    </row>
    <row r="330">
      <c r="A330" s="2" t="n">
        <v>533152</v>
      </c>
      <c r="B330" s="2" t="n">
        <v>49</v>
      </c>
      <c r="C330" s="2" t="inlineStr">
        <is>
          <t>F</t>
        </is>
      </c>
      <c r="D330" s="2" t="n">
        <v>100</v>
      </c>
      <c r="E330" s="4">
        <f>HYPERLINK("./Results/DLO\20180701_1.3.46.670589.33.1.63666211828391117600001.5002375027028883802_201_512_512_\Osteo_Sarco_1.png","RPT")</f>
        <v/>
      </c>
      <c r="F330" s="3" t="n">
        <v>107</v>
      </c>
      <c r="G330" s="3" t="n">
        <v>5</v>
      </c>
      <c r="H330" s="7" t="n">
        <v>20.66</v>
      </c>
      <c r="I330" s="0" t="inlineStr">
        <is>
          <t>Ingenuity Core 128</t>
        </is>
      </c>
      <c r="J330" s="0" t="inlineStr">
        <is>
          <t>Post 100/236 i3, iDose (3)</t>
        </is>
      </c>
      <c r="K330" t="n">
        <v>162.4</v>
      </c>
      <c r="L330" t="n">
        <v>54.5</v>
      </c>
      <c r="M330" t="n">
        <v>38.67</v>
      </c>
    </row>
    <row r="331">
      <c r="A331" s="2" t="n">
        <v>6168444</v>
      </c>
      <c r="B331" s="2" t="n">
        <v>49</v>
      </c>
      <c r="C331" s="2" t="inlineStr">
        <is>
          <t>F</t>
        </is>
      </c>
      <c r="D331" s="2" t="n">
        <v>100</v>
      </c>
      <c r="E331" s="4">
        <f>HYPERLINK("./Results/DLO\20190501_1.2.840.113619.2.416.48040201065880057844430490023473206207_310_512_512_\Osteo_Sarco_1.png","RPT")</f>
        <v/>
      </c>
      <c r="F331" s="3" t="n">
        <v>107</v>
      </c>
      <c r="G331" s="3" t="n">
        <v>17</v>
      </c>
      <c r="H331" s="7" t="n">
        <v>20.97</v>
      </c>
      <c r="I331" s="0" t="inlineStr">
        <is>
          <t>Revolution CT</t>
        </is>
      </c>
      <c r="J331" s="0" t="inlineStr">
        <is>
          <t>ABD</t>
        </is>
      </c>
      <c r="K331" t="n">
        <v>165</v>
      </c>
      <c r="L331" t="n">
        <v>57.1</v>
      </c>
      <c r="M331" t="n">
        <v>33.06</v>
      </c>
    </row>
    <row r="332">
      <c r="A332" s="2" t="n">
        <v>6051844</v>
      </c>
      <c r="B332" s="2" t="n">
        <v>49</v>
      </c>
      <c r="C332" s="2" t="inlineStr">
        <is>
          <t>F</t>
        </is>
      </c>
      <c r="D332" s="2" t="n">
        <v>100</v>
      </c>
      <c r="E332" s="4">
        <f>HYPERLINK("./Results/DLO\20190101_1.3.12.2.1107.5.1.4.54310.30000019011323092907800000001_2_512_512_\Osteo_Sarco_1.png","RPT")</f>
        <v/>
      </c>
      <c r="F332" s="3" t="n">
        <v>106</v>
      </c>
      <c r="G332" s="3" t="n">
        <v>6</v>
      </c>
      <c r="H332" s="7" t="n">
        <v>18.44</v>
      </c>
      <c r="I332" s="0" t="inlineStr">
        <is>
          <t>Sensation 64</t>
        </is>
      </c>
      <c r="J332" s="0" t="inlineStr">
        <is>
          <t>Pre Contrast 3.0 B30f</t>
        </is>
      </c>
      <c r="K332" t="n">
        <v>163</v>
      </c>
      <c r="L332" t="n">
        <v>49</v>
      </c>
      <c r="M332" t="n">
        <v>37.64</v>
      </c>
    </row>
    <row r="333">
      <c r="A333" s="2" t="n">
        <v>5244929</v>
      </c>
      <c r="B333" s="2" t="n">
        <v>49</v>
      </c>
      <c r="C333" s="2" t="inlineStr">
        <is>
          <t>F</t>
        </is>
      </c>
      <c r="D333" s="2" t="n">
        <v>100</v>
      </c>
      <c r="E333" s="4">
        <f>HYPERLINK("./Results/DLO\20180501_1.2.840.113619.2.311.205774286425428710491359833954585364175_303_512_512_\Osteo_Sarco_1.png","RPT")</f>
        <v/>
      </c>
      <c r="F333" s="3" t="n">
        <v>104</v>
      </c>
      <c r="G333" s="3" t="n">
        <v>6</v>
      </c>
      <c r="H333" s="7" t="n">
        <v>22.6</v>
      </c>
      <c r="I333" s="0" t="inlineStr">
        <is>
          <t>Revolution CT</t>
        </is>
      </c>
      <c r="J333" s="0" t="inlineStr">
        <is>
          <t>ABD 2.5mm</t>
        </is>
      </c>
      <c r="K333" t="n">
        <v>156</v>
      </c>
      <c r="L333" t="n">
        <v>55</v>
      </c>
      <c r="M333" t="n">
        <v>40.27</v>
      </c>
    </row>
    <row r="334">
      <c r="A334" s="2" t="n">
        <v>9528006</v>
      </c>
      <c r="B334" s="2" t="n">
        <v>49</v>
      </c>
      <c r="C334" s="2" t="inlineStr">
        <is>
          <t>F</t>
        </is>
      </c>
      <c r="D334" s="2" t="n">
        <v>100</v>
      </c>
      <c r="E334" s="4">
        <f>HYPERLINK("./Results/DLO\20181201_1.2.840.113619.2.311.174942032801462104219960313209803875597_304_512_512_\Osteo_Sarco_1.png","RPT")</f>
        <v/>
      </c>
      <c r="F334" s="3" t="n">
        <v>104</v>
      </c>
      <c r="G334" s="3" t="n">
        <v>7</v>
      </c>
      <c r="H334" s="7" t="n">
        <v>21.49</v>
      </c>
      <c r="I334" s="0" t="inlineStr">
        <is>
          <t>Revolution CT</t>
        </is>
      </c>
      <c r="J334" s="0" t="inlineStr">
        <is>
          <t>ABD 2.5mm</t>
        </is>
      </c>
      <c r="K334" t="n">
        <v>157.5</v>
      </c>
      <c r="L334" t="n">
        <v>53.3</v>
      </c>
      <c r="M334" t="n">
        <v>39.1</v>
      </c>
    </row>
    <row r="335">
      <c r="A335" s="2" t="n">
        <v>8835883</v>
      </c>
      <c r="B335" s="2" t="n">
        <v>49</v>
      </c>
      <c r="C335" s="2" t="inlineStr">
        <is>
          <t>F</t>
        </is>
      </c>
      <c r="D335" s="2" t="n">
        <v>100</v>
      </c>
      <c r="E335" s="4">
        <f>HYPERLINK("./Results/DLO\20180801_1.3.12.2.1107.5.1.4.54310.30000018082023551314000010429_2_512_512_\Osteo_Sarco_1.png","RPT")</f>
        <v/>
      </c>
      <c r="F335" s="3" t="n">
        <v>101</v>
      </c>
      <c r="G335" s="3" t="n">
        <v>8</v>
      </c>
      <c r="H335" s="7" t="n">
        <v>20.21</v>
      </c>
      <c r="I335" s="0" t="inlineStr">
        <is>
          <t>Sensation 64</t>
        </is>
      </c>
      <c r="J335" s="0" t="inlineStr">
        <is>
          <t>With Contrast 3.0 B30f</t>
        </is>
      </c>
      <c r="K335" t="n">
        <v>161.5</v>
      </c>
      <c r="L335" t="n">
        <v>52.7</v>
      </c>
      <c r="M335" t="n">
        <v>35.66</v>
      </c>
    </row>
    <row r="336">
      <c r="A336" s="2" t="n">
        <v>9421813</v>
      </c>
      <c r="B336" s="2" t="n">
        <v>50</v>
      </c>
      <c r="C336" s="2" t="inlineStr">
        <is>
          <t>F</t>
        </is>
      </c>
      <c r="D336" s="2" t="n">
        <v>100</v>
      </c>
      <c r="E336" s="4">
        <f>HYPERLINK("./Results/DLO\20180801_1.2.840.113619.2.416.94532779456922353563268229772151815507_302_512_512_\Osteo_Sarco_1.png","RPT")</f>
        <v/>
      </c>
      <c r="F336" s="3" t="n">
        <v>95</v>
      </c>
      <c r="G336" s="3" t="n">
        <v>7</v>
      </c>
      <c r="H336" s="7" t="n">
        <v>25.3</v>
      </c>
      <c r="I336" s="0" t="inlineStr">
        <is>
          <t>Revolution CT</t>
        </is>
      </c>
      <c r="J336" s="0" t="inlineStr">
        <is>
          <t>PORTAL</t>
        </is>
      </c>
      <c r="K336" t="n">
        <v>158.3</v>
      </c>
      <c r="L336" t="n">
        <v>63.4</v>
      </c>
      <c r="M336" t="n">
        <v>35.12</v>
      </c>
    </row>
    <row r="337">
      <c r="A337" s="2" t="n">
        <v>5829409</v>
      </c>
      <c r="B337" s="2" t="n">
        <v>50</v>
      </c>
      <c r="C337" s="2" t="inlineStr">
        <is>
          <t>F</t>
        </is>
      </c>
      <c r="D337" s="2" t="n">
        <v>100</v>
      </c>
      <c r="E337" s="4">
        <f>HYPERLINK("./Results/DLO\20190701_1.3.46.670589.33.1.63699642093987767500001.5196831061707034136_201_512_512_\Osteo_Sarco_1.png","RPT")</f>
        <v/>
      </c>
      <c r="F337" s="3" t="n">
        <v>94</v>
      </c>
      <c r="G337" s="3" t="n">
        <v>7</v>
      </c>
      <c r="H337" s="7" t="n">
        <v>18.8</v>
      </c>
      <c r="I337" s="0" t="inlineStr">
        <is>
          <t>Ingenuity Core 128</t>
        </is>
      </c>
      <c r="J337" s="0" t="inlineStr">
        <is>
          <t>Post 3mm, iDose (3)</t>
        </is>
      </c>
      <c r="K337" t="n">
        <v>168.7</v>
      </c>
      <c r="L337" t="n">
        <v>53.5</v>
      </c>
      <c r="M337" t="n">
        <v>30.57</v>
      </c>
    </row>
    <row r="338">
      <c r="A338" s="2" t="n">
        <v>9261678</v>
      </c>
      <c r="B338" s="2" t="n">
        <v>50</v>
      </c>
      <c r="C338" s="2" t="inlineStr">
        <is>
          <t>M</t>
        </is>
      </c>
      <c r="D338" s="2" t="n">
        <v>100</v>
      </c>
      <c r="E338" s="4">
        <f>HYPERLINK("./Results/DLO\20190401_1.3.12.2.1107.5.1.4.65253.30000019042718450073100034283_6_512_512_\Osteo_Sarco_1.png","RPT")</f>
        <v/>
      </c>
      <c r="F338" s="3" t="n">
        <v>197</v>
      </c>
      <c r="G338" s="3" t="n">
        <v>9</v>
      </c>
      <c r="H338" s="7" t="n">
        <v>26.96</v>
      </c>
      <c r="I338" s="0" t="inlineStr">
        <is>
          <t>SOMATOM Definition AS</t>
        </is>
      </c>
      <c r="J338" s="0" t="inlineStr">
        <is>
          <t>Portal Phase 3.0 B30f</t>
        </is>
      </c>
      <c r="K338" t="n">
        <v>169</v>
      </c>
      <c r="L338" t="n">
        <v>77</v>
      </c>
      <c r="M338" t="n">
        <v>65.81999999999999</v>
      </c>
    </row>
    <row r="339">
      <c r="A339" s="2" t="n">
        <v>9833208</v>
      </c>
      <c r="B339" s="2" t="n">
        <v>50</v>
      </c>
      <c r="C339" s="2" t="inlineStr">
        <is>
          <t>M</t>
        </is>
      </c>
      <c r="D339" s="2" t="n">
        <v>100</v>
      </c>
      <c r="E339" s="4">
        <f>HYPERLINK("./Results/DLO\20191101_1.3.12.2.1107.5.1.4.54310.30000019110621322968700070515_2_512_512_\Osteo_Sarco_1.png","RPT")</f>
        <v/>
      </c>
      <c r="F339" s="3" t="n">
        <v>193</v>
      </c>
      <c r="G339" s="3" t="n">
        <v>9</v>
      </c>
      <c r="H339" s="7" t="n">
        <v>29.24</v>
      </c>
      <c r="I339" s="0" t="inlineStr">
        <is>
          <t>Sensation 64</t>
        </is>
      </c>
      <c r="J339" s="0" t="inlineStr">
        <is>
          <t>With Contrast 3.0 B30f</t>
        </is>
      </c>
      <c r="K339" t="n">
        <v>172.6</v>
      </c>
      <c r="L339" t="n">
        <v>87.09999999999999</v>
      </c>
      <c r="M339" t="n">
        <v>61.76</v>
      </c>
    </row>
    <row r="340">
      <c r="A340" s="2" t="n">
        <v>8279547</v>
      </c>
      <c r="B340" s="2" t="n">
        <v>50</v>
      </c>
      <c r="C340" s="2" t="inlineStr">
        <is>
          <t>M</t>
        </is>
      </c>
      <c r="D340" s="2" t="n">
        <v>100</v>
      </c>
      <c r="E340" s="4">
        <f>HYPERLINK("./Results/DLO\20180601_1.3.46.670589.33.1.63665255186933356000001.4778328652254462900_201_512_512_\Osteo_Sarco_1.png","RPT")</f>
        <v/>
      </c>
      <c r="F340" s="3" t="n">
        <v>178</v>
      </c>
      <c r="G340" s="3" t="n">
        <v>14</v>
      </c>
      <c r="H340" s="7" t="n">
        <v>31.09</v>
      </c>
      <c r="I340" s="0" t="inlineStr">
        <is>
          <t>Ingenuity Core 128</t>
        </is>
      </c>
      <c r="J340" s="0" t="inlineStr">
        <is>
          <t>Post 100/236 i3, iDose (3)</t>
        </is>
      </c>
      <c r="K340" t="n">
        <v>174.8</v>
      </c>
      <c r="L340" t="n">
        <v>95</v>
      </c>
      <c r="M340" t="n">
        <v>53.67</v>
      </c>
    </row>
    <row r="341">
      <c r="A341" s="2" t="n">
        <v>9425760</v>
      </c>
      <c r="B341" s="2" t="n">
        <v>50</v>
      </c>
      <c r="C341" s="2" t="inlineStr">
        <is>
          <t>M</t>
        </is>
      </c>
      <c r="D341" s="2" t="n">
        <v>100</v>
      </c>
      <c r="E341" s="4">
        <f>HYPERLINK("./Results/DLO\20180801_1.3.12.2.1107.5.1.4.54310.30000018080623173053100040903_3_512_512_\Osteo_Sarco_1.png","RPT")</f>
        <v/>
      </c>
      <c r="F341" s="3" t="n">
        <v>176</v>
      </c>
      <c r="G341" s="3" t="n">
        <v>4</v>
      </c>
      <c r="H341" s="6" t="n">
        <v>26.08</v>
      </c>
      <c r="I341" s="0" t="inlineStr">
        <is>
          <t>Sensation 64</t>
        </is>
      </c>
      <c r="J341" s="0" t="inlineStr">
        <is>
          <t>Pre Contrast 3.0 B30f</t>
        </is>
      </c>
      <c r="K341" t="n">
        <v>165</v>
      </c>
      <c r="L341" t="n">
        <v>71</v>
      </c>
      <c r="M341" t="n">
        <v>63.18</v>
      </c>
    </row>
    <row r="342">
      <c r="A342" s="2" t="n">
        <v>5843525</v>
      </c>
      <c r="B342" s="2" t="n">
        <v>50</v>
      </c>
      <c r="C342" s="2" t="inlineStr">
        <is>
          <t>F</t>
        </is>
      </c>
      <c r="D342" s="2" t="n">
        <v>100</v>
      </c>
      <c r="E342" s="4">
        <f>HYPERLINK("./Results/DLO\20191101_1.2.840.113619.2.416.225158955686357589230202267588453282683_310_512_512_\Osteo_Sarco_1.png","RPT")</f>
        <v/>
      </c>
      <c r="F342" s="3" t="n">
        <v>160</v>
      </c>
      <c r="G342" s="3" t="n">
        <v>11</v>
      </c>
      <c r="H342" s="7" t="n">
        <v>27.57</v>
      </c>
      <c r="I342" s="0" t="inlineStr">
        <is>
          <t>Revolution CT</t>
        </is>
      </c>
      <c r="J342" s="0" t="inlineStr">
        <is>
          <t>ABD</t>
        </is>
      </c>
      <c r="K342" t="n">
        <v>165.8</v>
      </c>
      <c r="L342" t="n">
        <v>75.8</v>
      </c>
      <c r="M342" t="n">
        <v>54.2</v>
      </c>
    </row>
    <row r="343">
      <c r="A343" s="2" t="n">
        <v>8831295</v>
      </c>
      <c r="B343" s="2" t="n">
        <v>50</v>
      </c>
      <c r="C343" s="2" t="inlineStr">
        <is>
          <t>M</t>
        </is>
      </c>
      <c r="D343" s="2" t="n">
        <v>100</v>
      </c>
      <c r="E343" s="4">
        <f>HYPERLINK("./Results/DLO\20181001_1.3.46.670589.33.1.63676059810526901100001.5683288243091545741_601_512_512_\Osteo_Sarco_1.png","RPT")</f>
        <v/>
      </c>
      <c r="F343" s="3" t="n">
        <v>156</v>
      </c>
      <c r="G343" s="3" t="n">
        <v>8</v>
      </c>
      <c r="H343" s="7" t="n">
        <v>23.62</v>
      </c>
      <c r="I343" s="0" t="inlineStr">
        <is>
          <t>Ingenuity Core 128</t>
        </is>
      </c>
      <c r="J343" s="0" t="inlineStr">
        <is>
          <t>Post 100/236 i3, iDose (3)</t>
        </is>
      </c>
      <c r="K343" t="n">
        <v>162</v>
      </c>
      <c r="L343" t="n">
        <v>62</v>
      </c>
      <c r="M343" t="n">
        <v>56.39</v>
      </c>
    </row>
    <row r="344">
      <c r="A344" s="2" t="n">
        <v>4135019</v>
      </c>
      <c r="B344" s="2" t="n">
        <v>50</v>
      </c>
      <c r="C344" s="2" t="inlineStr">
        <is>
          <t>M</t>
        </is>
      </c>
      <c r="D344" s="2" t="n">
        <v>100</v>
      </c>
      <c r="E344" s="4">
        <f>HYPERLINK("./Results/DLO\20191201_1.3.46.670589.33.1.63711660158328419200001.5100553247253174950_201_512_512_\Osteo_Sarco_1.png","RPT")</f>
        <v/>
      </c>
      <c r="F344" s="3" t="n">
        <v>134</v>
      </c>
      <c r="G344" s="3" t="n">
        <v>4</v>
      </c>
      <c r="H344" s="7" t="n">
        <v>27.28</v>
      </c>
      <c r="I344" s="0" t="inlineStr">
        <is>
          <t>Ingenuity Core 128</t>
        </is>
      </c>
      <c r="J344" s="0" t="inlineStr">
        <is>
          <t>Post 3mm, iDose (3)</t>
        </is>
      </c>
      <c r="K344" t="n">
        <v>168</v>
      </c>
      <c r="L344" t="n">
        <v>77</v>
      </c>
      <c r="M344" t="n">
        <v>46.06</v>
      </c>
    </row>
    <row r="345">
      <c r="A345" s="2" t="n">
        <v>8281805</v>
      </c>
      <c r="B345" s="2" t="n">
        <v>50</v>
      </c>
      <c r="C345" s="2" t="inlineStr">
        <is>
          <t>F</t>
        </is>
      </c>
      <c r="D345" s="2" t="n">
        <v>100</v>
      </c>
      <c r="E345" s="4">
        <f>HYPERLINK("./Results/DLO\20180701_1.2.840.113619.2.94.485650834948.2.8974008.19460062.1_2_512_512_\Osteo_Sarco_1.png","RPT")</f>
        <v/>
      </c>
      <c r="F345" s="3" t="n">
        <v>130</v>
      </c>
      <c r="G345" s="3" t="n">
        <v>12</v>
      </c>
      <c r="H345" s="7" t="n">
        <v>25.47</v>
      </c>
      <c r="I345" s="0" t="inlineStr">
        <is>
          <t>Sensation 64</t>
        </is>
      </c>
      <c r="J345" s="0" t="inlineStr">
        <is>
          <t>With Contrast 3.0 B30f</t>
        </is>
      </c>
      <c r="K345" t="n">
        <v>150.9</v>
      </c>
      <c r="L345" t="n">
        <v>58</v>
      </c>
      <c r="M345" t="n">
        <v>51.82</v>
      </c>
    </row>
    <row r="346">
      <c r="A346" s="2" t="n">
        <v>9775039</v>
      </c>
      <c r="B346" s="2" t="n">
        <v>50</v>
      </c>
      <c r="C346" s="2" t="inlineStr">
        <is>
          <t>F</t>
        </is>
      </c>
      <c r="D346" s="2" t="n">
        <v>100</v>
      </c>
      <c r="E346" s="4">
        <f>HYPERLINK("./Results/DLO\20190901_1.2.840.113619.2.416.177462769389706689025406291411393786607_310_512_512_\Osteo_Sarco_1.png","RPT")</f>
        <v/>
      </c>
      <c r="F346" s="3" t="n">
        <v>130</v>
      </c>
      <c r="G346" s="3" t="n">
        <v>6</v>
      </c>
      <c r="H346" s="7" t="n">
        <v>24.36</v>
      </c>
      <c r="I346" s="0" t="inlineStr">
        <is>
          <t>Revolution CT</t>
        </is>
      </c>
      <c r="J346" s="0" t="inlineStr">
        <is>
          <t>ABD</t>
        </is>
      </c>
      <c r="K346" t="n">
        <v>154.3</v>
      </c>
      <c r="L346" t="n">
        <v>58</v>
      </c>
      <c r="M346" t="n">
        <v>52.08</v>
      </c>
    </row>
    <row r="347">
      <c r="A347" s="2" t="n">
        <v>9963627</v>
      </c>
      <c r="B347" s="2" t="n">
        <v>50</v>
      </c>
      <c r="C347" s="2" t="inlineStr">
        <is>
          <t>F</t>
        </is>
      </c>
      <c r="D347" s="2" t="n">
        <v>100</v>
      </c>
      <c r="E347" s="4">
        <f>HYPERLINK("./Results/DLO\20200401_1.3.12.2.1107.5.1.4.54310.30000020042622125429600047051_8_512_512_\Osteo_Sarco_1.png","RPT")</f>
        <v/>
      </c>
      <c r="F347" s="3" t="n">
        <v>128</v>
      </c>
      <c r="G347" s="3" t="n">
        <v>8</v>
      </c>
      <c r="H347" s="7" t="n">
        <v>26.38</v>
      </c>
      <c r="I347" s="0" t="inlineStr">
        <is>
          <t>Sensation 64</t>
        </is>
      </c>
      <c r="J347" s="0" t="inlineStr">
        <is>
          <t>ABD 3mm B30f</t>
        </is>
      </c>
      <c r="K347" t="n">
        <v>157.1</v>
      </c>
      <c r="L347" t="n">
        <v>65.09999999999999</v>
      </c>
      <c r="M347" t="n">
        <v>48.62</v>
      </c>
    </row>
    <row r="348">
      <c r="A348" s="2" t="n">
        <v>9008184</v>
      </c>
      <c r="B348" s="2" t="n">
        <v>50</v>
      </c>
      <c r="C348" s="2" t="inlineStr">
        <is>
          <t>M</t>
        </is>
      </c>
      <c r="D348" s="2" t="n">
        <v>100</v>
      </c>
      <c r="E348" s="4">
        <f>HYPERLINK("./Results/DLO\20180601_1.3.12.2.1107.5.1.4.65253.30000018062519201171800065176_3_512_512_\Osteo_Sarco_1.png","RPT")</f>
        <v/>
      </c>
      <c r="F348" s="3" t="n">
        <v>126</v>
      </c>
      <c r="G348" s="3" t="n">
        <v>4</v>
      </c>
      <c r="H348" s="7" t="n">
        <v>23.57</v>
      </c>
      <c r="I348" s="0" t="inlineStr">
        <is>
          <t>SOMATOM Definition AS</t>
        </is>
      </c>
      <c r="J348" s="0" t="inlineStr">
        <is>
          <t>Pre Contrast 3.0 B30f</t>
        </is>
      </c>
      <c r="K348" t="n">
        <v>176</v>
      </c>
      <c r="L348" t="n">
        <v>73</v>
      </c>
      <c r="M348" t="n">
        <v>39.39</v>
      </c>
    </row>
    <row r="349">
      <c r="A349" s="2" t="n">
        <v>6739157</v>
      </c>
      <c r="B349" s="2" t="n">
        <v>50</v>
      </c>
      <c r="C349" s="2" t="inlineStr">
        <is>
          <t>F</t>
        </is>
      </c>
      <c r="D349" s="2" t="n">
        <v>100</v>
      </c>
      <c r="E349" s="4">
        <f>HYPERLINK("./Results/DLO\20190101_1.2.840.113619.2.311.266455263442488846687757202743191131545_303_512_512_\Osteo_Sarco_1.png","RPT")</f>
        <v/>
      </c>
      <c r="F349" s="3" t="n">
        <v>123</v>
      </c>
      <c r="G349" s="3" t="n">
        <v>8</v>
      </c>
      <c r="H349" s="7" t="n">
        <v>25.32</v>
      </c>
      <c r="I349" s="0" t="inlineStr">
        <is>
          <t>Revolution CT</t>
        </is>
      </c>
      <c r="J349" s="0" t="inlineStr">
        <is>
          <t>ABD 2.5mm</t>
        </is>
      </c>
      <c r="K349" t="n">
        <v>152.2</v>
      </c>
      <c r="L349" t="n">
        <v>58.65</v>
      </c>
      <c r="M349" t="n">
        <v>49.64</v>
      </c>
    </row>
    <row r="350">
      <c r="A350" s="2" t="n">
        <v>9002483</v>
      </c>
      <c r="B350" s="2" t="n">
        <v>50</v>
      </c>
      <c r="C350" s="2" t="inlineStr">
        <is>
          <t>F</t>
        </is>
      </c>
      <c r="D350" s="2" t="n">
        <v>100</v>
      </c>
      <c r="E350" s="4">
        <f>HYPERLINK("./Results/DLO\20180601_1.3.12.2.1107.5.1.4.65253.30000018062419204736100008849_7_512_512_\Osteo_Sarco_1.png","RPT")</f>
        <v/>
      </c>
      <c r="F350" s="3" t="n">
        <v>120</v>
      </c>
      <c r="G350" s="3" t="n">
        <v>11</v>
      </c>
      <c r="H350" s="7" t="n">
        <v>25.82</v>
      </c>
      <c r="I350" s="0" t="inlineStr">
        <is>
          <t>SOMATOM Definition AS</t>
        </is>
      </c>
      <c r="J350" s="0" t="inlineStr">
        <is>
          <t>Portal Phase 3.0 B30f</t>
        </is>
      </c>
      <c r="K350" t="n">
        <v>167</v>
      </c>
      <c r="L350" t="n">
        <v>72</v>
      </c>
      <c r="M350" t="n">
        <v>39.08</v>
      </c>
    </row>
    <row r="351">
      <c r="A351" s="2" t="n">
        <v>5945531</v>
      </c>
      <c r="B351" s="2" t="n">
        <v>50</v>
      </c>
      <c r="C351" s="2" t="inlineStr">
        <is>
          <t>F</t>
        </is>
      </c>
      <c r="D351" s="2" t="n">
        <v>100</v>
      </c>
      <c r="E351" s="4">
        <f>HYPERLINK("./Results/DLO\20191101_1.2.840.113619.2.80.459707076.10573.1573619984.2.1_302_512_512_\Osteo_Sarco_1.png","RPT")</f>
        <v/>
      </c>
      <c r="F351" s="3" t="n">
        <v>117</v>
      </c>
      <c r="G351" s="3" t="n">
        <v>12</v>
      </c>
      <c r="H351" s="7" t="n">
        <v>24.69</v>
      </c>
      <c r="I351" s="0" t="inlineStr">
        <is>
          <t>Revolution CT</t>
        </is>
      </c>
      <c r="J351" s="0" t="inlineStr">
        <is>
          <t>ABD</t>
        </is>
      </c>
      <c r="K351" t="n">
        <v>160</v>
      </c>
      <c r="L351" t="n">
        <v>63.2</v>
      </c>
      <c r="M351" t="n">
        <v>41.02</v>
      </c>
    </row>
    <row r="352">
      <c r="A352" s="2" t="n">
        <v>8790933</v>
      </c>
      <c r="B352" s="2" t="n">
        <v>50</v>
      </c>
      <c r="C352" s="2" t="inlineStr">
        <is>
          <t>M</t>
        </is>
      </c>
      <c r="D352" s="2" t="n">
        <v>100</v>
      </c>
      <c r="E352" s="4">
        <f>HYPERLINK("./Results/DLO\20181101_1.3.12.2.1107.5.1.4.54310.30000018112923203092100030839_3_512_512_\Osteo_Sarco_1.png","RPT")</f>
        <v/>
      </c>
      <c r="F352" s="3" t="n">
        <v>116</v>
      </c>
      <c r="G352" s="3" t="n">
        <v>9</v>
      </c>
      <c r="H352" s="7" t="n">
        <v>22.48</v>
      </c>
      <c r="I352" s="0" t="inlineStr">
        <is>
          <t>Sensation 64</t>
        </is>
      </c>
      <c r="J352" s="0" t="inlineStr">
        <is>
          <t>Pre Contrast 3.0 B30f</t>
        </is>
      </c>
      <c r="K352" t="n">
        <v>175.2</v>
      </c>
      <c r="L352" t="n">
        <v>69</v>
      </c>
      <c r="M352" t="n">
        <v>34.86</v>
      </c>
    </row>
    <row r="353">
      <c r="A353" s="2" t="n">
        <v>5435964</v>
      </c>
      <c r="B353" s="2" t="n">
        <v>50</v>
      </c>
      <c r="C353" s="2" t="inlineStr">
        <is>
          <t>F</t>
        </is>
      </c>
      <c r="D353" s="2" t="n">
        <v>100</v>
      </c>
      <c r="E353" s="4">
        <f>HYPERLINK("./Results/DLO\20180501_1.3.12.2.1107.5.1.4.54310.30000018053023524556200007235_2_512_512_\Osteo_Sarco_1.png","RPT")</f>
        <v/>
      </c>
      <c r="F353" s="3" t="n">
        <v>113</v>
      </c>
      <c r="G353" s="3" t="n">
        <v>11</v>
      </c>
      <c r="H353" s="7" t="n">
        <v>22.66</v>
      </c>
      <c r="I353" s="0" t="inlineStr">
        <is>
          <t>Sensation 64</t>
        </is>
      </c>
      <c r="J353" s="0" t="inlineStr">
        <is>
          <t>With Contrast 3.0 B30f</t>
        </is>
      </c>
      <c r="K353" t="n">
        <v>167.8</v>
      </c>
      <c r="L353" t="n">
        <v>63.8</v>
      </c>
      <c r="M353" t="n">
        <v>36.23</v>
      </c>
    </row>
    <row r="354">
      <c r="A354" s="2" t="n">
        <v>9662872</v>
      </c>
      <c r="B354" s="2" t="n">
        <v>50</v>
      </c>
      <c r="C354" s="2" t="inlineStr">
        <is>
          <t>F</t>
        </is>
      </c>
      <c r="D354" s="2" t="n">
        <v>100</v>
      </c>
      <c r="E354" s="4">
        <f>HYPERLINK("./Results/DLO\20200201_1.2.840.113619.2.416.79664595993845094161855511974045282020_310_512_512_\Osteo_Sarco_1.png","RPT")</f>
        <v/>
      </c>
      <c r="F354" s="3" t="n">
        <v>113</v>
      </c>
      <c r="G354" s="3" t="n">
        <v>9</v>
      </c>
      <c r="H354" s="7" t="n">
        <v>24.66</v>
      </c>
      <c r="I354" s="0" t="inlineStr">
        <is>
          <t>Revolution CT</t>
        </is>
      </c>
      <c r="J354" s="0" t="inlineStr">
        <is>
          <t>ABD</t>
        </is>
      </c>
      <c r="K354" t="n">
        <v>160.6</v>
      </c>
      <c r="L354" t="n">
        <v>63.6</v>
      </c>
      <c r="M354" t="n">
        <v>40.32</v>
      </c>
    </row>
    <row r="355">
      <c r="A355" s="2" t="n">
        <v>6095232</v>
      </c>
      <c r="B355" s="2" t="n">
        <v>50</v>
      </c>
      <c r="C355" s="2" t="inlineStr">
        <is>
          <t>F</t>
        </is>
      </c>
      <c r="D355" s="2" t="n">
        <v>100</v>
      </c>
      <c r="E355" s="4">
        <f>HYPERLINK("./Results/DLO\20180101_1.2.840.113619.2.416.251407466139074564758178089111878136065_302_512_512_\Osteo_Sarco_1.png","RPT")</f>
        <v/>
      </c>
      <c r="F355" s="3" t="n">
        <v>112</v>
      </c>
      <c r="G355" s="3" t="n">
        <v>8</v>
      </c>
      <c r="H355" s="7" t="n">
        <v>23.14</v>
      </c>
      <c r="I355" s="0" t="inlineStr">
        <is>
          <t>Revolution CT</t>
        </is>
      </c>
      <c r="J355" s="0" t="inlineStr">
        <is>
          <t>PORTAL</t>
        </is>
      </c>
      <c r="K355" t="n">
        <v>163.7</v>
      </c>
      <c r="L355" t="n">
        <v>62</v>
      </c>
      <c r="M355" t="n">
        <v>38.81</v>
      </c>
    </row>
    <row r="356">
      <c r="A356" s="2" t="n">
        <v>8878898</v>
      </c>
      <c r="B356" s="2" t="n">
        <v>50</v>
      </c>
      <c r="C356" s="2" t="inlineStr">
        <is>
          <t>F</t>
        </is>
      </c>
      <c r="D356" s="2" t="n">
        <v>100</v>
      </c>
      <c r="E356" s="4">
        <f>HYPERLINK("./Results/DLO\20180701_1.3.12.2.1107.5.1.4.65253.30000018072523281579600000118_2_512_512_\Osteo_Sarco_1.png","RPT")</f>
        <v/>
      </c>
      <c r="F356" s="3" t="n">
        <v>110</v>
      </c>
      <c r="G356" s="3" t="n">
        <v>8</v>
      </c>
      <c r="H356" s="7" t="n">
        <v>23.27</v>
      </c>
      <c r="I356" s="0" t="inlineStr">
        <is>
          <t>SOMATOM Definition AS</t>
        </is>
      </c>
      <c r="J356" s="0" t="inlineStr">
        <is>
          <t>With Contrast 3.0 B30f</t>
        </is>
      </c>
      <c r="K356" t="n">
        <v>156.5</v>
      </c>
      <c r="L356" t="n">
        <v>57</v>
      </c>
      <c r="M356" t="n">
        <v>41.65</v>
      </c>
    </row>
    <row r="357">
      <c r="A357" s="2" t="n">
        <v>9796202</v>
      </c>
      <c r="B357" s="2" t="n">
        <v>50</v>
      </c>
      <c r="C357" s="2" t="inlineStr">
        <is>
          <t>F</t>
        </is>
      </c>
      <c r="D357" s="2" t="n">
        <v>100</v>
      </c>
      <c r="E357" s="4">
        <f>HYPERLINK("./Results/DLO\20190901_1.2.840.113619.2.416.111037688110134752019717619425886871445_310_512_512_\Osteo_Sarco_1.png","RPT")</f>
        <v/>
      </c>
      <c r="F357" s="3" t="n">
        <v>108</v>
      </c>
      <c r="G357" s="3" t="n">
        <v>12</v>
      </c>
      <c r="H357" s="7" t="n">
        <v>22.1</v>
      </c>
      <c r="I357" s="0" t="inlineStr">
        <is>
          <t>Revolution CT</t>
        </is>
      </c>
      <c r="J357" s="0" t="inlineStr">
        <is>
          <t>ABD</t>
        </is>
      </c>
      <c r="K357" t="n">
        <v>162</v>
      </c>
      <c r="L357" t="n">
        <v>58</v>
      </c>
      <c r="M357" t="n">
        <v>36.58</v>
      </c>
    </row>
    <row r="358">
      <c r="A358" s="2" t="n">
        <v>8367371</v>
      </c>
      <c r="B358" s="2" t="n">
        <v>50</v>
      </c>
      <c r="C358" s="2" t="inlineStr">
        <is>
          <t>F</t>
        </is>
      </c>
      <c r="D358" s="2" t="n">
        <v>100</v>
      </c>
      <c r="E358" s="4">
        <f>HYPERLINK("./Results/DLO\20181001_1.2.840.113619.2.311.80167016604111018908336688025922933908_305_512_512_\Osteo_Sarco_1.png","RPT")</f>
        <v/>
      </c>
      <c r="F358" s="3" t="n">
        <v>106</v>
      </c>
      <c r="G358" s="3" t="n">
        <v>8</v>
      </c>
      <c r="H358" s="7" t="n">
        <v>19.32</v>
      </c>
      <c r="I358" s="0" t="inlineStr">
        <is>
          <t>Revolution CT</t>
        </is>
      </c>
      <c r="J358" s="0" t="inlineStr">
        <is>
          <t>ABD 2.5mm</t>
        </is>
      </c>
      <c r="K358" t="n">
        <v>161.2</v>
      </c>
      <c r="L358" t="n">
        <v>50.2</v>
      </c>
      <c r="M358" t="n">
        <v>37.71</v>
      </c>
    </row>
    <row r="359">
      <c r="A359" s="2" t="n">
        <v>5025402</v>
      </c>
      <c r="B359" s="2" t="n">
        <v>50</v>
      </c>
      <c r="C359" s="2" t="inlineStr">
        <is>
          <t>F</t>
        </is>
      </c>
      <c r="D359" s="2" t="n">
        <v>100</v>
      </c>
      <c r="E359" s="4">
        <f>HYPERLINK("./Results/DLO\20190601_1.3.12.2.1107.5.1.4.54310.30000019061821272012500066253_6_512_512_\Osteo_Sarco_1.png","RPT")</f>
        <v/>
      </c>
      <c r="F359" s="3" t="n">
        <v>104</v>
      </c>
      <c r="G359" s="3" t="n">
        <v>8</v>
      </c>
      <c r="H359" s="7" t="n">
        <v>23.43</v>
      </c>
      <c r="I359" s="0" t="inlineStr">
        <is>
          <t>Sensation 64</t>
        </is>
      </c>
      <c r="J359" s="0" t="inlineStr">
        <is>
          <t>ABD Contrast 3.0 B30f</t>
        </is>
      </c>
      <c r="K359" t="n">
        <v>160.3</v>
      </c>
      <c r="L359" t="n">
        <v>60.2</v>
      </c>
      <c r="M359" t="n">
        <v>37.36</v>
      </c>
    </row>
    <row r="360">
      <c r="A360" s="2" t="n">
        <v>9664028</v>
      </c>
      <c r="B360" s="2" t="n">
        <v>50</v>
      </c>
      <c r="C360" s="2" t="inlineStr">
        <is>
          <t>F</t>
        </is>
      </c>
      <c r="D360" s="2" t="n">
        <v>100</v>
      </c>
      <c r="E360" s="4">
        <f>HYPERLINK("./Results/DLO\20190601_1.3.12.2.1107.5.1.4.65253.30000019061720200326000005281_2_512_512_\Osteo_Sarco_1.png","RPT")</f>
        <v/>
      </c>
      <c r="F360" s="3" t="n">
        <v>104</v>
      </c>
      <c r="G360" s="3" t="n">
        <v>9</v>
      </c>
      <c r="H360" s="7" t="n">
        <v>22.51</v>
      </c>
      <c r="I360" s="0" t="inlineStr">
        <is>
          <t>SOMATOM Definition AS</t>
        </is>
      </c>
      <c r="J360" s="0" t="inlineStr">
        <is>
          <t>W/O Contrast 2.0 B30f</t>
        </is>
      </c>
      <c r="K360" t="n">
        <v>159</v>
      </c>
      <c r="L360" t="n">
        <v>56.9</v>
      </c>
      <c r="M360" t="n">
        <v>37.58</v>
      </c>
    </row>
    <row r="361">
      <c r="A361" s="2" t="n">
        <v>9512147</v>
      </c>
      <c r="B361" s="2" t="n">
        <v>50</v>
      </c>
      <c r="C361" s="2" t="inlineStr">
        <is>
          <t>F</t>
        </is>
      </c>
      <c r="D361" s="2" t="n">
        <v>100</v>
      </c>
      <c r="E361" s="4">
        <f>HYPERLINK("./Results/DLO\20181101_1.2.392.200036.9116.2.6.1.48.1211376315.1541655562.943088_2_512_512_\Osteo_Sarco_1.png","RPT")</f>
        <v/>
      </c>
      <c r="F361" s="3" t="n">
        <v>103</v>
      </c>
      <c r="G361" s="3" t="n">
        <v>9</v>
      </c>
      <c r="H361" s="7" t="n">
        <v>26.37</v>
      </c>
      <c r="I361" s="0" t="inlineStr">
        <is>
          <t>Aquilion</t>
        </is>
      </c>
      <c r="J361" s="0" t="inlineStr">
        <is>
          <t>Body 3.0</t>
        </is>
      </c>
      <c r="K361" t="n">
        <v>161.3</v>
      </c>
      <c r="L361" t="n">
        <v>68.59999999999999</v>
      </c>
      <c r="M361" t="n">
        <v>36.13</v>
      </c>
    </row>
    <row r="362">
      <c r="A362" s="2" t="n">
        <v>8965018</v>
      </c>
      <c r="B362" s="2" t="n">
        <v>50</v>
      </c>
      <c r="C362" s="2" t="inlineStr">
        <is>
          <t>F</t>
        </is>
      </c>
      <c r="D362" s="2" t="n">
        <v>100</v>
      </c>
      <c r="E362" s="4">
        <f>HYPERLINK("./Results/DLO\20190101_1.3.12.2.1107.5.1.4.65253.30000019011621155613100017287_2_512_512_\Osteo_Sarco_1.png","RPT")</f>
        <v/>
      </c>
      <c r="F362" s="3" t="n">
        <v>103</v>
      </c>
      <c r="G362" s="3" t="n">
        <v>7</v>
      </c>
      <c r="H362" s="7" t="n">
        <v>20.19</v>
      </c>
      <c r="I362" s="0" t="inlineStr">
        <is>
          <t>SOMATOM Definition AS</t>
        </is>
      </c>
      <c r="J362" s="0" t="inlineStr">
        <is>
          <t>Pre</t>
        </is>
      </c>
      <c r="K362" t="n">
        <v>165.8</v>
      </c>
      <c r="L362" t="n">
        <v>55.5</v>
      </c>
      <c r="M362" t="n">
        <v>34.92</v>
      </c>
    </row>
    <row r="363">
      <c r="A363" s="2" t="n">
        <v>9743538</v>
      </c>
      <c r="B363" s="2" t="n">
        <v>50</v>
      </c>
      <c r="C363" s="2" t="inlineStr">
        <is>
          <t>F</t>
        </is>
      </c>
      <c r="D363" s="2" t="n">
        <v>100</v>
      </c>
      <c r="E363" s="4">
        <f>HYPERLINK("./Results/DLO\20190701_1.2.840.113619.2.416.93235453295020490928931367556489544654_310_512_512_\Osteo_Sarco_1.png","RPT")</f>
        <v/>
      </c>
      <c r="F363" s="3" t="n">
        <v>103</v>
      </c>
      <c r="G363" s="3" t="n">
        <v>9</v>
      </c>
      <c r="H363" s="6" t="n">
        <v>21.22</v>
      </c>
      <c r="I363" s="0" t="inlineStr">
        <is>
          <t>Revolution CT</t>
        </is>
      </c>
      <c r="J363" s="0" t="inlineStr">
        <is>
          <t>ABD</t>
        </is>
      </c>
      <c r="K363" t="n">
        <v>161</v>
      </c>
      <c r="L363" t="n">
        <v>55</v>
      </c>
      <c r="M363" t="n">
        <v>36.26</v>
      </c>
    </row>
    <row r="364">
      <c r="A364" s="2" t="n">
        <v>9008531</v>
      </c>
      <c r="B364" s="2" t="n">
        <v>50</v>
      </c>
      <c r="C364" s="2" t="inlineStr">
        <is>
          <t>F</t>
        </is>
      </c>
      <c r="D364" s="2" t="n">
        <v>100</v>
      </c>
      <c r="E364" s="4">
        <f>HYPERLINK("./Results/DLO\20180801_1.2.840.113619.2.94.485650834948.2.8995077.19513158.1_2_512_512_\Osteo_Sarco_1.png","RPT")</f>
        <v/>
      </c>
      <c r="F364" s="3" t="n">
        <v>101</v>
      </c>
      <c r="G364" s="3" t="n">
        <v>12</v>
      </c>
      <c r="H364" s="7" t="n">
        <v>22.32</v>
      </c>
      <c r="I364" s="0" t="inlineStr">
        <is>
          <t>Sensation 64</t>
        </is>
      </c>
      <c r="J364" s="0" t="inlineStr">
        <is>
          <t>With Contrast 3.0 B30f</t>
        </is>
      </c>
      <c r="K364" t="n">
        <v>158.1</v>
      </c>
      <c r="L364" t="n">
        <v>55.8</v>
      </c>
      <c r="M364" t="n">
        <v>35.61</v>
      </c>
    </row>
    <row r="365">
      <c r="A365" s="2" t="n">
        <v>5812589</v>
      </c>
      <c r="B365" s="2" t="n">
        <v>51</v>
      </c>
      <c r="C365" s="2" t="inlineStr">
        <is>
          <t>F</t>
        </is>
      </c>
      <c r="D365" s="2" t="n">
        <v>100</v>
      </c>
      <c r="E365" s="4">
        <f>HYPERLINK("./Results/DLO\20180201_1.3.12.2.1107.5.1.4.54310.30000018013123112864000020355_2_512_512_\Osteo_Sarco_1.png","RPT")</f>
        <v/>
      </c>
      <c r="F365" s="3" t="n">
        <v>87</v>
      </c>
      <c r="G365" s="3" t="n">
        <v>7</v>
      </c>
      <c r="H365" s="7" t="n">
        <v>19.44</v>
      </c>
      <c r="I365" s="0" t="inlineStr">
        <is>
          <t>Sensation 64</t>
        </is>
      </c>
      <c r="J365" s="0" t="inlineStr">
        <is>
          <t>With Contrast 3.0 B30f</t>
        </is>
      </c>
      <c r="K365" t="n">
        <v>155.5</v>
      </c>
      <c r="L365" t="n">
        <v>47</v>
      </c>
      <c r="M365" t="n">
        <v>33.08</v>
      </c>
    </row>
    <row r="366">
      <c r="A366" s="2" t="n">
        <v>8591952</v>
      </c>
      <c r="B366" s="2" t="n">
        <v>51</v>
      </c>
      <c r="C366" s="2" t="inlineStr">
        <is>
          <t>F</t>
        </is>
      </c>
      <c r="D366" s="2" t="n">
        <v>100</v>
      </c>
      <c r="E366" s="4">
        <f>HYPERLINK("./Results/DLO\20180801_1.3.12.2.1107.5.1.4.65253.30000018080120405844600058791_2_512_512_\Osteo_Sarco_1.png","RPT")</f>
        <v/>
      </c>
      <c r="F366" s="3" t="n">
        <v>83</v>
      </c>
      <c r="G366" s="3" t="n">
        <v>8</v>
      </c>
      <c r="H366" s="7" t="n">
        <v>18</v>
      </c>
      <c r="I366" s="0" t="inlineStr">
        <is>
          <t>SOMATOM Definition AS</t>
        </is>
      </c>
      <c r="J366" s="0" t="inlineStr">
        <is>
          <t>Pre Contrast 3.0 B30f</t>
        </is>
      </c>
      <c r="K366" t="n">
        <v>159</v>
      </c>
      <c r="L366" t="n">
        <v>45.5</v>
      </c>
      <c r="M366" t="n">
        <v>29.67</v>
      </c>
    </row>
    <row r="367">
      <c r="A367" s="2" t="n">
        <v>9496382</v>
      </c>
      <c r="B367" s="2" t="n">
        <v>51</v>
      </c>
      <c r="C367" s="2" t="inlineStr">
        <is>
          <t>F</t>
        </is>
      </c>
      <c r="D367" s="2" t="n">
        <v>100</v>
      </c>
      <c r="E367" s="4">
        <f>HYPERLINK("./Results/DLO\20181201_1.2.840.113619.2.94.485650834948.2.9302101.20268762.1_2_512_512_\Osteo_Sarco_1.png","RPT")</f>
        <v/>
      </c>
      <c r="F367" s="3" t="n">
        <v>82</v>
      </c>
      <c r="G367" s="3" t="n">
        <v>6</v>
      </c>
      <c r="H367" s="7" t="n">
        <v>21.56</v>
      </c>
      <c r="I367" s="0" t="inlineStr">
        <is>
          <t>Sensation 64</t>
        </is>
      </c>
      <c r="J367" s="0" t="inlineStr">
        <is>
          <t>With Contrast 3.0 B30f</t>
        </is>
      </c>
      <c r="K367" t="n">
        <v>155.9</v>
      </c>
      <c r="L367" t="n">
        <v>52.4</v>
      </c>
      <c r="M367" t="n">
        <v>31.27</v>
      </c>
    </row>
    <row r="368">
      <c r="A368" s="2" t="n">
        <v>6046865</v>
      </c>
      <c r="B368" s="2" t="n">
        <v>51</v>
      </c>
      <c r="C368" s="2" t="inlineStr">
        <is>
          <t>M</t>
        </is>
      </c>
      <c r="D368" s="2" t="n">
        <v>100</v>
      </c>
      <c r="E368" s="4">
        <f>HYPERLINK("./Results/DLO\20190101_1.3.46.670589.33.1.63684268754609358900001.4885354438968712209_201_512_512_\Osteo_Sarco_1.png","RPT")</f>
        <v/>
      </c>
      <c r="F368" s="3" t="n">
        <v>197</v>
      </c>
      <c r="G368" s="3" t="n">
        <v>4</v>
      </c>
      <c r="H368" s="7" t="n">
        <v>24.28</v>
      </c>
      <c r="I368" s="0" t="inlineStr">
        <is>
          <t>Ingenuity Core 128</t>
        </is>
      </c>
      <c r="J368" s="0" t="inlineStr">
        <is>
          <t>Pre 3mm, iDose (3)</t>
        </is>
      </c>
      <c r="K368" t="n">
        <v>171</v>
      </c>
      <c r="L368" t="n">
        <v>71</v>
      </c>
      <c r="M368" t="n">
        <v>66</v>
      </c>
    </row>
    <row r="369">
      <c r="A369" s="2" t="n">
        <v>8284131</v>
      </c>
      <c r="B369" s="2" t="n">
        <v>51</v>
      </c>
      <c r="C369" s="2" t="inlineStr">
        <is>
          <t>M</t>
        </is>
      </c>
      <c r="D369" s="2" t="n">
        <v>100</v>
      </c>
      <c r="E369" s="4">
        <f>HYPERLINK("./Results/DLO\20180101_1.2.840.113619.2.311.195992092658131864835299683869125930736_304_512_512_\Osteo_Sarco_1.png","RPT")</f>
        <v/>
      </c>
      <c r="F369" s="3" t="n">
        <v>196</v>
      </c>
      <c r="G369" s="3" t="n">
        <v>13</v>
      </c>
      <c r="H369" s="7" t="n">
        <v>26.78</v>
      </c>
      <c r="I369" s="0" t="inlineStr">
        <is>
          <t>Revolution CT</t>
        </is>
      </c>
      <c r="J369" s="0" t="inlineStr">
        <is>
          <t>ABD 2.5mm</t>
        </is>
      </c>
      <c r="K369" t="n">
        <v>175</v>
      </c>
      <c r="L369" t="n">
        <v>82</v>
      </c>
      <c r="M369" t="n">
        <v>59.76</v>
      </c>
    </row>
    <row r="370">
      <c r="A370" s="2" t="n">
        <v>8796674</v>
      </c>
      <c r="B370" s="2" t="n">
        <v>51</v>
      </c>
      <c r="C370" s="2" t="inlineStr">
        <is>
          <t>M</t>
        </is>
      </c>
      <c r="D370" s="2" t="n">
        <v>100</v>
      </c>
      <c r="E370" s="4">
        <f>HYPERLINK("./Results/DLO\20180301_1.3.12.2.1107.5.1.4.54310.30000018031423122640600036446_2_512_512_\Osteo_Sarco_1.png","RPT")</f>
        <v/>
      </c>
      <c r="F370" s="3" t="n">
        <v>177</v>
      </c>
      <c r="G370" s="3" t="n">
        <v>15</v>
      </c>
      <c r="H370" s="7" t="n">
        <v>23.84</v>
      </c>
      <c r="I370" s="0" t="inlineStr">
        <is>
          <t>Sensation 64</t>
        </is>
      </c>
      <c r="J370" s="0" t="inlineStr">
        <is>
          <t>Pre Contrast 3.0 B30f</t>
        </is>
      </c>
      <c r="K370" t="n">
        <v>175</v>
      </c>
      <c r="L370" t="n">
        <v>73</v>
      </c>
      <c r="M370" t="n">
        <v>52.9</v>
      </c>
    </row>
    <row r="371">
      <c r="A371" s="2" t="n">
        <v>9630086</v>
      </c>
      <c r="B371" s="2" t="n">
        <v>51</v>
      </c>
      <c r="C371" s="2" t="inlineStr">
        <is>
          <t>M</t>
        </is>
      </c>
      <c r="D371" s="2" t="n">
        <v>100</v>
      </c>
      <c r="E371" s="4">
        <f>HYPERLINK("./Results/DLO\20190301_1.2.410.100011.172.24.16.218.6369067058915620291.2_2_512_512_\Osteo_Sarco_1.png","RPT")</f>
        <v/>
      </c>
      <c r="F371" s="3" t="n">
        <v>177</v>
      </c>
      <c r="G371" s="3" t="n">
        <v>14</v>
      </c>
      <c r="H371" s="6" t="n">
        <v>24.06</v>
      </c>
      <c r="I371" s="0" t="inlineStr">
        <is>
          <t>SOMATOM Definition AS</t>
        </is>
      </c>
      <c r="J371" s="0" t="inlineStr">
        <is>
          <t>Pre 5.0 B30f</t>
        </is>
      </c>
      <c r="K371" t="n">
        <v>173</v>
      </c>
      <c r="L371" t="n">
        <v>72</v>
      </c>
      <c r="M371" t="n">
        <v>54.46</v>
      </c>
    </row>
    <row r="372">
      <c r="A372" s="2" t="n">
        <v>9440897</v>
      </c>
      <c r="B372" s="2" t="n">
        <v>51</v>
      </c>
      <c r="C372" s="2" t="inlineStr">
        <is>
          <t>M</t>
        </is>
      </c>
      <c r="D372" s="2" t="n">
        <v>100</v>
      </c>
      <c r="E372" s="4">
        <f>HYPERLINK("./Results/DLO\20181001_1.3.46.670589.33.1.63673986895013558500001.5281117178331231830_201_512_512_\Osteo_Sarco_1.png","RPT")</f>
        <v/>
      </c>
      <c r="F372" s="3" t="n">
        <v>175</v>
      </c>
      <c r="G372" s="3" t="n">
        <v>7</v>
      </c>
      <c r="H372" s="7" t="n">
        <v>25.95</v>
      </c>
      <c r="I372" s="0" t="inlineStr">
        <is>
          <t>Ingenuity Core 128</t>
        </is>
      </c>
      <c r="J372" s="0" t="inlineStr">
        <is>
          <t>Post 100/236 i3, iDose (3)</t>
        </is>
      </c>
      <c r="K372" t="n">
        <v>170</v>
      </c>
      <c r="L372" t="n">
        <v>75</v>
      </c>
      <c r="M372" t="n">
        <v>58.13</v>
      </c>
    </row>
    <row r="373">
      <c r="A373" s="2" t="n">
        <v>5512384</v>
      </c>
      <c r="B373" s="2" t="n">
        <v>51</v>
      </c>
      <c r="C373" s="2" t="inlineStr">
        <is>
          <t>M</t>
        </is>
      </c>
      <c r="D373" s="2" t="n">
        <v>100</v>
      </c>
      <c r="E373" s="4">
        <f>HYPERLINK("./Results/DLO\20190601_1.3.12.2.1107.5.1.4.54310.30000019060921293893700037217_2_512_512_\Osteo_Sarco_1.png","RPT")</f>
        <v/>
      </c>
      <c r="F373" s="3" t="n">
        <v>165</v>
      </c>
      <c r="G373" s="3" t="n">
        <v>8</v>
      </c>
      <c r="H373" s="7" t="n">
        <v>30.93</v>
      </c>
      <c r="I373" s="0" t="inlineStr">
        <is>
          <t>Sensation 64</t>
        </is>
      </c>
      <c r="J373" s="0" t="inlineStr">
        <is>
          <t>With Contrast 3.0 B30f</t>
        </is>
      </c>
      <c r="K373" t="n">
        <v>178</v>
      </c>
      <c r="L373" t="n">
        <v>98</v>
      </c>
      <c r="M373" t="n">
        <v>49.55</v>
      </c>
    </row>
    <row r="374">
      <c r="A374" s="2" t="n">
        <v>5602553</v>
      </c>
      <c r="B374" s="2" t="n">
        <v>51</v>
      </c>
      <c r="C374" s="2" t="inlineStr">
        <is>
          <t>M</t>
        </is>
      </c>
      <c r="D374" s="2" t="n">
        <v>100</v>
      </c>
      <c r="E374" s="4">
        <f>HYPERLINK("./Results/DLO\20190701_1.3.12.2.1107.5.1.4.65253.30000019070919015935800093066_2_512_512_\Osteo_Sarco_1.png","RPT")</f>
        <v/>
      </c>
      <c r="F374" s="3" t="n">
        <v>165</v>
      </c>
      <c r="G374" s="3" t="n">
        <v>10</v>
      </c>
      <c r="H374" s="6" t="n">
        <v>23.36</v>
      </c>
      <c r="I374" s="0" t="inlineStr">
        <is>
          <t>SOMATOM Definition AS</t>
        </is>
      </c>
      <c r="J374" s="0" t="inlineStr">
        <is>
          <t>Pre Contrast 3.0 B30f</t>
        </is>
      </c>
      <c r="K374" t="n">
        <v>178</v>
      </c>
      <c r="L374" t="n">
        <v>74</v>
      </c>
      <c r="M374" t="n">
        <v>48.92</v>
      </c>
    </row>
    <row r="375">
      <c r="A375" s="2" t="n">
        <v>9754717</v>
      </c>
      <c r="B375" s="2" t="n">
        <v>51</v>
      </c>
      <c r="C375" s="2" t="inlineStr">
        <is>
          <t>M</t>
        </is>
      </c>
      <c r="D375" s="2" t="n">
        <v>100</v>
      </c>
      <c r="E375" s="4">
        <f>HYPERLINK("./Results/DLO\20190901_1.3.46.670589.33.1.63703103628148071200001.5560155820348455069_201_512_512_\Osteo_Sarco_1.png","RPT")</f>
        <v/>
      </c>
      <c r="F375" s="3" t="n">
        <v>165</v>
      </c>
      <c r="G375" s="3" t="n">
        <v>8</v>
      </c>
      <c r="H375" s="7" t="n">
        <v>22.39</v>
      </c>
      <c r="I375" s="0" t="inlineStr">
        <is>
          <t>Ingenuity Core 128</t>
        </is>
      </c>
      <c r="J375" s="0" t="inlineStr">
        <is>
          <t>Post 3mm, iDose (3)</t>
        </is>
      </c>
      <c r="K375" t="n">
        <v>173</v>
      </c>
      <c r="L375" t="n">
        <v>67</v>
      </c>
      <c r="M375" t="n">
        <v>52.46</v>
      </c>
    </row>
    <row r="376">
      <c r="A376" s="2" t="n">
        <v>9814189</v>
      </c>
      <c r="B376" s="2" t="n">
        <v>51</v>
      </c>
      <c r="C376" s="2" t="inlineStr">
        <is>
          <t>M</t>
        </is>
      </c>
      <c r="D376" s="2" t="n">
        <v>100</v>
      </c>
      <c r="E376" s="4">
        <f>HYPERLINK("./Results/DLO\20191101_1.3.46.670589.33.1.63709147963670257500001.5243940770719695223_201_512_512_\Osteo_Sarco_1.png","RPT")</f>
        <v/>
      </c>
      <c r="F376" s="3" t="n">
        <v>160</v>
      </c>
      <c r="G376" s="3" t="n">
        <v>7</v>
      </c>
      <c r="H376" s="7" t="n">
        <v>24.9</v>
      </c>
      <c r="I376" s="0" t="inlineStr">
        <is>
          <t>Ingenuity Core 128</t>
        </is>
      </c>
      <c r="J376" s="0" t="inlineStr">
        <is>
          <t>Post 3mm, iDose (3)</t>
        </is>
      </c>
      <c r="K376" t="n">
        <v>175.5</v>
      </c>
      <c r="L376" t="n">
        <v>76.7</v>
      </c>
      <c r="M376" t="n">
        <v>49.67</v>
      </c>
    </row>
    <row r="377">
      <c r="A377" s="2" t="n">
        <v>6140363</v>
      </c>
      <c r="B377" s="2" t="n">
        <v>51</v>
      </c>
      <c r="C377" s="2" t="inlineStr">
        <is>
          <t>M</t>
        </is>
      </c>
      <c r="D377" s="2" t="n">
        <v>100</v>
      </c>
      <c r="E377" s="4">
        <f>HYPERLINK("./Results/DLO\20180601_1.3.46.670589.33.1.63665517633637448900001.5532683483005276679_201_512_512_\Osteo_Sarco_1.png","RPT")</f>
        <v/>
      </c>
      <c r="F377" s="3" t="n">
        <v>146</v>
      </c>
      <c r="G377" s="3" t="n">
        <v>7</v>
      </c>
      <c r="H377" s="7" t="n">
        <v>23.07</v>
      </c>
      <c r="I377" s="0" t="inlineStr">
        <is>
          <t>Ingenuity Core 128</t>
        </is>
      </c>
      <c r="J377" s="0" t="inlineStr">
        <is>
          <t>Post 100/236 i3, iDose (3)</t>
        </is>
      </c>
      <c r="K377" t="n">
        <v>178.6</v>
      </c>
      <c r="L377" t="n">
        <v>73.59999999999999</v>
      </c>
      <c r="M377" t="n">
        <v>43.58</v>
      </c>
    </row>
    <row r="378">
      <c r="A378" s="2" t="n">
        <v>6738709</v>
      </c>
      <c r="B378" s="2" t="n">
        <v>51</v>
      </c>
      <c r="C378" s="2" t="inlineStr">
        <is>
          <t>F</t>
        </is>
      </c>
      <c r="D378" s="2" t="n">
        <v>100</v>
      </c>
      <c r="E378" s="4">
        <f>HYPERLINK("./Results/DLO\20180701_1.2.840.113619.2.311.151986686395604810036995799394304690016_304_512_512_\Osteo_Sarco_1.png","RPT")</f>
        <v/>
      </c>
      <c r="F378" s="3" t="n">
        <v>140</v>
      </c>
      <c r="G378" s="3" t="n">
        <v>12</v>
      </c>
      <c r="H378" s="7" t="n">
        <v>24.99</v>
      </c>
      <c r="I378" s="0" t="inlineStr">
        <is>
          <t>Revolution CT</t>
        </is>
      </c>
      <c r="J378" s="0" t="inlineStr">
        <is>
          <t>ABD 2.5mm</t>
        </is>
      </c>
      <c r="K378" t="n">
        <v>168.8</v>
      </c>
      <c r="L378" t="n">
        <v>71.2</v>
      </c>
      <c r="M378" t="n">
        <v>44.92</v>
      </c>
    </row>
    <row r="379">
      <c r="A379" s="2" t="n">
        <v>6136166</v>
      </c>
      <c r="B379" s="2" t="n">
        <v>51</v>
      </c>
      <c r="C379" s="2" t="inlineStr">
        <is>
          <t>F</t>
        </is>
      </c>
      <c r="D379" s="2" t="n">
        <v>100</v>
      </c>
      <c r="E379" s="4">
        <f>HYPERLINK("./Results/DLO\20180901_1.2.840.113619.2.416.336468464406543545791239816287684399073_304_512_512_\Osteo_Sarco_1.png","RPT")</f>
        <v/>
      </c>
      <c r="F379" s="3" t="n">
        <v>136</v>
      </c>
      <c r="G379" s="3" t="n">
        <v>8</v>
      </c>
      <c r="H379" s="7" t="n">
        <v>26.89</v>
      </c>
      <c r="I379" s="0" t="inlineStr">
        <is>
          <t>Revolution CT</t>
        </is>
      </c>
      <c r="J379" s="0" t="inlineStr">
        <is>
          <t>ABD 2.5mm</t>
        </is>
      </c>
      <c r="K379" t="n">
        <v>156.3</v>
      </c>
      <c r="L379" t="n">
        <v>65.7</v>
      </c>
      <c r="M379" t="n">
        <v>52.4</v>
      </c>
    </row>
    <row r="380">
      <c r="A380" s="2" t="n">
        <v>9659832</v>
      </c>
      <c r="B380" s="2" t="n">
        <v>51</v>
      </c>
      <c r="C380" s="2" t="inlineStr">
        <is>
          <t>M</t>
        </is>
      </c>
      <c r="D380" s="2" t="n">
        <v>100</v>
      </c>
      <c r="E380" s="4">
        <f>HYPERLINK("./Results/DLO\20190501_1.3.46.670589.33.1.63693686687692733600001.4938821129419097815_201_512_512_\Osteo_Sarco_1.png","RPT")</f>
        <v/>
      </c>
      <c r="F380" s="3" t="n">
        <v>135</v>
      </c>
      <c r="G380" s="3" t="n">
        <v>12</v>
      </c>
      <c r="H380" s="7" t="n">
        <v>21.63</v>
      </c>
      <c r="I380" s="0" t="inlineStr">
        <is>
          <t>Ingenuity Core 128</t>
        </is>
      </c>
      <c r="J380" s="0" t="inlineStr">
        <is>
          <t>Post 3mm, iDose (3)</t>
        </is>
      </c>
      <c r="K380" t="n">
        <v>172</v>
      </c>
      <c r="L380" t="n">
        <v>64</v>
      </c>
      <c r="M380" t="n">
        <v>41.58</v>
      </c>
    </row>
    <row r="381">
      <c r="A381" s="2" t="n">
        <v>9440888</v>
      </c>
      <c r="B381" s="2" t="n">
        <v>51</v>
      </c>
      <c r="C381" s="2" t="inlineStr">
        <is>
          <t>M</t>
        </is>
      </c>
      <c r="D381" s="2" t="n">
        <v>100</v>
      </c>
      <c r="E381" s="4">
        <f>HYPERLINK("./Results/DLO\20180901_1.3.12.2.1107.5.1.4.65253.30000018091419524330600024660_2_512_512_\Osteo_Sarco_1.png","RPT")</f>
        <v/>
      </c>
      <c r="F381" s="3" t="n">
        <v>129</v>
      </c>
      <c r="G381" s="3" t="n">
        <v>10</v>
      </c>
      <c r="H381" s="7" t="n">
        <v>22.03</v>
      </c>
      <c r="I381" s="0" t="inlineStr">
        <is>
          <t>SOMATOM Definition AS</t>
        </is>
      </c>
      <c r="J381" s="0" t="inlineStr">
        <is>
          <t>Pre Contrast 3.0 B30f</t>
        </is>
      </c>
      <c r="K381" t="n">
        <v>158</v>
      </c>
      <c r="L381" t="n">
        <v>55</v>
      </c>
      <c r="M381" t="n">
        <v>47.67</v>
      </c>
    </row>
    <row r="382">
      <c r="A382" s="2" t="n">
        <v>5639011</v>
      </c>
      <c r="B382" s="2" t="n">
        <v>51</v>
      </c>
      <c r="C382" s="2" t="inlineStr">
        <is>
          <t>F</t>
        </is>
      </c>
      <c r="D382" s="2" t="n">
        <v>100</v>
      </c>
      <c r="E382" s="4">
        <f>HYPERLINK("./Results/DLO\20191101_1.3.12.2.1107.5.1.4.65253.30000019110219590736000079908_2_512_512_\Osteo_Sarco_1.png","RPT")</f>
        <v/>
      </c>
      <c r="F382" s="3" t="n">
        <v>126</v>
      </c>
      <c r="G382" s="3" t="n">
        <v>7</v>
      </c>
      <c r="H382" s="7" t="n">
        <v>23.12</v>
      </c>
      <c r="I382" s="0" t="inlineStr">
        <is>
          <t>SOMATOM Definition AS</t>
        </is>
      </c>
      <c r="J382" s="0" t="inlineStr">
        <is>
          <t>Pre Contrast 3.0 B30f</t>
        </is>
      </c>
      <c r="K382" t="n">
        <v>157</v>
      </c>
      <c r="L382" t="n">
        <v>57</v>
      </c>
      <c r="M382" t="n">
        <v>48.28</v>
      </c>
    </row>
    <row r="383">
      <c r="A383" s="2" t="n">
        <v>5977244</v>
      </c>
      <c r="B383" s="2" t="n">
        <v>51</v>
      </c>
      <c r="C383" s="2" t="inlineStr">
        <is>
          <t>F</t>
        </is>
      </c>
      <c r="D383" s="2" t="n">
        <v>100</v>
      </c>
      <c r="E383" s="4">
        <f>HYPERLINK("./Results/DLO\20181201_1.3.46.670589.33.1.63680811621296327500001.5263500813270457256_201_512_512_\Osteo_Sarco_1.png","RPT")</f>
        <v/>
      </c>
      <c r="F383" s="3" t="n">
        <v>125</v>
      </c>
      <c r="G383" s="3" t="n">
        <v>20</v>
      </c>
      <c r="H383" s="7" t="n">
        <v>26.67</v>
      </c>
      <c r="I383" s="0" t="inlineStr">
        <is>
          <t>Ingenuity Core 128</t>
        </is>
      </c>
      <c r="J383" s="0" t="inlineStr">
        <is>
          <t>Post 100/236 i3, iDose (3)</t>
        </is>
      </c>
      <c r="K383" t="n">
        <v>162</v>
      </c>
      <c r="L383" t="n">
        <v>70</v>
      </c>
      <c r="M383" t="n">
        <v>40.01</v>
      </c>
    </row>
    <row r="384">
      <c r="A384" s="2" t="n">
        <v>8824666</v>
      </c>
      <c r="B384" s="2" t="n">
        <v>51</v>
      </c>
      <c r="C384" s="2" t="inlineStr">
        <is>
          <t>F</t>
        </is>
      </c>
      <c r="D384" s="2" t="n">
        <v>100</v>
      </c>
      <c r="E384" s="4">
        <f>HYPERLINK("./Results/DLO\20190801_1.3.46.670589.33.1.63700769283259584200001.4762741836279503329_201_512_512_\Osteo_Sarco_1.png","RPT")</f>
        <v/>
      </c>
      <c r="F384" s="3" t="n">
        <v>125</v>
      </c>
      <c r="G384" s="3" t="n">
        <v>11</v>
      </c>
      <c r="H384" s="7" t="n">
        <v>25.82</v>
      </c>
      <c r="I384" s="0" t="inlineStr">
        <is>
          <t>Ingenuity Core 128</t>
        </is>
      </c>
      <c r="J384" s="0" t="inlineStr">
        <is>
          <t>Post 3mm, iDose (3)</t>
        </is>
      </c>
      <c r="K384" t="n">
        <v>162.7</v>
      </c>
      <c r="L384" t="n">
        <v>68.34999999999999</v>
      </c>
      <c r="M384" t="n">
        <v>43.07</v>
      </c>
    </row>
    <row r="385">
      <c r="A385" s="2" t="n">
        <v>9643137</v>
      </c>
      <c r="B385" s="2" t="n">
        <v>51</v>
      </c>
      <c r="C385" s="2" t="inlineStr">
        <is>
          <t>F</t>
        </is>
      </c>
      <c r="D385" s="2" t="n">
        <v>100</v>
      </c>
      <c r="E385" s="4">
        <f>HYPERLINK("./Results/DLO\20190301_1.3.12.2.1107.5.1.4.73861.30000019032123104050100009411_3_512_512_\Osteo_Sarco_1.png","RPT")</f>
        <v/>
      </c>
      <c r="F385" s="3" t="n">
        <v>122</v>
      </c>
      <c r="G385" s="3" t="n">
        <v>9</v>
      </c>
      <c r="H385" s="6" t="n">
        <v>28.24</v>
      </c>
      <c r="I385" s="0" t="inlineStr">
        <is>
          <t>SOMATOM Definition Flabh</t>
        </is>
      </c>
      <c r="J385" s="0" t="inlineStr">
        <is>
          <t>Pre 3.0 I40f 2</t>
        </is>
      </c>
      <c r="K385" t="n">
        <v>156.3</v>
      </c>
      <c r="L385" t="n">
        <v>69</v>
      </c>
      <c r="M385" t="n">
        <v>46.26</v>
      </c>
    </row>
    <row r="386">
      <c r="A386" s="2" t="n">
        <v>1364871</v>
      </c>
      <c r="B386" s="2" t="n">
        <v>51</v>
      </c>
      <c r="C386" s="2" t="inlineStr">
        <is>
          <t>F</t>
        </is>
      </c>
      <c r="D386" s="2" t="n">
        <v>100</v>
      </c>
      <c r="E386" s="4">
        <f>HYPERLINK("./Results/DLO\20190901_1.2.840.113619.2.416.261954147013516340763335569122409811300_310_512_512_\Osteo_Sarco_1.png","RPT")</f>
        <v/>
      </c>
      <c r="F386" s="3" t="n">
        <v>121</v>
      </c>
      <c r="G386" s="3" t="n">
        <v>13</v>
      </c>
      <c r="H386" s="7" t="n">
        <v>27.61</v>
      </c>
      <c r="I386" s="0" t="inlineStr">
        <is>
          <t>Revolution CT</t>
        </is>
      </c>
      <c r="J386" s="0" t="inlineStr">
        <is>
          <t>ABD</t>
        </is>
      </c>
      <c r="K386" t="n">
        <v>157.4</v>
      </c>
      <c r="L386" t="n">
        <v>68.40000000000001</v>
      </c>
      <c r="M386" t="n">
        <v>43.59</v>
      </c>
    </row>
    <row r="387">
      <c r="A387" s="2" t="n">
        <v>9863719</v>
      </c>
      <c r="B387" s="2" t="n">
        <v>51</v>
      </c>
      <c r="C387" s="2" t="inlineStr">
        <is>
          <t>F</t>
        </is>
      </c>
      <c r="D387" s="2" t="n">
        <v>100</v>
      </c>
      <c r="E387" s="4">
        <f>HYPERLINK("./Results/DLO\20191201_1.2.840.113619.2.416.326426005363077451787127786750940676555_310_512_512_\Osteo_Sarco_1.png","RPT")</f>
        <v/>
      </c>
      <c r="F387" s="3" t="n">
        <v>117</v>
      </c>
      <c r="G387" s="3" t="n">
        <v>13</v>
      </c>
      <c r="H387" s="7" t="n">
        <v>21.8</v>
      </c>
      <c r="I387" s="0" t="inlineStr">
        <is>
          <t>Revolution CT</t>
        </is>
      </c>
      <c r="J387" s="0" t="inlineStr">
        <is>
          <t>ABD</t>
        </is>
      </c>
      <c r="K387" t="n">
        <v>170</v>
      </c>
      <c r="L387" t="n">
        <v>63</v>
      </c>
      <c r="M387" t="n">
        <v>35.99</v>
      </c>
    </row>
    <row r="388">
      <c r="A388" s="2" t="n">
        <v>8678298</v>
      </c>
      <c r="B388" s="2" t="n">
        <v>51</v>
      </c>
      <c r="C388" s="2" t="inlineStr">
        <is>
          <t>F</t>
        </is>
      </c>
      <c r="D388" s="2" t="n">
        <v>100</v>
      </c>
      <c r="E388" s="4">
        <f>HYPERLINK("./Results/DLO\20200101_1.3.46.670589.33.1.63713730601876418200001.5268916028696555560_201_512_512_\Osteo_Sarco_1.png","RPT")</f>
        <v/>
      </c>
      <c r="F388" s="3" t="n">
        <v>115</v>
      </c>
      <c r="G388" s="3" t="n">
        <v>8</v>
      </c>
      <c r="H388" s="7" t="n">
        <v>23.67</v>
      </c>
      <c r="I388" s="0" t="inlineStr">
        <is>
          <t>Ingenuity Core 128</t>
        </is>
      </c>
      <c r="J388" s="0" t="inlineStr">
        <is>
          <t>Post 3mm, iDose (3)</t>
        </is>
      </c>
      <c r="K388" t="n">
        <v>167</v>
      </c>
      <c r="L388" t="n">
        <v>66</v>
      </c>
      <c r="M388" t="n">
        <v>38.37</v>
      </c>
    </row>
    <row r="389">
      <c r="A389" s="2" t="n">
        <v>5067888</v>
      </c>
      <c r="B389" s="2" t="n">
        <v>51</v>
      </c>
      <c r="C389" s="2" t="inlineStr">
        <is>
          <t>F</t>
        </is>
      </c>
      <c r="D389" s="2" t="n">
        <v>100</v>
      </c>
      <c r="E389" s="4">
        <f>HYPERLINK("./Results/DLO\20200601_1.3.46.670589.33.1.63727903776490551700001.5205247087337898446_201_512_512_\Osteo_Sarco_1.png","RPT")</f>
        <v/>
      </c>
      <c r="F389" s="3" t="n">
        <v>109</v>
      </c>
      <c r="G389" s="3" t="n">
        <v>7</v>
      </c>
      <c r="H389" s="6" t="n">
        <v>19.96</v>
      </c>
      <c r="I389" s="0" t="inlineStr">
        <is>
          <t>Ingenuity Core 128</t>
        </is>
      </c>
      <c r="J389" s="0" t="inlineStr">
        <is>
          <t>Post 3mm, iDose (3)</t>
        </is>
      </c>
      <c r="K389" t="n">
        <v>166</v>
      </c>
      <c r="L389" t="n">
        <v>55</v>
      </c>
      <c r="M389" t="n">
        <v>37.02</v>
      </c>
    </row>
    <row r="390">
      <c r="A390" s="2" t="n">
        <v>8877568</v>
      </c>
      <c r="B390" s="2" t="n">
        <v>51</v>
      </c>
      <c r="C390" s="2" t="inlineStr">
        <is>
          <t>F</t>
        </is>
      </c>
      <c r="D390" s="2" t="n">
        <v>100</v>
      </c>
      <c r="E390" s="4">
        <f>HYPERLINK("./Results/DLO\20191201_1.3.12.2.1107.5.1.4.54310.30000019121621241503100009520_5_512_512_\Osteo_Sarco_1.png","RPT")</f>
        <v/>
      </c>
      <c r="F390" s="3" t="n">
        <v>107</v>
      </c>
      <c r="G390" s="3" t="n">
        <v>5</v>
      </c>
      <c r="H390" s="7" t="n">
        <v>21.88</v>
      </c>
      <c r="I390" s="0" t="inlineStr">
        <is>
          <t>Sensation 64</t>
        </is>
      </c>
      <c r="J390" s="0" t="inlineStr">
        <is>
          <t>Arterial 3.0 B30f</t>
        </is>
      </c>
      <c r="K390" t="n">
        <v>158.4</v>
      </c>
      <c r="L390" t="n">
        <v>54.9</v>
      </c>
      <c r="M390" t="n">
        <v>40.65</v>
      </c>
    </row>
    <row r="391">
      <c r="A391" s="2" t="n">
        <v>5314572</v>
      </c>
      <c r="B391" s="2" t="n">
        <v>51</v>
      </c>
      <c r="C391" s="2" t="inlineStr">
        <is>
          <t>F</t>
        </is>
      </c>
      <c r="D391" s="2" t="n">
        <v>100</v>
      </c>
      <c r="E391" s="4">
        <f>HYPERLINK("./Results/DLO\20180301_1.2.840.113619.2.311.115067870657889128079127404698116750946_304_512_512_\Osteo_Sarco_1.png","RPT")</f>
        <v/>
      </c>
      <c r="F391" s="3" t="n">
        <v>106</v>
      </c>
      <c r="G391" s="3" t="n">
        <v>13</v>
      </c>
      <c r="H391" s="7" t="n">
        <v>30.83</v>
      </c>
      <c r="I391" s="0" t="inlineStr">
        <is>
          <t>Revolution CT</t>
        </is>
      </c>
      <c r="J391" s="0" t="inlineStr">
        <is>
          <t>ABD 2.5mm</t>
        </is>
      </c>
      <c r="K391" t="n">
        <v>157</v>
      </c>
      <c r="L391" t="n">
        <v>76</v>
      </c>
      <c r="M391" t="n">
        <v>37.73</v>
      </c>
    </row>
    <row r="392">
      <c r="A392" s="2" t="n">
        <v>5799799</v>
      </c>
      <c r="B392" s="2" t="n">
        <v>51</v>
      </c>
      <c r="C392" s="2" t="inlineStr">
        <is>
          <t>F</t>
        </is>
      </c>
      <c r="D392" s="2" t="n">
        <v>100</v>
      </c>
      <c r="E392" s="4">
        <f>HYPERLINK("./Results/DLO\20190801_1.3.12.2.1107.5.1.4.54310.30000019082722430853100063954_7_512_512_\Osteo_Sarco_1.png","RPT")</f>
        <v/>
      </c>
      <c r="F392" s="3" t="n">
        <v>106</v>
      </c>
      <c r="G392" s="3" t="n">
        <v>11</v>
      </c>
      <c r="H392" s="7" t="n">
        <v>26.25</v>
      </c>
      <c r="I392" s="0" t="inlineStr">
        <is>
          <t>Sensation 64</t>
        </is>
      </c>
      <c r="J392" s="0" t="inlineStr">
        <is>
          <t>ABD Contrast 3.0 B30f</t>
        </is>
      </c>
      <c r="K392" t="n">
        <v>151.2</v>
      </c>
      <c r="L392" t="n">
        <v>60</v>
      </c>
      <c r="M392" t="n">
        <v>41.55</v>
      </c>
    </row>
    <row r="393">
      <c r="A393" s="2" t="n">
        <v>9005746</v>
      </c>
      <c r="B393" s="2" t="n">
        <v>51</v>
      </c>
      <c r="C393" s="2" t="inlineStr">
        <is>
          <t>F</t>
        </is>
      </c>
      <c r="D393" s="2" t="n">
        <v>100</v>
      </c>
      <c r="E393" s="4">
        <f>HYPERLINK("./Results/DLO\20180801_1.2.840.113619.2.94.485650834948.2.8992257.19506121.1_2_512_512_\Osteo_Sarco_1.png","RPT")</f>
        <v/>
      </c>
      <c r="F393" s="3" t="n">
        <v>104</v>
      </c>
      <c r="G393" s="3" t="n">
        <v>8</v>
      </c>
      <c r="H393" s="7" t="n">
        <v>20.95</v>
      </c>
      <c r="I393" s="0" t="inlineStr">
        <is>
          <t>Sensation 64</t>
        </is>
      </c>
      <c r="J393" s="0" t="inlineStr">
        <is>
          <t>With Contrast 3.0 B30f</t>
        </is>
      </c>
      <c r="K393" t="n">
        <v>153.7</v>
      </c>
      <c r="L393" t="n">
        <v>49.5</v>
      </c>
      <c r="M393" t="n">
        <v>40.64</v>
      </c>
    </row>
    <row r="394">
      <c r="A394" s="2" t="n">
        <v>5028202</v>
      </c>
      <c r="B394" s="2" t="n">
        <v>51</v>
      </c>
      <c r="C394" s="2" t="inlineStr">
        <is>
          <t>F</t>
        </is>
      </c>
      <c r="D394" s="2" t="n">
        <v>100</v>
      </c>
      <c r="E394" s="4">
        <f>HYPERLINK("./Results/DLO\20181101_1.2.840.113619.2.416.34065769565107964680180675044568977716_304_512_512_\Osteo_Sarco_1.png","RPT")</f>
        <v/>
      </c>
      <c r="F394" s="3" t="n">
        <v>103</v>
      </c>
      <c r="G394" s="3" t="n">
        <v>12</v>
      </c>
      <c r="H394" s="7" t="n">
        <v>21.47</v>
      </c>
      <c r="I394" s="0" t="inlineStr">
        <is>
          <t>Revolution CT</t>
        </is>
      </c>
      <c r="J394" s="0" t="inlineStr">
        <is>
          <t>ABD 2.5mm</t>
        </is>
      </c>
      <c r="K394" t="n">
        <v>158.6</v>
      </c>
      <c r="L394" t="n">
        <v>54</v>
      </c>
      <c r="M394" t="n">
        <v>36.18</v>
      </c>
    </row>
    <row r="395">
      <c r="A395" s="2" t="n">
        <v>8919995</v>
      </c>
      <c r="B395" s="2" t="n">
        <v>51</v>
      </c>
      <c r="C395" s="2" t="inlineStr">
        <is>
          <t>F</t>
        </is>
      </c>
      <c r="D395" s="2" t="n">
        <v>100</v>
      </c>
      <c r="E395" s="4">
        <f>HYPERLINK("./Results/DLO\20181201_1.2.840.113619.2.311.160458453142534894052402763845560264153_304_512_512_\Osteo_Sarco_1.png","RPT")</f>
        <v/>
      </c>
      <c r="F395" s="3" t="n">
        <v>103</v>
      </c>
      <c r="G395" s="3" t="n">
        <v>13</v>
      </c>
      <c r="H395" s="7" t="n">
        <v>20.46</v>
      </c>
      <c r="I395" s="0" t="inlineStr">
        <is>
          <t>Revolution CT</t>
        </is>
      </c>
      <c r="J395" s="0" t="inlineStr">
        <is>
          <t>ABD 2.5mm</t>
        </is>
      </c>
      <c r="K395" t="n">
        <v>156</v>
      </c>
      <c r="L395" t="n">
        <v>49.8</v>
      </c>
      <c r="M395" t="n">
        <v>36.98</v>
      </c>
    </row>
    <row r="396">
      <c r="A396" s="2" t="n">
        <v>10009663</v>
      </c>
      <c r="B396" s="2" t="n">
        <v>51</v>
      </c>
      <c r="C396" s="2" t="inlineStr">
        <is>
          <t>F</t>
        </is>
      </c>
      <c r="D396" s="2" t="n">
        <v>100</v>
      </c>
      <c r="E396" s="4">
        <f>HYPERLINK("./Results/DLO\20200601_1.3.12.2.1107.5.1.4.54310.30000020061120512217100005696_3_512_512_\Osteo_Sarco_1.png","RPT")</f>
        <v/>
      </c>
      <c r="F396" s="3" t="n">
        <v>100</v>
      </c>
      <c r="G396" s="3" t="n">
        <v>8</v>
      </c>
      <c r="H396" s="7" t="n">
        <v>23.37</v>
      </c>
      <c r="I396" s="0" t="inlineStr">
        <is>
          <t>Sensation 64</t>
        </is>
      </c>
      <c r="J396" s="0" t="inlineStr">
        <is>
          <t>Pre ABD AXL 3mm B30f</t>
        </is>
      </c>
      <c r="K396" t="n">
        <v>152</v>
      </c>
      <c r="L396" t="n">
        <v>54</v>
      </c>
      <c r="M396" t="n">
        <v>39.82</v>
      </c>
    </row>
    <row r="397">
      <c r="A397" s="2" t="n">
        <v>9794780</v>
      </c>
      <c r="B397" s="2" t="n">
        <v>52</v>
      </c>
      <c r="C397" s="2" t="inlineStr">
        <is>
          <t>F</t>
        </is>
      </c>
      <c r="D397" s="2" t="n">
        <v>100</v>
      </c>
      <c r="E397" s="4">
        <f>HYPERLINK("./Results/DLO\20190901_1.2.840.113619.2.416.121468167658701175785333874545072760164_310_512_512_\Osteo_Sarco_1.png","RPT")</f>
        <v/>
      </c>
      <c r="F397" s="3" t="n">
        <v>99</v>
      </c>
      <c r="G397" s="3" t="n">
        <v>11</v>
      </c>
      <c r="H397" s="7" t="n">
        <v>23.37</v>
      </c>
      <c r="I397" s="0" t="inlineStr">
        <is>
          <t>Revolution CT</t>
        </is>
      </c>
      <c r="J397" s="0" t="inlineStr">
        <is>
          <t>ABD</t>
        </is>
      </c>
      <c r="K397" t="n">
        <v>152</v>
      </c>
      <c r="L397" t="n">
        <v>54</v>
      </c>
      <c r="M397" t="n">
        <v>38.09</v>
      </c>
    </row>
    <row r="398">
      <c r="A398" s="2" t="n">
        <v>5838744</v>
      </c>
      <c r="B398" s="2" t="n">
        <v>52</v>
      </c>
      <c r="C398" s="2" t="inlineStr">
        <is>
          <t>F</t>
        </is>
      </c>
      <c r="D398" s="2" t="n">
        <v>100</v>
      </c>
      <c r="E398" s="4">
        <f>HYPERLINK("./Results/DLO\20190201_1.2.840.113619.2.311.164589533639480055917961799998748224273_304_512_512_\Osteo_Sarco_1.png","RPT")</f>
        <v/>
      </c>
      <c r="F398" s="3" t="n">
        <v>98</v>
      </c>
      <c r="G398" s="3" t="n">
        <v>7</v>
      </c>
      <c r="H398" s="7" t="n">
        <v>20.83</v>
      </c>
      <c r="I398" s="0" t="inlineStr">
        <is>
          <t>Revolution CT</t>
        </is>
      </c>
      <c r="J398" s="0" t="inlineStr">
        <is>
          <t>ABD 2.5mm</t>
        </is>
      </c>
      <c r="K398" t="n">
        <v>158</v>
      </c>
      <c r="L398" t="n">
        <v>52</v>
      </c>
      <c r="M398" t="n">
        <v>36.45</v>
      </c>
    </row>
    <row r="399">
      <c r="A399" s="2" t="n">
        <v>1325921</v>
      </c>
      <c r="B399" s="2" t="n">
        <v>52</v>
      </c>
      <c r="C399" s="2" t="inlineStr">
        <is>
          <t>F</t>
        </is>
      </c>
      <c r="D399" s="2" t="n">
        <v>100</v>
      </c>
      <c r="E399" s="4">
        <f>HYPERLINK("./Results/DLO\20181101_1.2.840.113619.2.416.316100658017199577842690067969738493815_304_512_512_\Osteo_Sarco_1.png","RPT")</f>
        <v/>
      </c>
      <c r="F399" s="3" t="n">
        <v>96</v>
      </c>
      <c r="G399" s="3" t="n">
        <v>7</v>
      </c>
      <c r="H399" s="7" t="n">
        <v>22.21</v>
      </c>
      <c r="I399" s="0" t="inlineStr">
        <is>
          <t>Revolution CT</t>
        </is>
      </c>
      <c r="J399" s="0" t="inlineStr">
        <is>
          <t>ABD 2.5mm</t>
        </is>
      </c>
      <c r="K399" t="n">
        <v>163</v>
      </c>
      <c r="L399" t="n">
        <v>59</v>
      </c>
      <c r="M399" t="n">
        <v>33.5</v>
      </c>
    </row>
    <row r="400">
      <c r="A400" s="2" t="n">
        <v>5775612</v>
      </c>
      <c r="B400" s="2" t="n">
        <v>52</v>
      </c>
      <c r="C400" s="2" t="inlineStr">
        <is>
          <t>F</t>
        </is>
      </c>
      <c r="D400" s="2" t="n">
        <v>100</v>
      </c>
      <c r="E400" s="4">
        <f>HYPERLINK("./Results/DLO\20181001_1.2.840.113619.2.416.292812070256175310756078924615645454170_303_512_512_\Osteo_Sarco_1.png","RPT")</f>
        <v/>
      </c>
      <c r="F400" s="3" t="n">
        <v>95</v>
      </c>
      <c r="G400" s="3" t="n">
        <v>7</v>
      </c>
      <c r="H400" s="7" t="n">
        <v>26.06</v>
      </c>
      <c r="I400" s="0" t="inlineStr">
        <is>
          <t>Revolution CT</t>
        </is>
      </c>
      <c r="J400" s="0" t="inlineStr">
        <is>
          <t>ABD 2.5mm</t>
        </is>
      </c>
      <c r="K400" t="n">
        <v>153</v>
      </c>
      <c r="L400" t="n">
        <v>61</v>
      </c>
      <c r="M400" t="n">
        <v>37.59</v>
      </c>
    </row>
    <row r="401">
      <c r="A401" s="2" t="n">
        <v>6739283</v>
      </c>
      <c r="B401" s="2" t="n">
        <v>52</v>
      </c>
      <c r="C401" s="2" t="inlineStr">
        <is>
          <t>F</t>
        </is>
      </c>
      <c r="D401" s="2" t="n">
        <v>100</v>
      </c>
      <c r="E401" s="4">
        <f>HYPERLINK("./Results/DLO\20180101_1.2.840.113619.2.94.485650834948.2.8571867.18474208.1_2_512_512_\Osteo_Sarco_1.png","RPT")</f>
        <v/>
      </c>
      <c r="F401" s="3" t="n">
        <v>93</v>
      </c>
      <c r="G401" s="3" t="n">
        <v>6</v>
      </c>
      <c r="H401" s="7" t="n">
        <v>18.72</v>
      </c>
      <c r="I401" s="0" t="inlineStr">
        <is>
          <t>Sensation 64</t>
        </is>
      </c>
      <c r="J401" s="0" t="inlineStr">
        <is>
          <t>With Contrast 3.0 B30f</t>
        </is>
      </c>
      <c r="K401" t="n">
        <v>155.9</v>
      </c>
      <c r="L401" t="n">
        <v>45.5</v>
      </c>
      <c r="M401" t="n">
        <v>35.8</v>
      </c>
    </row>
    <row r="402">
      <c r="A402" s="2" t="n">
        <v>6739626</v>
      </c>
      <c r="B402" s="2" t="n">
        <v>52</v>
      </c>
      <c r="C402" s="2" t="inlineStr">
        <is>
          <t>F</t>
        </is>
      </c>
      <c r="D402" s="2" t="n">
        <v>100</v>
      </c>
      <c r="E402" s="4">
        <f>HYPERLINK("./Results/DLO\20180301_1.2.840.113619.2.311.179229911352055677734130132014650546497_304_512_512_\Osteo_Sarco_1.png","RPT")</f>
        <v/>
      </c>
      <c r="F402" s="3" t="n">
        <v>93</v>
      </c>
      <c r="G402" s="3" t="n">
        <v>10</v>
      </c>
      <c r="H402" s="7" t="n">
        <v>27.97</v>
      </c>
      <c r="I402" s="0" t="inlineStr">
        <is>
          <t>Revolution CT</t>
        </is>
      </c>
      <c r="J402" s="0" t="inlineStr">
        <is>
          <t>ABD 2.5mm</t>
        </is>
      </c>
      <c r="K402" t="n">
        <v>137.4</v>
      </c>
      <c r="L402" t="n">
        <v>52.8</v>
      </c>
      <c r="M402" t="n">
        <v>43.96</v>
      </c>
    </row>
    <row r="403">
      <c r="A403" s="2" t="n">
        <v>5652005</v>
      </c>
      <c r="B403" s="2" t="n">
        <v>52</v>
      </c>
      <c r="C403" s="2" t="inlineStr">
        <is>
          <t>F</t>
        </is>
      </c>
      <c r="D403" s="2" t="n">
        <v>100</v>
      </c>
      <c r="E403" s="4">
        <f>HYPERLINK("./Results/DLO\20190501_1.3.46.670589.33.1.63692908471151182200001.5495537553229645772_201_512_512_\Osteo_Sarco_1.png","RPT")</f>
        <v/>
      </c>
      <c r="F403" s="3" t="n">
        <v>93</v>
      </c>
      <c r="G403" s="3" t="n">
        <v>6</v>
      </c>
      <c r="H403" s="7" t="n">
        <v>22.94</v>
      </c>
      <c r="I403" s="0" t="inlineStr">
        <is>
          <t>Ingenuity Core 128</t>
        </is>
      </c>
      <c r="J403" s="0" t="inlineStr">
        <is>
          <t>Post 3mm, iDose (3)</t>
        </is>
      </c>
      <c r="K403" t="n">
        <v>152</v>
      </c>
      <c r="L403" t="n">
        <v>53</v>
      </c>
      <c r="M403" t="n">
        <v>37.66</v>
      </c>
    </row>
    <row r="404">
      <c r="A404" s="2" t="n">
        <v>8901820</v>
      </c>
      <c r="B404" s="2" t="n">
        <v>52</v>
      </c>
      <c r="C404" s="2" t="inlineStr">
        <is>
          <t>F</t>
        </is>
      </c>
      <c r="D404" s="2" t="n">
        <v>100</v>
      </c>
      <c r="E404" s="4">
        <f>HYPERLINK("./Results/DLO\20180301_1.3.12.2.1107.5.1.4.54310.30000018031400000235900005397_2_512_512_\Osteo_Sarco_1.png","RPT")</f>
        <v/>
      </c>
      <c r="F404" s="3" t="n">
        <v>90</v>
      </c>
      <c r="G404" s="3" t="n">
        <v>9</v>
      </c>
      <c r="H404" s="7" t="n">
        <v>25.04</v>
      </c>
      <c r="I404" s="0" t="inlineStr">
        <is>
          <t>Sensation 64</t>
        </is>
      </c>
      <c r="J404" s="0" t="inlineStr">
        <is>
          <t>With Contrast 3.0 B30f</t>
        </is>
      </c>
      <c r="K404" t="n">
        <v>158.5</v>
      </c>
      <c r="L404" t="n">
        <v>62.9</v>
      </c>
      <c r="M404" t="n">
        <v>32.24</v>
      </c>
    </row>
    <row r="405">
      <c r="A405" s="2" t="n">
        <v>9005549</v>
      </c>
      <c r="B405" s="2" t="n">
        <v>52</v>
      </c>
      <c r="C405" s="2" t="inlineStr">
        <is>
          <t>F</t>
        </is>
      </c>
      <c r="D405" s="2" t="n">
        <v>100</v>
      </c>
      <c r="E405" s="4">
        <f>HYPERLINK("./Results/DLO\20180801_1.3.12.2.1107.5.1.4.54310.30000018080100141850000010687_2_512_512_\Osteo_Sarco_1.png","RPT")</f>
        <v/>
      </c>
      <c r="F405" s="3" t="n">
        <v>88</v>
      </c>
      <c r="G405" s="3" t="n">
        <v>8</v>
      </c>
      <c r="H405" s="7" t="n">
        <v>23.24</v>
      </c>
      <c r="I405" s="0" t="inlineStr">
        <is>
          <t>Sensation 64</t>
        </is>
      </c>
      <c r="J405" s="0" t="inlineStr">
        <is>
          <t>With Contrast 3.0 B30f</t>
        </is>
      </c>
      <c r="K405" t="n">
        <v>151</v>
      </c>
      <c r="L405" t="n">
        <v>53</v>
      </c>
      <c r="M405" t="n">
        <v>35.09</v>
      </c>
    </row>
    <row r="406">
      <c r="A406" s="2" t="n">
        <v>5022729</v>
      </c>
      <c r="B406" s="2" t="n">
        <v>52</v>
      </c>
      <c r="C406" s="2" t="inlineStr">
        <is>
          <t>M</t>
        </is>
      </c>
      <c r="D406" s="2" t="n">
        <v>100</v>
      </c>
      <c r="E406" s="4">
        <f>HYPERLINK("./Results/DLO\20180401_1.3.12.2.1107.5.1.4.65253.30000018042420550416800019201_2_512_512_\Osteo_Sarco_1.png","RPT")</f>
        <v/>
      </c>
      <c r="F406" s="3" t="n">
        <v>203</v>
      </c>
      <c r="G406" s="3" t="n">
        <v>37</v>
      </c>
      <c r="H406" s="6" t="n">
        <v>28.41</v>
      </c>
      <c r="I406" s="0" t="inlineStr">
        <is>
          <t>SOMATOM Definition AS</t>
        </is>
      </c>
      <c r="J406" s="0" t="inlineStr">
        <is>
          <t>W/O Contrast 2.0 B30f</t>
        </is>
      </c>
      <c r="K406" t="n">
        <v>176</v>
      </c>
      <c r="L406" t="n">
        <v>88</v>
      </c>
      <c r="M406" t="n">
        <v>53.59</v>
      </c>
    </row>
    <row r="407">
      <c r="A407" s="2" t="n">
        <v>9944663</v>
      </c>
      <c r="B407" s="2" t="n">
        <v>52</v>
      </c>
      <c r="C407" s="2" t="inlineStr">
        <is>
          <t>M</t>
        </is>
      </c>
      <c r="D407" s="2" t="n">
        <v>100</v>
      </c>
      <c r="E407" s="4">
        <f>HYPERLINK("./Results/DLO\20200501_1.3.46.670589.33.1.63725560835039149100001.5347888511767194455_201_512_512_\Osteo_Sarco_1.png","RPT")</f>
        <v/>
      </c>
      <c r="F407" s="3" t="n">
        <v>168</v>
      </c>
      <c r="G407" s="3" t="n">
        <v>10</v>
      </c>
      <c r="H407" s="7" t="n">
        <v>25.32</v>
      </c>
      <c r="I407" s="0" t="inlineStr">
        <is>
          <t>Ingenuity Core 128</t>
        </is>
      </c>
      <c r="J407" s="0" t="inlineStr">
        <is>
          <t>Post 3mm, iDose (3)</t>
        </is>
      </c>
      <c r="K407" t="n">
        <v>169.9</v>
      </c>
      <c r="L407" t="n">
        <v>73.09999999999999</v>
      </c>
      <c r="M407" t="n">
        <v>54.74</v>
      </c>
    </row>
    <row r="408">
      <c r="A408" s="2" t="n">
        <v>6741519</v>
      </c>
      <c r="B408" s="2" t="n">
        <v>52</v>
      </c>
      <c r="C408" s="2" t="inlineStr">
        <is>
          <t>M</t>
        </is>
      </c>
      <c r="D408" s="2" t="n">
        <v>100</v>
      </c>
      <c r="E408" s="4">
        <f>HYPERLINK("./Results/DLO\20191101_1.3.46.670589.33.1.63710445654014391700001.4720815295104205486_201_512_512_\Osteo_Sarco_1.png","RPT")</f>
        <v/>
      </c>
      <c r="F408" s="3" t="n">
        <v>166</v>
      </c>
      <c r="G408" s="3" t="n">
        <v>5</v>
      </c>
      <c r="H408" s="7" t="n">
        <v>26.37</v>
      </c>
      <c r="I408" s="0" t="inlineStr">
        <is>
          <t>Ingenuity Core 128</t>
        </is>
      </c>
      <c r="J408" s="0" t="inlineStr">
        <is>
          <t>Post 3mm, iDose (3)</t>
        </is>
      </c>
      <c r="K408" t="n">
        <v>172</v>
      </c>
      <c r="L408" t="n">
        <v>78</v>
      </c>
      <c r="M408" t="n">
        <v>54.42</v>
      </c>
    </row>
    <row r="409">
      <c r="A409" s="2" t="n">
        <v>5263493</v>
      </c>
      <c r="B409" s="2" t="n">
        <v>52</v>
      </c>
      <c r="C409" s="2" t="inlineStr">
        <is>
          <t>M</t>
        </is>
      </c>
      <c r="D409" s="2" t="n">
        <v>100</v>
      </c>
      <c r="E409" s="4">
        <f>HYPERLINK("./Results/DLO\20180901_1.3.46.670589.33.1.63671648898726655700001.5656746704967012479_201_512_512_\Osteo_Sarco_1.png","RPT")</f>
        <v/>
      </c>
      <c r="F409" s="3" t="n">
        <v>159</v>
      </c>
      <c r="G409" s="3" t="n">
        <v>11</v>
      </c>
      <c r="H409" s="7" t="n">
        <v>23.51</v>
      </c>
      <c r="I409" s="0" t="inlineStr">
        <is>
          <t>Ingenuity Core 128</t>
        </is>
      </c>
      <c r="J409" s="0" t="inlineStr">
        <is>
          <t>Post 100/236 i3, iDose (3)</t>
        </is>
      </c>
      <c r="K409" t="n">
        <v>165</v>
      </c>
      <c r="L409" t="n">
        <v>64</v>
      </c>
      <c r="M409" t="n">
        <v>54.36</v>
      </c>
    </row>
    <row r="410">
      <c r="A410" s="2" t="n">
        <v>9005877</v>
      </c>
      <c r="B410" s="2" t="n">
        <v>52</v>
      </c>
      <c r="C410" s="2" t="inlineStr">
        <is>
          <t>M</t>
        </is>
      </c>
      <c r="D410" s="2" t="n">
        <v>100</v>
      </c>
      <c r="E410" s="4">
        <f>HYPERLINK("./Results/DLO\20180101_1.3.46.670589.33.1.63651957362174181200001.4795407560222357677_601_512_512_\Osteo_Sarco_1.png","RPT")</f>
        <v/>
      </c>
      <c r="F410" s="3" t="n">
        <v>153</v>
      </c>
      <c r="G410" s="3" t="n">
        <v>6</v>
      </c>
      <c r="H410" s="7" t="n">
        <v>25.79</v>
      </c>
      <c r="I410" s="0" t="inlineStr">
        <is>
          <t>Ingenuity Core 128</t>
        </is>
      </c>
      <c r="J410" s="0" t="inlineStr">
        <is>
          <t>Post 100/236 i3, iDose (3)</t>
        </is>
      </c>
      <c r="K410" t="n">
        <v>163.1</v>
      </c>
      <c r="L410" t="n">
        <v>68.59999999999999</v>
      </c>
      <c r="M410" t="n">
        <v>55.26</v>
      </c>
    </row>
    <row r="411">
      <c r="A411" s="2" t="n">
        <v>9467496</v>
      </c>
      <c r="B411" s="2" t="n">
        <v>52</v>
      </c>
      <c r="C411" s="2" t="inlineStr">
        <is>
          <t>M</t>
        </is>
      </c>
      <c r="D411" s="2" t="n">
        <v>100</v>
      </c>
      <c r="E411" s="4">
        <f>HYPERLINK("./Results/DLO\20181201_1.3.12.2.1107.5.1.4.54310.30000018122323111123400048143_2_512_512_\Osteo_Sarco_1.png","RPT")</f>
        <v/>
      </c>
      <c r="F411" s="3" t="n">
        <v>153</v>
      </c>
      <c r="G411" s="3" t="n">
        <v>6</v>
      </c>
      <c r="H411" s="6" t="n">
        <v>26</v>
      </c>
      <c r="I411" s="0" t="inlineStr">
        <is>
          <t>Sensation 64</t>
        </is>
      </c>
      <c r="J411" s="0" t="inlineStr">
        <is>
          <t>Pre Contrast 3.0 B30f</t>
        </is>
      </c>
      <c r="K411" t="n">
        <v>168.7</v>
      </c>
      <c r="L411" t="n">
        <v>74</v>
      </c>
      <c r="M411" t="n">
        <v>51.65</v>
      </c>
    </row>
    <row r="412">
      <c r="A412" s="2" t="n">
        <v>6742601</v>
      </c>
      <c r="B412" s="2" t="n">
        <v>52</v>
      </c>
      <c r="C412" s="2" t="inlineStr">
        <is>
          <t>F</t>
        </is>
      </c>
      <c r="D412" s="2" t="n">
        <v>100</v>
      </c>
      <c r="E412" s="4">
        <f>HYPERLINK("./Results/DLO\20180301_1.2.840.113619.2.94.485650834948.2.8705639.18800170.1_2_512_512_\Osteo_Sarco_1.png","RPT")</f>
        <v/>
      </c>
      <c r="F412" s="3" t="n">
        <v>141</v>
      </c>
      <c r="G412" s="3" t="n">
        <v>8</v>
      </c>
      <c r="H412" s="6" t="n">
        <v>26.42</v>
      </c>
      <c r="I412" s="0" t="inlineStr">
        <is>
          <t>Sensation 64</t>
        </is>
      </c>
      <c r="J412" s="0" t="inlineStr">
        <is>
          <t>With Contrast 3.0 B30f</t>
        </is>
      </c>
      <c r="K412" t="n">
        <v>158.3</v>
      </c>
      <c r="L412" t="n">
        <v>66.2</v>
      </c>
      <c r="M412" t="n">
        <v>53.07</v>
      </c>
    </row>
    <row r="413">
      <c r="A413" s="2" t="n">
        <v>5022767</v>
      </c>
      <c r="B413" s="2" t="n">
        <v>52</v>
      </c>
      <c r="C413" s="2" t="inlineStr">
        <is>
          <t>F</t>
        </is>
      </c>
      <c r="D413" s="2" t="n">
        <v>100</v>
      </c>
      <c r="E413" s="4">
        <f>HYPERLINK("./Results/DLO\20190101_1.2.840.113619.2.416.121423501463331843407639050235051452237_304_512_512_\Osteo_Sarco_1.png","RPT")</f>
        <v/>
      </c>
      <c r="F413" s="3" t="n">
        <v>128</v>
      </c>
      <c r="G413" s="3" t="n">
        <v>11</v>
      </c>
      <c r="H413" s="7" t="n">
        <v>26.36</v>
      </c>
      <c r="I413" s="0" t="inlineStr">
        <is>
          <t>Revolution CT</t>
        </is>
      </c>
      <c r="J413" s="0" t="inlineStr">
        <is>
          <t>ABD 2.5mm</t>
        </is>
      </c>
      <c r="K413" t="n">
        <v>155.1</v>
      </c>
      <c r="L413" t="n">
        <v>63.4</v>
      </c>
      <c r="M413" t="n">
        <v>48.64</v>
      </c>
    </row>
    <row r="414">
      <c r="A414" s="2" t="n">
        <v>305343</v>
      </c>
      <c r="B414" s="2" t="n">
        <v>52</v>
      </c>
      <c r="C414" s="2" t="inlineStr">
        <is>
          <t>F</t>
        </is>
      </c>
      <c r="D414" s="2" t="n">
        <v>100</v>
      </c>
      <c r="E414" s="4">
        <f>HYPERLINK("./Results/DLO\20190501_1.2.840.113619.2.416.319505693201596446324922096741805212704_310_512_512_\Osteo_Sarco_1.png","RPT")</f>
        <v/>
      </c>
      <c r="F414" s="3" t="n">
        <v>127</v>
      </c>
      <c r="G414" s="3" t="n">
        <v>8</v>
      </c>
      <c r="H414" s="7" t="n">
        <v>22.16</v>
      </c>
      <c r="I414" s="0" t="inlineStr">
        <is>
          <t>Revolution CT</t>
        </is>
      </c>
      <c r="J414" s="0" t="inlineStr">
        <is>
          <t>ABD</t>
        </is>
      </c>
      <c r="K414" t="n">
        <v>161.1</v>
      </c>
      <c r="L414" t="n">
        <v>57.5</v>
      </c>
      <c r="M414" t="n">
        <v>45.85</v>
      </c>
    </row>
    <row r="415">
      <c r="A415" s="2" t="n">
        <v>10021153</v>
      </c>
      <c r="B415" s="2" t="n">
        <v>52</v>
      </c>
      <c r="C415" s="2" t="inlineStr">
        <is>
          <t>F</t>
        </is>
      </c>
      <c r="D415" s="2" t="n">
        <v>100</v>
      </c>
      <c r="E415" s="4">
        <f>HYPERLINK("./Results/DLO\20200601_1.3.12.2.1107.5.1.4.54310.30000020062822352337500035239_7_512_512_\Osteo_Sarco_1.png","RPT")</f>
        <v/>
      </c>
      <c r="F415" s="3" t="n">
        <v>127</v>
      </c>
      <c r="G415" s="3" t="n">
        <v>8</v>
      </c>
      <c r="H415" s="7" t="n">
        <v>23.06</v>
      </c>
      <c r="I415" s="0" t="inlineStr">
        <is>
          <t>Sensation 64</t>
        </is>
      </c>
      <c r="J415" s="0" t="inlineStr">
        <is>
          <t>ABD 3mm B30f</t>
        </is>
      </c>
      <c r="K415" t="n">
        <v>161.3</v>
      </c>
      <c r="L415" t="n">
        <v>60</v>
      </c>
      <c r="M415" t="n">
        <v>45.74</v>
      </c>
    </row>
    <row r="416">
      <c r="A416" s="2" t="n">
        <v>8503085</v>
      </c>
      <c r="B416" s="2" t="n">
        <v>52</v>
      </c>
      <c r="C416" s="2" t="inlineStr">
        <is>
          <t>M</t>
        </is>
      </c>
      <c r="D416" s="2" t="n">
        <v>100</v>
      </c>
      <c r="E416" s="4">
        <f>HYPERLINK("./Results/DLO\20180301_1.2.840.113619.2.311.134256169663791513885435815611850780198_304_512_512_\Osteo_Sarco_1.png","RPT")</f>
        <v/>
      </c>
      <c r="F416" s="3" t="n">
        <v>125</v>
      </c>
      <c r="G416" s="3" t="n">
        <v>6</v>
      </c>
      <c r="H416" s="7" t="n">
        <v>22.1</v>
      </c>
      <c r="I416" s="0" t="inlineStr">
        <is>
          <t>Revolution CT</t>
        </is>
      </c>
      <c r="J416" s="0" t="inlineStr">
        <is>
          <t>ABD 2.5mm</t>
        </is>
      </c>
      <c r="K416" t="n">
        <v>162</v>
      </c>
      <c r="L416" t="n">
        <v>58</v>
      </c>
      <c r="M416" t="n">
        <v>45.34</v>
      </c>
    </row>
    <row r="417">
      <c r="A417" s="2" t="n">
        <v>9008774</v>
      </c>
      <c r="B417" s="2" t="n">
        <v>52</v>
      </c>
      <c r="C417" s="2" t="inlineStr">
        <is>
          <t>M</t>
        </is>
      </c>
      <c r="D417" s="2" t="n">
        <v>100</v>
      </c>
      <c r="E417" s="4">
        <f>HYPERLINK("./Results/DLO\20190401_1.3.12.2.1107.5.1.4.65253.30000019042505363431300008886_2_512_512_\Osteo_Sarco_1.png","RPT")</f>
        <v/>
      </c>
      <c r="F417" s="3" t="n">
        <v>125</v>
      </c>
      <c r="G417" s="3" t="n">
        <v>16</v>
      </c>
      <c r="H417" s="7" t="n">
        <v>20.81</v>
      </c>
      <c r="I417" s="0" t="inlineStr">
        <is>
          <t>SOMATOM Definition AS</t>
        </is>
      </c>
      <c r="J417" s="0" t="inlineStr">
        <is>
          <t>Pre Contrast 3.0 B30f</t>
        </is>
      </c>
      <c r="K417" t="n">
        <v>174</v>
      </c>
      <c r="L417" t="n">
        <v>63</v>
      </c>
      <c r="M417" t="n">
        <v>36</v>
      </c>
    </row>
    <row r="418">
      <c r="A418" s="2" t="n">
        <v>8419166</v>
      </c>
      <c r="B418" s="2" t="n">
        <v>52</v>
      </c>
      <c r="C418" s="2" t="inlineStr">
        <is>
          <t>F</t>
        </is>
      </c>
      <c r="D418" s="2" t="n">
        <v>100</v>
      </c>
      <c r="E418" s="4">
        <f>HYPERLINK("./Results/DLO\20181101_1.3.12.2.1107.5.1.4.54310.30000018112223114085900002510_2_512_512_\Osteo_Sarco_1.png","RPT")</f>
        <v/>
      </c>
      <c r="F418" s="3" t="n">
        <v>124</v>
      </c>
      <c r="G418" s="3" t="n">
        <v>4</v>
      </c>
      <c r="H418" s="7" t="n">
        <v>22.55</v>
      </c>
      <c r="I418" s="0" t="inlineStr">
        <is>
          <t>Sensation 64</t>
        </is>
      </c>
      <c r="J418" s="0" t="inlineStr">
        <is>
          <t>With Contrast 3.0 B30f</t>
        </is>
      </c>
      <c r="K418" t="n">
        <v>159</v>
      </c>
      <c r="L418" t="n">
        <v>57</v>
      </c>
      <c r="M418" t="n">
        <v>47.47</v>
      </c>
    </row>
    <row r="419">
      <c r="A419" s="2" t="n">
        <v>6742658</v>
      </c>
      <c r="B419" s="2" t="n">
        <v>52</v>
      </c>
      <c r="C419" s="2" t="inlineStr">
        <is>
          <t>M</t>
        </is>
      </c>
      <c r="D419" s="2" t="n">
        <v>100</v>
      </c>
      <c r="E419" s="4">
        <f>HYPERLINK("./Results/DLO\20190201_1.2.840.113619.2.416.337821620160861049080301292279030855050_304_512_512_\Osteo_Sarco_1.png","RPT")</f>
        <v/>
      </c>
      <c r="F419" s="3" t="n">
        <v>123</v>
      </c>
      <c r="G419" s="3" t="n">
        <v>8</v>
      </c>
      <c r="H419" s="7" t="n">
        <v>21.81</v>
      </c>
      <c r="I419" s="0" t="inlineStr">
        <is>
          <t>Revolution CT</t>
        </is>
      </c>
      <c r="J419" s="0" t="inlineStr">
        <is>
          <t>ABD 2.5mm</t>
        </is>
      </c>
      <c r="K419" t="n">
        <v>168.6</v>
      </c>
      <c r="L419" t="n">
        <v>62</v>
      </c>
      <c r="M419" t="n">
        <v>40.46</v>
      </c>
    </row>
    <row r="420">
      <c r="A420" s="2" t="n">
        <v>8372909</v>
      </c>
      <c r="B420" s="2" t="n">
        <v>52</v>
      </c>
      <c r="C420" s="2" t="inlineStr">
        <is>
          <t>F</t>
        </is>
      </c>
      <c r="D420" s="2" t="n">
        <v>100</v>
      </c>
      <c r="E420" s="4">
        <f>HYPERLINK("./Results/DLO\20180801_1.2.840.113619.2.416.195504952652595062566436346105207517905_304_512_512_\Osteo_Sarco_1.png","RPT")</f>
        <v/>
      </c>
      <c r="F420" s="3" t="n">
        <v>122</v>
      </c>
      <c r="G420" s="3" t="n">
        <v>11</v>
      </c>
      <c r="H420" s="7" t="n">
        <v>25.15</v>
      </c>
      <c r="I420" s="0" t="inlineStr">
        <is>
          <t>Revolution CT</t>
        </is>
      </c>
      <c r="J420" s="0" t="inlineStr">
        <is>
          <t>ABD 2.5mm</t>
        </is>
      </c>
      <c r="K420" t="n">
        <v>157</v>
      </c>
      <c r="L420" t="n">
        <v>62</v>
      </c>
      <c r="M420" t="n">
        <v>45.03</v>
      </c>
    </row>
    <row r="421">
      <c r="A421" s="2" t="n">
        <v>9955105</v>
      </c>
      <c r="B421" s="2" t="n">
        <v>52</v>
      </c>
      <c r="C421" s="2" t="inlineStr">
        <is>
          <t>F</t>
        </is>
      </c>
      <c r="D421" s="2" t="n">
        <v>100</v>
      </c>
      <c r="E421" s="4">
        <f>HYPERLINK("./Results/DLO\20200401_1.2.840.113619.2.416.266102686074743374800492363056499936132_310_512_512_\Osteo_Sarco_1.png","RPT")</f>
        <v/>
      </c>
      <c r="F421" s="3" t="n">
        <v>120</v>
      </c>
      <c r="G421" s="3" t="n">
        <v>15</v>
      </c>
      <c r="H421" s="6" t="n">
        <v>22.66</v>
      </c>
      <c r="I421" s="0" t="inlineStr">
        <is>
          <t>Revolution CT</t>
        </is>
      </c>
      <c r="J421" s="0" t="inlineStr">
        <is>
          <t>ABD</t>
        </is>
      </c>
      <c r="K421" t="n">
        <v>160</v>
      </c>
      <c r="L421" t="n">
        <v>58</v>
      </c>
      <c r="M421" t="n">
        <v>41.02</v>
      </c>
    </row>
    <row r="422">
      <c r="A422" s="2" t="n">
        <v>9689839</v>
      </c>
      <c r="B422" s="2" t="n">
        <v>52</v>
      </c>
      <c r="C422" s="2" t="inlineStr">
        <is>
          <t>M</t>
        </is>
      </c>
      <c r="D422" s="2" t="n">
        <v>100</v>
      </c>
      <c r="E422" s="4">
        <f>HYPERLINK("./Results/DLO\20190501_1.2.410.100011.172.16.44.21.6369457621526332111.2_2_512_512_\Osteo_Sarco_1.png","RPT")</f>
        <v/>
      </c>
      <c r="F422" s="3" t="n">
        <v>117</v>
      </c>
      <c r="G422" s="3" t="n">
        <v>6</v>
      </c>
      <c r="H422" s="7" t="n">
        <v>17.33</v>
      </c>
      <c r="I422" s="0" t="inlineStr">
        <is>
          <t>SOMATOM Definition Edge</t>
        </is>
      </c>
      <c r="J422" s="0" t="inlineStr">
        <is>
          <t>Abd Pre 5.0 140f 1</t>
        </is>
      </c>
      <c r="K422" t="n">
        <v>178</v>
      </c>
      <c r="L422" t="n">
        <v>54.9</v>
      </c>
      <c r="M422" t="n">
        <v>35.03</v>
      </c>
    </row>
    <row r="423">
      <c r="A423" s="2" t="n">
        <v>4888180</v>
      </c>
      <c r="B423" s="2" t="n">
        <v>52</v>
      </c>
      <c r="C423" s="2" t="inlineStr">
        <is>
          <t>F</t>
        </is>
      </c>
      <c r="D423" s="2" t="n">
        <v>100</v>
      </c>
      <c r="E423" s="4">
        <f>HYPERLINK("./Results/DLO\20180301_1.3.12.2.1107.5.1.4.54310.30000018031123353956200002657_2_512_512_\Osteo_Sarco_1.png","RPT")</f>
        <v/>
      </c>
      <c r="F423" s="3" t="n">
        <v>115</v>
      </c>
      <c r="G423" s="3" t="n">
        <v>11</v>
      </c>
      <c r="H423" s="7" t="n">
        <v>23.2</v>
      </c>
      <c r="I423" s="0" t="inlineStr">
        <is>
          <t>Sensation 64</t>
        </is>
      </c>
      <c r="J423" s="0" t="inlineStr">
        <is>
          <t>With Contrast 3.0 B30f</t>
        </is>
      </c>
      <c r="K423" t="n">
        <v>162.8</v>
      </c>
      <c r="L423" t="n">
        <v>61.5</v>
      </c>
      <c r="M423" t="n">
        <v>39.24</v>
      </c>
    </row>
    <row r="424">
      <c r="A424" s="2" t="n">
        <v>8656924</v>
      </c>
      <c r="B424" s="2" t="n">
        <v>52</v>
      </c>
      <c r="C424" s="2" t="inlineStr">
        <is>
          <t>F</t>
        </is>
      </c>
      <c r="D424" s="2" t="n">
        <v>100</v>
      </c>
      <c r="E424" s="4">
        <f>HYPERLINK("./Results/DLO\20191101_1.3.12.2.1107.5.1.4.65253.30000019110619532698500031036_3_512_512_\Osteo_Sarco_1.png","RPT")</f>
        <v/>
      </c>
      <c r="F424" s="3" t="n">
        <v>115</v>
      </c>
      <c r="G424" s="3" t="n">
        <v>11</v>
      </c>
      <c r="H424" s="6" t="n">
        <v>24.83</v>
      </c>
      <c r="I424" s="0" t="inlineStr">
        <is>
          <t>SOMATOM Definition AS</t>
        </is>
      </c>
      <c r="J424" s="0" t="inlineStr">
        <is>
          <t>Post Contrast 3.0 B30f</t>
        </is>
      </c>
      <c r="K424" t="n">
        <v>160.8</v>
      </c>
      <c r="L424" t="n">
        <v>64.2</v>
      </c>
      <c r="M424" t="n">
        <v>40.22</v>
      </c>
    </row>
    <row r="425">
      <c r="A425" s="2" t="n">
        <v>5027420</v>
      </c>
      <c r="B425" s="2" t="n">
        <v>52</v>
      </c>
      <c r="C425" s="2" t="inlineStr">
        <is>
          <t>F</t>
        </is>
      </c>
      <c r="D425" s="2" t="n">
        <v>100</v>
      </c>
      <c r="E425" s="4">
        <f>HYPERLINK("./Results/DLO\20180501_1.2.840.113619.2.416.124692626739468111304626481795745061679_303_512_512_\Osteo_Sarco_1.png","RPT")</f>
        <v/>
      </c>
      <c r="F425" s="3" t="n">
        <v>112</v>
      </c>
      <c r="G425" s="3" t="n">
        <v>7</v>
      </c>
      <c r="H425" s="7" t="n">
        <v>22.86</v>
      </c>
      <c r="I425" s="0" t="inlineStr">
        <is>
          <t>Revolution CT</t>
        </is>
      </c>
      <c r="J425" s="0" t="inlineStr">
        <is>
          <t>ABD 2.5mm</t>
        </is>
      </c>
      <c r="K425" t="n">
        <v>166</v>
      </c>
      <c r="L425" t="n">
        <v>63</v>
      </c>
      <c r="M425" t="n">
        <v>38.1</v>
      </c>
    </row>
    <row r="426">
      <c r="A426" s="2" t="n">
        <v>5735661</v>
      </c>
      <c r="B426" s="2" t="n">
        <v>52</v>
      </c>
      <c r="C426" s="2" t="inlineStr">
        <is>
          <t>F</t>
        </is>
      </c>
      <c r="D426" s="2" t="n">
        <v>100</v>
      </c>
      <c r="E426" s="4">
        <f>HYPERLINK("./Results/DLO\20180701_1.3.46.670589.33.1.63666732051118482600001.5743793060019199338_201_512_512_\Osteo_Sarco_1.png","RPT")</f>
        <v/>
      </c>
      <c r="F426" s="3" t="n">
        <v>112</v>
      </c>
      <c r="G426" s="3" t="n">
        <v>7</v>
      </c>
      <c r="H426" s="7" t="n">
        <v>18</v>
      </c>
      <c r="I426" s="0" t="inlineStr">
        <is>
          <t>Ingenuity Core 128</t>
        </is>
      </c>
      <c r="J426" s="0" t="inlineStr">
        <is>
          <t>Post 100/236 i3, iDose (3)</t>
        </is>
      </c>
      <c r="K426" t="n">
        <v>165</v>
      </c>
      <c r="L426" t="n">
        <v>49</v>
      </c>
      <c r="M426" t="n">
        <v>38.57</v>
      </c>
    </row>
    <row r="427">
      <c r="A427" s="2" t="n">
        <v>1763313</v>
      </c>
      <c r="B427" s="2" t="n">
        <v>52</v>
      </c>
      <c r="C427" s="2" t="inlineStr">
        <is>
          <t>F</t>
        </is>
      </c>
      <c r="D427" s="2" t="n">
        <v>100</v>
      </c>
      <c r="E427" s="4">
        <f>HYPERLINK("./Results/DLO\20191201_1.3.12.2.1107.5.1.4.54310.30000019120822065890600013240_5_512_512_\Osteo_Sarco_1.png","RPT")</f>
        <v/>
      </c>
      <c r="F427" s="3" t="n">
        <v>112</v>
      </c>
      <c r="G427" s="3" t="n">
        <v>8</v>
      </c>
      <c r="H427" s="7" t="n">
        <v>21.83</v>
      </c>
      <c r="I427" s="0" t="inlineStr">
        <is>
          <t>Sensation 64</t>
        </is>
      </c>
      <c r="J427" s="0" t="inlineStr">
        <is>
          <t>Arterial 3.0 B30f</t>
        </is>
      </c>
      <c r="K427" t="n">
        <v>163</v>
      </c>
      <c r="L427" t="n">
        <v>58</v>
      </c>
      <c r="M427" t="n">
        <v>39.14</v>
      </c>
    </row>
    <row r="428">
      <c r="A428" s="2" t="n">
        <v>9518476</v>
      </c>
      <c r="B428" s="2" t="n">
        <v>52</v>
      </c>
      <c r="C428" s="2" t="inlineStr">
        <is>
          <t>F</t>
        </is>
      </c>
      <c r="D428" s="2" t="n">
        <v>100</v>
      </c>
      <c r="E428" s="4">
        <f>HYPERLINK("./Results/DLO\20181201_1.2.840.113619.2.311.176022638150598838612551448957335166655_304_512_512_\Osteo_Sarco_1.png","RPT")</f>
        <v/>
      </c>
      <c r="F428" s="3" t="n">
        <v>111</v>
      </c>
      <c r="G428" s="3" t="n">
        <v>9</v>
      </c>
      <c r="H428" s="7" t="n">
        <v>25.81</v>
      </c>
      <c r="I428" s="0" t="inlineStr">
        <is>
          <t>Revolution CT</t>
        </is>
      </c>
      <c r="J428" s="0" t="inlineStr">
        <is>
          <t>ABD 2.5mm</t>
        </is>
      </c>
      <c r="K428" t="n">
        <v>155</v>
      </c>
      <c r="L428" t="n">
        <v>62</v>
      </c>
      <c r="M428" t="n">
        <v>42.46</v>
      </c>
    </row>
    <row r="429">
      <c r="A429" s="2" t="n">
        <v>8976485</v>
      </c>
      <c r="B429" s="2" t="n">
        <v>52</v>
      </c>
      <c r="C429" s="2" t="inlineStr">
        <is>
          <t>F</t>
        </is>
      </c>
      <c r="D429" s="2" t="n">
        <v>100</v>
      </c>
      <c r="E429" s="4">
        <f>HYPERLINK("./Results/DLO\20191201_1.3.12.2.1107.5.1.4.54310.30000019120921132407800065066_3_512_512_\Osteo_Sarco_1.png","RPT")</f>
        <v/>
      </c>
      <c r="F429" s="3" t="n">
        <v>109</v>
      </c>
      <c r="G429" s="3" t="n">
        <v>16</v>
      </c>
      <c r="H429" s="7" t="n">
        <v>27.99</v>
      </c>
      <c r="I429" s="0" t="inlineStr">
        <is>
          <t>Sensation 64</t>
        </is>
      </c>
      <c r="J429" s="0" t="inlineStr">
        <is>
          <t>Pre Contrast 3.0 B30f</t>
        </is>
      </c>
      <c r="K429" t="n">
        <v>157</v>
      </c>
      <c r="L429" t="n">
        <v>69</v>
      </c>
      <c r="M429" t="n">
        <v>37.73</v>
      </c>
    </row>
    <row r="430">
      <c r="A430" s="2" t="n">
        <v>9631370</v>
      </c>
      <c r="B430" s="2" t="n">
        <v>52</v>
      </c>
      <c r="C430" s="2" t="inlineStr">
        <is>
          <t>F</t>
        </is>
      </c>
      <c r="D430" s="2" t="n">
        <v>100</v>
      </c>
      <c r="E430" s="4">
        <f>HYPERLINK("./Results/DLO\20190301_1.3.12.2.1107.5.1.4.54310.30000019032700090260900008231_2_512_512_\Osteo_Sarco_1.png","RPT")</f>
        <v/>
      </c>
      <c r="F430" s="3" t="n">
        <v>108</v>
      </c>
      <c r="G430" s="3" t="n">
        <v>4</v>
      </c>
      <c r="H430" s="6" t="n">
        <v>21.25</v>
      </c>
      <c r="I430" s="0" t="inlineStr">
        <is>
          <t>Sensation 64</t>
        </is>
      </c>
      <c r="J430" s="0" t="inlineStr">
        <is>
          <t>With Contrast 3.0 B30f</t>
        </is>
      </c>
      <c r="K430" t="n">
        <v>162.2</v>
      </c>
      <c r="L430" t="n">
        <v>55.9</v>
      </c>
      <c r="M430" t="n">
        <v>39.53</v>
      </c>
    </row>
    <row r="431">
      <c r="A431" s="2" t="n">
        <v>8763288</v>
      </c>
      <c r="B431" s="2" t="n">
        <v>52</v>
      </c>
      <c r="C431" s="2" t="inlineStr">
        <is>
          <t>F</t>
        </is>
      </c>
      <c r="D431" s="2" t="n">
        <v>100</v>
      </c>
      <c r="E431" s="4">
        <f>HYPERLINK("./Results/DLO\20190201_1.3.12.2.1107.5.1.4.54310.30000019021823451273400000519_2_512_512_\Osteo_Sarco_1.png","RPT")</f>
        <v/>
      </c>
      <c r="F431" s="3" t="n">
        <v>106</v>
      </c>
      <c r="G431" s="3" t="n">
        <v>8</v>
      </c>
      <c r="H431" s="7" t="n">
        <v>21.23</v>
      </c>
      <c r="I431" s="0" t="inlineStr">
        <is>
          <t>Sensation 64</t>
        </is>
      </c>
      <c r="J431" s="0" t="inlineStr">
        <is>
          <t>With Contrast 3.0 B30f</t>
        </is>
      </c>
      <c r="K431" t="n">
        <v>170.6</v>
      </c>
      <c r="L431" t="n">
        <v>61.8</v>
      </c>
      <c r="M431" t="n">
        <v>33.67</v>
      </c>
    </row>
    <row r="432">
      <c r="A432" s="2" t="n">
        <v>8401452</v>
      </c>
      <c r="B432" s="2" t="n">
        <v>52</v>
      </c>
      <c r="C432" s="2" t="inlineStr">
        <is>
          <t>F</t>
        </is>
      </c>
      <c r="D432" s="2" t="n">
        <v>100</v>
      </c>
      <c r="E432" s="4">
        <f>HYPERLINK("./Results/DLO\20190701_1.2.840.113619.2.416.240782565220230105612301884311334230396_310_512_512_\Osteo_Sarco_1.png","RPT")</f>
        <v/>
      </c>
      <c r="F432" s="3" t="n">
        <v>105</v>
      </c>
      <c r="G432" s="3" t="n">
        <v>11</v>
      </c>
      <c r="H432" s="7" t="n">
        <v>23.38</v>
      </c>
      <c r="I432" s="0" t="inlineStr">
        <is>
          <t>Revolution CT</t>
        </is>
      </c>
      <c r="J432" s="0" t="inlineStr">
        <is>
          <t>ABD</t>
        </is>
      </c>
      <c r="K432" t="n">
        <v>163.1</v>
      </c>
      <c r="L432" t="n">
        <v>62.2</v>
      </c>
      <c r="M432" t="n">
        <v>35.34</v>
      </c>
    </row>
    <row r="433">
      <c r="A433" s="2" t="n">
        <v>5947594</v>
      </c>
      <c r="B433" s="2" t="n">
        <v>52</v>
      </c>
      <c r="C433" s="2" t="inlineStr">
        <is>
          <t>F</t>
        </is>
      </c>
      <c r="D433" s="2" t="n">
        <v>100</v>
      </c>
      <c r="E433" s="4">
        <f>HYPERLINK("./Results/DLO\20180101_1.2.840.113619.2.94.485650834948.2.8573787.18478937.1_2_512_512_\Osteo_Sarco_1.png","RPT")</f>
        <v/>
      </c>
      <c r="F433" s="3" t="n">
        <v>102</v>
      </c>
      <c r="G433" s="3" t="n">
        <v>6</v>
      </c>
      <c r="H433" s="7" t="n">
        <v>20.55</v>
      </c>
      <c r="I433" s="0" t="inlineStr">
        <is>
          <t>Sensation 64</t>
        </is>
      </c>
      <c r="J433" s="0" t="inlineStr">
        <is>
          <t>With Contrast 3.0 B30f</t>
        </is>
      </c>
      <c r="K433" t="n">
        <v>156</v>
      </c>
      <c r="L433" t="n">
        <v>50</v>
      </c>
      <c r="M433" t="n">
        <v>39.45</v>
      </c>
    </row>
    <row r="434">
      <c r="A434" s="2" t="n">
        <v>4206349</v>
      </c>
      <c r="B434" s="2" t="n">
        <v>52</v>
      </c>
      <c r="C434" s="2" t="inlineStr">
        <is>
          <t>F</t>
        </is>
      </c>
      <c r="D434" s="2" t="n">
        <v>100</v>
      </c>
      <c r="E434" s="4">
        <f>HYPERLINK("./Results/DLO\20181001_1.3.12.2.1107.5.1.4.54310.30000018102900082162500000838_2_512_512_\Osteo_Sarco_1.png","RPT")</f>
        <v/>
      </c>
      <c r="F434" s="3" t="n">
        <v>101</v>
      </c>
      <c r="G434" s="3" t="n">
        <v>8</v>
      </c>
      <c r="H434" s="7" t="n">
        <v>24.65</v>
      </c>
      <c r="I434" s="0" t="inlineStr">
        <is>
          <t>Sensation 64</t>
        </is>
      </c>
      <c r="J434" s="0" t="inlineStr">
        <is>
          <t>With Contrast 3.0 B30f</t>
        </is>
      </c>
      <c r="K434" t="n">
        <v>156</v>
      </c>
      <c r="L434" t="n">
        <v>60</v>
      </c>
      <c r="M434" t="n">
        <v>38.21</v>
      </c>
    </row>
    <row r="435">
      <c r="A435" s="2" t="n">
        <v>8360085</v>
      </c>
      <c r="B435" s="2" t="n">
        <v>52</v>
      </c>
      <c r="C435" s="2" t="inlineStr">
        <is>
          <t>F</t>
        </is>
      </c>
      <c r="D435" s="2" t="n">
        <v>100</v>
      </c>
      <c r="E435" s="4">
        <f>HYPERLINK("./Results/DLO\20200401_1.2.840.113619.2.416.138201351012552655142584816599579553613_310_512_512_\Osteo_Sarco_1.png","RPT")</f>
        <v/>
      </c>
      <c r="F435" s="3" t="n">
        <v>101</v>
      </c>
      <c r="G435" s="3" t="n">
        <v>9</v>
      </c>
      <c r="H435" s="7" t="n">
        <v>21.61</v>
      </c>
      <c r="I435" s="0" t="inlineStr">
        <is>
          <t>Revolution CT</t>
        </is>
      </c>
      <c r="J435" s="0" t="inlineStr">
        <is>
          <t>ABD</t>
        </is>
      </c>
      <c r="K435" t="n">
        <v>151.2</v>
      </c>
      <c r="L435" t="n">
        <v>49.4</v>
      </c>
      <c r="M435" t="n">
        <v>40.24</v>
      </c>
    </row>
    <row r="436">
      <c r="A436" s="2" t="n">
        <v>871616</v>
      </c>
      <c r="B436" s="2" t="n">
        <v>52</v>
      </c>
      <c r="C436" s="2" t="inlineStr">
        <is>
          <t>F</t>
        </is>
      </c>
      <c r="D436" s="2" t="n">
        <v>100</v>
      </c>
      <c r="E436" s="4">
        <f>HYPERLINK("./Results/DLO\20180601_1.2.840.113619.2.311.265122332287572161690888036432596278967_304_512_512_\Osteo_Sarco_1.png","RPT")</f>
        <v/>
      </c>
      <c r="F436" s="3" t="n">
        <v>100</v>
      </c>
      <c r="G436" s="3" t="n">
        <v>7</v>
      </c>
      <c r="H436" s="7" t="n">
        <v>22.66</v>
      </c>
      <c r="I436" s="0" t="inlineStr">
        <is>
          <t>Revolution CT</t>
        </is>
      </c>
      <c r="J436" s="0" t="inlineStr">
        <is>
          <t>ABD 2.5mm</t>
        </is>
      </c>
      <c r="K436" t="n">
        <v>160</v>
      </c>
      <c r="L436" t="n">
        <v>58</v>
      </c>
      <c r="M436" t="n">
        <v>36.33</v>
      </c>
    </row>
    <row r="437">
      <c r="A437" s="2" t="n">
        <v>5814359</v>
      </c>
      <c r="B437" s="2" t="n">
        <v>53</v>
      </c>
      <c r="C437" s="2" t="inlineStr">
        <is>
          <t>F</t>
        </is>
      </c>
      <c r="D437" s="2" t="n">
        <v>100</v>
      </c>
      <c r="E437" s="4">
        <f>HYPERLINK("./Results/DLO\20190801_1.3.46.670589.33.1.63700336639420973400001.5700297685829235297_201_512_512_\Osteo_Sarco_1.png","RPT")</f>
        <v/>
      </c>
      <c r="F437" s="3" t="n">
        <v>98</v>
      </c>
      <c r="G437" s="3" t="n">
        <v>14</v>
      </c>
      <c r="H437" s="7" t="n">
        <v>19.23</v>
      </c>
      <c r="I437" s="0" t="inlineStr">
        <is>
          <t>Ingenuity Core 128</t>
        </is>
      </c>
      <c r="J437" s="0" t="inlineStr">
        <is>
          <t>Post 3mm, iDose (3)</t>
        </is>
      </c>
      <c r="K437" t="n">
        <v>166</v>
      </c>
      <c r="L437" t="n">
        <v>53</v>
      </c>
      <c r="M437" t="n">
        <v>30.48</v>
      </c>
    </row>
    <row r="438">
      <c r="A438" s="2" t="n">
        <v>8829123</v>
      </c>
      <c r="B438" s="2" t="n">
        <v>53</v>
      </c>
      <c r="C438" s="2" t="inlineStr">
        <is>
          <t>F</t>
        </is>
      </c>
      <c r="D438" s="2" t="n">
        <v>100</v>
      </c>
      <c r="E438" s="4">
        <f>HYPERLINK("./Results/DLO\20190501_1.3.46.670589.33.1.63692905253647151500001.4959138971478407249_301_512_512_\Osteo_Sarco_1.png","RPT")</f>
        <v/>
      </c>
      <c r="F438" s="3" t="n">
        <v>96</v>
      </c>
      <c r="G438" s="3" t="n">
        <v>9</v>
      </c>
      <c r="H438" s="7" t="n">
        <v>20.81</v>
      </c>
      <c r="I438" s="0" t="inlineStr">
        <is>
          <t>Ingenuity Core 128</t>
        </is>
      </c>
      <c r="J438" s="0" t="inlineStr">
        <is>
          <t>Post 3mm, iDose (3)</t>
        </is>
      </c>
      <c r="K438" t="n">
        <v>155</v>
      </c>
      <c r="L438" t="n">
        <v>50</v>
      </c>
      <c r="M438" t="n">
        <v>36.21</v>
      </c>
    </row>
    <row r="439">
      <c r="A439" s="2" t="n">
        <v>6738195</v>
      </c>
      <c r="B439" s="2" t="n">
        <v>53</v>
      </c>
      <c r="C439" s="2" t="inlineStr">
        <is>
          <t>F</t>
        </is>
      </c>
      <c r="D439" s="2" t="n">
        <v>100</v>
      </c>
      <c r="E439" s="4">
        <f>HYPERLINK("./Results/DLO\20180101_1.2.840.113619.2.94.485650834948.2.8601511.18547091.1_2_512_512_\Osteo_Sarco_1.png","RPT")</f>
        <v/>
      </c>
      <c r="F439" s="3" t="n">
        <v>93</v>
      </c>
      <c r="G439" s="3" t="n">
        <v>6</v>
      </c>
      <c r="H439" s="7" t="n">
        <v>23.99</v>
      </c>
      <c r="I439" s="0" t="inlineStr">
        <is>
          <t>Sensation 64</t>
        </is>
      </c>
      <c r="J439" s="0" t="inlineStr">
        <is>
          <t>With Contrast 3.0 B30f</t>
        </is>
      </c>
      <c r="K439" t="n">
        <v>155.1</v>
      </c>
      <c r="L439" t="n">
        <v>57.7</v>
      </c>
      <c r="M439" t="n">
        <v>36.17</v>
      </c>
    </row>
    <row r="440">
      <c r="A440" s="2" t="n">
        <v>6737586</v>
      </c>
      <c r="B440" s="2" t="n">
        <v>53</v>
      </c>
      <c r="C440" s="2" t="inlineStr">
        <is>
          <t>F</t>
        </is>
      </c>
      <c r="D440" s="2" t="n">
        <v>100</v>
      </c>
      <c r="E440" s="4">
        <f>HYPERLINK("./Results/DLO\20181001_1.3.12.2.1107.5.1.4.54310.30000018100722583300000032589_2_512_512_\Osteo_Sarco_1.png","RPT")</f>
        <v/>
      </c>
      <c r="F440" s="3" t="n">
        <v>85</v>
      </c>
      <c r="G440" s="3" t="n">
        <v>11</v>
      </c>
      <c r="H440" s="7" t="n">
        <v>22.66</v>
      </c>
      <c r="I440" s="0" t="inlineStr">
        <is>
          <t>Sensation 64</t>
        </is>
      </c>
      <c r="J440" s="0" t="inlineStr">
        <is>
          <t>With Contrast 3.0 B30f</t>
        </is>
      </c>
      <c r="K440" t="n">
        <v>152.5</v>
      </c>
      <c r="L440" t="n">
        <v>52.7</v>
      </c>
      <c r="M440" t="n">
        <v>31.82</v>
      </c>
    </row>
    <row r="441">
      <c r="A441" s="2" t="n">
        <v>5270148</v>
      </c>
      <c r="B441" s="2" t="n">
        <v>53</v>
      </c>
      <c r="C441" s="2" t="inlineStr">
        <is>
          <t>F</t>
        </is>
      </c>
      <c r="D441" s="2" t="n">
        <v>100</v>
      </c>
      <c r="E441" s="4">
        <f>HYPERLINK("./Results/DLO\20190901_1.3.12.2.1107.5.1.4.54310.30000019092521214467100057401_7_512_512_\Osteo_Sarco_1.png","RPT")</f>
        <v/>
      </c>
      <c r="F441" s="3" t="n">
        <v>83</v>
      </c>
      <c r="G441" s="3" t="n">
        <v>5</v>
      </c>
      <c r="H441" s="7" t="n">
        <v>22.17</v>
      </c>
      <c r="I441" s="0" t="inlineStr">
        <is>
          <t>Sensation 64</t>
        </is>
      </c>
      <c r="J441" s="0" t="inlineStr">
        <is>
          <t>ABD Contrast 3.0 B30f</t>
        </is>
      </c>
      <c r="K441" t="n">
        <v>145.6</v>
      </c>
      <c r="L441" t="n">
        <v>47</v>
      </c>
      <c r="M441" t="n">
        <v>36.79</v>
      </c>
    </row>
    <row r="442">
      <c r="A442" s="2" t="n">
        <v>1436467</v>
      </c>
      <c r="B442" s="2" t="n">
        <v>53</v>
      </c>
      <c r="C442" s="2" t="inlineStr">
        <is>
          <t>F</t>
        </is>
      </c>
      <c r="D442" s="2" t="n">
        <v>100</v>
      </c>
      <c r="E442" s="4">
        <f>HYPERLINK("./Results/DLO\20181001_1.2.840.113619.2.416.304234725892995222900677543455971242896_304_512_512_\Osteo_Sarco_1.png","RPT")</f>
        <v/>
      </c>
      <c r="F442" s="3" t="n">
        <v>79</v>
      </c>
      <c r="G442" s="3" t="n">
        <v>9</v>
      </c>
      <c r="H442" s="7" t="n">
        <v>21.93</v>
      </c>
      <c r="I442" s="0" t="inlineStr">
        <is>
          <t>Revolution CT</t>
        </is>
      </c>
      <c r="J442" s="0" t="inlineStr">
        <is>
          <t>ABD 2.5mm</t>
        </is>
      </c>
      <c r="K442" t="n">
        <v>154</v>
      </c>
      <c r="L442" t="n">
        <v>52</v>
      </c>
      <c r="M442" t="n">
        <v>29.52</v>
      </c>
    </row>
    <row r="443">
      <c r="A443" s="2" t="n">
        <v>9004831</v>
      </c>
      <c r="B443" s="2" t="n">
        <v>53</v>
      </c>
      <c r="C443" s="2" t="inlineStr">
        <is>
          <t>M</t>
        </is>
      </c>
      <c r="D443" s="2" t="n">
        <v>100</v>
      </c>
      <c r="E443" s="4">
        <f>HYPERLINK("./Results/DLO\20180801_1.2.840.113619.2.416.69130401182643086306008767671220253378_305_512_512_\Osteo_Sarco_1.png","RPT")</f>
        <v/>
      </c>
      <c r="F443" s="3" t="n">
        <v>188</v>
      </c>
      <c r="G443" s="3" t="n">
        <v>9</v>
      </c>
      <c r="H443" s="7" t="n">
        <v>29.39</v>
      </c>
      <c r="I443" s="0" t="inlineStr">
        <is>
          <t>Revolution CT</t>
        </is>
      </c>
      <c r="J443" s="0" t="inlineStr">
        <is>
          <t>DELAY</t>
        </is>
      </c>
      <c r="K443" t="n">
        <v>175</v>
      </c>
      <c r="L443" t="n">
        <v>90</v>
      </c>
      <c r="M443" t="n">
        <v>58.45</v>
      </c>
    </row>
    <row r="444">
      <c r="A444" s="2" t="n">
        <v>8262899</v>
      </c>
      <c r="B444" s="2" t="n">
        <v>53</v>
      </c>
      <c r="C444" s="2" t="inlineStr">
        <is>
          <t>M</t>
        </is>
      </c>
      <c r="D444" s="2" t="n">
        <v>100</v>
      </c>
      <c r="E444" s="4">
        <f>HYPERLINK("./Results/DLO\20180301_1.3.12.2.1107.5.1.4.54310.30000018031223122687500008891_3_512_512_\Osteo_Sarco_1.png","RPT")</f>
        <v/>
      </c>
      <c r="F444" s="3" t="n">
        <v>182</v>
      </c>
      <c r="G444" s="3" t="n">
        <v>16</v>
      </c>
      <c r="H444" s="7" t="n">
        <v>28.79</v>
      </c>
      <c r="I444" s="0" t="inlineStr">
        <is>
          <t>Sensation 64</t>
        </is>
      </c>
      <c r="J444" s="0" t="inlineStr">
        <is>
          <t>Pre Contrast 3.0 B30f</t>
        </is>
      </c>
      <c r="K444" t="n">
        <v>177</v>
      </c>
      <c r="L444" t="n">
        <v>90.2</v>
      </c>
      <c r="M444" t="n">
        <v>52.99</v>
      </c>
    </row>
    <row r="445">
      <c r="A445" s="2" t="n">
        <v>8719829</v>
      </c>
      <c r="B445" s="2" t="n">
        <v>53</v>
      </c>
      <c r="C445" s="2" t="inlineStr">
        <is>
          <t>M</t>
        </is>
      </c>
      <c r="D445" s="2" t="n">
        <v>100</v>
      </c>
      <c r="E445" s="4">
        <f>HYPERLINK("./Results/DLO\20180201_1.2.840.113619.2.94.485650834948.2.8632070.18622543.1_2_512_512_\Osteo_Sarco_1.png","RPT")</f>
        <v/>
      </c>
      <c r="F445" s="3" t="n">
        <v>170</v>
      </c>
      <c r="G445" s="3" t="n">
        <v>14</v>
      </c>
      <c r="H445" s="7" t="n">
        <v>30.18</v>
      </c>
      <c r="I445" s="0" t="inlineStr">
        <is>
          <t>Sensation 64</t>
        </is>
      </c>
      <c r="J445" s="0" t="inlineStr">
        <is>
          <t>With Contrast 3.0 B30f</t>
        </is>
      </c>
      <c r="K445" t="n">
        <v>169</v>
      </c>
      <c r="L445" t="n">
        <v>86.2</v>
      </c>
      <c r="M445" t="n">
        <v>54.62</v>
      </c>
    </row>
    <row r="446">
      <c r="A446" s="2" t="n">
        <v>8648543</v>
      </c>
      <c r="B446" s="2" t="n">
        <v>53</v>
      </c>
      <c r="C446" s="2" t="inlineStr">
        <is>
          <t>M</t>
        </is>
      </c>
      <c r="D446" s="2" t="n">
        <v>100</v>
      </c>
      <c r="E446" s="4">
        <f>HYPERLINK("./Results/DLO\20200201_1.3.46.670589.33.1.63717795181240847800001.5358681635052052249_201_512_512_\Osteo_Sarco_1.png","RPT")</f>
        <v/>
      </c>
      <c r="F446" s="3" t="n">
        <v>169</v>
      </c>
      <c r="G446" s="3" t="n">
        <v>11</v>
      </c>
      <c r="H446" s="7" t="n">
        <v>27.05</v>
      </c>
      <c r="I446" s="0" t="inlineStr">
        <is>
          <t>Ingenuity Core 128</t>
        </is>
      </c>
      <c r="J446" s="0" t="inlineStr">
        <is>
          <t>Post 3mm, iDose (3)</t>
        </is>
      </c>
      <c r="K446" t="n">
        <v>169.6</v>
      </c>
      <c r="L446" t="n">
        <v>77.8</v>
      </c>
      <c r="M446" t="n">
        <v>54.93</v>
      </c>
    </row>
    <row r="447">
      <c r="A447" s="2" t="n">
        <v>8856360</v>
      </c>
      <c r="B447" s="2" t="n">
        <v>53</v>
      </c>
      <c r="C447" s="2" t="inlineStr">
        <is>
          <t>M</t>
        </is>
      </c>
      <c r="D447" s="2" t="n">
        <v>100</v>
      </c>
      <c r="E447" s="4">
        <f>HYPERLINK("./Results/DLO\20191001_1.3.46.670589.33.1.63707590700970780200001.5551432801127208641_201_512_512_\Osteo_Sarco_1.png","RPT")</f>
        <v/>
      </c>
      <c r="F447" s="3" t="n">
        <v>166</v>
      </c>
      <c r="G447" s="3" t="n">
        <v>6</v>
      </c>
      <c r="H447" s="7" t="n">
        <v>24.41</v>
      </c>
      <c r="I447" s="0" t="inlineStr">
        <is>
          <t>Ingenuity Core 128</t>
        </is>
      </c>
      <c r="J447" s="0" t="inlineStr">
        <is>
          <t>Post 3mm, iDose (3)</t>
        </is>
      </c>
      <c r="K447" t="n">
        <v>182.5</v>
      </c>
      <c r="L447" t="n">
        <v>81.3</v>
      </c>
      <c r="M447" t="n">
        <v>48.04</v>
      </c>
    </row>
    <row r="448">
      <c r="A448" s="2" t="n">
        <v>9476121</v>
      </c>
      <c r="B448" s="2" t="n">
        <v>53</v>
      </c>
      <c r="C448" s="2" t="inlineStr">
        <is>
          <t>M</t>
        </is>
      </c>
      <c r="D448" s="2" t="n">
        <v>100</v>
      </c>
      <c r="E448" s="4">
        <f>HYPERLINK("./Results/DLO\20181001_1.2.840.113619.2.311.204784972297731416300493721657870450791_312_512_512_\Osteo_Sarco_1.png","RPT")</f>
        <v/>
      </c>
      <c r="F448" s="3" t="n">
        <v>164</v>
      </c>
      <c r="G448" s="3" t="n">
        <v>12</v>
      </c>
      <c r="H448" s="7" t="n">
        <v>28.51</v>
      </c>
      <c r="I448" s="0" t="inlineStr">
        <is>
          <t>Revolution CT</t>
        </is>
      </c>
      <c r="J448" s="0" t="inlineStr">
        <is>
          <t>ABD</t>
        </is>
      </c>
      <c r="K448" t="n">
        <v>161.1</v>
      </c>
      <c r="L448" t="n">
        <v>74</v>
      </c>
      <c r="M448" t="n">
        <v>58.57</v>
      </c>
    </row>
    <row r="449">
      <c r="A449" s="2" t="n">
        <v>396201</v>
      </c>
      <c r="B449" s="2" t="n">
        <v>53</v>
      </c>
      <c r="C449" s="2" t="inlineStr">
        <is>
          <t>M</t>
        </is>
      </c>
      <c r="D449" s="2" t="n">
        <v>100</v>
      </c>
      <c r="E449" s="4">
        <f>HYPERLINK("./Results/DLO\20180301_1.3.12.2.1107.5.1.4.54310.30000018032923132856200009172_3_512_512_\Osteo_Sarco_1.png","RPT")</f>
        <v/>
      </c>
      <c r="F449" s="3" t="n">
        <v>162</v>
      </c>
      <c r="G449" s="3" t="n">
        <v>9</v>
      </c>
      <c r="H449" s="6" t="n">
        <v>27.17</v>
      </c>
      <c r="I449" s="0" t="inlineStr">
        <is>
          <t>Sensation 64</t>
        </is>
      </c>
      <c r="J449" s="0" t="inlineStr">
        <is>
          <t>Pre Contrast 3.0 B30f</t>
        </is>
      </c>
      <c r="K449" t="n">
        <v>171.8</v>
      </c>
      <c r="L449" t="n">
        <v>80.2</v>
      </c>
      <c r="M449" t="n">
        <v>51.84</v>
      </c>
    </row>
    <row r="450">
      <c r="A450" s="2" t="n">
        <v>8666069</v>
      </c>
      <c r="B450" s="2" t="n">
        <v>53</v>
      </c>
      <c r="C450" s="2" t="inlineStr">
        <is>
          <t>M</t>
        </is>
      </c>
      <c r="D450" s="2" t="n">
        <v>100</v>
      </c>
      <c r="E450" s="4">
        <f>HYPERLINK("./Results/DLO\20180101_1.3.12.2.1107.5.1.4.54310.30000018011423091487500021176_6_512_512_\Osteo_Sarco_1.png","RPT")</f>
        <v/>
      </c>
      <c r="F450" s="3" t="n">
        <v>144</v>
      </c>
      <c r="G450" s="3" t="n">
        <v>9</v>
      </c>
      <c r="H450" s="7" t="n">
        <v>17.51</v>
      </c>
      <c r="I450" s="0" t="inlineStr">
        <is>
          <t>Sensation 64</t>
        </is>
      </c>
      <c r="J450" s="0" t="inlineStr">
        <is>
          <t>With Contrast 3.0 B30f</t>
        </is>
      </c>
      <c r="K450" t="n">
        <v>156.7</v>
      </c>
      <c r="L450" t="n">
        <v>43</v>
      </c>
      <c r="M450" t="n">
        <v>54.98</v>
      </c>
    </row>
    <row r="451">
      <c r="A451" s="2" t="n">
        <v>5702464</v>
      </c>
      <c r="B451" s="2" t="n">
        <v>53</v>
      </c>
      <c r="C451" s="2" t="inlineStr">
        <is>
          <t>M</t>
        </is>
      </c>
      <c r="D451" s="2" t="n">
        <v>100</v>
      </c>
      <c r="E451" s="4">
        <f>HYPERLINK("./Results/DLO\20190501_1.3.46.670589.33.1.63694462855767739300001.4759285879944046505_601_512_512_\Osteo_Sarco_1.png","RPT")</f>
        <v/>
      </c>
      <c r="F451" s="3" t="n">
        <v>137</v>
      </c>
      <c r="G451" s="3" t="n">
        <v>11</v>
      </c>
      <c r="H451" s="7" t="n">
        <v>27.1</v>
      </c>
      <c r="I451" s="0" t="inlineStr">
        <is>
          <t>Ingenuity Core 128</t>
        </is>
      </c>
      <c r="J451" s="0" t="inlineStr">
        <is>
          <t>Post 3mm, iDose (3)</t>
        </is>
      </c>
      <c r="K451" t="n">
        <v>175</v>
      </c>
      <c r="L451" t="n">
        <v>83</v>
      </c>
      <c r="M451" t="n">
        <v>41.14</v>
      </c>
    </row>
    <row r="452">
      <c r="A452" s="2" t="n">
        <v>8933621</v>
      </c>
      <c r="B452" s="2" t="n">
        <v>53</v>
      </c>
      <c r="C452" s="2" t="inlineStr">
        <is>
          <t>F</t>
        </is>
      </c>
      <c r="D452" s="2" t="n">
        <v>100</v>
      </c>
      <c r="E452" s="4">
        <f>HYPERLINK("./Results/DLO\20180601_1.2.840.113619.2.94.485650834948.2.8877649.19223530.1_2_512_512_\Osteo_Sarco_1.png","RPT")</f>
        <v/>
      </c>
      <c r="F452" s="3" t="n">
        <v>134</v>
      </c>
      <c r="G452" s="3" t="n">
        <v>13</v>
      </c>
      <c r="H452" s="6" t="n">
        <v>34.2</v>
      </c>
      <c r="I452" s="0" t="inlineStr">
        <is>
          <t>Sensation 64</t>
        </is>
      </c>
      <c r="J452" s="0" t="inlineStr">
        <is>
          <t>With Contrast 3.0 B30f</t>
        </is>
      </c>
      <c r="K452" t="n">
        <v>155.7</v>
      </c>
      <c r="L452" t="n">
        <v>82.90000000000001</v>
      </c>
      <c r="M452" t="n">
        <v>49.91</v>
      </c>
    </row>
    <row r="453">
      <c r="A453" s="2" t="n">
        <v>8631495</v>
      </c>
      <c r="B453" s="2" t="n">
        <v>53</v>
      </c>
      <c r="C453" s="2" t="inlineStr">
        <is>
          <t>M</t>
        </is>
      </c>
      <c r="D453" s="2" t="n">
        <v>100</v>
      </c>
      <c r="E453" s="4">
        <f>HYPERLINK("./Results/DLO\20180601_1.3.46.670589.33.1.63665864470395376700001.5551003804147160800_201_512_512_\Osteo_Sarco_1.png","RPT")</f>
        <v/>
      </c>
      <c r="F453" s="3" t="n">
        <v>130</v>
      </c>
      <c r="G453" s="3" t="n">
        <v>7</v>
      </c>
      <c r="H453" s="7" t="n">
        <v>23.24</v>
      </c>
      <c r="I453" s="0" t="inlineStr">
        <is>
          <t>Ingenuity Core 128</t>
        </is>
      </c>
      <c r="J453" s="0" t="inlineStr">
        <is>
          <t>Post 100/236 i3, iDose (3)</t>
        </is>
      </c>
      <c r="K453" t="n">
        <v>171.7</v>
      </c>
      <c r="L453" t="n">
        <v>68.5</v>
      </c>
      <c r="M453" t="n">
        <v>41.72</v>
      </c>
    </row>
    <row r="454">
      <c r="A454" s="2" t="n">
        <v>5660807</v>
      </c>
      <c r="B454" s="2" t="n">
        <v>53</v>
      </c>
      <c r="C454" s="2" t="inlineStr">
        <is>
          <t>M</t>
        </is>
      </c>
      <c r="D454" s="2" t="n">
        <v>100</v>
      </c>
      <c r="E454" s="4">
        <f>HYPERLINK("./Results/DLO\20180701_1.3.12.2.1107.5.1.4.54310.30000018070923233553100000110_2_512_512_\Osteo_Sarco_1.png","RPT")</f>
        <v/>
      </c>
      <c r="F454" s="3" t="n">
        <v>129</v>
      </c>
      <c r="G454" s="3" t="n">
        <v>7</v>
      </c>
      <c r="H454" s="7" t="n">
        <v>20.34</v>
      </c>
      <c r="I454" s="0" t="inlineStr">
        <is>
          <t>Sensation 64</t>
        </is>
      </c>
      <c r="J454" s="0" t="inlineStr">
        <is>
          <t>With Contrast 3.0 B30f</t>
        </is>
      </c>
      <c r="K454" t="n">
        <v>169</v>
      </c>
      <c r="L454" t="n">
        <v>58.1</v>
      </c>
      <c r="M454" t="n">
        <v>42.72</v>
      </c>
    </row>
    <row r="455">
      <c r="A455" s="2" t="n">
        <v>465292</v>
      </c>
      <c r="B455" s="2" t="n">
        <v>53</v>
      </c>
      <c r="C455" s="2" t="inlineStr">
        <is>
          <t>M</t>
        </is>
      </c>
      <c r="D455" s="2" t="n">
        <v>100</v>
      </c>
      <c r="E455" s="4">
        <f>HYPERLINK("./Results/DLO\20181101_1.3.46.670589.33.1.63678742088018885900001.5673487750157314568_701_512_512_\Osteo_Sarco_1.png","RPT")</f>
        <v/>
      </c>
      <c r="F455" s="3" t="n">
        <v>129</v>
      </c>
      <c r="G455" s="3" t="n">
        <v>6</v>
      </c>
      <c r="H455" s="7" t="n">
        <v>19.38</v>
      </c>
      <c r="I455" s="0" t="inlineStr">
        <is>
          <t>Ingenuity Core 128</t>
        </is>
      </c>
      <c r="J455" s="0" t="inlineStr">
        <is>
          <t>Post 100/236 i3, iDose (3)</t>
        </is>
      </c>
      <c r="K455" t="n">
        <v>173</v>
      </c>
      <c r="L455" t="n">
        <v>58</v>
      </c>
      <c r="M455" t="n">
        <v>41.1</v>
      </c>
    </row>
    <row r="456">
      <c r="A456" s="2" t="n">
        <v>9526825</v>
      </c>
      <c r="B456" s="2" t="n">
        <v>53</v>
      </c>
      <c r="C456" s="2" t="inlineStr">
        <is>
          <t>M</t>
        </is>
      </c>
      <c r="D456" s="2" t="n">
        <v>100</v>
      </c>
      <c r="E456" s="4">
        <f>HYPERLINK("./Results/DLO\20181201_1.3.12.2.1107.5.1.4.54310.30000018120623274431200060561_3_512_512_\Osteo_Sarco_1.png","RPT")</f>
        <v/>
      </c>
      <c r="F456" s="3" t="n">
        <v>126</v>
      </c>
      <c r="G456" s="3" t="n">
        <v>5</v>
      </c>
      <c r="H456" s="6" t="n">
        <v>21.89</v>
      </c>
      <c r="I456" s="0" t="inlineStr">
        <is>
          <t>Sensation 64</t>
        </is>
      </c>
      <c r="J456" s="0" t="inlineStr">
        <is>
          <t>Pre Contrast 3.0 B30f</t>
        </is>
      </c>
      <c r="K456" t="n">
        <v>166.1</v>
      </c>
      <c r="L456" t="n">
        <v>60.4</v>
      </c>
      <c r="M456" t="n">
        <v>43.86</v>
      </c>
    </row>
    <row r="457">
      <c r="A457" s="2" t="n">
        <v>6002406</v>
      </c>
      <c r="B457" s="2" t="n">
        <v>53</v>
      </c>
      <c r="C457" s="2" t="inlineStr">
        <is>
          <t>M</t>
        </is>
      </c>
      <c r="D457" s="2" t="n">
        <v>100</v>
      </c>
      <c r="E457" s="4">
        <f>HYPERLINK("./Results/DLO\20200601_1.3.12.2.1107.5.1.4.65253.30000020060521102520400042593_3_512_512_\Osteo_Sarco_1.png","RPT")</f>
        <v/>
      </c>
      <c r="F457" s="3" t="n">
        <v>124</v>
      </c>
      <c r="G457" s="3" t="n">
        <v>7</v>
      </c>
      <c r="H457" s="6" t="n">
        <v>21.8</v>
      </c>
      <c r="I457" s="0" t="inlineStr">
        <is>
          <t>SOMATOM Definition AS</t>
        </is>
      </c>
      <c r="J457" s="0" t="inlineStr">
        <is>
          <t>Post Contrast 3.0 B30f</t>
        </is>
      </c>
      <c r="K457" t="n">
        <v>170</v>
      </c>
      <c r="L457" t="n">
        <v>63</v>
      </c>
      <c r="M457" t="n">
        <v>40.48</v>
      </c>
    </row>
    <row r="458">
      <c r="A458" s="2" t="n">
        <v>6741524</v>
      </c>
      <c r="B458" s="2" t="n">
        <v>53</v>
      </c>
      <c r="C458" s="2" t="inlineStr">
        <is>
          <t>F</t>
        </is>
      </c>
      <c r="D458" s="2" t="n">
        <v>100</v>
      </c>
      <c r="E458" s="4">
        <f>HYPERLINK("./Results/DLO\20180901_1.2.840.113619.2.311.19178765395821334226387739813725750038_304_512_512_\Osteo_Sarco_1.png","RPT")</f>
        <v/>
      </c>
      <c r="F458" s="3" t="n">
        <v>120</v>
      </c>
      <c r="G458" s="3" t="n">
        <v>8</v>
      </c>
      <c r="H458" s="7" t="n">
        <v>29.16</v>
      </c>
      <c r="I458" s="0" t="inlineStr">
        <is>
          <t>Revolution CT</t>
        </is>
      </c>
      <c r="J458" s="0" t="inlineStr">
        <is>
          <t>ABD 2.5mm</t>
        </is>
      </c>
      <c r="K458" t="n">
        <v>152.7</v>
      </c>
      <c r="L458" t="n">
        <v>68</v>
      </c>
      <c r="M458" t="n">
        <v>48.03</v>
      </c>
    </row>
    <row r="459">
      <c r="A459" s="2" t="n">
        <v>8973738</v>
      </c>
      <c r="B459" s="2" t="n">
        <v>53</v>
      </c>
      <c r="C459" s="2" t="inlineStr">
        <is>
          <t>F</t>
        </is>
      </c>
      <c r="D459" s="2" t="n">
        <v>100</v>
      </c>
      <c r="E459" s="4">
        <f>HYPERLINK("./Results/DLO\20180801_1.2.840.113619.2.416.75930589435453989670165313858979531901_304_512_512_\Osteo_Sarco_1.png","RPT")</f>
        <v/>
      </c>
      <c r="F459" s="3" t="n">
        <v>118</v>
      </c>
      <c r="G459" s="3" t="n">
        <v>11</v>
      </c>
      <c r="H459" s="7" t="n">
        <v>32.48</v>
      </c>
      <c r="I459" s="0" t="inlineStr">
        <is>
          <t>Revolution CT</t>
        </is>
      </c>
      <c r="J459" s="0" t="inlineStr">
        <is>
          <t>ABD 2.5mm</t>
        </is>
      </c>
      <c r="K459" t="n">
        <v>146.8</v>
      </c>
      <c r="L459" t="n">
        <v>70</v>
      </c>
      <c r="M459" t="n">
        <v>49.65</v>
      </c>
    </row>
    <row r="460">
      <c r="A460" s="2" t="n">
        <v>8713562</v>
      </c>
      <c r="B460" s="2" t="n">
        <v>53</v>
      </c>
      <c r="C460" s="2" t="inlineStr">
        <is>
          <t>F</t>
        </is>
      </c>
      <c r="D460" s="2" t="n">
        <v>100</v>
      </c>
      <c r="E460" s="4">
        <f>HYPERLINK("./Results/DLO\20180401_1.3.12.2.1107.5.1.4.54310.30000018041823261392100003764_2_512_512_\Osteo_Sarco_1.png","RPT")</f>
        <v/>
      </c>
      <c r="F460" s="3" t="n">
        <v>115</v>
      </c>
      <c r="G460" s="3" t="n">
        <v>12</v>
      </c>
      <c r="H460" s="7" t="n">
        <v>19.68</v>
      </c>
      <c r="I460" s="0" t="inlineStr">
        <is>
          <t>Sensation 64</t>
        </is>
      </c>
      <c r="J460" s="0" t="inlineStr">
        <is>
          <t>With</t>
        </is>
      </c>
      <c r="K460" t="n">
        <v>161</v>
      </c>
      <c r="L460" t="n">
        <v>51</v>
      </c>
      <c r="M460" t="n">
        <v>39.74</v>
      </c>
    </row>
    <row r="461">
      <c r="A461" s="2" t="n">
        <v>8675301</v>
      </c>
      <c r="B461" s="2" t="n">
        <v>53</v>
      </c>
      <c r="C461" s="2" t="inlineStr">
        <is>
          <t>F</t>
        </is>
      </c>
      <c r="D461" s="2" t="n">
        <v>100</v>
      </c>
      <c r="E461" s="4">
        <f>HYPERLINK("./Results/DLO\20180101_1.3.12.2.1107.5.1.4.54310.30000018011623145625000016612_2_512_512_\Osteo_Sarco_1.png","RPT")</f>
        <v/>
      </c>
      <c r="F461" s="3" t="n">
        <v>110</v>
      </c>
      <c r="G461" s="3" t="n">
        <v>13</v>
      </c>
      <c r="H461" s="6" t="n">
        <v>24.49</v>
      </c>
      <c r="I461" s="0" t="inlineStr">
        <is>
          <t>Sensation 64</t>
        </is>
      </c>
      <c r="J461" s="0" t="inlineStr">
        <is>
          <t>With Contrast 3.0 B30f</t>
        </is>
      </c>
      <c r="K461" t="n">
        <v>164.4</v>
      </c>
      <c r="L461" t="n">
        <v>66.2</v>
      </c>
      <c r="M461" t="n">
        <v>35.89</v>
      </c>
    </row>
    <row r="462">
      <c r="A462" s="2" t="n">
        <v>9975123</v>
      </c>
      <c r="B462" s="2" t="n">
        <v>53</v>
      </c>
      <c r="C462" s="2" t="inlineStr">
        <is>
          <t>F</t>
        </is>
      </c>
      <c r="D462" s="2" t="n">
        <v>100</v>
      </c>
      <c r="E462" s="4">
        <f>HYPERLINK("./Results/DLO\20200601_1.3.12.2.1107.5.1.4.54310.30000020062421294853100053888_7_512_512_\Osteo_Sarco_1.png","RPT")</f>
        <v/>
      </c>
      <c r="F462" s="3" t="n">
        <v>110</v>
      </c>
      <c r="G462" s="3" t="n">
        <v>8</v>
      </c>
      <c r="H462" s="6" t="n">
        <v>24.92</v>
      </c>
      <c r="I462" s="0" t="inlineStr">
        <is>
          <t>Sensation 64</t>
        </is>
      </c>
      <c r="J462" s="0" t="inlineStr">
        <is>
          <t>ABD 3mm B30f</t>
        </is>
      </c>
      <c r="K462" t="n">
        <v>165.3</v>
      </c>
      <c r="L462" t="n">
        <v>68.09999999999999</v>
      </c>
      <c r="M462" t="n">
        <v>37.33</v>
      </c>
    </row>
    <row r="463">
      <c r="A463" s="2" t="n">
        <v>5216965</v>
      </c>
      <c r="B463" s="2" t="n">
        <v>53</v>
      </c>
      <c r="C463" s="2" t="inlineStr">
        <is>
          <t>F</t>
        </is>
      </c>
      <c r="D463" s="2" t="n">
        <v>100</v>
      </c>
      <c r="E463" s="4">
        <f>HYPERLINK("./Results/DLO\20180301_1.3.12.2.1107.5.1.4.65253.30000018032017385746600056200_2_512_512_\Osteo_Sarco_1.png","RPT")</f>
        <v/>
      </c>
      <c r="F463" s="3" t="n">
        <v>107</v>
      </c>
      <c r="G463" s="3" t="n">
        <v>9</v>
      </c>
      <c r="H463" s="7" t="n">
        <v>31.5</v>
      </c>
      <c r="I463" s="0" t="inlineStr">
        <is>
          <t>SOMATOM Definition AS</t>
        </is>
      </c>
      <c r="J463" s="0" t="inlineStr">
        <is>
          <t>With Contrast 3.0 B30f</t>
        </is>
      </c>
      <c r="K463" t="n">
        <v>151.3</v>
      </c>
      <c r="L463" t="n">
        <v>72.09999999999999</v>
      </c>
      <c r="M463" t="n">
        <v>42.81</v>
      </c>
    </row>
    <row r="464">
      <c r="A464" s="2" t="n">
        <v>280328</v>
      </c>
      <c r="B464" s="2" t="n">
        <v>53</v>
      </c>
      <c r="C464" s="2" t="inlineStr">
        <is>
          <t>M</t>
        </is>
      </c>
      <c r="D464" s="2" t="n">
        <v>100</v>
      </c>
      <c r="E464" s="4">
        <f>HYPERLINK("./Results/DLO\20190901_1.2.840.113619.2.416.36804277732764939455631951945785422586_310_512_512_\Osteo_Sarco_1.png","RPT")</f>
        <v/>
      </c>
      <c r="F464" s="3" t="n">
        <v>105</v>
      </c>
      <c r="G464" s="3" t="n">
        <v>1</v>
      </c>
      <c r="H464" s="7" t="n">
        <v>18.44</v>
      </c>
      <c r="I464" s="0" t="inlineStr">
        <is>
          <t>Revolution CT</t>
        </is>
      </c>
      <c r="J464" s="0" t="inlineStr">
        <is>
          <t>ABD</t>
        </is>
      </c>
      <c r="K464" t="n">
        <v>172.7</v>
      </c>
      <c r="L464" t="n">
        <v>55</v>
      </c>
      <c r="M464" t="n">
        <v>34.87</v>
      </c>
    </row>
    <row r="465">
      <c r="A465" s="2" t="n">
        <v>6740011</v>
      </c>
      <c r="B465" s="2" t="n">
        <v>53</v>
      </c>
      <c r="C465" s="2" t="inlineStr">
        <is>
          <t>F</t>
        </is>
      </c>
      <c r="D465" s="2" t="n">
        <v>100</v>
      </c>
      <c r="E465" s="4">
        <f>HYPERLINK("./Results/DLO\20180401_1.2.840.113619.2.311.98492935682530194766730750787895976987_304_512_512_\Osteo_Sarco_1.png","RPT")</f>
        <v/>
      </c>
      <c r="F465" s="3" t="n">
        <v>103</v>
      </c>
      <c r="G465" s="3" t="n">
        <v>14</v>
      </c>
      <c r="H465" s="7" t="n">
        <v>22.95</v>
      </c>
      <c r="I465" s="0" t="inlineStr">
        <is>
          <t>Revolution CT</t>
        </is>
      </c>
      <c r="J465" s="0" t="inlineStr">
        <is>
          <t>ABD 2.5mm</t>
        </is>
      </c>
      <c r="K465" t="n">
        <v>167</v>
      </c>
      <c r="L465" t="n">
        <v>64</v>
      </c>
      <c r="M465" t="n">
        <v>31.91</v>
      </c>
    </row>
    <row r="466">
      <c r="A466" s="2" t="n">
        <v>8640730</v>
      </c>
      <c r="B466" s="2" t="n">
        <v>53</v>
      </c>
      <c r="C466" s="2" t="inlineStr">
        <is>
          <t>F</t>
        </is>
      </c>
      <c r="D466" s="2" t="n">
        <v>100</v>
      </c>
      <c r="E466" s="4">
        <f>HYPERLINK("./Results/DLO\20190201_1.2.840.113619.2.311.252557322930800408659251328561794078177_304_512_512_\Osteo_Sarco_1.png","RPT")</f>
        <v/>
      </c>
      <c r="F466" s="3" t="n">
        <v>101</v>
      </c>
      <c r="G466" s="3" t="n">
        <v>8</v>
      </c>
      <c r="H466" s="7" t="n">
        <v>27.98</v>
      </c>
      <c r="I466" s="0" t="inlineStr">
        <is>
          <t>Revolution CT</t>
        </is>
      </c>
      <c r="J466" s="0" t="inlineStr">
        <is>
          <t>ABD 2.5mm</t>
        </is>
      </c>
      <c r="K466" t="n">
        <v>164.8</v>
      </c>
      <c r="L466" t="n">
        <v>76</v>
      </c>
      <c r="M466" t="n">
        <v>34.24</v>
      </c>
    </row>
    <row r="467">
      <c r="A467" s="2" t="n">
        <v>8308977</v>
      </c>
      <c r="B467" s="2" t="n">
        <v>53</v>
      </c>
      <c r="C467" s="2" t="inlineStr">
        <is>
          <t>F</t>
        </is>
      </c>
      <c r="D467" s="2" t="n">
        <v>100</v>
      </c>
      <c r="E467" s="4">
        <f>HYPERLINK("./Results/DLO\20190901_1.3.46.670589.33.1.63703792532609226000001.4694959649053482199_201_512_512_\Osteo_Sarco_1.png","RPT")</f>
        <v/>
      </c>
      <c r="F467" s="3" t="n">
        <v>101</v>
      </c>
      <c r="G467" s="3" t="n">
        <v>7</v>
      </c>
      <c r="H467" s="7" t="n">
        <v>17.67</v>
      </c>
      <c r="I467" s="0" t="inlineStr">
        <is>
          <t>Ingenuity Core 128</t>
        </is>
      </c>
      <c r="J467" s="0" t="inlineStr">
        <is>
          <t>Post 3mm, iDose (3)</t>
        </is>
      </c>
      <c r="K467" t="n">
        <v>156</v>
      </c>
      <c r="L467" t="n">
        <v>43</v>
      </c>
      <c r="M467" t="n">
        <v>38.63</v>
      </c>
    </row>
    <row r="468">
      <c r="A468" s="2" t="n">
        <v>9440976</v>
      </c>
      <c r="B468" s="2" t="n">
        <v>54</v>
      </c>
      <c r="C468" s="2" t="inlineStr">
        <is>
          <t>F</t>
        </is>
      </c>
      <c r="D468" s="2" t="n">
        <v>100</v>
      </c>
      <c r="E468" s="4">
        <f>HYPERLINK("./Results/DLO\20180901_1.3.12.2.1107.5.1.4.54310.30000018092800164720300003316_2_512_512_\Osteo_Sarco_1.png","RPT")</f>
        <v/>
      </c>
      <c r="F468" s="3" t="n">
        <v>94</v>
      </c>
      <c r="G468" s="3" t="n">
        <v>10</v>
      </c>
      <c r="H468" s="6" t="n">
        <v>22.31</v>
      </c>
      <c r="I468" s="0" t="inlineStr">
        <is>
          <t>Sensation 64</t>
        </is>
      </c>
      <c r="J468" s="0" t="inlineStr">
        <is>
          <t>With Contrast 3.0 B30f</t>
        </is>
      </c>
      <c r="K468" t="n">
        <v>155.3</v>
      </c>
      <c r="L468" t="n">
        <v>53.8</v>
      </c>
      <c r="M468" t="n">
        <v>34.83</v>
      </c>
    </row>
    <row r="469">
      <c r="A469" s="2" t="n">
        <v>8964073</v>
      </c>
      <c r="B469" s="2" t="n">
        <v>54</v>
      </c>
      <c r="C469" s="2" t="inlineStr">
        <is>
          <t>F</t>
        </is>
      </c>
      <c r="D469" s="2" t="n">
        <v>100</v>
      </c>
      <c r="E469" s="4">
        <f>HYPERLINK("./Results/DLO\20200201_1.3.12.2.1107.5.1.4.54310.30000020022322370667100047247_7_512_512_\Osteo_Sarco_1.png","RPT")</f>
        <v/>
      </c>
      <c r="F469" s="3" t="n">
        <v>94</v>
      </c>
      <c r="G469" s="3" t="n">
        <v>5</v>
      </c>
      <c r="H469" s="7" t="n">
        <v>19.48</v>
      </c>
      <c r="I469" s="0" t="inlineStr">
        <is>
          <t>Sensation 64</t>
        </is>
      </c>
      <c r="J469" s="0" t="inlineStr">
        <is>
          <t>ABD 3mm B30f</t>
        </is>
      </c>
      <c r="K469" t="n">
        <v>163</v>
      </c>
      <c r="L469" t="n">
        <v>51.75</v>
      </c>
      <c r="M469" t="n">
        <v>33.5</v>
      </c>
    </row>
    <row r="470">
      <c r="A470" s="2" t="n">
        <v>9003581</v>
      </c>
      <c r="B470" s="2" t="n">
        <v>54</v>
      </c>
      <c r="C470" s="2" t="inlineStr">
        <is>
          <t>F</t>
        </is>
      </c>
      <c r="D470" s="2" t="n">
        <v>100</v>
      </c>
      <c r="E470" s="4">
        <f>HYPERLINK("./Results/DLO\20180701_1.3.12.2.1107.5.1.4.54310.30000018071523233209300006203_2_512_512_\Osteo_Sarco_1.png","RPT")</f>
        <v/>
      </c>
      <c r="F470" s="3" t="n">
        <v>92</v>
      </c>
      <c r="G470" s="3" t="n">
        <v>4</v>
      </c>
      <c r="H470" s="7" t="n">
        <v>21</v>
      </c>
      <c r="I470" s="0" t="inlineStr">
        <is>
          <t>Sensation 64</t>
        </is>
      </c>
      <c r="J470" s="0" t="inlineStr">
        <is>
          <t>With Contrast 3.0 B30f</t>
        </is>
      </c>
      <c r="K470" t="n">
        <v>157.5</v>
      </c>
      <c r="L470" t="n">
        <v>52.1</v>
      </c>
      <c r="M470" t="n">
        <v>35.47</v>
      </c>
    </row>
    <row r="471">
      <c r="A471" s="2" t="n">
        <v>8964473</v>
      </c>
      <c r="B471" s="2" t="n">
        <v>54</v>
      </c>
      <c r="C471" s="2" t="inlineStr">
        <is>
          <t>F</t>
        </is>
      </c>
      <c r="D471" s="2" t="n">
        <v>100</v>
      </c>
      <c r="E471" s="4">
        <f>HYPERLINK("./Results/DLO\20190101_1.3.12.2.1107.5.1.4.54310.30000019011323465885900009690_2_512_512_\Osteo_Sarco_1.png","RPT")</f>
        <v/>
      </c>
      <c r="F471" s="3" t="n">
        <v>72</v>
      </c>
      <c r="G471" s="3" t="n">
        <v>8</v>
      </c>
      <c r="H471" s="7" t="n">
        <v>19.52</v>
      </c>
      <c r="I471" s="0" t="inlineStr">
        <is>
          <t>Sensation 64</t>
        </is>
      </c>
      <c r="J471" s="0" t="inlineStr">
        <is>
          <t>With Contrast 3.0 B30f</t>
        </is>
      </c>
      <c r="K471" t="n">
        <v>155</v>
      </c>
      <c r="L471" t="n">
        <v>46.9</v>
      </c>
      <c r="M471" t="n">
        <v>26.64</v>
      </c>
    </row>
    <row r="472">
      <c r="A472" s="2" t="n">
        <v>1855460</v>
      </c>
      <c r="B472" s="2" t="n">
        <v>54</v>
      </c>
      <c r="C472" s="2" t="inlineStr">
        <is>
          <t>M</t>
        </is>
      </c>
      <c r="D472" s="2" t="n">
        <v>100</v>
      </c>
      <c r="E472" s="4">
        <f>HYPERLINK("./Results/DLO\20190301_1.3.46.670589.33.1.63688842393181329700001.5182047694858839715_201_512_512_\Osteo_Sarco_1.png","RPT")</f>
        <v/>
      </c>
      <c r="F472" s="3" t="n">
        <v>182</v>
      </c>
      <c r="G472" s="3" t="n">
        <v>5</v>
      </c>
      <c r="H472" s="7" t="n">
        <v>28.06</v>
      </c>
      <c r="I472" s="0" t="inlineStr">
        <is>
          <t>Ingenuity Core 128</t>
        </is>
      </c>
      <c r="J472" s="0" t="inlineStr">
        <is>
          <t>Post 3mm, iDose (3)</t>
        </is>
      </c>
      <c r="K472" t="n">
        <v>172</v>
      </c>
      <c r="L472" t="n">
        <v>83</v>
      </c>
      <c r="M472" t="n">
        <v>59.83</v>
      </c>
    </row>
    <row r="473">
      <c r="A473" s="2" t="n">
        <v>5811921</v>
      </c>
      <c r="B473" s="2" t="n">
        <v>54</v>
      </c>
      <c r="C473" s="2" t="inlineStr">
        <is>
          <t>M</t>
        </is>
      </c>
      <c r="D473" s="2" t="n">
        <v>100</v>
      </c>
      <c r="E473" s="4">
        <f>HYPERLINK("./Results/DLO\20190201_1.3.46.670589.33.1.63686778422756063100001.4616745120551517690_201_512_512_\Osteo_Sarco_1.png","RPT")</f>
        <v/>
      </c>
      <c r="F473" s="3" t="n">
        <v>174</v>
      </c>
      <c r="G473" s="3" t="n">
        <v>5</v>
      </c>
      <c r="H473" s="7" t="n">
        <v>28.34</v>
      </c>
      <c r="I473" s="0" t="inlineStr">
        <is>
          <t>Ingenuity Core 128</t>
        </is>
      </c>
      <c r="J473" s="0" t="inlineStr">
        <is>
          <t>Post 3mm, iDose (3)</t>
        </is>
      </c>
      <c r="K473" t="n">
        <v>168</v>
      </c>
      <c r="L473" t="n">
        <v>80</v>
      </c>
      <c r="M473" t="n">
        <v>59.88</v>
      </c>
    </row>
    <row r="474">
      <c r="A474" s="2" t="n">
        <v>6740037</v>
      </c>
      <c r="B474" s="2" t="n">
        <v>54</v>
      </c>
      <c r="C474" s="2" t="inlineStr">
        <is>
          <t>M</t>
        </is>
      </c>
      <c r="D474" s="2" t="n">
        <v>100</v>
      </c>
      <c r="E474" s="4">
        <f>HYPERLINK("./Results/DLO\20180501_1.2.840.113619.2.311.73924517666874413405121220349500611647_303_512_512_\Osteo_Sarco_1.png","RPT")</f>
        <v/>
      </c>
      <c r="F474" s="3" t="n">
        <v>171</v>
      </c>
      <c r="G474" s="3" t="n">
        <v>12</v>
      </c>
      <c r="H474" s="7" t="n">
        <v>23.24</v>
      </c>
      <c r="I474" s="0" t="inlineStr">
        <is>
          <t>Revolution CT</t>
        </is>
      </c>
      <c r="J474" s="0" t="inlineStr">
        <is>
          <t>ABD 2.5mm</t>
        </is>
      </c>
      <c r="K474" t="n">
        <v>176</v>
      </c>
      <c r="L474" t="n">
        <v>72</v>
      </c>
      <c r="M474" t="n">
        <v>51.33</v>
      </c>
    </row>
    <row r="475">
      <c r="A475" s="2" t="n">
        <v>8961399</v>
      </c>
      <c r="B475" s="2" t="n">
        <v>54</v>
      </c>
      <c r="C475" s="2" t="inlineStr">
        <is>
          <t>M</t>
        </is>
      </c>
      <c r="D475" s="2" t="n">
        <v>100</v>
      </c>
      <c r="E475" s="4">
        <f>HYPERLINK("./Results/DLO\20180501_1.2.840.113619.2.311.138943627521859283576398564034209207532_303_512_512_\Osteo_Sarco_1.png","RPT")</f>
        <v/>
      </c>
      <c r="F475" s="3" t="n">
        <v>169</v>
      </c>
      <c r="G475" s="3" t="n">
        <v>9</v>
      </c>
      <c r="H475" s="7" t="n">
        <v>23.12</v>
      </c>
      <c r="I475" s="0" t="inlineStr">
        <is>
          <t>Revolution CT</t>
        </is>
      </c>
      <c r="J475" s="0" t="inlineStr">
        <is>
          <t>ABD 2.5mm</t>
        </is>
      </c>
      <c r="K475" t="n">
        <v>175.1</v>
      </c>
      <c r="L475" t="n">
        <v>70.90000000000001</v>
      </c>
      <c r="M475" t="n">
        <v>52.19</v>
      </c>
    </row>
    <row r="476">
      <c r="A476" s="2" t="n">
        <v>6742059</v>
      </c>
      <c r="B476" s="2" t="n">
        <v>54</v>
      </c>
      <c r="C476" s="2" t="inlineStr">
        <is>
          <t>M</t>
        </is>
      </c>
      <c r="D476" s="2" t="n">
        <v>100</v>
      </c>
      <c r="E476" s="4">
        <f>HYPERLINK("./Results/DLO\20180301_1.3.46.670589.33.1.63657218493694772400001.4736879333294639714_301_512_512_\Osteo_Sarco_1.png","RPT")</f>
        <v/>
      </c>
      <c r="F476" s="3" t="n">
        <v>157</v>
      </c>
      <c r="G476" s="3" t="n">
        <v>6</v>
      </c>
      <c r="H476" s="7" t="n">
        <v>22.06</v>
      </c>
      <c r="I476" s="0" t="inlineStr">
        <is>
          <t>Ingenuity Core 128</t>
        </is>
      </c>
      <c r="J476" s="0" t="inlineStr">
        <is>
          <t>Post 100/236 i3, iDose (3)</t>
        </is>
      </c>
      <c r="K476" t="n">
        <v>169</v>
      </c>
      <c r="L476" t="n">
        <v>63</v>
      </c>
      <c r="M476" t="n">
        <v>52.87</v>
      </c>
    </row>
    <row r="477">
      <c r="A477" s="2" t="n">
        <v>5824638</v>
      </c>
      <c r="B477" s="2" t="n">
        <v>54</v>
      </c>
      <c r="C477" s="2" t="inlineStr">
        <is>
          <t>M</t>
        </is>
      </c>
      <c r="D477" s="2" t="n">
        <v>100</v>
      </c>
      <c r="E477" s="4">
        <f>HYPERLINK("./Results/DLO\20190501_1.3.46.670589.33.1.63694888955928442500001.5595314161877506495_201_512_512_\Osteo_Sarco_1.png","RPT")</f>
        <v/>
      </c>
      <c r="F477" s="3" t="n">
        <v>156</v>
      </c>
      <c r="G477" s="3" t="n">
        <v>11</v>
      </c>
      <c r="H477" s="7" t="n">
        <v>26.55</v>
      </c>
      <c r="I477" s="0" t="inlineStr">
        <is>
          <t>Ingenuity Core 128</t>
        </is>
      </c>
      <c r="J477" s="0" t="inlineStr">
        <is>
          <t>Post 3mm, iDose (3)</t>
        </is>
      </c>
      <c r="K477" t="n">
        <v>176.5</v>
      </c>
      <c r="L477" t="n">
        <v>82.7</v>
      </c>
      <c r="M477" t="n">
        <v>46.55</v>
      </c>
    </row>
    <row r="478">
      <c r="A478" s="2" t="n">
        <v>8479024</v>
      </c>
      <c r="B478" s="2" t="n">
        <v>54</v>
      </c>
      <c r="C478" s="2" t="inlineStr">
        <is>
          <t>M</t>
        </is>
      </c>
      <c r="D478" s="2" t="n">
        <v>100</v>
      </c>
      <c r="E478" s="4">
        <f>HYPERLINK("./Results/DLO\20191001_1.3.12.2.1107.5.1.4.65253.30000019101617195865400052252_2_512_512_\Osteo_Sarco_1.png","RPT")</f>
        <v/>
      </c>
      <c r="F478" s="3" t="n">
        <v>156</v>
      </c>
      <c r="G478" s="3" t="n">
        <v>7</v>
      </c>
      <c r="H478" s="7" t="n">
        <v>22.84</v>
      </c>
      <c r="I478" s="0" t="inlineStr">
        <is>
          <t>SOMATOM Definition AS</t>
        </is>
      </c>
      <c r="J478" s="0" t="inlineStr">
        <is>
          <t>Pre Contrast 3.0 B30f</t>
        </is>
      </c>
      <c r="K478" t="n">
        <v>170</v>
      </c>
      <c r="L478" t="n">
        <v>66</v>
      </c>
      <c r="M478" t="n">
        <v>51.56</v>
      </c>
    </row>
    <row r="479">
      <c r="A479" s="2" t="n">
        <v>8618302</v>
      </c>
      <c r="B479" s="2" t="n">
        <v>54</v>
      </c>
      <c r="C479" s="2" t="inlineStr">
        <is>
          <t>F</t>
        </is>
      </c>
      <c r="D479" s="2" t="n">
        <v>100</v>
      </c>
      <c r="E479" s="4">
        <f>HYPERLINK("./Results/DLO\20180201_1.2.840.113619.2.311.80060582562866635550628727936816753786_304_512_512_\Osteo_Sarco_1.png","RPT")</f>
        <v/>
      </c>
      <c r="F479" s="3" t="n">
        <v>145</v>
      </c>
      <c r="G479" s="3" t="n">
        <v>21</v>
      </c>
      <c r="H479" s="7" t="n">
        <v>23.63</v>
      </c>
      <c r="I479" s="0" t="inlineStr">
        <is>
          <t>Revolution CT</t>
        </is>
      </c>
      <c r="J479" s="0" t="inlineStr">
        <is>
          <t>ABD 2.5mm</t>
        </is>
      </c>
      <c r="K479" t="n">
        <v>158</v>
      </c>
      <c r="L479" t="n">
        <v>59</v>
      </c>
      <c r="M479" t="n">
        <v>49.67</v>
      </c>
    </row>
    <row r="480">
      <c r="A480" s="2" t="n">
        <v>8785049</v>
      </c>
      <c r="B480" s="2" t="n">
        <v>54</v>
      </c>
      <c r="C480" s="2" t="inlineStr">
        <is>
          <t>F</t>
        </is>
      </c>
      <c r="D480" s="2" t="n">
        <v>100</v>
      </c>
      <c r="E480" s="4">
        <f>HYPERLINK("./Results/DLO\20190401_1.3.12.2.1107.5.1.4.65253.30000019040419163826100041667_3_512_512_\Osteo_Sarco_1.png","RPT")</f>
        <v/>
      </c>
      <c r="F480" s="3" t="n">
        <v>142</v>
      </c>
      <c r="G480" s="3" t="n">
        <v>14</v>
      </c>
      <c r="H480" s="6" t="n">
        <v>24.99</v>
      </c>
      <c r="I480" s="0" t="inlineStr">
        <is>
          <t>SOMATOM Definition AS</t>
        </is>
      </c>
      <c r="J480" s="0" t="inlineStr">
        <is>
          <t>Post Contrast 3.0 B30f</t>
        </is>
      </c>
      <c r="K480" t="n">
        <v>149.7</v>
      </c>
      <c r="L480" t="n">
        <v>56</v>
      </c>
      <c r="M480" t="n">
        <v>57.12</v>
      </c>
    </row>
    <row r="481">
      <c r="A481" s="2" t="n">
        <v>8408564</v>
      </c>
      <c r="B481" s="2" t="n">
        <v>54</v>
      </c>
      <c r="C481" s="2" t="inlineStr">
        <is>
          <t>M</t>
        </is>
      </c>
      <c r="D481" s="2" t="n">
        <v>100</v>
      </c>
      <c r="E481" s="4">
        <f>HYPERLINK("./Results/DLO\20180401_1.3.12.2.1107.5.1.4.54310.30000018040623365414000001759_2_512_512_\Osteo_Sarco_1.png","RPT")</f>
        <v/>
      </c>
      <c r="F481" s="3" t="n">
        <v>141</v>
      </c>
      <c r="G481" s="3" t="n">
        <v>8</v>
      </c>
      <c r="H481" s="7" t="n">
        <v>25.71</v>
      </c>
      <c r="I481" s="0" t="inlineStr">
        <is>
          <t>Sensation 64</t>
        </is>
      </c>
      <c r="J481" s="0" t="inlineStr">
        <is>
          <t>With Contrast 3.0 B30f</t>
        </is>
      </c>
      <c r="K481" t="n">
        <v>165</v>
      </c>
      <c r="L481" t="n">
        <v>70</v>
      </c>
      <c r="M481" t="n">
        <v>48.85</v>
      </c>
    </row>
    <row r="482">
      <c r="A482" s="2" t="n">
        <v>5866472</v>
      </c>
      <c r="B482" s="2" t="n">
        <v>54</v>
      </c>
      <c r="C482" s="2" t="inlineStr">
        <is>
          <t>M</t>
        </is>
      </c>
      <c r="D482" s="2" t="n">
        <v>100</v>
      </c>
      <c r="E482" s="4">
        <f>HYPERLINK("./Results/DLO\20180701_1.3.46.670589.33.1.63668628819348734200001.5286240225787261701_201_512_512_\Osteo_Sarco_1.png","RPT")</f>
        <v/>
      </c>
      <c r="F482" s="3" t="n">
        <v>139</v>
      </c>
      <c r="G482" s="3" t="n">
        <v>6</v>
      </c>
      <c r="H482" s="7" t="n">
        <v>21.97</v>
      </c>
      <c r="I482" s="0" t="inlineStr">
        <is>
          <t>Ingenuity Core 128</t>
        </is>
      </c>
      <c r="J482" s="0" t="inlineStr">
        <is>
          <t>Post 100/236 i3, iDose (3)</t>
        </is>
      </c>
      <c r="K482" t="n">
        <v>172</v>
      </c>
      <c r="L482" t="n">
        <v>65</v>
      </c>
      <c r="M482" t="n">
        <v>44.96</v>
      </c>
    </row>
    <row r="483">
      <c r="A483" s="2" t="n">
        <v>9715511</v>
      </c>
      <c r="B483" s="2" t="n">
        <v>54</v>
      </c>
      <c r="C483" s="2" t="inlineStr">
        <is>
          <t>M</t>
        </is>
      </c>
      <c r="D483" s="2" t="n">
        <v>100</v>
      </c>
      <c r="E483" s="4">
        <f>HYPERLINK("./Results/DLO\20190601_1.2.410.100011.172.24.16.221.6369722386194201721.4_4_512_512_\Osteo_Sarco_1.png","RPT")</f>
        <v/>
      </c>
      <c r="F483" s="3" t="n">
        <v>139</v>
      </c>
      <c r="G483" s="3" t="n">
        <v>4</v>
      </c>
      <c r="H483" s="6" t="n">
        <v>20.46</v>
      </c>
      <c r="I483" s="0" t="inlineStr">
        <is>
          <t>SOMATOM Definition Edge</t>
        </is>
      </c>
      <c r="J483" s="0" t="inlineStr">
        <is>
          <t>DELAY 5.0 Br38 2</t>
        </is>
      </c>
      <c r="K483" t="n">
        <v>164.7</v>
      </c>
      <c r="L483" t="n">
        <v>55.5</v>
      </c>
      <c r="M483" t="n">
        <v>49.77</v>
      </c>
    </row>
    <row r="484">
      <c r="A484" s="2" t="n">
        <v>8830044</v>
      </c>
      <c r="B484" s="2" t="n">
        <v>54</v>
      </c>
      <c r="C484" s="2" t="inlineStr">
        <is>
          <t>M</t>
        </is>
      </c>
      <c r="D484" s="2" t="n">
        <v>100</v>
      </c>
      <c r="E484" s="4">
        <f>HYPERLINK("./Results/DLO\20180101_1.2.840.113619.2.416.271429167330992100403468903342672108103_2_512_512_\Osteo_Sarco_1.png","RPT")</f>
        <v/>
      </c>
      <c r="F484" s="3" t="n">
        <v>131</v>
      </c>
      <c r="G484" s="3" t="n">
        <v>5</v>
      </c>
      <c r="H484" s="7" t="n">
        <v>20.6</v>
      </c>
      <c r="I484" s="0" t="inlineStr">
        <is>
          <t>Revolution CT</t>
        </is>
      </c>
      <c r="J484" s="0" t="inlineStr">
        <is>
          <t>POST 2.5mm</t>
        </is>
      </c>
      <c r="K484" t="n">
        <v>164</v>
      </c>
      <c r="L484" t="n">
        <v>55.4</v>
      </c>
      <c r="M484" t="n">
        <v>46.85</v>
      </c>
    </row>
    <row r="485">
      <c r="A485" s="2" t="n">
        <v>8812147</v>
      </c>
      <c r="B485" s="2" t="n">
        <v>54</v>
      </c>
      <c r="C485" s="2" t="inlineStr">
        <is>
          <t>F</t>
        </is>
      </c>
      <c r="D485" s="2" t="n">
        <v>100</v>
      </c>
      <c r="E485" s="4">
        <f>HYPERLINK("./Results/DLO\20180801_1.2.840.113619.2.416.168865090542266223391756306098302677399_304_512_512_\Osteo_Sarco_1.png","RPT")</f>
        <v/>
      </c>
      <c r="F485" s="3" t="n">
        <v>130</v>
      </c>
      <c r="G485" s="3" t="n">
        <v>7</v>
      </c>
      <c r="H485" s="7" t="n">
        <v>28.49</v>
      </c>
      <c r="I485" s="0" t="inlineStr">
        <is>
          <t>Revolution CT</t>
        </is>
      </c>
      <c r="J485" s="0" t="inlineStr">
        <is>
          <t>ABD 2.5mm</t>
        </is>
      </c>
      <c r="K485" t="n">
        <v>157.3</v>
      </c>
      <c r="L485" t="n">
        <v>70.5</v>
      </c>
      <c r="M485" t="n">
        <v>49.71</v>
      </c>
    </row>
    <row r="486">
      <c r="A486" s="2" t="n">
        <v>8256943</v>
      </c>
      <c r="B486" s="2" t="n">
        <v>54</v>
      </c>
      <c r="C486" s="2" t="inlineStr">
        <is>
          <t>F</t>
        </is>
      </c>
      <c r="D486" s="2" t="n">
        <v>100</v>
      </c>
      <c r="E486" s="4">
        <f>HYPERLINK("./Results/DLO\20190201_1.3.46.670589.33.1.63685733480978207400001.5336860172460034173_201_512_512_\Osteo_Sarco_1.png","RPT")</f>
        <v/>
      </c>
      <c r="F486" s="3" t="n">
        <v>127</v>
      </c>
      <c r="G486" s="3" t="n">
        <v>8</v>
      </c>
      <c r="H486" s="7" t="n">
        <v>20.88</v>
      </c>
      <c r="I486" s="0" t="inlineStr">
        <is>
          <t>Ingenuity Core 128</t>
        </is>
      </c>
      <c r="J486" s="0" t="inlineStr">
        <is>
          <t>Post 3mm, iDose (3)</t>
        </is>
      </c>
      <c r="K486" t="n">
        <v>164.2</v>
      </c>
      <c r="L486" t="n">
        <v>56.3</v>
      </c>
      <c r="M486" t="n">
        <v>44.14</v>
      </c>
    </row>
    <row r="487">
      <c r="A487" s="2" t="n">
        <v>6742155</v>
      </c>
      <c r="B487" s="2" t="n">
        <v>54</v>
      </c>
      <c r="C487" s="2" t="inlineStr">
        <is>
          <t>F</t>
        </is>
      </c>
      <c r="D487" s="2" t="n">
        <v>100</v>
      </c>
      <c r="E487" s="4">
        <f>HYPERLINK("./Results/DLO\20190201_1.3.46.670589.33.1.63685648008872267900001.5449497261144106724_201_512_512_\Osteo_Sarco_1.png","RPT")</f>
        <v/>
      </c>
      <c r="F487" s="3" t="n">
        <v>125</v>
      </c>
      <c r="G487" s="3" t="n">
        <v>7</v>
      </c>
      <c r="H487" s="7" t="n">
        <v>23.33</v>
      </c>
      <c r="I487" s="0" t="inlineStr">
        <is>
          <t>Ingenuity Core 128</t>
        </is>
      </c>
      <c r="J487" s="0" t="inlineStr">
        <is>
          <t>Post 3mm, iDose (3)</t>
        </is>
      </c>
      <c r="K487" t="n">
        <v>157</v>
      </c>
      <c r="L487" t="n">
        <v>57.5</v>
      </c>
      <c r="M487" t="n">
        <v>47.87</v>
      </c>
    </row>
    <row r="488">
      <c r="A488" s="2" t="n">
        <v>8762093</v>
      </c>
      <c r="B488" s="2" t="n">
        <v>54</v>
      </c>
      <c r="C488" s="2" t="inlineStr">
        <is>
          <t>F</t>
        </is>
      </c>
      <c r="D488" s="2" t="n">
        <v>100</v>
      </c>
      <c r="E488" s="4">
        <f>HYPERLINK("./Results/DLO\20180301_1.2.840.113619.2.94.485650834948.2.8700862.18788411.1_2_512_512_\Osteo_Sarco_1.png","RPT")</f>
        <v/>
      </c>
      <c r="F488" s="3" t="n">
        <v>124</v>
      </c>
      <c r="G488" s="3" t="n">
        <v>10</v>
      </c>
      <c r="H488" s="6" t="n">
        <v>27.38</v>
      </c>
      <c r="I488" s="0" t="inlineStr">
        <is>
          <t>Sensation 64</t>
        </is>
      </c>
      <c r="J488" s="0" t="inlineStr">
        <is>
          <t>With Contrast 3.0 B30f</t>
        </is>
      </c>
      <c r="K488" t="n">
        <v>151.7</v>
      </c>
      <c r="L488" t="n">
        <v>63</v>
      </c>
      <c r="M488" t="n">
        <v>49.54</v>
      </c>
    </row>
    <row r="489">
      <c r="A489" s="2" t="n">
        <v>8404285</v>
      </c>
      <c r="B489" s="2" t="n">
        <v>54</v>
      </c>
      <c r="C489" s="2" t="inlineStr">
        <is>
          <t>F</t>
        </is>
      </c>
      <c r="D489" s="2" t="n">
        <v>100</v>
      </c>
      <c r="E489" s="4">
        <f>HYPERLINK("./Results/DLO\20180701_1.3.12.2.1107.5.1.4.65253.30000018071400384924300006001_2_512_512_\Osteo_Sarco_1.png","RPT")</f>
        <v/>
      </c>
      <c r="F489" s="3" t="n">
        <v>123</v>
      </c>
      <c r="G489" s="3" t="n">
        <v>9</v>
      </c>
      <c r="H489" s="7" t="n">
        <v>23.33</v>
      </c>
      <c r="I489" s="0" t="inlineStr">
        <is>
          <t>SOMATOM Definition AS</t>
        </is>
      </c>
      <c r="J489" s="0" t="inlineStr">
        <is>
          <t>With Contrast 3.0 B30f</t>
        </is>
      </c>
      <c r="K489" t="n">
        <v>157.4</v>
      </c>
      <c r="L489" t="n">
        <v>57.8</v>
      </c>
      <c r="M489" t="n">
        <v>46.01</v>
      </c>
    </row>
    <row r="490">
      <c r="A490" s="2" t="n">
        <v>8504648</v>
      </c>
      <c r="B490" s="2" t="n">
        <v>54</v>
      </c>
      <c r="C490" s="2" t="inlineStr">
        <is>
          <t>F</t>
        </is>
      </c>
      <c r="D490" s="2" t="n">
        <v>100</v>
      </c>
      <c r="E490" s="4">
        <f>HYPERLINK("./Results/DLO\20180901_1.2.840.113619.2.311.298228350864456380044086082632922901210_304_512_512_\Osteo_Sarco_1.png","RPT")</f>
        <v/>
      </c>
      <c r="F490" s="3" t="n">
        <v>123</v>
      </c>
      <c r="G490" s="3" t="n">
        <v>16</v>
      </c>
      <c r="H490" s="6" t="n">
        <v>28.98</v>
      </c>
      <c r="I490" s="0" t="inlineStr">
        <is>
          <t>Revolution CT</t>
        </is>
      </c>
      <c r="J490" s="0" t="inlineStr">
        <is>
          <t>ABD 2.5mm</t>
        </is>
      </c>
      <c r="K490" t="n">
        <v>150</v>
      </c>
      <c r="L490" t="n">
        <v>65.2</v>
      </c>
      <c r="M490" t="n">
        <v>47.56</v>
      </c>
    </row>
    <row r="491">
      <c r="A491" s="2" t="n">
        <v>8472684</v>
      </c>
      <c r="B491" s="2" t="n">
        <v>54</v>
      </c>
      <c r="C491" s="2" t="inlineStr">
        <is>
          <t>F</t>
        </is>
      </c>
      <c r="D491" s="2" t="n">
        <v>100</v>
      </c>
      <c r="E491" s="4">
        <f>HYPERLINK("./Results/DLO\20181001_1.2.840.113619.2.94.485650834948.2.9118451.19813380.1_3_512_512_\Osteo_Sarco_1.png","RPT")</f>
        <v/>
      </c>
      <c r="F491" s="3" t="n">
        <v>123</v>
      </c>
      <c r="G491" s="3" t="n">
        <v>6</v>
      </c>
      <c r="H491" s="6" t="n">
        <v>25.71</v>
      </c>
      <c r="I491" s="0" t="inlineStr">
        <is>
          <t>Sensation 64</t>
        </is>
      </c>
      <c r="J491" s="0" t="inlineStr">
        <is>
          <t>With Contrast 3.0 B30f</t>
        </is>
      </c>
      <c r="K491" t="n">
        <v>159</v>
      </c>
      <c r="L491" t="n">
        <v>65</v>
      </c>
      <c r="M491" t="n">
        <v>46.28</v>
      </c>
    </row>
    <row r="492">
      <c r="A492" s="2" t="n">
        <v>5548802</v>
      </c>
      <c r="B492" s="2" t="n">
        <v>54</v>
      </c>
      <c r="C492" s="2" t="inlineStr">
        <is>
          <t>M</t>
        </is>
      </c>
      <c r="D492" s="2" t="n">
        <v>100</v>
      </c>
      <c r="E492" s="4">
        <f>HYPERLINK("./Results/DLO\20181001_1.3.12.2.1107.5.1.4.65253.30000018102919262576400060254_3_512_512_\Osteo_Sarco_1.png","RPT")</f>
        <v/>
      </c>
      <c r="F492" s="3" t="n">
        <v>123</v>
      </c>
      <c r="G492" s="3" t="n">
        <v>6</v>
      </c>
      <c r="H492" s="7" t="n">
        <v>21.8</v>
      </c>
      <c r="I492" s="0" t="inlineStr">
        <is>
          <t>SOMATOM Definition AS</t>
        </is>
      </c>
      <c r="J492" s="0" t="inlineStr">
        <is>
          <t>Pre Contrast 3.0 B30f</t>
        </is>
      </c>
      <c r="K492" t="n">
        <v>170.8</v>
      </c>
      <c r="L492" t="n">
        <v>63.6</v>
      </c>
      <c r="M492" t="n">
        <v>40.11</v>
      </c>
    </row>
    <row r="493">
      <c r="A493" s="2" t="n">
        <v>4321144</v>
      </c>
      <c r="B493" s="2" t="n">
        <v>54</v>
      </c>
      <c r="C493" s="2" t="inlineStr">
        <is>
          <t>M</t>
        </is>
      </c>
      <c r="D493" s="2" t="n">
        <v>100</v>
      </c>
      <c r="E493" s="4">
        <f>HYPERLINK("./Results/DLO\20190401_1.3.12.2.1107.5.1.4.54310.30000019040923274960900046376_2_512_512_\Osteo_Sarco_1.png","RPT")</f>
        <v/>
      </c>
      <c r="F493" s="3" t="n">
        <v>118</v>
      </c>
      <c r="G493" s="3" t="n">
        <v>5</v>
      </c>
      <c r="H493" s="7" t="n">
        <v>17.57</v>
      </c>
      <c r="I493" s="0" t="inlineStr">
        <is>
          <t>Sensation 64</t>
        </is>
      </c>
      <c r="J493" s="0" t="inlineStr">
        <is>
          <t>With Contrast 3.0 B30f</t>
        </is>
      </c>
      <c r="K493" t="n">
        <v>167</v>
      </c>
      <c r="L493" t="n">
        <v>49</v>
      </c>
      <c r="M493" t="n">
        <v>40.52</v>
      </c>
    </row>
    <row r="494">
      <c r="A494" s="2" t="n">
        <v>8838441</v>
      </c>
      <c r="B494" s="2" t="n">
        <v>54</v>
      </c>
      <c r="C494" s="2" t="inlineStr">
        <is>
          <t>F</t>
        </is>
      </c>
      <c r="D494" s="2" t="n">
        <v>100</v>
      </c>
      <c r="E494" s="4">
        <f>HYPERLINK("./Results/DLO\20180701_1.3.46.670589.33.1.63666473683097677100001.5288711686469088481_201_512_512_\Osteo_Sarco_1.png","RPT")</f>
        <v/>
      </c>
      <c r="F494" s="3" t="n">
        <v>116</v>
      </c>
      <c r="G494" s="3" t="n">
        <v>11</v>
      </c>
      <c r="H494" s="7" t="n">
        <v>26.64</v>
      </c>
      <c r="I494" s="0" t="inlineStr">
        <is>
          <t>Ingenuity Core 128</t>
        </is>
      </c>
      <c r="J494" s="0" t="inlineStr">
        <is>
          <t>Post 100/236 i3, iDose (3)</t>
        </is>
      </c>
      <c r="K494" t="n">
        <v>155</v>
      </c>
      <c r="L494" t="n">
        <v>64</v>
      </c>
      <c r="M494" t="n">
        <v>43.7</v>
      </c>
    </row>
    <row r="495">
      <c r="A495" s="2" t="n">
        <v>8839356</v>
      </c>
      <c r="B495" s="2" t="n">
        <v>54</v>
      </c>
      <c r="C495" s="2" t="inlineStr">
        <is>
          <t>F</t>
        </is>
      </c>
      <c r="D495" s="2" t="n">
        <v>100</v>
      </c>
      <c r="E495" s="4">
        <f>HYPERLINK("./Results/DLO\20181201_1.3.46.670589.33.1.63680983067059262000001.4721260919511454592_201_512_512_\Osteo_Sarco_1.png","RPT")</f>
        <v/>
      </c>
      <c r="F495" s="3" t="n">
        <v>116</v>
      </c>
      <c r="G495" s="3" t="n">
        <v>14</v>
      </c>
      <c r="H495" s="7" t="n">
        <v>24.94</v>
      </c>
      <c r="I495" s="0" t="inlineStr">
        <is>
          <t>Ingenuity Core 128</t>
        </is>
      </c>
      <c r="J495" s="0" t="inlineStr">
        <is>
          <t>Post 100/236 i3, iDose (3)</t>
        </is>
      </c>
      <c r="K495" t="n">
        <v>155.1</v>
      </c>
      <c r="L495" t="n">
        <v>60</v>
      </c>
      <c r="M495" t="n">
        <v>42.4</v>
      </c>
    </row>
    <row r="496">
      <c r="A496" s="2" t="n">
        <v>9006224</v>
      </c>
      <c r="B496" s="2" t="n">
        <v>54</v>
      </c>
      <c r="C496" s="2" t="inlineStr">
        <is>
          <t>F</t>
        </is>
      </c>
      <c r="D496" s="2" t="n">
        <v>100</v>
      </c>
      <c r="E496" s="4">
        <f>HYPERLINK("./Results/DLO\20180801_1.3.12.2.1107.5.1.4.54310.30000018080523331884300010600_2_512_512_\Osteo_Sarco_1.png","RPT")</f>
        <v/>
      </c>
      <c r="F496" s="3" t="n">
        <v>114</v>
      </c>
      <c r="G496" s="3" t="n">
        <v>7</v>
      </c>
      <c r="H496" s="7" t="n">
        <v>22.95</v>
      </c>
      <c r="I496" s="0" t="inlineStr">
        <is>
          <t>Sensation 64</t>
        </is>
      </c>
      <c r="J496" s="0" t="inlineStr">
        <is>
          <t>With Contrast 3.0 B30f</t>
        </is>
      </c>
      <c r="K496" t="n">
        <v>169.2</v>
      </c>
      <c r="L496" t="n">
        <v>65.7</v>
      </c>
      <c r="M496" t="n">
        <v>37.38</v>
      </c>
    </row>
    <row r="497">
      <c r="A497" s="2" t="n">
        <v>9521289</v>
      </c>
      <c r="B497" s="2" t="n">
        <v>54</v>
      </c>
      <c r="C497" s="2" t="inlineStr">
        <is>
          <t>F</t>
        </is>
      </c>
      <c r="D497" s="2" t="n">
        <v>100</v>
      </c>
      <c r="E497" s="4">
        <f>HYPERLINK("./Results/DLO\20181201_1.3.12.2.1107.5.1.4.54310.30000018121000053173400010768_2_512_512_\Osteo_Sarco_1.png","RPT")</f>
        <v/>
      </c>
      <c r="F497" s="3" t="n">
        <v>114</v>
      </c>
      <c r="G497" s="3" t="n">
        <v>10</v>
      </c>
      <c r="H497" s="7" t="n">
        <v>25.33</v>
      </c>
      <c r="I497" s="0" t="inlineStr">
        <is>
          <t>Sensation 64</t>
        </is>
      </c>
      <c r="J497" s="0" t="inlineStr">
        <is>
          <t>With Contrast 3.0 B30f</t>
        </is>
      </c>
      <c r="K497" t="n">
        <v>160.2</v>
      </c>
      <c r="L497" t="n">
        <v>65</v>
      </c>
      <c r="M497" t="n">
        <v>40.52</v>
      </c>
    </row>
    <row r="498">
      <c r="A498" s="2" t="n">
        <v>6130088</v>
      </c>
      <c r="B498" s="2" t="n">
        <v>54</v>
      </c>
      <c r="C498" s="2" t="inlineStr">
        <is>
          <t>F</t>
        </is>
      </c>
      <c r="D498" s="2" t="n">
        <v>100</v>
      </c>
      <c r="E498" s="4">
        <f>HYPERLINK("./Results/DLO\20181001_1.2.840.113619.2.311.280994848955811059520298061659653214882_304_512_512_\Osteo_Sarco_1.png","RPT")</f>
        <v/>
      </c>
      <c r="F498" s="3" t="n">
        <v>111</v>
      </c>
      <c r="G498" s="3" t="n">
        <v>12</v>
      </c>
      <c r="H498" s="6" t="n">
        <v>24.62</v>
      </c>
      <c r="I498" s="0" t="inlineStr">
        <is>
          <t>Revolution CT</t>
        </is>
      </c>
      <c r="J498" s="0" t="inlineStr">
        <is>
          <t>ABD 2.5mm</t>
        </is>
      </c>
      <c r="K498" t="n">
        <v>164.1</v>
      </c>
      <c r="L498" t="n">
        <v>66.3</v>
      </c>
      <c r="M498" t="n">
        <v>36.76</v>
      </c>
    </row>
    <row r="499">
      <c r="A499" s="2" t="n">
        <v>723671</v>
      </c>
      <c r="B499" s="2" t="n">
        <v>54</v>
      </c>
      <c r="C499" s="2" t="inlineStr">
        <is>
          <t>F</t>
        </is>
      </c>
      <c r="D499" s="2" t="n">
        <v>100</v>
      </c>
      <c r="E499" s="4">
        <f>HYPERLINK("./Results/DLO\20181201_1.2.840.113619.2.416.4887534510279740699704757425488857777_303_512_512_\Osteo_Sarco_1.png","RPT")</f>
        <v/>
      </c>
      <c r="F499" s="3" t="n">
        <v>108</v>
      </c>
      <c r="G499" s="3" t="n">
        <v>7</v>
      </c>
      <c r="H499" s="7" t="n">
        <v>17.15</v>
      </c>
      <c r="I499" s="0" t="inlineStr">
        <is>
          <t>Revolution CT</t>
        </is>
      </c>
      <c r="J499" s="0" t="inlineStr">
        <is>
          <t>ABD 2.5mm</t>
        </is>
      </c>
      <c r="K499" t="n">
        <v>162</v>
      </c>
      <c r="L499" t="n">
        <v>45</v>
      </c>
      <c r="M499" t="n">
        <v>38.48</v>
      </c>
    </row>
    <row r="500">
      <c r="A500" s="2" t="n">
        <v>5974055</v>
      </c>
      <c r="B500" s="2" t="n">
        <v>54</v>
      </c>
      <c r="C500" s="2" t="inlineStr">
        <is>
          <t>F</t>
        </is>
      </c>
      <c r="D500" s="2" t="n">
        <v>100</v>
      </c>
      <c r="E500" s="4">
        <f>HYPERLINK("./Results/DLO\20180101_1.3.12.2.1107.5.1.4.54310.30000018010823145746800018078_2_512_512_\Osteo_Sarco_1.png","RPT")</f>
        <v/>
      </c>
      <c r="F500" s="3" t="n">
        <v>106</v>
      </c>
      <c r="G500" s="3" t="n">
        <v>8</v>
      </c>
      <c r="H500" s="7" t="n">
        <v>18.28</v>
      </c>
      <c r="I500" s="0" t="inlineStr">
        <is>
          <t>Sensation 64</t>
        </is>
      </c>
      <c r="J500" s="0" t="inlineStr">
        <is>
          <t>With Contrast 3.0 B30f</t>
        </is>
      </c>
      <c r="K500" t="n">
        <v>160</v>
      </c>
      <c r="L500" t="n">
        <v>46.8</v>
      </c>
      <c r="M500" t="n">
        <v>38.28</v>
      </c>
    </row>
    <row r="501">
      <c r="A501" s="2" t="n">
        <v>8804668</v>
      </c>
      <c r="B501" s="2" t="n">
        <v>54</v>
      </c>
      <c r="C501" s="2" t="inlineStr">
        <is>
          <t>F</t>
        </is>
      </c>
      <c r="D501" s="2" t="n">
        <v>100</v>
      </c>
      <c r="E501" s="4">
        <f>HYPERLINK("./Results/DLO\20190601_1.3.46.670589.33.1.63695503265996794100001.5699913524826573999_201_512_512_\Osteo_Sarco_1.png","RPT")</f>
        <v/>
      </c>
      <c r="F501" s="3" t="n">
        <v>106</v>
      </c>
      <c r="G501" s="3" t="n">
        <v>8</v>
      </c>
      <c r="H501" s="6" t="n">
        <v>20.31</v>
      </c>
      <c r="I501" s="0" t="inlineStr">
        <is>
          <t>Ingenuity Core 128</t>
        </is>
      </c>
      <c r="J501" s="0" t="inlineStr">
        <is>
          <t>Post 3mm, iDose (3)</t>
        </is>
      </c>
      <c r="K501" t="n">
        <v>160</v>
      </c>
      <c r="L501" t="n">
        <v>52</v>
      </c>
      <c r="M501" t="n">
        <v>38.28</v>
      </c>
    </row>
    <row r="502">
      <c r="A502" s="2" t="n">
        <v>5572259</v>
      </c>
      <c r="B502" s="2" t="n">
        <v>54</v>
      </c>
      <c r="C502" s="2" t="inlineStr">
        <is>
          <t>F</t>
        </is>
      </c>
      <c r="D502" s="2" t="n">
        <v>100</v>
      </c>
      <c r="E502" s="4">
        <f>HYPERLINK("./Results/DLO\20180101_1.3.12.2.1107.5.1.4.54310.30000018013023115745300044073_2_512_512_\Osteo_Sarco_1.png","RPT")</f>
        <v/>
      </c>
      <c r="F502" s="3" t="n">
        <v>104</v>
      </c>
      <c r="G502" s="3" t="n">
        <v>11</v>
      </c>
      <c r="H502" s="7" t="n">
        <v>24.04</v>
      </c>
      <c r="I502" s="0" t="inlineStr">
        <is>
          <t>Sensation 64</t>
        </is>
      </c>
      <c r="J502" s="0" t="inlineStr">
        <is>
          <t>With Contrast 3.0 B30f</t>
        </is>
      </c>
      <c r="K502" t="n">
        <v>159.3</v>
      </c>
      <c r="L502" t="n">
        <v>61</v>
      </c>
      <c r="M502" t="n">
        <v>36.65</v>
      </c>
    </row>
    <row r="503">
      <c r="A503" s="2" t="n">
        <v>5022935</v>
      </c>
      <c r="B503" s="2" t="n">
        <v>54</v>
      </c>
      <c r="C503" s="2" t="inlineStr">
        <is>
          <t>F</t>
        </is>
      </c>
      <c r="D503" s="2" t="n">
        <v>100</v>
      </c>
      <c r="E503" s="4">
        <f>HYPERLINK("./Results/DLO\20191201_1.2.840.113619.2.416.311521595830104165190266916593628799023_310_512_512_\Osteo_Sarco_1.png","RPT")</f>
        <v/>
      </c>
      <c r="F503" s="3" t="n">
        <v>100</v>
      </c>
      <c r="G503" s="3" t="n">
        <v>7</v>
      </c>
      <c r="H503" s="7" t="n">
        <v>27.93</v>
      </c>
      <c r="I503" s="0" t="inlineStr">
        <is>
          <t>Revolution CT</t>
        </is>
      </c>
      <c r="J503" s="0" t="inlineStr">
        <is>
          <t>ABD</t>
        </is>
      </c>
      <c r="K503" t="n">
        <v>151.5</v>
      </c>
      <c r="L503" t="n">
        <v>64.09999999999999</v>
      </c>
      <c r="M503" t="n">
        <v>40.52</v>
      </c>
    </row>
    <row r="504">
      <c r="A504" s="2" t="n">
        <v>5656754</v>
      </c>
      <c r="B504" s="2" t="n">
        <v>55</v>
      </c>
      <c r="C504" s="2" t="inlineStr">
        <is>
          <t>F</t>
        </is>
      </c>
      <c r="D504" s="2" t="n">
        <v>100</v>
      </c>
      <c r="E504" s="4">
        <f>HYPERLINK("./Results/DLO\20181201_1.3.46.670589.33.1.63680032346092826300001.4669803608228358361_201_512_512_\Osteo_Sarco_1.png","RPT")</f>
        <v/>
      </c>
      <c r="F504" s="3" t="n">
        <v>98</v>
      </c>
      <c r="G504" s="3" t="n">
        <v>8</v>
      </c>
      <c r="H504" s="7" t="n">
        <v>21.37</v>
      </c>
      <c r="I504" s="0" t="inlineStr">
        <is>
          <t>Ingenuity Core 128</t>
        </is>
      </c>
      <c r="J504" s="0" t="inlineStr">
        <is>
          <t>Post 100/236 i3, iDose (3)</t>
        </is>
      </c>
      <c r="K504" t="n">
        <v>156</v>
      </c>
      <c r="L504" t="n">
        <v>52</v>
      </c>
      <c r="M504" t="n">
        <v>36.98</v>
      </c>
    </row>
    <row r="505">
      <c r="A505" s="2" t="n">
        <v>1711119</v>
      </c>
      <c r="B505" s="2" t="n">
        <v>55</v>
      </c>
      <c r="C505" s="2" t="inlineStr">
        <is>
          <t>F</t>
        </is>
      </c>
      <c r="D505" s="2" t="n">
        <v>100</v>
      </c>
      <c r="E505" s="4">
        <f>HYPERLINK("./Results/DLO\20190801_1.3.46.670589.33.1.63700256048239246500001.5122669567908638529_201_512_512_\Osteo_Sarco_1.png","RPT")</f>
        <v/>
      </c>
      <c r="F505" s="3" t="n">
        <v>96</v>
      </c>
      <c r="G505" s="3" t="n">
        <v>12</v>
      </c>
      <c r="H505" s="7" t="n">
        <v>20.46</v>
      </c>
      <c r="I505" s="0" t="inlineStr">
        <is>
          <t>Ingenuity Core 128</t>
        </is>
      </c>
      <c r="J505" s="0" t="inlineStr">
        <is>
          <t>Post 3mm, iDose (3)</t>
        </is>
      </c>
      <c r="K505" t="n">
        <v>165.3</v>
      </c>
      <c r="L505" t="n">
        <v>55.9</v>
      </c>
      <c r="M505" t="n">
        <v>30.74</v>
      </c>
    </row>
    <row r="506">
      <c r="A506" s="2" t="n">
        <v>5528589</v>
      </c>
      <c r="B506" s="2" t="n">
        <v>55</v>
      </c>
      <c r="C506" s="2" t="inlineStr">
        <is>
          <t>F</t>
        </is>
      </c>
      <c r="D506" s="2" t="n">
        <v>100</v>
      </c>
      <c r="E506" s="4">
        <f>HYPERLINK("./Results/DLO\20181201_1.2.840.113619.2.416.132888273300966102763919001268387392496_304_512_512_\Osteo_Sarco_1.png","RPT")</f>
        <v/>
      </c>
      <c r="F506" s="3" t="n">
        <v>93</v>
      </c>
      <c r="G506" s="3" t="n">
        <v>6</v>
      </c>
      <c r="H506" s="7" t="n">
        <v>19.73</v>
      </c>
      <c r="I506" s="0" t="inlineStr">
        <is>
          <t>Revolution CT</t>
        </is>
      </c>
      <c r="J506" s="0" t="inlineStr">
        <is>
          <t>ABD 2.5mm</t>
        </is>
      </c>
      <c r="K506" t="n">
        <v>155.5</v>
      </c>
      <c r="L506" t="n">
        <v>47.7</v>
      </c>
      <c r="M506" t="n">
        <v>35.98</v>
      </c>
    </row>
    <row r="507">
      <c r="A507" s="2" t="n">
        <v>9793253</v>
      </c>
      <c r="B507" s="2" t="n">
        <v>55</v>
      </c>
      <c r="C507" s="2" t="inlineStr">
        <is>
          <t>F</t>
        </is>
      </c>
      <c r="D507" s="2" t="n">
        <v>100</v>
      </c>
      <c r="E507" s="4">
        <f>HYPERLINK("./Results/DLO\20191101_1.3.46.670589.33.1.63710014364779256700001.5147744739380040103_201_512_512_\Osteo_Sarco_1.png","RPT")</f>
        <v/>
      </c>
      <c r="F507" s="3" t="n">
        <v>92</v>
      </c>
      <c r="G507" s="3" t="n">
        <v>9</v>
      </c>
      <c r="H507" s="7" t="n">
        <v>21.87</v>
      </c>
      <c r="I507" s="0" t="inlineStr">
        <is>
          <t>Ingenuity Core 128</t>
        </is>
      </c>
      <c r="J507" s="0" t="inlineStr">
        <is>
          <t>Post 3mm, iDose (3)</t>
        </is>
      </c>
      <c r="K507" t="n">
        <v>160</v>
      </c>
      <c r="L507" t="n">
        <v>56</v>
      </c>
      <c r="M507" t="n">
        <v>32.42</v>
      </c>
    </row>
    <row r="508">
      <c r="A508" s="2" t="n">
        <v>5554323</v>
      </c>
      <c r="B508" s="2" t="n">
        <v>55</v>
      </c>
      <c r="C508" s="2" t="inlineStr">
        <is>
          <t>F</t>
        </is>
      </c>
      <c r="D508" s="2" t="n">
        <v>100</v>
      </c>
      <c r="E508" s="4">
        <f>HYPERLINK("./Results/DLO\20181201_1.3.12.2.1107.5.1.4.65253.30000018122918373693900044706_2_512_512_\Osteo_Sarco_1.png","RPT")</f>
        <v/>
      </c>
      <c r="F508" s="3" t="n">
        <v>91</v>
      </c>
      <c r="G508" s="3" t="n">
        <v>9</v>
      </c>
      <c r="H508" s="7" t="n">
        <v>18.87</v>
      </c>
      <c r="I508" s="0" t="inlineStr">
        <is>
          <t>SOMATOM Definition AS</t>
        </is>
      </c>
      <c r="J508" s="0" t="inlineStr">
        <is>
          <t>With Contrast 3.0 B30f</t>
        </is>
      </c>
      <c r="K508" t="n">
        <v>166</v>
      </c>
      <c r="L508" t="n">
        <v>52</v>
      </c>
      <c r="M508" t="n">
        <v>29.76</v>
      </c>
    </row>
    <row r="509">
      <c r="A509" s="2" t="n">
        <v>8600970</v>
      </c>
      <c r="B509" s="2" t="n">
        <v>55</v>
      </c>
      <c r="C509" s="2" t="inlineStr">
        <is>
          <t>F</t>
        </is>
      </c>
      <c r="D509" s="2" t="n">
        <v>100</v>
      </c>
      <c r="E509" s="4">
        <f>HYPERLINK("./Results/DLO\20190201_1.3.46.670589.33.1.63685739931445153000001.5177182601132767286_201_512_512_\Osteo_Sarco_1.png","RPT")</f>
        <v/>
      </c>
      <c r="F509" s="3" t="n">
        <v>89</v>
      </c>
      <c r="G509" s="3" t="n">
        <v>13</v>
      </c>
      <c r="H509" s="7" t="n">
        <v>18.29</v>
      </c>
      <c r="I509" s="0" t="inlineStr">
        <is>
          <t>Ingenuity Core 128</t>
        </is>
      </c>
      <c r="J509" s="0" t="inlineStr">
        <is>
          <t>Post 3mm, iDose (3)</t>
        </is>
      </c>
      <c r="K509" t="n">
        <v>162</v>
      </c>
      <c r="L509" t="n">
        <v>48</v>
      </c>
      <c r="M509" t="n">
        <v>28.96</v>
      </c>
    </row>
    <row r="510">
      <c r="A510" s="2" t="n">
        <v>5026705</v>
      </c>
      <c r="B510" s="2" t="n">
        <v>55</v>
      </c>
      <c r="C510" s="2" t="inlineStr">
        <is>
          <t>F</t>
        </is>
      </c>
      <c r="D510" s="2" t="n">
        <v>100</v>
      </c>
      <c r="E510" s="4">
        <f>HYPERLINK("./Results/DLO\20180701_1.3.12.2.1107.5.1.4.54310.30000018071123383703100003740_2_512_512_\Osteo_Sarco_1.png","RPT")</f>
        <v/>
      </c>
      <c r="F510" s="3" t="n">
        <v>85</v>
      </c>
      <c r="G510" s="3" t="n">
        <v>4</v>
      </c>
      <c r="H510" s="7" t="n">
        <v>20.59</v>
      </c>
      <c r="I510" s="0" t="inlineStr">
        <is>
          <t>Sensation 64</t>
        </is>
      </c>
      <c r="J510" s="0" t="inlineStr">
        <is>
          <t>With Contrast 3.0 B30f</t>
        </is>
      </c>
      <c r="K510" t="n">
        <v>149.8</v>
      </c>
      <c r="L510" t="n">
        <v>46.2</v>
      </c>
      <c r="M510" t="n">
        <v>36.1</v>
      </c>
    </row>
    <row r="511">
      <c r="A511" s="2" t="n">
        <v>6741645</v>
      </c>
      <c r="B511" s="2" t="n">
        <v>55</v>
      </c>
      <c r="C511" s="2" t="inlineStr">
        <is>
          <t>F</t>
        </is>
      </c>
      <c r="D511" s="2" t="n">
        <v>100</v>
      </c>
      <c r="E511" s="4">
        <f>HYPERLINK("./Results/DLO\20190901_1.3.12.2.1107.5.1.4.54310.30000019090222280856200046087_2_512_512_\Osteo_Sarco_1.png","RPT")</f>
        <v/>
      </c>
      <c r="F511" s="3" t="n">
        <v>81</v>
      </c>
      <c r="G511" s="3" t="n">
        <v>7</v>
      </c>
      <c r="H511" s="7" t="n">
        <v>22.46</v>
      </c>
      <c r="I511" s="0" t="inlineStr">
        <is>
          <t>Sensation 64</t>
        </is>
      </c>
      <c r="J511" s="0" t="inlineStr">
        <is>
          <t>With Contrast 3.0 B30f</t>
        </is>
      </c>
      <c r="K511" t="n">
        <v>146.2</v>
      </c>
      <c r="L511" t="n">
        <v>48</v>
      </c>
      <c r="M511" t="n">
        <v>34.62</v>
      </c>
    </row>
    <row r="512">
      <c r="A512" s="2" t="n">
        <v>6006880</v>
      </c>
      <c r="B512" s="2" t="n">
        <v>55</v>
      </c>
      <c r="C512" s="2" t="inlineStr">
        <is>
          <t>F</t>
        </is>
      </c>
      <c r="D512" s="2" t="n">
        <v>100</v>
      </c>
      <c r="E512" s="4">
        <f>HYPERLINK("./Results/DLO\20180401_1.2.840.113619.2.94.485650834948.2.8753034.18917699.1_2_512_512_\Osteo_Sarco_1.png","RPT")</f>
        <v/>
      </c>
      <c r="F512" s="3" t="n">
        <v>80</v>
      </c>
      <c r="G512" s="3" t="n">
        <v>8</v>
      </c>
      <c r="H512" s="7" t="n">
        <v>22.22</v>
      </c>
      <c r="I512" s="0" t="inlineStr">
        <is>
          <t>Sensation 64</t>
        </is>
      </c>
      <c r="J512" s="0" t="inlineStr">
        <is>
          <t>With Contrast 3.0 B30f</t>
        </is>
      </c>
      <c r="K512" t="n">
        <v>150</v>
      </c>
      <c r="L512" t="n">
        <v>50</v>
      </c>
      <c r="M512" t="n">
        <v>32</v>
      </c>
    </row>
    <row r="513">
      <c r="A513" s="2" t="n">
        <v>9669385</v>
      </c>
      <c r="B513" s="2" t="n">
        <v>55</v>
      </c>
      <c r="C513" s="2" t="inlineStr">
        <is>
          <t>F</t>
        </is>
      </c>
      <c r="D513" s="2" t="n">
        <v>100</v>
      </c>
      <c r="E513" s="4">
        <f>HYPERLINK("./Results/DLO\20190501_1.2.840.113619.2.416.116883814098503416780403959640158876712_310_512_512_\Osteo_Sarco_1.png","RPT")</f>
        <v/>
      </c>
      <c r="F513" s="3" t="n">
        <v>156</v>
      </c>
      <c r="G513" s="3" t="n">
        <v>13</v>
      </c>
      <c r="H513" s="7" t="n">
        <v>25.14</v>
      </c>
      <c r="I513" s="0" t="inlineStr">
        <is>
          <t>Revolution CT</t>
        </is>
      </c>
      <c r="J513" s="0" t="inlineStr">
        <is>
          <t>ABD</t>
        </is>
      </c>
      <c r="K513" t="n">
        <v>156.8</v>
      </c>
      <c r="L513" t="n">
        <v>61.8</v>
      </c>
      <c r="M513" t="n">
        <v>58.16</v>
      </c>
    </row>
    <row r="514">
      <c r="A514" s="2" t="n">
        <v>5792651</v>
      </c>
      <c r="B514" s="2" t="n">
        <v>55</v>
      </c>
      <c r="C514" s="2" t="inlineStr">
        <is>
          <t>M</t>
        </is>
      </c>
      <c r="D514" s="2" t="n">
        <v>100</v>
      </c>
      <c r="E514" s="4">
        <f>HYPERLINK("./Results/DLO\20180601_1.3.46.670589.33.1.63665776419776169400001.4668358974717394725_201_512_512_\Osteo_Sarco_1.png","RPT")</f>
        <v/>
      </c>
      <c r="F514" s="3" t="n">
        <v>153</v>
      </c>
      <c r="G514" s="3" t="n">
        <v>4</v>
      </c>
      <c r="H514" s="7" t="n">
        <v>21.87</v>
      </c>
      <c r="I514" s="0" t="inlineStr">
        <is>
          <t>Ingenuity Core 128</t>
        </is>
      </c>
      <c r="J514" s="0" t="inlineStr">
        <is>
          <t>Post 100/236 i3, iDose (3)</t>
        </is>
      </c>
      <c r="K514" t="n">
        <v>167</v>
      </c>
      <c r="L514" t="n">
        <v>61</v>
      </c>
      <c r="M514" t="n">
        <v>53.43</v>
      </c>
    </row>
    <row r="515">
      <c r="A515" s="2" t="n">
        <v>9678263</v>
      </c>
      <c r="B515" s="2" t="n">
        <v>55</v>
      </c>
      <c r="C515" s="2" t="inlineStr">
        <is>
          <t>M</t>
        </is>
      </c>
      <c r="D515" s="2" t="n">
        <v>100</v>
      </c>
      <c r="E515" s="4">
        <f>HYPERLINK("./Results/DLO\20190501_1.3.12.2.1107.5.1.4.65253.30000019051319530377800095372_14_512_512_\Osteo_Sarco_1.png","RPT")</f>
        <v/>
      </c>
      <c r="F515" s="3" t="n">
        <v>153</v>
      </c>
      <c r="G515" s="3" t="n">
        <v>5</v>
      </c>
      <c r="H515" s="6" t="n">
        <v>23.24</v>
      </c>
      <c r="I515" s="0" t="inlineStr">
        <is>
          <t>SOMATOM Definition AS</t>
        </is>
      </c>
      <c r="J515" s="0" t="inlineStr">
        <is>
          <t>Delay Phase 3.0 B30f</t>
        </is>
      </c>
      <c r="K515" t="n">
        <v>162</v>
      </c>
      <c r="L515" t="n">
        <v>61</v>
      </c>
      <c r="M515" t="n">
        <v>56.39</v>
      </c>
    </row>
    <row r="516">
      <c r="A516" s="2" t="n">
        <v>9988990</v>
      </c>
      <c r="B516" s="2" t="n">
        <v>55</v>
      </c>
      <c r="C516" s="2" t="inlineStr">
        <is>
          <t>M</t>
        </is>
      </c>
      <c r="D516" s="2" t="n">
        <v>100</v>
      </c>
      <c r="E516" s="4">
        <f>HYPERLINK("./Results/DLO\20200601_1.3.46.670589.33.1.63728592492401107800001.4650917021105646796_201_512_512_\Osteo_Sarco_1.png","RPT")</f>
        <v/>
      </c>
      <c r="F516" s="3" t="n">
        <v>151</v>
      </c>
      <c r="G516" s="3" t="n">
        <v>6</v>
      </c>
      <c r="H516" s="7" t="n">
        <v>23.88</v>
      </c>
      <c r="I516" s="0" t="inlineStr">
        <is>
          <t>Ingenuity Core 128</t>
        </is>
      </c>
      <c r="J516" s="0" t="inlineStr">
        <is>
          <t>Post 3mm, iDose (3)</t>
        </is>
      </c>
      <c r="K516" t="n">
        <v>170</v>
      </c>
      <c r="L516" t="n">
        <v>69</v>
      </c>
      <c r="M516" t="n">
        <v>50.17</v>
      </c>
    </row>
    <row r="517">
      <c r="A517" s="2" t="n">
        <v>5639536</v>
      </c>
      <c r="B517" s="2" t="n">
        <v>55</v>
      </c>
      <c r="C517" s="2" t="inlineStr">
        <is>
          <t>M</t>
        </is>
      </c>
      <c r="D517" s="2" t="n">
        <v>100</v>
      </c>
      <c r="E517" s="4">
        <f>HYPERLINK("./Results/DLO\20180401_1.2.840.113619.2.416.252422636975321879098811493749889896111_301_512_512_\Osteo_Sarco_1.png","RPT")</f>
        <v/>
      </c>
      <c r="F517" s="3" t="n">
        <v>145</v>
      </c>
      <c r="G517" s="3" t="n">
        <v>4</v>
      </c>
      <c r="H517" s="7" t="n">
        <v>21.4</v>
      </c>
      <c r="I517" s="0" t="inlineStr">
        <is>
          <t>Revolution CT</t>
        </is>
      </c>
      <c r="J517" s="0" t="inlineStr">
        <is>
          <t>ARTERY</t>
        </is>
      </c>
      <c r="K517" t="n">
        <v>166.1</v>
      </c>
      <c r="L517" t="n">
        <v>59.05</v>
      </c>
      <c r="M517" t="n">
        <v>51.11</v>
      </c>
    </row>
    <row r="518">
      <c r="A518" s="2" t="n">
        <v>9843428</v>
      </c>
      <c r="B518" s="2" t="n">
        <v>55</v>
      </c>
      <c r="C518" s="2" t="inlineStr">
        <is>
          <t>M</t>
        </is>
      </c>
      <c r="D518" s="2" t="n">
        <v>100</v>
      </c>
      <c r="E518" s="4">
        <f>HYPERLINK("./Results/DLO\20191201_1.3.46.670589.33.1.63711910836352357500001.4683200484931882393_201_512_512_\Osteo_Sarco_1.png","RPT")</f>
        <v/>
      </c>
      <c r="F518" s="3" t="n">
        <v>142</v>
      </c>
      <c r="G518" s="3" t="n">
        <v>6</v>
      </c>
      <c r="H518" s="7" t="n">
        <v>23.24</v>
      </c>
      <c r="I518" s="0" t="inlineStr">
        <is>
          <t>Ingenuity Core 128</t>
        </is>
      </c>
      <c r="J518" s="0" t="inlineStr">
        <is>
          <t>Post 3mm, iDose (3)</t>
        </is>
      </c>
      <c r="K518" t="n">
        <v>176</v>
      </c>
      <c r="L518" t="n">
        <v>72</v>
      </c>
      <c r="M518" t="n">
        <v>43.9</v>
      </c>
    </row>
    <row r="519">
      <c r="A519" s="2" t="n">
        <v>9632636</v>
      </c>
      <c r="B519" s="2" t="n">
        <v>55</v>
      </c>
      <c r="C519" s="2" t="inlineStr">
        <is>
          <t>M</t>
        </is>
      </c>
      <c r="D519" s="2" t="n">
        <v>100</v>
      </c>
      <c r="E519" s="4">
        <f>HYPERLINK("./Results/DLO\20200501_1.3.12.2.1107.5.1.4.65253.30000020050920122728800012411_2_512_512_\Osteo_Sarco_1.png","RPT")</f>
        <v/>
      </c>
      <c r="F519" s="3" t="n">
        <v>136</v>
      </c>
      <c r="G519" s="3" t="n">
        <v>8</v>
      </c>
      <c r="H519" s="6" t="n">
        <v>25.46</v>
      </c>
      <c r="I519" s="0" t="inlineStr">
        <is>
          <t>SOMATOM Definition AS</t>
        </is>
      </c>
      <c r="J519" s="0" t="inlineStr">
        <is>
          <t>W/O ABD 2.0 B30f</t>
        </is>
      </c>
      <c r="K519" t="n">
        <v>167</v>
      </c>
      <c r="L519" t="n">
        <v>71</v>
      </c>
      <c r="M519" t="n">
        <v>45.9</v>
      </c>
    </row>
    <row r="520">
      <c r="A520" s="2" t="n">
        <v>5606783</v>
      </c>
      <c r="B520" s="2" t="n">
        <v>55</v>
      </c>
      <c r="C520" s="2" t="inlineStr">
        <is>
          <t>M</t>
        </is>
      </c>
      <c r="D520" s="2" t="n">
        <v>100</v>
      </c>
      <c r="E520" s="4">
        <f>HYPERLINK("./Results/DLO\20180501_1.3.12.2.1107.5.1.4.65253.30000018051617441060800046283_5_512_512_\Osteo_Sarco_1.png","RPT")</f>
        <v/>
      </c>
      <c r="F520" s="3" t="n">
        <v>135</v>
      </c>
      <c r="G520" s="3" t="n">
        <v>10</v>
      </c>
      <c r="H520" s="6" t="n">
        <v>26.99</v>
      </c>
      <c r="I520" s="0" t="inlineStr">
        <is>
          <t>SOMATOM Definition AS</t>
        </is>
      </c>
      <c r="J520" s="0" t="inlineStr">
        <is>
          <t>Arterial Phase 3.0 B30f</t>
        </is>
      </c>
      <c r="K520" t="n">
        <v>170</v>
      </c>
      <c r="L520" t="n">
        <v>78</v>
      </c>
      <c r="M520" t="n">
        <v>43.25</v>
      </c>
    </row>
    <row r="521">
      <c r="A521" s="2" t="n">
        <v>8649754</v>
      </c>
      <c r="B521" s="2" t="n">
        <v>55</v>
      </c>
      <c r="C521" s="2" t="inlineStr">
        <is>
          <t>F</t>
        </is>
      </c>
      <c r="D521" s="2" t="n">
        <v>100</v>
      </c>
      <c r="E521" s="4">
        <f>HYPERLINK("./Results/DLO\20180501_1.2.840.113619.2.311.208055440641785584711686102570876068169_304_512_512_\Osteo_Sarco_1.png","RPT")</f>
        <v/>
      </c>
      <c r="F521" s="3" t="n">
        <v>130</v>
      </c>
      <c r="G521" s="3" t="n">
        <v>17</v>
      </c>
      <c r="H521" s="7" t="n">
        <v>24.51</v>
      </c>
      <c r="I521" s="0" t="inlineStr">
        <is>
          <t>Revolution CT</t>
        </is>
      </c>
      <c r="J521" s="0" t="inlineStr">
        <is>
          <t>ABD 2.5mm</t>
        </is>
      </c>
      <c r="K521" t="n">
        <v>152.1</v>
      </c>
      <c r="L521" t="n">
        <v>56.7</v>
      </c>
      <c r="M521" t="n">
        <v>48.84</v>
      </c>
    </row>
    <row r="522">
      <c r="A522" s="2" t="n">
        <v>9002440</v>
      </c>
      <c r="B522" s="2" t="n">
        <v>55</v>
      </c>
      <c r="C522" s="2" t="inlineStr">
        <is>
          <t>F</t>
        </is>
      </c>
      <c r="D522" s="2" t="n">
        <v>100</v>
      </c>
      <c r="E522" s="4">
        <f>HYPERLINK("./Results/DLO\20180701_1.2.840.113619.2.311.149525423213644679275422438566367921682_304_512_512_\Osteo_Sarco_1.png","RPT")</f>
        <v/>
      </c>
      <c r="F522" s="3" t="n">
        <v>127</v>
      </c>
      <c r="G522" s="3" t="n">
        <v>7</v>
      </c>
      <c r="H522" s="7" t="n">
        <v>29.69</v>
      </c>
      <c r="I522" s="0" t="inlineStr">
        <is>
          <t>Revolution CT</t>
        </is>
      </c>
      <c r="J522" s="0" t="inlineStr">
        <is>
          <t>ABD 2.5mm</t>
        </is>
      </c>
      <c r="K522" t="n">
        <v>158.3</v>
      </c>
      <c r="L522" t="n">
        <v>74.40000000000001</v>
      </c>
      <c r="M522" t="n">
        <v>47.89</v>
      </c>
    </row>
    <row r="523">
      <c r="A523" s="2" t="n">
        <v>6738001</v>
      </c>
      <c r="B523" s="2" t="n">
        <v>55</v>
      </c>
      <c r="C523" s="2" t="inlineStr">
        <is>
          <t>F</t>
        </is>
      </c>
      <c r="D523" s="2" t="n">
        <v>100</v>
      </c>
      <c r="E523" s="4">
        <f>HYPERLINK("./Results/DLO\20191201_1.2.840.113619.2.416.128392015363168305643908448240226739575_310_512_512_\Osteo_Sarco_1.png","RPT")</f>
        <v/>
      </c>
      <c r="F523" s="3" t="n">
        <v>126</v>
      </c>
      <c r="G523" s="3" t="n">
        <v>11</v>
      </c>
      <c r="H523" s="7" t="n">
        <v>25.53</v>
      </c>
      <c r="I523" s="0" t="inlineStr">
        <is>
          <t>Revolution CT</t>
        </is>
      </c>
      <c r="J523" s="0" t="inlineStr">
        <is>
          <t>ABD</t>
        </is>
      </c>
      <c r="K523" t="n">
        <v>164.4</v>
      </c>
      <c r="L523" t="n">
        <v>69</v>
      </c>
      <c r="M523" t="n">
        <v>42.55</v>
      </c>
    </row>
    <row r="524">
      <c r="A524" s="2" t="n">
        <v>5094410</v>
      </c>
      <c r="B524" s="2" t="n">
        <v>55</v>
      </c>
      <c r="C524" s="2" t="inlineStr">
        <is>
          <t>M</t>
        </is>
      </c>
      <c r="D524" s="2" t="n">
        <v>100</v>
      </c>
      <c r="E524" s="4">
        <f>HYPERLINK("./Results/DLO\20180901_1.3.12.2.1107.5.1.4.54310.30000018091023182362500029731_3_512_512_\Osteo_Sarco_1.png","RPT")</f>
        <v/>
      </c>
      <c r="F524" s="3" t="n">
        <v>123</v>
      </c>
      <c r="G524" s="3" t="n">
        <v>14</v>
      </c>
      <c r="H524" s="7" t="n">
        <v>25.8</v>
      </c>
      <c r="I524" s="0" t="inlineStr">
        <is>
          <t>Sensation 64</t>
        </is>
      </c>
      <c r="J524" s="0" t="inlineStr">
        <is>
          <t>Pre Contrast 3.0 B30f</t>
        </is>
      </c>
      <c r="K524" t="n">
        <v>168.2</v>
      </c>
      <c r="L524" t="n">
        <v>73</v>
      </c>
      <c r="M524" t="n">
        <v>38.53</v>
      </c>
    </row>
    <row r="525">
      <c r="A525" s="2" t="n">
        <v>8933611</v>
      </c>
      <c r="B525" s="2" t="n">
        <v>55</v>
      </c>
      <c r="C525" s="2" t="inlineStr">
        <is>
          <t>F</t>
        </is>
      </c>
      <c r="D525" s="2" t="n">
        <v>100</v>
      </c>
      <c r="E525" s="4">
        <f>HYPERLINK("./Results/DLO\20180401_1.2.840.113619.2.311.126483193208732497322063656420833616529_303_512_512_\Osteo_Sarco_1.png","RPT")</f>
        <v/>
      </c>
      <c r="F525" s="3" t="n">
        <v>116</v>
      </c>
      <c r="G525" s="3" t="n">
        <v>9</v>
      </c>
      <c r="H525" s="7" t="n">
        <v>24.74</v>
      </c>
      <c r="I525" s="0" t="inlineStr">
        <is>
          <t>Revolution CT</t>
        </is>
      </c>
      <c r="J525" s="0" t="inlineStr">
        <is>
          <t>ABD 2.5mm</t>
        </is>
      </c>
      <c r="K525" t="n">
        <v>164.2</v>
      </c>
      <c r="L525" t="n">
        <v>66.7</v>
      </c>
      <c r="M525" t="n">
        <v>39.69</v>
      </c>
    </row>
    <row r="526">
      <c r="A526" s="2" t="n">
        <v>6740107</v>
      </c>
      <c r="B526" s="2" t="n">
        <v>55</v>
      </c>
      <c r="C526" s="2" t="inlineStr">
        <is>
          <t>F</t>
        </is>
      </c>
      <c r="D526" s="2" t="n">
        <v>100</v>
      </c>
      <c r="E526" s="4">
        <f>HYPERLINK("./Results/DLO\20190401_1.2.840.113619.2.94.485650834948.2.9540022.20880191.1_2_512_512_\Osteo_Sarco_1.png","RPT")</f>
        <v/>
      </c>
      <c r="F526" s="3" t="n">
        <v>114</v>
      </c>
      <c r="G526" s="3" t="n">
        <v>8</v>
      </c>
      <c r="H526" s="7" t="n">
        <v>20.32</v>
      </c>
      <c r="I526" s="0" t="inlineStr">
        <is>
          <t>Sensation 64</t>
        </is>
      </c>
      <c r="J526" s="0" t="inlineStr">
        <is>
          <t>With Contrast 3.0 B30f</t>
        </is>
      </c>
      <c r="K526" t="n">
        <v>164.8</v>
      </c>
      <c r="L526" t="n">
        <v>55.2</v>
      </c>
      <c r="M526" t="n">
        <v>39.03</v>
      </c>
    </row>
    <row r="527">
      <c r="A527" s="2" t="n">
        <v>5985077</v>
      </c>
      <c r="B527" s="2" t="n">
        <v>55</v>
      </c>
      <c r="C527" s="2" t="inlineStr">
        <is>
          <t>F</t>
        </is>
      </c>
      <c r="D527" s="2" t="n">
        <v>100</v>
      </c>
      <c r="E527" s="4">
        <f>HYPERLINK("./Results/DLO\20180901_1.2.840.113619.2.94.485650834948.2.9099468.19770235.1_2_512_512_\Osteo_Sarco_1.png","RPT")</f>
        <v/>
      </c>
      <c r="F527" s="3" t="n">
        <v>113</v>
      </c>
      <c r="G527" s="3" t="n">
        <v>9</v>
      </c>
      <c r="H527" s="7" t="n">
        <v>23.14</v>
      </c>
      <c r="I527" s="0" t="inlineStr">
        <is>
          <t>Sensation 64</t>
        </is>
      </c>
      <c r="J527" s="0" t="inlineStr">
        <is>
          <t>With Contrast 3.0 B30f</t>
        </is>
      </c>
      <c r="K527" t="n">
        <v>157.9</v>
      </c>
      <c r="L527" t="n">
        <v>57.7</v>
      </c>
      <c r="M527" t="n">
        <v>41.71</v>
      </c>
    </row>
    <row r="528">
      <c r="A528" s="2" t="n">
        <v>6048199</v>
      </c>
      <c r="B528" s="2" t="n">
        <v>55</v>
      </c>
      <c r="C528" s="2" t="inlineStr">
        <is>
          <t>F</t>
        </is>
      </c>
      <c r="D528" s="2" t="n">
        <v>100</v>
      </c>
      <c r="E528" s="4">
        <f>HYPERLINK("./Results/DLO\20200101_1.3.12.2.1107.5.1.4.54310.30000020010121465246800040677_7_512_512_\Osteo_Sarco_1.png","RPT")</f>
        <v/>
      </c>
      <c r="F528" s="3" t="n">
        <v>112</v>
      </c>
      <c r="G528" s="3" t="n">
        <v>9</v>
      </c>
      <c r="H528" s="7" t="n">
        <v>22.95</v>
      </c>
      <c r="I528" s="0" t="inlineStr">
        <is>
          <t>Sensation 64</t>
        </is>
      </c>
      <c r="J528" s="0" t="inlineStr">
        <is>
          <t>Arterial 3mm B30f</t>
        </is>
      </c>
      <c r="K528" t="n">
        <v>163.7</v>
      </c>
      <c r="L528" t="n">
        <v>61.5</v>
      </c>
      <c r="M528" t="n">
        <v>38.44</v>
      </c>
    </row>
    <row r="529">
      <c r="A529" s="2" t="n">
        <v>1003064</v>
      </c>
      <c r="B529" s="2" t="n">
        <v>55</v>
      </c>
      <c r="C529" s="2" t="inlineStr">
        <is>
          <t>F</t>
        </is>
      </c>
      <c r="D529" s="2" t="n">
        <v>100</v>
      </c>
      <c r="E529" s="4">
        <f>HYPERLINK("./Results/DLO\20190301_1.2.840.113619.2.416.222046030437918032467119324062661404155_304_512_512_\Osteo_Sarco_1.png","RPT")</f>
        <v/>
      </c>
      <c r="F529" s="3" t="n">
        <v>111</v>
      </c>
      <c r="G529" s="3" t="n">
        <v>7</v>
      </c>
      <c r="H529" s="7" t="n">
        <v>22.19</v>
      </c>
      <c r="I529" s="0" t="inlineStr">
        <is>
          <t>Revolution CT</t>
        </is>
      </c>
      <c r="J529" s="0" t="inlineStr">
        <is>
          <t>ABD 2.5mm</t>
        </is>
      </c>
      <c r="K529" t="n">
        <v>156</v>
      </c>
      <c r="L529" t="n">
        <v>54</v>
      </c>
      <c r="M529" t="n">
        <v>42.74</v>
      </c>
    </row>
    <row r="530">
      <c r="A530" s="2" t="n">
        <v>5824650</v>
      </c>
      <c r="B530" s="2" t="n">
        <v>55</v>
      </c>
      <c r="C530" s="2" t="inlineStr">
        <is>
          <t>F</t>
        </is>
      </c>
      <c r="D530" s="2" t="n">
        <v>100</v>
      </c>
      <c r="E530" s="4">
        <f>HYPERLINK("./Results/DLO\20190801_1.3.12.2.1107.5.1.4.65253.30000019081419583491200000404_2_512_512_\Osteo_Sarco_1.png","RPT")</f>
        <v/>
      </c>
      <c r="F530" s="3" t="n">
        <v>105</v>
      </c>
      <c r="G530" s="3" t="n">
        <v>8</v>
      </c>
      <c r="H530" s="6" t="n">
        <v>28.3</v>
      </c>
      <c r="I530" s="0" t="inlineStr">
        <is>
          <t>SOMATOM Definition AS</t>
        </is>
      </c>
      <c r="J530" s="0" t="inlineStr">
        <is>
          <t>Pre Contrast 3.0 B30f</t>
        </is>
      </c>
      <c r="K530" t="n">
        <v>155</v>
      </c>
      <c r="L530" t="n">
        <v>68</v>
      </c>
      <c r="M530" t="n">
        <v>40.37</v>
      </c>
    </row>
    <row r="531">
      <c r="A531" s="2" t="n">
        <v>6084839</v>
      </c>
      <c r="B531" s="2" t="n">
        <v>55</v>
      </c>
      <c r="C531" s="2" t="inlineStr">
        <is>
          <t>F</t>
        </is>
      </c>
      <c r="D531" s="2" t="n">
        <v>100</v>
      </c>
      <c r="E531" s="4">
        <f>HYPERLINK("./Results/DLO\20180801_1.2.840.113619.2.416.223029194982506395454964758214670929995_302_512_512_\Osteo_Sarco_1.png","RPT")</f>
        <v/>
      </c>
      <c r="F531" s="3" t="n">
        <v>103</v>
      </c>
      <c r="G531" s="3" t="n">
        <v>11</v>
      </c>
      <c r="H531" s="7" t="n">
        <v>22.91</v>
      </c>
      <c r="I531" s="0" t="inlineStr">
        <is>
          <t>Revolution CT</t>
        </is>
      </c>
      <c r="J531" s="0" t="inlineStr">
        <is>
          <t>PORTAL</t>
        </is>
      </c>
      <c r="K531" t="n">
        <v>158.7</v>
      </c>
      <c r="L531" t="n">
        <v>57.7</v>
      </c>
      <c r="M531" t="n">
        <v>36.53</v>
      </c>
    </row>
    <row r="532">
      <c r="A532" s="2" t="n">
        <v>6739715</v>
      </c>
      <c r="B532" s="2" t="n">
        <v>55</v>
      </c>
      <c r="C532" s="2" t="inlineStr">
        <is>
          <t>F</t>
        </is>
      </c>
      <c r="D532" s="2" t="n">
        <v>100</v>
      </c>
      <c r="E532" s="4">
        <f>HYPERLINK("./Results/DLO\20180501_1.3.12.2.1107.5.1.4.65253.30000018051117012582000031100_2_512_512_\Osteo_Sarco_1.png","RPT")</f>
        <v/>
      </c>
      <c r="F532" s="3" t="n">
        <v>102</v>
      </c>
      <c r="G532" s="3" t="n">
        <v>9</v>
      </c>
      <c r="H532" s="6" t="n">
        <v>21.31</v>
      </c>
      <c r="I532" s="0" t="inlineStr">
        <is>
          <t>SOMATOM Definition AS</t>
        </is>
      </c>
      <c r="J532" s="0" t="inlineStr">
        <is>
          <t>Non Contrast 3.0 B30f</t>
        </is>
      </c>
      <c r="K532" t="n">
        <v>159.5</v>
      </c>
      <c r="L532" t="n">
        <v>54.22</v>
      </c>
      <c r="M532" t="n">
        <v>36.56</v>
      </c>
    </row>
    <row r="533">
      <c r="A533" s="2" t="n">
        <v>8524383</v>
      </c>
      <c r="B533" s="2" t="n">
        <v>55</v>
      </c>
      <c r="C533" s="2" t="inlineStr">
        <is>
          <t>F</t>
        </is>
      </c>
      <c r="D533" s="2" t="n">
        <v>100</v>
      </c>
      <c r="E533" s="4">
        <f>HYPERLINK("./Results/DLO\20181001_1.2.840.113619.2.311.129950274840239085406211954972982826165_304_512_512_\Osteo_Sarco_1.png","RPT")</f>
        <v/>
      </c>
      <c r="F533" s="3" t="n">
        <v>102</v>
      </c>
      <c r="G533" s="3" t="n">
        <v>6</v>
      </c>
      <c r="H533" s="7" t="n">
        <v>21.63</v>
      </c>
      <c r="I533" s="0" t="inlineStr">
        <is>
          <t>Revolution CT</t>
        </is>
      </c>
      <c r="J533" s="0" t="inlineStr">
        <is>
          <t>ABD 2.5mm</t>
        </is>
      </c>
      <c r="K533" t="n">
        <v>158</v>
      </c>
      <c r="L533" t="n">
        <v>54</v>
      </c>
      <c r="M533" t="n">
        <v>38.46</v>
      </c>
    </row>
    <row r="534">
      <c r="A534" s="2" t="n">
        <v>6123539</v>
      </c>
      <c r="B534" s="2" t="n">
        <v>55</v>
      </c>
      <c r="C534" s="2" t="inlineStr">
        <is>
          <t>F</t>
        </is>
      </c>
      <c r="D534" s="2" t="n">
        <v>100</v>
      </c>
      <c r="E534" s="4">
        <f>HYPERLINK("./Results/DLO\20200401_1.2.840.113619.2.416.76519729009718077699539870259415474272_310_512_512_\Osteo_Sarco_1.png","RPT")</f>
        <v/>
      </c>
      <c r="F534" s="3" t="n">
        <v>101</v>
      </c>
      <c r="G534" s="3" t="n">
        <v>8</v>
      </c>
      <c r="H534" s="7" t="n">
        <v>24.05</v>
      </c>
      <c r="I534" s="0" t="inlineStr">
        <is>
          <t>Revolution CT</t>
        </is>
      </c>
      <c r="J534" s="0" t="inlineStr">
        <is>
          <t>ABD</t>
        </is>
      </c>
      <c r="K534" t="n">
        <v>159</v>
      </c>
      <c r="L534" t="n">
        <v>60.8</v>
      </c>
      <c r="M534" t="n">
        <v>36.79</v>
      </c>
    </row>
    <row r="535">
      <c r="A535" s="2" t="n">
        <v>9947604</v>
      </c>
      <c r="B535" s="2" t="n">
        <v>55</v>
      </c>
      <c r="C535" s="2" t="inlineStr">
        <is>
          <t>F</t>
        </is>
      </c>
      <c r="D535" s="2" t="n">
        <v>100</v>
      </c>
      <c r="E535" s="4">
        <f>HYPERLINK("./Results/DLO\20200401_1.2.840.113619.2.416.34928253740845621910123118420587796959_310_512_512_\Osteo_Sarco_1.png","RPT")</f>
        <v/>
      </c>
      <c r="F535" s="3" t="n">
        <v>100</v>
      </c>
      <c r="G535" s="3" t="n">
        <v>7</v>
      </c>
      <c r="H535" s="7" t="n">
        <v>22.37</v>
      </c>
      <c r="I535" s="0" t="inlineStr">
        <is>
          <t>Revolution CT</t>
        </is>
      </c>
      <c r="J535" s="0" t="inlineStr">
        <is>
          <t>ABD</t>
        </is>
      </c>
      <c r="K535" t="n">
        <v>151</v>
      </c>
      <c r="L535" t="n">
        <v>51</v>
      </c>
      <c r="M535" t="n">
        <v>40.79</v>
      </c>
    </row>
    <row r="536">
      <c r="A536" s="2" t="n">
        <v>8765915</v>
      </c>
      <c r="B536" s="2" t="n">
        <v>56</v>
      </c>
      <c r="C536" s="2" t="inlineStr">
        <is>
          <t>F</t>
        </is>
      </c>
      <c r="D536" s="2" t="n">
        <v>100</v>
      </c>
      <c r="E536" s="4">
        <f>HYPERLINK("./Results/DLO\20181201_1.2.840.113619.2.311.8164940829146072563401014609875466457_304_512_512_\Osteo_Sarco_1.png","RPT")</f>
        <v/>
      </c>
      <c r="F536" s="3" t="n">
        <v>99</v>
      </c>
      <c r="G536" s="3" t="n">
        <v>7</v>
      </c>
      <c r="H536" s="7" t="n">
        <v>23.31</v>
      </c>
      <c r="I536" s="0" t="inlineStr">
        <is>
          <t>Revolution CT</t>
        </is>
      </c>
      <c r="J536" s="0" t="inlineStr">
        <is>
          <t>ABD 2.5mm</t>
        </is>
      </c>
      <c r="K536" t="n">
        <v>156.8</v>
      </c>
      <c r="L536" t="n">
        <v>57.3</v>
      </c>
      <c r="M536" t="n">
        <v>37.42</v>
      </c>
    </row>
    <row r="537">
      <c r="A537" s="2" t="n">
        <v>9746592</v>
      </c>
      <c r="B537" s="2" t="n">
        <v>56</v>
      </c>
      <c r="C537" s="2" t="inlineStr">
        <is>
          <t>F</t>
        </is>
      </c>
      <c r="D537" s="2" t="n">
        <v>100</v>
      </c>
      <c r="E537" s="4">
        <f>HYPERLINK("./Results/DLO\20190801_1.2.840.113619.2.416.102100766577587175984091874384364118896_310_512_512_\Osteo_Sarco_1.png","RPT")</f>
        <v/>
      </c>
      <c r="F537" s="3" t="n">
        <v>97</v>
      </c>
      <c r="G537" s="3" t="n">
        <v>11</v>
      </c>
      <c r="H537" s="6" t="n">
        <v>25.05</v>
      </c>
      <c r="I537" s="0" t="inlineStr">
        <is>
          <t>Revolution CT</t>
        </is>
      </c>
      <c r="J537" s="0" t="inlineStr">
        <is>
          <t>ABD</t>
        </is>
      </c>
      <c r="K537" t="n">
        <v>156.7</v>
      </c>
      <c r="L537" t="n">
        <v>61.5</v>
      </c>
      <c r="M537" t="n">
        <v>35.02</v>
      </c>
    </row>
    <row r="538">
      <c r="A538" s="2" t="n">
        <v>8696182</v>
      </c>
      <c r="B538" s="2" t="n">
        <v>56</v>
      </c>
      <c r="C538" s="2" t="inlineStr">
        <is>
          <t>F</t>
        </is>
      </c>
      <c r="D538" s="2" t="n">
        <v>100</v>
      </c>
      <c r="E538" s="4">
        <f>HYPERLINK("./Results/DLO\20180101_1.2.840.113619.2.94.485650834948.2.8578383.18490770.1_2_512_512_\Osteo_Sarco_1.png","RPT")</f>
        <v/>
      </c>
      <c r="F538" s="3" t="n">
        <v>96</v>
      </c>
      <c r="G538" s="3" t="n">
        <v>9</v>
      </c>
      <c r="H538" s="7" t="n">
        <v>21.77</v>
      </c>
      <c r="I538" s="0" t="inlineStr">
        <is>
          <t>Sensation 64</t>
        </is>
      </c>
      <c r="J538" s="0" t="inlineStr">
        <is>
          <t>With Contrast 3.0 B30f</t>
        </is>
      </c>
      <c r="K538" t="n">
        <v>166</v>
      </c>
      <c r="L538" t="n">
        <v>60</v>
      </c>
      <c r="M538" t="n">
        <v>31.57</v>
      </c>
    </row>
    <row r="539">
      <c r="A539" s="2" t="n">
        <v>8309944</v>
      </c>
      <c r="B539" s="2" t="n">
        <v>56</v>
      </c>
      <c r="C539" s="2" t="inlineStr">
        <is>
          <t>F</t>
        </is>
      </c>
      <c r="D539" s="2" t="n">
        <v>100</v>
      </c>
      <c r="E539" s="4">
        <f>HYPERLINK("./Results/DLO\20181001_1.3.46.670589.33.1.63676493102997608800001.5369277022383683351_201_512_512_\Osteo_Sarco_1.png","RPT")</f>
        <v/>
      </c>
      <c r="F539" s="3" t="n">
        <v>96</v>
      </c>
      <c r="G539" s="3" t="n">
        <v>7</v>
      </c>
      <c r="H539" s="7" t="n">
        <v>23.25</v>
      </c>
      <c r="I539" s="0" t="inlineStr">
        <is>
          <t>Ingenuity Core 128</t>
        </is>
      </c>
      <c r="J539" s="0" t="inlineStr">
        <is>
          <t>Post 100/236 i3, iDose (3)</t>
        </is>
      </c>
      <c r="K539" t="n">
        <v>162.9</v>
      </c>
      <c r="L539" t="n">
        <v>61.7</v>
      </c>
      <c r="M539" t="n">
        <v>33.54</v>
      </c>
    </row>
    <row r="540">
      <c r="A540" s="2" t="n">
        <v>5589398</v>
      </c>
      <c r="B540" s="2" t="n">
        <v>56</v>
      </c>
      <c r="C540" s="2" t="inlineStr">
        <is>
          <t>F</t>
        </is>
      </c>
      <c r="D540" s="2" t="n">
        <v>100</v>
      </c>
      <c r="E540" s="4">
        <f>HYPERLINK("./Results/DLO\20180701_1.2.840.113619.2.311.164499591707594864847619874690899855524_303_512_512_\Osteo_Sarco_1.png","RPT")</f>
        <v/>
      </c>
      <c r="F540" s="3" t="n">
        <v>95</v>
      </c>
      <c r="G540" s="3" t="n">
        <v>8</v>
      </c>
      <c r="H540" s="7" t="n">
        <v>21.03</v>
      </c>
      <c r="I540" s="0" t="inlineStr">
        <is>
          <t>Revolution CT</t>
        </is>
      </c>
      <c r="J540" s="0" t="inlineStr">
        <is>
          <t>ABD 2.5mm</t>
        </is>
      </c>
      <c r="K540" t="n">
        <v>156.2</v>
      </c>
      <c r="L540" t="n">
        <v>51.3</v>
      </c>
      <c r="M540" t="n">
        <v>35.66</v>
      </c>
    </row>
    <row r="541">
      <c r="A541" s="2" t="n">
        <v>8918936</v>
      </c>
      <c r="B541" s="2" t="n">
        <v>56</v>
      </c>
      <c r="C541" s="2" t="inlineStr">
        <is>
          <t>F</t>
        </is>
      </c>
      <c r="D541" s="2" t="n">
        <v>100</v>
      </c>
      <c r="E541" s="4">
        <f>HYPERLINK("./Results/DLO\20180801_1.2.840.113619.2.311.156855464120582943255229450266138581129_304_512_512_\Osteo_Sarco_1.png","RPT")</f>
        <v/>
      </c>
      <c r="F541" s="3" t="n">
        <v>95</v>
      </c>
      <c r="G541" s="3" t="n">
        <v>6</v>
      </c>
      <c r="H541" s="7" t="n">
        <v>21.51</v>
      </c>
      <c r="I541" s="0" t="inlineStr">
        <is>
          <t>Revolution CT</t>
        </is>
      </c>
      <c r="J541" s="0" t="inlineStr">
        <is>
          <t>ABD 2.5mm</t>
        </is>
      </c>
      <c r="K541" t="n">
        <v>145.6</v>
      </c>
      <c r="L541" t="n">
        <v>45.6</v>
      </c>
      <c r="M541" t="n">
        <v>41.98</v>
      </c>
    </row>
    <row r="542">
      <c r="A542" s="2" t="n">
        <v>5388890</v>
      </c>
      <c r="B542" s="2" t="n">
        <v>56</v>
      </c>
      <c r="C542" s="2" t="inlineStr">
        <is>
          <t>F</t>
        </is>
      </c>
      <c r="D542" s="2" t="n">
        <v>100</v>
      </c>
      <c r="E542" s="4">
        <f>HYPERLINK("./Results/DLO\20190401_1.3.46.670589.33.1.63690570798702234600001.5612693976593100803_201_512_512_\Osteo_Sarco_1.png","RPT")</f>
        <v/>
      </c>
      <c r="F542" s="3" t="n">
        <v>94</v>
      </c>
      <c r="G542" s="3" t="n">
        <v>7</v>
      </c>
      <c r="H542" s="7" t="n">
        <v>21.23</v>
      </c>
      <c r="I542" s="0" t="inlineStr">
        <is>
          <t>Ingenuity Core 128</t>
        </is>
      </c>
      <c r="J542" s="0" t="inlineStr">
        <is>
          <t>Post 3mm, iDose (3)</t>
        </is>
      </c>
      <c r="K542" t="n">
        <v>155</v>
      </c>
      <c r="L542" t="n">
        <v>51</v>
      </c>
      <c r="M542" t="n">
        <v>36.21</v>
      </c>
    </row>
    <row r="543">
      <c r="A543" s="2" t="n">
        <v>9543175</v>
      </c>
      <c r="B543" s="2" t="n">
        <v>56</v>
      </c>
      <c r="C543" s="2" t="inlineStr">
        <is>
          <t>F</t>
        </is>
      </c>
      <c r="D543" s="2" t="n">
        <v>100</v>
      </c>
      <c r="E543" s="4">
        <f>HYPERLINK("./Results/DLO\20190101_1.3.12.2.1107.5.1.4.65253.30000019012420445121800014870_2_512_512_\Osteo_Sarco_1.png","RPT")</f>
        <v/>
      </c>
      <c r="F543" s="3" t="n">
        <v>93</v>
      </c>
      <c r="G543" s="3" t="n">
        <v>11</v>
      </c>
      <c r="H543" s="7" t="n">
        <v>22.22</v>
      </c>
      <c r="I543" s="0" t="inlineStr">
        <is>
          <t>SOMATOM Definition AS</t>
        </is>
      </c>
      <c r="J543" s="0" t="inlineStr">
        <is>
          <t>With Contrast 3.0 B30f</t>
        </is>
      </c>
      <c r="K543" t="n">
        <v>150</v>
      </c>
      <c r="L543" t="n">
        <v>50</v>
      </c>
      <c r="M543" t="n">
        <v>36.44</v>
      </c>
    </row>
    <row r="544">
      <c r="A544" s="2" t="n">
        <v>9424232</v>
      </c>
      <c r="B544" s="2" t="n">
        <v>56</v>
      </c>
      <c r="C544" s="2" t="inlineStr">
        <is>
          <t>F</t>
        </is>
      </c>
      <c r="D544" s="2" t="n">
        <v>100</v>
      </c>
      <c r="E544" s="4">
        <f>HYPERLINK("./Results/DLO\20180901_1.2.840.113619.2.94.485650834948.2.9063105.19682428.1_2_512_512_\Osteo_Sarco_1.png","RPT")</f>
        <v/>
      </c>
      <c r="F544" s="3" t="n">
        <v>91</v>
      </c>
      <c r="G544" s="3" t="n">
        <v>9</v>
      </c>
      <c r="H544" s="7" t="n">
        <v>19.81</v>
      </c>
      <c r="I544" s="0" t="inlineStr">
        <is>
          <t>Sensation 64</t>
        </is>
      </c>
      <c r="J544" s="0" t="inlineStr">
        <is>
          <t>With Contrast 3.0 B30f</t>
        </is>
      </c>
      <c r="K544" t="n">
        <v>162</v>
      </c>
      <c r="L544" t="n">
        <v>52</v>
      </c>
      <c r="M544" t="n">
        <v>31.25</v>
      </c>
    </row>
    <row r="545">
      <c r="A545" s="2" t="n">
        <v>8696323</v>
      </c>
      <c r="B545" s="2" t="n">
        <v>56</v>
      </c>
      <c r="C545" s="2" t="inlineStr">
        <is>
          <t>F</t>
        </is>
      </c>
      <c r="D545" s="2" t="n">
        <v>100</v>
      </c>
      <c r="E545" s="4">
        <f>HYPERLINK("./Results/DLO\20191101_1.3.46.670589.33.1.63709753320968008800001.4803655587145024473_201_512_512_\Osteo_Sarco_1.png","RPT")</f>
        <v/>
      </c>
      <c r="F545" s="3" t="n">
        <v>88</v>
      </c>
      <c r="G545" s="3" t="n">
        <v>10</v>
      </c>
      <c r="H545" s="7" t="n">
        <v>20.78</v>
      </c>
      <c r="I545" s="0" t="inlineStr">
        <is>
          <t>Ingenuity Core 128</t>
        </is>
      </c>
      <c r="J545" s="0" t="inlineStr">
        <is>
          <t>Post 3mm, iDose (3)</t>
        </is>
      </c>
      <c r="K545" t="n">
        <v>152</v>
      </c>
      <c r="L545" t="n">
        <v>48</v>
      </c>
      <c r="M545" t="n">
        <v>33.76</v>
      </c>
    </row>
    <row r="546">
      <c r="A546" s="2" t="n">
        <v>8828846</v>
      </c>
      <c r="B546" s="2" t="n">
        <v>56</v>
      </c>
      <c r="C546" s="2" t="inlineStr">
        <is>
          <t>F</t>
        </is>
      </c>
      <c r="D546" s="2" t="n">
        <v>100</v>
      </c>
      <c r="E546" s="4">
        <f>HYPERLINK("./Results/DLO\20181101_1.2.840.113619.2.416.292251063492261061438379484303096803968_304_512_512_\Osteo_Sarco_1.png","RPT")</f>
        <v/>
      </c>
      <c r="F546" s="3" t="n">
        <v>86</v>
      </c>
      <c r="G546" s="3" t="n">
        <v>6</v>
      </c>
      <c r="H546" s="7" t="n">
        <v>18.97</v>
      </c>
      <c r="I546" s="0" t="inlineStr">
        <is>
          <t>Revolution CT</t>
        </is>
      </c>
      <c r="J546" s="0" t="inlineStr">
        <is>
          <t>ABD 2.5mm</t>
        </is>
      </c>
      <c r="K546" t="n">
        <v>154</v>
      </c>
      <c r="L546" t="n">
        <v>45</v>
      </c>
      <c r="M546" t="n">
        <v>33.73</v>
      </c>
    </row>
    <row r="547">
      <c r="A547" s="2" t="n">
        <v>6741876</v>
      </c>
      <c r="B547" s="2" t="n">
        <v>56</v>
      </c>
      <c r="C547" s="2" t="inlineStr">
        <is>
          <t>M</t>
        </is>
      </c>
      <c r="D547" s="2" t="n">
        <v>100</v>
      </c>
      <c r="E547" s="4">
        <f>HYPERLINK("./Results/DLO\20180501_1.3.46.670589.33.1.63660935881517979900001.4917050589533728199_601_512_512_\Osteo_Sarco_1.png","RPT")</f>
        <v/>
      </c>
      <c r="F547" s="3" t="n">
        <v>175</v>
      </c>
      <c r="G547" s="3" t="n">
        <v>7</v>
      </c>
      <c r="H547" s="7" t="n">
        <v>25.61</v>
      </c>
      <c r="I547" s="0" t="inlineStr">
        <is>
          <t>Ingenuity Core 128</t>
        </is>
      </c>
      <c r="J547" s="0" t="inlineStr">
        <is>
          <t>Port 100/236 i3, iDose (3)</t>
        </is>
      </c>
      <c r="K547" t="n">
        <v>170</v>
      </c>
      <c r="L547" t="n">
        <v>74</v>
      </c>
      <c r="M547" t="n">
        <v>58.13</v>
      </c>
    </row>
    <row r="548">
      <c r="A548" s="2" t="n">
        <v>8485344</v>
      </c>
      <c r="B548" s="2" t="n">
        <v>56</v>
      </c>
      <c r="C548" s="2" t="inlineStr">
        <is>
          <t>M</t>
        </is>
      </c>
      <c r="D548" s="2" t="n">
        <v>100</v>
      </c>
      <c r="E548" s="4">
        <f>HYPERLINK("./Results/DLO\20180801_1.3.12.2.1107.5.1.4.65253.30000018081918425213000000782_2_512_512_\Osteo_Sarco_1.png","RPT")</f>
        <v/>
      </c>
      <c r="F548" s="3" t="n">
        <v>169</v>
      </c>
      <c r="G548" s="3" t="n">
        <v>11</v>
      </c>
      <c r="H548" s="6" t="n">
        <v>28.63</v>
      </c>
      <c r="I548" s="0" t="inlineStr">
        <is>
          <t>SOMATOM Definition AS</t>
        </is>
      </c>
      <c r="J548" s="0" t="inlineStr">
        <is>
          <t>W/O Contrast 2.0 B30f</t>
        </is>
      </c>
      <c r="K548" t="n">
        <v>176.6</v>
      </c>
      <c r="L548" t="n">
        <v>89.3</v>
      </c>
      <c r="M548" t="n">
        <v>50.66</v>
      </c>
    </row>
    <row r="549">
      <c r="A549" s="2" t="n">
        <v>1983780</v>
      </c>
      <c r="B549" s="2" t="n">
        <v>56</v>
      </c>
      <c r="C549" s="2" t="inlineStr">
        <is>
          <t>M</t>
        </is>
      </c>
      <c r="D549" s="2" t="n">
        <v>100</v>
      </c>
      <c r="E549" s="4">
        <f>HYPERLINK("./Results/DLO\20180901_1.3.46.670589.33.1.63671567644889202000001.4688977216722449191_201_512_512_\Osteo_Sarco_1.png","RPT")</f>
        <v/>
      </c>
      <c r="F549" s="3" t="n">
        <v>163</v>
      </c>
      <c r="G549" s="3" t="n">
        <v>7</v>
      </c>
      <c r="H549" s="6" t="n">
        <v>25.91</v>
      </c>
      <c r="I549" s="0" t="inlineStr">
        <is>
          <t>Ingenuity Core 128</t>
        </is>
      </c>
      <c r="J549" s="0" t="inlineStr">
        <is>
          <t>Pre 100/107 i4, iDose (4)</t>
        </is>
      </c>
      <c r="K549" t="n">
        <v>169</v>
      </c>
      <c r="L549" t="n">
        <v>74</v>
      </c>
      <c r="M549" t="n">
        <v>54.62</v>
      </c>
    </row>
    <row r="550">
      <c r="A550" s="2" t="n">
        <v>8879875</v>
      </c>
      <c r="B550" s="2" t="n">
        <v>56</v>
      </c>
      <c r="C550" s="2" t="inlineStr">
        <is>
          <t>M</t>
        </is>
      </c>
      <c r="D550" s="2" t="n">
        <v>100</v>
      </c>
      <c r="E550" s="4">
        <f>HYPERLINK("./Results/DLO\20180401_1.3.12.2.1107.5.1.4.65253.30000018042420550416800028170_2_512_512_\Osteo_Sarco_1.png","RPT")</f>
        <v/>
      </c>
      <c r="F550" s="3" t="n">
        <v>157</v>
      </c>
      <c r="G550" s="3" t="n">
        <v>6</v>
      </c>
      <c r="H550" s="7" t="n">
        <v>26.52</v>
      </c>
      <c r="I550" s="0" t="inlineStr">
        <is>
          <t>SOMATOM Definition AS</t>
        </is>
      </c>
      <c r="J550" s="0" t="inlineStr">
        <is>
          <t>With Contrast 3.0 B30f</t>
        </is>
      </c>
      <c r="K550" t="n">
        <v>166.6</v>
      </c>
      <c r="L550" t="n">
        <v>73.59999999999999</v>
      </c>
      <c r="M550" t="n">
        <v>54.4</v>
      </c>
    </row>
    <row r="551">
      <c r="A551" s="2" t="n">
        <v>8364628</v>
      </c>
      <c r="B551" s="2" t="n">
        <v>56</v>
      </c>
      <c r="C551" s="2" t="inlineStr">
        <is>
          <t>M</t>
        </is>
      </c>
      <c r="D551" s="2" t="n">
        <v>100</v>
      </c>
      <c r="E551" s="4">
        <f>HYPERLINK("./Results/DLO\20191201_1.3.12.2.1107.5.1.4.54310.30000019120822065890600014829_7_512_512_\Osteo_Sarco_1.png","RPT")</f>
        <v/>
      </c>
      <c r="F551" s="3" t="n">
        <v>156</v>
      </c>
      <c r="G551" s="3" t="n">
        <v>6</v>
      </c>
      <c r="H551" s="7" t="n">
        <v>24.45</v>
      </c>
      <c r="I551" s="0" t="inlineStr">
        <is>
          <t>Sensation 64</t>
        </is>
      </c>
      <c r="J551" s="0" t="inlineStr">
        <is>
          <t>ABD 3mm B30f</t>
        </is>
      </c>
      <c r="K551" t="n">
        <v>171</v>
      </c>
      <c r="L551" t="n">
        <v>71.5</v>
      </c>
      <c r="M551" t="n">
        <v>51.3</v>
      </c>
    </row>
    <row r="552">
      <c r="A552" s="2" t="n">
        <v>5383177</v>
      </c>
      <c r="B552" s="2" t="n">
        <v>56</v>
      </c>
      <c r="C552" s="2" t="inlineStr">
        <is>
          <t>M</t>
        </is>
      </c>
      <c r="D552" s="2" t="n">
        <v>100</v>
      </c>
      <c r="E552" s="4">
        <f>HYPERLINK("./Results/DLO\20200401_1.3.12.2.1107.5.1.4.65253.30000020041020013508100013497_2_512_512_\Osteo_Sarco_1.png","RPT")</f>
        <v/>
      </c>
      <c r="F552" s="3" t="n">
        <v>152</v>
      </c>
      <c r="G552" s="3" t="n">
        <v>11</v>
      </c>
      <c r="H552" s="7" t="n">
        <v>27.04</v>
      </c>
      <c r="I552" s="0" t="inlineStr">
        <is>
          <t>SOMATOM Definition AS</t>
        </is>
      </c>
      <c r="J552" s="0" t="inlineStr">
        <is>
          <t>Pre Contrast 3.0 B30f</t>
        </is>
      </c>
      <c r="K552" t="n">
        <v>172</v>
      </c>
      <c r="L552" t="n">
        <v>80</v>
      </c>
      <c r="M552" t="n">
        <v>47.66</v>
      </c>
    </row>
    <row r="553">
      <c r="A553" s="2" t="n">
        <v>9653410</v>
      </c>
      <c r="B553" s="2" t="n">
        <v>56</v>
      </c>
      <c r="C553" s="2" t="inlineStr">
        <is>
          <t>F</t>
        </is>
      </c>
      <c r="D553" s="2" t="n">
        <v>100</v>
      </c>
      <c r="E553" s="4">
        <f>HYPERLINK("./Results/DLO\20190401_1.2.840.113619.2.416.305022112754260968978989791228291925715_306_512_512_\Osteo_Sarco_1.png","RPT")</f>
        <v/>
      </c>
      <c r="F553" s="3" t="n">
        <v>150</v>
      </c>
      <c r="G553" s="3" t="n">
        <v>14</v>
      </c>
      <c r="H553" s="7" t="n">
        <v>26.01</v>
      </c>
      <c r="I553" s="0" t="inlineStr">
        <is>
          <t>Revolution CT</t>
        </is>
      </c>
      <c r="J553" s="0" t="inlineStr">
        <is>
          <t>ABD 2.5mm</t>
        </is>
      </c>
      <c r="K553" t="n">
        <v>169.8</v>
      </c>
      <c r="L553" t="n">
        <v>75</v>
      </c>
      <c r="M553" t="n">
        <v>47.17</v>
      </c>
    </row>
    <row r="554">
      <c r="A554" s="2" t="n">
        <v>10019743</v>
      </c>
      <c r="B554" s="2" t="n">
        <v>56</v>
      </c>
      <c r="C554" s="2" t="inlineStr">
        <is>
          <t>M</t>
        </is>
      </c>
      <c r="D554" s="2" t="n">
        <v>100</v>
      </c>
      <c r="E554" s="4">
        <f>HYPERLINK("./Results/DLO\20200601_1.2.410.100011.172.16.68.114.6372910216606539069.2_2_512_512_\Osteo_Sarco_1.png","RPT")</f>
        <v/>
      </c>
      <c r="F554" s="3" t="n">
        <v>147</v>
      </c>
      <c r="G554" s="3" t="n">
        <v>8</v>
      </c>
      <c r="H554" s="7" t="n">
        <v>21.94</v>
      </c>
      <c r="I554" s="0" t="inlineStr">
        <is>
          <t>SOMATOM Definition AS</t>
        </is>
      </c>
      <c r="J554" s="0" t="inlineStr">
        <is>
          <t>Abd_Pel_Pre 3.0 I30f 1</t>
        </is>
      </c>
      <c r="K554" t="n">
        <v>171.6</v>
      </c>
      <c r="L554" t="n">
        <v>64.59999999999999</v>
      </c>
      <c r="M554" t="n">
        <v>47.2</v>
      </c>
    </row>
    <row r="555">
      <c r="A555" s="2" t="n">
        <v>9005615</v>
      </c>
      <c r="B555" s="2" t="n">
        <v>56</v>
      </c>
      <c r="C555" s="2" t="inlineStr">
        <is>
          <t>M</t>
        </is>
      </c>
      <c r="D555" s="2" t="n">
        <v>100</v>
      </c>
      <c r="E555" s="4">
        <f>HYPERLINK("./Results/DLO\20180601_1.2.840.113619.2.416.10277551774599038985034936990122505850_301_512_512_\Osteo_Sarco_1.png","RPT")</f>
        <v/>
      </c>
      <c r="F555" s="3" t="n">
        <v>144</v>
      </c>
      <c r="G555" s="3" t="n">
        <v>12</v>
      </c>
      <c r="H555" s="7" t="n">
        <v>23.94</v>
      </c>
      <c r="I555" s="0" t="inlineStr">
        <is>
          <t>Revolution CT</t>
        </is>
      </c>
      <c r="J555" s="0" t="inlineStr">
        <is>
          <t>ARTERY</t>
        </is>
      </c>
      <c r="K555" t="n">
        <v>168.3</v>
      </c>
      <c r="L555" t="n">
        <v>67.8</v>
      </c>
      <c r="M555" t="n">
        <v>46.6</v>
      </c>
    </row>
    <row r="556">
      <c r="A556" s="2" t="n">
        <v>9597542</v>
      </c>
      <c r="B556" s="2" t="n">
        <v>56</v>
      </c>
      <c r="C556" s="2" t="inlineStr">
        <is>
          <t>M</t>
        </is>
      </c>
      <c r="D556" s="2" t="n">
        <v>100</v>
      </c>
      <c r="E556" s="4">
        <f>HYPERLINK("./Results/DLO\20190201_1.3.46.670589.33.1.63686446679895116000001.5138507482153836103_701_512_512_\Osteo_Sarco_1.png","RPT")</f>
        <v/>
      </c>
      <c r="F556" s="3" t="n">
        <v>135</v>
      </c>
      <c r="G556" s="3" t="n">
        <v>10</v>
      </c>
      <c r="H556" s="7" t="n">
        <v>26.35</v>
      </c>
      <c r="I556" s="0" t="inlineStr">
        <is>
          <t>Ingenuity Core 128</t>
        </is>
      </c>
      <c r="J556" s="0" t="inlineStr">
        <is>
          <t>Delay 3mm, iDose (3)</t>
        </is>
      </c>
      <c r="K556" t="n">
        <v>163</v>
      </c>
      <c r="L556" t="n">
        <v>70</v>
      </c>
      <c r="M556" t="n">
        <v>47.05</v>
      </c>
    </row>
    <row r="557">
      <c r="A557" s="2" t="n">
        <v>5014338</v>
      </c>
      <c r="B557" s="2" t="n">
        <v>56</v>
      </c>
      <c r="C557" s="2" t="inlineStr">
        <is>
          <t>F</t>
        </is>
      </c>
      <c r="D557" s="2" t="n">
        <v>100</v>
      </c>
      <c r="E557" s="4">
        <f>HYPERLINK("./Results/DLO\20180701_1.3.12.2.1107.5.1.4.54310.30000018072500113304600006953_2_512_512_\Osteo_Sarco_1.png","RPT")</f>
        <v/>
      </c>
      <c r="F557" s="3" t="n">
        <v>121</v>
      </c>
      <c r="G557" s="3" t="n">
        <v>6</v>
      </c>
      <c r="H557" s="6" t="n">
        <v>25.05</v>
      </c>
      <c r="I557" s="0" t="inlineStr">
        <is>
          <t>Sensation 64</t>
        </is>
      </c>
      <c r="J557" s="0" t="inlineStr">
        <is>
          <t>With Contrast 3.0 B30f</t>
        </is>
      </c>
      <c r="K557" t="n">
        <v>161.1</v>
      </c>
      <c r="L557" t="n">
        <v>65</v>
      </c>
      <c r="M557" t="n">
        <v>44.31</v>
      </c>
    </row>
    <row r="558">
      <c r="A558" s="2" t="n">
        <v>6140364</v>
      </c>
      <c r="B558" s="2" t="n">
        <v>56</v>
      </c>
      <c r="C558" s="2" t="inlineStr">
        <is>
          <t>F</t>
        </is>
      </c>
      <c r="D558" s="2" t="n">
        <v>100</v>
      </c>
      <c r="E558" s="4">
        <f>HYPERLINK("./Results/DLO\20181001_1.2.840.113619.2.311.260110096900458087788625003136006484286_304_512_512_\Osteo_Sarco_1.png","RPT")</f>
        <v/>
      </c>
      <c r="F558" s="3" t="n">
        <v>120</v>
      </c>
      <c r="G558" s="3" t="n">
        <v>9</v>
      </c>
      <c r="H558" s="7" t="n">
        <v>24.3</v>
      </c>
      <c r="I558" s="0" t="inlineStr">
        <is>
          <t>Revolution CT</t>
        </is>
      </c>
      <c r="J558" s="0" t="inlineStr">
        <is>
          <t>ABD 2.5mm</t>
        </is>
      </c>
      <c r="K558" t="n">
        <v>161</v>
      </c>
      <c r="L558" t="n">
        <v>63</v>
      </c>
      <c r="M558" t="n">
        <v>42.82</v>
      </c>
    </row>
    <row r="559">
      <c r="A559" s="2" t="n">
        <v>5238351</v>
      </c>
      <c r="B559" s="2" t="n">
        <v>56</v>
      </c>
      <c r="C559" s="2" t="inlineStr">
        <is>
          <t>F</t>
        </is>
      </c>
      <c r="D559" s="2" t="n">
        <v>100</v>
      </c>
      <c r="E559" s="4">
        <f>HYPERLINK("./Results/DLO\20190301_1.3.46.670589.33.1.63687917405935937600001.5472926122633059143_501_512_512_\Osteo_Sarco_1.png","RPT")</f>
        <v/>
      </c>
      <c r="F559" s="3" t="n">
        <v>120</v>
      </c>
      <c r="G559" s="3" t="n">
        <v>10</v>
      </c>
      <c r="H559" s="7" t="n">
        <v>22.58</v>
      </c>
      <c r="I559" s="0" t="inlineStr">
        <is>
          <t>Ingenuity Core 128</t>
        </is>
      </c>
      <c r="J559" s="0" t="inlineStr">
        <is>
          <t>Arterial 3mm, iDose (3)</t>
        </is>
      </c>
      <c r="K559" t="n">
        <v>163</v>
      </c>
      <c r="L559" t="n">
        <v>60</v>
      </c>
      <c r="M559" t="n">
        <v>41.4</v>
      </c>
    </row>
    <row r="560">
      <c r="A560" s="2" t="n">
        <v>9754706</v>
      </c>
      <c r="B560" s="2" t="n">
        <v>56</v>
      </c>
      <c r="C560" s="2" t="inlineStr">
        <is>
          <t>F</t>
        </is>
      </c>
      <c r="D560" s="2" t="n">
        <v>100</v>
      </c>
      <c r="E560" s="4">
        <f>HYPERLINK("./Results/DLO\20190801_1.2.840.113619.2.416.125736505068487395361068771581070620536_310_512_512_\Osteo_Sarco_1.png","RPT")</f>
        <v/>
      </c>
      <c r="F560" s="3" t="n">
        <v>118</v>
      </c>
      <c r="G560" s="3" t="n">
        <v>10</v>
      </c>
      <c r="H560" s="6" t="n">
        <v>24.45</v>
      </c>
      <c r="I560" s="0" t="inlineStr">
        <is>
          <t>Revolution CT</t>
        </is>
      </c>
      <c r="J560" s="0" t="inlineStr">
        <is>
          <t>ABD</t>
        </is>
      </c>
      <c r="K560" t="n">
        <v>164.8</v>
      </c>
      <c r="L560" t="n">
        <v>66.40000000000001</v>
      </c>
      <c r="M560" t="n">
        <v>39.77</v>
      </c>
    </row>
    <row r="561">
      <c r="A561" s="2" t="n">
        <v>8310862</v>
      </c>
      <c r="B561" s="2" t="n">
        <v>56</v>
      </c>
      <c r="C561" s="2" t="inlineStr">
        <is>
          <t>F</t>
        </is>
      </c>
      <c r="D561" s="2" t="n">
        <v>100</v>
      </c>
      <c r="E561" s="4">
        <f>HYPERLINK("./Results/DLO\20181101_1.2.840.113619.2.311.63111280180678392379504976224204470452_304_512_512_\Osteo_Sarco_1.png","RPT")</f>
        <v/>
      </c>
      <c r="F561" s="3" t="n">
        <v>117</v>
      </c>
      <c r="G561" s="3" t="n">
        <v>8</v>
      </c>
      <c r="H561" s="7" t="n">
        <v>28.51</v>
      </c>
      <c r="I561" s="0" t="inlineStr">
        <is>
          <t>Revolution CT</t>
        </is>
      </c>
      <c r="J561" s="0" t="inlineStr">
        <is>
          <t>ABD 2.5mm</t>
        </is>
      </c>
      <c r="K561" t="n">
        <v>151.1</v>
      </c>
      <c r="L561" t="n">
        <v>65.09999999999999</v>
      </c>
      <c r="M561" t="n">
        <v>47.74</v>
      </c>
    </row>
    <row r="562">
      <c r="A562" s="2" t="n">
        <v>6013820</v>
      </c>
      <c r="B562" s="2" t="n">
        <v>56</v>
      </c>
      <c r="C562" s="2" t="inlineStr">
        <is>
          <t>F</t>
        </is>
      </c>
      <c r="D562" s="2" t="n">
        <v>100</v>
      </c>
      <c r="E562" s="4">
        <f>HYPERLINK("./Results/DLO\20200301_1.3.12.2.1107.5.1.4.54310.30000020031522042278100031207_7_512_512_\Osteo_Sarco_1.png","RPT")</f>
        <v/>
      </c>
      <c r="F562" s="3" t="n">
        <v>117</v>
      </c>
      <c r="G562" s="3" t="n">
        <v>10</v>
      </c>
      <c r="H562" s="6" t="n">
        <v>27.54</v>
      </c>
      <c r="I562" s="0" t="inlineStr">
        <is>
          <t>Sensation 64</t>
        </is>
      </c>
      <c r="J562" s="0" t="inlineStr">
        <is>
          <t>ABD 3mm B30f</t>
        </is>
      </c>
      <c r="K562" t="n">
        <v>155.5</v>
      </c>
      <c r="L562" t="n">
        <v>66.59999999999999</v>
      </c>
      <c r="M562" t="n">
        <v>44.25</v>
      </c>
    </row>
    <row r="563">
      <c r="A563" s="2" t="n">
        <v>3242550</v>
      </c>
      <c r="B563" s="2" t="n">
        <v>56</v>
      </c>
      <c r="C563" s="2" t="inlineStr">
        <is>
          <t>M</t>
        </is>
      </c>
      <c r="D563" s="2" t="n">
        <v>100</v>
      </c>
      <c r="E563" s="4">
        <f>HYPERLINK("./Results/DLO\20181201_1.3.46.670589.33.1.63679776814732138500001.5481823806141728030_201_512_512_\Osteo_Sarco_1.png","RPT")</f>
        <v/>
      </c>
      <c r="F563" s="3" t="n">
        <v>116</v>
      </c>
      <c r="G563" s="3" t="n">
        <v>9</v>
      </c>
      <c r="H563" s="7" t="n">
        <v>22</v>
      </c>
      <c r="I563" s="0" t="inlineStr">
        <is>
          <t>Ingenuity Core 128</t>
        </is>
      </c>
      <c r="J563" s="0" t="inlineStr">
        <is>
          <t>Post 100/236 i3, iDose (3)</t>
        </is>
      </c>
      <c r="K563" t="n">
        <v>179</v>
      </c>
      <c r="L563" t="n">
        <v>70.5</v>
      </c>
      <c r="M563" t="n">
        <v>33.39</v>
      </c>
    </row>
    <row r="564">
      <c r="A564" s="2" t="n">
        <v>9908767</v>
      </c>
      <c r="B564" s="2" t="n">
        <v>56</v>
      </c>
      <c r="C564" s="2" t="inlineStr">
        <is>
          <t>F</t>
        </is>
      </c>
      <c r="D564" s="2" t="n">
        <v>100</v>
      </c>
      <c r="E564" s="4">
        <f>HYPERLINK("./Results/DLO\20200101_1.2.410.100011.172.24.16.217.6371597823707017232.3_3_512_512_\Osteo_Sarco_1.png","RPT")</f>
        <v/>
      </c>
      <c r="F564" s="3" t="n">
        <v>116</v>
      </c>
      <c r="G564" s="3" t="n">
        <v>8</v>
      </c>
      <c r="H564" s="6" t="n">
        <v>23.06</v>
      </c>
      <c r="I564" s="0" t="inlineStr">
        <is>
          <t>SOMATOM Definition Flabh</t>
        </is>
      </c>
      <c r="J564" s="0" t="inlineStr">
        <is>
          <t>Arterial Phase 3.0 I30f 2</t>
        </is>
      </c>
      <c r="K564" t="n">
        <v>155.7</v>
      </c>
      <c r="L564" t="n">
        <v>55.9</v>
      </c>
      <c r="M564" t="n">
        <v>44.55</v>
      </c>
    </row>
    <row r="565">
      <c r="A565" s="2" t="n">
        <v>8727149</v>
      </c>
      <c r="B565" s="2" t="n">
        <v>56</v>
      </c>
      <c r="C565" s="2" t="inlineStr">
        <is>
          <t>F</t>
        </is>
      </c>
      <c r="D565" s="2" t="n">
        <v>100</v>
      </c>
      <c r="E565" s="4">
        <f>HYPERLINK("./Results/DLO\20180501_1.2.840.113619.2.311.1119799695293133625111846018945558034_304_512_512_\Osteo_Sarco_1.png","RPT")</f>
        <v/>
      </c>
      <c r="F565" s="3" t="n">
        <v>115</v>
      </c>
      <c r="G565" s="3" t="n">
        <v>10</v>
      </c>
      <c r="H565" s="7" t="n">
        <v>27.39</v>
      </c>
      <c r="I565" s="0" t="inlineStr">
        <is>
          <t>Revolution CT</t>
        </is>
      </c>
      <c r="J565" s="0" t="inlineStr">
        <is>
          <t>ABD 2.5mm</t>
        </is>
      </c>
      <c r="K565" t="n">
        <v>161</v>
      </c>
      <c r="L565" t="n">
        <v>71</v>
      </c>
      <c r="M565" t="n">
        <v>40.51</v>
      </c>
    </row>
    <row r="566">
      <c r="A566" s="2" t="n">
        <v>8372404</v>
      </c>
      <c r="B566" s="2" t="n">
        <v>56</v>
      </c>
      <c r="C566" s="2" t="inlineStr">
        <is>
          <t>F</t>
        </is>
      </c>
      <c r="D566" s="2" t="n">
        <v>100</v>
      </c>
      <c r="E566" s="4">
        <f>HYPERLINK("./Results/DLO\20180101_1.3.12.2.1107.5.1.4.54310.30000018010823111673400040191_2_512_512_\Osteo_Sarco_1.png","RPT")</f>
        <v/>
      </c>
      <c r="F566" s="3" t="n">
        <v>111</v>
      </c>
      <c r="G566" s="3" t="n">
        <v>11</v>
      </c>
      <c r="H566" s="7" t="n">
        <v>23.96</v>
      </c>
      <c r="I566" s="0" t="inlineStr">
        <is>
          <t>Sensation 64</t>
        </is>
      </c>
      <c r="J566" s="0" t="inlineStr">
        <is>
          <t>With Contrast 3.0 B30f</t>
        </is>
      </c>
      <c r="K566" t="n">
        <v>154.1</v>
      </c>
      <c r="L566" t="n">
        <v>56.9</v>
      </c>
      <c r="M566" t="n">
        <v>42.11</v>
      </c>
    </row>
    <row r="567">
      <c r="A567" s="2" t="n">
        <v>9685667</v>
      </c>
      <c r="B567" s="2" t="n">
        <v>56</v>
      </c>
      <c r="C567" s="2" t="inlineStr">
        <is>
          <t>F</t>
        </is>
      </c>
      <c r="D567" s="2" t="n">
        <v>100</v>
      </c>
      <c r="E567" s="4">
        <f>HYPERLINK("./Results/DLO\20190601_1.3.12.2.1107.5.1.4.54310.30000019061622243689000050434_6_512_512_\Osteo_Sarco_1.png","RPT")</f>
        <v/>
      </c>
      <c r="F567" s="3" t="n">
        <v>105</v>
      </c>
      <c r="G567" s="3" t="n">
        <v>7</v>
      </c>
      <c r="H567" s="7" t="n">
        <v>21.86</v>
      </c>
      <c r="I567" s="0" t="inlineStr">
        <is>
          <t>Sensation 64</t>
        </is>
      </c>
      <c r="J567" s="0" t="inlineStr">
        <is>
          <t>Portal 3.0 B30f</t>
        </is>
      </c>
      <c r="K567" t="n">
        <v>153.2</v>
      </c>
      <c r="L567" t="n">
        <v>51.3</v>
      </c>
      <c r="M567" t="n">
        <v>41.76</v>
      </c>
    </row>
    <row r="568">
      <c r="A568" s="2" t="n">
        <v>5954385</v>
      </c>
      <c r="B568" s="2" t="n">
        <v>56</v>
      </c>
      <c r="C568" s="2" t="inlineStr">
        <is>
          <t>F</t>
        </is>
      </c>
      <c r="D568" s="2" t="n">
        <v>100</v>
      </c>
      <c r="E568" s="4">
        <f>HYPERLINK("./Results/DLO\20180301_1.3.12.2.1107.5.1.4.54310.30000018031223122687500019334_2_512_512_\Osteo_Sarco_1.png","RPT")</f>
        <v/>
      </c>
      <c r="F568" s="3" t="n">
        <v>102</v>
      </c>
      <c r="G568" s="3" t="n">
        <v>10</v>
      </c>
      <c r="H568" s="7" t="n">
        <v>23.26</v>
      </c>
      <c r="I568" s="0" t="inlineStr">
        <is>
          <t>Sensation 64</t>
        </is>
      </c>
      <c r="J568" s="0" t="inlineStr">
        <is>
          <t>With Contrast 3.0 B30f</t>
        </is>
      </c>
      <c r="K568" t="n">
        <v>154.6</v>
      </c>
      <c r="L568" t="n">
        <v>55.6</v>
      </c>
      <c r="M568" t="n">
        <v>38.49</v>
      </c>
    </row>
    <row r="569">
      <c r="A569" s="2" t="n">
        <v>8273370</v>
      </c>
      <c r="B569" s="2" t="n">
        <v>56</v>
      </c>
      <c r="C569" s="2" t="inlineStr">
        <is>
          <t>F</t>
        </is>
      </c>
      <c r="D569" s="2" t="n">
        <v>100</v>
      </c>
      <c r="E569" s="4">
        <f>HYPERLINK("./Results/DLO\20180601_1.3.46.670589.33.1.63664567390967847500001.4947434203196013119_201_512_512_\Osteo_Sarco_1.png","RPT")</f>
        <v/>
      </c>
      <c r="F569" s="3" t="n">
        <v>102</v>
      </c>
      <c r="G569" s="3" t="n">
        <v>7</v>
      </c>
      <c r="H569" s="7" t="n">
        <v>22.77</v>
      </c>
      <c r="I569" s="0" t="inlineStr">
        <is>
          <t>Ingenuity Core 128</t>
        </is>
      </c>
      <c r="J569" s="0" t="inlineStr">
        <is>
          <t>Post 100/236 i3, iDose (3)</t>
        </is>
      </c>
      <c r="K569" t="n">
        <v>165</v>
      </c>
      <c r="L569" t="n">
        <v>62</v>
      </c>
      <c r="M569" t="n">
        <v>34.89</v>
      </c>
    </row>
    <row r="570">
      <c r="A570" s="2" t="n">
        <v>5150101</v>
      </c>
      <c r="B570" s="2" t="n">
        <v>56</v>
      </c>
      <c r="C570" s="2" t="inlineStr">
        <is>
          <t>F</t>
        </is>
      </c>
      <c r="D570" s="2" t="n">
        <v>100</v>
      </c>
      <c r="E570" s="4">
        <f>HYPERLINK("./Results/DLO\20181201_1.2.840.113619.2.311.277302025558323392721221567776533597076_304_512_512_\Osteo_Sarco_1.png","RPT")</f>
        <v/>
      </c>
      <c r="F570" s="3" t="n">
        <v>102</v>
      </c>
      <c r="G570" s="3" t="n">
        <v>10</v>
      </c>
      <c r="H570" s="7" t="n">
        <v>22.13</v>
      </c>
      <c r="I570" s="0" t="inlineStr">
        <is>
          <t>Revolution CT</t>
        </is>
      </c>
      <c r="J570" s="0" t="inlineStr">
        <is>
          <t>ABD 2.5mm</t>
        </is>
      </c>
      <c r="K570" t="n">
        <v>153.3</v>
      </c>
      <c r="L570" t="n">
        <v>52</v>
      </c>
      <c r="M570" t="n">
        <v>39.15</v>
      </c>
    </row>
    <row r="571">
      <c r="A571" s="2" t="n">
        <v>9488459</v>
      </c>
      <c r="B571" s="2" t="n">
        <v>57</v>
      </c>
      <c r="C571" s="2" t="inlineStr">
        <is>
          <t>F</t>
        </is>
      </c>
      <c r="D571" s="2" t="n">
        <v>100</v>
      </c>
      <c r="E571" s="4">
        <f>HYPERLINK("./Results/DLO\20181001_1.2.840.113619.2.94.485650834948.2.9154805.19904112.1_2_512_512_\Osteo_Sarco_1.png","RPT")</f>
        <v/>
      </c>
      <c r="F571" s="3" t="n">
        <v>92</v>
      </c>
      <c r="G571" s="3" t="n">
        <v>1</v>
      </c>
      <c r="H571" s="7" t="n">
        <v>16</v>
      </c>
      <c r="I571" s="0" t="inlineStr">
        <is>
          <t>SOMATOM Definition AS</t>
        </is>
      </c>
      <c r="J571" s="0" t="inlineStr">
        <is>
          <t>With Contrast 3.0 B30f</t>
        </is>
      </c>
      <c r="K571" t="n">
        <v>162</v>
      </c>
      <c r="L571" t="n">
        <v>42</v>
      </c>
      <c r="M571" t="n">
        <v>34.67</v>
      </c>
    </row>
    <row r="572">
      <c r="A572" s="2" t="n">
        <v>5883186</v>
      </c>
      <c r="B572" s="2" t="n">
        <v>57</v>
      </c>
      <c r="C572" s="2" t="inlineStr">
        <is>
          <t>F</t>
        </is>
      </c>
      <c r="D572" s="2" t="n">
        <v>100</v>
      </c>
      <c r="E572" s="4">
        <f>HYPERLINK("./Results/DLO\20200201_1.3.46.670589.33.1.63716494665208772600001.5679588839433332030_201_512_512_\Osteo_Sarco_1.png","RPT")</f>
        <v/>
      </c>
      <c r="F572" s="3" t="n">
        <v>91</v>
      </c>
      <c r="G572" s="3" t="n">
        <v>8</v>
      </c>
      <c r="H572" s="7" t="n">
        <v>21.87</v>
      </c>
      <c r="I572" s="0" t="inlineStr">
        <is>
          <t>Ingenuity Core 128</t>
        </is>
      </c>
      <c r="J572" s="0" t="inlineStr">
        <is>
          <t>Post 3mm, iDose (3)</t>
        </is>
      </c>
      <c r="K572" t="n">
        <v>160</v>
      </c>
      <c r="L572" t="n">
        <v>56</v>
      </c>
      <c r="M572" t="n">
        <v>32.42</v>
      </c>
    </row>
    <row r="573">
      <c r="A573" s="2" t="n">
        <v>5752927</v>
      </c>
      <c r="B573" s="2" t="n">
        <v>57</v>
      </c>
      <c r="C573" s="2" t="inlineStr">
        <is>
          <t>F</t>
        </is>
      </c>
      <c r="D573" s="2" t="n">
        <v>100</v>
      </c>
      <c r="E573" s="4">
        <f>HYPERLINK("./Results/DLO\20180401_1.3.12.2.1107.5.1.4.54310.30000018042423043556200008931_2_512_512_\Osteo_Sarco_1.png","RPT")</f>
        <v/>
      </c>
      <c r="F573" s="3" t="n">
        <v>86</v>
      </c>
      <c r="G573" s="3" t="n">
        <v>5</v>
      </c>
      <c r="H573" s="7" t="n">
        <v>19.14</v>
      </c>
      <c r="I573" s="0" t="inlineStr">
        <is>
          <t>Sensation 64</t>
        </is>
      </c>
      <c r="J573" s="0" t="inlineStr">
        <is>
          <t>With Contrast 3.0 B30f</t>
        </is>
      </c>
      <c r="K573" t="n">
        <v>160</v>
      </c>
      <c r="L573" t="n">
        <v>49</v>
      </c>
      <c r="M573" t="n">
        <v>31.64</v>
      </c>
    </row>
    <row r="574">
      <c r="A574" s="2" t="n">
        <v>4116560</v>
      </c>
      <c r="B574" s="2" t="n">
        <v>57</v>
      </c>
      <c r="C574" s="2" t="inlineStr">
        <is>
          <t>F</t>
        </is>
      </c>
      <c r="D574" s="2" t="n">
        <v>100</v>
      </c>
      <c r="E574" s="4">
        <f>HYPERLINK("./Results/DLO\20190401_1.2.840.113619.2.311.128882065376023269643487477514982071697_304_512_512_\Osteo_Sarco_1.png","RPT")</f>
        <v/>
      </c>
      <c r="F574" s="3" t="n">
        <v>85</v>
      </c>
      <c r="G574" s="3" t="n">
        <v>7</v>
      </c>
      <c r="H574" s="7" t="n">
        <v>17.9</v>
      </c>
      <c r="I574" s="0" t="inlineStr">
        <is>
          <t>Revolution CT</t>
        </is>
      </c>
      <c r="J574" s="0" t="inlineStr">
        <is>
          <t>ABD 2.5mm</t>
        </is>
      </c>
      <c r="K574" t="n">
        <v>155</v>
      </c>
      <c r="L574" t="n">
        <v>43</v>
      </c>
      <c r="M574" t="n">
        <v>32.47</v>
      </c>
    </row>
    <row r="575">
      <c r="A575" s="2" t="n">
        <v>8307340</v>
      </c>
      <c r="B575" s="2" t="n">
        <v>57</v>
      </c>
      <c r="C575" s="2" t="inlineStr">
        <is>
          <t>F</t>
        </is>
      </c>
      <c r="D575" s="2" t="n">
        <v>100</v>
      </c>
      <c r="E575" s="4">
        <f>HYPERLINK("./Results/DLO\20181001_1.3.12.2.1107.5.1.4.54310.30000018102823274178100006255_3_512_512_\Osteo_Sarco_1.png","RPT")</f>
        <v/>
      </c>
      <c r="F575" s="3" t="n">
        <v>82</v>
      </c>
      <c r="G575" s="3" t="n">
        <v>8</v>
      </c>
      <c r="H575" s="6" t="n">
        <v>20.4</v>
      </c>
      <c r="I575" s="0" t="inlineStr">
        <is>
          <t>Sensation 64</t>
        </is>
      </c>
      <c r="J575" s="0" t="inlineStr">
        <is>
          <t>Pre Contrast 3.0 B30f</t>
        </is>
      </c>
      <c r="K575" t="n">
        <v>158.1</v>
      </c>
      <c r="L575" t="n">
        <v>51</v>
      </c>
      <c r="M575" t="n">
        <v>29.61</v>
      </c>
    </row>
    <row r="576">
      <c r="A576" s="2" t="n">
        <v>9925941</v>
      </c>
      <c r="B576" s="2" t="n">
        <v>57</v>
      </c>
      <c r="C576" s="2" t="inlineStr">
        <is>
          <t>M</t>
        </is>
      </c>
      <c r="D576" s="2" t="n">
        <v>100</v>
      </c>
      <c r="E576" s="4">
        <f>HYPERLINK("./Results/DLO\20200501_1.3.46.670589.33.1.63725735519090781100001.4948965571379115583_601_512_512_\Osteo_Sarco_1.png","RPT")</f>
        <v/>
      </c>
      <c r="F576" s="3" t="n">
        <v>229</v>
      </c>
      <c r="G576" s="3" t="n">
        <v>13</v>
      </c>
      <c r="H576" s="7" t="n">
        <v>30.93</v>
      </c>
      <c r="I576" s="0" t="inlineStr">
        <is>
          <t>Ingenuity Core 128</t>
        </is>
      </c>
      <c r="J576" s="0" t="inlineStr">
        <is>
          <t>Post 3mm, iDose (3)</t>
        </is>
      </c>
      <c r="K576" t="n">
        <v>178</v>
      </c>
      <c r="L576" t="n">
        <v>98</v>
      </c>
      <c r="M576" t="n">
        <v>68.17</v>
      </c>
    </row>
    <row r="577">
      <c r="A577" s="2" t="n">
        <v>9889534</v>
      </c>
      <c r="B577" s="2" t="n">
        <v>57</v>
      </c>
      <c r="C577" s="2" t="inlineStr">
        <is>
          <t>M</t>
        </is>
      </c>
      <c r="D577" s="2" t="n">
        <v>100</v>
      </c>
      <c r="E577" s="4">
        <f>HYPERLINK("./Results/DLO\20191201_1.2.410.100011.172.24.16.221.6371398199617016787.2_2_512_512_\Osteo_Sarco_1.png","RPT")</f>
        <v/>
      </c>
      <c r="F577" s="3" t="n">
        <v>195</v>
      </c>
      <c r="G577" s="3" t="n">
        <v>15</v>
      </c>
      <c r="H577" s="7" t="n">
        <v>27.75</v>
      </c>
      <c r="I577" s="0" t="inlineStr">
        <is>
          <t>iCT 256</t>
        </is>
      </c>
      <c r="J577" s="0" t="inlineStr">
        <is>
          <t>Abd. Pre 5mm, iDose (2)</t>
        </is>
      </c>
      <c r="K577" t="n">
        <v>180.8</v>
      </c>
      <c r="L577" t="n">
        <v>90.7</v>
      </c>
      <c r="M577" t="n">
        <v>55.07</v>
      </c>
    </row>
    <row r="578">
      <c r="A578" s="2" t="n">
        <v>8321772</v>
      </c>
      <c r="B578" s="2" t="n">
        <v>57</v>
      </c>
      <c r="C578" s="2" t="inlineStr">
        <is>
          <t>M</t>
        </is>
      </c>
      <c r="D578" s="2" t="n">
        <v>100</v>
      </c>
      <c r="E578" s="4">
        <f>HYPERLINK("./Results/DLO\20180101_1.3.46.670589.33.1.63651693599231803800001.5086788679987913434_201_512_512_\Osteo_Sarco_1.png","RPT")</f>
        <v/>
      </c>
      <c r="F578" s="3" t="n">
        <v>191</v>
      </c>
      <c r="G578" s="3" t="n">
        <v>12</v>
      </c>
      <c r="H578" s="6" t="n">
        <v>27.38</v>
      </c>
      <c r="I578" s="0" t="inlineStr">
        <is>
          <t>Ingenuity Core 128</t>
        </is>
      </c>
      <c r="J578" s="0" t="inlineStr">
        <is>
          <t>Post 100/236 i3, iDose (3)</t>
        </is>
      </c>
      <c r="K578" t="n">
        <v>176.1</v>
      </c>
      <c r="L578" t="n">
        <v>84.90000000000001</v>
      </c>
      <c r="M578" t="n">
        <v>57.72</v>
      </c>
    </row>
    <row r="579">
      <c r="A579" s="2" t="n">
        <v>8488328</v>
      </c>
      <c r="B579" s="2" t="n">
        <v>57</v>
      </c>
      <c r="C579" s="2" t="inlineStr">
        <is>
          <t>M</t>
        </is>
      </c>
      <c r="D579" s="2" t="n">
        <v>100</v>
      </c>
      <c r="E579" s="4">
        <f>HYPERLINK("./Results/DLO\20191001_1.3.46.670589.33.1.63706812370693272300001.5037424852123916599_201_512_512_\Osteo_Sarco_1.png","RPT")</f>
        <v/>
      </c>
      <c r="F579" s="3" t="n">
        <v>187</v>
      </c>
      <c r="G579" s="3" t="n">
        <v>14</v>
      </c>
      <c r="H579" s="6" t="n">
        <v>27.45</v>
      </c>
      <c r="I579" s="0" t="inlineStr">
        <is>
          <t>Ingenuity Core 128</t>
        </is>
      </c>
      <c r="J579" s="0" t="inlineStr">
        <is>
          <t>Post 3mm, iDose (3)</t>
        </is>
      </c>
      <c r="K579" t="n">
        <v>177</v>
      </c>
      <c r="L579" t="n">
        <v>86</v>
      </c>
      <c r="M579" t="n">
        <v>55.22</v>
      </c>
    </row>
    <row r="580">
      <c r="A580" s="2" t="n">
        <v>9749816</v>
      </c>
      <c r="B580" s="2" t="n">
        <v>57</v>
      </c>
      <c r="C580" s="2" t="inlineStr">
        <is>
          <t>M</t>
        </is>
      </c>
      <c r="D580" s="2" t="n">
        <v>100</v>
      </c>
      <c r="E580" s="4">
        <f>HYPERLINK("./Results/DLO\20200301_1.3.12.2.1107.5.1.4.54310.30000020032422394403100024404_8_512_512_\Osteo_Sarco_1.png","RPT")</f>
        <v/>
      </c>
      <c r="F580" s="3" t="n">
        <v>186</v>
      </c>
      <c r="G580" s="3" t="n">
        <v>9</v>
      </c>
      <c r="H580" s="7" t="n">
        <v>25.97</v>
      </c>
      <c r="I580" s="0" t="inlineStr">
        <is>
          <t>Sensation 64</t>
        </is>
      </c>
      <c r="J580" s="0" t="inlineStr">
        <is>
          <t>Post ABD 3mm B30f</t>
        </is>
      </c>
      <c r="K580" t="n">
        <v>175.5</v>
      </c>
      <c r="L580" t="n">
        <v>80</v>
      </c>
      <c r="M580" t="n">
        <v>57.47</v>
      </c>
    </row>
    <row r="581">
      <c r="A581" s="2" t="n">
        <v>9019512</v>
      </c>
      <c r="B581" s="2" t="n">
        <v>57</v>
      </c>
      <c r="C581" s="2" t="inlineStr">
        <is>
          <t>M</t>
        </is>
      </c>
      <c r="D581" s="2" t="n">
        <v>100</v>
      </c>
      <c r="E581" s="4">
        <f>HYPERLINK("./Results/DLO\20180801_1.3.46.670589.33.1.63669495324014819500001.5708848782296969758_201_512_512_\Osteo_Sarco_1.png","RPT")</f>
        <v/>
      </c>
      <c r="F581" s="3" t="n">
        <v>164</v>
      </c>
      <c r="G581" s="3" t="n">
        <v>5</v>
      </c>
      <c r="H581" s="6" t="n">
        <v>24.49</v>
      </c>
      <c r="I581" s="0" t="inlineStr">
        <is>
          <t>Ingenuity Core 128</t>
        </is>
      </c>
      <c r="J581" s="0" t="inlineStr">
        <is>
          <t>Post 100/236 i3, iDose (3)</t>
        </is>
      </c>
      <c r="K581" t="n">
        <v>175</v>
      </c>
      <c r="L581" t="n">
        <v>75</v>
      </c>
      <c r="M581" t="n">
        <v>51.92</v>
      </c>
    </row>
    <row r="582">
      <c r="A582" s="2" t="n">
        <v>5131525</v>
      </c>
      <c r="B582" s="2" t="n">
        <v>57</v>
      </c>
      <c r="C582" s="2" t="inlineStr">
        <is>
          <t>M</t>
        </is>
      </c>
      <c r="D582" s="2" t="n">
        <v>100</v>
      </c>
      <c r="E582" s="4">
        <f>HYPERLINK("./Results/DLO\20180201_1.3.46.670589.33.1.63653677652528304100001.5517351163593947148_201_512_512_\Osteo_Sarco_1.png","RPT")</f>
        <v/>
      </c>
      <c r="F582" s="3" t="n">
        <v>163</v>
      </c>
      <c r="G582" s="3" t="n">
        <v>11</v>
      </c>
      <c r="H582" s="7" t="n">
        <v>26.02</v>
      </c>
      <c r="I582" s="0" t="inlineStr">
        <is>
          <t>Ingenuity Core 128</t>
        </is>
      </c>
      <c r="J582" s="0" t="inlineStr">
        <is>
          <t>Pre 100/68 i3, iDose (3)</t>
        </is>
      </c>
      <c r="K582" t="n">
        <v>170</v>
      </c>
      <c r="L582" t="n">
        <v>75.2</v>
      </c>
      <c r="M582" t="n">
        <v>52.6</v>
      </c>
    </row>
    <row r="583">
      <c r="A583" s="2" t="n">
        <v>5226958</v>
      </c>
      <c r="B583" s="2" t="n">
        <v>57</v>
      </c>
      <c r="C583" s="2" t="inlineStr">
        <is>
          <t>M</t>
        </is>
      </c>
      <c r="D583" s="2" t="n">
        <v>100</v>
      </c>
      <c r="E583" s="4">
        <f>HYPERLINK("./Results/DLO\20181201_1.3.46.670589.33.1.63679429472469600000001.5370005735733794665_201_512_512_\Osteo_Sarco_1.png","RPT")</f>
        <v/>
      </c>
      <c r="F583" s="3" t="n">
        <v>160</v>
      </c>
      <c r="G583" s="3" t="n">
        <v>10</v>
      </c>
      <c r="H583" s="7" t="n">
        <v>23.66</v>
      </c>
      <c r="I583" s="0" t="inlineStr">
        <is>
          <t>Ingenuity Core 128</t>
        </is>
      </c>
      <c r="J583" s="0" t="inlineStr">
        <is>
          <t>Post 100/236 i3, iDose (3)</t>
        </is>
      </c>
      <c r="K583" t="n">
        <v>172</v>
      </c>
      <c r="L583" t="n">
        <v>70</v>
      </c>
      <c r="M583" t="n">
        <v>50.7</v>
      </c>
    </row>
    <row r="584">
      <c r="A584" s="2" t="n">
        <v>8927441</v>
      </c>
      <c r="B584" s="2" t="n">
        <v>57</v>
      </c>
      <c r="C584" s="2" t="inlineStr">
        <is>
          <t>M</t>
        </is>
      </c>
      <c r="D584" s="2" t="n">
        <v>100</v>
      </c>
      <c r="E584" s="4">
        <f>HYPERLINK("./Results/DLO\20190801_1.3.46.670589.33.1.63702147760149516200001.5465523018905906712_201_512_512_\Osteo_Sarco_1.png","RPT")</f>
        <v/>
      </c>
      <c r="F584" s="3" t="n">
        <v>160</v>
      </c>
      <c r="G584" s="3" t="n">
        <v>8</v>
      </c>
      <c r="H584" s="7" t="n">
        <v>27.7</v>
      </c>
      <c r="I584" s="0" t="inlineStr">
        <is>
          <t>Ingenuity Core 128</t>
        </is>
      </c>
      <c r="J584" s="0" t="inlineStr">
        <is>
          <t>Post 3mm, iDose (3)</t>
        </is>
      </c>
      <c r="K584" t="n">
        <v>166.4</v>
      </c>
      <c r="L584" t="n">
        <v>76.7</v>
      </c>
      <c r="M584" t="n">
        <v>54.9</v>
      </c>
    </row>
    <row r="585">
      <c r="A585" s="2" t="n">
        <v>6180328</v>
      </c>
      <c r="B585" s="2" t="n">
        <v>57</v>
      </c>
      <c r="C585" s="2" t="inlineStr">
        <is>
          <t>M</t>
        </is>
      </c>
      <c r="D585" s="2" t="n">
        <v>100</v>
      </c>
      <c r="E585" s="4">
        <f>HYPERLINK("./Results/DLO\20181201_1.3.46.670589.33.1.63680205738188044200001.5320529816200132667_201_512_512_\Osteo_Sarco_1.png","RPT")</f>
        <v/>
      </c>
      <c r="F585" s="3" t="n">
        <v>158</v>
      </c>
      <c r="G585" s="3" t="n">
        <v>15</v>
      </c>
      <c r="H585" s="7" t="n">
        <v>25.76</v>
      </c>
      <c r="I585" s="0" t="inlineStr">
        <is>
          <t>Ingenuity Core 128</t>
        </is>
      </c>
      <c r="J585" s="0" t="inlineStr">
        <is>
          <t>Post 100/236 i3, iDose (3)</t>
        </is>
      </c>
      <c r="K585" t="n">
        <v>174</v>
      </c>
      <c r="L585" t="n">
        <v>78</v>
      </c>
      <c r="M585" t="n">
        <v>47.23</v>
      </c>
    </row>
    <row r="586">
      <c r="A586" s="2" t="n">
        <v>3920674</v>
      </c>
      <c r="B586" s="2" t="n">
        <v>57</v>
      </c>
      <c r="C586" s="2" t="inlineStr">
        <is>
          <t>M</t>
        </is>
      </c>
      <c r="D586" s="2" t="n">
        <v>100</v>
      </c>
      <c r="E586" s="4">
        <f>HYPERLINK("./Results/DLO\20180401_1.3.46.670589.33.1.63658255964933733000001.4875461748427343892_201_512_512_\Osteo_Sarco_1.png","RPT")</f>
        <v/>
      </c>
      <c r="F586" s="3" t="n">
        <v>157</v>
      </c>
      <c r="G586" s="3" t="n">
        <v>8</v>
      </c>
      <c r="H586" s="7" t="n">
        <v>21.22</v>
      </c>
      <c r="I586" s="0" t="inlineStr">
        <is>
          <t>Ingenuity Core 128</t>
        </is>
      </c>
      <c r="J586" s="0" t="inlineStr">
        <is>
          <t>Post 100/236 i3, iDose (3)</t>
        </is>
      </c>
      <c r="K586" t="n">
        <v>175</v>
      </c>
      <c r="L586" t="n">
        <v>65</v>
      </c>
      <c r="M586" t="n">
        <v>48.65</v>
      </c>
    </row>
    <row r="587">
      <c r="A587" s="2" t="n">
        <v>6005507</v>
      </c>
      <c r="B587" s="2" t="n">
        <v>57</v>
      </c>
      <c r="C587" s="2" t="inlineStr">
        <is>
          <t>M</t>
        </is>
      </c>
      <c r="D587" s="2" t="n">
        <v>100</v>
      </c>
      <c r="E587" s="4">
        <f>HYPERLINK("./Results/DLO\20200201_1.2.840.113619.2.416.156335771787909421781446094057169928362_303_512_512_\Osteo_Sarco_1.png","RPT")</f>
        <v/>
      </c>
      <c r="F587" s="3" t="n">
        <v>154</v>
      </c>
      <c r="G587" s="3" t="n">
        <v>22</v>
      </c>
      <c r="H587" s="7" t="n">
        <v>28.83</v>
      </c>
      <c r="I587" s="0" t="inlineStr">
        <is>
          <t>Revolution CT</t>
        </is>
      </c>
      <c r="J587" s="0" t="inlineStr">
        <is>
          <t>ABD</t>
        </is>
      </c>
      <c r="K587" t="n">
        <v>172.7</v>
      </c>
      <c r="L587" t="n">
        <v>86</v>
      </c>
      <c r="M587" t="n">
        <v>44.26</v>
      </c>
    </row>
    <row r="588">
      <c r="A588" s="2" t="n">
        <v>8349946</v>
      </c>
      <c r="B588" s="2" t="n">
        <v>57</v>
      </c>
      <c r="C588" s="2" t="inlineStr">
        <is>
          <t>M</t>
        </is>
      </c>
      <c r="D588" s="2" t="n">
        <v>100</v>
      </c>
      <c r="E588" s="4">
        <f>HYPERLINK("./Results/DLO\20180101_1.3.12.2.1107.5.1.4.54310.30000018010723300587500007635_2_512_512_\Osteo_Sarco_1.png","RPT")</f>
        <v/>
      </c>
      <c r="F588" s="3" t="n">
        <v>151</v>
      </c>
      <c r="G588" s="3" t="n">
        <v>12</v>
      </c>
      <c r="H588" s="7" t="n">
        <v>23.67</v>
      </c>
      <c r="I588" s="0" t="inlineStr">
        <is>
          <t>Sensation 64</t>
        </is>
      </c>
      <c r="J588" s="0" t="inlineStr">
        <is>
          <t>With Contrast 3.0 B30f</t>
        </is>
      </c>
      <c r="K588" t="n">
        <v>167</v>
      </c>
      <c r="L588" t="n">
        <v>66</v>
      </c>
      <c r="M588" t="n">
        <v>49.84</v>
      </c>
    </row>
    <row r="589">
      <c r="A589" s="2" t="n">
        <v>6742555</v>
      </c>
      <c r="B589" s="2" t="n">
        <v>57</v>
      </c>
      <c r="C589" s="2" t="inlineStr">
        <is>
          <t>M</t>
        </is>
      </c>
      <c r="D589" s="2" t="n">
        <v>100</v>
      </c>
      <c r="E589" s="4">
        <f>HYPERLINK("./Results/DLO\20180201_1.3.46.670589.33.1.63654202878107488900001.5011709875376533780_601_512_512_\Osteo_Sarco_1.png","RPT")</f>
        <v/>
      </c>
      <c r="F589" s="3" t="n">
        <v>150</v>
      </c>
      <c r="G589" s="3" t="n">
        <v>7</v>
      </c>
      <c r="H589" s="7" t="n">
        <v>22.66</v>
      </c>
      <c r="I589" s="0" t="inlineStr">
        <is>
          <t>Ingenuity Core 128</t>
        </is>
      </c>
      <c r="J589" s="0" t="inlineStr">
        <is>
          <t>Post 100/236 i3, iDose (3)</t>
        </is>
      </c>
      <c r="K589" t="n">
        <v>177</v>
      </c>
      <c r="L589" t="n">
        <v>71</v>
      </c>
      <c r="M589" t="n">
        <v>45.64</v>
      </c>
    </row>
    <row r="590">
      <c r="A590" s="2" t="n">
        <v>5983968</v>
      </c>
      <c r="B590" s="2" t="n">
        <v>57</v>
      </c>
      <c r="C590" s="2" t="inlineStr">
        <is>
          <t>M</t>
        </is>
      </c>
      <c r="D590" s="2" t="n">
        <v>100</v>
      </c>
      <c r="E590" s="4">
        <f>HYPERLINK("./Results/DLO\20180301_1.3.12.2.1107.5.1.4.65253.30000018031620492516800031649_2_512_512_\Osteo_Sarco_1.png","RPT")</f>
        <v/>
      </c>
      <c r="F590" s="3" t="n">
        <v>150</v>
      </c>
      <c r="G590" s="3" t="n">
        <v>5</v>
      </c>
      <c r="H590" s="7" t="n">
        <v>22.69</v>
      </c>
      <c r="I590" s="0" t="inlineStr">
        <is>
          <t>SOMATOM Definition AS</t>
        </is>
      </c>
      <c r="J590" s="0" t="inlineStr">
        <is>
          <t>Pre 3.0 I40f</t>
        </is>
      </c>
      <c r="K590" t="n">
        <v>174.9</v>
      </c>
      <c r="L590" t="n">
        <v>69.40000000000001</v>
      </c>
      <c r="M590" t="n">
        <v>47.4</v>
      </c>
    </row>
    <row r="591">
      <c r="A591" s="2" t="n">
        <v>5706950</v>
      </c>
      <c r="B591" s="2" t="n">
        <v>57</v>
      </c>
      <c r="C591" s="2" t="inlineStr">
        <is>
          <t>M</t>
        </is>
      </c>
      <c r="D591" s="2" t="n">
        <v>100</v>
      </c>
      <c r="E591" s="4">
        <f>HYPERLINK("./Results/DLO\20181001_1.3.46.670589.33.1.63676486925806293700001.4614842550719194004_201_512_512_\Osteo_Sarco_1.png","RPT")</f>
        <v/>
      </c>
      <c r="F591" s="3" t="n">
        <v>149</v>
      </c>
      <c r="G591" s="3" t="n">
        <v>15</v>
      </c>
      <c r="H591" s="7" t="n">
        <v>21.34</v>
      </c>
      <c r="I591" s="0" t="inlineStr">
        <is>
          <t>Ingenuity Core 128</t>
        </is>
      </c>
      <c r="J591" s="0" t="inlineStr">
        <is>
          <t>Post 100/236 i3, iDose (3)</t>
        </is>
      </c>
      <c r="K591" t="n">
        <v>162</v>
      </c>
      <c r="L591" t="n">
        <v>56</v>
      </c>
      <c r="M591" t="n">
        <v>51.06</v>
      </c>
    </row>
    <row r="592">
      <c r="A592" s="2" t="n">
        <v>8366765</v>
      </c>
      <c r="B592" s="2" t="n">
        <v>57</v>
      </c>
      <c r="C592" s="2" t="inlineStr">
        <is>
          <t>M</t>
        </is>
      </c>
      <c r="D592" s="2" t="n">
        <v>100</v>
      </c>
      <c r="E592" s="4">
        <f>HYPERLINK("./Results/DLO\20180201_1.2.840.113619.2.311.159685549445192673318176094701042640274_304_512_512_\Osteo_Sarco_1.png","RPT")</f>
        <v/>
      </c>
      <c r="F592" s="3" t="n">
        <v>146</v>
      </c>
      <c r="G592" s="3" t="n">
        <v>11</v>
      </c>
      <c r="H592" s="7" t="n">
        <v>19.96</v>
      </c>
      <c r="I592" s="0" t="inlineStr">
        <is>
          <t>Revolution CT</t>
        </is>
      </c>
      <c r="J592" s="0" t="inlineStr">
        <is>
          <t>ABD 2.5mm</t>
        </is>
      </c>
      <c r="K592" t="n">
        <v>165.1</v>
      </c>
      <c r="L592" t="n">
        <v>54.4</v>
      </c>
      <c r="M592" t="n">
        <v>49.53</v>
      </c>
    </row>
    <row r="593">
      <c r="A593" s="2" t="n">
        <v>8381753</v>
      </c>
      <c r="B593" s="2" t="n">
        <v>57</v>
      </c>
      <c r="C593" s="2" t="inlineStr">
        <is>
          <t>M</t>
        </is>
      </c>
      <c r="D593" s="2" t="n">
        <v>100</v>
      </c>
      <c r="E593" s="4">
        <f>HYPERLINK("./Results/DLO\20190201_1.3.12.2.1107.5.1.4.54310.30000019022523304521800014571_2_512_512_\Osteo_Sarco_1.png","RPT")</f>
        <v/>
      </c>
      <c r="F593" s="3" t="n">
        <v>144</v>
      </c>
      <c r="G593" s="3" t="n">
        <v>6</v>
      </c>
      <c r="H593" s="7" t="n">
        <v>22.71</v>
      </c>
      <c r="I593" s="0" t="inlineStr">
        <is>
          <t>Sensation 64</t>
        </is>
      </c>
      <c r="J593" s="0" t="inlineStr">
        <is>
          <t>With Contrast 3.0 B30f</t>
        </is>
      </c>
      <c r="K593" t="n">
        <v>171</v>
      </c>
      <c r="L593" t="n">
        <v>66.40000000000001</v>
      </c>
      <c r="M593" t="n">
        <v>47.19</v>
      </c>
    </row>
    <row r="594">
      <c r="A594" s="2" t="n">
        <v>5744656</v>
      </c>
      <c r="B594" s="2" t="n">
        <v>57</v>
      </c>
      <c r="C594" s="2" t="inlineStr">
        <is>
          <t>M</t>
        </is>
      </c>
      <c r="D594" s="2" t="n">
        <v>100</v>
      </c>
      <c r="E594" s="4">
        <f>HYPERLINK("./Results/DLO\20190501_1.3.12.2.1107.5.1.4.54310.30000019052621325350000024198_6_512_512_\Osteo_Sarco_1.png","RPT")</f>
        <v/>
      </c>
      <c r="F594" s="3" t="n">
        <v>141</v>
      </c>
      <c r="G594" s="3" t="n">
        <v>6</v>
      </c>
      <c r="H594" s="7" t="n">
        <v>20.07</v>
      </c>
      <c r="I594" s="0" t="inlineStr">
        <is>
          <t>Sensation 64</t>
        </is>
      </c>
      <c r="J594" s="0" t="inlineStr">
        <is>
          <t>ABD Contrast 3.0 B30f</t>
        </is>
      </c>
      <c r="K594" t="n">
        <v>170</v>
      </c>
      <c r="L594" t="n">
        <v>58</v>
      </c>
      <c r="M594" t="n">
        <v>46.71</v>
      </c>
    </row>
    <row r="595">
      <c r="A595" s="2" t="n">
        <v>5020931</v>
      </c>
      <c r="B595" s="2" t="n">
        <v>57</v>
      </c>
      <c r="C595" s="2" t="inlineStr">
        <is>
          <t>F</t>
        </is>
      </c>
      <c r="D595" s="2" t="n">
        <v>100</v>
      </c>
      <c r="E595" s="4">
        <f>HYPERLINK("./Results/DLO\20181101_1.2.840.113619.2.416.211499439491267007709180581376486837092_304_512_512_\Osteo_Sarco_1.png","RPT")</f>
        <v/>
      </c>
      <c r="F595" s="3" t="n">
        <v>135</v>
      </c>
      <c r="G595" s="3" t="n">
        <v>14</v>
      </c>
      <c r="H595" s="7" t="n">
        <v>23.17</v>
      </c>
      <c r="I595" s="0" t="inlineStr">
        <is>
          <t>Revolution CT</t>
        </is>
      </c>
      <c r="J595" s="0" t="inlineStr">
        <is>
          <t>ABD 2.5mm</t>
        </is>
      </c>
      <c r="K595" t="n">
        <v>156.7</v>
      </c>
      <c r="L595" t="n">
        <v>56.9</v>
      </c>
      <c r="M595" t="n">
        <v>49.28</v>
      </c>
    </row>
    <row r="596">
      <c r="A596" s="2" t="n">
        <v>8277873</v>
      </c>
      <c r="B596" s="2" t="n">
        <v>57</v>
      </c>
      <c r="C596" s="2" t="inlineStr">
        <is>
          <t>M</t>
        </is>
      </c>
      <c r="D596" s="2" t="n">
        <v>100</v>
      </c>
      <c r="E596" s="4">
        <f>HYPERLINK("./Results/DLO\20191101_1.3.46.670589.33.1.63710530226709857300001.5562643206396736056_201_512_512_\Osteo_Sarco_1.png","RPT")</f>
        <v/>
      </c>
      <c r="F596" s="3" t="n">
        <v>132</v>
      </c>
      <c r="G596" s="3" t="n">
        <v>10</v>
      </c>
      <c r="H596" s="7" t="n">
        <v>25.18</v>
      </c>
      <c r="I596" s="0" t="inlineStr">
        <is>
          <t>Ingenuity Core 128</t>
        </is>
      </c>
      <c r="J596" s="0" t="inlineStr">
        <is>
          <t>Post 3mm, iDose (3)</t>
        </is>
      </c>
      <c r="K596" t="n">
        <v>176</v>
      </c>
      <c r="L596" t="n">
        <v>78</v>
      </c>
      <c r="M596" t="n">
        <v>39.39</v>
      </c>
    </row>
    <row r="597">
      <c r="A597" s="2" t="n">
        <v>6106940</v>
      </c>
      <c r="B597" s="2" t="n">
        <v>57</v>
      </c>
      <c r="C597" s="2" t="inlineStr">
        <is>
          <t>F</t>
        </is>
      </c>
      <c r="D597" s="2" t="n">
        <v>100</v>
      </c>
      <c r="E597" s="4">
        <f>HYPERLINK("./Results/DLO\20190401_1.3.12.2.1107.5.1.4.54310.30000019041623401839000000716_2_512_512_\Osteo_Sarco_1.png","RPT")</f>
        <v/>
      </c>
      <c r="F597" s="3" t="n">
        <v>131</v>
      </c>
      <c r="G597" s="3" t="n">
        <v>11</v>
      </c>
      <c r="H597" s="7" t="n">
        <v>26.73</v>
      </c>
      <c r="I597" s="0" t="inlineStr">
        <is>
          <t>Sensation 64</t>
        </is>
      </c>
      <c r="J597" s="0" t="inlineStr">
        <is>
          <t>With Contrast 3.0 B30f</t>
        </is>
      </c>
      <c r="K597" t="n">
        <v>166.6</v>
      </c>
      <c r="L597" t="n">
        <v>74.2</v>
      </c>
      <c r="M597" t="n">
        <v>43.23</v>
      </c>
    </row>
    <row r="598">
      <c r="A598" s="2" t="n">
        <v>5869380</v>
      </c>
      <c r="B598" s="2" t="n">
        <v>57</v>
      </c>
      <c r="C598" s="2" t="inlineStr">
        <is>
          <t>F</t>
        </is>
      </c>
      <c r="D598" s="2" t="n">
        <v>100</v>
      </c>
      <c r="E598" s="4">
        <f>HYPERLINK("./Results/DLO\20190101_1.3.12.2.1107.5.1.4.54310.30000019013000370112500008060_2_512_512_\Osteo_Sarco_1.png","RPT")</f>
        <v/>
      </c>
      <c r="F598" s="3" t="n">
        <v>128</v>
      </c>
      <c r="G598" s="3" t="n">
        <v>5</v>
      </c>
      <c r="H598" s="7" t="n">
        <v>25.22</v>
      </c>
      <c r="I598" s="0" t="inlineStr">
        <is>
          <t>Sensation 64</t>
        </is>
      </c>
      <c r="J598" s="0" t="inlineStr">
        <is>
          <t>With Contrast 3.0 B30f</t>
        </is>
      </c>
      <c r="K598" t="n">
        <v>163</v>
      </c>
      <c r="L598" t="n">
        <v>67</v>
      </c>
      <c r="M598" t="n">
        <v>46.29</v>
      </c>
    </row>
    <row r="599">
      <c r="A599" s="2" t="n">
        <v>8851572</v>
      </c>
      <c r="B599" s="2" t="n">
        <v>57</v>
      </c>
      <c r="C599" s="2" t="inlineStr">
        <is>
          <t>M</t>
        </is>
      </c>
      <c r="D599" s="2" t="n">
        <v>100</v>
      </c>
      <c r="E599" s="4">
        <f>HYPERLINK("./Results/DLO\20191001_1.3.46.670589.33.1.63707426213927846500001.5076606594230436207_201_512_512_\Osteo_Sarco_1.png","RPT")</f>
        <v/>
      </c>
      <c r="F599" s="3" t="n">
        <v>127</v>
      </c>
      <c r="G599" s="3" t="n">
        <v>8</v>
      </c>
      <c r="H599" s="7" t="n">
        <v>23.28</v>
      </c>
      <c r="I599" s="0" t="inlineStr">
        <is>
          <t>Ingenuity Core 128</t>
        </is>
      </c>
      <c r="J599" s="0" t="inlineStr">
        <is>
          <t>Pre 3mm, iDose (4)</t>
        </is>
      </c>
      <c r="K599" t="n">
        <v>169</v>
      </c>
      <c r="L599" t="n">
        <v>66.5</v>
      </c>
      <c r="M599" t="n">
        <v>41.67</v>
      </c>
    </row>
    <row r="600">
      <c r="A600" s="2" t="n">
        <v>8570577</v>
      </c>
      <c r="B600" s="2" t="n">
        <v>57</v>
      </c>
      <c r="C600" s="2" t="inlineStr">
        <is>
          <t>F</t>
        </is>
      </c>
      <c r="D600" s="2" t="n">
        <v>100</v>
      </c>
      <c r="E600" s="4">
        <f>HYPERLINK("./Results/DLO\20180301_1.2.840.113619.2.311.236091038096259703036544964899182435120_304_512_512_\Osteo_Sarco_1.png","RPT")</f>
        <v/>
      </c>
      <c r="F600" s="3" t="n">
        <v>126</v>
      </c>
      <c r="G600" s="3" t="n">
        <v>15</v>
      </c>
      <c r="H600" s="7" t="n">
        <v>25.89</v>
      </c>
      <c r="I600" s="0" t="inlineStr">
        <is>
          <t>Revolution CT</t>
        </is>
      </c>
      <c r="J600" s="0" t="inlineStr">
        <is>
          <t>ABD 2.5mm</t>
        </is>
      </c>
      <c r="K600" t="n">
        <v>156</v>
      </c>
      <c r="L600" t="n">
        <v>63</v>
      </c>
      <c r="M600" t="n">
        <v>45.61</v>
      </c>
    </row>
    <row r="601">
      <c r="A601" s="2" t="n">
        <v>5966316</v>
      </c>
      <c r="B601" s="2" t="n">
        <v>57</v>
      </c>
      <c r="C601" s="2" t="inlineStr">
        <is>
          <t>M</t>
        </is>
      </c>
      <c r="D601" s="2" t="n">
        <v>100</v>
      </c>
      <c r="E601" s="4">
        <f>HYPERLINK("./Results/DLO\20190101_1.2.840.113619.2.311.193776212824333823010045949917247159626_304_512_512_\Osteo_Sarco_1.png","RPT")</f>
        <v/>
      </c>
      <c r="F601" s="3" t="n">
        <v>125</v>
      </c>
      <c r="G601" s="3" t="n">
        <v>5</v>
      </c>
      <c r="H601" s="7" t="n">
        <v>20.52</v>
      </c>
      <c r="I601" s="0" t="inlineStr">
        <is>
          <t>Revolution CT</t>
        </is>
      </c>
      <c r="J601" s="0" t="inlineStr">
        <is>
          <t>ABD 2.5mm</t>
        </is>
      </c>
      <c r="K601" t="n">
        <v>178</v>
      </c>
      <c r="L601" t="n">
        <v>65</v>
      </c>
      <c r="M601" t="n">
        <v>37.87</v>
      </c>
    </row>
    <row r="602">
      <c r="A602" s="2" t="n">
        <v>1459329</v>
      </c>
      <c r="B602" s="2" t="n">
        <v>57</v>
      </c>
      <c r="C602" s="2" t="inlineStr">
        <is>
          <t>F</t>
        </is>
      </c>
      <c r="D602" s="2" t="n">
        <v>100</v>
      </c>
      <c r="E602" s="4">
        <f>HYPERLINK("./Results/DLO\20190101_1.2.840.113619.2.311.94364996060561483147522917520879894549_304_512_512_\Osteo_Sarco_1.png","RPT")</f>
        <v/>
      </c>
      <c r="F602" s="3" t="n">
        <v>125</v>
      </c>
      <c r="G602" s="3" t="n">
        <v>12</v>
      </c>
      <c r="H602" s="7" t="n">
        <v>24.06</v>
      </c>
      <c r="I602" s="0" t="inlineStr">
        <is>
          <t>Revolution CT</t>
        </is>
      </c>
      <c r="J602" s="0" t="inlineStr">
        <is>
          <t>ABD 2.5mm</t>
        </is>
      </c>
      <c r="K602" t="n">
        <v>161.8</v>
      </c>
      <c r="L602" t="n">
        <v>63</v>
      </c>
      <c r="M602" t="n">
        <v>43.16</v>
      </c>
    </row>
    <row r="603">
      <c r="A603" s="2" t="n">
        <v>8343755</v>
      </c>
      <c r="B603" s="2" t="n">
        <v>57</v>
      </c>
      <c r="C603" s="2" t="inlineStr">
        <is>
          <t>F</t>
        </is>
      </c>
      <c r="D603" s="2" t="n">
        <v>100</v>
      </c>
      <c r="E603" s="4">
        <f>HYPERLINK("./Results/DLO\20181001_1.3.12.2.1107.5.1.4.54310.30000018093023302303100005658_2_512_512_\Osteo_Sarco_1.png","RPT")</f>
        <v/>
      </c>
      <c r="F603" s="3" t="n">
        <v>121</v>
      </c>
      <c r="G603" s="3" t="n">
        <v>10</v>
      </c>
      <c r="H603" s="7" t="n">
        <v>23.12</v>
      </c>
      <c r="I603" s="0" t="inlineStr">
        <is>
          <t>Sensation 64</t>
        </is>
      </c>
      <c r="J603" s="0" t="inlineStr">
        <is>
          <t>With Contrast 3.0 B30f</t>
        </is>
      </c>
      <c r="K603" t="n">
        <v>164.3</v>
      </c>
      <c r="L603" t="n">
        <v>62.4</v>
      </c>
      <c r="M603" t="n">
        <v>41.12</v>
      </c>
    </row>
    <row r="604">
      <c r="A604" s="2" t="n">
        <v>6738330</v>
      </c>
      <c r="B604" s="2" t="n">
        <v>57</v>
      </c>
      <c r="C604" s="2" t="inlineStr">
        <is>
          <t>F</t>
        </is>
      </c>
      <c r="D604" s="2" t="n">
        <v>100</v>
      </c>
      <c r="E604" s="4">
        <f>HYPERLINK("./Results/DLO\20190601_1.2.840.113619.2.416.279934401143079305161592720155425410702_310_512_512_\Osteo_Sarco_1.png","RPT")</f>
        <v/>
      </c>
      <c r="F604" s="3" t="n">
        <v>120</v>
      </c>
      <c r="G604" s="3" t="n">
        <v>22</v>
      </c>
      <c r="H604" s="7" t="n">
        <v>29.56</v>
      </c>
      <c r="I604" s="0" t="inlineStr">
        <is>
          <t>Revolution CT</t>
        </is>
      </c>
      <c r="J604" s="0" t="inlineStr">
        <is>
          <t>ABD</t>
        </is>
      </c>
      <c r="K604" t="n">
        <v>155.3</v>
      </c>
      <c r="L604" t="n">
        <v>71.3</v>
      </c>
      <c r="M604" t="n">
        <v>40.63</v>
      </c>
    </row>
    <row r="605">
      <c r="A605" s="2" t="n">
        <v>5023314</v>
      </c>
      <c r="B605" s="2" t="n">
        <v>57</v>
      </c>
      <c r="C605" s="2" t="inlineStr">
        <is>
          <t>F</t>
        </is>
      </c>
      <c r="D605" s="2" t="n">
        <v>100</v>
      </c>
      <c r="E605" s="4">
        <f>HYPERLINK("./Results/DLO\20180301_1.2.840.113619.2.94.485650834948.2.8734066.18869954.1_2_512_512_\Osteo_Sarco_1.png","RPT")</f>
        <v/>
      </c>
      <c r="F605" s="3" t="n">
        <v>111</v>
      </c>
      <c r="G605" s="3" t="n">
        <v>10</v>
      </c>
      <c r="H605" s="7" t="n">
        <v>23.54</v>
      </c>
      <c r="I605" s="0" t="inlineStr">
        <is>
          <t>Sensation 64</t>
        </is>
      </c>
      <c r="J605" s="0" t="inlineStr">
        <is>
          <t>With Contrast 3.0 B30f</t>
        </is>
      </c>
      <c r="K605" t="n">
        <v>155.6</v>
      </c>
      <c r="L605" t="n">
        <v>57</v>
      </c>
      <c r="M605" t="n">
        <v>41.72</v>
      </c>
    </row>
    <row r="606">
      <c r="A606" s="2" t="n">
        <v>5871361</v>
      </c>
      <c r="B606" s="2" t="n">
        <v>57</v>
      </c>
      <c r="C606" s="2" t="inlineStr">
        <is>
          <t>F</t>
        </is>
      </c>
      <c r="D606" s="2" t="n">
        <v>100</v>
      </c>
      <c r="E606" s="4">
        <f>HYPERLINK("./Results/DLO\20180801_1.2.840.113619.2.311.206525386978765428021041553589638931921_304_512_512_\Osteo_Sarco_1.png","RPT")</f>
        <v/>
      </c>
      <c r="F606" s="3" t="n">
        <v>108</v>
      </c>
      <c r="G606" s="3" t="n">
        <v>6</v>
      </c>
      <c r="H606" s="6" t="n">
        <v>23.41</v>
      </c>
      <c r="I606" s="0" t="inlineStr">
        <is>
          <t>Revolution CT</t>
        </is>
      </c>
      <c r="J606" s="0" t="inlineStr">
        <is>
          <t>ABD 2.5mm</t>
        </is>
      </c>
      <c r="K606" t="n">
        <v>158.2</v>
      </c>
      <c r="L606" t="n">
        <v>58.6</v>
      </c>
      <c r="M606" t="n">
        <v>40.76</v>
      </c>
    </row>
    <row r="607">
      <c r="A607" s="2" t="n">
        <v>2712394</v>
      </c>
      <c r="B607" s="2" t="n">
        <v>57</v>
      </c>
      <c r="C607" s="2" t="inlineStr">
        <is>
          <t>F</t>
        </is>
      </c>
      <c r="D607" s="2" t="n">
        <v>100</v>
      </c>
      <c r="E607" s="4">
        <f>HYPERLINK("./Results/DLO\20180201_1.3.12.2.1107.5.1.4.54310.30000018020723145868700012997_4_512_512_\Osteo_Sarco_1.png","RPT")</f>
        <v/>
      </c>
      <c r="F607" s="3" t="n">
        <v>107</v>
      </c>
      <c r="G607" s="3" t="n">
        <v>8</v>
      </c>
      <c r="H607" s="7" t="n">
        <v>23.15</v>
      </c>
      <c r="I607" s="0" t="inlineStr">
        <is>
          <t>Sensation 64</t>
        </is>
      </c>
      <c r="J607" s="0" t="inlineStr">
        <is>
          <t>Pre Contrast 3.0 B30f</t>
        </is>
      </c>
      <c r="K607" t="n">
        <v>161</v>
      </c>
      <c r="L607" t="n">
        <v>60</v>
      </c>
      <c r="M607" t="n">
        <v>38.19</v>
      </c>
    </row>
    <row r="608">
      <c r="A608" s="2" t="n">
        <v>6022586</v>
      </c>
      <c r="B608" s="2" t="n">
        <v>57</v>
      </c>
      <c r="C608" s="2" t="inlineStr">
        <is>
          <t>F</t>
        </is>
      </c>
      <c r="D608" s="2" t="n">
        <v>100</v>
      </c>
      <c r="E608" s="4">
        <f>HYPERLINK("./Results/DLO\20180501_1.3.12.2.1107.5.1.4.65253.30000018052118531314100062664_5_512_512_\Osteo_Sarco_1.png","RPT")</f>
        <v/>
      </c>
      <c r="F608" s="3" t="n">
        <v>104</v>
      </c>
      <c r="G608" s="3" t="n">
        <v>7</v>
      </c>
      <c r="H608" s="7" t="n">
        <v>24.52</v>
      </c>
      <c r="I608" s="0" t="inlineStr">
        <is>
          <t>SOMATOM Definition AS</t>
        </is>
      </c>
      <c r="J608" s="0" t="inlineStr">
        <is>
          <t>Arterial Phase 3.0 B30f</t>
        </is>
      </c>
      <c r="K608" t="n">
        <v>159</v>
      </c>
      <c r="L608" t="n">
        <v>62</v>
      </c>
      <c r="M608" t="n">
        <v>38.37</v>
      </c>
    </row>
    <row r="609">
      <c r="A609" s="2" t="n">
        <v>6017649</v>
      </c>
      <c r="B609" s="2" t="n">
        <v>57</v>
      </c>
      <c r="C609" s="2" t="inlineStr">
        <is>
          <t>F</t>
        </is>
      </c>
      <c r="D609" s="2" t="n">
        <v>100</v>
      </c>
      <c r="E609" s="4">
        <f>HYPERLINK("./Results/DLO\20200501_1.2.840.113619.2.416.166532564081695542890484292555781056575_307_512_512_\Osteo_Sarco_1.png","RPT")</f>
        <v/>
      </c>
      <c r="F609" s="3" t="n">
        <v>101</v>
      </c>
      <c r="G609" s="3" t="n">
        <v>8</v>
      </c>
      <c r="H609" s="7" t="n">
        <v>20.63</v>
      </c>
      <c r="I609" s="0" t="inlineStr">
        <is>
          <t>Revolution CT</t>
        </is>
      </c>
      <c r="J609" s="0" t="inlineStr">
        <is>
          <t>ABD</t>
        </is>
      </c>
      <c r="K609" t="n">
        <v>158.3</v>
      </c>
      <c r="L609" t="n">
        <v>51.7</v>
      </c>
      <c r="M609" t="n">
        <v>37.11</v>
      </c>
    </row>
    <row r="610">
      <c r="A610" s="2" t="n">
        <v>5520454</v>
      </c>
      <c r="B610" s="2" t="n">
        <v>57</v>
      </c>
      <c r="C610" s="2" t="inlineStr">
        <is>
          <t>F</t>
        </is>
      </c>
      <c r="D610" s="2" t="n">
        <v>100</v>
      </c>
      <c r="E610" s="4">
        <f>HYPERLINK("./Results/DLO\20180501_1.3.12.2.1107.5.1.4.54310.30000018051323243418700013061_2_512_512_\Osteo_Sarco_1.png","RPT")</f>
        <v/>
      </c>
      <c r="F610" s="3" t="n">
        <v>100</v>
      </c>
      <c r="G610" s="3" t="n">
        <v>14</v>
      </c>
      <c r="H610" s="6" t="n">
        <v>18.8</v>
      </c>
      <c r="I610" s="0" t="inlineStr">
        <is>
          <t>Sensation 64</t>
        </is>
      </c>
      <c r="J610" s="0" t="inlineStr">
        <is>
          <t>With Contrast 3.0 B30f</t>
        </is>
      </c>
      <c r="K610" t="n">
        <v>158.1</v>
      </c>
      <c r="L610" t="n">
        <v>47</v>
      </c>
      <c r="M610" t="n">
        <v>34.41</v>
      </c>
    </row>
    <row r="611">
      <c r="A611" s="2" t="n">
        <v>5062104</v>
      </c>
      <c r="B611" s="2" t="n">
        <v>58</v>
      </c>
      <c r="C611" s="2" t="inlineStr">
        <is>
          <t>F</t>
        </is>
      </c>
      <c r="D611" s="2" t="n">
        <v>100</v>
      </c>
      <c r="E611" s="4">
        <f>HYPERLINK("./Results/DLO\20180501_1.3.12.2.1107.5.1.4.65253.30000018052821115411400033360_2_512_512_\Osteo_Sarco_1.png","RPT")</f>
        <v/>
      </c>
      <c r="F611" s="3" t="n">
        <v>97</v>
      </c>
      <c r="G611" s="3" t="n">
        <v>8</v>
      </c>
      <c r="H611" s="7" t="n">
        <v>23.87</v>
      </c>
      <c r="I611" s="0" t="inlineStr">
        <is>
          <t>SOMATOM Definition AS</t>
        </is>
      </c>
      <c r="J611" s="0" t="inlineStr">
        <is>
          <t>Pre Contrast 3.0 B30f</t>
        </is>
      </c>
      <c r="K611" t="n">
        <v>141.5</v>
      </c>
      <c r="L611" t="n">
        <v>47.8</v>
      </c>
      <c r="M611" t="n">
        <v>44.45</v>
      </c>
    </row>
    <row r="612">
      <c r="A612" s="2" t="n">
        <v>400017</v>
      </c>
      <c r="B612" s="2" t="n">
        <v>58</v>
      </c>
      <c r="C612" s="2" t="inlineStr">
        <is>
          <t>F</t>
        </is>
      </c>
      <c r="D612" s="2" t="n">
        <v>100</v>
      </c>
      <c r="E612" s="4">
        <f>HYPERLINK("./Results/DLO\20180601_1.3.46.670589.33.1.63663959250418081500001.5290208534671366020_201_512_512_\Osteo_Sarco_1.png","RPT")</f>
        <v/>
      </c>
      <c r="F612" s="3" t="n">
        <v>97</v>
      </c>
      <c r="G612" s="3" t="n">
        <v>7</v>
      </c>
      <c r="H612" s="7" t="n">
        <v>20.96</v>
      </c>
      <c r="I612" s="0" t="inlineStr">
        <is>
          <t>Ingenuity Core 128</t>
        </is>
      </c>
      <c r="J612" s="0" t="inlineStr">
        <is>
          <t>Post 100/236 i3, iDose (3)</t>
        </is>
      </c>
      <c r="K612" t="n">
        <v>156</v>
      </c>
      <c r="L612" t="n">
        <v>51</v>
      </c>
      <c r="M612" t="n">
        <v>36.98</v>
      </c>
    </row>
    <row r="613">
      <c r="A613" s="2" t="n">
        <v>9728951</v>
      </c>
      <c r="B613" s="2" t="n">
        <v>58</v>
      </c>
      <c r="C613" s="2" t="inlineStr">
        <is>
          <t>F</t>
        </is>
      </c>
      <c r="D613" s="2" t="n">
        <v>100</v>
      </c>
      <c r="E613" s="4">
        <f>HYPERLINK("./Results/DLO\20190601_1.2.410.100011.172.16.64.21.6369843152207513842.3_3_512_512_\Osteo_Sarco_1.png","RPT")</f>
        <v/>
      </c>
      <c r="F613" s="3" t="n">
        <v>96</v>
      </c>
      <c r="G613" s="3" t="n">
        <v>10</v>
      </c>
      <c r="H613" s="7" t="n">
        <v>26.83</v>
      </c>
      <c r="I613" s="0" t="inlineStr">
        <is>
          <t>SOMATOM Definition</t>
        </is>
      </c>
      <c r="J613" s="0" t="inlineStr">
        <is>
          <t>ABD P-P 3.0 B30f</t>
        </is>
      </c>
      <c r="K613" t="n">
        <v>152.5</v>
      </c>
      <c r="L613" t="n">
        <v>62.4</v>
      </c>
      <c r="M613" t="n">
        <v>36.98</v>
      </c>
    </row>
    <row r="614">
      <c r="A614" s="2" t="n">
        <v>5027496</v>
      </c>
      <c r="B614" s="2" t="n">
        <v>58</v>
      </c>
      <c r="C614" s="2" t="inlineStr">
        <is>
          <t>F</t>
        </is>
      </c>
      <c r="D614" s="2" t="n">
        <v>100</v>
      </c>
      <c r="E614" s="4">
        <f>HYPERLINK("./Results/DLO\20180501_1.2.840.113619.2.311.332186189087386552602880072760527298633_304_512_512_\Osteo_Sarco_1.png","RPT")</f>
        <v/>
      </c>
      <c r="F614" s="3" t="n">
        <v>93</v>
      </c>
      <c r="G614" s="3" t="n">
        <v>11</v>
      </c>
      <c r="H614" s="7" t="n">
        <v>23.63</v>
      </c>
      <c r="I614" s="0" t="inlineStr">
        <is>
          <t>Revolution CT</t>
        </is>
      </c>
      <c r="J614" s="0" t="inlineStr">
        <is>
          <t>ABD 2.5mm</t>
        </is>
      </c>
      <c r="K614" t="n">
        <v>158</v>
      </c>
      <c r="L614" t="n">
        <v>59</v>
      </c>
      <c r="M614" t="n">
        <v>32.85</v>
      </c>
    </row>
    <row r="615">
      <c r="A615" s="2" t="n">
        <v>6032881</v>
      </c>
      <c r="B615" s="2" t="n">
        <v>58</v>
      </c>
      <c r="C615" s="2" t="inlineStr">
        <is>
          <t>F</t>
        </is>
      </c>
      <c r="D615" s="2" t="n">
        <v>100</v>
      </c>
      <c r="E615" s="4">
        <f>HYPERLINK("./Results/DLO\20180501_1.3.46.670589.33.1.63661369567924423500001.5163888679918569933_201_512_512_\Osteo_Sarco_1.png","RPT")</f>
        <v/>
      </c>
      <c r="F615" s="3" t="n">
        <v>91</v>
      </c>
      <c r="G615" s="3" t="n">
        <v>8</v>
      </c>
      <c r="H615" s="7" t="n">
        <v>18.66</v>
      </c>
      <c r="I615" s="0" t="inlineStr">
        <is>
          <t>Ingenuity Core 128</t>
        </is>
      </c>
      <c r="J615" s="0" t="inlineStr">
        <is>
          <t>Post 100/236 i3, iDose (3)</t>
        </is>
      </c>
      <c r="K615" t="n">
        <v>157</v>
      </c>
      <c r="L615" t="n">
        <v>46</v>
      </c>
      <c r="M615" t="n">
        <v>33.67</v>
      </c>
    </row>
    <row r="616">
      <c r="A616" s="2" t="n">
        <v>6738643</v>
      </c>
      <c r="B616" s="2" t="n">
        <v>58</v>
      </c>
      <c r="C616" s="2" t="inlineStr">
        <is>
          <t>F</t>
        </is>
      </c>
      <c r="D616" s="2" t="n">
        <v>100</v>
      </c>
      <c r="E616" s="4">
        <f>HYPERLINK("./Results/DLO\20180601_1.3.12.2.1107.5.1.4.54310.30000018062423352937500007974_2_512_512_\Osteo_Sarco_1.png","RPT")</f>
        <v/>
      </c>
      <c r="F616" s="3" t="n">
        <v>90</v>
      </c>
      <c r="G616" s="3" t="n">
        <v>7</v>
      </c>
      <c r="H616" s="7" t="n">
        <v>19.21</v>
      </c>
      <c r="I616" s="0" t="inlineStr">
        <is>
          <t>Sensation 64</t>
        </is>
      </c>
      <c r="J616" s="0" t="inlineStr">
        <is>
          <t>With Contrast 3.0 B30f</t>
        </is>
      </c>
      <c r="K616" t="n">
        <v>157.9</v>
      </c>
      <c r="L616" t="n">
        <v>47.9</v>
      </c>
      <c r="M616" t="n">
        <v>33.29</v>
      </c>
    </row>
    <row r="617">
      <c r="A617" s="2" t="n">
        <v>8975765</v>
      </c>
      <c r="B617" s="2" t="n">
        <v>58</v>
      </c>
      <c r="C617" s="2" t="inlineStr">
        <is>
          <t>F</t>
        </is>
      </c>
      <c r="D617" s="2" t="n">
        <v>100</v>
      </c>
      <c r="E617" s="4">
        <f>HYPERLINK("./Results/DLO\20180801_1.2.840.113619.2.94.485650834948.2.9014090.19560286.1_2_512_512_\Osteo_Sarco_1.png","RPT")</f>
        <v/>
      </c>
      <c r="F617" s="3" t="n">
        <v>89</v>
      </c>
      <c r="G617" s="3" t="n">
        <v>7</v>
      </c>
      <c r="H617" s="7" t="n">
        <v>20.41</v>
      </c>
      <c r="I617" s="0" t="inlineStr">
        <is>
          <t>Sensation 64</t>
        </is>
      </c>
      <c r="J617" s="0" t="inlineStr">
        <is>
          <t>With Contrast 3.0 B30f</t>
        </is>
      </c>
      <c r="K617" t="n">
        <v>154</v>
      </c>
      <c r="L617" t="n">
        <v>48.4</v>
      </c>
      <c r="M617" t="n">
        <v>34.58</v>
      </c>
    </row>
    <row r="618">
      <c r="A618" s="2" t="n">
        <v>8560412</v>
      </c>
      <c r="B618" s="2" t="n">
        <v>58</v>
      </c>
      <c r="C618" s="2" t="inlineStr">
        <is>
          <t>F</t>
        </is>
      </c>
      <c r="D618" s="2" t="n">
        <v>100</v>
      </c>
      <c r="E618" s="4">
        <f>HYPERLINK("./Results/DLO\20180901_1.3.12.2.1107.5.1.4.54310.30000018090923154709300005045_2_512_512_\Osteo_Sarco_1.png","RPT")</f>
        <v/>
      </c>
      <c r="F618" s="3" t="n">
        <v>89</v>
      </c>
      <c r="G618" s="3" t="n">
        <v>8</v>
      </c>
      <c r="H618" s="7" t="n">
        <v>20.81</v>
      </c>
      <c r="I618" s="0" t="inlineStr">
        <is>
          <t>Sensation 64</t>
        </is>
      </c>
      <c r="J618" s="0" t="inlineStr">
        <is>
          <t>With Contrast 3.0 B30f</t>
        </is>
      </c>
      <c r="K618" t="n">
        <v>155</v>
      </c>
      <c r="L618" t="n">
        <v>50</v>
      </c>
      <c r="M618" t="n">
        <v>33.71</v>
      </c>
    </row>
    <row r="619">
      <c r="A619" s="2" t="n">
        <v>9972967</v>
      </c>
      <c r="B619" s="2" t="n">
        <v>58</v>
      </c>
      <c r="C619" s="2" t="inlineStr">
        <is>
          <t>F</t>
        </is>
      </c>
      <c r="D619" s="2" t="n">
        <v>100</v>
      </c>
      <c r="E619" s="4">
        <f>HYPERLINK("./Results/DLO\20200501_1.2.840.113619.2.416.194970229939116807540023958066662443766_307_512_512_\Osteo_Sarco_1.png","RPT")</f>
        <v/>
      </c>
      <c r="F619" s="3" t="n">
        <v>89</v>
      </c>
      <c r="G619" s="3" t="n">
        <v>9</v>
      </c>
      <c r="H619" s="7" t="n">
        <v>20.43</v>
      </c>
      <c r="I619" s="0" t="inlineStr">
        <is>
          <t>Revolution CT</t>
        </is>
      </c>
      <c r="J619" s="0" t="inlineStr">
        <is>
          <t>ABD</t>
        </is>
      </c>
      <c r="K619" t="n">
        <v>158</v>
      </c>
      <c r="L619" t="n">
        <v>51</v>
      </c>
      <c r="M619" t="n">
        <v>32.05</v>
      </c>
    </row>
    <row r="620">
      <c r="A620" s="2" t="n">
        <v>11290398</v>
      </c>
      <c r="B620" s="2" t="n">
        <v>58</v>
      </c>
      <c r="C620" s="2" t="inlineStr">
        <is>
          <t>F</t>
        </is>
      </c>
      <c r="D620" s="2" t="n">
        <v>100</v>
      </c>
      <c r="E620" s="4">
        <f>HYPERLINK("./Results/DLO\20190101_1.3.12.2.1107.5.1.4.54310.30000019010200054464000005359_2_512_512_\Osteo_Sarco_1.png","RPT")</f>
        <v/>
      </c>
      <c r="F620" s="3" t="n">
        <v>84</v>
      </c>
      <c r="G620" s="3" t="n">
        <v>10</v>
      </c>
      <c r="H620" s="7" t="n">
        <v>17</v>
      </c>
      <c r="I620" s="0" t="inlineStr">
        <is>
          <t>Sensation 64</t>
        </is>
      </c>
      <c r="J620" s="0" t="inlineStr">
        <is>
          <t>With Contrast 3.0 B30f</t>
        </is>
      </c>
      <c r="K620" t="n">
        <v>163.4</v>
      </c>
      <c r="L620" t="n">
        <v>45.4</v>
      </c>
      <c r="M620" t="n">
        <v>27.72</v>
      </c>
    </row>
    <row r="621">
      <c r="A621" s="2" t="n">
        <v>5872661</v>
      </c>
      <c r="B621" s="2" t="n">
        <v>58</v>
      </c>
      <c r="C621" s="2" t="inlineStr">
        <is>
          <t>M</t>
        </is>
      </c>
      <c r="D621" s="2" t="n">
        <v>100</v>
      </c>
      <c r="E621" s="4">
        <f>HYPERLINK("./Results/DLO\20190801_1.3.46.670589.33.1.63700334636400407200001.5615272364003759354_201_512_512_\Osteo_Sarco_1.png","RPT")</f>
        <v/>
      </c>
      <c r="F621" s="3" t="n">
        <v>203</v>
      </c>
      <c r="G621" s="3" t="n">
        <v>13</v>
      </c>
      <c r="H621" s="7" t="n">
        <v>28.87</v>
      </c>
      <c r="I621" s="0" t="inlineStr">
        <is>
          <t>Ingenuity Core 128</t>
        </is>
      </c>
      <c r="J621" s="0" t="inlineStr">
        <is>
          <t>Post 3mm, iDose (3)</t>
        </is>
      </c>
      <c r="K621" t="n">
        <v>179</v>
      </c>
      <c r="L621" t="n">
        <v>92.5</v>
      </c>
      <c r="M621" t="n">
        <v>59.3</v>
      </c>
    </row>
    <row r="622">
      <c r="A622" s="2" t="n">
        <v>8694818</v>
      </c>
      <c r="B622" s="2" t="n">
        <v>58</v>
      </c>
      <c r="C622" s="2" t="inlineStr">
        <is>
          <t>M</t>
        </is>
      </c>
      <c r="D622" s="2" t="n">
        <v>100</v>
      </c>
      <c r="E622" s="4">
        <f>HYPERLINK("./Results/DLO\20200101_1.3.46.670589.33.1.63714847421033277000001.5484098004990873855_201_512_512_\Osteo_Sarco_1.png","RPT")</f>
        <v/>
      </c>
      <c r="F622" s="3" t="n">
        <v>199</v>
      </c>
      <c r="G622" s="3" t="n">
        <v>11</v>
      </c>
      <c r="H622" s="7" t="n">
        <v>27.13</v>
      </c>
      <c r="I622" s="0" t="inlineStr">
        <is>
          <t>Ingenuity Core 128</t>
        </is>
      </c>
      <c r="J622" s="0" t="inlineStr">
        <is>
          <t>Post 3mm, iDose (3)</t>
        </is>
      </c>
      <c r="K622" t="n">
        <v>177</v>
      </c>
      <c r="L622" t="n">
        <v>85</v>
      </c>
      <c r="M622" t="n">
        <v>60.01</v>
      </c>
    </row>
    <row r="623">
      <c r="A623" s="2" t="n">
        <v>2299542</v>
      </c>
      <c r="B623" s="2" t="n">
        <v>58</v>
      </c>
      <c r="C623" s="2" t="inlineStr">
        <is>
          <t>M</t>
        </is>
      </c>
      <c r="D623" s="2" t="n">
        <v>100</v>
      </c>
      <c r="E623" s="4">
        <f>HYPERLINK("./Results/DLO\20190301_1.3.46.670589.33.1.63687379407990004100001.5196155857973664468_201_512_512_\Osteo_Sarco_1.png","RPT")</f>
        <v/>
      </c>
      <c r="F623" s="3" t="n">
        <v>194</v>
      </c>
      <c r="G623" s="3" t="n">
        <v>9</v>
      </c>
      <c r="H623" s="7" t="n">
        <v>24.6</v>
      </c>
      <c r="I623" s="0" t="inlineStr">
        <is>
          <t>Ingenuity Core 128</t>
        </is>
      </c>
      <c r="J623" s="0" t="inlineStr">
        <is>
          <t>Post 3mm, iDose (3)</t>
        </is>
      </c>
      <c r="K623" t="n">
        <v>171.9</v>
      </c>
      <c r="L623" t="n">
        <v>72.7</v>
      </c>
      <c r="M623" t="n">
        <v>62.61</v>
      </c>
    </row>
    <row r="624">
      <c r="A624" s="2" t="n">
        <v>8624315</v>
      </c>
      <c r="B624" s="2" t="n">
        <v>58</v>
      </c>
      <c r="C624" s="2" t="inlineStr">
        <is>
          <t>M</t>
        </is>
      </c>
      <c r="D624" s="2" t="n">
        <v>100</v>
      </c>
      <c r="E624" s="4">
        <f>HYPERLINK("./Results/DLO\20180301_1.2.840.113619.2.311.2473561051800056176432592307189900881_304_512_512_\Osteo_Sarco_1.png","RPT")</f>
        <v/>
      </c>
      <c r="F624" s="3" t="n">
        <v>192</v>
      </c>
      <c r="G624" s="3" t="n">
        <v>7</v>
      </c>
      <c r="H624" s="6" t="n">
        <v>29.75</v>
      </c>
      <c r="I624" s="0" t="inlineStr">
        <is>
          <t>Revolution CT</t>
        </is>
      </c>
      <c r="J624" s="0" t="inlineStr">
        <is>
          <t>ABD 2.5mm</t>
        </is>
      </c>
      <c r="K624" t="n">
        <v>172</v>
      </c>
      <c r="L624" t="n">
        <v>88</v>
      </c>
      <c r="M624" t="n">
        <v>62.53</v>
      </c>
    </row>
    <row r="625">
      <c r="A625" s="2" t="n">
        <v>8845110</v>
      </c>
      <c r="B625" s="2" t="n">
        <v>58</v>
      </c>
      <c r="C625" s="2" t="inlineStr">
        <is>
          <t>M</t>
        </is>
      </c>
      <c r="D625" s="2" t="n">
        <v>100</v>
      </c>
      <c r="E625" s="4">
        <f>HYPERLINK("./Results/DLO\20190901_1.3.12.2.1107.5.1.4.54310.30000019090121244076500013208_2_512_512_\Osteo_Sarco_1.png","RPT")</f>
        <v/>
      </c>
      <c r="F625" s="3" t="n">
        <v>191</v>
      </c>
      <c r="G625" s="3" t="n">
        <v>8</v>
      </c>
      <c r="H625" s="7" t="n">
        <v>28</v>
      </c>
      <c r="I625" s="0" t="inlineStr">
        <is>
          <t>Sensation 64</t>
        </is>
      </c>
      <c r="J625" s="0" t="inlineStr">
        <is>
          <t>Pre Contrast 3.0 B30f</t>
        </is>
      </c>
      <c r="K625" t="n">
        <v>166.9</v>
      </c>
      <c r="L625" t="n">
        <v>78</v>
      </c>
      <c r="M625" t="n">
        <v>65.7</v>
      </c>
    </row>
    <row r="626">
      <c r="A626" s="2" t="n">
        <v>6744188</v>
      </c>
      <c r="B626" s="2" t="n">
        <v>58</v>
      </c>
      <c r="C626" s="2" t="inlineStr">
        <is>
          <t>M</t>
        </is>
      </c>
      <c r="D626" s="2" t="n">
        <v>100</v>
      </c>
      <c r="E626" s="4">
        <f>HYPERLINK("./Results/DLO\20191101_1.3.46.670589.33.1.63709839613928418900001.4910478049676773131_201_512_512_\Osteo_Sarco_1.png","RPT")</f>
        <v/>
      </c>
      <c r="F626" s="3" t="n">
        <v>174</v>
      </c>
      <c r="G626" s="3" t="n">
        <v>8</v>
      </c>
      <c r="H626" s="7" t="n">
        <v>26.22</v>
      </c>
      <c r="I626" s="0" t="inlineStr">
        <is>
          <t>Ingenuity Core 128</t>
        </is>
      </c>
      <c r="J626" s="0" t="inlineStr">
        <is>
          <t>Post 3mm, iDose (3)</t>
        </is>
      </c>
      <c r="K626" t="n">
        <v>168</v>
      </c>
      <c r="L626" t="n">
        <v>74</v>
      </c>
      <c r="M626" t="n">
        <v>58.82</v>
      </c>
    </row>
    <row r="627">
      <c r="A627" s="2" t="n">
        <v>5081344</v>
      </c>
      <c r="B627" s="2" t="n">
        <v>58</v>
      </c>
      <c r="C627" s="2" t="inlineStr">
        <is>
          <t>M</t>
        </is>
      </c>
      <c r="D627" s="2" t="n">
        <v>100</v>
      </c>
      <c r="E627" s="4">
        <f>HYPERLINK("./Results/DLO\20180701_1.3.12.2.1107.5.1.4.54310.30000018070523140267100006034_2_512_512_\Osteo_Sarco_1.png","RPT")</f>
        <v/>
      </c>
      <c r="F627" s="3" t="n">
        <v>172</v>
      </c>
      <c r="G627" s="3" t="n">
        <v>12</v>
      </c>
      <c r="H627" s="7" t="n">
        <v>24.56</v>
      </c>
      <c r="I627" s="0" t="inlineStr">
        <is>
          <t>Sensation 64</t>
        </is>
      </c>
      <c r="J627" s="0" t="inlineStr">
        <is>
          <t>With Contrast 3.0 B30f</t>
        </is>
      </c>
      <c r="K627" t="n">
        <v>174.4</v>
      </c>
      <c r="L627" t="n">
        <v>74.7</v>
      </c>
      <c r="M627" t="n">
        <v>52.6</v>
      </c>
    </row>
    <row r="628">
      <c r="A628" s="2" t="n">
        <v>8739848</v>
      </c>
      <c r="B628" s="2" t="n">
        <v>58</v>
      </c>
      <c r="C628" s="2" t="inlineStr">
        <is>
          <t>M</t>
        </is>
      </c>
      <c r="D628" s="2" t="n">
        <v>100</v>
      </c>
      <c r="E628" s="4">
        <f>HYPERLINK("./Results/DLO\20181001_1.3.46.670589.33.1.63674761925064235500001.4848328252025860643_201_512_512_\Osteo_Sarco_1.png","RPT")</f>
        <v/>
      </c>
      <c r="F628" s="3" t="n">
        <v>170</v>
      </c>
      <c r="G628" s="3" t="n">
        <v>21</v>
      </c>
      <c r="H628" s="7" t="n">
        <v>24.15</v>
      </c>
      <c r="I628" s="0" t="inlineStr">
        <is>
          <t>Ingenuity Core 128</t>
        </is>
      </c>
      <c r="J628" s="0" t="inlineStr">
        <is>
          <t>Post 100/236 i3, iDose (3)</t>
        </is>
      </c>
      <c r="K628" t="n">
        <v>182</v>
      </c>
      <c r="L628" t="n">
        <v>80</v>
      </c>
      <c r="M628" t="n">
        <v>44.98</v>
      </c>
    </row>
    <row r="629">
      <c r="A629" s="2" t="n">
        <v>5481149</v>
      </c>
      <c r="B629" s="2" t="n">
        <v>58</v>
      </c>
      <c r="C629" s="2" t="inlineStr">
        <is>
          <t>M</t>
        </is>
      </c>
      <c r="D629" s="2" t="n">
        <v>100</v>
      </c>
      <c r="E629" s="4">
        <f>HYPERLINK("./Results/DLO\20180801_1.3.12.2.1107.5.1.4.65253.30000018081621120209200024257_3_512_512_\Osteo_Sarco_1.png","RPT")</f>
        <v/>
      </c>
      <c r="F629" s="3" t="n">
        <v>168</v>
      </c>
      <c r="G629" s="3" t="n">
        <v>10</v>
      </c>
      <c r="H629" s="7" t="n">
        <v>25.56</v>
      </c>
      <c r="I629" s="0" t="inlineStr">
        <is>
          <t>SOMATOM Definition AS</t>
        </is>
      </c>
      <c r="J629" s="0" t="inlineStr">
        <is>
          <t>Post Contrast 3.0 B30f</t>
        </is>
      </c>
      <c r="K629" t="n">
        <v>178</v>
      </c>
      <c r="L629" t="n">
        <v>81</v>
      </c>
      <c r="M629" t="n">
        <v>49.87</v>
      </c>
    </row>
    <row r="630">
      <c r="A630" s="2" t="n">
        <v>10011634</v>
      </c>
      <c r="B630" s="2" t="n">
        <v>58</v>
      </c>
      <c r="C630" s="2" t="inlineStr">
        <is>
          <t>M</t>
        </is>
      </c>
      <c r="D630" s="2" t="n">
        <v>100</v>
      </c>
      <c r="E630" s="4">
        <f>HYPERLINK("./Results/DLO\20200601_1.2.410.100011.172.24.16.220.6372782620421900382.2_2_512_512_\Osteo_Sarco_1.png","RPT")</f>
        <v/>
      </c>
      <c r="F630" s="3" t="n">
        <v>163</v>
      </c>
      <c r="G630" s="3" t="n">
        <v>8</v>
      </c>
      <c r="H630" s="7" t="n">
        <v>28.36</v>
      </c>
      <c r="I630" s="0" t="inlineStr">
        <is>
          <t>SOMATOM Definition AS</t>
        </is>
      </c>
      <c r="J630" s="0" t="inlineStr">
        <is>
          <t>Pre 3.0 I40f 2</t>
        </is>
      </c>
      <c r="K630" t="n">
        <v>169</v>
      </c>
      <c r="L630" t="n">
        <v>81</v>
      </c>
      <c r="M630" t="n">
        <v>54.27</v>
      </c>
    </row>
    <row r="631">
      <c r="A631" s="2" t="n">
        <v>9009940</v>
      </c>
      <c r="B631" s="2" t="n">
        <v>58</v>
      </c>
      <c r="C631" s="2" t="inlineStr">
        <is>
          <t>M</t>
        </is>
      </c>
      <c r="D631" s="2" t="n">
        <v>100</v>
      </c>
      <c r="E631" s="4">
        <f>HYPERLINK("./Results/DLO\20180101_1.2.840.113619.2.416.275192118121543213622361560071275841048_2_512_512_\Osteo_Sarco_1.png","RPT")</f>
        <v/>
      </c>
      <c r="F631" s="3" t="n">
        <v>161</v>
      </c>
      <c r="G631" s="3" t="n">
        <v>12</v>
      </c>
      <c r="H631" s="7" t="n">
        <v>24.77</v>
      </c>
      <c r="I631" s="0" t="inlineStr">
        <is>
          <t>Revolution CT</t>
        </is>
      </c>
      <c r="J631" s="0" t="inlineStr">
        <is>
          <t>POST 2.5mm</t>
        </is>
      </c>
      <c r="K631" t="n">
        <v>179.7</v>
      </c>
      <c r="L631" t="n">
        <v>80</v>
      </c>
      <c r="M631" t="n">
        <v>46.14</v>
      </c>
    </row>
    <row r="632">
      <c r="A632" s="2" t="n">
        <v>8295847</v>
      </c>
      <c r="B632" s="2" t="n">
        <v>58</v>
      </c>
      <c r="C632" s="2" t="inlineStr">
        <is>
          <t>M</t>
        </is>
      </c>
      <c r="D632" s="2" t="n">
        <v>100</v>
      </c>
      <c r="E632" s="4">
        <f>HYPERLINK("./Results/DLO\20190801_1.3.12.2.1107.5.1.4.54310.30000019082722430853100053788_2_512_512_\Osteo_Sarco_1.png","RPT")</f>
        <v/>
      </c>
      <c r="F632" s="3" t="n">
        <v>160</v>
      </c>
      <c r="G632" s="3" t="n">
        <v>10</v>
      </c>
      <c r="H632" s="6" t="n">
        <v>28.62</v>
      </c>
      <c r="I632" s="0" t="inlineStr">
        <is>
          <t>Sensation 64</t>
        </is>
      </c>
      <c r="J632" s="0" t="inlineStr">
        <is>
          <t>ABD Pre 3.0 B30f</t>
        </is>
      </c>
      <c r="K632" t="n">
        <v>163.6</v>
      </c>
      <c r="L632" t="n">
        <v>76.59999999999999</v>
      </c>
      <c r="M632" t="n">
        <v>56.04</v>
      </c>
    </row>
    <row r="633">
      <c r="A633" s="2" t="n">
        <v>5879813</v>
      </c>
      <c r="B633" s="2" t="n">
        <v>58</v>
      </c>
      <c r="C633" s="2" t="inlineStr">
        <is>
          <t>M</t>
        </is>
      </c>
      <c r="D633" s="2" t="n">
        <v>100</v>
      </c>
      <c r="E633" s="4">
        <f>HYPERLINK("./Results/DLO\20200501_1.3.12.2.1107.5.1.4.54310.30000020051422075267100023363_2_512_512_\Osteo_Sarco_1.png","RPT")</f>
        <v/>
      </c>
      <c r="F633" s="3" t="n">
        <v>159</v>
      </c>
      <c r="G633" s="3" t="n">
        <v>3</v>
      </c>
      <c r="H633" s="7" t="n">
        <v>23.81</v>
      </c>
      <c r="I633" s="0" t="inlineStr">
        <is>
          <t>Sensation 64</t>
        </is>
      </c>
      <c r="J633" s="0" t="inlineStr">
        <is>
          <t>With Contrast 3.0 B30f</t>
        </is>
      </c>
      <c r="K633" t="n">
        <v>169</v>
      </c>
      <c r="L633" t="n">
        <v>68</v>
      </c>
      <c r="M633" t="n">
        <v>54.62</v>
      </c>
    </row>
    <row r="634">
      <c r="A634" s="2" t="n">
        <v>8597283</v>
      </c>
      <c r="B634" s="2" t="n">
        <v>58</v>
      </c>
      <c r="C634" s="2" t="inlineStr">
        <is>
          <t>M</t>
        </is>
      </c>
      <c r="D634" s="2" t="n">
        <v>100</v>
      </c>
      <c r="E634" s="4">
        <f>HYPERLINK("./Results/DLO\20181201_1.3.46.670589.33.1.63680375722060177000001.4816676892453297943_201_512_512_\Osteo_Sarco_1.png","RPT")</f>
        <v/>
      </c>
      <c r="F634" s="3" t="n">
        <v>157</v>
      </c>
      <c r="G634" s="3" t="n">
        <v>14</v>
      </c>
      <c r="H634" s="7" t="n">
        <v>28.82</v>
      </c>
      <c r="I634" s="0" t="inlineStr">
        <is>
          <t>Ingenuity Core 128</t>
        </is>
      </c>
      <c r="J634" s="0" t="inlineStr">
        <is>
          <t>Pre 100/107 i4, iDose (4)</t>
        </is>
      </c>
      <c r="K634" t="n">
        <v>169.7</v>
      </c>
      <c r="L634" t="n">
        <v>83</v>
      </c>
      <c r="M634" t="n">
        <v>49.66</v>
      </c>
    </row>
    <row r="635">
      <c r="A635" s="2" t="n">
        <v>6064661</v>
      </c>
      <c r="B635" s="2" t="n">
        <v>58</v>
      </c>
      <c r="C635" s="2" t="inlineStr">
        <is>
          <t>M</t>
        </is>
      </c>
      <c r="D635" s="2" t="n">
        <v>100</v>
      </c>
      <c r="E635" s="4">
        <f>HYPERLINK("./Results/DLO\20190401_1.3.46.670589.33.1.63690403073138457500001.5359722426669552488_601_512_512_\Osteo_Sarco_1.png","RPT")</f>
        <v/>
      </c>
      <c r="F635" s="3" t="n">
        <v>155</v>
      </c>
      <c r="G635" s="3" t="n">
        <v>6</v>
      </c>
      <c r="H635" s="7" t="n">
        <v>23.62</v>
      </c>
      <c r="I635" s="0" t="inlineStr">
        <is>
          <t>Ingenuity Core 128</t>
        </is>
      </c>
      <c r="J635" s="0" t="inlineStr">
        <is>
          <t>Post 3mm, iDose (3)</t>
        </is>
      </c>
      <c r="K635" t="n">
        <v>162</v>
      </c>
      <c r="L635" t="n">
        <v>62</v>
      </c>
      <c r="M635" t="n">
        <v>56.77</v>
      </c>
    </row>
    <row r="636">
      <c r="A636" s="2" t="n">
        <v>5405233</v>
      </c>
      <c r="B636" s="2" t="n">
        <v>58</v>
      </c>
      <c r="C636" s="2" t="inlineStr">
        <is>
          <t>M</t>
        </is>
      </c>
      <c r="D636" s="2" t="n">
        <v>100</v>
      </c>
      <c r="E636" s="4">
        <f>HYPERLINK("./Results/DLO\20190401_1.3.12.2.1107.5.1.4.65253.30000019041520001469200058763_2_512_512_\Osteo_Sarco_1.png","RPT")</f>
        <v/>
      </c>
      <c r="F636" s="3" t="n">
        <v>154</v>
      </c>
      <c r="G636" s="3" t="n">
        <v>6</v>
      </c>
      <c r="H636" s="7" t="n">
        <v>25.61</v>
      </c>
      <c r="I636" s="0" t="inlineStr">
        <is>
          <t>SOMATOM Definition AS</t>
        </is>
      </c>
      <c r="J636" s="0" t="inlineStr">
        <is>
          <t>With Contrast 3.0 B30f</t>
        </is>
      </c>
      <c r="K636" t="n">
        <v>170.9</v>
      </c>
      <c r="L636" t="n">
        <v>74.8</v>
      </c>
      <c r="M636" t="n">
        <v>50.67</v>
      </c>
    </row>
    <row r="637">
      <c r="A637" s="2" t="n">
        <v>9894125</v>
      </c>
      <c r="B637" s="2" t="n">
        <v>58</v>
      </c>
      <c r="C637" s="2" t="inlineStr">
        <is>
          <t>M</t>
        </is>
      </c>
      <c r="D637" s="2" t="n">
        <v>100</v>
      </c>
      <c r="E637" s="4">
        <f>HYPERLINK("./Results/DLO\20200201_1.3.12.2.1107.5.1.4.65253.30000020020220085805700066934_5_512_512_\Osteo_Sarco_1.png","RPT")</f>
        <v/>
      </c>
      <c r="F637" s="3" t="n">
        <v>153</v>
      </c>
      <c r="G637" s="3" t="n">
        <v>8</v>
      </c>
      <c r="H637" s="7" t="n">
        <v>24.97</v>
      </c>
      <c r="I637" s="0" t="inlineStr">
        <is>
          <t>SOMATOM Definition AS</t>
        </is>
      </c>
      <c r="J637" s="0" t="inlineStr">
        <is>
          <t>Arterial Phase 3.0 B30f</t>
        </is>
      </c>
      <c r="K637" t="n">
        <v>174.1</v>
      </c>
      <c r="L637" t="n">
        <v>75.7</v>
      </c>
      <c r="M637" t="n">
        <v>47.84</v>
      </c>
    </row>
    <row r="638">
      <c r="A638" s="2" t="n">
        <v>9002806</v>
      </c>
      <c r="B638" s="2" t="n">
        <v>58</v>
      </c>
      <c r="C638" s="2" t="inlineStr">
        <is>
          <t>M</t>
        </is>
      </c>
      <c r="D638" s="2" t="n">
        <v>100</v>
      </c>
      <c r="E638" s="4">
        <f>HYPERLINK("./Results/DLO\20180701_1.3.46.670589.33.1.63667679872915102800001.4848591074710443006_201_512_512_\Osteo_Sarco_1.png","RPT")</f>
        <v/>
      </c>
      <c r="F638" s="3" t="n">
        <v>152</v>
      </c>
      <c r="G638" s="3" t="n">
        <v>10</v>
      </c>
      <c r="H638" s="7" t="n">
        <v>25.69</v>
      </c>
      <c r="I638" s="0" t="inlineStr">
        <is>
          <t>Ingenuity Core 128</t>
        </is>
      </c>
      <c r="J638" s="0" t="inlineStr">
        <is>
          <t>Post 100/236 i3, iDose (3)</t>
        </is>
      </c>
      <c r="K638" t="n">
        <v>172</v>
      </c>
      <c r="L638" t="n">
        <v>76</v>
      </c>
      <c r="M638" t="n">
        <v>48</v>
      </c>
    </row>
    <row r="639">
      <c r="A639" s="2" t="n">
        <v>5604740</v>
      </c>
      <c r="B639" s="2" t="n">
        <v>58</v>
      </c>
      <c r="C639" s="2" t="inlineStr">
        <is>
          <t>M</t>
        </is>
      </c>
      <c r="D639" s="2" t="n">
        <v>100</v>
      </c>
      <c r="E639" s="4">
        <f>HYPERLINK("./Results/DLO\20180501_1.2.410.100011.172.16.68.201.6366328081434927551.2_2_512_512_\Osteo_Sarco_1.png","RPT")</f>
        <v/>
      </c>
      <c r="F639" s="3" t="n">
        <v>150</v>
      </c>
      <c r="G639" s="3" t="n">
        <v>9</v>
      </c>
      <c r="H639" s="7" t="n">
        <v>27.34</v>
      </c>
      <c r="I639" s="0" t="inlineStr">
        <is>
          <t>SOMATOM Definition Edge</t>
        </is>
      </c>
      <c r="J639" s="0" t="inlineStr">
        <is>
          <t>Liver Pre 3.0 B40f ax</t>
        </is>
      </c>
      <c r="K639" t="n">
        <v>170</v>
      </c>
      <c r="L639" t="n">
        <v>79</v>
      </c>
      <c r="M639" t="n">
        <v>48.79</v>
      </c>
    </row>
    <row r="640">
      <c r="A640" s="2" t="n">
        <v>8330346</v>
      </c>
      <c r="B640" s="2" t="n">
        <v>58</v>
      </c>
      <c r="C640" s="2" t="inlineStr">
        <is>
          <t>M</t>
        </is>
      </c>
      <c r="D640" s="2" t="n">
        <v>100</v>
      </c>
      <c r="E640" s="4">
        <f>HYPERLINK("./Results/DLO\20180701_1.3.12.2.1107.5.1.4.54310.30000018070923133301500042769_3_512_512_\Osteo_Sarco_1.png","RPT")</f>
        <v/>
      </c>
      <c r="F640" s="3" t="n">
        <v>150</v>
      </c>
      <c r="G640" s="3" t="n">
        <v>15</v>
      </c>
      <c r="H640" s="7" t="n">
        <v>23.78</v>
      </c>
      <c r="I640" s="0" t="inlineStr">
        <is>
          <t>Sensation 64</t>
        </is>
      </c>
      <c r="J640" s="0" t="inlineStr">
        <is>
          <t>Pre Contrast 3.0 B30f</t>
        </is>
      </c>
      <c r="K640" t="n">
        <v>174</v>
      </c>
      <c r="L640" t="n">
        <v>72</v>
      </c>
      <c r="M640" t="n">
        <v>44.59</v>
      </c>
    </row>
    <row r="641">
      <c r="A641" s="2" t="n">
        <v>5764905</v>
      </c>
      <c r="B641" s="2" t="n">
        <v>58</v>
      </c>
      <c r="C641" s="2" t="inlineStr">
        <is>
          <t>M</t>
        </is>
      </c>
      <c r="D641" s="2" t="n">
        <v>100</v>
      </c>
      <c r="E641" s="4">
        <f>HYPERLINK("./Results/DLO\20180601_1.3.12.2.1107.5.1.4.54310.30000018060723034957800030770_2_512_512_\Osteo_Sarco_1.png","RPT")</f>
        <v/>
      </c>
      <c r="F641" s="3" t="n">
        <v>146</v>
      </c>
      <c r="G641" s="3" t="n">
        <v>8</v>
      </c>
      <c r="H641" s="7" t="n">
        <v>18.79</v>
      </c>
      <c r="I641" s="0" t="inlineStr">
        <is>
          <t>Sensation 64</t>
        </is>
      </c>
      <c r="J641" s="0" t="inlineStr">
        <is>
          <t>With Contrast 3.0 B30f</t>
        </is>
      </c>
      <c r="K641" t="n">
        <v>172.4</v>
      </c>
      <c r="L641" t="n">
        <v>55.86</v>
      </c>
      <c r="M641" t="n">
        <v>46.43</v>
      </c>
    </row>
    <row r="642">
      <c r="A642" s="2" t="n">
        <v>9963566</v>
      </c>
      <c r="B642" s="2" t="n">
        <v>58</v>
      </c>
      <c r="C642" s="2" t="inlineStr">
        <is>
          <t>M</t>
        </is>
      </c>
      <c r="D642" s="2" t="n">
        <v>100</v>
      </c>
      <c r="E642" s="4">
        <f>HYPERLINK("./Results/DLO\20200401_1.3.12.2.1107.5.1.4.54310.30000020041921220792100020118_6_512_512_\Osteo_Sarco_1.png","RPT")</f>
        <v/>
      </c>
      <c r="F642" s="3" t="n">
        <v>144</v>
      </c>
      <c r="G642" s="3" t="n">
        <v>5</v>
      </c>
      <c r="H642" s="6" t="n">
        <v>25.44</v>
      </c>
      <c r="I642" s="0" t="inlineStr">
        <is>
          <t>Sensation 64</t>
        </is>
      </c>
      <c r="J642" s="0" t="inlineStr">
        <is>
          <t>Portal 3.0 B30f</t>
        </is>
      </c>
      <c r="K642" t="n">
        <v>172.5</v>
      </c>
      <c r="L642" t="n">
        <v>75.7</v>
      </c>
      <c r="M642" t="n">
        <v>46.71</v>
      </c>
    </row>
    <row r="643">
      <c r="A643" s="2" t="n">
        <v>5029208</v>
      </c>
      <c r="B643" s="2" t="n">
        <v>58</v>
      </c>
      <c r="C643" s="2" t="inlineStr">
        <is>
          <t>F</t>
        </is>
      </c>
      <c r="D643" s="2" t="n">
        <v>100</v>
      </c>
      <c r="E643" s="4">
        <f>HYPERLINK("./Results/DLO\20190401_1.2.840.113619.2.311.163656565099751939903456777616832754443_304_512_512_\Osteo_Sarco_1.png","RPT")</f>
        <v/>
      </c>
      <c r="F643" s="3" t="n">
        <v>138</v>
      </c>
      <c r="G643" s="3" t="n">
        <v>14</v>
      </c>
      <c r="H643" s="6" t="n">
        <v>26.56</v>
      </c>
      <c r="I643" s="0" t="inlineStr">
        <is>
          <t>Revolution CT</t>
        </is>
      </c>
      <c r="J643" s="0" t="inlineStr">
        <is>
          <t>ABD 2.5mm</t>
        </is>
      </c>
      <c r="K643" t="n">
        <v>160</v>
      </c>
      <c r="L643" t="n">
        <v>68</v>
      </c>
      <c r="M643" t="n">
        <v>48.44</v>
      </c>
    </row>
    <row r="644">
      <c r="A644" s="2" t="n">
        <v>2596661</v>
      </c>
      <c r="B644" s="2" t="n">
        <v>58</v>
      </c>
      <c r="C644" s="2" t="inlineStr">
        <is>
          <t>M</t>
        </is>
      </c>
      <c r="D644" s="2" t="n">
        <v>100</v>
      </c>
      <c r="E644" s="4">
        <f>HYPERLINK("./Results/DLO\20180501_1.3.12.2.1107.5.1.4.54310.30000018052923310892100000838_2_512_512_\Osteo_Sarco_1.png","RPT")</f>
        <v/>
      </c>
      <c r="F644" s="3" t="n">
        <v>135</v>
      </c>
      <c r="G644" s="3" t="n">
        <v>4</v>
      </c>
      <c r="H644" s="7" t="n">
        <v>19.59</v>
      </c>
      <c r="I644" s="0" t="inlineStr">
        <is>
          <t>Sensation 64</t>
        </is>
      </c>
      <c r="J644" s="0" t="inlineStr">
        <is>
          <t>With Contrast 3.0 B30f</t>
        </is>
      </c>
      <c r="K644" t="n">
        <v>175</v>
      </c>
      <c r="L644" t="n">
        <v>60</v>
      </c>
      <c r="M644" t="n">
        <v>42.78</v>
      </c>
    </row>
    <row r="645">
      <c r="A645" s="2" t="n">
        <v>8898064</v>
      </c>
      <c r="B645" s="2" t="n">
        <v>58</v>
      </c>
      <c r="C645" s="2" t="inlineStr">
        <is>
          <t>M</t>
        </is>
      </c>
      <c r="D645" s="2" t="n">
        <v>100</v>
      </c>
      <c r="E645" s="4">
        <f>HYPERLINK("./Results/DLO\20180301_1.3.12.2.1107.5.1.4.54310.30000018031323122990600014503_2_512_512_\Osteo_Sarco_1.png","RPT")</f>
        <v/>
      </c>
      <c r="F645" s="3" t="n">
        <v>134</v>
      </c>
      <c r="G645" s="3" t="n">
        <v>5</v>
      </c>
      <c r="H645" s="7" t="n">
        <v>18.91</v>
      </c>
      <c r="I645" s="0" t="inlineStr">
        <is>
          <t>Sensation 64</t>
        </is>
      </c>
      <c r="J645" s="0" t="inlineStr">
        <is>
          <t>With Contrast 3.0 B30f</t>
        </is>
      </c>
      <c r="K645" t="n">
        <v>159</v>
      </c>
      <c r="L645" t="n">
        <v>47.8</v>
      </c>
      <c r="M645" t="n">
        <v>51.03</v>
      </c>
    </row>
    <row r="646">
      <c r="A646" s="2" t="n">
        <v>5360460</v>
      </c>
      <c r="B646" s="2" t="n">
        <v>58</v>
      </c>
      <c r="C646" s="2" t="inlineStr">
        <is>
          <t>M</t>
        </is>
      </c>
      <c r="D646" s="2" t="n">
        <v>100</v>
      </c>
      <c r="E646" s="4">
        <f>HYPERLINK("./Results/DLO\20180701_1.3.46.670589.33.1.63666467351828549200001.5222483228686862995_301_512_512_\Osteo_Sarco_1.png","RPT")</f>
        <v/>
      </c>
      <c r="F646" s="3" t="n">
        <v>120</v>
      </c>
      <c r="G646" s="3" t="n">
        <v>8</v>
      </c>
      <c r="H646" s="7" t="n">
        <v>25.47</v>
      </c>
      <c r="I646" s="0" t="inlineStr">
        <is>
          <t>Ingenuity Core 128</t>
        </is>
      </c>
      <c r="J646" s="0" t="inlineStr">
        <is>
          <t>Post 100/236 i3, iDose (3)</t>
        </is>
      </c>
      <c r="K646" t="n">
        <v>167.2</v>
      </c>
      <c r="L646" t="n">
        <v>71.2</v>
      </c>
      <c r="M646" t="n">
        <v>40.06</v>
      </c>
    </row>
    <row r="647">
      <c r="A647" s="2" t="n">
        <v>9606568</v>
      </c>
      <c r="B647" s="2" t="n">
        <v>58</v>
      </c>
      <c r="C647" s="2" t="inlineStr">
        <is>
          <t>F</t>
        </is>
      </c>
      <c r="D647" s="2" t="n">
        <v>100</v>
      </c>
      <c r="E647" s="4">
        <f>HYPERLINK("./Results/DLO\20190301_1.2.840.113619.2.311.1081545390122300537118693958127065218_304_512_512_\Osteo_Sarco_1.png","RPT")</f>
        <v/>
      </c>
      <c r="F647" s="3" t="n">
        <v>120</v>
      </c>
      <c r="G647" s="3" t="n">
        <v>8</v>
      </c>
      <c r="H647" s="7" t="n">
        <v>24.91</v>
      </c>
      <c r="I647" s="0" t="inlineStr">
        <is>
          <t>Revolution CT</t>
        </is>
      </c>
      <c r="J647" s="0" t="inlineStr">
        <is>
          <t>ABD 2.5mm</t>
        </is>
      </c>
      <c r="K647" t="n">
        <v>159.9</v>
      </c>
      <c r="L647" t="n">
        <v>63.7</v>
      </c>
      <c r="M647" t="n">
        <v>43.8</v>
      </c>
    </row>
    <row r="648">
      <c r="A648" s="2" t="n">
        <v>3585485</v>
      </c>
      <c r="B648" s="2" t="n">
        <v>58</v>
      </c>
      <c r="C648" s="2" t="inlineStr">
        <is>
          <t>F</t>
        </is>
      </c>
      <c r="D648" s="2" t="n">
        <v>100</v>
      </c>
      <c r="E648" s="4">
        <f>HYPERLINK("./Results/DLO\20190901_1.2.840.113619.2.416.14852211782325477869458551585700489950_310_512_512_\Osteo_Sarco_1.png","RPT")</f>
        <v/>
      </c>
      <c r="F648" s="3" t="n">
        <v>118</v>
      </c>
      <c r="G648" s="3" t="n">
        <v>6</v>
      </c>
      <c r="H648" s="7" t="n">
        <v>20.83</v>
      </c>
      <c r="I648" s="0" t="inlineStr">
        <is>
          <t>Revolution CT</t>
        </is>
      </c>
      <c r="J648" s="0" t="inlineStr">
        <is>
          <t>ABD</t>
        </is>
      </c>
      <c r="K648" t="n">
        <v>157.7</v>
      </c>
      <c r="L648" t="n">
        <v>51.8</v>
      </c>
      <c r="M648" t="n">
        <v>45.04</v>
      </c>
    </row>
    <row r="649">
      <c r="A649" s="2" t="n">
        <v>9852335</v>
      </c>
      <c r="B649" s="2" t="n">
        <v>58</v>
      </c>
      <c r="C649" s="2" t="inlineStr">
        <is>
          <t>F</t>
        </is>
      </c>
      <c r="D649" s="2" t="n">
        <v>100</v>
      </c>
      <c r="E649" s="4">
        <f>HYPERLINK("./Results/DLO\20191101_1.2.840.113619.2.416.278272186728087961951062854446878500532_310_512_512_\Osteo_Sarco_1.png","RPT")</f>
        <v/>
      </c>
      <c r="F649" s="3" t="n">
        <v>118</v>
      </c>
      <c r="G649" s="3" t="n">
        <v>8</v>
      </c>
      <c r="H649" s="7" t="n">
        <v>24.01</v>
      </c>
      <c r="I649" s="0" t="inlineStr">
        <is>
          <t>Revolution CT</t>
        </is>
      </c>
      <c r="J649" s="0" t="inlineStr">
        <is>
          <t>ABD</t>
        </is>
      </c>
      <c r="K649" t="n">
        <v>150.8</v>
      </c>
      <c r="L649" t="n">
        <v>54.6</v>
      </c>
      <c r="M649" t="n">
        <v>48.37</v>
      </c>
    </row>
    <row r="650">
      <c r="A650" s="2" t="n">
        <v>5793211</v>
      </c>
      <c r="B650" s="2" t="n">
        <v>58</v>
      </c>
      <c r="C650" s="2" t="inlineStr">
        <is>
          <t>F</t>
        </is>
      </c>
      <c r="D650" s="2" t="n">
        <v>100</v>
      </c>
      <c r="E650" s="4">
        <f>HYPERLINK("./Results/DLO\20191101_1.3.12.2.1107.5.1.4.54310.30000019110321144820300082917_7_512_512_\Osteo_Sarco_1.png","RPT")</f>
        <v/>
      </c>
      <c r="F650" s="3" t="n">
        <v>112</v>
      </c>
      <c r="G650" s="3" t="n">
        <v>23</v>
      </c>
      <c r="H650" s="7" t="n">
        <v>25.57</v>
      </c>
      <c r="I650" s="0" t="inlineStr">
        <is>
          <t>Sensation 64</t>
        </is>
      </c>
      <c r="J650" s="0" t="inlineStr">
        <is>
          <t>ABD Contrast 3.0 B30f</t>
        </is>
      </c>
      <c r="K650" t="n">
        <v>158.2</v>
      </c>
      <c r="L650" t="n">
        <v>64</v>
      </c>
      <c r="M650" t="n">
        <v>35.56</v>
      </c>
    </row>
    <row r="651">
      <c r="A651" s="2" t="n">
        <v>5020621</v>
      </c>
      <c r="B651" s="2" t="n">
        <v>58</v>
      </c>
      <c r="C651" s="2" t="inlineStr">
        <is>
          <t>F</t>
        </is>
      </c>
      <c r="D651" s="2" t="n">
        <v>100</v>
      </c>
      <c r="E651" s="4">
        <f>HYPERLINK("./Results/DLO\20180401_1.3.12.2.1107.5.1.4.54310.30000018042623035920300035018_2_512_512_\Osteo_Sarco_1.png","RPT")</f>
        <v/>
      </c>
      <c r="F651" s="3" t="n">
        <v>110</v>
      </c>
      <c r="G651" s="3" t="n">
        <v>9</v>
      </c>
      <c r="H651" s="7" t="n">
        <v>19.96</v>
      </c>
      <c r="I651" s="0" t="inlineStr">
        <is>
          <t>Sensation 64</t>
        </is>
      </c>
      <c r="J651" s="0" t="inlineStr">
        <is>
          <t>With Contrast 3.0 B30f</t>
        </is>
      </c>
      <c r="K651" t="n">
        <v>166</v>
      </c>
      <c r="L651" t="n">
        <v>55</v>
      </c>
      <c r="M651" t="n">
        <v>36.65</v>
      </c>
    </row>
    <row r="652">
      <c r="A652" s="2" t="n">
        <v>6737524</v>
      </c>
      <c r="B652" s="2" t="n">
        <v>58</v>
      </c>
      <c r="C652" s="2" t="inlineStr">
        <is>
          <t>F</t>
        </is>
      </c>
      <c r="D652" s="2" t="n">
        <v>100</v>
      </c>
      <c r="E652" s="4">
        <f>HYPERLINK("./Results/DLO\20190601_1.3.12.2.1107.5.1.4.54310.30000019061722305715600035587_6_512_512_\Osteo_Sarco_1.png","RPT")</f>
        <v/>
      </c>
      <c r="F652" s="3" t="n">
        <v>109</v>
      </c>
      <c r="G652" s="3" t="n">
        <v>13</v>
      </c>
      <c r="H652" s="7" t="n">
        <v>23.17</v>
      </c>
      <c r="I652" s="0" t="inlineStr">
        <is>
          <t>Sensation 64</t>
        </is>
      </c>
      <c r="J652" s="0" t="inlineStr">
        <is>
          <t>ABD Contrast 3.0 B30f</t>
        </is>
      </c>
      <c r="K652" t="n">
        <v>168</v>
      </c>
      <c r="L652" t="n">
        <v>65.40000000000001</v>
      </c>
      <c r="M652" t="n">
        <v>34.01</v>
      </c>
    </row>
    <row r="653">
      <c r="A653" s="2" t="n">
        <v>8543518</v>
      </c>
      <c r="B653" s="2" t="n">
        <v>58</v>
      </c>
      <c r="C653" s="2" t="inlineStr">
        <is>
          <t>F</t>
        </is>
      </c>
      <c r="D653" s="2" t="n">
        <v>100</v>
      </c>
      <c r="E653" s="4">
        <f>HYPERLINK("./Results/DLO\20180101_1.2.840.113619.2.416.299044790564445979846552081968136704404_304_512_512_\Osteo_Sarco_1.png","RPT")</f>
        <v/>
      </c>
      <c r="F653" s="3" t="n">
        <v>107</v>
      </c>
      <c r="G653" s="3" t="n">
        <v>7</v>
      </c>
      <c r="H653" s="6" t="n">
        <v>24.03</v>
      </c>
      <c r="I653" s="0" t="inlineStr">
        <is>
          <t>Revolution CT</t>
        </is>
      </c>
      <c r="J653" s="0" t="inlineStr">
        <is>
          <t>ABD 2.5mm</t>
        </is>
      </c>
      <c r="K653" t="n">
        <v>158</v>
      </c>
      <c r="L653" t="n">
        <v>60</v>
      </c>
      <c r="M653" t="n">
        <v>40.06</v>
      </c>
    </row>
    <row r="654">
      <c r="A654" s="2" t="n">
        <v>6739497</v>
      </c>
      <c r="B654" s="2" t="n">
        <v>58</v>
      </c>
      <c r="C654" s="2" t="inlineStr">
        <is>
          <t>F</t>
        </is>
      </c>
      <c r="D654" s="2" t="n">
        <v>100</v>
      </c>
      <c r="E654" s="4">
        <f>HYPERLINK("./Results/DLO\20180201_1.3.12.2.1107.5.1.4.54310.30000018021323345021800012839_2_512_512_\Osteo_Sarco_1.png","RPT")</f>
        <v/>
      </c>
      <c r="F654" s="3" t="n">
        <v>105</v>
      </c>
      <c r="G654" s="3" t="n">
        <v>7</v>
      </c>
      <c r="H654" s="7" t="n">
        <v>22.51</v>
      </c>
      <c r="I654" s="0" t="inlineStr">
        <is>
          <t>Sensation 64</t>
        </is>
      </c>
      <c r="J654" s="0" t="inlineStr">
        <is>
          <t>With Contrast 3.0 B30f</t>
        </is>
      </c>
      <c r="K654" t="n">
        <v>154.3</v>
      </c>
      <c r="L654" t="n">
        <v>53.6</v>
      </c>
      <c r="M654" t="n">
        <v>41.16</v>
      </c>
    </row>
    <row r="655">
      <c r="A655" s="2" t="n">
        <v>9628081</v>
      </c>
      <c r="B655" s="2" t="n">
        <v>58</v>
      </c>
      <c r="C655" s="2" t="inlineStr">
        <is>
          <t>F</t>
        </is>
      </c>
      <c r="D655" s="2" t="n">
        <v>100</v>
      </c>
      <c r="E655" s="4">
        <f>HYPERLINK("./Results/DLO\20190301_1.2.840.113619.2.94.485650834948.2.9486268.20740822.1_2_512_512_\Osteo_Sarco_1.png","RPT")</f>
        <v/>
      </c>
      <c r="F655" s="3" t="n">
        <v>105</v>
      </c>
      <c r="G655" s="3" t="n">
        <v>13</v>
      </c>
      <c r="H655" s="6" t="n">
        <v>24.8</v>
      </c>
      <c r="I655" s="0" t="inlineStr">
        <is>
          <t>Sensation 64</t>
        </is>
      </c>
      <c r="J655" s="0" t="inlineStr">
        <is>
          <t>With Contrast 3.0 B30f</t>
        </is>
      </c>
      <c r="K655" t="n">
        <v>152.4</v>
      </c>
      <c r="L655" t="n">
        <v>57.6</v>
      </c>
      <c r="M655" t="n">
        <v>39.61</v>
      </c>
    </row>
    <row r="656">
      <c r="A656" s="2" t="n">
        <v>6737149</v>
      </c>
      <c r="B656" s="2" t="n">
        <v>58</v>
      </c>
      <c r="C656" s="2" t="inlineStr">
        <is>
          <t>F</t>
        </is>
      </c>
      <c r="D656" s="2" t="n">
        <v>100</v>
      </c>
      <c r="E656" s="4">
        <f>HYPERLINK("./Results/DLO\20190401_1.3.46.670589.33.1.63691005493131479200001.5532986981185921112_201_512_512_\Osteo_Sarco_1.png","RPT")</f>
        <v/>
      </c>
      <c r="F656" s="3" t="n">
        <v>105</v>
      </c>
      <c r="G656" s="3" t="n">
        <v>8</v>
      </c>
      <c r="H656" s="7" t="n">
        <v>23.62</v>
      </c>
      <c r="I656" s="0" t="inlineStr">
        <is>
          <t>Ingenuity Core 128</t>
        </is>
      </c>
      <c r="J656" s="0" t="inlineStr">
        <is>
          <t>Post 3mm, iDose (3)</t>
        </is>
      </c>
      <c r="K656" t="n">
        <v>162</v>
      </c>
      <c r="L656" t="n">
        <v>62</v>
      </c>
      <c r="M656" t="n">
        <v>36.96</v>
      </c>
    </row>
    <row r="657">
      <c r="A657" s="2" t="n">
        <v>5666640</v>
      </c>
      <c r="B657" s="2" t="n">
        <v>58</v>
      </c>
      <c r="C657" s="2" t="inlineStr">
        <is>
          <t>F</t>
        </is>
      </c>
      <c r="D657" s="2" t="n">
        <v>100</v>
      </c>
      <c r="E657" s="4">
        <f>HYPERLINK("./Results/DLO\20180101_1.3.12.2.1107.5.1.4.65253.30000018010221080404900004423_2_512_512_\Osteo_Sarco_1.png","RPT")</f>
        <v/>
      </c>
      <c r="F657" s="3" t="n">
        <v>104</v>
      </c>
      <c r="G657" s="3" t="n">
        <v>10</v>
      </c>
      <c r="H657" s="7" t="n">
        <v>21.18</v>
      </c>
      <c r="I657" s="0" t="inlineStr">
        <is>
          <t>SOMATOM Definition AS</t>
        </is>
      </c>
      <c r="J657" s="0" t="inlineStr">
        <is>
          <t>Pre Contrast 3.0 B40f</t>
        </is>
      </c>
      <c r="K657" t="n">
        <v>153.2</v>
      </c>
      <c r="L657" t="n">
        <v>49.7</v>
      </c>
      <c r="M657" t="n">
        <v>40.05</v>
      </c>
    </row>
    <row r="658">
      <c r="A658" s="2" t="n">
        <v>9742179</v>
      </c>
      <c r="B658" s="2" t="n">
        <v>58</v>
      </c>
      <c r="C658" s="2" t="inlineStr">
        <is>
          <t>F</t>
        </is>
      </c>
      <c r="D658" s="2" t="n">
        <v>100</v>
      </c>
      <c r="E658" s="4">
        <f>HYPERLINK("./Results/DLO\20190701_1.2.840.113619.2.416.6976744883034041937941250016987251467_310_512_512_\Osteo_Sarco_1.png","RPT")</f>
        <v/>
      </c>
      <c r="F658" s="3" t="n">
        <v>104</v>
      </c>
      <c r="G658" s="3" t="n">
        <v>7</v>
      </c>
      <c r="H658" s="7" t="n">
        <v>24.14</v>
      </c>
      <c r="I658" s="0" t="inlineStr">
        <is>
          <t>Revolution CT</t>
        </is>
      </c>
      <c r="J658" s="0" t="inlineStr">
        <is>
          <t>ABD</t>
        </is>
      </c>
      <c r="K658" t="n">
        <v>156.2</v>
      </c>
      <c r="L658" t="n">
        <v>58.9</v>
      </c>
      <c r="M658" t="n">
        <v>39.76</v>
      </c>
    </row>
    <row r="659">
      <c r="A659" s="2" t="n">
        <v>8338393</v>
      </c>
      <c r="B659" s="2" t="n">
        <v>58</v>
      </c>
      <c r="C659" s="2" t="inlineStr">
        <is>
          <t>F</t>
        </is>
      </c>
      <c r="D659" s="2" t="n">
        <v>100</v>
      </c>
      <c r="E659" s="4">
        <f>HYPERLINK("./Results/DLO\20180501_1.2.840.113619.2.416.335343522219183779223431816483276944831_303_512_512_\Osteo_Sarco_1.png","RPT")</f>
        <v/>
      </c>
      <c r="F659" s="3" t="n">
        <v>102</v>
      </c>
      <c r="G659" s="3" t="n">
        <v>9</v>
      </c>
      <c r="H659" s="7" t="n">
        <v>20.4</v>
      </c>
      <c r="I659" s="0" t="inlineStr">
        <is>
          <t>Revolution CT</t>
        </is>
      </c>
      <c r="J659" s="0" t="inlineStr">
        <is>
          <t>ABD 2.5mm</t>
        </is>
      </c>
      <c r="K659" t="n">
        <v>161.5</v>
      </c>
      <c r="L659" t="n">
        <v>53.2</v>
      </c>
      <c r="M659" t="n">
        <v>35.66</v>
      </c>
    </row>
    <row r="660">
      <c r="A660" s="2" t="n">
        <v>5631735</v>
      </c>
      <c r="B660" s="2" t="n">
        <v>58</v>
      </c>
      <c r="C660" s="2" t="inlineStr">
        <is>
          <t>F</t>
        </is>
      </c>
      <c r="D660" s="2" t="n">
        <v>100</v>
      </c>
      <c r="E660" s="4">
        <f>HYPERLINK("./Results/DLO\20180801_1.2.840.113619.2.94.485650834948.2.9029683.19598861.1_2_512_512_\Osteo_Sarco_1.png","RPT")</f>
        <v/>
      </c>
      <c r="F660" s="3" t="n">
        <v>100</v>
      </c>
      <c r="G660" s="3" t="n">
        <v>5</v>
      </c>
      <c r="H660" s="7" t="n">
        <v>21.23</v>
      </c>
      <c r="I660" s="0" t="inlineStr">
        <is>
          <t>Sensation 64</t>
        </is>
      </c>
      <c r="J660" s="0" t="inlineStr">
        <is>
          <t>With Contrast 3.0 B30f</t>
        </is>
      </c>
      <c r="K660" t="n">
        <v>158</v>
      </c>
      <c r="L660" t="n">
        <v>53</v>
      </c>
      <c r="M660" t="n">
        <v>38.05</v>
      </c>
    </row>
    <row r="661">
      <c r="A661" s="2" t="n">
        <v>8840514</v>
      </c>
      <c r="B661" s="2" t="n">
        <v>58</v>
      </c>
      <c r="C661" s="2" t="inlineStr">
        <is>
          <t>F</t>
        </is>
      </c>
      <c r="D661" s="2" t="n">
        <v>100</v>
      </c>
      <c r="E661" s="4">
        <f>HYPERLINK("./Results/DLO\20191101_1.3.46.670589.33.1.63709497718164749700001.5378541565072533470_201_512_512_\Osteo_Sarco_1.png","RPT")</f>
        <v/>
      </c>
      <c r="F661" s="3" t="n">
        <v>100</v>
      </c>
      <c r="G661" s="3" t="n">
        <v>8</v>
      </c>
      <c r="H661" s="7" t="n">
        <v>22.19</v>
      </c>
      <c r="I661" s="0" t="inlineStr">
        <is>
          <t>Ingenuity Core 128</t>
        </is>
      </c>
      <c r="J661" s="0" t="inlineStr">
        <is>
          <t>Post 3mm, iDose (3)</t>
        </is>
      </c>
      <c r="K661" t="n">
        <v>156</v>
      </c>
      <c r="L661" t="n">
        <v>54</v>
      </c>
      <c r="M661" t="n">
        <v>37.8</v>
      </c>
    </row>
    <row r="662">
      <c r="A662" s="2" t="n">
        <v>5432554</v>
      </c>
      <c r="B662" s="2" t="n">
        <v>59</v>
      </c>
      <c r="C662" s="2" t="inlineStr">
        <is>
          <t>F</t>
        </is>
      </c>
      <c r="D662" s="2" t="n">
        <v>100</v>
      </c>
      <c r="E662" s="4">
        <f>HYPERLINK("./Results/DLO\20190601_1.3.46.670589.33.1.63696983217397101500001.5476908798405839048_301_512_512_\Osteo_Sarco_1.png","RPT")</f>
        <v/>
      </c>
      <c r="F662" s="3" t="n">
        <v>96</v>
      </c>
      <c r="G662" s="3" t="n">
        <v>5</v>
      </c>
      <c r="H662" s="7" t="n">
        <v>22.11</v>
      </c>
      <c r="I662" s="0" t="inlineStr">
        <is>
          <t>Ingenuity Core 128</t>
        </is>
      </c>
      <c r="J662" s="0" t="inlineStr">
        <is>
          <t>Post 3mm, iDose (3)</t>
        </is>
      </c>
      <c r="K662" t="n">
        <v>155.7</v>
      </c>
      <c r="L662" t="n">
        <v>53.6</v>
      </c>
      <c r="M662" t="n">
        <v>37.54</v>
      </c>
    </row>
    <row r="663">
      <c r="A663" s="2" t="n">
        <v>5324170</v>
      </c>
      <c r="B663" s="2" t="n">
        <v>59</v>
      </c>
      <c r="C663" s="2" t="inlineStr">
        <is>
          <t>F</t>
        </is>
      </c>
      <c r="D663" s="2" t="n">
        <v>100</v>
      </c>
      <c r="E663" s="4">
        <f>HYPERLINK("./Results/DLO\20190501_1.2.840.113619.2.416.210043271202124802820373258883619238686_310_512_512_\Osteo_Sarco_1.png","RPT")</f>
        <v/>
      </c>
      <c r="F663" s="3" t="n">
        <v>95</v>
      </c>
      <c r="G663" s="3" t="n">
        <v>9</v>
      </c>
      <c r="H663" s="7" t="n">
        <v>24.03</v>
      </c>
      <c r="I663" s="0" t="inlineStr">
        <is>
          <t>Revolution CT</t>
        </is>
      </c>
      <c r="J663" s="0" t="inlineStr">
        <is>
          <t>ABD</t>
        </is>
      </c>
      <c r="K663" t="n">
        <v>154</v>
      </c>
      <c r="L663" t="n">
        <v>57</v>
      </c>
      <c r="M663" t="n">
        <v>36.26</v>
      </c>
    </row>
    <row r="664">
      <c r="A664" s="2" t="n">
        <v>8819792</v>
      </c>
      <c r="B664" s="2" t="n">
        <v>59</v>
      </c>
      <c r="C664" s="2" t="inlineStr">
        <is>
          <t>F</t>
        </is>
      </c>
      <c r="D664" s="2" t="n">
        <v>100</v>
      </c>
      <c r="E664" s="4">
        <f>HYPERLINK("./Results/DLO\20200101_1.3.12.2.1107.5.1.4.54310.30000020010821244917100033573_7_512_512_\Osteo_Sarco_1.png","RPT")</f>
        <v/>
      </c>
      <c r="F664" s="3" t="n">
        <v>95</v>
      </c>
      <c r="G664" s="3" t="n">
        <v>13</v>
      </c>
      <c r="H664" s="7" t="n">
        <v>25.22</v>
      </c>
      <c r="I664" s="0" t="inlineStr">
        <is>
          <t>Sensation 64</t>
        </is>
      </c>
      <c r="J664" s="0" t="inlineStr">
        <is>
          <t>ABD 3mm B30f</t>
        </is>
      </c>
      <c r="K664" t="n">
        <v>156.8</v>
      </c>
      <c r="L664" t="n">
        <v>62</v>
      </c>
      <c r="M664" t="n">
        <v>33.35</v>
      </c>
    </row>
    <row r="665">
      <c r="A665" s="2" t="n">
        <v>6367386</v>
      </c>
      <c r="B665" s="2" t="n">
        <v>59</v>
      </c>
      <c r="C665" s="2" t="inlineStr">
        <is>
          <t>F</t>
        </is>
      </c>
      <c r="D665" s="2" t="n">
        <v>100</v>
      </c>
      <c r="E665" s="4">
        <f>HYPERLINK("./Results/DLO\20200101_1.3.46.670589.33.1.63714591519145463100001.4991791082952845464_201_512_512_\Osteo_Sarco_1.png","RPT")</f>
        <v/>
      </c>
      <c r="F665" s="3" t="n">
        <v>95</v>
      </c>
      <c r="G665" s="3" t="n">
        <v>8</v>
      </c>
      <c r="H665" s="7" t="n">
        <v>20.44</v>
      </c>
      <c r="I665" s="0" t="inlineStr">
        <is>
          <t>Ingenuity Core 128</t>
        </is>
      </c>
      <c r="J665" s="0" t="inlineStr">
        <is>
          <t>Post 3mm, iDose (3)</t>
        </is>
      </c>
      <c r="K665" t="n">
        <v>150</v>
      </c>
      <c r="L665" t="n">
        <v>46</v>
      </c>
      <c r="M665" t="n">
        <v>38.67</v>
      </c>
    </row>
    <row r="666">
      <c r="A666" s="2" t="n">
        <v>6040991</v>
      </c>
      <c r="B666" s="2" t="n">
        <v>59</v>
      </c>
      <c r="C666" s="2" t="inlineStr">
        <is>
          <t>F</t>
        </is>
      </c>
      <c r="D666" s="2" t="n">
        <v>100</v>
      </c>
      <c r="E666" s="4">
        <f>HYPERLINK("./Results/DLO\20181201_1.3.46.670589.33.1.63679519230686739700001.5748881010021881409_201_512_512_\Osteo_Sarco_1.png","RPT")</f>
        <v/>
      </c>
      <c r="F666" s="3" t="n">
        <v>94</v>
      </c>
      <c r="G666" s="3" t="n">
        <v>16</v>
      </c>
      <c r="H666" s="7" t="n">
        <v>21.72</v>
      </c>
      <c r="I666" s="0" t="inlineStr">
        <is>
          <t>Ingenuity Core 128</t>
        </is>
      </c>
      <c r="J666" s="0" t="inlineStr">
        <is>
          <t>Post 100/236 i3, iDose (3)</t>
        </is>
      </c>
      <c r="K666" t="n">
        <v>162</v>
      </c>
      <c r="L666" t="n">
        <v>57</v>
      </c>
      <c r="M666" t="n">
        <v>29.72</v>
      </c>
    </row>
    <row r="667">
      <c r="A667" s="2" t="n">
        <v>9520170</v>
      </c>
      <c r="B667" s="2" t="n">
        <v>59</v>
      </c>
      <c r="C667" s="2" t="inlineStr">
        <is>
          <t>F</t>
        </is>
      </c>
      <c r="D667" s="2" t="n">
        <v>100</v>
      </c>
      <c r="E667" s="4">
        <f>HYPERLINK("./Results/DLO\20190101_1.3.46.670589.33.1.63682718295180449600001.4904439648820910448_601_512_512_\Osteo_Sarco_1.png","RPT")</f>
        <v/>
      </c>
      <c r="F667" s="3" t="n">
        <v>94</v>
      </c>
      <c r="G667" s="3" t="n">
        <v>5</v>
      </c>
      <c r="H667" s="7" t="n">
        <v>21.42</v>
      </c>
      <c r="I667" s="0" t="inlineStr">
        <is>
          <t>Ingenuity Core 128</t>
        </is>
      </c>
      <c r="J667" s="0" t="inlineStr">
        <is>
          <t>Post 3mm, iDose (3)</t>
        </is>
      </c>
      <c r="K667" t="n">
        <v>156.4</v>
      </c>
      <c r="L667" t="n">
        <v>52.4</v>
      </c>
      <c r="M667" t="n">
        <v>36.38</v>
      </c>
    </row>
    <row r="668">
      <c r="A668" s="2" t="n">
        <v>5660791</v>
      </c>
      <c r="B668" s="2" t="n">
        <v>59</v>
      </c>
      <c r="C668" s="2" t="inlineStr">
        <is>
          <t>F</t>
        </is>
      </c>
      <c r="D668" s="2" t="n">
        <v>100</v>
      </c>
      <c r="E668" s="4">
        <f>HYPERLINK("./Results/DLO\20190501_1.3.12.2.1107.5.1.4.54310.30000019052021130364000016440_3_512_512_\Osteo_Sarco_1.png","RPT")</f>
        <v/>
      </c>
      <c r="F668" s="3" t="n">
        <v>90</v>
      </c>
      <c r="G668" s="3" t="n">
        <v>6</v>
      </c>
      <c r="H668" s="7" t="n">
        <v>21.83</v>
      </c>
      <c r="I668" s="0" t="inlineStr">
        <is>
          <t>Sensation 64</t>
        </is>
      </c>
      <c r="J668" s="0" t="inlineStr">
        <is>
          <t>With Contrast 3.0 B30f</t>
        </is>
      </c>
      <c r="K668" t="n">
        <v>163</v>
      </c>
      <c r="L668" t="n">
        <v>58</v>
      </c>
      <c r="M668" t="n">
        <v>31.62</v>
      </c>
    </row>
    <row r="669">
      <c r="A669" s="2" t="n">
        <v>8839027</v>
      </c>
      <c r="B669" s="2" t="n">
        <v>59</v>
      </c>
      <c r="C669" s="2" t="inlineStr">
        <is>
          <t>F</t>
        </is>
      </c>
      <c r="D669" s="2" t="n">
        <v>100</v>
      </c>
      <c r="E669" s="4">
        <f>HYPERLINK("./Results/DLO\20190501_1.3.46.670589.33.1.63694632903457526100001.5271536337109449246_201_512_512_\Osteo_Sarco_1.png","RPT")</f>
        <v/>
      </c>
      <c r="F669" s="3" t="n">
        <v>90</v>
      </c>
      <c r="G669" s="3" t="n">
        <v>4</v>
      </c>
      <c r="H669" s="7" t="n">
        <v>20.81</v>
      </c>
      <c r="I669" s="0" t="inlineStr">
        <is>
          <t>Ingenuity Core 128</t>
        </is>
      </c>
      <c r="J669" s="0" t="inlineStr">
        <is>
          <t>Post 3mm, iDose (3)</t>
        </is>
      </c>
      <c r="K669" t="n">
        <v>155</v>
      </c>
      <c r="L669" t="n">
        <v>50</v>
      </c>
      <c r="M669" t="n">
        <v>35.8</v>
      </c>
    </row>
    <row r="670">
      <c r="A670" s="2" t="n">
        <v>6739573</v>
      </c>
      <c r="B670" s="2" t="n">
        <v>59</v>
      </c>
      <c r="C670" s="2" t="inlineStr">
        <is>
          <t>F</t>
        </is>
      </c>
      <c r="D670" s="2" t="n">
        <v>100</v>
      </c>
      <c r="E670" s="4">
        <f>HYPERLINK("./Results/DLO\20180301_1.2.840.113619.2.311.236106390230357474638993407204060608439_304_512_512_\Osteo_Sarco_1.png","RPT")</f>
        <v/>
      </c>
      <c r="F670" s="3" t="n">
        <v>85</v>
      </c>
      <c r="G670" s="3" t="n">
        <v>12</v>
      </c>
      <c r="H670" s="7" t="n">
        <v>21.59</v>
      </c>
      <c r="I670" s="0" t="inlineStr">
        <is>
          <t>Revolution CT</t>
        </is>
      </c>
      <c r="J670" s="0" t="inlineStr">
        <is>
          <t>ABD 2.5mm</t>
        </is>
      </c>
      <c r="K670" t="n">
        <v>154.9</v>
      </c>
      <c r="L670" t="n">
        <v>51.8</v>
      </c>
      <c r="M670" t="n">
        <v>30.42</v>
      </c>
    </row>
    <row r="671">
      <c r="A671" s="2" t="n">
        <v>6743388</v>
      </c>
      <c r="B671" s="2" t="n">
        <v>59</v>
      </c>
      <c r="C671" s="2" t="inlineStr">
        <is>
          <t>M</t>
        </is>
      </c>
      <c r="D671" s="2" t="n">
        <v>100</v>
      </c>
      <c r="E671" s="4">
        <f>HYPERLINK("./Results/DLO\20180401_1.3.46.670589.33.1.63659814021129912800001.5216854516525449480_601_512_512_\Osteo_Sarco_1.png","RPT")</f>
        <v/>
      </c>
      <c r="F671" s="3" t="n">
        <v>198</v>
      </c>
      <c r="G671" s="3" t="n">
        <v>22</v>
      </c>
      <c r="H671" s="7" t="n">
        <v>29.32</v>
      </c>
      <c r="I671" s="0" t="inlineStr">
        <is>
          <t>Ingenuity Core 128</t>
        </is>
      </c>
      <c r="J671" s="0" t="inlineStr">
        <is>
          <t>Post 100/236 i3, iDose (3)</t>
        </is>
      </c>
      <c r="K671" t="n">
        <v>180</v>
      </c>
      <c r="L671" t="n">
        <v>95</v>
      </c>
      <c r="M671" t="n">
        <v>54.32</v>
      </c>
    </row>
    <row r="672">
      <c r="A672" s="2" t="n">
        <v>2144147</v>
      </c>
      <c r="B672" s="2" t="n">
        <v>59</v>
      </c>
      <c r="C672" s="2" t="inlineStr">
        <is>
          <t>M</t>
        </is>
      </c>
      <c r="D672" s="2" t="n">
        <v>100</v>
      </c>
      <c r="E672" s="4">
        <f>HYPERLINK("./Results/DLO\20190701_1.3.12.2.1107.5.1.4.54310.30000019072321271154600005790_3_512_512_\Osteo_Sarco_1.png","RPT")</f>
        <v/>
      </c>
      <c r="F672" s="3" t="n">
        <v>187</v>
      </c>
      <c r="G672" s="3" t="n">
        <v>4</v>
      </c>
      <c r="H672" s="7" t="n">
        <v>23.26</v>
      </c>
      <c r="I672" s="0" t="inlineStr">
        <is>
          <t>Sensation 64</t>
        </is>
      </c>
      <c r="J672" s="0" t="inlineStr">
        <is>
          <t>With Contrast 3.0 B30f</t>
        </is>
      </c>
      <c r="K672" t="n">
        <v>171</v>
      </c>
      <c r="L672" t="n">
        <v>68</v>
      </c>
      <c r="M672" t="n">
        <v>62.58</v>
      </c>
    </row>
    <row r="673">
      <c r="A673" s="2" t="n">
        <v>3362457</v>
      </c>
      <c r="B673" s="2" t="n">
        <v>59</v>
      </c>
      <c r="C673" s="2" t="inlineStr">
        <is>
          <t>M</t>
        </is>
      </c>
      <c r="D673" s="2" t="n">
        <v>100</v>
      </c>
      <c r="E673" s="4">
        <f>HYPERLINK("./Results/DLO\20190201_1.3.46.670589.33.1.63686861451619042400001.5173329365243563580_201_512_512_\Osteo_Sarco_1.png","RPT")</f>
        <v/>
      </c>
      <c r="F673" s="3" t="n">
        <v>175</v>
      </c>
      <c r="G673" s="3" t="n">
        <v>6</v>
      </c>
      <c r="H673" s="7" t="n">
        <v>26.57</v>
      </c>
      <c r="I673" s="0" t="inlineStr">
        <is>
          <t>Ingenuity Core 128</t>
        </is>
      </c>
      <c r="J673" s="0" t="inlineStr">
        <is>
          <t>Post 3mm, iDose (3)</t>
        </is>
      </c>
      <c r="K673" t="n">
        <v>168</v>
      </c>
      <c r="L673" t="n">
        <v>75</v>
      </c>
      <c r="M673" t="n">
        <v>59.88</v>
      </c>
    </row>
    <row r="674">
      <c r="A674" s="2" t="n">
        <v>9763058</v>
      </c>
      <c r="B674" s="2" t="n">
        <v>59</v>
      </c>
      <c r="C674" s="2" t="inlineStr">
        <is>
          <t>M</t>
        </is>
      </c>
      <c r="D674" s="2" t="n">
        <v>100</v>
      </c>
      <c r="E674" s="4">
        <f>HYPERLINK("./Results/DLO\20190801_1.3.12.2.1107.5.1.4.54310.30000019081822233132800039852_6_512_512_\Osteo_Sarco_1.png","RPT")</f>
        <v/>
      </c>
      <c r="F674" s="3" t="n">
        <v>173</v>
      </c>
      <c r="G674" s="3" t="n">
        <v>6</v>
      </c>
      <c r="H674" s="6" t="n">
        <v>30.78</v>
      </c>
      <c r="I674" s="0" t="inlineStr">
        <is>
          <t>Sensation 64</t>
        </is>
      </c>
      <c r="J674" s="0" t="inlineStr">
        <is>
          <t>Portal 3.0 B30f</t>
        </is>
      </c>
      <c r="K674" t="n">
        <v>164.2</v>
      </c>
      <c r="L674" t="n">
        <v>83</v>
      </c>
      <c r="M674" t="n">
        <v>61.94</v>
      </c>
    </row>
    <row r="675">
      <c r="A675" s="2" t="n">
        <v>5023910</v>
      </c>
      <c r="B675" s="2" t="n">
        <v>59</v>
      </c>
      <c r="C675" s="2" t="inlineStr">
        <is>
          <t>M</t>
        </is>
      </c>
      <c r="D675" s="2" t="n">
        <v>100</v>
      </c>
      <c r="E675" s="4">
        <f>HYPERLINK("./Results/DLO\20181201_1.3.46.670589.33.1.63680809166380914400001.5059061118865523852_201_512_512_\Osteo_Sarco_1.png","RPT")</f>
        <v/>
      </c>
      <c r="F675" s="3" t="n">
        <v>172</v>
      </c>
      <c r="G675" s="3" t="n">
        <v>10</v>
      </c>
      <c r="H675" s="7" t="n">
        <v>27.74</v>
      </c>
      <c r="I675" s="0" t="inlineStr">
        <is>
          <t>Ingenuity Core 128</t>
        </is>
      </c>
      <c r="J675" s="0" t="inlineStr">
        <is>
          <t>Post 100/236 i3, iDose (3)</t>
        </is>
      </c>
      <c r="K675" t="n">
        <v>174</v>
      </c>
      <c r="L675" t="n">
        <v>84</v>
      </c>
      <c r="M675" t="n">
        <v>53.51</v>
      </c>
    </row>
    <row r="676">
      <c r="A676" s="2" t="n">
        <v>8704079</v>
      </c>
      <c r="B676" s="2" t="n">
        <v>59</v>
      </c>
      <c r="C676" s="2" t="inlineStr">
        <is>
          <t>M</t>
        </is>
      </c>
      <c r="D676" s="2" t="n">
        <v>100</v>
      </c>
      <c r="E676" s="4">
        <f>HYPERLINK("./Results/DLO\20180101_1.3.46.670589.33.1.63652479944222164600001.5103702319572656725_401_512_512_\Osteo_Sarco_1.png","RPT")</f>
        <v/>
      </c>
      <c r="F676" s="3" t="n">
        <v>166</v>
      </c>
      <c r="G676" s="3" t="n">
        <v>6</v>
      </c>
      <c r="H676" s="7" t="n">
        <v>26.96</v>
      </c>
      <c r="I676" s="0" t="inlineStr">
        <is>
          <t>Ingenuity Core 128</t>
        </is>
      </c>
      <c r="J676" s="0" t="inlineStr">
        <is>
          <t>Post 100/236 i3, iDose (3)</t>
        </is>
      </c>
      <c r="K676" t="n">
        <v>169</v>
      </c>
      <c r="L676" t="n">
        <v>77</v>
      </c>
      <c r="M676" t="n">
        <v>56.02</v>
      </c>
    </row>
    <row r="677">
      <c r="A677" s="2" t="n">
        <v>5918992</v>
      </c>
      <c r="B677" s="2" t="n">
        <v>59</v>
      </c>
      <c r="C677" s="2" t="inlineStr">
        <is>
          <t>M</t>
        </is>
      </c>
      <c r="D677" s="2" t="n">
        <v>100</v>
      </c>
      <c r="E677" s="4">
        <f>HYPERLINK("./Results/DLO\20180401_1.3.12.2.1107.5.1.4.54310.30000018042923092775000010615_3_512_512_\Osteo_Sarco_1.png","RPT")</f>
        <v/>
      </c>
      <c r="F677" s="3" t="n">
        <v>165</v>
      </c>
      <c r="G677" s="3" t="n">
        <v>6</v>
      </c>
      <c r="H677" s="6" t="n">
        <v>27.68</v>
      </c>
      <c r="I677" s="0" t="inlineStr">
        <is>
          <t>Sensation 64</t>
        </is>
      </c>
      <c r="J677" s="0" t="inlineStr">
        <is>
          <t>With Contrast 3.0 B30f</t>
        </is>
      </c>
      <c r="K677" t="n">
        <v>170.1</v>
      </c>
      <c r="L677" t="n">
        <v>80.09999999999999</v>
      </c>
      <c r="M677" t="n">
        <v>54.95</v>
      </c>
    </row>
    <row r="678">
      <c r="A678" s="2" t="n">
        <v>6737680</v>
      </c>
      <c r="B678" s="2" t="n">
        <v>59</v>
      </c>
      <c r="C678" s="2" t="inlineStr">
        <is>
          <t>M</t>
        </is>
      </c>
      <c r="D678" s="2" t="n">
        <v>100</v>
      </c>
      <c r="E678" s="4">
        <f>HYPERLINK("./Results/DLO\20181101_1.3.12.2.1107.5.1.4.54310.30000018112323405271800004064_3_512_512_\Osteo_Sarco_1.png","RPT")</f>
        <v/>
      </c>
      <c r="F678" s="3" t="n">
        <v>162</v>
      </c>
      <c r="G678" s="3" t="n">
        <v>9</v>
      </c>
      <c r="H678" s="6" t="n">
        <v>25.77</v>
      </c>
      <c r="I678" s="0" t="inlineStr">
        <is>
          <t>Sensation 64</t>
        </is>
      </c>
      <c r="J678" s="0" t="inlineStr">
        <is>
          <t>Pre Contrast 3.0 B30f</t>
        </is>
      </c>
      <c r="K678" t="n">
        <v>166</v>
      </c>
      <c r="L678" t="n">
        <v>71</v>
      </c>
      <c r="M678" t="n">
        <v>55.52</v>
      </c>
    </row>
    <row r="679">
      <c r="A679" s="2" t="n">
        <v>1352435</v>
      </c>
      <c r="B679" s="2" t="n">
        <v>59</v>
      </c>
      <c r="C679" s="2" t="inlineStr">
        <is>
          <t>M</t>
        </is>
      </c>
      <c r="D679" s="2" t="n">
        <v>100</v>
      </c>
      <c r="E679" s="4">
        <f>HYPERLINK("./Results/DLO\20180901_1.3.12.2.1107.5.1.4.65253.30000018091320460370100009121_2_512_512_\Osteo_Sarco_1.png","RPT")</f>
        <v/>
      </c>
      <c r="F679" s="3" t="n">
        <v>158</v>
      </c>
      <c r="G679" s="3" t="n">
        <v>9</v>
      </c>
      <c r="H679" s="6" t="n">
        <v>24.91</v>
      </c>
      <c r="I679" s="0" t="inlineStr">
        <is>
          <t>SOMATOM Definition AS</t>
        </is>
      </c>
      <c r="J679" s="0" t="inlineStr">
        <is>
          <t>Pre Contrast 3.0 B30f</t>
        </is>
      </c>
      <c r="K679" t="n">
        <v>170.5</v>
      </c>
      <c r="L679" t="n">
        <v>72.40000000000001</v>
      </c>
      <c r="M679" t="n">
        <v>51.26</v>
      </c>
    </row>
    <row r="680">
      <c r="A680" s="2" t="n">
        <v>8414266</v>
      </c>
      <c r="B680" s="2" t="n">
        <v>59</v>
      </c>
      <c r="C680" s="2" t="inlineStr">
        <is>
          <t>M</t>
        </is>
      </c>
      <c r="D680" s="2" t="n">
        <v>100</v>
      </c>
      <c r="E680" s="4">
        <f>HYPERLINK("./Results/DLO\20190101_1.2.410.100011.172.16.68.202.6368454070287785255.2.3_3_512_512_\Osteo_Sarco_1.png","RPT")</f>
        <v/>
      </c>
      <c r="F680" s="3" t="n">
        <v>154</v>
      </c>
      <c r="G680" s="3" t="n">
        <v>12</v>
      </c>
      <c r="H680" s="6" t="n">
        <v>31.61</v>
      </c>
      <c r="I680" s="0" t="inlineStr">
        <is>
          <t>SOMATOM Definition Flabh</t>
        </is>
      </c>
      <c r="J680" s="0" t="inlineStr">
        <is>
          <t>Pre 4.0 B45f</t>
        </is>
      </c>
      <c r="K680" t="n">
        <v>165.8</v>
      </c>
      <c r="L680" t="n">
        <v>86.90000000000001</v>
      </c>
      <c r="M680" t="n">
        <v>51.66</v>
      </c>
    </row>
    <row r="681">
      <c r="A681" s="2" t="n">
        <v>5252693</v>
      </c>
      <c r="B681" s="2" t="n">
        <v>59</v>
      </c>
      <c r="C681" s="2" t="inlineStr">
        <is>
          <t>M</t>
        </is>
      </c>
      <c r="D681" s="2" t="n">
        <v>100</v>
      </c>
      <c r="E681" s="4">
        <f>HYPERLINK("./Results/DLO\20200601_1.3.46.670589.33.1.63727299134801211300001.4884463995433057719_301_512_512_\Osteo_Sarco_1.png","RPT")</f>
        <v/>
      </c>
      <c r="F681" s="3" t="n">
        <v>153</v>
      </c>
      <c r="G681" s="3" t="n">
        <v>6</v>
      </c>
      <c r="H681" s="7" t="n">
        <v>26.16</v>
      </c>
      <c r="I681" s="0" t="inlineStr">
        <is>
          <t>Ingenuity Core 128</t>
        </is>
      </c>
      <c r="J681" s="0" t="inlineStr">
        <is>
          <t>Post 3mm, iDose (3)</t>
        </is>
      </c>
      <c r="K681" t="n">
        <v>169.2</v>
      </c>
      <c r="L681" t="n">
        <v>74.90000000000001</v>
      </c>
      <c r="M681" t="n">
        <v>51.35</v>
      </c>
    </row>
    <row r="682">
      <c r="A682" s="2" t="n">
        <v>6739917</v>
      </c>
      <c r="B682" s="2" t="n">
        <v>59</v>
      </c>
      <c r="C682" s="2" t="inlineStr">
        <is>
          <t>M</t>
        </is>
      </c>
      <c r="D682" s="2" t="n">
        <v>100</v>
      </c>
      <c r="E682" s="4">
        <f>HYPERLINK("./Results/DLO\20180501_1.2.840.113619.2.416.326068907876675612974272799180227619452_2_512_512_\Osteo_Sarco_1.png","RPT")</f>
        <v/>
      </c>
      <c r="F682" s="3" t="n">
        <v>148</v>
      </c>
      <c r="G682" s="3" t="n">
        <v>7</v>
      </c>
      <c r="H682" s="6" t="n">
        <v>27.49</v>
      </c>
      <c r="I682" s="0" t="inlineStr">
        <is>
          <t>Revolution CT</t>
        </is>
      </c>
      <c r="J682" s="0" t="inlineStr">
        <is>
          <t>Pre</t>
        </is>
      </c>
      <c r="K682" t="n">
        <v>169</v>
      </c>
      <c r="L682" t="n">
        <v>78.5</v>
      </c>
      <c r="M682" t="n">
        <v>49.37</v>
      </c>
    </row>
    <row r="683">
      <c r="A683" s="2" t="n">
        <v>1220966</v>
      </c>
      <c r="B683" s="2" t="n">
        <v>59</v>
      </c>
      <c r="C683" s="2" t="inlineStr">
        <is>
          <t>M</t>
        </is>
      </c>
      <c r="D683" s="2" t="n">
        <v>100</v>
      </c>
      <c r="E683" s="4">
        <f>HYPERLINK("./Results/DLO\20200101_1.3.12.2.1107.5.1.4.54310.30000020012022362432800020518_8_512_512_\Osteo_Sarco_1.png","RPT")</f>
        <v/>
      </c>
      <c r="F683" s="3" t="n">
        <v>148</v>
      </c>
      <c r="G683" s="3" t="n">
        <v>5</v>
      </c>
      <c r="H683" s="6" t="n">
        <v>25.61</v>
      </c>
      <c r="I683" s="0" t="inlineStr">
        <is>
          <t>Sensation 64</t>
        </is>
      </c>
      <c r="J683" s="0" t="inlineStr">
        <is>
          <t>Post ABD 3mm B30f</t>
        </is>
      </c>
      <c r="K683" t="n">
        <v>170</v>
      </c>
      <c r="L683" t="n">
        <v>74</v>
      </c>
      <c r="M683" t="n">
        <v>49.48</v>
      </c>
    </row>
    <row r="684">
      <c r="A684" s="2" t="n">
        <v>8934006</v>
      </c>
      <c r="B684" s="2" t="n">
        <v>59</v>
      </c>
      <c r="C684" s="2" t="inlineStr">
        <is>
          <t>M</t>
        </is>
      </c>
      <c r="D684" s="2" t="n">
        <v>100</v>
      </c>
      <c r="E684" s="4">
        <f>HYPERLINK("./Results/DLO\20180401_1.2.840.113619.2.311.62374883936298372765454932133509291446_2_512_512_\Osteo_Sarco_1.png","RPT")</f>
        <v/>
      </c>
      <c r="F684" s="3" t="n">
        <v>145</v>
      </c>
      <c r="G684" s="3" t="n">
        <v>15</v>
      </c>
      <c r="H684" s="6" t="n">
        <v>22.2</v>
      </c>
      <c r="I684" s="0" t="inlineStr">
        <is>
          <t>Revolution CT</t>
        </is>
      </c>
      <c r="J684" s="0" t="inlineStr">
        <is>
          <t>ABD</t>
        </is>
      </c>
      <c r="K684" t="n">
        <v>173.2</v>
      </c>
      <c r="L684" t="n">
        <v>66.59999999999999</v>
      </c>
      <c r="M684" t="n">
        <v>43.34</v>
      </c>
    </row>
    <row r="685">
      <c r="A685" s="2" t="n">
        <v>9783654</v>
      </c>
      <c r="B685" s="2" t="n">
        <v>59</v>
      </c>
      <c r="C685" s="2" t="inlineStr">
        <is>
          <t>M</t>
        </is>
      </c>
      <c r="D685" s="2" t="n">
        <v>100</v>
      </c>
      <c r="E685" s="4">
        <f>HYPERLINK("./Results/DLO\20190901_1.3.12.2.1107.5.1.4.54310.30000019090421365968700000000_2_512_512_\Osteo_Sarco_1.png","RPT")</f>
        <v/>
      </c>
      <c r="F685" s="3" t="n">
        <v>142</v>
      </c>
      <c r="G685" s="3" t="n">
        <v>9</v>
      </c>
      <c r="H685" s="7" t="n">
        <v>23.57</v>
      </c>
      <c r="I685" s="0" t="inlineStr">
        <is>
          <t>Sensation 64</t>
        </is>
      </c>
      <c r="J685" s="0" t="inlineStr">
        <is>
          <t>With Contrast 3.0 B30f</t>
        </is>
      </c>
      <c r="K685" t="n">
        <v>176</v>
      </c>
      <c r="L685" t="n">
        <v>73</v>
      </c>
      <c r="M685" t="n">
        <v>42.94</v>
      </c>
    </row>
    <row r="686">
      <c r="A686" s="2" t="n">
        <v>5624518</v>
      </c>
      <c r="B686" s="2" t="n">
        <v>59</v>
      </c>
      <c r="C686" s="2" t="inlineStr">
        <is>
          <t>M</t>
        </is>
      </c>
      <c r="D686" s="2" t="n">
        <v>100</v>
      </c>
      <c r="E686" s="4">
        <f>HYPERLINK("./Results/DLO\20180701_1.3.12.2.1107.5.1.4.54310.30000018070923133301500009702_3_512_512_\Osteo_Sarco_1.png","RPT")</f>
        <v/>
      </c>
      <c r="F686" s="3" t="n">
        <v>136</v>
      </c>
      <c r="G686" s="3" t="n">
        <v>6</v>
      </c>
      <c r="H686" s="7" t="n">
        <v>21.61</v>
      </c>
      <c r="I686" s="0" t="inlineStr">
        <is>
          <t>Sensation 64</t>
        </is>
      </c>
      <c r="J686" s="0" t="inlineStr">
        <is>
          <t>Pre Contrast 3.0 B30f</t>
        </is>
      </c>
      <c r="K686" t="n">
        <v>168</v>
      </c>
      <c r="L686" t="n">
        <v>61</v>
      </c>
      <c r="M686" t="n">
        <v>46.06</v>
      </c>
    </row>
    <row r="687">
      <c r="A687" s="2" t="n">
        <v>5139514</v>
      </c>
      <c r="B687" s="2" t="n">
        <v>59</v>
      </c>
      <c r="C687" s="2" t="inlineStr">
        <is>
          <t>F</t>
        </is>
      </c>
      <c r="D687" s="2" t="n">
        <v>100</v>
      </c>
      <c r="E687" s="4">
        <f>HYPERLINK("./Results/DLO\20181201_1.3.12.2.1107.5.1.4.65253.30000018122519362635700029693_2_512_512_\Osteo_Sarco_1.png","RPT")</f>
        <v/>
      </c>
      <c r="F687" s="3" t="n">
        <v>135</v>
      </c>
      <c r="G687" s="3" t="n">
        <v>11</v>
      </c>
      <c r="H687" s="7" t="n">
        <v>24.22</v>
      </c>
      <c r="I687" s="0" t="inlineStr">
        <is>
          <t>SOMATOM Definition AS</t>
        </is>
      </c>
      <c r="J687" s="0" t="inlineStr">
        <is>
          <t>W/O Contrast 2.0 B30f</t>
        </is>
      </c>
      <c r="K687" t="n">
        <v>160</v>
      </c>
      <c r="L687" t="n">
        <v>62</v>
      </c>
      <c r="M687" t="n">
        <v>48.44</v>
      </c>
    </row>
    <row r="688">
      <c r="A688" s="2" t="n">
        <v>671458</v>
      </c>
      <c r="B688" s="2" t="n">
        <v>59</v>
      </c>
      <c r="C688" s="2" t="inlineStr">
        <is>
          <t>F</t>
        </is>
      </c>
      <c r="D688" s="2" t="n">
        <v>100</v>
      </c>
      <c r="E688" s="4">
        <f>HYPERLINK("./Results/DLO\20200301_1.2.840.113619.2.416.168566396275768113841710760840174871078_310_512_512_\Osteo_Sarco_1.png","RPT")</f>
        <v/>
      </c>
      <c r="F688" s="3" t="n">
        <v>130</v>
      </c>
      <c r="G688" s="3" t="n">
        <v>14</v>
      </c>
      <c r="H688" s="7" t="n">
        <v>26.91</v>
      </c>
      <c r="I688" s="0" t="inlineStr">
        <is>
          <t>Revolution CT</t>
        </is>
      </c>
      <c r="J688" s="0" t="inlineStr">
        <is>
          <t>ABD</t>
        </is>
      </c>
      <c r="K688" t="n">
        <v>157.8</v>
      </c>
      <c r="L688" t="n">
        <v>67</v>
      </c>
      <c r="M688" t="n">
        <v>46.58</v>
      </c>
    </row>
    <row r="689">
      <c r="A689" s="2" t="n">
        <v>8455532</v>
      </c>
      <c r="B689" s="2" t="n">
        <v>59</v>
      </c>
      <c r="C689" s="2" t="inlineStr">
        <is>
          <t>F</t>
        </is>
      </c>
      <c r="D689" s="2" t="n">
        <v>100</v>
      </c>
      <c r="E689" s="4">
        <f>HYPERLINK("./Results/DLO\20190401_1.2.840.113619.2.416.38009505846657785379836656840532231688_305_512_512_\Osteo_Sarco_1.png","RPT")</f>
        <v/>
      </c>
      <c r="F689" s="3" t="n">
        <v>123</v>
      </c>
      <c r="G689" s="3" t="n">
        <v>15</v>
      </c>
      <c r="H689" s="7" t="n">
        <v>26.46</v>
      </c>
      <c r="I689" s="0" t="inlineStr">
        <is>
          <t>Revolution CT</t>
        </is>
      </c>
      <c r="J689" s="0" t="inlineStr">
        <is>
          <t>ABD 2.5mm</t>
        </is>
      </c>
      <c r="K689" t="n">
        <v>169.8</v>
      </c>
      <c r="L689" t="n">
        <v>76.3</v>
      </c>
      <c r="M689" t="n">
        <v>37.46</v>
      </c>
    </row>
    <row r="690">
      <c r="A690" s="2" t="n">
        <v>8957014</v>
      </c>
      <c r="B690" s="2" t="n">
        <v>59</v>
      </c>
      <c r="C690" s="2" t="inlineStr">
        <is>
          <t>M</t>
        </is>
      </c>
      <c r="D690" s="2" t="n">
        <v>100</v>
      </c>
      <c r="E690" s="4">
        <f>HYPERLINK("./Results/DLO\20190201_1.3.12.2.1107.5.1.4.65253.30000019020807431774100015826_3_512_512_\Osteo_Sarco_1.png","RPT")</f>
        <v/>
      </c>
      <c r="F690" s="3" t="n">
        <v>122</v>
      </c>
      <c r="G690" s="3" t="n">
        <v>7</v>
      </c>
      <c r="H690" s="6" t="n">
        <v>26.93</v>
      </c>
      <c r="I690" s="0" t="inlineStr">
        <is>
          <t>SOMATOM Definition AS</t>
        </is>
      </c>
      <c r="J690" s="0" t="inlineStr">
        <is>
          <t>Pre Contrast 3.0 B30f</t>
        </is>
      </c>
      <c r="K690" t="n">
        <v>168</v>
      </c>
      <c r="L690" t="n">
        <v>76</v>
      </c>
      <c r="M690" t="n">
        <v>40.75</v>
      </c>
    </row>
    <row r="691">
      <c r="A691" s="2" t="n">
        <v>5203638</v>
      </c>
      <c r="B691" s="2" t="n">
        <v>59</v>
      </c>
      <c r="C691" s="2" t="inlineStr">
        <is>
          <t>F</t>
        </is>
      </c>
      <c r="D691" s="2" t="n">
        <v>100</v>
      </c>
      <c r="E691" s="4">
        <f>HYPERLINK("./Results/DLO\20180501_1.2.840.113619.2.311.264192054861343587389442421870784130557_306_512_512_\Osteo_Sarco_1.png","RPT")</f>
        <v/>
      </c>
      <c r="F691" s="3" t="n">
        <v>121</v>
      </c>
      <c r="G691" s="3" t="n">
        <v>8</v>
      </c>
      <c r="H691" s="7" t="n">
        <v>23.54</v>
      </c>
      <c r="I691" s="0" t="inlineStr">
        <is>
          <t>Revolution CT</t>
        </is>
      </c>
      <c r="J691" s="0" t="inlineStr">
        <is>
          <t>ABD 2.5mm</t>
        </is>
      </c>
      <c r="K691" t="n">
        <v>157.1</v>
      </c>
      <c r="L691" t="n">
        <v>58.1</v>
      </c>
      <c r="M691" t="n">
        <v>45.79</v>
      </c>
    </row>
    <row r="692">
      <c r="A692" s="2" t="n">
        <v>9967296</v>
      </c>
      <c r="B692" s="2" t="n">
        <v>59</v>
      </c>
      <c r="C692" s="2" t="inlineStr">
        <is>
          <t>F</t>
        </is>
      </c>
      <c r="D692" s="2" t="n">
        <v>100</v>
      </c>
      <c r="E692" s="4">
        <f>HYPERLINK("./Results/DLO\20200401_1.3.12.2.1107.5.1.4.54310.30000020042222003634300037202_7_512_512_\Osteo_Sarco_1.png","RPT")</f>
        <v/>
      </c>
      <c r="F692" s="3" t="n">
        <v>118</v>
      </c>
      <c r="G692" s="3" t="n">
        <v>5</v>
      </c>
      <c r="H692" s="7" t="n">
        <v>26.4</v>
      </c>
      <c r="I692" s="0" t="inlineStr">
        <is>
          <t>Sensation 64</t>
        </is>
      </c>
      <c r="J692" s="0" t="inlineStr">
        <is>
          <t>ABD 3mm B30f</t>
        </is>
      </c>
      <c r="K692" t="n">
        <v>159.3</v>
      </c>
      <c r="L692" t="n">
        <v>67</v>
      </c>
      <c r="M692" t="n">
        <v>44.53</v>
      </c>
    </row>
    <row r="693">
      <c r="A693" s="2" t="n">
        <v>9601284</v>
      </c>
      <c r="B693" s="2" t="n">
        <v>59</v>
      </c>
      <c r="C693" s="2" t="inlineStr">
        <is>
          <t>F</t>
        </is>
      </c>
      <c r="D693" s="2" t="n">
        <v>100</v>
      </c>
      <c r="E693" s="4">
        <f>HYPERLINK("./Results/DLO\20190201_1.2.840.113619.2.311.129928327079861903905589953539221480249_304_512_512_\Osteo_Sarco_1.png","RPT")</f>
        <v/>
      </c>
      <c r="F693" s="3" t="n">
        <v>117</v>
      </c>
      <c r="G693" s="3" t="n">
        <v>10</v>
      </c>
      <c r="H693" s="6" t="n">
        <v>28.34</v>
      </c>
      <c r="I693" s="0" t="inlineStr">
        <is>
          <t>Revolution CT</t>
        </is>
      </c>
      <c r="J693" s="0" t="inlineStr">
        <is>
          <t>ABD 2.5mm</t>
        </is>
      </c>
      <c r="K693" t="n">
        <v>168</v>
      </c>
      <c r="L693" t="n">
        <v>80</v>
      </c>
      <c r="M693" t="n">
        <v>37.91</v>
      </c>
    </row>
    <row r="694">
      <c r="A694" s="2" t="n">
        <v>8901310</v>
      </c>
      <c r="B694" s="2" t="n">
        <v>59</v>
      </c>
      <c r="C694" s="2" t="inlineStr">
        <is>
          <t>F</t>
        </is>
      </c>
      <c r="D694" s="2" t="n">
        <v>100</v>
      </c>
      <c r="E694" s="4">
        <f>HYPERLINK("./Results/DLO\20181201_1.3.12.2.1107.5.1.4.54310.30000018122800201220300001753_2_512_512_\Osteo_Sarco_1.png","RPT")</f>
        <v/>
      </c>
      <c r="F694" s="3" t="n">
        <v>109</v>
      </c>
      <c r="G694" s="3" t="n">
        <v>12</v>
      </c>
      <c r="H694" s="7" t="n">
        <v>20.83</v>
      </c>
      <c r="I694" s="0" t="inlineStr">
        <is>
          <t>Sensation 64</t>
        </is>
      </c>
      <c r="J694" s="0" t="inlineStr">
        <is>
          <t>With Contrast 3.0 B30f</t>
        </is>
      </c>
      <c r="K694" t="n">
        <v>158</v>
      </c>
      <c r="L694" t="n">
        <v>52</v>
      </c>
      <c r="M694" t="n">
        <v>38.86</v>
      </c>
    </row>
    <row r="695">
      <c r="A695" s="2" t="n">
        <v>9684651</v>
      </c>
      <c r="B695" s="2" t="n">
        <v>59</v>
      </c>
      <c r="C695" s="2" t="inlineStr">
        <is>
          <t>F</t>
        </is>
      </c>
      <c r="D695" s="2" t="n">
        <v>100</v>
      </c>
      <c r="E695" s="4">
        <f>HYPERLINK("./Results/DLO\20190601_1.3.12.2.1107.5.1.4.65253.30000019060919561741600049900_2_512_512_\Osteo_Sarco_1.png","RPT")</f>
        <v/>
      </c>
      <c r="F695" s="3" t="n">
        <v>109</v>
      </c>
      <c r="G695" s="3" t="n">
        <v>8</v>
      </c>
      <c r="H695" s="7" t="n">
        <v>22.78</v>
      </c>
      <c r="I695" s="0" t="inlineStr">
        <is>
          <t>SOMATOM Definition AS</t>
        </is>
      </c>
      <c r="J695" s="0" t="inlineStr">
        <is>
          <t>Pre Contrast 3.0 B30f</t>
        </is>
      </c>
      <c r="K695" t="n">
        <v>158.2</v>
      </c>
      <c r="L695" t="n">
        <v>57</v>
      </c>
      <c r="M695" t="n">
        <v>40.36</v>
      </c>
    </row>
    <row r="696">
      <c r="A696" s="2" t="n">
        <v>10013411</v>
      </c>
      <c r="B696" s="2" t="n">
        <v>59</v>
      </c>
      <c r="C696" s="2" t="inlineStr">
        <is>
          <t>F</t>
        </is>
      </c>
      <c r="D696" s="2" t="n">
        <v>100</v>
      </c>
      <c r="E696" s="4">
        <f>HYPERLINK("./Results/DLO\20200601_1.2.840.113619.2.416.147379348716436545238771801777364780392_307_512_512_\Osteo_Sarco_1.png","RPT")</f>
        <v/>
      </c>
      <c r="F696" s="3" t="n">
        <v>108</v>
      </c>
      <c r="G696" s="3" t="n">
        <v>12</v>
      </c>
      <c r="H696" s="7" t="n">
        <v>23.99</v>
      </c>
      <c r="I696" s="0" t="inlineStr">
        <is>
          <t>Revolution CT</t>
        </is>
      </c>
      <c r="J696" s="0" t="inlineStr">
        <is>
          <t>ABD</t>
        </is>
      </c>
      <c r="K696" t="n">
        <v>164.1</v>
      </c>
      <c r="L696" t="n">
        <v>64.59999999999999</v>
      </c>
      <c r="M696" t="n">
        <v>35.65</v>
      </c>
    </row>
    <row r="697">
      <c r="A697" s="2" t="n">
        <v>3971852</v>
      </c>
      <c r="B697" s="2" t="n">
        <v>59</v>
      </c>
      <c r="C697" s="2" t="inlineStr">
        <is>
          <t>F</t>
        </is>
      </c>
      <c r="D697" s="2" t="n">
        <v>100</v>
      </c>
      <c r="E697" s="4">
        <f>HYPERLINK("./Results/DLO\20180101_1.3.12.2.1107.5.1.4.54310.30000018010923092446800033301_5_512_512_\Osteo_Sarco_1.png","RPT")</f>
        <v/>
      </c>
      <c r="F697" s="3" t="n">
        <v>105</v>
      </c>
      <c r="G697" s="3" t="n">
        <v>14</v>
      </c>
      <c r="H697" s="7" t="n">
        <v>25.93</v>
      </c>
      <c r="I697" s="0" t="inlineStr">
        <is>
          <t>Sensation 64</t>
        </is>
      </c>
      <c r="J697" s="0" t="inlineStr">
        <is>
          <t>Arterial 3.0 B30f</t>
        </is>
      </c>
      <c r="K697" t="n">
        <v>155</v>
      </c>
      <c r="L697" t="n">
        <v>62.3</v>
      </c>
      <c r="M697" t="n">
        <v>37.88</v>
      </c>
    </row>
    <row r="698">
      <c r="A698" s="2" t="n">
        <v>6146451</v>
      </c>
      <c r="B698" s="2" t="n">
        <v>59</v>
      </c>
      <c r="C698" s="2" t="inlineStr">
        <is>
          <t>F</t>
        </is>
      </c>
      <c r="D698" s="2" t="n">
        <v>100</v>
      </c>
      <c r="E698" s="4">
        <f>HYPERLINK("./Results/DLO\20180801_1.2.840.113619.2.311.328700180963641815261878013490363714489_304_512_512_\Osteo_Sarco_1.png","RPT")</f>
        <v/>
      </c>
      <c r="F698" s="3" t="n">
        <v>104</v>
      </c>
      <c r="G698" s="3" t="n">
        <v>8</v>
      </c>
      <c r="H698" s="6" t="n">
        <v>22.38</v>
      </c>
      <c r="I698" s="0" t="inlineStr">
        <is>
          <t>Revolution CT</t>
        </is>
      </c>
      <c r="J698" s="0" t="inlineStr">
        <is>
          <t>ABD 2.5mm</t>
        </is>
      </c>
      <c r="K698" t="n">
        <v>161</v>
      </c>
      <c r="L698" t="n">
        <v>58</v>
      </c>
      <c r="M698" t="n">
        <v>37.04</v>
      </c>
    </row>
    <row r="699">
      <c r="A699" s="2" t="n">
        <v>5357005</v>
      </c>
      <c r="B699" s="2" t="n">
        <v>59</v>
      </c>
      <c r="C699" s="2" t="inlineStr">
        <is>
          <t>F</t>
        </is>
      </c>
      <c r="D699" s="2" t="n">
        <v>100</v>
      </c>
      <c r="E699" s="4">
        <f>HYPERLINK("./Results/DLO\20180201_1.2.840.113619.2.94.485650834948.2.8655257.18677389.1_2_512_512_\Osteo_Sarco_1.png","RPT")</f>
        <v/>
      </c>
      <c r="F699" s="3" t="n">
        <v>103</v>
      </c>
      <c r="G699" s="3" t="n">
        <v>5</v>
      </c>
      <c r="H699" s="7" t="n">
        <v>18.8</v>
      </c>
      <c r="I699" s="0" t="inlineStr">
        <is>
          <t>SOMATOM Definition AS</t>
        </is>
      </c>
      <c r="J699" s="0" t="inlineStr">
        <is>
          <t>With Contrast 3.0 B30f</t>
        </is>
      </c>
      <c r="K699" t="n">
        <v>163.1</v>
      </c>
      <c r="L699" t="n">
        <v>50</v>
      </c>
      <c r="M699" t="n">
        <v>36.84</v>
      </c>
    </row>
    <row r="700">
      <c r="A700" s="2" t="n">
        <v>3795850</v>
      </c>
      <c r="B700" s="2" t="n">
        <v>59</v>
      </c>
      <c r="C700" s="2" t="inlineStr">
        <is>
          <t>F</t>
        </is>
      </c>
      <c r="D700" s="2" t="n">
        <v>100</v>
      </c>
      <c r="E700" s="4">
        <f>HYPERLINK("./Results/DLO\20190601_1.3.46.670589.33.1.63696105157122293400001.5296152621331369251_601_512_512_\Osteo_Sarco_1.png","RPT")</f>
        <v/>
      </c>
      <c r="F700" s="3" t="n">
        <v>102</v>
      </c>
      <c r="G700" s="3" t="n">
        <v>8</v>
      </c>
      <c r="H700" s="7" t="n">
        <v>21.34</v>
      </c>
      <c r="I700" s="0" t="inlineStr">
        <is>
          <t>Ingenuity Core 128</t>
        </is>
      </c>
      <c r="J700" s="0" t="inlineStr">
        <is>
          <t>Post 3mm, iDose (3)</t>
        </is>
      </c>
      <c r="K700" t="n">
        <v>162</v>
      </c>
      <c r="L700" t="n">
        <v>56</v>
      </c>
      <c r="M700" t="n">
        <v>35.82</v>
      </c>
    </row>
    <row r="701">
      <c r="A701" s="2" t="n">
        <v>9926692</v>
      </c>
      <c r="B701" s="2" t="n">
        <v>59</v>
      </c>
      <c r="C701" s="2" t="inlineStr">
        <is>
          <t>F</t>
        </is>
      </c>
      <c r="D701" s="2" t="n">
        <v>100</v>
      </c>
      <c r="E701" s="4">
        <f>HYPERLINK("./Results/DLO\20200201_1.3.12.2.1107.5.1.4.92118.30000020021901261106400000552_4_512_512_\Osteo_Sarco_1.png","RPT")</f>
        <v/>
      </c>
      <c r="F701" s="3" t="n">
        <v>102</v>
      </c>
      <c r="G701" s="3" t="n">
        <v>11</v>
      </c>
      <c r="H701" s="6" t="n">
        <v>24.75</v>
      </c>
      <c r="I701" s="0" t="inlineStr">
        <is>
          <t>SOMATOM Definition AS</t>
        </is>
      </c>
      <c r="J701" s="0" t="inlineStr">
        <is>
          <t>abdomen pre 5.0 I40f 2</t>
        </is>
      </c>
      <c r="K701" t="n">
        <v>157</v>
      </c>
      <c r="L701" t="n">
        <v>61</v>
      </c>
      <c r="M701" t="n">
        <v>36.92</v>
      </c>
    </row>
    <row r="702">
      <c r="A702" s="2" t="n">
        <v>8749771</v>
      </c>
      <c r="B702" s="2" t="n">
        <v>59</v>
      </c>
      <c r="C702" s="2" t="inlineStr">
        <is>
          <t>F</t>
        </is>
      </c>
      <c r="D702" s="2" t="n">
        <v>100</v>
      </c>
      <c r="E702" s="4">
        <f>HYPERLINK("./Results/DLO\20200501_1.3.46.670589.33.1.63725217606198271800001.4879260449914763885_201_512_512_\Osteo_Sarco_1.png","RPT")</f>
        <v/>
      </c>
      <c r="F702" s="3" t="n">
        <v>102</v>
      </c>
      <c r="G702" s="3" t="n">
        <v>7</v>
      </c>
      <c r="H702" s="6" t="n">
        <v>19.31</v>
      </c>
      <c r="I702" s="0" t="inlineStr">
        <is>
          <t>Ingenuity Core 128</t>
        </is>
      </c>
      <c r="J702" s="0" t="inlineStr">
        <is>
          <t>Post 3mm, iDose (3)</t>
        </is>
      </c>
      <c r="K702" t="n">
        <v>156</v>
      </c>
      <c r="L702" t="n">
        <v>47</v>
      </c>
      <c r="M702" t="n">
        <v>39.04</v>
      </c>
    </row>
    <row r="703">
      <c r="A703" s="2" t="n">
        <v>487434</v>
      </c>
      <c r="B703" s="2" t="n">
        <v>59</v>
      </c>
      <c r="C703" s="2" t="inlineStr">
        <is>
          <t>F</t>
        </is>
      </c>
      <c r="D703" s="2" t="n">
        <v>100</v>
      </c>
      <c r="E703" s="4">
        <f>HYPERLINK("./Results/DLO\20191101_1.3.12.2.1107.5.1.4.54310.30000019111321163662500070390_7_512_512_\Osteo_Sarco_1.png","RPT")</f>
        <v/>
      </c>
      <c r="F703" s="3" t="n">
        <v>101</v>
      </c>
      <c r="G703" s="3" t="n">
        <v>9</v>
      </c>
      <c r="H703" s="7" t="n">
        <v>26.92</v>
      </c>
      <c r="I703" s="0" t="inlineStr">
        <is>
          <t>Sensation 64</t>
        </is>
      </c>
      <c r="J703" s="0" t="inlineStr">
        <is>
          <t>ABD Contrast 3.0 B30f</t>
        </is>
      </c>
      <c r="K703" t="n">
        <v>154.8</v>
      </c>
      <c r="L703" t="n">
        <v>64.5</v>
      </c>
      <c r="M703" t="n">
        <v>38.39</v>
      </c>
    </row>
    <row r="704">
      <c r="A704" s="2" t="n">
        <v>9915257</v>
      </c>
      <c r="B704" s="2" t="n">
        <v>59</v>
      </c>
      <c r="C704" s="2" t="inlineStr">
        <is>
          <t>F</t>
        </is>
      </c>
      <c r="D704" s="2" t="n">
        <v>100</v>
      </c>
      <c r="E704" s="4">
        <f>HYPERLINK("./Results/DLO\20200201_1.3.12.2.1107.5.1.4.54310.30000020020522331550000031892_6_512_512_\Osteo_Sarco_1.png","RPT")</f>
        <v/>
      </c>
      <c r="F704" s="3" t="n">
        <v>100</v>
      </c>
      <c r="G704" s="3" t="n">
        <v>7</v>
      </c>
      <c r="H704" s="6" t="n">
        <v>25.11</v>
      </c>
      <c r="I704" s="0" t="inlineStr">
        <is>
          <t>Sensation 64</t>
        </is>
      </c>
      <c r="J704" s="0" t="inlineStr">
        <is>
          <t>Portal 3.0 B30f</t>
        </is>
      </c>
      <c r="K704" t="n">
        <v>150.4</v>
      </c>
      <c r="L704" t="n">
        <v>56.8</v>
      </c>
      <c r="M704" t="n">
        <v>41.11</v>
      </c>
    </row>
    <row r="705">
      <c r="A705" s="2" t="n">
        <v>3867761</v>
      </c>
      <c r="B705" s="2" t="n">
        <v>60</v>
      </c>
      <c r="C705" s="2" t="inlineStr">
        <is>
          <t>F</t>
        </is>
      </c>
      <c r="D705" s="2" t="n">
        <v>100</v>
      </c>
      <c r="E705" s="4">
        <f>HYPERLINK("./Results/DLO\20180801_1.2.840.113619.2.311.144731390659622771008156345057377875546_304_512_512_\Osteo_Sarco_1.png","RPT")</f>
        <v/>
      </c>
      <c r="F705" s="3" t="n">
        <v>98</v>
      </c>
      <c r="G705" s="3" t="n">
        <v>13</v>
      </c>
      <c r="H705" s="7" t="n">
        <v>24.97</v>
      </c>
      <c r="I705" s="0" t="inlineStr">
        <is>
          <t>Revolution CT</t>
        </is>
      </c>
      <c r="J705" s="0" t="inlineStr">
        <is>
          <t>ABD 2.5mm</t>
        </is>
      </c>
      <c r="K705" t="n">
        <v>152.4</v>
      </c>
      <c r="L705" t="n">
        <v>58</v>
      </c>
      <c r="M705" t="n">
        <v>36.6</v>
      </c>
    </row>
    <row r="706">
      <c r="A706" s="2" t="n">
        <v>5162501</v>
      </c>
      <c r="B706" s="2" t="n">
        <v>60</v>
      </c>
      <c r="C706" s="2" t="inlineStr">
        <is>
          <t>F</t>
        </is>
      </c>
      <c r="D706" s="2" t="n">
        <v>100</v>
      </c>
      <c r="E706" s="4">
        <f>HYPERLINK("./Results/DLO\20180201_1.3.12.2.1107.5.1.4.65253.30000018020521561162500006350_3_512_512_\Osteo_Sarco_1.png","RPT")</f>
        <v/>
      </c>
      <c r="F706" s="3" t="n">
        <v>96</v>
      </c>
      <c r="G706" s="3" t="n">
        <v>4</v>
      </c>
      <c r="H706" s="7" t="n">
        <v>20.69</v>
      </c>
      <c r="I706" s="0" t="inlineStr">
        <is>
          <t>SOMATOM Definition AS</t>
        </is>
      </c>
      <c r="J706" s="0" t="inlineStr">
        <is>
          <t>With Contrast 3.0 B40f</t>
        </is>
      </c>
      <c r="K706" t="n">
        <v>157</v>
      </c>
      <c r="L706" t="n">
        <v>51</v>
      </c>
      <c r="M706" t="n">
        <v>37.32</v>
      </c>
    </row>
    <row r="707">
      <c r="A707" s="2" t="n">
        <v>5068711</v>
      </c>
      <c r="B707" s="2" t="n">
        <v>60</v>
      </c>
      <c r="C707" s="2" t="inlineStr">
        <is>
          <t>F</t>
        </is>
      </c>
      <c r="D707" s="2" t="n">
        <v>100</v>
      </c>
      <c r="E707" s="4">
        <f>HYPERLINK("./Results/DLO\20181001_1.3.12.2.1107.5.1.4.54310.30000018102823274178100033241_4_512_512_\Osteo_Sarco_1.png","RPT")</f>
        <v/>
      </c>
      <c r="F707" s="3" t="n">
        <v>94</v>
      </c>
      <c r="G707" s="3" t="n">
        <v>9</v>
      </c>
      <c r="H707" s="7" t="n">
        <v>24.73</v>
      </c>
      <c r="I707" s="0" t="inlineStr">
        <is>
          <t>Sensation 64</t>
        </is>
      </c>
      <c r="J707" s="0" t="inlineStr">
        <is>
          <t>Arterial 3.0 B30f</t>
        </is>
      </c>
      <c r="K707" t="n">
        <v>149.8</v>
      </c>
      <c r="L707" t="n">
        <v>55.5</v>
      </c>
      <c r="M707" t="n">
        <v>37.88</v>
      </c>
    </row>
    <row r="708">
      <c r="A708" s="2" t="n">
        <v>5792322</v>
      </c>
      <c r="B708" s="2" t="n">
        <v>60</v>
      </c>
      <c r="C708" s="2" t="inlineStr">
        <is>
          <t>F</t>
        </is>
      </c>
      <c r="D708" s="2" t="n">
        <v>100</v>
      </c>
      <c r="E708" s="4">
        <f>HYPERLINK("./Results/DLO\20181101_1.2.840.113619.2.94.485650834948.2.9220351.20068281.1_2_512_512_\Osteo_Sarco_1.png","RPT")</f>
        <v/>
      </c>
      <c r="F708" s="3" t="n">
        <v>94</v>
      </c>
      <c r="G708" s="3" t="n">
        <v>16</v>
      </c>
      <c r="H708" s="6" t="n">
        <v>23.78</v>
      </c>
      <c r="I708" s="0" t="inlineStr">
        <is>
          <t>Sensation 64</t>
        </is>
      </c>
      <c r="J708" s="0" t="inlineStr">
        <is>
          <t>With Contrast 3.0 B30f</t>
        </is>
      </c>
      <c r="K708" t="n">
        <v>140.3</v>
      </c>
      <c r="L708" t="n">
        <v>46.8</v>
      </c>
      <c r="M708" t="n">
        <v>39.63</v>
      </c>
    </row>
    <row r="709">
      <c r="A709" s="2" t="n">
        <v>9528165</v>
      </c>
      <c r="B709" s="2" t="n">
        <v>60</v>
      </c>
      <c r="C709" s="2" t="inlineStr">
        <is>
          <t>F</t>
        </is>
      </c>
      <c r="D709" s="2" t="n">
        <v>100</v>
      </c>
      <c r="E709" s="4">
        <f>HYPERLINK("./Results/DLO\20181201_1.3.12.2.1107.5.1.4.54310.30000018121623584253100003195_2_512_512_\Osteo_Sarco_1.png","RPT")</f>
        <v/>
      </c>
      <c r="F709" s="3" t="n">
        <v>90</v>
      </c>
      <c r="G709" s="3" t="n">
        <v>9</v>
      </c>
      <c r="H709" s="6" t="n">
        <v>21.44</v>
      </c>
      <c r="I709" s="0" t="inlineStr">
        <is>
          <t>Sensation 64</t>
        </is>
      </c>
      <c r="J709" s="0" t="inlineStr">
        <is>
          <t>With Contrast 3.0 B30f</t>
        </is>
      </c>
      <c r="K709" t="n">
        <v>160.9</v>
      </c>
      <c r="L709" t="n">
        <v>55.5</v>
      </c>
      <c r="M709" t="n">
        <v>31.29</v>
      </c>
    </row>
    <row r="710">
      <c r="A710" s="2" t="n">
        <v>689169</v>
      </c>
      <c r="B710" s="2" t="n">
        <v>60</v>
      </c>
      <c r="C710" s="2" t="inlineStr">
        <is>
          <t>F</t>
        </is>
      </c>
      <c r="D710" s="2" t="n">
        <v>100</v>
      </c>
      <c r="E710" s="4">
        <f>HYPERLINK("./Results/DLO\20200601_1.3.12.2.1107.5.1.4.54310.30000020053121250062500084213_7_512_512_\Osteo_Sarco_1.png","RPT")</f>
        <v/>
      </c>
      <c r="F710" s="3" t="n">
        <v>87</v>
      </c>
      <c r="G710" s="3" t="n">
        <v>8</v>
      </c>
      <c r="H710" s="7" t="n">
        <v>19.57</v>
      </c>
      <c r="I710" s="0" t="inlineStr">
        <is>
          <t>Sensation 64</t>
        </is>
      </c>
      <c r="J710" s="0" t="inlineStr">
        <is>
          <t>ABD 3mm B30f</t>
        </is>
      </c>
      <c r="K710" t="n">
        <v>140.8</v>
      </c>
      <c r="L710" t="n">
        <v>38.8</v>
      </c>
      <c r="M710" t="n">
        <v>39.85</v>
      </c>
    </row>
    <row r="711">
      <c r="A711" s="2" t="n">
        <v>8429407</v>
      </c>
      <c r="B711" s="2" t="n">
        <v>60</v>
      </c>
      <c r="C711" s="2" t="inlineStr">
        <is>
          <t>F</t>
        </is>
      </c>
      <c r="D711" s="2" t="n">
        <v>100</v>
      </c>
      <c r="E711" s="4">
        <f>HYPERLINK("./Results/DLO\20190101_1.2.840.113619.2.94.485650834948.2.9319026.20311005.1_2_512_512_\Osteo_Sarco_1.png","RPT")</f>
        <v/>
      </c>
      <c r="F711" s="3" t="n">
        <v>86</v>
      </c>
      <c r="G711" s="3" t="n">
        <v>7</v>
      </c>
      <c r="H711" s="6" t="n">
        <v>18.94</v>
      </c>
      <c r="I711" s="0" t="inlineStr">
        <is>
          <t>Sensation 64</t>
        </is>
      </c>
      <c r="J711" s="0" t="inlineStr">
        <is>
          <t>With Contrast 3.0 B30f</t>
        </is>
      </c>
      <c r="K711" t="n">
        <v>159.2</v>
      </c>
      <c r="L711" t="n">
        <v>48</v>
      </c>
      <c r="M711" t="n">
        <v>31.17</v>
      </c>
    </row>
    <row r="712">
      <c r="A712" s="2" t="n">
        <v>3164398</v>
      </c>
      <c r="B712" s="2" t="n">
        <v>60</v>
      </c>
      <c r="C712" s="2" t="inlineStr">
        <is>
          <t>F</t>
        </is>
      </c>
      <c r="D712" s="2" t="n">
        <v>100</v>
      </c>
      <c r="E712" s="4">
        <f>HYPERLINK("./Results/DLO\20191101_1.3.12.2.1107.5.1.4.54310.30000019111721190531200035331_6_512_512_\Osteo_Sarco_1.png","RPT")</f>
        <v/>
      </c>
      <c r="F712" s="3" t="n">
        <v>82</v>
      </c>
      <c r="G712" s="3" t="n">
        <v>6</v>
      </c>
      <c r="H712" s="7" t="n">
        <v>19.37</v>
      </c>
      <c r="I712" s="0" t="inlineStr">
        <is>
          <t>Sensation 64</t>
        </is>
      </c>
      <c r="J712" s="0" t="inlineStr">
        <is>
          <t>Portal 3.0 B30f</t>
        </is>
      </c>
      <c r="K712" t="n">
        <v>165.1</v>
      </c>
      <c r="L712" t="n">
        <v>52.8</v>
      </c>
      <c r="M712" t="n">
        <v>27.88</v>
      </c>
    </row>
    <row r="713">
      <c r="A713" s="2" t="n">
        <v>8562070</v>
      </c>
      <c r="B713" s="2" t="n">
        <v>60</v>
      </c>
      <c r="C713" s="2" t="inlineStr">
        <is>
          <t>F</t>
        </is>
      </c>
      <c r="D713" s="2" t="n">
        <v>100</v>
      </c>
      <c r="E713" s="4">
        <f>HYPERLINK("./Results/DLO\20190101_1.3.12.2.1107.5.1.4.54310.30000019013023361779600025771_2_512_512_\Osteo_Sarco_1.png","RPT")</f>
        <v/>
      </c>
      <c r="F713" s="3" t="n">
        <v>80</v>
      </c>
      <c r="G713" s="3" t="n">
        <v>7</v>
      </c>
      <c r="H713" s="7" t="n">
        <v>20.83</v>
      </c>
      <c r="I713" s="0" t="inlineStr">
        <is>
          <t>Sensation 64</t>
        </is>
      </c>
      <c r="J713" s="0" t="inlineStr">
        <is>
          <t>Pre Contrast 3.0 B30f</t>
        </is>
      </c>
      <c r="K713" t="n">
        <v>158</v>
      </c>
      <c r="L713" t="n">
        <v>52</v>
      </c>
      <c r="M713" t="n">
        <v>29.24</v>
      </c>
    </row>
    <row r="714">
      <c r="A714" s="2" t="n">
        <v>9549878</v>
      </c>
      <c r="B714" s="2" t="n">
        <v>60</v>
      </c>
      <c r="C714" s="2" t="inlineStr">
        <is>
          <t>M</t>
        </is>
      </c>
      <c r="D714" s="2" t="n">
        <v>100</v>
      </c>
      <c r="E714" s="4">
        <f>HYPERLINK("./Results/DLO\20200501_1.3.12.2.1107.5.1.4.54310.30000020051922585582800021224_5_512_512_\Osteo_Sarco_1.png","RPT")</f>
        <v/>
      </c>
      <c r="F714" s="3" t="n">
        <v>211</v>
      </c>
      <c r="G714" s="3" t="n">
        <v>8</v>
      </c>
      <c r="H714" s="6" t="n">
        <v>32.59</v>
      </c>
      <c r="I714" s="0" t="inlineStr">
        <is>
          <t>Sensation 64</t>
        </is>
      </c>
      <c r="J714" s="0" t="inlineStr">
        <is>
          <t>ABD 3mm B30f</t>
        </is>
      </c>
      <c r="K714" t="n">
        <v>167</v>
      </c>
      <c r="L714" t="n">
        <v>90.90000000000001</v>
      </c>
      <c r="M714" t="n">
        <v>72.79000000000001</v>
      </c>
    </row>
    <row r="715">
      <c r="A715" s="2" t="n">
        <v>5930635</v>
      </c>
      <c r="B715" s="2" t="n">
        <v>60</v>
      </c>
      <c r="C715" s="2" t="inlineStr">
        <is>
          <t>M</t>
        </is>
      </c>
      <c r="D715" s="2" t="n">
        <v>100</v>
      </c>
      <c r="E715" s="4">
        <f>HYPERLINK("./Results/DLO\20181201_1.3.12.2.1107.5.1.4.54310.30000018121823264617100024391_5_512_512_\Osteo_Sarco_1.png","RPT")</f>
        <v/>
      </c>
      <c r="F715" s="3" t="n">
        <v>191</v>
      </c>
      <c r="G715" s="3" t="n">
        <v>11</v>
      </c>
      <c r="H715" s="7" t="n">
        <v>21.22</v>
      </c>
      <c r="I715" s="0" t="inlineStr">
        <is>
          <t>Sensation 64</t>
        </is>
      </c>
      <c r="J715" s="0" t="inlineStr">
        <is>
          <t>3 Min Delay 3.0 B30f</t>
        </is>
      </c>
      <c r="K715" t="n">
        <v>173</v>
      </c>
      <c r="L715" t="n">
        <v>63.5</v>
      </c>
      <c r="M715" t="n">
        <v>60.14</v>
      </c>
    </row>
    <row r="716">
      <c r="A716" s="2" t="n">
        <v>9618374</v>
      </c>
      <c r="B716" s="2" t="n">
        <v>60</v>
      </c>
      <c r="C716" s="2" t="inlineStr">
        <is>
          <t>M</t>
        </is>
      </c>
      <c r="D716" s="2" t="n">
        <v>100</v>
      </c>
      <c r="E716" s="4">
        <f>HYPERLINK("./Results/DLO\20190201_1.2.410.100011.172.24.16.218.6368885823871030593.2_2_512_512_\Osteo_Sarco_1.png","RPT")</f>
        <v/>
      </c>
      <c r="F716" s="3" t="n">
        <v>177</v>
      </c>
      <c r="G716" s="3" t="n">
        <v>9</v>
      </c>
      <c r="H716" s="7" t="n">
        <v>24.07</v>
      </c>
      <c r="I716" s="0" t="inlineStr">
        <is>
          <t>SOMATOM Definition Edge</t>
        </is>
      </c>
      <c r="J716" s="0" t="inlineStr">
        <is>
          <t>Pre Abdomen 3.0 I[30f 2 iMAR</t>
        </is>
      </c>
      <c r="K716" t="n">
        <v>180</v>
      </c>
      <c r="L716" t="n">
        <v>78</v>
      </c>
      <c r="M716" t="n">
        <v>51.85</v>
      </c>
    </row>
    <row r="717">
      <c r="A717" s="2" t="n">
        <v>8702991</v>
      </c>
      <c r="B717" s="2" t="n">
        <v>60</v>
      </c>
      <c r="C717" s="2" t="inlineStr">
        <is>
          <t>M</t>
        </is>
      </c>
      <c r="D717" s="2" t="n">
        <v>100</v>
      </c>
      <c r="E717" s="4">
        <f>HYPERLINK("./Results/DLO\20190501_1.3.12.2.1107.5.1.4.54310.30000019052423435651500010371_3_512_512_\Osteo_Sarco_1.png","RPT")</f>
        <v/>
      </c>
      <c r="F717" s="3" t="n">
        <v>175</v>
      </c>
      <c r="G717" s="3" t="n">
        <v>8</v>
      </c>
      <c r="H717" s="7" t="n">
        <v>24.19</v>
      </c>
      <c r="I717" s="0" t="inlineStr">
        <is>
          <t>Sensation 64</t>
        </is>
      </c>
      <c r="J717" s="0" t="inlineStr">
        <is>
          <t>With Contrast 3.0 B30f</t>
        </is>
      </c>
      <c r="K717" t="n">
        <v>183</v>
      </c>
      <c r="L717" t="n">
        <v>81</v>
      </c>
      <c r="M717" t="n">
        <v>49.87</v>
      </c>
    </row>
    <row r="718">
      <c r="A718" s="2" t="n">
        <v>8781000</v>
      </c>
      <c r="B718" s="2" t="n">
        <v>60</v>
      </c>
      <c r="C718" s="2" t="inlineStr">
        <is>
          <t>M</t>
        </is>
      </c>
      <c r="D718" s="2" t="n">
        <v>100</v>
      </c>
      <c r="E718" s="4">
        <f>HYPERLINK("./Results/DLO\20190701_1.3.46.670589.33.1.63697759315138992800001.5100089436385358014_201_512_512_\Osteo_Sarco_1.png","RPT")</f>
        <v/>
      </c>
      <c r="F718" s="3" t="n">
        <v>173</v>
      </c>
      <c r="G718" s="3" t="n">
        <v>14</v>
      </c>
      <c r="H718" s="7" t="n">
        <v>23.85</v>
      </c>
      <c r="I718" s="0" t="inlineStr">
        <is>
          <t>Ingenuity Core 128</t>
        </is>
      </c>
      <c r="J718" s="0" t="inlineStr">
        <is>
          <t>Pre 3mm, iDose (3)</t>
        </is>
      </c>
      <c r="K718" t="n">
        <v>172.9</v>
      </c>
      <c r="L718" t="n">
        <v>71.3</v>
      </c>
      <c r="M718" t="n">
        <v>53.19</v>
      </c>
    </row>
    <row r="719">
      <c r="A719" s="2" t="n">
        <v>5553660</v>
      </c>
      <c r="B719" s="2" t="n">
        <v>60</v>
      </c>
      <c r="C719" s="2" t="inlineStr">
        <is>
          <t>M</t>
        </is>
      </c>
      <c r="D719" s="2" t="n">
        <v>100</v>
      </c>
      <c r="E719" s="4">
        <f>HYPERLINK("./Results/DLO\20181001_1.3.12.2.1107.5.1.4.54310.30000018100123342643700057403_2_512_512_\Osteo_Sarco_1.png","RPT")</f>
        <v/>
      </c>
      <c r="F719" s="3" t="n">
        <v>171</v>
      </c>
      <c r="G719" s="3" t="n">
        <v>6</v>
      </c>
      <c r="H719" s="7" t="n">
        <v>21.72</v>
      </c>
      <c r="I719" s="0" t="inlineStr">
        <is>
          <t>Sensation 64</t>
        </is>
      </c>
      <c r="J719" s="0" t="inlineStr">
        <is>
          <t>With Contrast 3.0 B30f</t>
        </is>
      </c>
      <c r="K719" t="n">
        <v>173</v>
      </c>
      <c r="L719" t="n">
        <v>65</v>
      </c>
      <c r="M719" t="n">
        <v>55.13</v>
      </c>
    </row>
    <row r="720">
      <c r="A720" s="2" t="n">
        <v>8502843</v>
      </c>
      <c r="B720" s="2" t="n">
        <v>60</v>
      </c>
      <c r="C720" s="2" t="inlineStr">
        <is>
          <t>M</t>
        </is>
      </c>
      <c r="D720" s="2" t="n">
        <v>100</v>
      </c>
      <c r="E720" s="4">
        <f>HYPERLINK("./Results/DLO\20191101_1.3.12.2.1107.5.1.4.65253.30000019112420402667700059114_2_512_512_\Osteo_Sarco_1.png","RPT")</f>
        <v/>
      </c>
      <c r="F720" s="3" t="n">
        <v>170</v>
      </c>
      <c r="G720" s="3" t="n">
        <v>7</v>
      </c>
      <c r="H720" s="7" t="n">
        <v>27.14</v>
      </c>
      <c r="I720" s="0" t="inlineStr">
        <is>
          <t>SOMATOM Definition AS</t>
        </is>
      </c>
      <c r="J720" s="0" t="inlineStr">
        <is>
          <t>W/O Contrast 2.0 B30f</t>
        </is>
      </c>
      <c r="K720" t="n">
        <v>171.7</v>
      </c>
      <c r="L720" t="n">
        <v>80</v>
      </c>
      <c r="M720" t="n">
        <v>55.29</v>
      </c>
    </row>
    <row r="721">
      <c r="A721" s="2" t="n">
        <v>8701789</v>
      </c>
      <c r="B721" s="2" t="n">
        <v>60</v>
      </c>
      <c r="C721" s="2" t="inlineStr">
        <is>
          <t>M</t>
        </is>
      </c>
      <c r="D721" s="2" t="n">
        <v>100</v>
      </c>
      <c r="E721" s="4">
        <f>HYPERLINK("./Results/DLO\20180501_1.2.840.113619.2.311.208010177080180262026853306159010039544_305_512_512_\Osteo_Sarco_1.png","RPT")</f>
        <v/>
      </c>
      <c r="F721" s="3" t="n">
        <v>166</v>
      </c>
      <c r="G721" s="3" t="n">
        <v>14</v>
      </c>
      <c r="H721" s="6" t="n">
        <v>26.38</v>
      </c>
      <c r="I721" s="0" t="inlineStr">
        <is>
          <t>Revolution CT</t>
        </is>
      </c>
      <c r="J721" s="0" t="inlineStr">
        <is>
          <t>ABD 2.5mm</t>
        </is>
      </c>
      <c r="K721" t="n">
        <v>171.4</v>
      </c>
      <c r="L721" t="n">
        <v>77.5</v>
      </c>
      <c r="M721" t="n">
        <v>51.74</v>
      </c>
    </row>
    <row r="722">
      <c r="A722" s="2" t="n">
        <v>8571915</v>
      </c>
      <c r="B722" s="2" t="n">
        <v>60</v>
      </c>
      <c r="C722" s="2" t="inlineStr">
        <is>
          <t>M</t>
        </is>
      </c>
      <c r="D722" s="2" t="n">
        <v>100</v>
      </c>
      <c r="E722" s="4">
        <f>HYPERLINK("./Results/DLO\20191201_1.3.46.670589.33.1.63712428306560016600001.5134877238824299262_201_512_512_\Osteo_Sarco_1.png","RPT")</f>
        <v/>
      </c>
      <c r="F722" s="3" t="n">
        <v>162</v>
      </c>
      <c r="G722" s="3" t="n">
        <v>8</v>
      </c>
      <c r="H722" s="7" t="n">
        <v>23.53</v>
      </c>
      <c r="I722" s="0" t="inlineStr">
        <is>
          <t>Ingenuity Core 128</t>
        </is>
      </c>
      <c r="J722" s="0" t="inlineStr">
        <is>
          <t>Post 3mm, iDose (3)</t>
        </is>
      </c>
      <c r="K722" t="n">
        <v>170</v>
      </c>
      <c r="L722" t="n">
        <v>68</v>
      </c>
      <c r="M722" t="n">
        <v>53.29</v>
      </c>
    </row>
    <row r="723">
      <c r="A723" s="2" t="n">
        <v>9485957</v>
      </c>
      <c r="B723" s="2" t="n">
        <v>60</v>
      </c>
      <c r="C723" s="2" t="inlineStr">
        <is>
          <t>M</t>
        </is>
      </c>
      <c r="D723" s="2" t="n">
        <v>100</v>
      </c>
      <c r="E723" s="4">
        <f>HYPERLINK("./Results/DLO\20181001_1.3.12.2.1107.5.1.4.65253.30000018103018572732600012931_2_512_512_\Osteo_Sarco_1.png","RPT")</f>
        <v/>
      </c>
      <c r="F723" s="3" t="n">
        <v>157</v>
      </c>
      <c r="G723" s="3" t="n">
        <v>9</v>
      </c>
      <c r="H723" s="7" t="n">
        <v>26.84</v>
      </c>
      <c r="I723" s="0" t="inlineStr">
        <is>
          <t>SOMATOM Definition AS</t>
        </is>
      </c>
      <c r="J723" s="0" t="inlineStr">
        <is>
          <t>Pre Contrast 3.0 B30f</t>
        </is>
      </c>
      <c r="K723" t="n">
        <v>161.5</v>
      </c>
      <c r="L723" t="n">
        <v>70</v>
      </c>
      <c r="M723" t="n">
        <v>56.74</v>
      </c>
    </row>
    <row r="724">
      <c r="A724" s="2" t="n">
        <v>9974456</v>
      </c>
      <c r="B724" s="2" t="n">
        <v>60</v>
      </c>
      <c r="C724" s="2" t="inlineStr">
        <is>
          <t>M</t>
        </is>
      </c>
      <c r="D724" s="2" t="n">
        <v>100</v>
      </c>
      <c r="E724" s="4">
        <f>HYPERLINK("./Results/DLO\20200201_1.2.410.100011.172.16.64.21.6372634069528479411.2_2_512_512_\Osteo_Sarco_1.png","RPT")</f>
        <v/>
      </c>
      <c r="F724" s="3" t="n">
        <v>151</v>
      </c>
      <c r="G724" s="3" t="n">
        <v>8</v>
      </c>
      <c r="H724" s="6" t="n">
        <v>23.51</v>
      </c>
      <c r="I724" s="0" t="inlineStr">
        <is>
          <t>SOMATOM Definition AS</t>
        </is>
      </c>
      <c r="J724" s="0" t="inlineStr">
        <is>
          <t>abdomen pre 3.0 I40f 2</t>
        </is>
      </c>
      <c r="K724" t="n">
        <v>163.3</v>
      </c>
      <c r="L724" t="n">
        <v>62.7</v>
      </c>
      <c r="M724" t="n">
        <v>53.62</v>
      </c>
    </row>
    <row r="725">
      <c r="A725" s="2" t="n">
        <v>5400427</v>
      </c>
      <c r="B725" s="2" t="n">
        <v>60</v>
      </c>
      <c r="C725" s="2" t="inlineStr">
        <is>
          <t>M</t>
        </is>
      </c>
      <c r="D725" s="2" t="n">
        <v>100</v>
      </c>
      <c r="E725" s="4">
        <f>HYPERLINK("./Results/DLO\20180101_1.3.12.2.1107.5.1.4.54310.30000018013023115745300002996_9_512_512_\Osteo_Sarco_1.png","RPT")</f>
        <v/>
      </c>
      <c r="F725" s="3" t="n">
        <v>148</v>
      </c>
      <c r="G725" s="3" t="n">
        <v>9</v>
      </c>
      <c r="H725" s="7" t="n">
        <v>26.89</v>
      </c>
      <c r="I725" s="0" t="inlineStr">
        <is>
          <t>Sensation 64</t>
        </is>
      </c>
      <c r="J725" s="0" t="inlineStr">
        <is>
          <t>Delay 3.0 B30f</t>
        </is>
      </c>
      <c r="K725" t="n">
        <v>170.1</v>
      </c>
      <c r="L725" t="n">
        <v>77.8</v>
      </c>
      <c r="M725" t="n">
        <v>48.04</v>
      </c>
    </row>
    <row r="726">
      <c r="A726" s="2" t="n">
        <v>9528010</v>
      </c>
      <c r="B726" s="2" t="n">
        <v>60</v>
      </c>
      <c r="C726" s="2" t="inlineStr">
        <is>
          <t>M</t>
        </is>
      </c>
      <c r="D726" s="2" t="n">
        <v>100</v>
      </c>
      <c r="E726" s="4">
        <f>HYPERLINK("./Results/DLO\20190101_1.3.46.670589.33.1.63682538317682145900001.4817309626651682940_201_512_512_\Osteo_Sarco_1.png","RPT")</f>
        <v/>
      </c>
      <c r="F726" s="3" t="n">
        <v>148</v>
      </c>
      <c r="G726" s="3" t="n">
        <v>7</v>
      </c>
      <c r="H726" s="7" t="n">
        <v>25.51</v>
      </c>
      <c r="I726" s="0" t="inlineStr">
        <is>
          <t>Ingenuity Core 128</t>
        </is>
      </c>
      <c r="J726" s="0" t="inlineStr">
        <is>
          <t>Post 3mm, iDose (3)</t>
        </is>
      </c>
      <c r="K726" t="n">
        <v>168</v>
      </c>
      <c r="L726" t="n">
        <v>72</v>
      </c>
      <c r="M726" t="n">
        <v>49.96</v>
      </c>
    </row>
    <row r="727">
      <c r="A727" s="2" t="n">
        <v>9007487</v>
      </c>
      <c r="B727" s="2" t="n">
        <v>60</v>
      </c>
      <c r="C727" s="2" t="inlineStr">
        <is>
          <t>M</t>
        </is>
      </c>
      <c r="D727" s="2" t="n">
        <v>100</v>
      </c>
      <c r="E727" s="4">
        <f>HYPERLINK("./Results/DLO\20190301_1.3.12.2.1107.5.1.4.65253.30000019032320075768000015086_2_512_512_\Osteo_Sarco_1.png","RPT")</f>
        <v/>
      </c>
      <c r="F727" s="3" t="n">
        <v>146</v>
      </c>
      <c r="G727" s="3" t="n">
        <v>8</v>
      </c>
      <c r="H727" s="7" t="n">
        <v>24.68</v>
      </c>
      <c r="I727" s="0" t="inlineStr">
        <is>
          <t>SOMATOM Definition AS</t>
        </is>
      </c>
      <c r="J727" s="0" t="inlineStr">
        <is>
          <t>Pre Contrast 3.0 B30f</t>
        </is>
      </c>
      <c r="K727" t="n">
        <v>166</v>
      </c>
      <c r="L727" t="n">
        <v>68</v>
      </c>
      <c r="M727" t="n">
        <v>50.08</v>
      </c>
    </row>
    <row r="728">
      <c r="A728" s="2" t="n">
        <v>5954285</v>
      </c>
      <c r="B728" s="2" t="n">
        <v>60</v>
      </c>
      <c r="C728" s="2" t="inlineStr">
        <is>
          <t>M</t>
        </is>
      </c>
      <c r="D728" s="2" t="n">
        <v>100</v>
      </c>
      <c r="E728" s="4">
        <f>HYPERLINK("./Results/DLO\20200501_1.2.840.113619.2.416.91047213641595426617529982317042682023_303_512_512_\Osteo_Sarco_1.png","RPT")</f>
        <v/>
      </c>
      <c r="F728" s="3" t="n">
        <v>146</v>
      </c>
      <c r="G728" s="3" t="n">
        <v>8</v>
      </c>
      <c r="H728" s="7" t="n">
        <v>24.16</v>
      </c>
      <c r="I728" s="0" t="inlineStr">
        <is>
          <t>Revolution CT</t>
        </is>
      </c>
      <c r="J728" s="0" t="inlineStr">
        <is>
          <t>POST TF-M</t>
        </is>
      </c>
      <c r="K728" t="n">
        <v>169</v>
      </c>
      <c r="L728" t="n">
        <v>69</v>
      </c>
      <c r="M728" t="n">
        <v>48.32</v>
      </c>
    </row>
    <row r="729">
      <c r="A729" s="2" t="n">
        <v>6737517</v>
      </c>
      <c r="B729" s="2" t="n">
        <v>60</v>
      </c>
      <c r="C729" s="2" t="inlineStr">
        <is>
          <t>M</t>
        </is>
      </c>
      <c r="D729" s="2" t="n">
        <v>100</v>
      </c>
      <c r="E729" s="4">
        <f>HYPERLINK("./Results/DLO\20180501_1.3.12.2.1107.5.1.4.54310.30000018052423121998400004929_2_512_512_\Osteo_Sarco_1.png","RPT")</f>
        <v/>
      </c>
      <c r="F729" s="3" t="n">
        <v>140</v>
      </c>
      <c r="G729" s="3" t="n">
        <v>6</v>
      </c>
      <c r="H729" s="7" t="n">
        <v>26.37</v>
      </c>
      <c r="I729" s="0" t="inlineStr">
        <is>
          <t>Sensation 64</t>
        </is>
      </c>
      <c r="J729" s="0" t="inlineStr">
        <is>
          <t>With Contrast 3.0 B30f</t>
        </is>
      </c>
      <c r="K729" t="n">
        <v>165.8</v>
      </c>
      <c r="L729" t="n">
        <v>72.5</v>
      </c>
      <c r="M729" t="n">
        <v>48.75</v>
      </c>
    </row>
    <row r="730">
      <c r="A730" s="2" t="n">
        <v>5642002</v>
      </c>
      <c r="B730" s="2" t="n">
        <v>60</v>
      </c>
      <c r="C730" s="2" t="inlineStr">
        <is>
          <t>F</t>
        </is>
      </c>
      <c r="D730" s="2" t="n">
        <v>100</v>
      </c>
      <c r="E730" s="4">
        <f>HYPERLINK("./Results/DLO\20180401_1.2.840.113619.2.416.247734809164555291394089994184761525104_304_512_512_\Osteo_Sarco_1.png","RPT")</f>
        <v/>
      </c>
      <c r="F730" s="3" t="n">
        <v>137</v>
      </c>
      <c r="G730" s="3" t="n">
        <v>10</v>
      </c>
      <c r="H730" s="7" t="n">
        <v>25.38</v>
      </c>
      <c r="I730" s="0" t="inlineStr">
        <is>
          <t>Revolution CT</t>
        </is>
      </c>
      <c r="J730" s="0" t="inlineStr">
        <is>
          <t>ABD 2.5mm</t>
        </is>
      </c>
      <c r="K730" t="n">
        <v>166.2</v>
      </c>
      <c r="L730" t="n">
        <v>70.09999999999999</v>
      </c>
      <c r="M730" t="n">
        <v>45.98</v>
      </c>
    </row>
    <row r="731">
      <c r="A731" s="2" t="n">
        <v>4681481</v>
      </c>
      <c r="B731" s="2" t="n">
        <v>60</v>
      </c>
      <c r="C731" s="2" t="inlineStr">
        <is>
          <t>F</t>
        </is>
      </c>
      <c r="D731" s="2" t="n">
        <v>100</v>
      </c>
      <c r="E731" s="4">
        <f>HYPERLINK("./Results/DLO\20180201_1.2.840.113619.2.94.485650834948.2.8673233.18721130.1_2_512_512_\Osteo_Sarco_1.png","RPT")</f>
        <v/>
      </c>
      <c r="F731" s="3" t="n">
        <v>135</v>
      </c>
      <c r="G731" s="3" t="n">
        <v>14</v>
      </c>
      <c r="H731" s="6" t="n">
        <v>27.17</v>
      </c>
      <c r="I731" s="0" t="inlineStr">
        <is>
          <t>Sensation 64</t>
        </is>
      </c>
      <c r="J731" s="0" t="inlineStr">
        <is>
          <t>With Contrast 3.0 B30f</t>
        </is>
      </c>
      <c r="K731" t="n">
        <v>158.2</v>
      </c>
      <c r="L731" t="n">
        <v>68</v>
      </c>
      <c r="M731" t="n">
        <v>48.35</v>
      </c>
    </row>
    <row r="732">
      <c r="A732" s="2" t="n">
        <v>6737811</v>
      </c>
      <c r="B732" s="2" t="n">
        <v>60</v>
      </c>
      <c r="C732" s="2" t="inlineStr">
        <is>
          <t>F</t>
        </is>
      </c>
      <c r="D732" s="2" t="n">
        <v>100</v>
      </c>
      <c r="E732" s="4">
        <f>HYPERLINK("./Results/DLO\20180101_1.2.840.113619.2.311.24806101870163044486499958023939686697_304_512_512_\Osteo_Sarco_1.png","RPT")</f>
        <v/>
      </c>
      <c r="F732" s="3" t="n">
        <v>132</v>
      </c>
      <c r="G732" s="3" t="n">
        <v>18</v>
      </c>
      <c r="H732" s="7" t="n">
        <v>24.53</v>
      </c>
      <c r="I732" s="0" t="inlineStr">
        <is>
          <t>Revolution CT</t>
        </is>
      </c>
      <c r="J732" s="0" t="inlineStr">
        <is>
          <t>ABD 2.5mm</t>
        </is>
      </c>
      <c r="K732" t="n">
        <v>150.7</v>
      </c>
      <c r="L732" t="n">
        <v>55.7</v>
      </c>
      <c r="M732" t="n">
        <v>50.2</v>
      </c>
    </row>
    <row r="733">
      <c r="A733" s="2" t="n">
        <v>9689853</v>
      </c>
      <c r="B733" s="2" t="n">
        <v>60</v>
      </c>
      <c r="C733" s="2" t="inlineStr">
        <is>
          <t>F</t>
        </is>
      </c>
      <c r="D733" s="2" t="n">
        <v>100</v>
      </c>
      <c r="E733" s="4">
        <f>HYPERLINK("./Results/DLO\20190601_1.3.12.2.1107.5.1.4.54310.30000019061821272012500065127_6_512_512_\Osteo_Sarco_1.png","RPT")</f>
        <v/>
      </c>
      <c r="F733" s="3" t="n">
        <v>125</v>
      </c>
      <c r="G733" s="3" t="n">
        <v>8</v>
      </c>
      <c r="H733" s="7" t="n">
        <v>23.82</v>
      </c>
      <c r="I733" s="0" t="inlineStr">
        <is>
          <t>Sensation 64</t>
        </is>
      </c>
      <c r="J733" s="0" t="inlineStr">
        <is>
          <t>ABD Contrast 3.0 B30f</t>
        </is>
      </c>
      <c r="K733" t="n">
        <v>160.8</v>
      </c>
      <c r="L733" t="n">
        <v>61.6</v>
      </c>
      <c r="M733" t="n">
        <v>45.25</v>
      </c>
    </row>
    <row r="734">
      <c r="A734" s="2" t="n">
        <v>9756117</v>
      </c>
      <c r="B734" s="2" t="n">
        <v>60</v>
      </c>
      <c r="C734" s="2" t="inlineStr">
        <is>
          <t>M</t>
        </is>
      </c>
      <c r="D734" s="2" t="n">
        <v>100</v>
      </c>
      <c r="E734" s="4">
        <f>HYPERLINK("./Results/DLO\20190901_1.3.12.2.1107.5.1.4.65253.30000019083019581583200123089_4_512_512_\Osteo_Sarco_1.png","RPT")</f>
        <v/>
      </c>
      <c r="F734" s="3" t="n">
        <v>124</v>
      </c>
      <c r="G734" s="3" t="n">
        <v>6</v>
      </c>
      <c r="H734" s="7" t="n">
        <v>24.92</v>
      </c>
      <c r="I734" s="0" t="inlineStr">
        <is>
          <t>SOMATOM Definition AS</t>
        </is>
      </c>
      <c r="J734" s="0" t="inlineStr">
        <is>
          <t>Arterial Phase 3.0 B30f</t>
        </is>
      </c>
      <c r="K734" t="n">
        <v>167.6</v>
      </c>
      <c r="L734" t="n">
        <v>70</v>
      </c>
      <c r="M734" t="n">
        <v>42.01</v>
      </c>
    </row>
    <row r="735">
      <c r="A735" s="2" t="n">
        <v>3399551</v>
      </c>
      <c r="B735" s="2" t="n">
        <v>60</v>
      </c>
      <c r="C735" s="2" t="inlineStr">
        <is>
          <t>F</t>
        </is>
      </c>
      <c r="D735" s="2" t="n">
        <v>100</v>
      </c>
      <c r="E735" s="4">
        <f>HYPERLINK("./Results/DLO\20180301_1.3.12.2.1107.5.1.4.54310.30000018030223453910900000234_3_512_512_\Osteo_Sarco_1.png","RPT")</f>
        <v/>
      </c>
      <c r="F735" s="3" t="n">
        <v>117</v>
      </c>
      <c r="G735" s="3" t="n">
        <v>11</v>
      </c>
      <c r="H735" s="7" t="n">
        <v>25.47</v>
      </c>
      <c r="I735" s="0" t="inlineStr">
        <is>
          <t>Sensation 64</t>
        </is>
      </c>
      <c r="J735" s="0" t="inlineStr">
        <is>
          <t>Pre Contrast 3.0 B30f</t>
        </is>
      </c>
      <c r="K735" t="n">
        <v>159</v>
      </c>
      <c r="L735" t="n">
        <v>64.40000000000001</v>
      </c>
      <c r="M735" t="n">
        <v>41.93</v>
      </c>
    </row>
    <row r="736">
      <c r="A736" s="2" t="n">
        <v>8662121</v>
      </c>
      <c r="B736" s="2" t="n">
        <v>60</v>
      </c>
      <c r="C736" s="2" t="inlineStr">
        <is>
          <t>F</t>
        </is>
      </c>
      <c r="D736" s="2" t="n">
        <v>100</v>
      </c>
      <c r="E736" s="4">
        <f>HYPERLINK("./Results/DLO\20180201_1.2.840.113619.2.311.303123830200895034782041723829388836654_303_512_512_\Osteo_Sarco_1.png","RPT")</f>
        <v/>
      </c>
      <c r="F736" s="3" t="n">
        <v>114</v>
      </c>
      <c r="G736" s="3" t="n">
        <v>23</v>
      </c>
      <c r="H736" s="6" t="n">
        <v>22.75</v>
      </c>
      <c r="I736" s="0" t="inlineStr">
        <is>
          <t>Revolution CT</t>
        </is>
      </c>
      <c r="J736" s="0" t="inlineStr">
        <is>
          <t>ABD 2.5mm</t>
        </is>
      </c>
      <c r="K736" t="n">
        <v>164.4</v>
      </c>
      <c r="L736" t="n">
        <v>61.5</v>
      </c>
      <c r="M736" t="n">
        <v>33.67</v>
      </c>
    </row>
    <row r="737">
      <c r="A737" s="2" t="n">
        <v>6742074</v>
      </c>
      <c r="B737" s="2" t="n">
        <v>60</v>
      </c>
      <c r="C737" s="2" t="inlineStr">
        <is>
          <t>F</t>
        </is>
      </c>
      <c r="D737" s="2" t="n">
        <v>100</v>
      </c>
      <c r="E737" s="4">
        <f>HYPERLINK("./Results/DLO\20181201_1.2.840.113619.2.94.485650834948.2.9268944.20187751.1_2_512_512_\Osteo_Sarco_1.png","RPT")</f>
        <v/>
      </c>
      <c r="F737" s="3" t="n">
        <v>111</v>
      </c>
      <c r="G737" s="3" t="n">
        <v>15</v>
      </c>
      <c r="H737" s="7" t="n">
        <v>24.76</v>
      </c>
      <c r="I737" s="0" t="inlineStr">
        <is>
          <t>Sensation 64</t>
        </is>
      </c>
      <c r="J737" s="0" t="inlineStr">
        <is>
          <t>With Contrast 3.0 B30f</t>
        </is>
      </c>
      <c r="K737" t="n">
        <v>155.4</v>
      </c>
      <c r="L737" t="n">
        <v>59.8</v>
      </c>
      <c r="M737" t="n">
        <v>39.75</v>
      </c>
    </row>
    <row r="738">
      <c r="A738" s="2" t="n">
        <v>8287878</v>
      </c>
      <c r="B738" s="2" t="n">
        <v>60</v>
      </c>
      <c r="C738" s="2" t="inlineStr">
        <is>
          <t>F</t>
        </is>
      </c>
      <c r="D738" s="2" t="n">
        <v>100</v>
      </c>
      <c r="E738" s="4">
        <f>HYPERLINK("./Results/DLO\20180501_1.3.12.2.1107.5.1.4.54310.30000018050223082665600013818_2_512_512_\Osteo_Sarco_1.png","RPT")</f>
        <v/>
      </c>
      <c r="F738" s="3" t="n">
        <v>108</v>
      </c>
      <c r="G738" s="3" t="n">
        <v>15</v>
      </c>
      <c r="H738" s="7" t="n">
        <v>20.78</v>
      </c>
      <c r="I738" s="0" t="inlineStr">
        <is>
          <t>Sensation 64</t>
        </is>
      </c>
      <c r="J738" s="0" t="inlineStr">
        <is>
          <t>Pre Contrast 3.0 B30f</t>
        </is>
      </c>
      <c r="K738" t="n">
        <v>152</v>
      </c>
      <c r="L738" t="n">
        <v>48</v>
      </c>
      <c r="M738" t="n">
        <v>40.25</v>
      </c>
    </row>
    <row r="739">
      <c r="A739" s="2" t="n">
        <v>8999605</v>
      </c>
      <c r="B739" s="2" t="n">
        <v>60</v>
      </c>
      <c r="C739" s="2" t="inlineStr">
        <is>
          <t>F</t>
        </is>
      </c>
      <c r="D739" s="2" t="n">
        <v>100</v>
      </c>
      <c r="E739" s="4">
        <f>HYPERLINK("./Results/DLO\20180601_1.3.12.2.1107.5.1.4.54310.30000018061423463395300012055_2_512_512_\Osteo_Sarco_1.png","RPT")</f>
        <v/>
      </c>
      <c r="F739" s="3" t="n">
        <v>106</v>
      </c>
      <c r="G739" s="3" t="n">
        <v>6</v>
      </c>
      <c r="H739" s="7" t="n">
        <v>21.79</v>
      </c>
      <c r="I739" s="0" t="inlineStr">
        <is>
          <t>Sensation 64</t>
        </is>
      </c>
      <c r="J739" s="0" t="inlineStr">
        <is>
          <t>With Contrast 3.0 B30f</t>
        </is>
      </c>
      <c r="K739" t="n">
        <v>153</v>
      </c>
      <c r="L739" t="n">
        <v>51</v>
      </c>
      <c r="M739" t="n">
        <v>42.72</v>
      </c>
    </row>
    <row r="740">
      <c r="A740" s="2" t="n">
        <v>6738320</v>
      </c>
      <c r="B740" s="2" t="n">
        <v>60</v>
      </c>
      <c r="C740" s="2" t="inlineStr">
        <is>
          <t>F</t>
        </is>
      </c>
      <c r="D740" s="2" t="n">
        <v>100</v>
      </c>
      <c r="E740" s="4">
        <f>HYPERLINK("./Results/DLO\20190701_1.3.12.2.1107.5.1.4.54310.30000019070921141615600014856_2_512_512_\Osteo_Sarco_1.png","RPT")</f>
        <v/>
      </c>
      <c r="F740" s="3" t="n">
        <v>104</v>
      </c>
      <c r="G740" s="3" t="n">
        <v>8</v>
      </c>
      <c r="H740" s="7" t="n">
        <v>22.04</v>
      </c>
      <c r="I740" s="0" t="inlineStr">
        <is>
          <t>Sensation 64</t>
        </is>
      </c>
      <c r="J740" s="0" t="inlineStr">
        <is>
          <t>Pre Contrast 3.0 B30f</t>
        </is>
      </c>
      <c r="K740" t="n">
        <v>165</v>
      </c>
      <c r="L740" t="n">
        <v>60</v>
      </c>
      <c r="M740" t="n">
        <v>35.26</v>
      </c>
    </row>
    <row r="741">
      <c r="A741" s="2" t="n">
        <v>5597076</v>
      </c>
      <c r="B741" s="2" t="n">
        <v>60</v>
      </c>
      <c r="C741" s="2" t="inlineStr">
        <is>
          <t>F</t>
        </is>
      </c>
      <c r="D741" s="2" t="n">
        <v>100</v>
      </c>
      <c r="E741" s="4">
        <f>HYPERLINK("./Results/DLO\20180601_1.3.12.2.1107.5.1.4.54310.30000018062023242529600009134_3_512_512_\Osteo_Sarco_1.png","RPT")</f>
        <v/>
      </c>
      <c r="F741" s="3" t="n">
        <v>103</v>
      </c>
      <c r="G741" s="3" t="n">
        <v>6</v>
      </c>
      <c r="H741" s="7" t="n">
        <v>22.64</v>
      </c>
      <c r="I741" s="0" t="inlineStr">
        <is>
          <t>Sensation 64</t>
        </is>
      </c>
      <c r="J741" s="0" t="inlineStr">
        <is>
          <t>With Contrast 3.0 B30f</t>
        </is>
      </c>
      <c r="K741" t="n">
        <v>153</v>
      </c>
      <c r="L741" t="n">
        <v>53</v>
      </c>
      <c r="M741" t="n">
        <v>41.44</v>
      </c>
    </row>
    <row r="742">
      <c r="A742" s="2" t="n">
        <v>6736927</v>
      </c>
      <c r="B742" s="2" t="n">
        <v>60</v>
      </c>
      <c r="C742" s="2" t="inlineStr">
        <is>
          <t>F</t>
        </is>
      </c>
      <c r="D742" s="2" t="n">
        <v>100</v>
      </c>
      <c r="E742" s="4">
        <f>HYPERLINK("./Results/DLO\20180601_1.3.12.2.1107.5.1.4.65253.30000018053120270839700012840_2_512_512_\Osteo_Sarco_1.png","RPT")</f>
        <v/>
      </c>
      <c r="F742" s="3" t="n">
        <v>103</v>
      </c>
      <c r="G742" s="3" t="n">
        <v>11</v>
      </c>
      <c r="H742" s="7" t="n">
        <v>26.46</v>
      </c>
      <c r="I742" s="0" t="inlineStr">
        <is>
          <t>SOMATOM Definition AS</t>
        </is>
      </c>
      <c r="J742" s="0" t="inlineStr">
        <is>
          <t>Non Contrast 3.0 B30f</t>
        </is>
      </c>
      <c r="K742" t="n">
        <v>151.1</v>
      </c>
      <c r="L742" t="n">
        <v>60.4</v>
      </c>
      <c r="M742" t="n">
        <v>40.3</v>
      </c>
    </row>
    <row r="743">
      <c r="A743" s="2" t="n">
        <v>5663611</v>
      </c>
      <c r="B743" s="2" t="n">
        <v>60</v>
      </c>
      <c r="C743" s="2" t="inlineStr">
        <is>
          <t>F</t>
        </is>
      </c>
      <c r="D743" s="2" t="n">
        <v>100</v>
      </c>
      <c r="E743" s="4">
        <f>HYPERLINK("./Results/DLO\20191001_1.3.46.670589.33.1.63706747708256350200001.4945649390006429961_301_512_512_\Osteo_Sarco_1.png","RPT")</f>
        <v/>
      </c>
      <c r="F743" s="3" t="n">
        <v>101</v>
      </c>
      <c r="G743" s="3" t="n">
        <v>7</v>
      </c>
      <c r="H743" s="7" t="n">
        <v>25.04</v>
      </c>
      <c r="I743" s="0" t="inlineStr">
        <is>
          <t>Ingenuity Core 128</t>
        </is>
      </c>
      <c r="J743" s="0" t="inlineStr">
        <is>
          <t>Post 3mm, iDose (3)</t>
        </is>
      </c>
      <c r="K743" t="n">
        <v>152.4</v>
      </c>
      <c r="L743" t="n">
        <v>58.15</v>
      </c>
      <c r="M743" t="n">
        <v>40.47</v>
      </c>
    </row>
    <row r="744">
      <c r="A744" s="2" t="n">
        <v>8295294</v>
      </c>
      <c r="B744" s="2" t="n">
        <v>60</v>
      </c>
      <c r="C744" s="2" t="inlineStr">
        <is>
          <t>F</t>
        </is>
      </c>
      <c r="D744" s="2" t="n">
        <v>100</v>
      </c>
      <c r="E744" s="4">
        <f>HYPERLINK("./Results/DLO\20181001_1.2.840.113619.2.311.282547392134162793147986106648553084386_304_512_512_\Osteo_Sarco_1.png","RPT")</f>
        <v/>
      </c>
      <c r="F744" s="3" t="n">
        <v>100</v>
      </c>
      <c r="G744" s="3" t="n">
        <v>11</v>
      </c>
      <c r="H744" s="6" t="n">
        <v>22.43</v>
      </c>
      <c r="I744" s="0" t="inlineStr">
        <is>
          <t>Revolution CT</t>
        </is>
      </c>
      <c r="J744" s="0" t="inlineStr">
        <is>
          <t>ABD 2.5mm</t>
        </is>
      </c>
      <c r="K744" t="n">
        <v>164.9</v>
      </c>
      <c r="L744" t="n">
        <v>61</v>
      </c>
      <c r="M744" t="n">
        <v>32.73</v>
      </c>
    </row>
    <row r="745">
      <c r="A745" s="2" t="n">
        <v>1325942</v>
      </c>
      <c r="B745" s="2" t="n">
        <v>60</v>
      </c>
      <c r="C745" s="2" t="inlineStr">
        <is>
          <t>F</t>
        </is>
      </c>
      <c r="D745" s="2" t="n">
        <v>100</v>
      </c>
      <c r="E745" s="4">
        <f>HYPERLINK("./Results/DLO\20181001_1.3.12.2.1107.5.1.4.54310.30000018100323223954600024481_3_512_512_\Osteo_Sarco_1.png","RPT")</f>
        <v/>
      </c>
      <c r="F745" s="3" t="n">
        <v>100</v>
      </c>
      <c r="G745" s="3" t="n">
        <v>11</v>
      </c>
      <c r="H745" s="7" t="n">
        <v>22.1</v>
      </c>
      <c r="I745" s="0" t="inlineStr">
        <is>
          <t>Sensation 64</t>
        </is>
      </c>
      <c r="J745" s="0" t="inlineStr">
        <is>
          <t>With Contrast 3.0 B30f</t>
        </is>
      </c>
      <c r="K745" t="n">
        <v>162</v>
      </c>
      <c r="L745" t="n">
        <v>58</v>
      </c>
      <c r="M745" t="n">
        <v>33.91</v>
      </c>
    </row>
    <row r="746">
      <c r="A746" s="2" t="n">
        <v>8305937</v>
      </c>
      <c r="B746" s="2" t="n">
        <v>61</v>
      </c>
      <c r="C746" s="2" t="inlineStr">
        <is>
          <t>F</t>
        </is>
      </c>
      <c r="D746" s="2" t="n">
        <v>100</v>
      </c>
      <c r="E746" s="4">
        <f>HYPERLINK("./Results/DLO\20180301_1.3.12.2.1107.5.1.4.54310.30000018032823230890600009150_2_512_512_\Osteo_Sarco_1.png","RPT")</f>
        <v/>
      </c>
      <c r="F746" s="3" t="n">
        <v>99</v>
      </c>
      <c r="G746" s="3" t="n">
        <v>7</v>
      </c>
      <c r="H746" s="7" t="n">
        <v>23.05</v>
      </c>
      <c r="I746" s="0" t="inlineStr">
        <is>
          <t>Sensation 64</t>
        </is>
      </c>
      <c r="J746" s="0" t="inlineStr">
        <is>
          <t>With Contrast 3.0 B30f</t>
        </is>
      </c>
      <c r="K746" t="n">
        <v>158.2</v>
      </c>
      <c r="L746" t="n">
        <v>57.7</v>
      </c>
      <c r="M746" t="n">
        <v>36.76</v>
      </c>
    </row>
    <row r="747">
      <c r="A747" s="2" t="n">
        <v>8978647</v>
      </c>
      <c r="B747" s="2" t="n">
        <v>61</v>
      </c>
      <c r="C747" s="2" t="inlineStr">
        <is>
          <t>F</t>
        </is>
      </c>
      <c r="D747" s="2" t="n">
        <v>100</v>
      </c>
      <c r="E747" s="4">
        <f>HYPERLINK("./Results/DLO\20180601_1.3.46.670589.33.1.63665262299677181700001.4886293737524869066_201_512_512_\Osteo_Sarco_1.png","RPT")</f>
        <v/>
      </c>
      <c r="F747" s="3" t="n">
        <v>99</v>
      </c>
      <c r="G747" s="3" t="n">
        <v>8</v>
      </c>
      <c r="H747" s="7" t="n">
        <v>21.23</v>
      </c>
      <c r="I747" s="0" t="inlineStr">
        <is>
          <t>Ingenuity Core 128</t>
        </is>
      </c>
      <c r="J747" s="0" t="inlineStr">
        <is>
          <t>Post 100/236 i3, iDose (3)</t>
        </is>
      </c>
      <c r="K747" t="n">
        <v>158</v>
      </c>
      <c r="L747" t="n">
        <v>53</v>
      </c>
      <c r="M747" t="n">
        <v>36.45</v>
      </c>
    </row>
    <row r="748">
      <c r="A748" s="2" t="n">
        <v>8860099</v>
      </c>
      <c r="B748" s="2" t="n">
        <v>61</v>
      </c>
      <c r="C748" s="2" t="inlineStr">
        <is>
          <t>F</t>
        </is>
      </c>
      <c r="D748" s="2" t="n">
        <v>100</v>
      </c>
      <c r="E748" s="4">
        <f>HYPERLINK("./Results/DLO\20180401_1.3.12.2.1107.5.1.4.54310.30000018041823081834300014883_3_512_512_\Osteo_Sarco_1.png","RPT")</f>
        <v/>
      </c>
      <c r="F748" s="3" t="n">
        <v>96</v>
      </c>
      <c r="G748" s="3" t="n">
        <v>9</v>
      </c>
      <c r="H748" s="7" t="n">
        <v>25.44</v>
      </c>
      <c r="I748" s="0" t="inlineStr">
        <is>
          <t>Sensation 64</t>
        </is>
      </c>
      <c r="J748" s="0" t="inlineStr">
        <is>
          <t>With Contrast 3.0 B30f</t>
        </is>
      </c>
      <c r="K748" t="n">
        <v>158</v>
      </c>
      <c r="L748" t="n">
        <v>63.5</v>
      </c>
      <c r="M748" t="n">
        <v>34.85</v>
      </c>
    </row>
    <row r="749">
      <c r="A749" s="2" t="n">
        <v>5586517</v>
      </c>
      <c r="B749" s="2" t="n">
        <v>61</v>
      </c>
      <c r="C749" s="2" t="inlineStr">
        <is>
          <t>F</t>
        </is>
      </c>
      <c r="D749" s="2" t="n">
        <v>100</v>
      </c>
      <c r="E749" s="4">
        <f>HYPERLINK("./Results/DLO\20180201_1.3.12.2.1107.5.1.4.54310.30000018020823081534300026719_2_512_512_\Osteo_Sarco_1.png","RPT")</f>
        <v/>
      </c>
      <c r="F749" s="3" t="n">
        <v>95</v>
      </c>
      <c r="G749" s="3" t="n">
        <v>8</v>
      </c>
      <c r="H749" s="7" t="n">
        <v>23.21</v>
      </c>
      <c r="I749" s="0" t="inlineStr">
        <is>
          <t>Sensation 64</t>
        </is>
      </c>
      <c r="J749" s="0" t="inlineStr">
        <is>
          <t>Pre Contrast 3.0 B30f</t>
        </is>
      </c>
      <c r="K749" t="n">
        <v>160.5</v>
      </c>
      <c r="L749" t="n">
        <v>59.8</v>
      </c>
      <c r="M749" t="n">
        <v>33.77</v>
      </c>
    </row>
    <row r="750">
      <c r="A750" s="2" t="n">
        <v>8608724</v>
      </c>
      <c r="B750" s="2" t="n">
        <v>61</v>
      </c>
      <c r="C750" s="2" t="inlineStr">
        <is>
          <t>F</t>
        </is>
      </c>
      <c r="D750" s="2" t="n">
        <v>100</v>
      </c>
      <c r="E750" s="4">
        <f>HYPERLINK("./Results/DLO\20190501_1.3.46.670589.33.1.63694638878206262200001.5675365064062875417_201_512_512_\Osteo_Sarco_1.png","RPT")</f>
        <v/>
      </c>
      <c r="F750" s="3" t="n">
        <v>93</v>
      </c>
      <c r="G750" s="3" t="n">
        <v>14</v>
      </c>
      <c r="H750" s="7" t="n">
        <v>17.71</v>
      </c>
      <c r="I750" s="0" t="inlineStr">
        <is>
          <t>Ingenuity Core 128</t>
        </is>
      </c>
      <c r="J750" s="0" t="inlineStr">
        <is>
          <t>Post 3mm, iDose (3)</t>
        </is>
      </c>
      <c r="K750" t="n">
        <v>173</v>
      </c>
      <c r="L750" t="n">
        <v>53</v>
      </c>
      <c r="M750" t="n">
        <v>26.4</v>
      </c>
    </row>
    <row r="751">
      <c r="A751" s="2" t="n">
        <v>5116531</v>
      </c>
      <c r="B751" s="2" t="n">
        <v>61</v>
      </c>
      <c r="C751" s="2" t="inlineStr">
        <is>
          <t>F</t>
        </is>
      </c>
      <c r="D751" s="2" t="n">
        <v>100</v>
      </c>
      <c r="E751" s="4">
        <f>HYPERLINK("./Results/DLO\20200501_1.3.46.670589.33.1.63725569056052364200001.4781798020740391096_201_512_512_\Osteo_Sarco_1.png","RPT")</f>
        <v/>
      </c>
      <c r="F751" s="3" t="n">
        <v>91</v>
      </c>
      <c r="G751" s="3" t="n">
        <v>9</v>
      </c>
      <c r="H751" s="7" t="n">
        <v>20.93</v>
      </c>
      <c r="I751" s="0" t="inlineStr">
        <is>
          <t>Ingenuity Core 128</t>
        </is>
      </c>
      <c r="J751" s="0" t="inlineStr">
        <is>
          <t>Pre 3mm, iDose (3)</t>
        </is>
      </c>
      <c r="K751" t="n">
        <v>153</v>
      </c>
      <c r="L751" t="n">
        <v>49</v>
      </c>
      <c r="M751" t="n">
        <v>35.03</v>
      </c>
    </row>
    <row r="752">
      <c r="A752" s="2" t="n">
        <v>5922311</v>
      </c>
      <c r="B752" s="2" t="n">
        <v>61</v>
      </c>
      <c r="C752" s="2" t="inlineStr">
        <is>
          <t>F</t>
        </is>
      </c>
      <c r="D752" s="2" t="n">
        <v>100</v>
      </c>
      <c r="E752" s="4">
        <f>HYPERLINK("./Results/DLO\20190601_1.3.12.2.1107.5.1.4.54310.30000019061121210946800028206_6_512_512_\Osteo_Sarco_1.png","RPT")</f>
        <v/>
      </c>
      <c r="F752" s="3" t="n">
        <v>77</v>
      </c>
      <c r="G752" s="3" t="n">
        <v>7</v>
      </c>
      <c r="H752" s="7" t="n">
        <v>18.36</v>
      </c>
      <c r="I752" s="0" t="inlineStr">
        <is>
          <t>Sensation 64</t>
        </is>
      </c>
      <c r="J752" s="0" t="inlineStr">
        <is>
          <t>ABD Contrast 3.0 B30f</t>
        </is>
      </c>
      <c r="K752" t="n">
        <v>150</v>
      </c>
      <c r="L752" t="n">
        <v>41.3</v>
      </c>
      <c r="M752" t="n">
        <v>31.11</v>
      </c>
    </row>
    <row r="753">
      <c r="A753" s="2" t="n">
        <v>5027124</v>
      </c>
      <c r="B753" s="2" t="n">
        <v>61</v>
      </c>
      <c r="C753" s="2" t="inlineStr">
        <is>
          <t>M</t>
        </is>
      </c>
      <c r="D753" s="2" t="n">
        <v>100</v>
      </c>
      <c r="E753" s="4">
        <f>HYPERLINK("./Results/DLO\20180201_1.3.12.2.1107.5.1.4.54310.30000018020823251125000001918_2_512_512_\Osteo_Sarco_1.png","RPT")</f>
        <v/>
      </c>
      <c r="F753" s="3" t="n">
        <v>198</v>
      </c>
      <c r="G753" s="3" t="n">
        <v>11</v>
      </c>
      <c r="H753" s="6" t="n">
        <v>29.76</v>
      </c>
      <c r="I753" s="0" t="inlineStr">
        <is>
          <t>Sensation 64</t>
        </is>
      </c>
      <c r="J753" s="0" t="inlineStr">
        <is>
          <t>W/O Contrast 3.0 B30f</t>
        </is>
      </c>
      <c r="K753" t="n">
        <v>170</v>
      </c>
      <c r="L753" t="n">
        <v>86</v>
      </c>
      <c r="M753" t="n">
        <v>64.70999999999999</v>
      </c>
    </row>
    <row r="754">
      <c r="A754" s="2" t="n">
        <v>5024921</v>
      </c>
      <c r="B754" s="2" t="n">
        <v>61</v>
      </c>
      <c r="C754" s="2" t="inlineStr">
        <is>
          <t>M</t>
        </is>
      </c>
      <c r="D754" s="2" t="n">
        <v>100</v>
      </c>
      <c r="E754" s="4">
        <f>HYPERLINK("./Results/DLO\20190201_1.2.840.113619.2.416.173115557273546936261478558676010532583_301_512_512_\Osteo_Sarco_1.png","RPT")</f>
        <v/>
      </c>
      <c r="F754" s="3" t="n">
        <v>194</v>
      </c>
      <c r="G754" s="3" t="n">
        <v>16</v>
      </c>
      <c r="H754" s="6" t="n">
        <v>27.43</v>
      </c>
      <c r="I754" s="0" t="inlineStr">
        <is>
          <t>Revolution CT</t>
        </is>
      </c>
      <c r="J754" s="0" t="inlineStr">
        <is>
          <t>ARTERY</t>
        </is>
      </c>
      <c r="K754" t="n">
        <v>175</v>
      </c>
      <c r="L754" t="n">
        <v>84</v>
      </c>
      <c r="M754" t="n">
        <v>58.12</v>
      </c>
    </row>
    <row r="755">
      <c r="A755" s="2" t="n">
        <v>5344947</v>
      </c>
      <c r="B755" s="2" t="n">
        <v>61</v>
      </c>
      <c r="C755" s="2" t="inlineStr">
        <is>
          <t>M</t>
        </is>
      </c>
      <c r="D755" s="2" t="n">
        <v>100</v>
      </c>
      <c r="E755" s="4">
        <f>HYPERLINK("./Results/DLO\20190101_1.3.46.670589.33.1.63682883007155458300001.4813772839266402813_301_512_512_\Osteo_Sarco_1.png","RPT")</f>
        <v/>
      </c>
      <c r="F755" s="3" t="n">
        <v>188</v>
      </c>
      <c r="G755" s="3" t="n">
        <v>7</v>
      </c>
      <c r="H755" s="7" t="n">
        <v>31.61</v>
      </c>
      <c r="I755" s="0" t="inlineStr">
        <is>
          <t>Ingenuity Core 128</t>
        </is>
      </c>
      <c r="J755" s="0" t="inlineStr">
        <is>
          <t>Post 3mm, iDose (3)</t>
        </is>
      </c>
      <c r="K755" t="n">
        <v>170.7</v>
      </c>
      <c r="L755" t="n">
        <v>92.09999999999999</v>
      </c>
      <c r="M755" t="n">
        <v>62.12</v>
      </c>
    </row>
    <row r="756">
      <c r="A756" s="2" t="n">
        <v>5158026</v>
      </c>
      <c r="B756" s="2" t="n">
        <v>61</v>
      </c>
      <c r="C756" s="2" t="inlineStr">
        <is>
          <t>M</t>
        </is>
      </c>
      <c r="D756" s="2" t="n">
        <v>100</v>
      </c>
      <c r="E756" s="4">
        <f>HYPERLINK("./Results/DLO\20190901_1.3.12.2.1107.5.1.4.65253.30000019091621022448300077475_2_512_512_\Osteo_Sarco_1.png","RPT")</f>
        <v/>
      </c>
      <c r="F756" s="3" t="n">
        <v>174</v>
      </c>
      <c r="G756" s="3" t="n">
        <v>9</v>
      </c>
      <c r="H756" s="7" t="n">
        <v>21.3</v>
      </c>
      <c r="I756" s="0" t="inlineStr">
        <is>
          <t>SOMATOM Definition AS</t>
        </is>
      </c>
      <c r="J756" s="0" t="inlineStr">
        <is>
          <t>Pre Contrast 3.0 B30f</t>
        </is>
      </c>
      <c r="K756" t="n">
        <v>172</v>
      </c>
      <c r="L756" t="n">
        <v>63</v>
      </c>
      <c r="M756" t="n">
        <v>55.77</v>
      </c>
    </row>
    <row r="757">
      <c r="A757" s="2" t="n">
        <v>6743363</v>
      </c>
      <c r="B757" s="2" t="n">
        <v>61</v>
      </c>
      <c r="C757" s="2" t="inlineStr">
        <is>
          <t>M</t>
        </is>
      </c>
      <c r="D757" s="2" t="n">
        <v>100</v>
      </c>
      <c r="E757" s="4">
        <f>HYPERLINK("./Results/DLO\20191101_1.3.12.2.1107.5.1.4.54310.30000019111922145526500031361_2_512_512_\Osteo_Sarco_1.png","RPT")</f>
        <v/>
      </c>
      <c r="F757" s="3" t="n">
        <v>166</v>
      </c>
      <c r="G757" s="3" t="n">
        <v>11</v>
      </c>
      <c r="H757" s="7" t="n">
        <v>25.64</v>
      </c>
      <c r="I757" s="0" t="inlineStr">
        <is>
          <t>Sensation 64</t>
        </is>
      </c>
      <c r="J757" s="0" t="inlineStr">
        <is>
          <t>With Contrast 3.0 B30f</t>
        </is>
      </c>
      <c r="K757" t="n">
        <v>165</v>
      </c>
      <c r="L757" t="n">
        <v>69.8</v>
      </c>
      <c r="M757" t="n">
        <v>56.93</v>
      </c>
    </row>
    <row r="758">
      <c r="A758" s="2" t="n">
        <v>2694856</v>
      </c>
      <c r="B758" s="2" t="n">
        <v>61</v>
      </c>
      <c r="C758" s="2" t="inlineStr">
        <is>
          <t>M</t>
        </is>
      </c>
      <c r="D758" s="2" t="n">
        <v>100</v>
      </c>
      <c r="E758" s="4">
        <f>HYPERLINK("./Results/DLO\20180801_1.3.46.670589.33.1.63669489939453840200001.5098161664949122964_201_512_512_\Osteo_Sarco_1.png","RPT")</f>
        <v/>
      </c>
      <c r="F758" s="3" t="n">
        <v>165</v>
      </c>
      <c r="G758" s="3" t="n">
        <v>5</v>
      </c>
      <c r="H758" s="6" t="n">
        <v>26.64</v>
      </c>
      <c r="I758" s="0" t="inlineStr">
        <is>
          <t>Ingenuity Core 128</t>
        </is>
      </c>
      <c r="J758" s="0" t="inlineStr">
        <is>
          <t>Post 100/236 i3, iDose (3)</t>
        </is>
      </c>
      <c r="K758" t="n">
        <v>169</v>
      </c>
      <c r="L758" t="n">
        <v>76.09999999999999</v>
      </c>
      <c r="M758" t="n">
        <v>56.02</v>
      </c>
    </row>
    <row r="759">
      <c r="A759" s="2" t="n">
        <v>9008942</v>
      </c>
      <c r="B759" s="2" t="n">
        <v>61</v>
      </c>
      <c r="C759" s="2" t="inlineStr">
        <is>
          <t>M</t>
        </is>
      </c>
      <c r="D759" s="2" t="n">
        <v>100</v>
      </c>
      <c r="E759" s="4">
        <f>HYPERLINK("./Results/DLO\20190101_1.3.12.2.1107.5.1.4.54310.30000019010923263304600008359_3_512_512_\Osteo_Sarco_1.png","RPT")</f>
        <v/>
      </c>
      <c r="F759" s="3" t="n">
        <v>165</v>
      </c>
      <c r="G759" s="3" t="n">
        <v>15</v>
      </c>
      <c r="H759" s="7" t="n">
        <v>24.84</v>
      </c>
      <c r="I759" s="0" t="inlineStr">
        <is>
          <t>Sensation 64</t>
        </is>
      </c>
      <c r="J759" s="0" t="inlineStr">
        <is>
          <t>Pre Contrast 3.0 B30f</t>
        </is>
      </c>
      <c r="K759" t="n">
        <v>164</v>
      </c>
      <c r="L759" t="n">
        <v>66.8</v>
      </c>
      <c r="M759" t="n">
        <v>55.77</v>
      </c>
    </row>
    <row r="760">
      <c r="A760" s="2" t="n">
        <v>6737016</v>
      </c>
      <c r="B760" s="2" t="n">
        <v>61</v>
      </c>
      <c r="C760" s="2" t="inlineStr">
        <is>
          <t>M</t>
        </is>
      </c>
      <c r="D760" s="2" t="n">
        <v>100</v>
      </c>
      <c r="E760" s="4">
        <f>HYPERLINK("./Results/DLO\20180201_1.2.840.113619.2.311.212197502810269196778201797403103606984_2_512_512_\Osteo_Sarco_1.png","RPT")</f>
        <v/>
      </c>
      <c r="F760" s="3" t="n">
        <v>164</v>
      </c>
      <c r="G760" s="3" t="n">
        <v>13</v>
      </c>
      <c r="H760" s="6" t="n">
        <v>32.41</v>
      </c>
      <c r="I760" s="0" t="inlineStr">
        <is>
          <t>Revolution CT</t>
        </is>
      </c>
      <c r="J760" s="0" t="inlineStr">
        <is>
          <t>Pre</t>
        </is>
      </c>
      <c r="K760" t="n">
        <v>171.2</v>
      </c>
      <c r="L760" t="n">
        <v>95</v>
      </c>
      <c r="M760" t="n">
        <v>51.52</v>
      </c>
    </row>
    <row r="761">
      <c r="A761" s="2" t="n">
        <v>1199519</v>
      </c>
      <c r="B761" s="2" t="n">
        <v>61</v>
      </c>
      <c r="C761" s="2" t="inlineStr">
        <is>
          <t>M</t>
        </is>
      </c>
      <c r="D761" s="2" t="n">
        <v>100</v>
      </c>
      <c r="E761" s="4">
        <f>HYPERLINK("./Results/DLO\20190201_1.3.46.670589.33.1.63686341877491043600001.5657948898709736145_201_512_512_\Osteo_Sarco_1.png","RPT")</f>
        <v/>
      </c>
      <c r="F761" s="3" t="n">
        <v>157</v>
      </c>
      <c r="G761" s="3" t="n">
        <v>5</v>
      </c>
      <c r="H761" s="7" t="n">
        <v>23.31</v>
      </c>
      <c r="I761" s="0" t="inlineStr">
        <is>
          <t>Ingenuity Core 128</t>
        </is>
      </c>
      <c r="J761" s="0" t="inlineStr">
        <is>
          <t>Post 3mm, iDose (3)</t>
        </is>
      </c>
      <c r="K761" t="n">
        <v>167</v>
      </c>
      <c r="L761" t="n">
        <v>65</v>
      </c>
      <c r="M761" t="n">
        <v>54.5</v>
      </c>
    </row>
    <row r="762">
      <c r="A762" s="2" t="n">
        <v>6597666</v>
      </c>
      <c r="B762" s="2" t="n">
        <v>61</v>
      </c>
      <c r="C762" s="2" t="inlineStr">
        <is>
          <t>M</t>
        </is>
      </c>
      <c r="D762" s="2" t="n">
        <v>100</v>
      </c>
      <c r="E762" s="4">
        <f>HYPERLINK("./Results/DLO\20200501_1.3.46.670589.33.1.63724871352701941500001.5357571368978422998_201_512_512_\Osteo_Sarco_1.png","RPT")</f>
        <v/>
      </c>
      <c r="F762" s="3" t="n">
        <v>155</v>
      </c>
      <c r="G762" s="3" t="n">
        <v>4</v>
      </c>
      <c r="H762" s="7" t="n">
        <v>21.71</v>
      </c>
      <c r="I762" s="0" t="inlineStr">
        <is>
          <t>Ingenuity Core 128</t>
        </is>
      </c>
      <c r="J762" s="0" t="inlineStr">
        <is>
          <t>Post 3mm, iDose (3)</t>
        </is>
      </c>
      <c r="K762" t="n">
        <v>169</v>
      </c>
      <c r="L762" t="n">
        <v>62</v>
      </c>
      <c r="M762" t="n">
        <v>52.87</v>
      </c>
    </row>
    <row r="763">
      <c r="A763" s="2" t="n">
        <v>9050363</v>
      </c>
      <c r="B763" s="2" t="n">
        <v>61</v>
      </c>
      <c r="C763" s="2" t="inlineStr">
        <is>
          <t>M</t>
        </is>
      </c>
      <c r="D763" s="2" t="n">
        <v>100</v>
      </c>
      <c r="E763" s="4">
        <f>HYPERLINK("./Results/DLO\20190601_1.3.12.2.1107.5.1.4.54310.30000019061322155054600014422_3_512_512_\Osteo_Sarco_1.png","RPT")</f>
        <v/>
      </c>
      <c r="F763" s="3" t="n">
        <v>152</v>
      </c>
      <c r="G763" s="3" t="n">
        <v>7</v>
      </c>
      <c r="H763" s="7" t="n">
        <v>27.34</v>
      </c>
      <c r="I763" s="0" t="inlineStr">
        <is>
          <t>Sensation 64</t>
        </is>
      </c>
      <c r="J763" s="0" t="inlineStr">
        <is>
          <t>Pre Contrast 3.0 B30f</t>
        </is>
      </c>
      <c r="K763" t="n">
        <v>160</v>
      </c>
      <c r="L763" t="n">
        <v>70</v>
      </c>
      <c r="M763" t="n">
        <v>56.64</v>
      </c>
    </row>
    <row r="764">
      <c r="A764" s="2" t="n">
        <v>5023526</v>
      </c>
      <c r="B764" s="2" t="n">
        <v>61</v>
      </c>
      <c r="C764" s="2" t="inlineStr">
        <is>
          <t>M</t>
        </is>
      </c>
      <c r="D764" s="2" t="n">
        <v>100</v>
      </c>
      <c r="E764" s="4">
        <f>HYPERLINK("./Results/DLO\20180201_1.2.840.113619.2.311.284361135597320667535134895009926008942_304_512_512_\Osteo_Sarco_1.png","RPT")</f>
        <v/>
      </c>
      <c r="F764" s="3" t="n">
        <v>147</v>
      </c>
      <c r="G764" s="3" t="n">
        <v>9</v>
      </c>
      <c r="H764" s="6" t="n">
        <v>27.84</v>
      </c>
      <c r="I764" s="0" t="inlineStr">
        <is>
          <t>Revolution CT</t>
        </is>
      </c>
      <c r="J764" s="0" t="inlineStr">
        <is>
          <t>ABD 2.5mm</t>
        </is>
      </c>
      <c r="K764" t="n">
        <v>158</v>
      </c>
      <c r="L764" t="n">
        <v>69.5</v>
      </c>
      <c r="M764" t="n">
        <v>55.28</v>
      </c>
    </row>
    <row r="765">
      <c r="A765" s="2" t="n">
        <v>5024399</v>
      </c>
      <c r="B765" s="2" t="n">
        <v>61</v>
      </c>
      <c r="C765" s="2" t="inlineStr">
        <is>
          <t>M</t>
        </is>
      </c>
      <c r="D765" s="2" t="n">
        <v>100</v>
      </c>
      <c r="E765" s="4">
        <f>HYPERLINK("./Results/DLO\20180101_1.2.840.113619.2.94.485650834948.2.8603152.18551144.1_2_512_512_\Osteo_Sarco_1.png","RPT")</f>
        <v/>
      </c>
      <c r="F765" s="3" t="n">
        <v>145</v>
      </c>
      <c r="G765" s="3" t="n">
        <v>6</v>
      </c>
      <c r="H765" s="6" t="n">
        <v>23.19</v>
      </c>
      <c r="I765" s="0" t="inlineStr">
        <is>
          <t>Sensation 64</t>
        </is>
      </c>
      <c r="J765" s="0" t="inlineStr">
        <is>
          <t>With Contrast 3.0 B30f</t>
        </is>
      </c>
      <c r="K765" t="n">
        <v>174.5</v>
      </c>
      <c r="L765" t="n">
        <v>70.59999999999999</v>
      </c>
      <c r="M765" t="n">
        <v>45.65</v>
      </c>
    </row>
    <row r="766">
      <c r="A766" s="2" t="n">
        <v>5697818</v>
      </c>
      <c r="B766" s="2" t="n">
        <v>61</v>
      </c>
      <c r="C766" s="2" t="inlineStr">
        <is>
          <t>M</t>
        </is>
      </c>
      <c r="D766" s="2" t="n">
        <v>100</v>
      </c>
      <c r="E766" s="4">
        <f>HYPERLINK("./Results/DLO\20181101_1.3.46.670589.33.1.63678992429305160800001.4692219219500057745_201_512_512_\Osteo_Sarco_1.png","RPT")</f>
        <v/>
      </c>
      <c r="F766" s="3" t="n">
        <v>144</v>
      </c>
      <c r="G766" s="3" t="n">
        <v>6</v>
      </c>
      <c r="H766" s="7" t="n">
        <v>25.61</v>
      </c>
      <c r="I766" s="0" t="inlineStr">
        <is>
          <t>Ingenuity Core 128</t>
        </is>
      </c>
      <c r="J766" s="0" t="inlineStr">
        <is>
          <t>Post 100/236 i3, iDose (3)</t>
        </is>
      </c>
      <c r="K766" t="n">
        <v>170</v>
      </c>
      <c r="L766" t="n">
        <v>74</v>
      </c>
      <c r="M766" t="n">
        <v>47.75</v>
      </c>
    </row>
    <row r="767">
      <c r="A767" s="2" t="n">
        <v>6743222</v>
      </c>
      <c r="B767" s="2" t="n">
        <v>61</v>
      </c>
      <c r="C767" s="2" t="inlineStr">
        <is>
          <t>M</t>
        </is>
      </c>
      <c r="D767" s="2" t="n">
        <v>100</v>
      </c>
      <c r="E767" s="4">
        <f>HYPERLINK("./Results/DLO\20180301_1.3.12.2.1107.5.1.4.65253.30000018032521013524600049361_4_512_512_\Osteo_Sarco_1.png","RPT")</f>
        <v/>
      </c>
      <c r="F767" s="3" t="n">
        <v>142</v>
      </c>
      <c r="G767" s="3" t="n">
        <v>6</v>
      </c>
      <c r="H767" s="6" t="n">
        <v>26.05</v>
      </c>
      <c r="I767" s="0" t="inlineStr">
        <is>
          <t>SOMATOM Definition AS</t>
        </is>
      </c>
      <c r="J767" s="0" t="inlineStr">
        <is>
          <t>Arterial Phase 3.0 B30f</t>
        </is>
      </c>
      <c r="K767" t="n">
        <v>164.5</v>
      </c>
      <c r="L767" t="n">
        <v>70.5</v>
      </c>
      <c r="M767" t="n">
        <v>50.26</v>
      </c>
    </row>
    <row r="768">
      <c r="A768" s="2" t="n">
        <v>5029097</v>
      </c>
      <c r="B768" s="2" t="n">
        <v>61</v>
      </c>
      <c r="C768" s="2" t="inlineStr">
        <is>
          <t>F</t>
        </is>
      </c>
      <c r="D768" s="2" t="n">
        <v>100</v>
      </c>
      <c r="E768" s="4">
        <f>HYPERLINK("./Results/DLO\20181001_1.3.12.2.1107.5.1.4.54310.30000018101023215771800002696_8_512_512_\Osteo_Sarco_1.png","RPT")</f>
        <v/>
      </c>
      <c r="F768" s="3" t="n">
        <v>131</v>
      </c>
      <c r="G768" s="3" t="n">
        <v>11</v>
      </c>
      <c r="H768" s="7" t="n">
        <v>26.09</v>
      </c>
      <c r="I768" s="0" t="inlineStr">
        <is>
          <t>Sensation 64</t>
        </is>
      </c>
      <c r="J768" s="0" t="inlineStr">
        <is>
          <t>Delay 3.0 B30f</t>
        </is>
      </c>
      <c r="K768" t="n">
        <v>161.8</v>
      </c>
      <c r="L768" t="n">
        <v>68.3</v>
      </c>
      <c r="M768" t="n">
        <v>45.84</v>
      </c>
    </row>
    <row r="769">
      <c r="A769" s="2" t="n">
        <v>5586222</v>
      </c>
      <c r="B769" s="2" t="n">
        <v>61</v>
      </c>
      <c r="C769" s="2" t="inlineStr">
        <is>
          <t>F</t>
        </is>
      </c>
      <c r="D769" s="2" t="n">
        <v>100</v>
      </c>
      <c r="E769" s="4">
        <f>HYPERLINK("./Results/DLO\20180901_1.2.840.113619.2.311.122240098346109616880847048489128966075_304_512_512_\Osteo_Sarco_1.png","RPT")</f>
        <v/>
      </c>
      <c r="F769" s="3" t="n">
        <v>121</v>
      </c>
      <c r="G769" s="3" t="n">
        <v>12</v>
      </c>
      <c r="H769" s="7" t="n">
        <v>22.58</v>
      </c>
      <c r="I769" s="0" t="inlineStr">
        <is>
          <t>Revolution CT</t>
        </is>
      </c>
      <c r="J769" s="0" t="inlineStr">
        <is>
          <t>ABD 2.5mm</t>
        </is>
      </c>
      <c r="K769" t="n">
        <v>153.8</v>
      </c>
      <c r="L769" t="n">
        <v>53.4</v>
      </c>
      <c r="M769" t="n">
        <v>46.08</v>
      </c>
    </row>
    <row r="770">
      <c r="A770" s="2" t="n">
        <v>9438674</v>
      </c>
      <c r="B770" s="2" t="n">
        <v>61</v>
      </c>
      <c r="C770" s="2" t="inlineStr">
        <is>
          <t>M</t>
        </is>
      </c>
      <c r="D770" s="2" t="n">
        <v>100</v>
      </c>
      <c r="E770" s="4">
        <f>HYPERLINK("./Results/DLO\20190301_1.3.12.2.1107.5.1.4.54310.30000019030423323884300038767_3_512_512_\Osteo_Sarco_1.png","RPT")</f>
        <v/>
      </c>
      <c r="F770" s="3" t="n">
        <v>121</v>
      </c>
      <c r="G770" s="3" t="n">
        <v>7</v>
      </c>
      <c r="H770" s="6" t="n">
        <v>19.23</v>
      </c>
      <c r="I770" s="0" t="inlineStr">
        <is>
          <t>Sensation 64</t>
        </is>
      </c>
      <c r="J770" s="0" t="inlineStr">
        <is>
          <t>Pre Contrast 3.0 B30f</t>
        </is>
      </c>
      <c r="K770" t="n">
        <v>166</v>
      </c>
      <c r="L770" t="n">
        <v>53</v>
      </c>
      <c r="M770" t="n">
        <v>41.37</v>
      </c>
    </row>
    <row r="771">
      <c r="A771" s="2" t="n">
        <v>5028632</v>
      </c>
      <c r="B771" s="2" t="n">
        <v>61</v>
      </c>
      <c r="C771" s="2" t="inlineStr">
        <is>
          <t>F</t>
        </is>
      </c>
      <c r="D771" s="2" t="n">
        <v>100</v>
      </c>
      <c r="E771" s="4">
        <f>HYPERLINK("./Results/DLO\20190401_1.3.12.2.1107.5.1.4.54310.30000019040323295310900033395_3_512_512_\Osteo_Sarco_1.png","RPT")</f>
        <v/>
      </c>
      <c r="F771" s="3" t="n">
        <v>119</v>
      </c>
      <c r="G771" s="3" t="n">
        <v>13</v>
      </c>
      <c r="H771" s="7" t="n">
        <v>27.65</v>
      </c>
      <c r="I771" s="0" t="inlineStr">
        <is>
          <t>Sensation 64</t>
        </is>
      </c>
      <c r="J771" s="0" t="inlineStr">
        <is>
          <t>Pre Contrast 3.0 B30f</t>
        </is>
      </c>
      <c r="K771" t="n">
        <v>156</v>
      </c>
      <c r="L771" t="n">
        <v>67.3</v>
      </c>
      <c r="M771" t="n">
        <v>43.56</v>
      </c>
    </row>
    <row r="772">
      <c r="A772" s="2" t="n">
        <v>5564419</v>
      </c>
      <c r="B772" s="2" t="n">
        <v>61</v>
      </c>
      <c r="C772" s="2" t="inlineStr">
        <is>
          <t>F</t>
        </is>
      </c>
      <c r="D772" s="2" t="n">
        <v>100</v>
      </c>
      <c r="E772" s="4">
        <f>HYPERLINK("./Results/DLO\20180401_1.3.46.670589.33.1.63658956344049589900001.5746710344174920777_601_512_512_\Osteo_Sarco_1.png","RPT")</f>
        <v/>
      </c>
      <c r="F772" s="3" t="n">
        <v>113</v>
      </c>
      <c r="G772" s="3" t="n">
        <v>15</v>
      </c>
      <c r="H772" s="7" t="n">
        <v>23.88</v>
      </c>
      <c r="I772" s="0" t="inlineStr">
        <is>
          <t>Ingenuity Core 128</t>
        </is>
      </c>
      <c r="J772" s="0" t="inlineStr">
        <is>
          <t>Post 100/236 i3, iDose (3)</t>
        </is>
      </c>
      <c r="K772" t="n">
        <v>165</v>
      </c>
      <c r="L772" t="n">
        <v>65</v>
      </c>
      <c r="M772" t="n">
        <v>36</v>
      </c>
    </row>
    <row r="773">
      <c r="A773" s="2" t="n">
        <v>5366541</v>
      </c>
      <c r="B773" s="2" t="n">
        <v>61</v>
      </c>
      <c r="C773" s="2" t="inlineStr">
        <is>
          <t>F</t>
        </is>
      </c>
      <c r="D773" s="2" t="n">
        <v>100</v>
      </c>
      <c r="E773" s="4">
        <f>HYPERLINK("./Results/DLO\20200401_1.2.840.113619.2.416.336905442527249691658035809950614817490_310_512_512_\Osteo_Sarco_1.png","RPT")</f>
        <v/>
      </c>
      <c r="F773" s="3" t="n">
        <v>112</v>
      </c>
      <c r="G773" s="3" t="n">
        <v>11</v>
      </c>
      <c r="H773" s="7" t="n">
        <v>26.8</v>
      </c>
      <c r="I773" s="0" t="inlineStr">
        <is>
          <t>Revolution CT</t>
        </is>
      </c>
      <c r="J773" s="0" t="inlineStr">
        <is>
          <t>ABD</t>
        </is>
      </c>
      <c r="K773" t="n">
        <v>157.4</v>
      </c>
      <c r="L773" t="n">
        <v>66.40000000000001</v>
      </c>
      <c r="M773" t="n">
        <v>40.77</v>
      </c>
    </row>
    <row r="774">
      <c r="A774" s="2" t="n">
        <v>5586991</v>
      </c>
      <c r="B774" s="2" t="n">
        <v>61</v>
      </c>
      <c r="C774" s="2" t="inlineStr">
        <is>
          <t>F</t>
        </is>
      </c>
      <c r="D774" s="2" t="n">
        <v>100</v>
      </c>
      <c r="E774" s="4">
        <f>HYPERLINK("./Results/DLO\20181201_1.3.12.2.1107.5.1.4.54310.30000018122323150262500001757_2_512_512_\Osteo_Sarco_1.png","RPT")</f>
        <v/>
      </c>
      <c r="F774" s="3" t="n">
        <v>108</v>
      </c>
      <c r="G774" s="3" t="n">
        <v>11</v>
      </c>
      <c r="H774" s="7" t="n">
        <v>31.07</v>
      </c>
      <c r="I774" s="0" t="inlineStr">
        <is>
          <t>Sensation 64</t>
        </is>
      </c>
      <c r="J774" s="0" t="inlineStr">
        <is>
          <t>With Contrast 3.0 B30f</t>
        </is>
      </c>
      <c r="K774" t="n">
        <v>148.6</v>
      </c>
      <c r="L774" t="n">
        <v>68.59999999999999</v>
      </c>
      <c r="M774" t="n">
        <v>43.93</v>
      </c>
    </row>
    <row r="775">
      <c r="A775" s="2" t="n">
        <v>6739477</v>
      </c>
      <c r="B775" s="2" t="n">
        <v>61</v>
      </c>
      <c r="C775" s="2" t="inlineStr">
        <is>
          <t>F</t>
        </is>
      </c>
      <c r="D775" s="2" t="n">
        <v>100</v>
      </c>
      <c r="E775" s="4">
        <f>HYPERLINK("./Results/DLO\20180201_1.2.840.113619.2.311.216841001584021917571731356451643412943_304_512_512_\Osteo_Sarco_1.png","RPT")</f>
        <v/>
      </c>
      <c r="F775" s="3" t="n">
        <v>107</v>
      </c>
      <c r="G775" s="3" t="n">
        <v>5</v>
      </c>
      <c r="H775" s="7" t="n">
        <v>23.09</v>
      </c>
      <c r="I775" s="0" t="inlineStr">
        <is>
          <t>Revolution CT</t>
        </is>
      </c>
      <c r="J775" s="0" t="inlineStr">
        <is>
          <t>ABD 2.5mm</t>
        </is>
      </c>
      <c r="K775" t="n">
        <v>154.2</v>
      </c>
      <c r="L775" t="n">
        <v>54.9</v>
      </c>
      <c r="M775" t="n">
        <v>42.9</v>
      </c>
    </row>
    <row r="776">
      <c r="A776" s="2" t="n">
        <v>9738005</v>
      </c>
      <c r="B776" s="2" t="n">
        <v>61</v>
      </c>
      <c r="C776" s="2" t="inlineStr">
        <is>
          <t>F</t>
        </is>
      </c>
      <c r="D776" s="2" t="n">
        <v>100</v>
      </c>
      <c r="E776" s="4">
        <f>HYPERLINK("./Results/DLO\20190701_1.3.12.2.1107.5.1.4.54310.30000019072121195101500043006_7_512_512_\Osteo_Sarco_1.png","RPT")</f>
        <v/>
      </c>
      <c r="F776" s="3" t="n">
        <v>107</v>
      </c>
      <c r="G776" s="3" t="n">
        <v>9</v>
      </c>
      <c r="H776" s="7" t="n">
        <v>25.67</v>
      </c>
      <c r="I776" s="0" t="inlineStr">
        <is>
          <t>Sensation 64</t>
        </is>
      </c>
      <c r="J776" s="0" t="inlineStr">
        <is>
          <t>ABD Contrast 3.0 B30f</t>
        </is>
      </c>
      <c r="K776" t="n">
        <v>151.6</v>
      </c>
      <c r="L776" t="n">
        <v>59</v>
      </c>
      <c r="M776" t="n">
        <v>42.64</v>
      </c>
    </row>
    <row r="777">
      <c r="A777" s="2" t="n">
        <v>9774381</v>
      </c>
      <c r="B777" s="2" t="n">
        <v>61</v>
      </c>
      <c r="C777" s="2" t="inlineStr">
        <is>
          <t>F</t>
        </is>
      </c>
      <c r="D777" s="2" t="n">
        <v>100</v>
      </c>
      <c r="E777" s="4">
        <f>HYPERLINK("./Results/DLO\20190901_1.3.12.2.1107.5.1.4.54310.30000019091521212910900049879_7_512_512_\Osteo_Sarco_1.png","RPT")</f>
        <v/>
      </c>
      <c r="F777" s="3" t="n">
        <v>106</v>
      </c>
      <c r="G777" s="3" t="n">
        <v>10</v>
      </c>
      <c r="H777" s="7" t="n">
        <v>21.67</v>
      </c>
      <c r="I777" s="0" t="inlineStr">
        <is>
          <t>Sensation 64</t>
        </is>
      </c>
      <c r="J777" s="0" t="inlineStr">
        <is>
          <t>ABD Contrast 3.0 B30f</t>
        </is>
      </c>
      <c r="K777" t="n">
        <v>158.6</v>
      </c>
      <c r="L777" t="n">
        <v>54.5</v>
      </c>
      <c r="M777" t="n">
        <v>38.16</v>
      </c>
    </row>
    <row r="778">
      <c r="A778" s="2" t="n">
        <v>5191860</v>
      </c>
      <c r="B778" s="2" t="n">
        <v>61</v>
      </c>
      <c r="C778" s="2" t="inlineStr">
        <is>
          <t>F</t>
        </is>
      </c>
      <c r="D778" s="2" t="n">
        <v>100</v>
      </c>
      <c r="E778" s="4">
        <f>HYPERLINK("./Results/DLO\20200201_1.2.840.113619.2.416.78233471538649871174653582994245861097_310_512_512_\Osteo_Sarco_1.png","RPT")</f>
        <v/>
      </c>
      <c r="F778" s="3" t="n">
        <v>104</v>
      </c>
      <c r="G778" s="3" t="n">
        <v>7</v>
      </c>
      <c r="H778" s="7" t="n">
        <v>19.57</v>
      </c>
      <c r="I778" s="0" t="inlineStr">
        <is>
          <t>Revolution CT</t>
        </is>
      </c>
      <c r="J778" s="0" t="inlineStr">
        <is>
          <t>ABD</t>
        </is>
      </c>
      <c r="K778" t="n">
        <v>161.6</v>
      </c>
      <c r="L778" t="n">
        <v>51.1</v>
      </c>
      <c r="M778" t="n">
        <v>37.14</v>
      </c>
    </row>
    <row r="779">
      <c r="A779" s="2" t="n">
        <v>8566129</v>
      </c>
      <c r="B779" s="2" t="n">
        <v>61</v>
      </c>
      <c r="C779" s="2" t="inlineStr">
        <is>
          <t>F</t>
        </is>
      </c>
      <c r="D779" s="2" t="n">
        <v>100</v>
      </c>
      <c r="E779" s="4">
        <f>HYPERLINK("./Results/DLO\20190301_1.3.12.2.1107.5.1.4.54310.30000019030323381145300002094_2_512_512_\Osteo_Sarco_1.png","RPT")</f>
        <v/>
      </c>
      <c r="F779" s="3" t="n">
        <v>103</v>
      </c>
      <c r="G779" s="3" t="n">
        <v>15</v>
      </c>
      <c r="H779" s="7" t="n">
        <v>22.77</v>
      </c>
      <c r="I779" s="0" t="inlineStr">
        <is>
          <t>Sensation 64</t>
        </is>
      </c>
      <c r="J779" s="0" t="inlineStr">
        <is>
          <t>With Contrast 3.0 B30f</t>
        </is>
      </c>
      <c r="K779" t="n">
        <v>165</v>
      </c>
      <c r="L779" t="n">
        <v>62</v>
      </c>
      <c r="M779" t="n">
        <v>32.32</v>
      </c>
    </row>
    <row r="780">
      <c r="A780" s="2" t="n">
        <v>5875129</v>
      </c>
      <c r="B780" s="2" t="n">
        <v>61</v>
      </c>
      <c r="C780" s="2" t="inlineStr">
        <is>
          <t>F</t>
        </is>
      </c>
      <c r="D780" s="2" t="n">
        <v>100</v>
      </c>
      <c r="E780" s="4">
        <f>HYPERLINK("./Results/DLO\20190701_1.3.12.2.1107.5.1.4.54310.30000019071022051254600072236_2_512_512_\Osteo_Sarco_1.png","RPT")</f>
        <v/>
      </c>
      <c r="F780" s="3" t="n">
        <v>103</v>
      </c>
      <c r="G780" s="3" t="n">
        <v>8</v>
      </c>
      <c r="H780" s="7" t="n">
        <v>23.23</v>
      </c>
      <c r="I780" s="0" t="inlineStr">
        <is>
          <t>Sensation 64</t>
        </is>
      </c>
      <c r="J780" s="0" t="inlineStr">
        <is>
          <t>With Contrast 3.0 B30f</t>
        </is>
      </c>
      <c r="K780" t="n">
        <v>158</v>
      </c>
      <c r="L780" t="n">
        <v>58</v>
      </c>
      <c r="M780" t="n">
        <v>38.05</v>
      </c>
    </row>
    <row r="781">
      <c r="A781" s="2" t="n">
        <v>9769201</v>
      </c>
      <c r="B781" s="2" t="n">
        <v>61</v>
      </c>
      <c r="C781" s="2" t="inlineStr">
        <is>
          <t>F</t>
        </is>
      </c>
      <c r="D781" s="2" t="n">
        <v>100</v>
      </c>
      <c r="E781" s="4">
        <f>HYPERLINK("./Results/DLO\20190801_1.2.410.100011.172.16.68.114.6370205834462428601.8_8_512_512_\Osteo_Sarco_1.png","RPT")</f>
        <v/>
      </c>
      <c r="F781" s="3" t="n">
        <v>103</v>
      </c>
      <c r="G781" s="3" t="n">
        <v>8</v>
      </c>
      <c r="H781" s="7" t="n">
        <v>24.33</v>
      </c>
      <c r="I781" s="0" t="inlineStr">
        <is>
          <t>SOMATOM Definition Flabh</t>
        </is>
      </c>
      <c r="J781" s="0" t="inlineStr">
        <is>
          <t>Portal phase 2.0 B40f OPT130cc</t>
        </is>
      </c>
      <c r="K781" t="n">
        <v>156</v>
      </c>
      <c r="L781" t="n">
        <v>59.2</v>
      </c>
      <c r="M781" t="n">
        <v>39.04</v>
      </c>
    </row>
    <row r="782">
      <c r="A782" s="2" t="n">
        <v>9589915</v>
      </c>
      <c r="B782" s="2" t="n">
        <v>61</v>
      </c>
      <c r="C782" s="2" t="inlineStr">
        <is>
          <t>M</t>
        </is>
      </c>
      <c r="D782" s="2" t="n">
        <v>100</v>
      </c>
      <c r="E782" s="4">
        <f>HYPERLINK("./Results/DLO\20190801_1.2.840.113619.2.416.49257436276846129315789986892108304775_302_512_512_\Osteo_Sarco_1.png","RPT")</f>
        <v/>
      </c>
      <c r="F782" s="3" t="n">
        <v>101</v>
      </c>
      <c r="G782" s="3" t="n">
        <v>13</v>
      </c>
      <c r="H782" s="6" t="n">
        <v>18.99</v>
      </c>
      <c r="I782" s="0" t="inlineStr">
        <is>
          <t>Revolution CT</t>
        </is>
      </c>
      <c r="J782" s="0" t="inlineStr">
        <is>
          <t>ABD</t>
        </is>
      </c>
      <c r="K782" t="n">
        <v>168</v>
      </c>
      <c r="L782" t="n">
        <v>53.6</v>
      </c>
      <c r="M782" t="n">
        <v>31.18</v>
      </c>
    </row>
    <row r="783">
      <c r="A783" s="2" t="n">
        <v>8457993</v>
      </c>
      <c r="B783" s="2" t="n">
        <v>61</v>
      </c>
      <c r="C783" s="2" t="inlineStr">
        <is>
          <t>F</t>
        </is>
      </c>
      <c r="D783" s="2" t="n">
        <v>100</v>
      </c>
      <c r="E783" s="4">
        <f>HYPERLINK("./Results/DLO\20181101_1.2.840.113619.2.311.132403999605033296892649249701721317419_304_512_512_\Osteo_Sarco_1.png","RPT")</f>
        <v/>
      </c>
      <c r="F783" s="3" t="n">
        <v>100</v>
      </c>
      <c r="G783" s="3" t="n">
        <v>8</v>
      </c>
      <c r="H783" s="7" t="n">
        <v>24.02</v>
      </c>
      <c r="I783" s="0" t="inlineStr">
        <is>
          <t>Revolution CT</t>
        </is>
      </c>
      <c r="J783" s="0" t="inlineStr">
        <is>
          <t>ABD 2.5mm</t>
        </is>
      </c>
      <c r="K783" t="n">
        <v>167</v>
      </c>
      <c r="L783" t="n">
        <v>67</v>
      </c>
      <c r="M783" t="n">
        <v>32.99</v>
      </c>
    </row>
    <row r="784">
      <c r="A784" s="2" t="n">
        <v>6742150</v>
      </c>
      <c r="B784" s="2" t="n">
        <v>62</v>
      </c>
      <c r="C784" s="2" t="inlineStr">
        <is>
          <t>F</t>
        </is>
      </c>
      <c r="D784" s="2" t="n">
        <v>100</v>
      </c>
      <c r="E784" s="4">
        <f>HYPERLINK("./Results/DLO\20180301_1.3.46.670589.33.1.63657393578319040100001.4896804738825511358_201_512_512_\Osteo_Sarco_1.png","RPT")</f>
        <v/>
      </c>
      <c r="F784" s="3" t="n">
        <v>97</v>
      </c>
      <c r="G784" s="3" t="n">
        <v>16</v>
      </c>
      <c r="H784" s="7" t="n">
        <v>24.79</v>
      </c>
      <c r="I784" s="0" t="inlineStr">
        <is>
          <t>Ingenuity Core 128</t>
        </is>
      </c>
      <c r="J784" s="0" t="inlineStr">
        <is>
          <t>Post 100/236 i3, iDose (3)</t>
        </is>
      </c>
      <c r="K784" t="n">
        <v>149.9</v>
      </c>
      <c r="L784" t="n">
        <v>55.7</v>
      </c>
      <c r="M784" t="n">
        <v>36.05</v>
      </c>
    </row>
    <row r="785">
      <c r="A785" s="2" t="n">
        <v>6739944</v>
      </c>
      <c r="B785" s="2" t="n">
        <v>62</v>
      </c>
      <c r="C785" s="2" t="inlineStr">
        <is>
          <t>F</t>
        </is>
      </c>
      <c r="D785" s="2" t="n">
        <v>100</v>
      </c>
      <c r="E785" s="4">
        <f>HYPERLINK("./Results/DLO\20180401_1.2.840.113619.2.311.193377353984907254968220118653167160127_304_512_512_\Osteo_Sarco_1.png","RPT")</f>
        <v/>
      </c>
      <c r="F785" s="3" t="n">
        <v>96</v>
      </c>
      <c r="G785" s="3" t="n">
        <v>7</v>
      </c>
      <c r="H785" s="7" t="n">
        <v>24.21</v>
      </c>
      <c r="I785" s="0" t="inlineStr">
        <is>
          <t>Revolution CT</t>
        </is>
      </c>
      <c r="J785" s="0" t="inlineStr">
        <is>
          <t>ABD 2.5mm</t>
        </is>
      </c>
      <c r="K785" t="n">
        <v>151.4</v>
      </c>
      <c r="L785" t="n">
        <v>55.5</v>
      </c>
      <c r="M785" t="n">
        <v>38.83</v>
      </c>
    </row>
    <row r="786">
      <c r="A786" s="2" t="n">
        <v>8314986</v>
      </c>
      <c r="B786" s="2" t="n">
        <v>62</v>
      </c>
      <c r="C786" s="2" t="inlineStr">
        <is>
          <t>F</t>
        </is>
      </c>
      <c r="D786" s="2" t="n">
        <v>100</v>
      </c>
      <c r="E786" s="4">
        <f>HYPERLINK("./Results/DLO\20180801_1.3.12.2.1107.5.1.4.54310.30000018081623351726500004595_2_512_512_\Osteo_Sarco_1.png","RPT")</f>
        <v/>
      </c>
      <c r="F786" s="3" t="n">
        <v>96</v>
      </c>
      <c r="G786" s="3" t="n">
        <v>10</v>
      </c>
      <c r="H786" s="7" t="n">
        <v>23.87</v>
      </c>
      <c r="I786" s="0" t="inlineStr">
        <is>
          <t>Sensation 64</t>
        </is>
      </c>
      <c r="J786" s="0" t="inlineStr">
        <is>
          <t>With Contrast 3.0 B30f</t>
        </is>
      </c>
      <c r="K786" t="n">
        <v>149</v>
      </c>
      <c r="L786" t="n">
        <v>53</v>
      </c>
      <c r="M786" t="n">
        <v>38.74</v>
      </c>
    </row>
    <row r="787">
      <c r="A787" s="2" t="n">
        <v>5700228</v>
      </c>
      <c r="B787" s="2" t="n">
        <v>62</v>
      </c>
      <c r="C787" s="2" t="inlineStr">
        <is>
          <t>F</t>
        </is>
      </c>
      <c r="D787" s="2" t="n">
        <v>100</v>
      </c>
      <c r="E787" s="4">
        <f>HYPERLINK("./Results/DLO\20180401_1.3.12.2.1107.5.1.4.54310.30000018041123090860900044709_2_512_512_\Osteo_Sarco_1.png","RPT")</f>
        <v/>
      </c>
      <c r="F787" s="3" t="n">
        <v>91</v>
      </c>
      <c r="G787" s="3" t="n">
        <v>18</v>
      </c>
      <c r="H787" s="6" t="n">
        <v>22.83</v>
      </c>
      <c r="I787" s="0" t="inlineStr">
        <is>
          <t>Sensation 64</t>
        </is>
      </c>
      <c r="J787" s="0" t="inlineStr">
        <is>
          <t>WiOContrast 3.0 B30f</t>
        </is>
      </c>
      <c r="K787" t="n">
        <v>158</v>
      </c>
      <c r="L787" t="n">
        <v>57</v>
      </c>
      <c r="M787" t="n">
        <v>29.24</v>
      </c>
    </row>
    <row r="788">
      <c r="A788" s="2" t="n">
        <v>5171351</v>
      </c>
      <c r="B788" s="2" t="n">
        <v>62</v>
      </c>
      <c r="C788" s="2" t="inlineStr">
        <is>
          <t>F</t>
        </is>
      </c>
      <c r="D788" s="2" t="n">
        <v>100</v>
      </c>
      <c r="E788" s="4">
        <f>HYPERLINK("./Results/DLO\20190201_1.3.12.2.1107.5.1.4.65253.30000019021419584686600031524_2_512_512_\Osteo_Sarco_1.png","RPT")</f>
        <v/>
      </c>
      <c r="F788" s="3" t="n">
        <v>89</v>
      </c>
      <c r="G788" s="3" t="n">
        <v>8</v>
      </c>
      <c r="H788" s="7" t="n">
        <v>18.75</v>
      </c>
      <c r="I788" s="0" t="inlineStr">
        <is>
          <t>SOMATOM Definition AS</t>
        </is>
      </c>
      <c r="J788" s="0" t="inlineStr">
        <is>
          <t>W/O Contrast 2.0 B30f</t>
        </is>
      </c>
      <c r="K788" t="n">
        <v>160</v>
      </c>
      <c r="L788" t="n">
        <v>48</v>
      </c>
      <c r="M788" t="n">
        <v>31.64</v>
      </c>
    </row>
    <row r="789">
      <c r="A789" s="2" t="n">
        <v>5131631</v>
      </c>
      <c r="B789" s="2" t="n">
        <v>62</v>
      </c>
      <c r="C789" s="2" t="inlineStr">
        <is>
          <t>F</t>
        </is>
      </c>
      <c r="D789" s="2" t="n">
        <v>100</v>
      </c>
      <c r="E789" s="4">
        <f>HYPERLINK("./Results/DLO\20181001_1.3.12.2.1107.5.1.4.54310.30000018100323223954600015916_2_512_512_\Osteo_Sarco_1.png","RPT")</f>
        <v/>
      </c>
      <c r="F789" s="3" t="n">
        <v>87</v>
      </c>
      <c r="G789" s="3" t="n">
        <v>7</v>
      </c>
      <c r="H789" s="6" t="n">
        <v>25.63</v>
      </c>
      <c r="I789" s="0" t="inlineStr">
        <is>
          <t>Sensation 64</t>
        </is>
      </c>
      <c r="J789" s="0" t="inlineStr">
        <is>
          <t>With Contrast 3.0 B30f</t>
        </is>
      </c>
      <c r="K789" t="n">
        <v>153</v>
      </c>
      <c r="L789" t="n">
        <v>60</v>
      </c>
      <c r="M789" t="n">
        <v>34.17</v>
      </c>
    </row>
    <row r="790">
      <c r="A790" s="2" t="n">
        <v>5531308</v>
      </c>
      <c r="B790" s="2" t="n">
        <v>62</v>
      </c>
      <c r="C790" s="2" t="inlineStr">
        <is>
          <t>F</t>
        </is>
      </c>
      <c r="D790" s="2" t="n">
        <v>100</v>
      </c>
      <c r="E790" s="4">
        <f>HYPERLINK("./Results/DLO\20191001_1.3.12.2.1107.5.1.4.54310.30000019102021060200000039147_10_512_512_\Osteo_Sarco_1.png","RPT")</f>
        <v/>
      </c>
      <c r="F790" s="3" t="n">
        <v>85</v>
      </c>
      <c r="G790" s="3" t="n">
        <v>5</v>
      </c>
      <c r="H790" s="6" t="n">
        <v>19.52</v>
      </c>
      <c r="I790" s="0" t="inlineStr">
        <is>
          <t>Sensation 64</t>
        </is>
      </c>
      <c r="J790" s="0" t="inlineStr">
        <is>
          <t>ABD Contrast 3.0 B30f</t>
        </is>
      </c>
      <c r="K790" t="n">
        <v>154.5</v>
      </c>
      <c r="L790" t="n">
        <v>46.6</v>
      </c>
      <c r="M790" t="n">
        <v>33.51</v>
      </c>
    </row>
    <row r="791">
      <c r="A791" s="2" t="n">
        <v>9976954</v>
      </c>
      <c r="B791" s="2" t="n">
        <v>62</v>
      </c>
      <c r="C791" s="2" t="inlineStr">
        <is>
          <t>F</t>
        </is>
      </c>
      <c r="D791" s="2" t="n">
        <v>100</v>
      </c>
      <c r="E791" s="4">
        <f>HYPERLINK("./Results/DLO\20200501_1.3.12.2.1107.5.1.4.54310.30000020051022522803100031576_7_512_512_\Osteo_Sarco_1.png","RPT")</f>
        <v/>
      </c>
      <c r="F791" s="3" t="n">
        <v>85</v>
      </c>
      <c r="G791" s="3" t="n">
        <v>9</v>
      </c>
      <c r="H791" s="6" t="n">
        <v>20.44</v>
      </c>
      <c r="I791" s="0" t="inlineStr">
        <is>
          <t>Sensation 64</t>
        </is>
      </c>
      <c r="J791" s="0" t="inlineStr">
        <is>
          <t>ABD 3mm B30f</t>
        </is>
      </c>
      <c r="K791" t="n">
        <v>152.6</v>
      </c>
      <c r="L791" t="n">
        <v>47.6</v>
      </c>
      <c r="M791" t="n">
        <v>32.64</v>
      </c>
    </row>
    <row r="792">
      <c r="A792" s="2" t="n">
        <v>5965726</v>
      </c>
      <c r="B792" s="2" t="n">
        <v>62</v>
      </c>
      <c r="C792" s="2" t="inlineStr">
        <is>
          <t>M</t>
        </is>
      </c>
      <c r="D792" s="2" t="n">
        <v>100</v>
      </c>
      <c r="E792" s="4">
        <f>HYPERLINK("./Results/DLO\20180301_1.3.12.2.1107.5.1.4.54310.30000018032623135123400033380_4_512_512_\Osteo_Sarco_1.png","RPT")</f>
        <v/>
      </c>
      <c r="F792" s="3" t="n">
        <v>193</v>
      </c>
      <c r="G792" s="3" t="n">
        <v>14</v>
      </c>
      <c r="H792" s="7" t="n">
        <v>25.06</v>
      </c>
      <c r="I792" s="0" t="inlineStr">
        <is>
          <t>Sensation 64</t>
        </is>
      </c>
      <c r="J792" s="0" t="inlineStr">
        <is>
          <t>Pre Contrast 3.0 B30f</t>
        </is>
      </c>
      <c r="K792" t="n">
        <v>173</v>
      </c>
      <c r="L792" t="n">
        <v>75</v>
      </c>
      <c r="M792" t="n">
        <v>59.81</v>
      </c>
    </row>
    <row r="793">
      <c r="A793" s="2" t="n">
        <v>5657695</v>
      </c>
      <c r="B793" s="2" t="n">
        <v>62</v>
      </c>
      <c r="C793" s="2" t="inlineStr">
        <is>
          <t>M</t>
        </is>
      </c>
      <c r="D793" s="2" t="n">
        <v>100</v>
      </c>
      <c r="E793" s="4">
        <f>HYPERLINK("./Results/DLO\20190901_1.3.12.2.1107.5.1.4.65253.30000019092317151984300108998_6_512_512_\Osteo_Sarco_1.png","RPT")</f>
        <v/>
      </c>
      <c r="F793" s="3" t="n">
        <v>172</v>
      </c>
      <c r="G793" s="3" t="n">
        <v>12</v>
      </c>
      <c r="H793" s="7" t="n">
        <v>25.07</v>
      </c>
      <c r="I793" s="0" t="inlineStr">
        <is>
          <t>SOMATOM Definition AS</t>
        </is>
      </c>
      <c r="J793" s="0" t="inlineStr">
        <is>
          <t>Portal Phase 3.0 B30f</t>
        </is>
      </c>
      <c r="K793" t="n">
        <v>169.7</v>
      </c>
      <c r="L793" t="n">
        <v>72.2</v>
      </c>
      <c r="M793" t="n">
        <v>55.56</v>
      </c>
    </row>
    <row r="794">
      <c r="A794" s="2" t="n">
        <v>6737805</v>
      </c>
      <c r="B794" s="2" t="n">
        <v>62</v>
      </c>
      <c r="C794" s="2" t="inlineStr">
        <is>
          <t>M</t>
        </is>
      </c>
      <c r="D794" s="2" t="n">
        <v>100</v>
      </c>
      <c r="E794" s="4">
        <f>HYPERLINK("./Results/DLO\20180401_1.3.12.2.1107.5.1.4.54310.30000018041623104917100033290_2_512_512_\Osteo_Sarco_1.png","RPT")</f>
        <v/>
      </c>
      <c r="F794" s="3" t="n">
        <v>169</v>
      </c>
      <c r="G794" s="3" t="n">
        <v>11</v>
      </c>
      <c r="H794" s="6" t="n">
        <v>27.47</v>
      </c>
      <c r="I794" s="0" t="inlineStr">
        <is>
          <t>Sensation 64</t>
        </is>
      </c>
      <c r="J794" s="0" t="inlineStr">
        <is>
          <t>Pre Contrast 3.0 B30f</t>
        </is>
      </c>
      <c r="K794" t="n">
        <v>182</v>
      </c>
      <c r="L794" t="n">
        <v>91</v>
      </c>
      <c r="M794" t="n">
        <v>47.7</v>
      </c>
    </row>
    <row r="795">
      <c r="A795" s="2" t="n">
        <v>5911456</v>
      </c>
      <c r="B795" s="2" t="n">
        <v>62</v>
      </c>
      <c r="C795" s="2" t="inlineStr">
        <is>
          <t>M</t>
        </is>
      </c>
      <c r="D795" s="2" t="n">
        <v>100</v>
      </c>
      <c r="E795" s="4">
        <f>HYPERLINK("./Results/DLO\20191001_1.3.46.670589.33.1.63705776397915302100001.5616007867439704024_201_512_512_\Osteo_Sarco_1.png","RPT")</f>
        <v/>
      </c>
      <c r="F795" s="3" t="n">
        <v>167</v>
      </c>
      <c r="G795" s="3" t="n">
        <v>10</v>
      </c>
      <c r="H795" s="6" t="n">
        <v>26.4</v>
      </c>
      <c r="I795" s="0" t="inlineStr">
        <is>
          <t>Ingenuity Core 128</t>
        </is>
      </c>
      <c r="J795" s="0" t="inlineStr">
        <is>
          <t>Post 3mm, iDose (3)</t>
        </is>
      </c>
      <c r="K795" t="n">
        <v>168</v>
      </c>
      <c r="L795" t="n">
        <v>74.5</v>
      </c>
      <c r="M795" t="n">
        <v>55.63</v>
      </c>
    </row>
    <row r="796">
      <c r="A796" s="2" t="n">
        <v>9000857</v>
      </c>
      <c r="B796" s="2" t="n">
        <v>62</v>
      </c>
      <c r="C796" s="2" t="inlineStr">
        <is>
          <t>M</t>
        </is>
      </c>
      <c r="D796" s="2" t="n">
        <v>100</v>
      </c>
      <c r="E796" s="4">
        <f>HYPERLINK("./Results/DLO\20180301_1.3.12.2.1107.5.1.4.65253.30000018032921180635200049512_3_512_512_\Osteo_Sarco_1.png","RPT")</f>
        <v/>
      </c>
      <c r="F796" s="3" t="n">
        <v>161</v>
      </c>
      <c r="G796" s="3" t="n">
        <v>4</v>
      </c>
      <c r="H796" s="7" t="n">
        <v>27.47</v>
      </c>
      <c r="I796" s="0" t="inlineStr">
        <is>
          <t>SOMATOM Definition AS</t>
        </is>
      </c>
      <c r="J796" s="0" t="inlineStr">
        <is>
          <t>Post Contrast 3.0 B30f</t>
        </is>
      </c>
      <c r="K796" t="n">
        <v>168.5</v>
      </c>
      <c r="L796" t="n">
        <v>78</v>
      </c>
      <c r="M796" t="n">
        <v>55.3</v>
      </c>
    </row>
    <row r="797">
      <c r="A797" s="2" t="n">
        <v>5029874</v>
      </c>
      <c r="B797" s="2" t="n">
        <v>62</v>
      </c>
      <c r="C797" s="2" t="inlineStr">
        <is>
          <t>M</t>
        </is>
      </c>
      <c r="D797" s="2" t="n">
        <v>100</v>
      </c>
      <c r="E797" s="4">
        <f>HYPERLINK("./Results/DLO\20180701_1.3.12.2.1107.5.1.4.54310.30000018070823321646800011591_3_512_512_\Osteo_Sarco_1.png","RPT")</f>
        <v/>
      </c>
      <c r="F797" s="3" t="n">
        <v>160</v>
      </c>
      <c r="G797" s="3" t="n">
        <v>7</v>
      </c>
      <c r="H797" s="6" t="n">
        <v>25.71</v>
      </c>
      <c r="I797" s="0" t="inlineStr">
        <is>
          <t>Sensation 64</t>
        </is>
      </c>
      <c r="J797" s="0" t="inlineStr">
        <is>
          <t>With Contrast 3.0 B30f</t>
        </is>
      </c>
      <c r="K797" t="n">
        <v>165</v>
      </c>
      <c r="L797" t="n">
        <v>70</v>
      </c>
      <c r="M797" t="n">
        <v>56.2</v>
      </c>
    </row>
    <row r="798">
      <c r="A798" s="2" t="n">
        <v>8855221</v>
      </c>
      <c r="B798" s="2" t="n">
        <v>62</v>
      </c>
      <c r="C798" s="2" t="inlineStr">
        <is>
          <t>M</t>
        </is>
      </c>
      <c r="D798" s="2" t="n">
        <v>100</v>
      </c>
      <c r="E798" s="4">
        <f>HYPERLINK("./Results/DLO\20190201_1.3.46.670589.33.1.63685134681012564600001.5570424443759296127_601_512_512_\Osteo_Sarco_1.png","RPT")</f>
        <v/>
      </c>
      <c r="F798" s="3" t="n">
        <v>159</v>
      </c>
      <c r="G798" s="3" t="n">
        <v>16</v>
      </c>
      <c r="H798" s="6" t="n">
        <v>27.78</v>
      </c>
      <c r="I798" s="0" t="inlineStr">
        <is>
          <t>Ingenuity Core 128</t>
        </is>
      </c>
      <c r="J798" s="0" t="inlineStr">
        <is>
          <t>Post 3mm, iDose (3)</t>
        </is>
      </c>
      <c r="K798" t="n">
        <v>180</v>
      </c>
      <c r="L798" t="n">
        <v>90</v>
      </c>
      <c r="M798" t="n">
        <v>44.14</v>
      </c>
    </row>
    <row r="799">
      <c r="A799" s="2" t="n">
        <v>5660543</v>
      </c>
      <c r="B799" s="2" t="n">
        <v>62</v>
      </c>
      <c r="C799" s="2" t="inlineStr">
        <is>
          <t>M</t>
        </is>
      </c>
      <c r="D799" s="2" t="n">
        <v>100</v>
      </c>
      <c r="E799" s="4">
        <f>HYPERLINK("./Results/DLO\20190101_1.3.46.670589.33.1.63682800874269703300001.4612475223014868662_601_512_512_\Osteo_Sarco_1.png","RPT")</f>
        <v/>
      </c>
      <c r="F799" s="3" t="n">
        <v>157</v>
      </c>
      <c r="G799" s="3" t="n">
        <v>6</v>
      </c>
      <c r="H799" s="6" t="n">
        <v>23.52</v>
      </c>
      <c r="I799" s="0" t="inlineStr">
        <is>
          <t>Ingenuity Core 128</t>
        </is>
      </c>
      <c r="J799" s="0" t="inlineStr">
        <is>
          <t>Port 3mm, iDose (3)</t>
        </is>
      </c>
      <c r="K799" t="n">
        <v>166.1</v>
      </c>
      <c r="L799" t="n">
        <v>64.90000000000001</v>
      </c>
      <c r="M799" t="n">
        <v>54.73</v>
      </c>
    </row>
    <row r="800">
      <c r="A800" s="2" t="n">
        <v>8869645</v>
      </c>
      <c r="B800" s="2" t="n">
        <v>62</v>
      </c>
      <c r="C800" s="2" t="inlineStr">
        <is>
          <t>M</t>
        </is>
      </c>
      <c r="D800" s="2" t="n">
        <v>100</v>
      </c>
      <c r="E800" s="4">
        <f>HYPERLINK("./Results/DLO\20190501_1.3.12.2.1107.5.1.4.65253.30000019050920435793200031057_2_512_512_\Osteo_Sarco_1.png","RPT")</f>
        <v/>
      </c>
      <c r="F800" s="3" t="n">
        <v>157</v>
      </c>
      <c r="G800" s="3" t="n">
        <v>7</v>
      </c>
      <c r="H800" s="7" t="n">
        <v>25.88</v>
      </c>
      <c r="I800" s="0" t="inlineStr">
        <is>
          <t>SOMATOM Definition AS</t>
        </is>
      </c>
      <c r="J800" s="0" t="inlineStr">
        <is>
          <t>W/O Contrast 2.0 B30f</t>
        </is>
      </c>
      <c r="K800" t="n">
        <v>170.7</v>
      </c>
      <c r="L800" t="n">
        <v>75.40000000000001</v>
      </c>
      <c r="M800" t="n">
        <v>51.48</v>
      </c>
    </row>
    <row r="801">
      <c r="A801" s="2" t="n">
        <v>9860301</v>
      </c>
      <c r="B801" s="2" t="n">
        <v>62</v>
      </c>
      <c r="C801" s="2" t="inlineStr">
        <is>
          <t>M</t>
        </is>
      </c>
      <c r="D801" s="2" t="n">
        <v>100</v>
      </c>
      <c r="E801" s="4">
        <f>HYPERLINK("./Results/DLO\20191201_1.3.12.2.1107.5.1.4.54310.30000019120222244193700077379_4_512_512_\Osteo_Sarco_1.png","RPT")</f>
        <v/>
      </c>
      <c r="F801" s="3" t="n">
        <v>155</v>
      </c>
      <c r="G801" s="3" t="n">
        <v>11</v>
      </c>
      <c r="H801" s="7" t="n">
        <v>24.91</v>
      </c>
      <c r="I801" s="0" t="inlineStr">
        <is>
          <t>Sensation 64</t>
        </is>
      </c>
      <c r="J801" s="0" t="inlineStr">
        <is>
          <t>Arterial 3.0 B30f</t>
        </is>
      </c>
      <c r="K801" t="n">
        <v>170</v>
      </c>
      <c r="L801" t="n">
        <v>72</v>
      </c>
      <c r="M801" t="n">
        <v>49.83</v>
      </c>
    </row>
    <row r="802">
      <c r="A802" s="2" t="n">
        <v>300279</v>
      </c>
      <c r="B802" s="2" t="n">
        <v>62</v>
      </c>
      <c r="C802" s="2" t="inlineStr">
        <is>
          <t>F</t>
        </is>
      </c>
      <c r="D802" s="2" t="n">
        <v>100</v>
      </c>
      <c r="E802" s="4">
        <f>HYPERLINK("./Results/DLO\20180401_1.2.840.113619.2.416.166895534450409067193557544536559208277_304_512_512_\Osteo_Sarco_1.png","RPT")</f>
        <v/>
      </c>
      <c r="F802" s="3" t="n">
        <v>139</v>
      </c>
      <c r="G802" s="3" t="n">
        <v>8</v>
      </c>
      <c r="H802" s="7" t="n">
        <v>21.23</v>
      </c>
      <c r="I802" s="0" t="inlineStr">
        <is>
          <t>Revolution CT</t>
        </is>
      </c>
      <c r="J802" s="0" t="inlineStr">
        <is>
          <t>ABD 2.5mm</t>
        </is>
      </c>
      <c r="K802" t="n">
        <v>167</v>
      </c>
      <c r="L802" t="n">
        <v>59.2</v>
      </c>
      <c r="M802" t="n">
        <v>46.97</v>
      </c>
    </row>
    <row r="803">
      <c r="A803" s="2" t="n">
        <v>9550963</v>
      </c>
      <c r="B803" s="2" t="n">
        <v>62</v>
      </c>
      <c r="C803" s="2" t="inlineStr">
        <is>
          <t>M</t>
        </is>
      </c>
      <c r="D803" s="2" t="n">
        <v>100</v>
      </c>
      <c r="E803" s="4">
        <f>HYPERLINK("./Results/DLO\20190101_1.2.840.113619.2.94.485650834948.2.9354138.20400905.1_2_512_512_\Osteo_Sarco_1.png","RPT")</f>
        <v/>
      </c>
      <c r="F803" s="3" t="n">
        <v>138</v>
      </c>
      <c r="G803" s="3" t="n">
        <v>9</v>
      </c>
      <c r="H803" s="7" t="n">
        <v>25.68</v>
      </c>
      <c r="I803" s="0" t="inlineStr">
        <is>
          <t>SOMATOM Definition AS</t>
        </is>
      </c>
      <c r="J803" s="0" t="inlineStr">
        <is>
          <t>With Contrast 3.0 B30f</t>
        </is>
      </c>
      <c r="K803" t="n">
        <v>168.9</v>
      </c>
      <c r="L803" t="n">
        <v>73.25</v>
      </c>
      <c r="M803" t="n">
        <v>45.22</v>
      </c>
    </row>
    <row r="804">
      <c r="A804" s="2" t="n">
        <v>8626070</v>
      </c>
      <c r="B804" s="2" t="n">
        <v>62</v>
      </c>
      <c r="C804" s="2" t="inlineStr">
        <is>
          <t>F</t>
        </is>
      </c>
      <c r="D804" s="2" t="n">
        <v>100</v>
      </c>
      <c r="E804" s="4">
        <f>HYPERLINK("./Results/DLO\20190701_1.3.46.670589.33.1.63699384080349445800001.5648132833675810348_201_512_512_\Osteo_Sarco_1.png","RPT")</f>
        <v/>
      </c>
      <c r="F804" s="3" t="n">
        <v>134</v>
      </c>
      <c r="G804" s="3" t="n">
        <v>17</v>
      </c>
      <c r="H804" s="6" t="n">
        <v>31.11</v>
      </c>
      <c r="I804" s="0" t="inlineStr">
        <is>
          <t>Ingenuity Core 128</t>
        </is>
      </c>
      <c r="J804" s="0" t="inlineStr">
        <is>
          <t>Post 3mm, iDose (3)</t>
        </is>
      </c>
      <c r="K804" t="n">
        <v>150</v>
      </c>
      <c r="L804" t="n">
        <v>70</v>
      </c>
      <c r="M804" t="n">
        <v>52</v>
      </c>
    </row>
    <row r="805">
      <c r="A805" s="2" t="n">
        <v>9744561</v>
      </c>
      <c r="B805" s="2" t="n">
        <v>62</v>
      </c>
      <c r="C805" s="2" t="inlineStr">
        <is>
          <t>M</t>
        </is>
      </c>
      <c r="D805" s="2" t="n">
        <v>100</v>
      </c>
      <c r="E805" s="4">
        <f>HYPERLINK("./Results/DLO\20190801_1.3.12.2.1107.5.1.4.65253.30000019080319364173000056282_2_512_512_\Osteo_Sarco_1.png","RPT")</f>
        <v/>
      </c>
      <c r="F805" s="3" t="n">
        <v>132</v>
      </c>
      <c r="G805" s="3" t="n">
        <v>12</v>
      </c>
      <c r="H805" s="6" t="n">
        <v>26.12</v>
      </c>
      <c r="I805" s="0" t="inlineStr">
        <is>
          <t>SOMATOM Definition AS</t>
        </is>
      </c>
      <c r="J805" s="0" t="inlineStr">
        <is>
          <t>Pre Contrast 3.0 B30f</t>
        </is>
      </c>
      <c r="K805" t="n">
        <v>158.1</v>
      </c>
      <c r="L805" t="n">
        <v>65.3</v>
      </c>
      <c r="M805" t="n">
        <v>48.01</v>
      </c>
    </row>
    <row r="806">
      <c r="A806" s="2" t="n">
        <v>5111602</v>
      </c>
      <c r="B806" s="2" t="n">
        <v>62</v>
      </c>
      <c r="C806" s="2" t="inlineStr">
        <is>
          <t>F</t>
        </is>
      </c>
      <c r="D806" s="2" t="n">
        <v>100</v>
      </c>
      <c r="E806" s="4">
        <f>HYPERLINK("./Results/DLO\20180301_1.3.12.2.1107.5.1.4.54310.30000018031823122465600002189_2_512_512_\Osteo_Sarco_1.png","RPT")</f>
        <v/>
      </c>
      <c r="F806" s="3" t="n">
        <v>128</v>
      </c>
      <c r="G806" s="3" t="n">
        <v>10</v>
      </c>
      <c r="H806" s="7" t="n">
        <v>23.25</v>
      </c>
      <c r="I806" s="0" t="inlineStr">
        <is>
          <t>Sensation 64</t>
        </is>
      </c>
      <c r="J806" s="0" t="inlineStr">
        <is>
          <t>With Contrast 3.0 B30f</t>
        </is>
      </c>
      <c r="K806" t="n">
        <v>163.3</v>
      </c>
      <c r="L806" t="n">
        <v>62</v>
      </c>
      <c r="M806" t="n">
        <v>44.25</v>
      </c>
    </row>
    <row r="807">
      <c r="A807" s="2" t="n">
        <v>6114552</v>
      </c>
      <c r="B807" s="2" t="n">
        <v>62</v>
      </c>
      <c r="C807" s="2" t="inlineStr">
        <is>
          <t>M</t>
        </is>
      </c>
      <c r="D807" s="2" t="n">
        <v>100</v>
      </c>
      <c r="E807" s="4">
        <f>HYPERLINK("./Results/DLO\20180401_1.3.12.2.1107.5.1.4.54310.30000018041123090860900000721_2_512_512_\Osteo_Sarco_1.png","RPT")</f>
        <v/>
      </c>
      <c r="F807" s="3" t="n">
        <v>122</v>
      </c>
      <c r="G807" s="3" t="n">
        <v>8</v>
      </c>
      <c r="H807" s="7" t="n">
        <v>20.08</v>
      </c>
      <c r="I807" s="0" t="inlineStr">
        <is>
          <t>Sensation 64</t>
        </is>
      </c>
      <c r="J807" s="0" t="inlineStr">
        <is>
          <t>With Contrast 3.0 B30f</t>
        </is>
      </c>
      <c r="K807" t="n">
        <v>164</v>
      </c>
      <c r="L807" t="n">
        <v>54</v>
      </c>
      <c r="M807" t="n">
        <v>42.39</v>
      </c>
    </row>
    <row r="808">
      <c r="A808" s="2" t="n">
        <v>5600856</v>
      </c>
      <c r="B808" s="2" t="n">
        <v>62</v>
      </c>
      <c r="C808" s="2" t="inlineStr">
        <is>
          <t>F</t>
        </is>
      </c>
      <c r="D808" s="2" t="n">
        <v>100</v>
      </c>
      <c r="E808" s="4">
        <f>HYPERLINK("./Results/DLO\20190901_1.3.12.2.1107.5.1.4.54310.30000019092221440764000007911_7_512_512_\Osteo_Sarco_1.png","RPT")</f>
        <v/>
      </c>
      <c r="F808" s="3" t="n">
        <v>120</v>
      </c>
      <c r="G808" s="3" t="n">
        <v>9</v>
      </c>
      <c r="H808" s="6" t="n">
        <v>22.96</v>
      </c>
      <c r="I808" s="0" t="inlineStr">
        <is>
          <t>Sensation 64</t>
        </is>
      </c>
      <c r="J808" s="0" t="inlineStr">
        <is>
          <t>ABD Contrast 3.0 B30f</t>
        </is>
      </c>
      <c r="K808" t="n">
        <v>163</v>
      </c>
      <c r="L808" t="n">
        <v>61</v>
      </c>
      <c r="M808" t="n">
        <v>41.78</v>
      </c>
    </row>
    <row r="809">
      <c r="A809" s="2" t="n">
        <v>9490135</v>
      </c>
      <c r="B809" s="2" t="n">
        <v>62</v>
      </c>
      <c r="C809" s="2" t="inlineStr">
        <is>
          <t>F</t>
        </is>
      </c>
      <c r="D809" s="2" t="n">
        <v>100</v>
      </c>
      <c r="E809" s="4">
        <f>HYPERLINK("./Results/DLO\20181201_1.2.840.113619.2.416.254003209397964596344712981335219159154_301_512_512_\Osteo_Sarco_1.png","RPT")</f>
        <v/>
      </c>
      <c r="F809" s="3" t="n">
        <v>119</v>
      </c>
      <c r="G809" s="3" t="n">
        <v>12</v>
      </c>
      <c r="H809" s="7" t="n">
        <v>20.12</v>
      </c>
      <c r="I809" s="0" t="inlineStr">
        <is>
          <t>Revolution CT</t>
        </is>
      </c>
      <c r="J809" s="0" t="inlineStr">
        <is>
          <t>ARTERY</t>
        </is>
      </c>
      <c r="K809" t="n">
        <v>162.3</v>
      </c>
      <c r="L809" t="n">
        <v>53</v>
      </c>
      <c r="M809" t="n">
        <v>40.62</v>
      </c>
    </row>
    <row r="810">
      <c r="A810" s="2" t="n">
        <v>9941989</v>
      </c>
      <c r="B810" s="2" t="n">
        <v>62</v>
      </c>
      <c r="C810" s="2" t="inlineStr">
        <is>
          <t>F</t>
        </is>
      </c>
      <c r="D810" s="2" t="n">
        <v>100</v>
      </c>
      <c r="E810" s="4">
        <f>HYPERLINK("./Results/DLO\20200401_1.3.12.2.1107.5.1.4.54310.30000020033122400060900034204_7_512_512_\Osteo_Sarco_1.png","RPT")</f>
        <v/>
      </c>
      <c r="F810" s="3" t="n">
        <v>117</v>
      </c>
      <c r="G810" s="3" t="n">
        <v>6</v>
      </c>
      <c r="H810" s="7" t="n">
        <v>27.8</v>
      </c>
      <c r="I810" s="0" t="inlineStr">
        <is>
          <t>Sensation 64</t>
        </is>
      </c>
      <c r="J810" s="0" t="inlineStr">
        <is>
          <t>ABD 3mm B30f</t>
        </is>
      </c>
      <c r="K810" t="n">
        <v>157.1</v>
      </c>
      <c r="L810" t="n">
        <v>68.59999999999999</v>
      </c>
      <c r="M810" t="n">
        <v>44.97</v>
      </c>
    </row>
    <row r="811">
      <c r="A811" s="2" t="n">
        <v>5023110</v>
      </c>
      <c r="B811" s="2" t="n">
        <v>62</v>
      </c>
      <c r="C811" s="2" t="inlineStr">
        <is>
          <t>F</t>
        </is>
      </c>
      <c r="D811" s="2" t="n">
        <v>100</v>
      </c>
      <c r="E811" s="4">
        <f>HYPERLINK("./Results/DLO\20180401_1.2.840.113619.2.311.57463088585648069160740303072040725528_303_512_512_\Osteo_Sarco_1.png","RPT")</f>
        <v/>
      </c>
      <c r="F811" s="3" t="n">
        <v>116</v>
      </c>
      <c r="G811" s="3" t="n">
        <v>12</v>
      </c>
      <c r="H811" s="7" t="n">
        <v>30.7</v>
      </c>
      <c r="I811" s="0" t="inlineStr">
        <is>
          <t>Revolution CT</t>
        </is>
      </c>
      <c r="J811" s="0" t="inlineStr">
        <is>
          <t>ABD 2.5mm</t>
        </is>
      </c>
      <c r="K811" t="n">
        <v>151</v>
      </c>
      <c r="L811" t="n">
        <v>70</v>
      </c>
      <c r="M811" t="n">
        <v>45.61</v>
      </c>
    </row>
    <row r="812">
      <c r="A812" s="2" t="n">
        <v>6394553</v>
      </c>
      <c r="B812" s="2" t="n">
        <v>62</v>
      </c>
      <c r="C812" s="2" t="inlineStr">
        <is>
          <t>M</t>
        </is>
      </c>
      <c r="D812" s="2" t="n">
        <v>100</v>
      </c>
      <c r="E812" s="4">
        <f>HYPERLINK("./Results/DLO\20191201_1.3.12.2.1107.5.1.4.54310.30000019121922262284300034213_3_512_512_\Osteo_Sarco_1.png","RPT")</f>
        <v/>
      </c>
      <c r="F812" s="3" t="n">
        <v>116</v>
      </c>
      <c r="G812" s="3" t="n">
        <v>7</v>
      </c>
      <c r="H812" s="7" t="n">
        <v>22.23</v>
      </c>
      <c r="I812" s="0" t="inlineStr">
        <is>
          <t>Sensation 64</t>
        </is>
      </c>
      <c r="J812" s="0" t="inlineStr">
        <is>
          <t>Pre Contrast 3.0 B30f</t>
        </is>
      </c>
      <c r="K812" t="n">
        <v>167</v>
      </c>
      <c r="L812" t="n">
        <v>62</v>
      </c>
      <c r="M812" t="n">
        <v>39.08</v>
      </c>
    </row>
    <row r="813">
      <c r="A813" s="2" t="n">
        <v>5590445</v>
      </c>
      <c r="B813" s="2" t="n">
        <v>62</v>
      </c>
      <c r="C813" s="2" t="inlineStr">
        <is>
          <t>F</t>
        </is>
      </c>
      <c r="D813" s="2" t="n">
        <v>100</v>
      </c>
      <c r="E813" s="4">
        <f>HYPERLINK("./Results/DLO\20180401_1.3.46.670589.33.1.63659212688247639300001.5367098466310288591_201_512_512_\Osteo_Sarco_1.png","RPT")</f>
        <v/>
      </c>
      <c r="F813" s="3" t="n">
        <v>114</v>
      </c>
      <c r="G813" s="3" t="n">
        <v>11</v>
      </c>
      <c r="H813" s="7" t="n">
        <v>23.17</v>
      </c>
      <c r="I813" s="0" t="inlineStr">
        <is>
          <t>Ingenuity Core 128</t>
        </is>
      </c>
      <c r="J813" s="0" t="inlineStr">
        <is>
          <t>Post 100/236 i3, iDose (3)</t>
        </is>
      </c>
      <c r="K813" t="n">
        <v>163.7</v>
      </c>
      <c r="L813" t="n">
        <v>62.1</v>
      </c>
      <c r="M813" t="n">
        <v>38.44</v>
      </c>
    </row>
    <row r="814">
      <c r="A814" s="2" t="n">
        <v>5142357</v>
      </c>
      <c r="B814" s="2" t="n">
        <v>62</v>
      </c>
      <c r="C814" s="2" t="inlineStr">
        <is>
          <t>F</t>
        </is>
      </c>
      <c r="D814" s="2" t="n">
        <v>100</v>
      </c>
      <c r="E814" s="4">
        <f>HYPERLINK("./Results/DLO\20190301_1.3.12.2.1107.5.1.4.54310.30000019032523301885900002956_3_512_512_\Osteo_Sarco_1.png","RPT")</f>
        <v/>
      </c>
      <c r="F814" s="3" t="n">
        <v>110</v>
      </c>
      <c r="G814" s="3" t="n">
        <v>7</v>
      </c>
      <c r="H814" s="7" t="n">
        <v>21.29</v>
      </c>
      <c r="I814" s="0" t="inlineStr">
        <is>
          <t>Sensation 64</t>
        </is>
      </c>
      <c r="J814" s="0" t="inlineStr">
        <is>
          <t>Pre Contrast 3.0 B30f</t>
        </is>
      </c>
      <c r="K814" t="n">
        <v>159.4</v>
      </c>
      <c r="L814" t="n">
        <v>54.1</v>
      </c>
      <c r="M814" t="n">
        <v>40.54</v>
      </c>
    </row>
    <row r="815">
      <c r="A815" s="2" t="n">
        <v>307070</v>
      </c>
      <c r="B815" s="2" t="n">
        <v>62</v>
      </c>
      <c r="C815" s="2" t="inlineStr">
        <is>
          <t>F</t>
        </is>
      </c>
      <c r="D815" s="2" t="n">
        <v>100</v>
      </c>
      <c r="E815" s="4">
        <f>HYPERLINK("./Results/DLO\20180901_1.3.12.2.1107.5.1.4.54310.30000018090523165039000008682_2_512_512_\Osteo_Sarco_1.png","RPT")</f>
        <v/>
      </c>
      <c r="F815" s="3" t="n">
        <v>108</v>
      </c>
      <c r="G815" s="3" t="n">
        <v>9</v>
      </c>
      <c r="H815" s="7" t="n">
        <v>21.94</v>
      </c>
      <c r="I815" s="0" t="inlineStr">
        <is>
          <t>Sensation 64</t>
        </is>
      </c>
      <c r="J815" s="0" t="inlineStr">
        <is>
          <t>With Contrast 3.0 B30f</t>
        </is>
      </c>
      <c r="K815" t="n">
        <v>151.7</v>
      </c>
      <c r="L815" t="n">
        <v>50.5</v>
      </c>
      <c r="M815" t="n">
        <v>43.02</v>
      </c>
    </row>
    <row r="816">
      <c r="A816" s="2" t="n">
        <v>8765074</v>
      </c>
      <c r="B816" s="2" t="n">
        <v>62</v>
      </c>
      <c r="C816" s="2" t="inlineStr">
        <is>
          <t>F</t>
        </is>
      </c>
      <c r="D816" s="2" t="n">
        <v>100</v>
      </c>
      <c r="E816" s="4">
        <f>HYPERLINK("./Results/DLO\20181101_1.2.840.113619.2.311.300479592310638836442138029475396753696_304_512_512_\Osteo_Sarco_1.png","RPT")</f>
        <v/>
      </c>
      <c r="F816" s="3" t="n">
        <v>108</v>
      </c>
      <c r="G816" s="3" t="n">
        <v>11</v>
      </c>
      <c r="H816" s="7" t="n">
        <v>23.52</v>
      </c>
      <c r="I816" s="0" t="inlineStr">
        <is>
          <t>Revolution CT</t>
        </is>
      </c>
      <c r="J816" s="0" t="inlineStr">
        <is>
          <t>ABD 2.5mm</t>
        </is>
      </c>
      <c r="K816" t="n">
        <v>159.6</v>
      </c>
      <c r="L816" t="n">
        <v>59.9</v>
      </c>
      <c r="M816" t="n">
        <v>38.08</v>
      </c>
    </row>
    <row r="817">
      <c r="A817" s="2" t="n">
        <v>5506522</v>
      </c>
      <c r="B817" s="2" t="n">
        <v>62</v>
      </c>
      <c r="C817" s="2" t="inlineStr">
        <is>
          <t>F</t>
        </is>
      </c>
      <c r="D817" s="2" t="n">
        <v>100</v>
      </c>
      <c r="E817" s="4">
        <f>HYPERLINK("./Results/DLO\20180701_1.3.12.2.1107.5.1.4.54310.30000018071123231618700010614_2_512_512_\Osteo_Sarco_1.png","RPT")</f>
        <v/>
      </c>
      <c r="F817" s="3" t="n">
        <v>107</v>
      </c>
      <c r="G817" s="3" t="n">
        <v>9</v>
      </c>
      <c r="H817" s="7" t="n">
        <v>22.19</v>
      </c>
      <c r="I817" s="0" t="inlineStr">
        <is>
          <t>Sensation 64</t>
        </is>
      </c>
      <c r="J817" s="0" t="inlineStr">
        <is>
          <t>With Contrast 3.0 B30f</t>
        </is>
      </c>
      <c r="K817" t="n">
        <v>154.4</v>
      </c>
      <c r="L817" t="n">
        <v>52.9</v>
      </c>
      <c r="M817" t="n">
        <v>41.11</v>
      </c>
    </row>
    <row r="818">
      <c r="A818" s="2" t="n">
        <v>9006984</v>
      </c>
      <c r="B818" s="2" t="n">
        <v>62</v>
      </c>
      <c r="C818" s="2" t="inlineStr">
        <is>
          <t>F</t>
        </is>
      </c>
      <c r="D818" s="2" t="n">
        <v>100</v>
      </c>
      <c r="E818" s="4">
        <f>HYPERLINK("./Results/DLO\20190801_1.3.12.2.1107.5.1.4.54310.30000019080723041839000047422_7_512_512_\Osteo_Sarco_1.png","RPT")</f>
        <v/>
      </c>
      <c r="F818" s="3" t="n">
        <v>107</v>
      </c>
      <c r="G818" s="3" t="n">
        <v>10</v>
      </c>
      <c r="H818" s="7" t="n">
        <v>23.94</v>
      </c>
      <c r="I818" s="0" t="inlineStr">
        <is>
          <t>Sensation 64</t>
        </is>
      </c>
      <c r="J818" s="0" t="inlineStr">
        <is>
          <t>ABD Contrast 3.0 B30f</t>
        </is>
      </c>
      <c r="K818" t="n">
        <v>157</v>
      </c>
      <c r="L818" t="n">
        <v>59</v>
      </c>
      <c r="M818" t="n">
        <v>39.35</v>
      </c>
    </row>
    <row r="819">
      <c r="A819" s="2" t="n">
        <v>5814700</v>
      </c>
      <c r="B819" s="2" t="n">
        <v>62</v>
      </c>
      <c r="C819" s="2" t="inlineStr">
        <is>
          <t>F</t>
        </is>
      </c>
      <c r="D819" s="2" t="n">
        <v>100</v>
      </c>
      <c r="E819" s="4">
        <f>HYPERLINK("./Results/DLO\20180701_1.3.12.2.1107.5.1.4.65253.30000018071916364286400045781_2_512_512_\Osteo_Sarco_1.png","RPT")</f>
        <v/>
      </c>
      <c r="F819" s="3" t="n">
        <v>104</v>
      </c>
      <c r="G819" s="3" t="n">
        <v>6</v>
      </c>
      <c r="H819" s="6" t="n">
        <v>24.09</v>
      </c>
      <c r="I819" s="0" t="inlineStr">
        <is>
          <t>SOMATOM Definition AS</t>
        </is>
      </c>
      <c r="J819" s="0" t="inlineStr">
        <is>
          <t>Pre Contrast 3.0 B30f</t>
        </is>
      </c>
      <c r="K819" t="n">
        <v>161.7</v>
      </c>
      <c r="L819" t="n">
        <v>63</v>
      </c>
      <c r="M819" t="n">
        <v>37.48</v>
      </c>
    </row>
    <row r="820">
      <c r="A820" s="2" t="n">
        <v>8518259</v>
      </c>
      <c r="B820" s="2" t="n">
        <v>62</v>
      </c>
      <c r="C820" s="2" t="inlineStr">
        <is>
          <t>F</t>
        </is>
      </c>
      <c r="D820" s="2" t="n">
        <v>100</v>
      </c>
      <c r="E820" s="4">
        <f>HYPERLINK("./Results/DLO\20180101_1.2.840.113619.2.94.485650834948.2.8603224.18551300.1_2_512_512_\Osteo_Sarco_1.png","RPT")</f>
        <v/>
      </c>
      <c r="F820" s="3" t="n">
        <v>103</v>
      </c>
      <c r="G820" s="3" t="n">
        <v>5</v>
      </c>
      <c r="H820" s="6" t="n">
        <v>24.58</v>
      </c>
      <c r="I820" s="0" t="inlineStr">
        <is>
          <t>Sensation 64</t>
        </is>
      </c>
      <c r="J820" s="0" t="inlineStr">
        <is>
          <t>With Contrast 3.0 B30f</t>
        </is>
      </c>
      <c r="K820" t="n">
        <v>153.6</v>
      </c>
      <c r="L820" t="n">
        <v>58</v>
      </c>
      <c r="M820" t="n">
        <v>41.54</v>
      </c>
    </row>
    <row r="821">
      <c r="A821" s="2" t="n">
        <v>2380953</v>
      </c>
      <c r="B821" s="2" t="n">
        <v>62</v>
      </c>
      <c r="C821" s="2" t="inlineStr">
        <is>
          <t>F</t>
        </is>
      </c>
      <c r="D821" s="2" t="n">
        <v>100</v>
      </c>
      <c r="E821" s="4">
        <f>HYPERLINK("./Results/DLO\20191001_1.3.12.2.1107.5.1.4.65253.30000019093020481743200000285_2_512_512_\Osteo_Sarco_1.png","RPT")</f>
        <v/>
      </c>
      <c r="F821" s="3" t="n">
        <v>101</v>
      </c>
      <c r="G821" s="3" t="n">
        <v>19</v>
      </c>
      <c r="H821" s="6" t="n">
        <v>26.1</v>
      </c>
      <c r="I821" s="0" t="inlineStr">
        <is>
          <t>SOMATOM Definition AS</t>
        </is>
      </c>
      <c r="J821" s="0" t="inlineStr">
        <is>
          <t>ABD Pre 3.0 B30f</t>
        </is>
      </c>
      <c r="K821" t="n">
        <v>158.3</v>
      </c>
      <c r="L821" t="n">
        <v>65.40000000000001</v>
      </c>
      <c r="M821" t="n">
        <v>32.72</v>
      </c>
    </row>
    <row r="822">
      <c r="A822" s="2" t="n">
        <v>5800841</v>
      </c>
      <c r="B822" s="2" t="n">
        <v>63</v>
      </c>
      <c r="C822" s="2" t="inlineStr">
        <is>
          <t>F</t>
        </is>
      </c>
      <c r="D822" s="2" t="n">
        <v>100</v>
      </c>
      <c r="E822" s="4">
        <f>HYPERLINK("./Results/DLO\20180301_1.2.840.113619.2.416.118226959588253105653124724468761463593_304_512_512_\Osteo_Sarco_1.png","RPT")</f>
        <v/>
      </c>
      <c r="F822" s="3" t="n">
        <v>98</v>
      </c>
      <c r="G822" s="3" t="n">
        <v>10</v>
      </c>
      <c r="H822" s="7" t="n">
        <v>21.44</v>
      </c>
      <c r="I822" s="0" t="inlineStr">
        <is>
          <t>Revolution CT</t>
        </is>
      </c>
      <c r="J822" s="0" t="inlineStr">
        <is>
          <t>ABD 2.5mm</t>
        </is>
      </c>
      <c r="K822" t="n">
        <v>151.8</v>
      </c>
      <c r="L822" t="n">
        <v>49.4</v>
      </c>
      <c r="M822" t="n">
        <v>38.19</v>
      </c>
    </row>
    <row r="823">
      <c r="A823" s="2" t="n">
        <v>6738110</v>
      </c>
      <c r="B823" s="2" t="n">
        <v>63</v>
      </c>
      <c r="C823" s="2" t="inlineStr">
        <is>
          <t>F</t>
        </is>
      </c>
      <c r="D823" s="2" t="n">
        <v>100</v>
      </c>
      <c r="E823" s="4">
        <f>HYPERLINK("./Results/DLO\20180801_1.2.840.113619.2.94.485650834948.2.9053115.19658517.1_2_512_512_\Osteo_Sarco_1.png","RPT")</f>
        <v/>
      </c>
      <c r="F823" s="3" t="n">
        <v>98</v>
      </c>
      <c r="G823" s="3" t="n">
        <v>5</v>
      </c>
      <c r="H823" s="7" t="n">
        <v>24.67</v>
      </c>
      <c r="I823" s="0" t="inlineStr">
        <is>
          <t>Sensation 64</t>
        </is>
      </c>
      <c r="J823" s="0" t="inlineStr">
        <is>
          <t>With Contrast 3.0 B30f</t>
        </is>
      </c>
      <c r="K823" t="n">
        <v>155.7</v>
      </c>
      <c r="L823" t="n">
        <v>59.8</v>
      </c>
      <c r="M823" t="n">
        <v>38.36</v>
      </c>
    </row>
    <row r="824">
      <c r="A824" s="2" t="n">
        <v>8508208</v>
      </c>
      <c r="B824" s="2" t="n">
        <v>63</v>
      </c>
      <c r="C824" s="2" t="inlineStr">
        <is>
          <t>F</t>
        </is>
      </c>
      <c r="D824" s="2" t="n">
        <v>100</v>
      </c>
      <c r="E824" s="4">
        <f>HYPERLINK("./Results/DLO\20180201_1.2.840.113619.2.311.194338233937210382677445147917778887684_305_512_512_\Osteo_Sarco_1.png","RPT")</f>
        <v/>
      </c>
      <c r="F824" s="3" t="n">
        <v>97</v>
      </c>
      <c r="G824" s="3" t="n">
        <v>14</v>
      </c>
      <c r="H824" s="6" t="n">
        <v>21.14</v>
      </c>
      <c r="I824" s="0" t="inlineStr">
        <is>
          <t>Revolution CT</t>
        </is>
      </c>
      <c r="J824" s="0" t="inlineStr">
        <is>
          <t>ABD 2.5mm</t>
        </is>
      </c>
      <c r="K824" t="n">
        <v>149.9</v>
      </c>
      <c r="L824" t="n">
        <v>47.5</v>
      </c>
      <c r="M824" t="n">
        <v>36.94</v>
      </c>
    </row>
    <row r="825">
      <c r="A825" s="2" t="n">
        <v>5583950</v>
      </c>
      <c r="B825" s="2" t="n">
        <v>63</v>
      </c>
      <c r="C825" s="2" t="inlineStr">
        <is>
          <t>F</t>
        </is>
      </c>
      <c r="D825" s="2" t="n">
        <v>100</v>
      </c>
      <c r="E825" s="4">
        <f>HYPERLINK("./Results/DLO\20190401_1.3.12.2.1107.5.1.4.54310.30000019040423312360900041459_2_512_512_\Osteo_Sarco_1.png","RPT")</f>
        <v/>
      </c>
      <c r="F825" s="3" t="n">
        <v>97</v>
      </c>
      <c r="G825" s="3" t="n">
        <v>9</v>
      </c>
      <c r="H825" s="7" t="n">
        <v>23.44</v>
      </c>
      <c r="I825" s="0" t="inlineStr">
        <is>
          <t>Sensation 64</t>
        </is>
      </c>
      <c r="J825" s="0" t="inlineStr">
        <is>
          <t>Pre Contrast 3.0 B30f</t>
        </is>
      </c>
      <c r="K825" t="n">
        <v>160</v>
      </c>
      <c r="L825" t="n">
        <v>60</v>
      </c>
      <c r="M825" t="n">
        <v>34.37</v>
      </c>
    </row>
    <row r="826">
      <c r="A826" s="2" t="n">
        <v>9945929</v>
      </c>
      <c r="B826" s="2" t="n">
        <v>63</v>
      </c>
      <c r="C826" s="2" t="inlineStr">
        <is>
          <t>F</t>
        </is>
      </c>
      <c r="D826" s="2" t="n">
        <v>100</v>
      </c>
      <c r="E826" s="4">
        <f>HYPERLINK("./Results/DLO\20200301_1.3.12.2.1107.5.1.4.54310.30000020032321040095300027479_6_512_512_\Osteo_Sarco_1.png","RPT")</f>
        <v/>
      </c>
      <c r="F826" s="3" t="n">
        <v>97</v>
      </c>
      <c r="G826" s="3" t="n">
        <v>11</v>
      </c>
      <c r="H826" s="6" t="n">
        <v>21.69</v>
      </c>
      <c r="I826" s="0" t="inlineStr">
        <is>
          <t>Sensation 64</t>
        </is>
      </c>
      <c r="J826" s="0" t="inlineStr">
        <is>
          <t>Portal 3.0 B30f</t>
        </is>
      </c>
      <c r="K826" t="n">
        <v>157.5</v>
      </c>
      <c r="L826" t="n">
        <v>53.8</v>
      </c>
      <c r="M826" t="n">
        <v>34.67</v>
      </c>
    </row>
    <row r="827">
      <c r="A827" s="2" t="n">
        <v>5193831</v>
      </c>
      <c r="B827" s="2" t="n">
        <v>63</v>
      </c>
      <c r="C827" s="2" t="inlineStr">
        <is>
          <t>F</t>
        </is>
      </c>
      <c r="D827" s="2" t="n">
        <v>100</v>
      </c>
      <c r="E827" s="4">
        <f>HYPERLINK("./Results/DLO\20180401_1.3.46.670589.33.1.63658956696541751300001.5644887033988533569_201_512_512_\Osteo_Sarco_1.png","RPT")</f>
        <v/>
      </c>
      <c r="F827" s="3" t="n">
        <v>93</v>
      </c>
      <c r="G827" s="3" t="n">
        <v>10</v>
      </c>
      <c r="H827" s="7" t="n">
        <v>23.78</v>
      </c>
      <c r="I827" s="0" t="inlineStr">
        <is>
          <t>Ingenuity Core 128</t>
        </is>
      </c>
      <c r="J827" s="0" t="inlineStr">
        <is>
          <t>Post 100/236 i3, iDose (3)</t>
        </is>
      </c>
      <c r="K827" t="n">
        <v>145</v>
      </c>
      <c r="L827" t="n">
        <v>50</v>
      </c>
      <c r="M827" t="n">
        <v>39.48</v>
      </c>
    </row>
    <row r="828">
      <c r="A828" s="2" t="n">
        <v>5240861</v>
      </c>
      <c r="B828" s="2" t="n">
        <v>63</v>
      </c>
      <c r="C828" s="2" t="inlineStr">
        <is>
          <t>F</t>
        </is>
      </c>
      <c r="D828" s="2" t="n">
        <v>100</v>
      </c>
      <c r="E828" s="4">
        <f>HYPERLINK("./Results/DLO\20190301_1.3.46.670589.33.1.63687288102246590700001.4776319597885277823_201_512_512_\Osteo_Sarco_1.png","RPT")</f>
        <v/>
      </c>
      <c r="F828" s="3" t="n">
        <v>93</v>
      </c>
      <c r="G828" s="3" t="n">
        <v>8</v>
      </c>
      <c r="H828" s="7" t="n">
        <v>17.4</v>
      </c>
      <c r="I828" s="0" t="inlineStr">
        <is>
          <t>Ingenuity Core 128</t>
        </is>
      </c>
      <c r="J828" s="0" t="inlineStr">
        <is>
          <t>Post 3mm, iDose (3)</t>
        </is>
      </c>
      <c r="K828" t="n">
        <v>159</v>
      </c>
      <c r="L828" t="n">
        <v>44</v>
      </c>
      <c r="M828" t="n">
        <v>33.62</v>
      </c>
    </row>
    <row r="829">
      <c r="A829" s="2" t="n">
        <v>8752220</v>
      </c>
      <c r="B829" s="2" t="n">
        <v>63</v>
      </c>
      <c r="C829" s="2" t="inlineStr">
        <is>
          <t>F</t>
        </is>
      </c>
      <c r="D829" s="2" t="n">
        <v>100</v>
      </c>
      <c r="E829" s="4">
        <f>HYPERLINK("./Results/DLO\20190901_1.3.46.670589.33.1.63703361907969920000001.5015349785036724031_201_512_512_\Osteo_Sarco_1.png","RPT")</f>
        <v/>
      </c>
      <c r="F829" s="3" t="n">
        <v>93</v>
      </c>
      <c r="G829" s="3" t="n">
        <v>10</v>
      </c>
      <c r="H829" s="7" t="n">
        <v>20.81</v>
      </c>
      <c r="I829" s="0" t="inlineStr">
        <is>
          <t>Ingenuity Core 128</t>
        </is>
      </c>
      <c r="J829" s="0" t="inlineStr">
        <is>
          <t>Post 3mm, iDose (3)</t>
        </is>
      </c>
      <c r="K829" t="n">
        <v>155</v>
      </c>
      <c r="L829" t="n">
        <v>50</v>
      </c>
      <c r="M829" t="n">
        <v>34.55</v>
      </c>
    </row>
    <row r="830">
      <c r="A830" s="2" t="n">
        <v>3529642</v>
      </c>
      <c r="B830" s="2" t="n">
        <v>63</v>
      </c>
      <c r="C830" s="2" t="inlineStr">
        <is>
          <t>F</t>
        </is>
      </c>
      <c r="D830" s="2" t="n">
        <v>100</v>
      </c>
      <c r="E830" s="4">
        <f>HYPERLINK("./Results/DLO\20190401_1.3.12.2.1107.5.1.4.54310.30000019040323295310900048969_3_512_512_\Osteo_Sarco_1.png","RPT")</f>
        <v/>
      </c>
      <c r="F830" s="3" t="n">
        <v>84</v>
      </c>
      <c r="G830" s="3" t="n">
        <v>11</v>
      </c>
      <c r="H830" s="7" t="n">
        <v>20.81</v>
      </c>
      <c r="I830" s="0" t="inlineStr">
        <is>
          <t>Sensation 64</t>
        </is>
      </c>
      <c r="J830" s="0" t="inlineStr">
        <is>
          <t>Pre Contrast 3.0 B30f</t>
        </is>
      </c>
      <c r="K830" t="n">
        <v>155</v>
      </c>
      <c r="L830" t="n">
        <v>50</v>
      </c>
      <c r="M830" t="n">
        <v>30.39</v>
      </c>
    </row>
    <row r="831">
      <c r="A831" s="2" t="n">
        <v>9670885</v>
      </c>
      <c r="B831" s="2" t="n">
        <v>63</v>
      </c>
      <c r="C831" s="2" t="inlineStr">
        <is>
          <t>F</t>
        </is>
      </c>
      <c r="D831" s="2" t="n">
        <v>100</v>
      </c>
      <c r="E831" s="4">
        <f>HYPERLINK("./Results/DLO\20190501_1.3.12.2.1107.5.1.4.54310.30000019051421202614000046826_6_512_512_\Osteo_Sarco_1.png","RPT")</f>
        <v/>
      </c>
      <c r="F831" s="3" t="n">
        <v>82</v>
      </c>
      <c r="G831" s="3" t="n">
        <v>7</v>
      </c>
      <c r="H831" s="7" t="n">
        <v>22.26</v>
      </c>
      <c r="I831" s="0" t="inlineStr">
        <is>
          <t>Sensation 64</t>
        </is>
      </c>
      <c r="J831" s="0" t="inlineStr">
        <is>
          <t>ABD Contrast 3.0 B30f</t>
        </is>
      </c>
      <c r="K831" t="n">
        <v>152.4</v>
      </c>
      <c r="L831" t="n">
        <v>51.7</v>
      </c>
      <c r="M831" t="n">
        <v>32.29</v>
      </c>
    </row>
    <row r="832">
      <c r="A832" s="2" t="n">
        <v>5086939</v>
      </c>
      <c r="B832" s="2" t="n">
        <v>63</v>
      </c>
      <c r="C832" s="2" t="inlineStr">
        <is>
          <t>F</t>
        </is>
      </c>
      <c r="D832" s="2" t="n">
        <v>100</v>
      </c>
      <c r="E832" s="4">
        <f>HYPERLINK("./Results/DLO\20181101_1.3.12.2.1107.5.1.4.65253.30000018111519212941400012286_2_512_512_\Osteo_Sarco_1.png","RPT")</f>
        <v/>
      </c>
      <c r="F832" s="3" t="n">
        <v>80</v>
      </c>
      <c r="G832" s="3" t="n">
        <v>6</v>
      </c>
      <c r="H832" s="7" t="n">
        <v>21.5</v>
      </c>
      <c r="I832" s="0" t="inlineStr">
        <is>
          <t>SOMATOM Definition AS</t>
        </is>
      </c>
      <c r="J832" s="0" t="inlineStr">
        <is>
          <t>With Contrast 3.0 B30f</t>
        </is>
      </c>
      <c r="K832" t="n">
        <v>157</v>
      </c>
      <c r="L832" t="n">
        <v>53</v>
      </c>
      <c r="M832" t="n">
        <v>30.02</v>
      </c>
    </row>
    <row r="833">
      <c r="A833" s="2" t="n">
        <v>5051051</v>
      </c>
      <c r="B833" s="2" t="n">
        <v>63</v>
      </c>
      <c r="C833" s="2" t="inlineStr">
        <is>
          <t>F</t>
        </is>
      </c>
      <c r="D833" s="2" t="n">
        <v>100</v>
      </c>
      <c r="E833" s="4">
        <f>HYPERLINK("./Results/DLO\20180801_1.3.12.2.1107.5.1.4.54310.30000018082923354242100017600_2_512_512_\Osteo_Sarco_1.png","RPT")</f>
        <v/>
      </c>
      <c r="F833" s="3" t="n">
        <v>75</v>
      </c>
      <c r="G833" s="3" t="n">
        <v>8</v>
      </c>
      <c r="H833" s="7" t="n">
        <v>22.04</v>
      </c>
      <c r="I833" s="0" t="inlineStr">
        <is>
          <t>Sensation 64</t>
        </is>
      </c>
      <c r="J833" s="0" t="inlineStr">
        <is>
          <t>With Contrast 3.0 B30f</t>
        </is>
      </c>
      <c r="K833" t="n">
        <v>165</v>
      </c>
      <c r="L833" t="n">
        <v>60</v>
      </c>
      <c r="M833" t="n">
        <v>24.61</v>
      </c>
    </row>
    <row r="834">
      <c r="A834" s="2" t="n">
        <v>1461206</v>
      </c>
      <c r="B834" s="2" t="n">
        <v>63</v>
      </c>
      <c r="C834" s="2" t="inlineStr">
        <is>
          <t>M</t>
        </is>
      </c>
      <c r="D834" s="2" t="n">
        <v>100</v>
      </c>
      <c r="E834" s="4">
        <f>HYPERLINK("./Results/DLO\20180201_1.3.46.670589.33.1.63653675992385349400001.5256286800430969385_201_512_512_\Osteo_Sarco_1.png","RPT")</f>
        <v/>
      </c>
      <c r="F834" s="3" t="n">
        <v>172</v>
      </c>
      <c r="G834" s="3" t="n">
        <v>9</v>
      </c>
      <c r="H834" s="7" t="n">
        <v>24.22</v>
      </c>
      <c r="I834" s="0" t="inlineStr">
        <is>
          <t>Ingenuity Core 128</t>
        </is>
      </c>
      <c r="J834" s="0" t="inlineStr">
        <is>
          <t>Post 100/236 i3, iDose (3)</t>
        </is>
      </c>
      <c r="K834" t="n">
        <v>170</v>
      </c>
      <c r="L834" t="n">
        <v>70</v>
      </c>
      <c r="M834" t="n">
        <v>56.4</v>
      </c>
    </row>
    <row r="835">
      <c r="A835" s="2" t="n">
        <v>8796993</v>
      </c>
      <c r="B835" s="2" t="n">
        <v>63</v>
      </c>
      <c r="C835" s="2" t="inlineStr">
        <is>
          <t>M</t>
        </is>
      </c>
      <c r="D835" s="2" t="n">
        <v>100</v>
      </c>
      <c r="E835" s="4">
        <f>HYPERLINK("./Results/DLO\20190501_1.3.12.2.1107.5.1.4.65253.30000019050718452245500037929_2_512_512_\Osteo_Sarco_1.png","RPT")</f>
        <v/>
      </c>
      <c r="F835" s="3" t="n">
        <v>166</v>
      </c>
      <c r="G835" s="3" t="n">
        <v>9</v>
      </c>
      <c r="H835" s="6" t="n">
        <v>24.28</v>
      </c>
      <c r="I835" s="0" t="inlineStr">
        <is>
          <t>SOMATOM Definition AS</t>
        </is>
      </c>
      <c r="J835" s="0" t="inlineStr">
        <is>
          <t>Pre Contrast 3.0 B30f</t>
        </is>
      </c>
      <c r="K835" t="n">
        <v>171</v>
      </c>
      <c r="L835" t="n">
        <v>71</v>
      </c>
      <c r="M835" t="n">
        <v>53.69</v>
      </c>
    </row>
    <row r="836">
      <c r="A836" s="2" t="n">
        <v>5846797</v>
      </c>
      <c r="B836" s="2" t="n">
        <v>63</v>
      </c>
      <c r="C836" s="2" t="inlineStr">
        <is>
          <t>M</t>
        </is>
      </c>
      <c r="D836" s="2" t="n">
        <v>100</v>
      </c>
      <c r="E836" s="4">
        <f>HYPERLINK("./Results/DLO\20181201_1.3.46.670589.33.1.63679514479528989000001.4997051850462017487_201_512_512_\Osteo_Sarco_1.png","RPT")</f>
        <v/>
      </c>
      <c r="F836" s="3" t="n">
        <v>159</v>
      </c>
      <c r="G836" s="3" t="n">
        <v>9</v>
      </c>
      <c r="H836" s="7" t="n">
        <v>23.59</v>
      </c>
      <c r="I836" s="0" t="inlineStr">
        <is>
          <t>Ingenuity Core 128</t>
        </is>
      </c>
      <c r="J836" s="0" t="inlineStr">
        <is>
          <t>Post 100/236 i3, iDose (3)</t>
        </is>
      </c>
      <c r="K836" t="n">
        <v>183</v>
      </c>
      <c r="L836" t="n">
        <v>79</v>
      </c>
      <c r="M836" t="n">
        <v>44.79</v>
      </c>
    </row>
    <row r="837">
      <c r="A837" s="2" t="n">
        <v>8951290</v>
      </c>
      <c r="B837" s="2" t="n">
        <v>63</v>
      </c>
      <c r="C837" s="2" t="inlineStr">
        <is>
          <t>M</t>
        </is>
      </c>
      <c r="D837" s="2" t="n">
        <v>100</v>
      </c>
      <c r="E837" s="4">
        <f>HYPERLINK("./Results/DLO\20180101_1.2.840.113619.2.416.47496877758960552238790582485680106521_302_512_512_\Osteo_Sarco_1.png","RPT")</f>
        <v/>
      </c>
      <c r="F837" s="3" t="n">
        <v>153</v>
      </c>
      <c r="G837" s="3" t="n">
        <v>9</v>
      </c>
      <c r="H837" s="7" t="n">
        <v>24.28</v>
      </c>
      <c r="I837" s="0" t="inlineStr">
        <is>
          <t>Revolution CT</t>
        </is>
      </c>
      <c r="J837" s="0" t="inlineStr">
        <is>
          <t>PORTAL</t>
        </is>
      </c>
      <c r="K837" t="n">
        <v>174</v>
      </c>
      <c r="L837" t="n">
        <v>73.5</v>
      </c>
      <c r="M837" t="n">
        <v>47.56</v>
      </c>
    </row>
    <row r="838">
      <c r="A838" s="2" t="n">
        <v>5833204</v>
      </c>
      <c r="B838" s="2" t="n">
        <v>63</v>
      </c>
      <c r="C838" s="2" t="inlineStr">
        <is>
          <t>M</t>
        </is>
      </c>
      <c r="D838" s="2" t="n">
        <v>100</v>
      </c>
      <c r="E838" s="4">
        <f>HYPERLINK("./Results/DLO\20180501_1.2.840.113619.2.311.4692435422433793178902746247251271309_303_512_512_\Osteo_Sarco_1.png","RPT")</f>
        <v/>
      </c>
      <c r="F838" s="3" t="n">
        <v>152</v>
      </c>
      <c r="G838" s="3" t="n">
        <v>9</v>
      </c>
      <c r="H838" s="6" t="n">
        <v>22.23</v>
      </c>
      <c r="I838" s="0" t="inlineStr">
        <is>
          <t>Revolution CT</t>
        </is>
      </c>
      <c r="J838" s="0" t="inlineStr">
        <is>
          <t>ABD 2.5mm</t>
        </is>
      </c>
      <c r="K838" t="n">
        <v>171</v>
      </c>
      <c r="L838" t="n">
        <v>65</v>
      </c>
      <c r="M838" t="n">
        <v>48.9</v>
      </c>
    </row>
    <row r="839">
      <c r="A839" s="2" t="n">
        <v>8476680</v>
      </c>
      <c r="B839" s="2" t="n">
        <v>63</v>
      </c>
      <c r="C839" s="2" t="inlineStr">
        <is>
          <t>M</t>
        </is>
      </c>
      <c r="D839" s="2" t="n">
        <v>100</v>
      </c>
      <c r="E839" s="4">
        <f>HYPERLINK("./Results/DLO\20190301_1.2.840.113619.2.311.119253718109012792770318254313079711595_304_512_512_\Osteo_Sarco_1.png","RPT")</f>
        <v/>
      </c>
      <c r="F839" s="3" t="n">
        <v>144</v>
      </c>
      <c r="G839" s="3" t="n">
        <v>10</v>
      </c>
      <c r="H839" s="6" t="n">
        <v>18.23</v>
      </c>
      <c r="I839" s="0" t="inlineStr">
        <is>
          <t>Revolution CT</t>
        </is>
      </c>
      <c r="J839" s="0" t="inlineStr">
        <is>
          <t>ABD 2.5mm</t>
        </is>
      </c>
      <c r="K839" t="n">
        <v>170.5</v>
      </c>
      <c r="L839" t="n">
        <v>53</v>
      </c>
      <c r="M839" t="n">
        <v>46.1</v>
      </c>
    </row>
    <row r="840">
      <c r="A840" s="2" t="n">
        <v>9722231</v>
      </c>
      <c r="B840" s="2" t="n">
        <v>63</v>
      </c>
      <c r="C840" s="2" t="inlineStr">
        <is>
          <t>M</t>
        </is>
      </c>
      <c r="D840" s="2" t="n">
        <v>100</v>
      </c>
      <c r="E840" s="4">
        <f>HYPERLINK("./Results/DLO\20190701_1.3.12.2.1107.5.1.4.65253.30000019070818395746600015407_6_512_512_\Osteo_Sarco_1.png","RPT")</f>
        <v/>
      </c>
      <c r="F840" s="3" t="n">
        <v>141</v>
      </c>
      <c r="G840" s="3" t="n">
        <v>6</v>
      </c>
      <c r="H840" s="6" t="n">
        <v>23.36</v>
      </c>
      <c r="I840" s="0" t="inlineStr">
        <is>
          <t>SOMATOM Definition AS</t>
        </is>
      </c>
      <c r="J840" s="0" t="inlineStr">
        <is>
          <t>2min-Delay 3.0 B30f</t>
        </is>
      </c>
      <c r="K840" t="n">
        <v>173</v>
      </c>
      <c r="L840" t="n">
        <v>69.90000000000001</v>
      </c>
      <c r="M840" t="n">
        <v>45.11</v>
      </c>
    </row>
    <row r="841">
      <c r="A841" s="2" t="n">
        <v>6742326</v>
      </c>
      <c r="B841" s="2" t="n">
        <v>63</v>
      </c>
      <c r="C841" s="2" t="inlineStr">
        <is>
          <t>M</t>
        </is>
      </c>
      <c r="D841" s="2" t="n">
        <v>100</v>
      </c>
      <c r="E841" s="4">
        <f>HYPERLINK("./Results/DLO\20190201_1.3.46.670589.33.1.63686424446872459900001.5444630602908408236_601_512_512_\Osteo_Sarco_1.png","RPT")</f>
        <v/>
      </c>
      <c r="F841" s="3" t="n">
        <v>137</v>
      </c>
      <c r="G841" s="3" t="n">
        <v>6</v>
      </c>
      <c r="H841" s="7" t="n">
        <v>23.03</v>
      </c>
      <c r="I841" s="0" t="inlineStr">
        <is>
          <t>Ingenuity Core 128</t>
        </is>
      </c>
      <c r="J841" s="0" t="inlineStr">
        <is>
          <t>Post 3mm, iDose (3)</t>
        </is>
      </c>
      <c r="K841" t="n">
        <v>161.4</v>
      </c>
      <c r="L841" t="n">
        <v>60</v>
      </c>
      <c r="M841" t="n">
        <v>50.29</v>
      </c>
    </row>
    <row r="842">
      <c r="A842" s="2" t="n">
        <v>5882753</v>
      </c>
      <c r="B842" s="2" t="n">
        <v>63</v>
      </c>
      <c r="C842" s="2" t="inlineStr">
        <is>
          <t>M</t>
        </is>
      </c>
      <c r="D842" s="2" t="n">
        <v>100</v>
      </c>
      <c r="E842" s="4">
        <f>HYPERLINK("./Results/DLO\20190801_1.2.840.113619.2.416.43264294877871166684481518469502523774_306_512_512_\Osteo_Sarco_1.png","RPT")</f>
        <v/>
      </c>
      <c r="F842" s="3" t="n">
        <v>137</v>
      </c>
      <c r="G842" s="3" t="n">
        <v>9</v>
      </c>
      <c r="H842" s="7" t="n">
        <v>21.98</v>
      </c>
      <c r="I842" s="0" t="inlineStr">
        <is>
          <t>Revolution CT</t>
        </is>
      </c>
      <c r="J842" s="0" t="inlineStr">
        <is>
          <t>2min</t>
        </is>
      </c>
      <c r="K842" t="n">
        <v>175.5</v>
      </c>
      <c r="L842" t="n">
        <v>67.7</v>
      </c>
      <c r="M842" t="n">
        <v>41.56</v>
      </c>
    </row>
    <row r="843">
      <c r="A843" s="2" t="n">
        <v>6165261</v>
      </c>
      <c r="B843" s="2" t="n">
        <v>63</v>
      </c>
      <c r="C843" s="2" t="inlineStr">
        <is>
          <t>F</t>
        </is>
      </c>
      <c r="D843" s="2" t="n">
        <v>100</v>
      </c>
      <c r="E843" s="4">
        <f>HYPERLINK("./Results/DLO\20190601_1.2.840.113619.2.416.313987117975397790119785878638484380317_310_512_512_\Osteo_Sarco_1.png","RPT")</f>
        <v/>
      </c>
      <c r="F843" s="3" t="n">
        <v>134</v>
      </c>
      <c r="G843" s="3" t="n">
        <v>11</v>
      </c>
      <c r="H843" s="7" t="n">
        <v>32.24</v>
      </c>
      <c r="I843" s="0" t="inlineStr">
        <is>
          <t>Revolution CT</t>
        </is>
      </c>
      <c r="J843" s="0" t="inlineStr">
        <is>
          <t>ABD</t>
        </is>
      </c>
      <c r="K843" t="n">
        <v>159</v>
      </c>
      <c r="L843" t="n">
        <v>81.5</v>
      </c>
      <c r="M843" t="n">
        <v>48.65</v>
      </c>
    </row>
    <row r="844">
      <c r="A844" s="2" t="n">
        <v>5826150</v>
      </c>
      <c r="B844" s="2" t="n">
        <v>63</v>
      </c>
      <c r="C844" s="2" t="inlineStr">
        <is>
          <t>M</t>
        </is>
      </c>
      <c r="D844" s="2" t="n">
        <v>100</v>
      </c>
      <c r="E844" s="4">
        <f>HYPERLINK("./Results/DLO\20200501_1.3.46.670589.33.1.63726169454981708200001.5580302612523345548_201_512_512_\Osteo_Sarco_1.png","RPT")</f>
        <v/>
      </c>
      <c r="F844" s="3" t="n">
        <v>134</v>
      </c>
      <c r="G844" s="3" t="n">
        <v>6</v>
      </c>
      <c r="H844" s="6" t="n">
        <v>24.53</v>
      </c>
      <c r="I844" s="0" t="inlineStr">
        <is>
          <t>Ingenuity Core 128</t>
        </is>
      </c>
      <c r="J844" s="0" t="inlineStr">
        <is>
          <t>Post 3mm, iDose (3)</t>
        </is>
      </c>
      <c r="K844" t="n">
        <v>166.5</v>
      </c>
      <c r="L844" t="n">
        <v>68</v>
      </c>
      <c r="M844" t="n">
        <v>46.17</v>
      </c>
    </row>
    <row r="845">
      <c r="A845" s="2" t="n">
        <v>8415113</v>
      </c>
      <c r="B845" s="2" t="n">
        <v>63</v>
      </c>
      <c r="C845" s="2" t="inlineStr">
        <is>
          <t>M</t>
        </is>
      </c>
      <c r="D845" s="2" t="n">
        <v>100</v>
      </c>
      <c r="E845" s="4">
        <f>HYPERLINK("./Results/DLO\20190101_1.3.12.2.1107.5.1.4.54310.30000019012323404510900010888_2_512_512_\Osteo_Sarco_1.png","RPT")</f>
        <v/>
      </c>
      <c r="F845" s="3" t="n">
        <v>128</v>
      </c>
      <c r="G845" s="3" t="n">
        <v>12</v>
      </c>
      <c r="H845" s="7" t="n">
        <v>23.79</v>
      </c>
      <c r="I845" s="0" t="inlineStr">
        <is>
          <t>Sensation 64</t>
        </is>
      </c>
      <c r="J845" s="0" t="inlineStr">
        <is>
          <t>With Contrast 3.0 B30f</t>
        </is>
      </c>
      <c r="K845" t="n">
        <v>165.3</v>
      </c>
      <c r="L845" t="n">
        <v>65</v>
      </c>
      <c r="M845" t="n">
        <v>42.45</v>
      </c>
    </row>
    <row r="846">
      <c r="A846" s="2" t="n">
        <v>5824236</v>
      </c>
      <c r="B846" s="2" t="n">
        <v>63</v>
      </c>
      <c r="C846" s="2" t="inlineStr">
        <is>
          <t>M</t>
        </is>
      </c>
      <c r="D846" s="2" t="n">
        <v>100</v>
      </c>
      <c r="E846" s="4">
        <f>HYPERLINK("./Results/DLO\20180701_1.3.12.2.1107.5.1.4.65253.30000018070220044347800023847_2_512_512_\Osteo_Sarco_1.png","RPT")</f>
        <v/>
      </c>
      <c r="F846" s="3" t="n">
        <v>123</v>
      </c>
      <c r="G846" s="3" t="n">
        <v>9</v>
      </c>
      <c r="H846" s="6" t="n">
        <v>24.46</v>
      </c>
      <c r="I846" s="0" t="inlineStr">
        <is>
          <t>SOMATOM Definition AS</t>
        </is>
      </c>
      <c r="J846" s="0" t="inlineStr">
        <is>
          <t>Pre Contrast 3.0 B30f</t>
        </is>
      </c>
      <c r="K846" t="n">
        <v>163</v>
      </c>
      <c r="L846" t="n">
        <v>65</v>
      </c>
      <c r="M846" t="n">
        <v>42.91</v>
      </c>
    </row>
    <row r="847">
      <c r="A847" s="2" t="n">
        <v>5250765</v>
      </c>
      <c r="B847" s="2" t="n">
        <v>63</v>
      </c>
      <c r="C847" s="2" t="inlineStr">
        <is>
          <t>F</t>
        </is>
      </c>
      <c r="D847" s="2" t="n">
        <v>100</v>
      </c>
      <c r="E847" s="4">
        <f>HYPERLINK("./Results/DLO\20200301_1.2.840.113619.2.416.95600333001732210999748279221329692132_307_512_512_\Osteo_Sarco_1.png","RPT")</f>
        <v/>
      </c>
      <c r="F847" s="3" t="n">
        <v>112</v>
      </c>
      <c r="G847" s="3" t="n">
        <v>20</v>
      </c>
      <c r="H847" s="6" t="n">
        <v>25.13</v>
      </c>
      <c r="I847" s="0" t="inlineStr">
        <is>
          <t>Revolution CT</t>
        </is>
      </c>
      <c r="J847" s="0" t="inlineStr">
        <is>
          <t>ABD</t>
        </is>
      </c>
      <c r="K847" t="n">
        <v>158.2</v>
      </c>
      <c r="L847" t="n">
        <v>62.9</v>
      </c>
      <c r="M847" t="n">
        <v>36.76</v>
      </c>
    </row>
    <row r="848">
      <c r="A848" s="2" t="n">
        <v>5804076</v>
      </c>
      <c r="B848" s="2" t="n">
        <v>63</v>
      </c>
      <c r="C848" s="2" t="inlineStr">
        <is>
          <t>F</t>
        </is>
      </c>
      <c r="D848" s="2" t="n">
        <v>100</v>
      </c>
      <c r="E848" s="4">
        <f>HYPERLINK("./Results/DLO\20190101_1.2.840.113619.2.94.485650834948.2.9349613.20389800.1_2_512_512_\Osteo_Sarco_1.png","RPT")</f>
        <v/>
      </c>
      <c r="F848" s="3" t="n">
        <v>109</v>
      </c>
      <c r="G848" s="3" t="n">
        <v>7</v>
      </c>
      <c r="H848" s="7" t="n">
        <v>27.79</v>
      </c>
      <c r="I848" s="0" t="inlineStr">
        <is>
          <t>Sensation 64</t>
        </is>
      </c>
      <c r="J848" s="0" t="inlineStr">
        <is>
          <t>With Contrast 3.0 B30f</t>
        </is>
      </c>
      <c r="K848" t="n">
        <v>144.1</v>
      </c>
      <c r="L848" t="n">
        <v>57.7</v>
      </c>
      <c r="M848" t="n">
        <v>49.12</v>
      </c>
    </row>
    <row r="849">
      <c r="A849" s="2" t="n">
        <v>5026088</v>
      </c>
      <c r="B849" s="2" t="n">
        <v>63</v>
      </c>
      <c r="C849" s="2" t="inlineStr">
        <is>
          <t>F</t>
        </is>
      </c>
      <c r="D849" s="2" t="n">
        <v>100</v>
      </c>
      <c r="E849" s="4">
        <f>HYPERLINK("./Results/DLO\20180701_1.3.12.2.1107.5.1.4.54310.30000018071100583907800003891_2_512_512_\Osteo_Sarco_1.png","RPT")</f>
        <v/>
      </c>
      <c r="F849" s="3" t="n">
        <v>108</v>
      </c>
      <c r="G849" s="3" t="n">
        <v>13</v>
      </c>
      <c r="H849" s="6" t="n">
        <v>29.36</v>
      </c>
      <c r="I849" s="0" t="inlineStr">
        <is>
          <t>Sensation 64</t>
        </is>
      </c>
      <c r="J849" s="0" t="inlineStr">
        <is>
          <t>With Contrast 3.0 B30f</t>
        </is>
      </c>
      <c r="K849" t="n">
        <v>163</v>
      </c>
      <c r="L849" t="n">
        <v>78</v>
      </c>
      <c r="M849" t="n">
        <v>35.76</v>
      </c>
    </row>
    <row r="850">
      <c r="A850" s="2" t="n">
        <v>8309715</v>
      </c>
      <c r="B850" s="2" t="n">
        <v>63</v>
      </c>
      <c r="C850" s="2" t="inlineStr">
        <is>
          <t>F</t>
        </is>
      </c>
      <c r="D850" s="2" t="n">
        <v>100</v>
      </c>
      <c r="E850" s="4">
        <f>HYPERLINK("./Results/DLO\20180701_1.3.12.2.1107.5.1.4.54310.30000018071623140512500012197_2_512_512_\Osteo_Sarco_1.png","RPT")</f>
        <v/>
      </c>
      <c r="F850" s="3" t="n">
        <v>106</v>
      </c>
      <c r="G850" s="3" t="n">
        <v>10</v>
      </c>
      <c r="H850" s="7" t="n">
        <v>23.98</v>
      </c>
      <c r="I850" s="0" t="inlineStr">
        <is>
          <t>Sensation 64</t>
        </is>
      </c>
      <c r="J850" s="0" t="inlineStr">
        <is>
          <t>With Contrast 3.0 B30f</t>
        </is>
      </c>
      <c r="K850" t="n">
        <v>155</v>
      </c>
      <c r="L850" t="n">
        <v>57.6</v>
      </c>
      <c r="M850" t="n">
        <v>39.96</v>
      </c>
    </row>
    <row r="851">
      <c r="A851" s="2" t="n">
        <v>8384371</v>
      </c>
      <c r="B851" s="2" t="n">
        <v>63</v>
      </c>
      <c r="C851" s="2" t="inlineStr">
        <is>
          <t>F</t>
        </is>
      </c>
      <c r="D851" s="2" t="n">
        <v>100</v>
      </c>
      <c r="E851" s="4">
        <f>HYPERLINK("./Results/DLO\20181101_1.3.12.2.1107.5.1.4.54310.30000018111223223626500007283_2_512_512_\Osteo_Sarco_1.png","RPT")</f>
        <v/>
      </c>
      <c r="F851" s="3" t="n">
        <v>105</v>
      </c>
      <c r="G851" s="3" t="n">
        <v>15</v>
      </c>
      <c r="H851" s="7" t="n">
        <v>24.32</v>
      </c>
      <c r="I851" s="0" t="inlineStr">
        <is>
          <t>Sensation 64</t>
        </is>
      </c>
      <c r="J851" s="0" t="inlineStr">
        <is>
          <t>With Contrast 3.0 B30f</t>
        </is>
      </c>
      <c r="K851" t="n">
        <v>159.4</v>
      </c>
      <c r="L851" t="n">
        <v>61.8</v>
      </c>
      <c r="M851" t="n">
        <v>35.42</v>
      </c>
    </row>
    <row r="852">
      <c r="A852" s="2" t="n">
        <v>9658097</v>
      </c>
      <c r="B852" s="2" t="n">
        <v>63</v>
      </c>
      <c r="C852" s="2" t="inlineStr">
        <is>
          <t>F</t>
        </is>
      </c>
      <c r="D852" s="2" t="n">
        <v>100</v>
      </c>
      <c r="E852" s="4">
        <f>HYPERLINK("./Results/DLO\20190701_1.2.840.113619.2.416.164133535479079767189190766821113420835_310_512_512_\Osteo_Sarco_1.png","RPT")</f>
        <v/>
      </c>
      <c r="F852" s="3" t="n">
        <v>102</v>
      </c>
      <c r="G852" s="3" t="n">
        <v>9</v>
      </c>
      <c r="H852" s="7" t="n">
        <v>22.39</v>
      </c>
      <c r="I852" s="0" t="inlineStr">
        <is>
          <t>Revolution CT</t>
        </is>
      </c>
      <c r="J852" s="0" t="inlineStr">
        <is>
          <t>ABD</t>
        </is>
      </c>
      <c r="K852" t="n">
        <v>152.4</v>
      </c>
      <c r="L852" t="n">
        <v>52</v>
      </c>
      <c r="M852" t="n">
        <v>40.04</v>
      </c>
    </row>
    <row r="853">
      <c r="A853" s="2" t="n">
        <v>9005823</v>
      </c>
      <c r="B853" s="2" t="n">
        <v>63</v>
      </c>
      <c r="C853" s="2" t="inlineStr">
        <is>
          <t>F</t>
        </is>
      </c>
      <c r="D853" s="2" t="n">
        <v>100</v>
      </c>
      <c r="E853" s="4">
        <f>HYPERLINK("./Results/DLO\20180401_1.3.12.2.1107.5.1.4.65253.30000018042120041257300057848_5_512_512_\Osteo_Sarco_1.png","RPT")</f>
        <v/>
      </c>
      <c r="F853" s="3" t="n">
        <v>101</v>
      </c>
      <c r="G853" s="3" t="n">
        <v>9</v>
      </c>
      <c r="H853" s="6" t="n">
        <v>30.84</v>
      </c>
      <c r="I853" s="0" t="inlineStr">
        <is>
          <t>SOMATOM Definition AS</t>
        </is>
      </c>
      <c r="J853" s="0" t="inlineStr">
        <is>
          <t>Arterial Phase 3.0 B30f</t>
        </is>
      </c>
      <c r="K853" t="n">
        <v>149.9</v>
      </c>
      <c r="L853" t="n">
        <v>69.3</v>
      </c>
      <c r="M853" t="n">
        <v>40.94</v>
      </c>
    </row>
    <row r="854">
      <c r="A854" s="2" t="n">
        <v>5019783</v>
      </c>
      <c r="B854" s="2" t="n">
        <v>63</v>
      </c>
      <c r="C854" s="2" t="inlineStr">
        <is>
          <t>F</t>
        </is>
      </c>
      <c r="D854" s="2" t="n">
        <v>100</v>
      </c>
      <c r="E854" s="4">
        <f>HYPERLINK("./Results/DLO\20180101_1.2.840.113619.2.416.140214452324076969287780194021563096382_2_512_512_\Osteo_Sarco_1.png","RPT")</f>
        <v/>
      </c>
      <c r="F854" s="3" t="n">
        <v>100</v>
      </c>
      <c r="G854" s="3" t="n">
        <v>9</v>
      </c>
      <c r="H854" s="7" t="n">
        <v>23.36</v>
      </c>
      <c r="I854" s="0" t="inlineStr">
        <is>
          <t>Revolution CT</t>
        </is>
      </c>
      <c r="J854" s="0" t="inlineStr">
        <is>
          <t>POST 2.5mm</t>
        </is>
      </c>
      <c r="K854" t="n">
        <v>153.3</v>
      </c>
      <c r="L854" t="n">
        <v>54.9</v>
      </c>
      <c r="M854" t="n">
        <v>38.72</v>
      </c>
    </row>
    <row r="855">
      <c r="A855" s="2" t="n">
        <v>3788953</v>
      </c>
      <c r="B855" s="2" t="n">
        <v>63</v>
      </c>
      <c r="C855" s="2" t="inlineStr">
        <is>
          <t>F</t>
        </is>
      </c>
      <c r="D855" s="2" t="n">
        <v>100</v>
      </c>
      <c r="E855" s="4">
        <f>HYPERLINK("./Results/DLO\20181201_1.3.12.2.1107.5.1.4.54310.30000018121823264617100000001_3_512_512_\Osteo_Sarco_1.png","RPT")</f>
        <v/>
      </c>
      <c r="F855" s="3" t="n">
        <v>100</v>
      </c>
      <c r="G855" s="3" t="n">
        <v>7</v>
      </c>
      <c r="H855" s="7" t="n">
        <v>21.64</v>
      </c>
      <c r="I855" s="0" t="inlineStr">
        <is>
          <t>Sensation 64</t>
        </is>
      </c>
      <c r="J855" s="0" t="inlineStr">
        <is>
          <t>Pre Contrast 3.0 B30f</t>
        </is>
      </c>
      <c r="K855" t="n">
        <v>155</v>
      </c>
      <c r="L855" t="n">
        <v>52</v>
      </c>
      <c r="M855" t="n">
        <v>38.71</v>
      </c>
    </row>
    <row r="856">
      <c r="A856" s="2" t="n">
        <v>6738544</v>
      </c>
      <c r="B856" s="2" t="n">
        <v>64</v>
      </c>
      <c r="C856" s="2" t="inlineStr">
        <is>
          <t>F</t>
        </is>
      </c>
      <c r="D856" s="2" t="n">
        <v>100</v>
      </c>
      <c r="E856" s="4">
        <f>HYPERLINK("./Results/DLO\20180501_1.3.12.2.1107.5.1.4.54310.30000018050123303617100006818_2_512_512_\Osteo_Sarco_1.png","RPT")</f>
        <v/>
      </c>
      <c r="F856" s="3" t="n">
        <v>88</v>
      </c>
      <c r="G856" s="3" t="n">
        <v>8</v>
      </c>
      <c r="H856" s="7" t="n">
        <v>19.46</v>
      </c>
      <c r="I856" s="0" t="inlineStr">
        <is>
          <t>Sensation 64</t>
        </is>
      </c>
      <c r="J856" s="0" t="inlineStr">
        <is>
          <t>With Contrast 3.0 B30f</t>
        </is>
      </c>
      <c r="K856" t="n">
        <v>153.4</v>
      </c>
      <c r="L856" t="n">
        <v>45.8</v>
      </c>
      <c r="M856" t="n">
        <v>34</v>
      </c>
    </row>
    <row r="857">
      <c r="A857" s="2" t="n">
        <v>5685204</v>
      </c>
      <c r="B857" s="2" t="n">
        <v>64</v>
      </c>
      <c r="C857" s="2" t="inlineStr">
        <is>
          <t>F</t>
        </is>
      </c>
      <c r="D857" s="2" t="n">
        <v>100</v>
      </c>
      <c r="E857" s="4">
        <f>HYPERLINK("./Results/DLO\20181001_1.3.46.670589.33.1.63674770262911133100001.4618877171822503796_601_512_512_\Osteo_Sarco_1.png","RPT")</f>
        <v/>
      </c>
      <c r="F857" s="3" t="n">
        <v>88</v>
      </c>
      <c r="G857" s="3" t="n">
        <v>5</v>
      </c>
      <c r="H857" s="7" t="n">
        <v>22.21</v>
      </c>
      <c r="I857" s="0" t="inlineStr">
        <is>
          <t>Ingenuity Core 128</t>
        </is>
      </c>
      <c r="J857" s="0" t="inlineStr">
        <is>
          <t>Post 100/236 i3, iDose (3)</t>
        </is>
      </c>
      <c r="K857" t="n">
        <v>153</v>
      </c>
      <c r="L857" t="n">
        <v>52</v>
      </c>
      <c r="M857" t="n">
        <v>35.46</v>
      </c>
    </row>
    <row r="858">
      <c r="A858" s="2" t="n">
        <v>8919762</v>
      </c>
      <c r="B858" s="2" t="n">
        <v>64</v>
      </c>
      <c r="C858" s="2" t="inlineStr">
        <is>
          <t>F</t>
        </is>
      </c>
      <c r="D858" s="2" t="n">
        <v>100</v>
      </c>
      <c r="E858" s="4">
        <f>HYPERLINK("./Results/DLO\20200501_1.3.12.2.1107.5.1.4.54310.30000020052121302584300049864_2_512_512_\Osteo_Sarco_1.png","RPT")</f>
        <v/>
      </c>
      <c r="F858" s="3" t="n">
        <v>83</v>
      </c>
      <c r="G858" s="3" t="n">
        <v>8</v>
      </c>
      <c r="H858" s="7" t="n">
        <v>23.14</v>
      </c>
      <c r="I858" s="0" t="inlineStr">
        <is>
          <t>Sensation 64</t>
        </is>
      </c>
      <c r="J858" s="0" t="inlineStr">
        <is>
          <t>With Contrast 3.0 B30f</t>
        </is>
      </c>
      <c r="K858" t="n">
        <v>147</v>
      </c>
      <c r="L858" t="n">
        <v>50</v>
      </c>
      <c r="M858" t="n">
        <v>34.71</v>
      </c>
    </row>
    <row r="859">
      <c r="A859" s="2" t="n">
        <v>6737009</v>
      </c>
      <c r="B859" s="2" t="n">
        <v>64</v>
      </c>
      <c r="C859" s="2" t="inlineStr">
        <is>
          <t>F</t>
        </is>
      </c>
      <c r="D859" s="2" t="n">
        <v>100</v>
      </c>
      <c r="E859" s="4">
        <f>HYPERLINK("./Results/DLO\20180401_1.2.840.113619.2.311.215708363854978231225662313191036508078_305_512_512_\Osteo_Sarco_1.png","RPT")</f>
        <v/>
      </c>
      <c r="F859" s="3" t="n">
        <v>78</v>
      </c>
      <c r="G859" s="3" t="n">
        <v>10</v>
      </c>
      <c r="H859" s="6" t="n">
        <v>24.86</v>
      </c>
      <c r="I859" s="0" t="inlineStr">
        <is>
          <t>Revolution CT</t>
        </is>
      </c>
      <c r="J859" s="0" t="inlineStr">
        <is>
          <t>ABD 2.5mm</t>
        </is>
      </c>
      <c r="K859" t="n">
        <v>149</v>
      </c>
      <c r="L859" t="n">
        <v>55.2</v>
      </c>
      <c r="M859" t="n">
        <v>30.63</v>
      </c>
    </row>
    <row r="860">
      <c r="A860" s="2" t="n">
        <v>8382866</v>
      </c>
      <c r="B860" s="2" t="n">
        <v>64</v>
      </c>
      <c r="C860" s="2" t="inlineStr">
        <is>
          <t>M</t>
        </is>
      </c>
      <c r="D860" s="2" t="n">
        <v>100</v>
      </c>
      <c r="E860" s="4">
        <f>HYPERLINK("./Results/DLO\20180301_1.2.840.113619.2.416.64020552591007960127964572396378503121_304_512_512_\Osteo_Sarco_1.png","RPT")</f>
        <v/>
      </c>
      <c r="F860" s="3" t="n">
        <v>177</v>
      </c>
      <c r="G860" s="3" t="n">
        <v>11</v>
      </c>
      <c r="H860" s="6" t="n">
        <v>29.16</v>
      </c>
      <c r="I860" s="0" t="inlineStr">
        <is>
          <t>Revolution CT</t>
        </is>
      </c>
      <c r="J860" s="0" t="inlineStr">
        <is>
          <t>ABD 2.5mm</t>
        </is>
      </c>
      <c r="K860" t="n">
        <v>165</v>
      </c>
      <c r="L860" t="n">
        <v>79.40000000000001</v>
      </c>
      <c r="M860" t="n">
        <v>60.97</v>
      </c>
    </row>
    <row r="861">
      <c r="A861" s="2" t="n">
        <v>6695154</v>
      </c>
      <c r="B861" s="2" t="n">
        <v>64</v>
      </c>
      <c r="C861" s="2" t="inlineStr">
        <is>
          <t>M</t>
        </is>
      </c>
      <c r="D861" s="2" t="n">
        <v>100</v>
      </c>
      <c r="E861" s="4">
        <f>HYPERLINK("./Results/DLO\20190601_1.3.12.2.1107.5.1.4.54310.30000019060422065695300019629_2_512_512_\Osteo_Sarco_1.png","RPT")</f>
        <v/>
      </c>
      <c r="F861" s="3" t="n">
        <v>176</v>
      </c>
      <c r="G861" s="3" t="n">
        <v>11</v>
      </c>
      <c r="H861" s="6" t="n">
        <v>30.94</v>
      </c>
      <c r="I861" s="0" t="inlineStr">
        <is>
          <t>Sensation 64</t>
        </is>
      </c>
      <c r="J861" s="0" t="inlineStr">
        <is>
          <t>ABD Pre 3.0 B30f</t>
        </is>
      </c>
      <c r="K861" t="n">
        <v>167.5</v>
      </c>
      <c r="L861" t="n">
        <v>86.8</v>
      </c>
      <c r="M861" t="n">
        <v>58.81</v>
      </c>
    </row>
    <row r="862">
      <c r="A862" s="2" t="n">
        <v>6737751</v>
      </c>
      <c r="B862" s="2" t="n">
        <v>64</v>
      </c>
      <c r="C862" s="2" t="inlineStr">
        <is>
          <t>M</t>
        </is>
      </c>
      <c r="D862" s="2" t="n">
        <v>100</v>
      </c>
      <c r="E862" s="4">
        <f>HYPERLINK("./Results/DLO\20180201_1.3.46.670589.33.1.63654805692594754700001.4663741958341964911_201_512_512_\Osteo_Sarco_1.png","RPT")</f>
        <v/>
      </c>
      <c r="F862" s="3" t="n">
        <v>168</v>
      </c>
      <c r="G862" s="3" t="n">
        <v>10</v>
      </c>
      <c r="H862" s="7" t="n">
        <v>29.83</v>
      </c>
      <c r="I862" s="0" t="inlineStr">
        <is>
          <t>Ingenuity Core 128</t>
        </is>
      </c>
      <c r="J862" s="0" t="inlineStr">
        <is>
          <t>Post 100/236 i3, iDose (3)</t>
        </is>
      </c>
      <c r="K862" t="n">
        <v>167.2</v>
      </c>
      <c r="L862" t="n">
        <v>83.40000000000001</v>
      </c>
      <c r="M862" t="n">
        <v>56.52</v>
      </c>
    </row>
    <row r="863">
      <c r="A863" s="2" t="n">
        <v>617712</v>
      </c>
      <c r="B863" s="2" t="n">
        <v>64</v>
      </c>
      <c r="C863" s="2" t="inlineStr">
        <is>
          <t>M</t>
        </is>
      </c>
      <c r="D863" s="2" t="n">
        <v>100</v>
      </c>
      <c r="E863" s="4">
        <f>HYPERLINK("./Results/DLO\20180101_1.3.12.2.1107.5.1.4.65253.30000018011021170500300005697_2_512_512_\Osteo_Sarco_1.png","RPT")</f>
        <v/>
      </c>
      <c r="F863" s="3" t="n">
        <v>166</v>
      </c>
      <c r="G863" s="3" t="n">
        <v>5</v>
      </c>
      <c r="H863" s="7" t="n">
        <v>26.46</v>
      </c>
      <c r="I863" s="0" t="inlineStr">
        <is>
          <t>SOMATOM Definition AS</t>
        </is>
      </c>
      <c r="J863" s="0" t="inlineStr">
        <is>
          <t>W/O Contrast 2.0 B40f</t>
        </is>
      </c>
      <c r="K863" t="n">
        <v>174.3</v>
      </c>
      <c r="L863" t="n">
        <v>80.40000000000001</v>
      </c>
      <c r="M863" t="n">
        <v>52.99</v>
      </c>
    </row>
    <row r="864">
      <c r="A864" s="2" t="n">
        <v>9577058</v>
      </c>
      <c r="B864" s="2" t="n">
        <v>64</v>
      </c>
      <c r="C864" s="2" t="inlineStr">
        <is>
          <t>M</t>
        </is>
      </c>
      <c r="D864" s="2" t="n">
        <v>100</v>
      </c>
      <c r="E864" s="4">
        <f>HYPERLINK("./Results/DLO\20190301_1.2.840.113619.2.311.244873303197898923209191553278041194559_304_512_512_\Osteo_Sarco_1.png","RPT")</f>
        <v/>
      </c>
      <c r="F864" s="3" t="n">
        <v>162</v>
      </c>
      <c r="G864" s="3" t="n">
        <v>19</v>
      </c>
      <c r="H864" s="7" t="n">
        <v>25.08</v>
      </c>
      <c r="I864" s="0" t="inlineStr">
        <is>
          <t>Revolution CT</t>
        </is>
      </c>
      <c r="J864" s="0" t="inlineStr">
        <is>
          <t>ABD 2.5mm</t>
        </is>
      </c>
      <c r="K864" t="n">
        <v>161</v>
      </c>
      <c r="L864" t="n">
        <v>65</v>
      </c>
      <c r="M864" t="n">
        <v>55.17</v>
      </c>
    </row>
    <row r="865">
      <c r="A865" s="2" t="n">
        <v>8418711</v>
      </c>
      <c r="B865" s="2" t="n">
        <v>64</v>
      </c>
      <c r="C865" s="2" t="inlineStr">
        <is>
          <t>M</t>
        </is>
      </c>
      <c r="D865" s="2" t="n">
        <v>100</v>
      </c>
      <c r="E865" s="4">
        <f>HYPERLINK("./Results/DLO\20190501_1.2.840.113619.2.416.141609215373217003195097922872904013625_310_512_512_\Osteo_Sarco_1.png","RPT")</f>
        <v/>
      </c>
      <c r="F865" s="3" t="n">
        <v>159</v>
      </c>
      <c r="G865" s="3" t="n">
        <v>11</v>
      </c>
      <c r="H865" s="6" t="n">
        <v>24.12</v>
      </c>
      <c r="I865" s="0" t="inlineStr">
        <is>
          <t>Revolution CT</t>
        </is>
      </c>
      <c r="J865" s="0" t="inlineStr">
        <is>
          <t>ABD</t>
        </is>
      </c>
      <c r="K865" t="n">
        <v>169</v>
      </c>
      <c r="L865" t="n">
        <v>68.90000000000001</v>
      </c>
      <c r="M865" t="n">
        <v>51.82</v>
      </c>
    </row>
    <row r="866">
      <c r="A866" s="2" t="n">
        <v>9683040</v>
      </c>
      <c r="B866" s="2" t="n">
        <v>64</v>
      </c>
      <c r="C866" s="2" t="inlineStr">
        <is>
          <t>M</t>
        </is>
      </c>
      <c r="D866" s="2" t="n">
        <v>100</v>
      </c>
      <c r="E866" s="4">
        <f>HYPERLINK("./Results/DLO\20190901_1.3.12.2.1107.5.1.4.54310.30000019090421365968700056809_9_512_512_\Osteo_Sarco_1.png","RPT")</f>
        <v/>
      </c>
      <c r="F866" s="3" t="n">
        <v>146</v>
      </c>
      <c r="G866" s="3" t="n">
        <v>6</v>
      </c>
      <c r="H866" s="7" t="n">
        <v>20.67</v>
      </c>
      <c r="I866" s="0" t="inlineStr">
        <is>
          <t>Sensation 64</t>
        </is>
      </c>
      <c r="J866" s="0" t="inlineStr">
        <is>
          <t>Delay 3.0 B30f</t>
        </is>
      </c>
      <c r="K866" t="n">
        <v>171.8</v>
      </c>
      <c r="L866" t="n">
        <v>61</v>
      </c>
      <c r="M866" t="n">
        <v>47.43</v>
      </c>
    </row>
    <row r="867">
      <c r="A867" s="2" t="n">
        <v>6060306</v>
      </c>
      <c r="B867" s="2" t="n">
        <v>64</v>
      </c>
      <c r="C867" s="2" t="inlineStr">
        <is>
          <t>M</t>
        </is>
      </c>
      <c r="D867" s="2" t="n">
        <v>100</v>
      </c>
      <c r="E867" s="4">
        <f>HYPERLINK("./Results/DLO\20180901_1.3.46.670589.33.1.63672774557470286700001.5203709612606107985_201_512_512_\Osteo_Sarco_1.png","RPT")</f>
        <v/>
      </c>
      <c r="F867" s="3" t="n">
        <v>144</v>
      </c>
      <c r="G867" s="3" t="n">
        <v>9</v>
      </c>
      <c r="H867" s="7" t="n">
        <v>21.71</v>
      </c>
      <c r="I867" s="0" t="inlineStr">
        <is>
          <t>Ingenuity Core 128</t>
        </is>
      </c>
      <c r="J867" s="0" t="inlineStr">
        <is>
          <t>Post 100/236 i3, iDose (3)</t>
        </is>
      </c>
      <c r="K867" t="n">
        <v>169</v>
      </c>
      <c r="L867" t="n">
        <v>62</v>
      </c>
      <c r="M867" t="n">
        <v>47.27</v>
      </c>
    </row>
    <row r="868">
      <c r="A868" s="2" t="n">
        <v>8801204</v>
      </c>
      <c r="B868" s="2" t="n">
        <v>64</v>
      </c>
      <c r="C868" s="2" t="inlineStr">
        <is>
          <t>M</t>
        </is>
      </c>
      <c r="D868" s="2" t="n">
        <v>100</v>
      </c>
      <c r="E868" s="4">
        <f>HYPERLINK("./Results/DLO\20180201_1.3.12.2.1107.5.1.4.54310.30000018020623090128100000000_2_512_512_\Osteo_Sarco_1.png","RPT")</f>
        <v/>
      </c>
      <c r="F868" s="3" t="n">
        <v>143</v>
      </c>
      <c r="G868" s="3" t="n">
        <v>9</v>
      </c>
      <c r="H868" s="7" t="n">
        <v>26.31</v>
      </c>
      <c r="I868" s="0" t="inlineStr">
        <is>
          <t>Sensation 64</t>
        </is>
      </c>
      <c r="J868" s="0" t="inlineStr">
        <is>
          <t>With Contrast 3.0 B30f</t>
        </is>
      </c>
      <c r="K868" t="n">
        <v>167.7</v>
      </c>
      <c r="L868" t="n">
        <v>74</v>
      </c>
      <c r="M868" t="n">
        <v>47.65</v>
      </c>
    </row>
    <row r="869">
      <c r="A869" s="2" t="n">
        <v>8574251</v>
      </c>
      <c r="B869" s="2" t="n">
        <v>64</v>
      </c>
      <c r="C869" s="2" t="inlineStr">
        <is>
          <t>F</t>
        </is>
      </c>
      <c r="D869" s="2" t="n">
        <v>100</v>
      </c>
      <c r="E869" s="4">
        <f>HYPERLINK("./Results/DLO\20180401_1.2.840.113619.2.311.130070325314127139215394222537855775776_304_512_512_\Osteo_Sarco_1.png","RPT")</f>
        <v/>
      </c>
      <c r="F869" s="3" t="n">
        <v>128</v>
      </c>
      <c r="G869" s="3" t="n">
        <v>12</v>
      </c>
      <c r="H869" s="7" t="n">
        <v>24.34</v>
      </c>
      <c r="I869" s="0" t="inlineStr">
        <is>
          <t>Revolution CT</t>
        </is>
      </c>
      <c r="J869" s="0" t="inlineStr">
        <is>
          <t>ABD 2.5mm</t>
        </is>
      </c>
      <c r="K869" t="n">
        <v>157</v>
      </c>
      <c r="L869" t="n">
        <v>60</v>
      </c>
      <c r="M869" t="n">
        <v>47.06</v>
      </c>
    </row>
    <row r="870">
      <c r="A870" s="2" t="n">
        <v>2537999</v>
      </c>
      <c r="B870" s="2" t="n">
        <v>64</v>
      </c>
      <c r="C870" s="2" t="inlineStr">
        <is>
          <t>M</t>
        </is>
      </c>
      <c r="D870" s="2" t="n">
        <v>100</v>
      </c>
      <c r="E870" s="4">
        <f>HYPERLINK("./Results/DLO\20190101_1.3.46.670589.33.1.63683313991511893600001.5681921398382606398_201_512_512_\Osteo_Sarco_1.png","RPT")</f>
        <v/>
      </c>
      <c r="F870" s="3" t="n">
        <v>128</v>
      </c>
      <c r="G870" s="3" t="n">
        <v>7</v>
      </c>
      <c r="H870" s="7" t="n">
        <v>23.83</v>
      </c>
      <c r="I870" s="0" t="inlineStr">
        <is>
          <t>Ingenuity Core 128</t>
        </is>
      </c>
      <c r="J870" s="0" t="inlineStr">
        <is>
          <t>Pre 3mm, iDose (4)</t>
        </is>
      </c>
      <c r="K870" t="n">
        <v>160</v>
      </c>
      <c r="L870" t="n">
        <v>61</v>
      </c>
      <c r="M870" t="n">
        <v>47.27</v>
      </c>
    </row>
    <row r="871">
      <c r="A871" s="2" t="n">
        <v>6210718</v>
      </c>
      <c r="B871" s="2" t="n">
        <v>64</v>
      </c>
      <c r="C871" s="2" t="inlineStr">
        <is>
          <t>F</t>
        </is>
      </c>
      <c r="D871" s="2" t="n">
        <v>100</v>
      </c>
      <c r="E871" s="4">
        <f>HYPERLINK("./Results/DLO\20180301_1.3.12.2.1107.5.1.4.54310.30000018032523091828100014693_2_512_512_\Osteo_Sarco_1.png","RPT")</f>
        <v/>
      </c>
      <c r="F871" s="3" t="n">
        <v>127</v>
      </c>
      <c r="G871" s="3" t="n">
        <v>19</v>
      </c>
      <c r="H871" s="6" t="n">
        <v>30.44</v>
      </c>
      <c r="I871" s="0" t="inlineStr">
        <is>
          <t>Sensation 64</t>
        </is>
      </c>
      <c r="J871" s="0" t="inlineStr">
        <is>
          <t>Pre Contrast 3.0 B30f</t>
        </is>
      </c>
      <c r="K871" t="n">
        <v>158</v>
      </c>
      <c r="L871" t="n">
        <v>76</v>
      </c>
      <c r="M871" t="n">
        <v>43.26</v>
      </c>
    </row>
    <row r="872">
      <c r="A872" s="2" t="n">
        <v>9549908</v>
      </c>
      <c r="B872" s="2" t="n">
        <v>64</v>
      </c>
      <c r="C872" s="2" t="inlineStr">
        <is>
          <t>M</t>
        </is>
      </c>
      <c r="D872" s="2" t="n">
        <v>100</v>
      </c>
      <c r="E872" s="4">
        <f>HYPERLINK("./Results/DLO\20190501_1.3.12.2.1107.5.1.4.65253.30000019051319530377800248775_3_512_512_\Osteo_Sarco_1.png","RPT")</f>
        <v/>
      </c>
      <c r="F872" s="3" t="n">
        <v>125</v>
      </c>
      <c r="G872" s="3" t="n">
        <v>7</v>
      </c>
      <c r="H872" s="7" t="n">
        <v>23.15</v>
      </c>
      <c r="I872" s="0" t="inlineStr">
        <is>
          <t>SOMATOM Definition AS</t>
        </is>
      </c>
      <c r="J872" s="0" t="inlineStr">
        <is>
          <t>Post Contrast 3.0 B30f</t>
        </is>
      </c>
      <c r="K872" t="n">
        <v>172</v>
      </c>
      <c r="L872" t="n">
        <v>68.5</v>
      </c>
      <c r="M872" t="n">
        <v>39.89</v>
      </c>
    </row>
    <row r="873">
      <c r="A873" s="2" t="n">
        <v>5027448</v>
      </c>
      <c r="B873" s="2" t="n">
        <v>64</v>
      </c>
      <c r="C873" s="2" t="inlineStr">
        <is>
          <t>F</t>
        </is>
      </c>
      <c r="D873" s="2" t="n">
        <v>100</v>
      </c>
      <c r="E873" s="4">
        <f>HYPERLINK("./Results/DLO\20181101_1.2.840.113619.2.311.47898682616850284632299010045638110481_304_512_512_\Osteo_Sarco_1.png","RPT")</f>
        <v/>
      </c>
      <c r="F873" s="3" t="n">
        <v>123</v>
      </c>
      <c r="G873" s="3" t="n">
        <v>13</v>
      </c>
      <c r="H873" s="6" t="n">
        <v>25.04</v>
      </c>
      <c r="I873" s="0" t="inlineStr">
        <is>
          <t>Revolution CT</t>
        </is>
      </c>
      <c r="J873" s="0" t="inlineStr">
        <is>
          <t>ABD 2.5mm</t>
        </is>
      </c>
      <c r="K873" t="n">
        <v>156.2</v>
      </c>
      <c r="L873" t="n">
        <v>61.1</v>
      </c>
      <c r="M873" t="n">
        <v>45.08</v>
      </c>
    </row>
    <row r="874">
      <c r="A874" s="2" t="n">
        <v>9817176</v>
      </c>
      <c r="B874" s="2" t="n">
        <v>64</v>
      </c>
      <c r="C874" s="2" t="inlineStr">
        <is>
          <t>F</t>
        </is>
      </c>
      <c r="D874" s="2" t="n">
        <v>100</v>
      </c>
      <c r="E874" s="4">
        <f>HYPERLINK("./Results/DLO\20191001_1.3.12.2.1107.5.1.4.65253.30000019102020073045200105136_4_512_512_\Osteo_Sarco_1.png","RPT")</f>
        <v/>
      </c>
      <c r="F874" s="3" t="n">
        <v>121</v>
      </c>
      <c r="G874" s="3" t="n">
        <v>9</v>
      </c>
      <c r="H874" s="7" t="n">
        <v>24.6</v>
      </c>
      <c r="I874" s="0" t="inlineStr">
        <is>
          <t>SOMATOM Definition AS</t>
        </is>
      </c>
      <c r="J874" s="0" t="inlineStr">
        <is>
          <t>Arterial Phase 3.0 B30f</t>
        </is>
      </c>
      <c r="K874" t="n">
        <v>158</v>
      </c>
      <c r="L874" t="n">
        <v>61.4</v>
      </c>
      <c r="M874" t="n">
        <v>44.86</v>
      </c>
    </row>
    <row r="875">
      <c r="A875" s="2" t="n">
        <v>5634011</v>
      </c>
      <c r="B875" s="2" t="n">
        <v>64</v>
      </c>
      <c r="C875" s="2" t="inlineStr">
        <is>
          <t>F</t>
        </is>
      </c>
      <c r="D875" s="2" t="n">
        <v>100</v>
      </c>
      <c r="E875" s="4">
        <f>HYPERLINK("./Results/DLO\20200401_1.2.840.113619.2.416.244831784358837831770421943556086280645_307_512_512_\Osteo_Sarco_1.png","RPT")</f>
        <v/>
      </c>
      <c r="F875" s="3" t="n">
        <v>117</v>
      </c>
      <c r="G875" s="3" t="n">
        <v>15</v>
      </c>
      <c r="H875" s="6" t="n">
        <v>28.91</v>
      </c>
      <c r="I875" s="0" t="inlineStr">
        <is>
          <t>Revolution CT</t>
        </is>
      </c>
      <c r="J875" s="0" t="inlineStr">
        <is>
          <t>ABD</t>
        </is>
      </c>
      <c r="K875" t="n">
        <v>160</v>
      </c>
      <c r="L875" t="n">
        <v>74</v>
      </c>
      <c r="M875" t="n">
        <v>39.84</v>
      </c>
    </row>
    <row r="876">
      <c r="A876" s="2" t="n">
        <v>10015741</v>
      </c>
      <c r="B876" s="2" t="n">
        <v>64</v>
      </c>
      <c r="C876" s="2" t="inlineStr">
        <is>
          <t>F</t>
        </is>
      </c>
      <c r="D876" s="2" t="n">
        <v>100</v>
      </c>
      <c r="E876" s="4">
        <f>HYPERLINK("./Results/DLO\20200601_1.3.12.2.1107.5.1.4.54310.30000020062122312240600054165_7_512_512_\Osteo_Sarco_1.png","RPT")</f>
        <v/>
      </c>
      <c r="F876" s="3" t="n">
        <v>117</v>
      </c>
      <c r="G876" s="3" t="n">
        <v>8</v>
      </c>
      <c r="H876" s="6" t="n">
        <v>26.73</v>
      </c>
      <c r="I876" s="0" t="inlineStr">
        <is>
          <t>Sensation 64</t>
        </is>
      </c>
      <c r="J876" s="0" t="inlineStr">
        <is>
          <t>ABD 3mm B30f</t>
        </is>
      </c>
      <c r="K876" t="n">
        <v>150.2</v>
      </c>
      <c r="L876" t="n">
        <v>60.3</v>
      </c>
      <c r="M876" t="n">
        <v>48.32</v>
      </c>
    </row>
    <row r="877">
      <c r="A877" s="2" t="n">
        <v>5742672</v>
      </c>
      <c r="B877" s="2" t="n">
        <v>64</v>
      </c>
      <c r="C877" s="2" t="inlineStr">
        <is>
          <t>F</t>
        </is>
      </c>
      <c r="D877" s="2" t="n">
        <v>100</v>
      </c>
      <c r="E877" s="4">
        <f>HYPERLINK("./Results/DLO\20190801_1.2.840.113619.2.416.20484738338683021397500534413619422496_312_512_512_\Osteo_Sarco_1.png","RPT")</f>
        <v/>
      </c>
      <c r="F877" s="3" t="n">
        <v>116</v>
      </c>
      <c r="G877" s="3" t="n">
        <v>10</v>
      </c>
      <c r="H877" s="7" t="n">
        <v>23.33</v>
      </c>
      <c r="I877" s="0" t="inlineStr">
        <is>
          <t>Revolution CT</t>
        </is>
      </c>
      <c r="J877" s="0" t="inlineStr">
        <is>
          <t>ABD</t>
        </is>
      </c>
      <c r="K877" t="n">
        <v>148.3</v>
      </c>
      <c r="L877" t="n">
        <v>51.3</v>
      </c>
      <c r="M877" t="n">
        <v>48.2</v>
      </c>
    </row>
    <row r="878">
      <c r="A878" s="2" t="n">
        <v>5601185</v>
      </c>
      <c r="B878" s="2" t="n">
        <v>64</v>
      </c>
      <c r="C878" s="2" t="inlineStr">
        <is>
          <t>M</t>
        </is>
      </c>
      <c r="D878" s="2" t="n">
        <v>100</v>
      </c>
      <c r="E878" s="4">
        <f>HYPERLINK("./Results/DLO\20190201_1.3.12.2.1107.5.1.4.65253.30000019022420505630900073672_2_512_512_\Osteo_Sarco_1.png","RPT")</f>
        <v/>
      </c>
      <c r="F878" s="3" t="n">
        <v>109</v>
      </c>
      <c r="G878" s="3" t="n">
        <v>20</v>
      </c>
      <c r="H878" s="7" t="n">
        <v>17.33</v>
      </c>
      <c r="I878" s="0" t="inlineStr">
        <is>
          <t>SOMATOM Definition AS</t>
        </is>
      </c>
      <c r="J878" s="0" t="inlineStr">
        <is>
          <t>W/O Contrast 2.0 B30f</t>
        </is>
      </c>
      <c r="K878" t="n">
        <v>150</v>
      </c>
      <c r="L878" t="n">
        <v>39</v>
      </c>
      <c r="M878" t="n">
        <v>39.56</v>
      </c>
    </row>
    <row r="879">
      <c r="A879" s="2" t="n">
        <v>6740358</v>
      </c>
      <c r="B879" s="2" t="n">
        <v>64</v>
      </c>
      <c r="C879" s="2" t="inlineStr">
        <is>
          <t>F</t>
        </is>
      </c>
      <c r="D879" s="2" t="n">
        <v>100</v>
      </c>
      <c r="E879" s="4">
        <f>HYPERLINK("./Results/DLO\20180501_1.3.12.2.1107.5.1.4.54310.30000018051423393509300005716_2_512_512_\Osteo_Sarco_1.png","RPT")</f>
        <v/>
      </c>
      <c r="F879" s="3" t="n">
        <v>105</v>
      </c>
      <c r="G879" s="3" t="n">
        <v>10</v>
      </c>
      <c r="H879" s="7" t="n">
        <v>24.12</v>
      </c>
      <c r="I879" s="0" t="inlineStr">
        <is>
          <t>Sensation 64</t>
        </is>
      </c>
      <c r="J879" s="0" t="inlineStr">
        <is>
          <t>With Contrast 3.0 B30f</t>
        </is>
      </c>
      <c r="K879" t="n">
        <v>156.8</v>
      </c>
      <c r="L879" t="n">
        <v>59.3</v>
      </c>
      <c r="M879" t="n">
        <v>38.64</v>
      </c>
    </row>
    <row r="880">
      <c r="A880" s="2" t="n">
        <v>6738740</v>
      </c>
      <c r="B880" s="2" t="n">
        <v>64</v>
      </c>
      <c r="C880" s="2" t="inlineStr">
        <is>
          <t>F</t>
        </is>
      </c>
      <c r="D880" s="2" t="n">
        <v>100</v>
      </c>
      <c r="E880" s="4">
        <f>HYPERLINK("./Results/DLO\20190101_1.2.840.113619.2.311.39552632195567707649005839273552780088_305_512_512_\Osteo_Sarco_1.png","RPT")</f>
        <v/>
      </c>
      <c r="F880" s="3" t="n">
        <v>103</v>
      </c>
      <c r="G880" s="3" t="n">
        <v>11</v>
      </c>
      <c r="H880" s="6" t="n">
        <v>22</v>
      </c>
      <c r="I880" s="0" t="inlineStr">
        <is>
          <t>Revolution CT</t>
        </is>
      </c>
      <c r="J880" s="0" t="inlineStr">
        <is>
          <t>ABD 2.5mm</t>
        </is>
      </c>
      <c r="K880" t="n">
        <v>153.6</v>
      </c>
      <c r="L880" t="n">
        <v>51.9</v>
      </c>
      <c r="M880" t="n">
        <v>38.99</v>
      </c>
    </row>
    <row r="881">
      <c r="A881" s="2" t="n">
        <v>5307068</v>
      </c>
      <c r="B881" s="2" t="n">
        <v>64</v>
      </c>
      <c r="C881" s="2" t="inlineStr">
        <is>
          <t>F</t>
        </is>
      </c>
      <c r="D881" s="2" t="n">
        <v>100</v>
      </c>
      <c r="E881" s="4">
        <f>HYPERLINK("./Results/DLO\20181201_1.3.12.2.1107.5.1.4.65253.30000018122320161194500066927_3_512_512_\Osteo_Sarco_1.png","RPT")</f>
        <v/>
      </c>
      <c r="F881" s="3" t="n">
        <v>102</v>
      </c>
      <c r="G881" s="3" t="n">
        <v>12</v>
      </c>
      <c r="H881" s="6" t="n">
        <v>23.1</v>
      </c>
      <c r="I881" s="0" t="inlineStr">
        <is>
          <t>SOMATOM Definition AS</t>
        </is>
      </c>
      <c r="J881" s="0" t="inlineStr">
        <is>
          <t>Post Contrast 3.0 B30f</t>
        </is>
      </c>
      <c r="K881" t="n">
        <v>155</v>
      </c>
      <c r="L881" t="n">
        <v>55.5</v>
      </c>
      <c r="M881" t="n">
        <v>37.46</v>
      </c>
    </row>
    <row r="882">
      <c r="A882" s="2" t="n">
        <v>6739252</v>
      </c>
      <c r="B882" s="2" t="n">
        <v>64</v>
      </c>
      <c r="C882" s="2" t="inlineStr">
        <is>
          <t>F</t>
        </is>
      </c>
      <c r="D882" s="2" t="n">
        <v>100</v>
      </c>
      <c r="E882" s="4">
        <f>HYPERLINK("./Results/DLO\20190301_1.2.840.113619.2.94.485650834948.2.9436235.20613555.1_3_512_512_\Osteo_Sarco_1.png","RPT")</f>
        <v/>
      </c>
      <c r="F882" s="3" t="n">
        <v>101</v>
      </c>
      <c r="G882" s="3" t="n">
        <v>13</v>
      </c>
      <c r="H882" s="7" t="n">
        <v>28.37</v>
      </c>
      <c r="I882" s="0" t="inlineStr">
        <is>
          <t>Sensation 64</t>
        </is>
      </c>
      <c r="J882" s="0" t="inlineStr">
        <is>
          <t>With Contrast 3.0 B30f</t>
        </is>
      </c>
      <c r="K882" t="n">
        <v>160.3</v>
      </c>
      <c r="L882" t="n">
        <v>72.90000000000001</v>
      </c>
      <c r="M882" t="n">
        <v>34.25</v>
      </c>
    </row>
    <row r="883">
      <c r="A883" s="2" t="n">
        <v>5940478</v>
      </c>
      <c r="B883" s="2" t="n">
        <v>64</v>
      </c>
      <c r="C883" s="2" t="inlineStr">
        <is>
          <t>F</t>
        </is>
      </c>
      <c r="D883" s="2" t="n">
        <v>100</v>
      </c>
      <c r="E883" s="4">
        <f>HYPERLINK("./Results/DLO\20181201_1.3.12.2.1107.5.1.4.54310.30000018120623584184300002008_2_512_512_\Osteo_Sarco_1.png","RPT")</f>
        <v/>
      </c>
      <c r="F883" s="3" t="n">
        <v>100</v>
      </c>
      <c r="G883" s="3" t="n">
        <v>8</v>
      </c>
      <c r="H883" s="7" t="n">
        <v>17.75</v>
      </c>
      <c r="I883" s="0" t="inlineStr">
        <is>
          <t>Sensation 64</t>
        </is>
      </c>
      <c r="J883" s="0" t="inlineStr">
        <is>
          <t>With Contrast 3.0 B30f</t>
        </is>
      </c>
      <c r="K883" t="n">
        <v>161</v>
      </c>
      <c r="L883" t="n">
        <v>46</v>
      </c>
      <c r="M883" t="n">
        <v>35.49</v>
      </c>
    </row>
    <row r="884">
      <c r="A884" s="2" t="n">
        <v>5519640</v>
      </c>
      <c r="B884" s="2" t="n">
        <v>64</v>
      </c>
      <c r="C884" s="2" t="inlineStr">
        <is>
          <t>F</t>
        </is>
      </c>
      <c r="D884" s="2" t="n">
        <v>100</v>
      </c>
      <c r="E884" s="4">
        <f>HYPERLINK("./Results/DLO\20190301_1.3.46.670589.33.1.63687656076553315300001.5192303813348767080_601_512_512_\Osteo_Sarco_1.png","RPT")</f>
        <v/>
      </c>
      <c r="F884" s="3" t="n">
        <v>100</v>
      </c>
      <c r="G884" s="3" t="n">
        <v>11</v>
      </c>
      <c r="H884" s="6" t="n">
        <v>23.28</v>
      </c>
      <c r="I884" s="0" t="inlineStr">
        <is>
          <t>Ingenuity Core 128</t>
        </is>
      </c>
      <c r="J884" s="0" t="inlineStr">
        <is>
          <t>Portal 3mm, iDose (3)</t>
        </is>
      </c>
      <c r="K884" t="n">
        <v>160</v>
      </c>
      <c r="L884" t="n">
        <v>59.6</v>
      </c>
      <c r="M884" t="n">
        <v>34.77</v>
      </c>
    </row>
    <row r="885">
      <c r="A885" s="2" t="n">
        <v>9900694</v>
      </c>
      <c r="B885" s="2" t="n">
        <v>64</v>
      </c>
      <c r="C885" s="2" t="inlineStr">
        <is>
          <t>F</t>
        </is>
      </c>
      <c r="D885" s="2" t="n">
        <v>100</v>
      </c>
      <c r="E885" s="4">
        <f>HYPERLINK("./Results/DLO\20200101_1.3.12.2.1107.5.1.4.54310.30000020012223193617100029578_4_512_512_\Osteo_Sarco_1.png","RPT")</f>
        <v/>
      </c>
      <c r="F885" s="3" t="n">
        <v>100</v>
      </c>
      <c r="G885" s="3" t="n">
        <v>12</v>
      </c>
      <c r="H885" s="6" t="n">
        <v>20.34</v>
      </c>
      <c r="I885" s="0" t="inlineStr">
        <is>
          <t>Sensation 64</t>
        </is>
      </c>
      <c r="J885" s="0" t="inlineStr">
        <is>
          <t>Arterial 3.0 B30f</t>
        </is>
      </c>
      <c r="K885" t="n">
        <v>152</v>
      </c>
      <c r="L885" t="n">
        <v>47</v>
      </c>
      <c r="M885" t="n">
        <v>38.09</v>
      </c>
    </row>
    <row r="886">
      <c r="A886" s="2" t="n">
        <v>6739175</v>
      </c>
      <c r="B886" s="2" t="n">
        <v>65</v>
      </c>
      <c r="C886" s="2" t="inlineStr">
        <is>
          <t>F</t>
        </is>
      </c>
      <c r="D886" s="2" t="n">
        <v>100</v>
      </c>
      <c r="E886" s="4">
        <f>HYPERLINK("./Results/DLO\20190701_1.3.12.2.1107.5.1.4.54310.30000019071522353964000022002_7_512_512_\Osteo_Sarco_1.png","RPT")</f>
        <v/>
      </c>
      <c r="F886" s="3" t="n">
        <v>99</v>
      </c>
      <c r="G886" s="3" t="n">
        <v>11</v>
      </c>
      <c r="H886" s="7" t="n">
        <v>20.83</v>
      </c>
      <c r="I886" s="0" t="inlineStr">
        <is>
          <t>Sensation 64</t>
        </is>
      </c>
      <c r="J886" s="0" t="inlineStr">
        <is>
          <t>ABD Contrast 3.0 B30f</t>
        </is>
      </c>
      <c r="K886" t="n">
        <v>161</v>
      </c>
      <c r="L886" t="n">
        <v>54</v>
      </c>
      <c r="M886" t="n">
        <v>33.95</v>
      </c>
    </row>
    <row r="887">
      <c r="A887" s="2" t="n">
        <v>5522515</v>
      </c>
      <c r="B887" s="2" t="n">
        <v>65</v>
      </c>
      <c r="C887" s="2" t="inlineStr">
        <is>
          <t>F</t>
        </is>
      </c>
      <c r="D887" s="2" t="n">
        <v>100</v>
      </c>
      <c r="E887" s="4">
        <f>HYPERLINK("./Results/DLO\20180101_1.2.840.113619.2.311.25756708768632386100385548214433197972_304_512_512_\Osteo_Sarco_1.png","RPT")</f>
        <v/>
      </c>
      <c r="F887" s="3" t="n">
        <v>97</v>
      </c>
      <c r="G887" s="3" t="n">
        <v>9</v>
      </c>
      <c r="H887" s="7" t="n">
        <v>24.32</v>
      </c>
      <c r="I887" s="0" t="inlineStr">
        <is>
          <t>Revolution CT</t>
        </is>
      </c>
      <c r="J887" s="0" t="inlineStr">
        <is>
          <t>ABD 2.5mm</t>
        </is>
      </c>
      <c r="K887" t="n">
        <v>151.6</v>
      </c>
      <c r="L887" t="n">
        <v>55.9</v>
      </c>
      <c r="M887" t="n">
        <v>38.29</v>
      </c>
    </row>
    <row r="888">
      <c r="A888" s="2" t="n">
        <v>6739526</v>
      </c>
      <c r="B888" s="2" t="n">
        <v>65</v>
      </c>
      <c r="C888" s="2" t="inlineStr">
        <is>
          <t>F</t>
        </is>
      </c>
      <c r="D888" s="2" t="n">
        <v>100</v>
      </c>
      <c r="E888" s="4">
        <f>HYPERLINK("./Results/DLO\20180201_1.2.840.113619.2.311.53339799595939907618225591602629572653_304_512_512_\Osteo_Sarco_1.png","RPT")</f>
        <v/>
      </c>
      <c r="F888" s="3" t="n">
        <v>96</v>
      </c>
      <c r="G888" s="3" t="n">
        <v>7</v>
      </c>
      <c r="H888" s="7" t="n">
        <v>24.92</v>
      </c>
      <c r="I888" s="0" t="inlineStr">
        <is>
          <t>Revolution CT</t>
        </is>
      </c>
      <c r="J888" s="0" t="inlineStr">
        <is>
          <t>ABD 2.5mm</t>
        </is>
      </c>
      <c r="K888" t="n">
        <v>153.1</v>
      </c>
      <c r="L888" t="n">
        <v>58.4</v>
      </c>
      <c r="M888" t="n">
        <v>37.97</v>
      </c>
    </row>
    <row r="889">
      <c r="A889" s="2" t="n">
        <v>5988905</v>
      </c>
      <c r="B889" s="2" t="n">
        <v>65</v>
      </c>
      <c r="C889" s="2" t="inlineStr">
        <is>
          <t>F</t>
        </is>
      </c>
      <c r="D889" s="2" t="n">
        <v>100</v>
      </c>
      <c r="E889" s="4">
        <f>HYPERLINK("./Results/DLO\20181201_1.3.12.2.1107.5.1.4.54310.30000018123023561453100005492_2_512_512_\Osteo_Sarco_1.png","RPT")</f>
        <v/>
      </c>
      <c r="F889" s="3" t="n">
        <v>96</v>
      </c>
      <c r="G889" s="3" t="n">
        <v>8</v>
      </c>
      <c r="H889" s="7" t="n">
        <v>20.03</v>
      </c>
      <c r="I889" s="0" t="inlineStr">
        <is>
          <t>Sensation 64</t>
        </is>
      </c>
      <c r="J889" s="0" t="inlineStr">
        <is>
          <t>With Contrast 3.0 B30f</t>
        </is>
      </c>
      <c r="K889" t="n">
        <v>150.9</v>
      </c>
      <c r="L889" t="n">
        <v>45.6</v>
      </c>
      <c r="M889" t="n">
        <v>38.65</v>
      </c>
    </row>
    <row r="890">
      <c r="A890" s="2" t="n">
        <v>5342850</v>
      </c>
      <c r="B890" s="2" t="n">
        <v>65</v>
      </c>
      <c r="C890" s="2" t="inlineStr">
        <is>
          <t>F</t>
        </is>
      </c>
      <c r="D890" s="2" t="n">
        <v>100</v>
      </c>
      <c r="E890" s="4">
        <f>HYPERLINK("./Results/DLO\20190201_1.3.46.670589.33.1.63686353690527710600001.5235982689043348977_201_512_512_\Osteo_Sarco_1.png","RPT")</f>
        <v/>
      </c>
      <c r="F890" s="3" t="n">
        <v>94</v>
      </c>
      <c r="G890" s="3" t="n">
        <v>5</v>
      </c>
      <c r="H890" s="7" t="n">
        <v>21.73</v>
      </c>
      <c r="I890" s="0" t="inlineStr">
        <is>
          <t>Ingenuity Core 128</t>
        </is>
      </c>
      <c r="J890" s="0" t="inlineStr">
        <is>
          <t>Post 3mm, iDose (3)</t>
        </is>
      </c>
      <c r="K890" t="n">
        <v>160.4</v>
      </c>
      <c r="L890" t="n">
        <v>55.9</v>
      </c>
      <c r="M890" t="n">
        <v>34.59</v>
      </c>
    </row>
    <row r="891">
      <c r="A891" s="2" t="n">
        <v>5716171</v>
      </c>
      <c r="B891" s="2" t="n">
        <v>65</v>
      </c>
      <c r="C891" s="2" t="inlineStr">
        <is>
          <t>F</t>
        </is>
      </c>
      <c r="D891" s="2" t="n">
        <v>100</v>
      </c>
      <c r="E891" s="4">
        <f>HYPERLINK("./Results/DLO\20191101_1.2.840.113619.2.416.189293471084043930114326237681208494035_310_512_512_\Osteo_Sarco_1.png","RPT")</f>
        <v/>
      </c>
      <c r="F891" s="3" t="n">
        <v>92</v>
      </c>
      <c r="G891" s="3" t="n">
        <v>11</v>
      </c>
      <c r="H891" s="6" t="n">
        <v>22.93</v>
      </c>
      <c r="I891" s="0" t="inlineStr">
        <is>
          <t>Revolution CT</t>
        </is>
      </c>
      <c r="J891" s="0" t="inlineStr">
        <is>
          <t>ABD</t>
        </is>
      </c>
      <c r="K891" t="n">
        <v>155.7</v>
      </c>
      <c r="L891" t="n">
        <v>55.6</v>
      </c>
      <c r="M891" t="n">
        <v>33.41</v>
      </c>
    </row>
    <row r="892">
      <c r="A892" s="2" t="n">
        <v>5025780</v>
      </c>
      <c r="B892" s="2" t="n">
        <v>65</v>
      </c>
      <c r="C892" s="2" t="inlineStr">
        <is>
          <t>F</t>
        </is>
      </c>
      <c r="D892" s="2" t="n">
        <v>100</v>
      </c>
      <c r="E892" s="4">
        <f>HYPERLINK("./Results/DLO\20180401_1.3.12.2.1107.5.1.4.54310.30000018041023080612500005767_2_512_512_\Osteo_Sarco_1.png","RPT")</f>
        <v/>
      </c>
      <c r="F892" s="3" t="n">
        <v>89</v>
      </c>
      <c r="G892" s="3" t="n">
        <v>5</v>
      </c>
      <c r="H892" s="7" t="n">
        <v>20.08</v>
      </c>
      <c r="I892" s="0" t="inlineStr">
        <is>
          <t>Sensation 64</t>
        </is>
      </c>
      <c r="J892" s="0" t="inlineStr">
        <is>
          <t>With Contrast 3.0 B30f</t>
        </is>
      </c>
      <c r="K892" t="n">
        <v>162</v>
      </c>
      <c r="L892" t="n">
        <v>52.7</v>
      </c>
      <c r="M892" t="n">
        <v>32.01</v>
      </c>
    </row>
    <row r="893">
      <c r="A893" s="2" t="n">
        <v>5027594</v>
      </c>
      <c r="B893" s="2" t="n">
        <v>65</v>
      </c>
      <c r="C893" s="2" t="inlineStr">
        <is>
          <t>F</t>
        </is>
      </c>
      <c r="D893" s="2" t="n">
        <v>100</v>
      </c>
      <c r="E893" s="4">
        <f>HYPERLINK("./Results/DLO\20180101_1.2.840.113619.2.94.485650834948.2.8573485.18478242.1_2_512_512_\Osteo_Sarco_1.png","RPT")</f>
        <v/>
      </c>
      <c r="F893" s="3" t="n">
        <v>86</v>
      </c>
      <c r="G893" s="3" t="n">
        <v>14</v>
      </c>
      <c r="H893" s="6" t="n">
        <v>26.23</v>
      </c>
      <c r="I893" s="0" t="inlineStr">
        <is>
          <t>Sensation 64</t>
        </is>
      </c>
      <c r="J893" s="0" t="inlineStr">
        <is>
          <t>With Contrast 3.0 B30f</t>
        </is>
      </c>
      <c r="K893" t="n">
        <v>144.8</v>
      </c>
      <c r="L893" t="n">
        <v>55</v>
      </c>
      <c r="M893" t="n">
        <v>34.34</v>
      </c>
    </row>
    <row r="894">
      <c r="A894" s="2" t="n">
        <v>9036035</v>
      </c>
      <c r="B894" s="2" t="n">
        <v>65</v>
      </c>
      <c r="C894" s="2" t="inlineStr">
        <is>
          <t>F</t>
        </is>
      </c>
      <c r="D894" s="2" t="n">
        <v>100</v>
      </c>
      <c r="E894" s="4">
        <f>HYPERLINK("./Results/DLO\20190101_1.3.12.2.1107.5.1.4.65253.30000019010721143784700056882_2_512_512_\Osteo_Sarco_1.png","RPT")</f>
        <v/>
      </c>
      <c r="F894" s="3" t="n">
        <v>84</v>
      </c>
      <c r="G894" s="3" t="n">
        <v>11</v>
      </c>
      <c r="H894" s="7" t="n">
        <v>20.99</v>
      </c>
      <c r="I894" s="0" t="inlineStr">
        <is>
          <t>SOMATOM Definition AS</t>
        </is>
      </c>
      <c r="J894" s="0" t="inlineStr">
        <is>
          <t>Pre Contrast 3.0 B30f</t>
        </is>
      </c>
      <c r="K894" t="n">
        <v>152</v>
      </c>
      <c r="L894" t="n">
        <v>48.5</v>
      </c>
      <c r="M894" t="n">
        <v>31.6</v>
      </c>
    </row>
    <row r="895">
      <c r="A895" s="2" t="n">
        <v>9694476</v>
      </c>
      <c r="B895" s="2" t="n">
        <v>65</v>
      </c>
      <c r="C895" s="2" t="inlineStr">
        <is>
          <t>F</t>
        </is>
      </c>
      <c r="D895" s="2" t="n">
        <v>100</v>
      </c>
      <c r="E895" s="4">
        <f>HYPERLINK("./Results/DLO\20190501_1.3.12.2.1107.5.1.4.65253.30000019053020461533200033504_2_512_512_\Osteo_Sarco_1.png","RPT")</f>
        <v/>
      </c>
      <c r="F895" s="3" t="n">
        <v>83</v>
      </c>
      <c r="G895" s="3" t="n">
        <v>8</v>
      </c>
      <c r="H895" s="7" t="n">
        <v>21.43</v>
      </c>
      <c r="I895" s="0" t="inlineStr">
        <is>
          <t>SOMATOM Definition AS</t>
        </is>
      </c>
      <c r="J895" s="0" t="inlineStr">
        <is>
          <t>Pre Contrast 3.0 B30f</t>
        </is>
      </c>
      <c r="K895" t="n">
        <v>146.5</v>
      </c>
      <c r="L895" t="n">
        <v>46</v>
      </c>
      <c r="M895" t="n">
        <v>34.95</v>
      </c>
    </row>
    <row r="896">
      <c r="A896" s="2" t="n">
        <v>5600073</v>
      </c>
      <c r="B896" s="2" t="n">
        <v>65</v>
      </c>
      <c r="C896" s="2" t="inlineStr">
        <is>
          <t>F</t>
        </is>
      </c>
      <c r="D896" s="2" t="n">
        <v>100</v>
      </c>
      <c r="E896" s="4">
        <f>HYPERLINK("./Results/DLO\20180501_1.2.840.113619.2.311.178163184454965333239721844413542412348_304_512_512_\Osteo_Sarco_1.png","RPT")</f>
        <v/>
      </c>
      <c r="F896" s="3" t="n">
        <v>78</v>
      </c>
      <c r="G896" s="3" t="n">
        <v>10</v>
      </c>
      <c r="H896" s="7" t="n">
        <v>23.67</v>
      </c>
      <c r="I896" s="0" t="inlineStr">
        <is>
          <t>Revolution CT</t>
        </is>
      </c>
      <c r="J896" s="0" t="inlineStr">
        <is>
          <t>ABD 2.5mm</t>
        </is>
      </c>
      <c r="K896" t="n">
        <v>147.5</v>
      </c>
      <c r="L896" t="n">
        <v>51.5</v>
      </c>
      <c r="M896" t="n">
        <v>31.26</v>
      </c>
    </row>
    <row r="897">
      <c r="A897" s="2" t="n">
        <v>8939708</v>
      </c>
      <c r="B897" s="2" t="n">
        <v>65</v>
      </c>
      <c r="C897" s="2" t="inlineStr">
        <is>
          <t>M</t>
        </is>
      </c>
      <c r="D897" s="2" t="n">
        <v>100</v>
      </c>
      <c r="E897" s="4">
        <f>HYPERLINK("./Results/DLO\20180101_1.3.46.670589.33.1.63652557971140049100001.5472189695257154985_201_512_512_\Osteo_Sarco_1.png","RPT")</f>
        <v/>
      </c>
      <c r="F897" s="3" t="n">
        <v>163</v>
      </c>
      <c r="G897" s="3" t="n">
        <v>9</v>
      </c>
      <c r="H897" s="7" t="n">
        <v>29.48</v>
      </c>
      <c r="I897" s="0" t="inlineStr">
        <is>
          <t>Ingenuity Core 128</t>
        </is>
      </c>
      <c r="J897" s="0" t="inlineStr">
        <is>
          <t>Post 100/236 i3, iDose (3)</t>
        </is>
      </c>
      <c r="K897" t="n">
        <v>168.7</v>
      </c>
      <c r="L897" t="n">
        <v>83.90000000000001</v>
      </c>
      <c r="M897" t="n">
        <v>54.11</v>
      </c>
    </row>
    <row r="898">
      <c r="A898" s="2" t="n">
        <v>8578293</v>
      </c>
      <c r="B898" s="2" t="n">
        <v>65</v>
      </c>
      <c r="C898" s="2" t="inlineStr">
        <is>
          <t>M</t>
        </is>
      </c>
      <c r="D898" s="2" t="n">
        <v>100</v>
      </c>
      <c r="E898" s="4">
        <f>HYPERLINK("./Results/DLO\20180301_1.3.12.2.1107.5.1.4.54310.30000018032823073635900001116_2_512_512_\Osteo_Sarco_1.png","RPT")</f>
        <v/>
      </c>
      <c r="F898" s="3" t="n">
        <v>160</v>
      </c>
      <c r="G898" s="3" t="n">
        <v>11</v>
      </c>
      <c r="H898" s="7" t="n">
        <v>24.51</v>
      </c>
      <c r="I898" s="0" t="inlineStr">
        <is>
          <t>Sensation 64</t>
        </is>
      </c>
      <c r="J898" s="0" t="inlineStr">
        <is>
          <t>Pre Contrast 3.0 B30f</t>
        </is>
      </c>
      <c r="K898" t="n">
        <v>169</v>
      </c>
      <c r="L898" t="n">
        <v>70</v>
      </c>
      <c r="M898" t="n">
        <v>52.17</v>
      </c>
    </row>
    <row r="899">
      <c r="A899" s="2" t="n">
        <v>5818336</v>
      </c>
      <c r="B899" s="2" t="n">
        <v>65</v>
      </c>
      <c r="C899" s="2" t="inlineStr">
        <is>
          <t>M</t>
        </is>
      </c>
      <c r="D899" s="2" t="n">
        <v>100</v>
      </c>
      <c r="E899" s="4">
        <f>HYPERLINK("./Results/DLO\20180301_1.3.12.2.1107.5.1.4.65253.30000018032521013524600038452_2_512_512_\Osteo_Sarco_1.png","RPT")</f>
        <v/>
      </c>
      <c r="F899" s="3" t="n">
        <v>143</v>
      </c>
      <c r="G899" s="3" t="n">
        <v>15</v>
      </c>
      <c r="H899" s="7" t="n">
        <v>24.91</v>
      </c>
      <c r="I899" s="0" t="inlineStr">
        <is>
          <t>SOMATOM Definition AS</t>
        </is>
      </c>
      <c r="J899" s="0" t="inlineStr">
        <is>
          <t>W/O Contrast 2.0 B30f</t>
        </is>
      </c>
      <c r="K899" t="n">
        <v>170</v>
      </c>
      <c r="L899" t="n">
        <v>72</v>
      </c>
      <c r="M899" t="n">
        <v>44.29</v>
      </c>
    </row>
    <row r="900">
      <c r="A900" s="2" t="n">
        <v>6107234</v>
      </c>
      <c r="B900" s="2" t="n">
        <v>65</v>
      </c>
      <c r="C900" s="2" t="inlineStr">
        <is>
          <t>F</t>
        </is>
      </c>
      <c r="D900" s="2" t="n">
        <v>100</v>
      </c>
      <c r="E900" s="4">
        <f>HYPERLINK("./Results/DLO\20200601_1.3.46.670589.33.1.63728587406499210800001.4888920694891216046_201_512_512_\Osteo_Sarco_1.png","RPT")</f>
        <v/>
      </c>
      <c r="F900" s="3" t="n">
        <v>140</v>
      </c>
      <c r="G900" s="3" t="n">
        <v>7</v>
      </c>
      <c r="H900" s="7" t="n">
        <v>26.03</v>
      </c>
      <c r="I900" s="0" t="inlineStr">
        <is>
          <t>Ingenuity Core 128</t>
        </is>
      </c>
      <c r="J900" s="0" t="inlineStr">
        <is>
          <t>Post 3mm, iDose (3)</t>
        </is>
      </c>
      <c r="K900" t="n">
        <v>164</v>
      </c>
      <c r="L900" t="n">
        <v>70</v>
      </c>
      <c r="M900" t="n">
        <v>49.45</v>
      </c>
    </row>
    <row r="901">
      <c r="A901" s="2" t="n">
        <v>5973711</v>
      </c>
      <c r="B901" s="2" t="n">
        <v>65</v>
      </c>
      <c r="C901" s="2" t="inlineStr">
        <is>
          <t>M</t>
        </is>
      </c>
      <c r="D901" s="2" t="n">
        <v>100</v>
      </c>
      <c r="E901" s="4">
        <f>HYPERLINK("./Results/DLO\20200101_1.3.46.670589.33.1.63714852221611854300001.4619818758474411193_201_512_512_\Osteo_Sarco_1.png","RPT")</f>
        <v/>
      </c>
      <c r="F901" s="3" t="n">
        <v>139</v>
      </c>
      <c r="G901" s="3" t="n">
        <v>10</v>
      </c>
      <c r="H901" s="7" t="n">
        <v>25.82</v>
      </c>
      <c r="I901" s="0" t="inlineStr">
        <is>
          <t>Ingenuity Core 128</t>
        </is>
      </c>
      <c r="J901" s="0" t="inlineStr">
        <is>
          <t>Post 3mm, iDose (3)</t>
        </is>
      </c>
      <c r="K901" t="n">
        <v>167</v>
      </c>
      <c r="L901" t="n">
        <v>72</v>
      </c>
      <c r="M901" t="n">
        <v>46.25</v>
      </c>
    </row>
    <row r="902">
      <c r="A902" s="2" t="n">
        <v>6010461</v>
      </c>
      <c r="B902" s="2" t="n">
        <v>65</v>
      </c>
      <c r="C902" s="2" t="inlineStr">
        <is>
          <t>F</t>
        </is>
      </c>
      <c r="D902" s="2" t="n">
        <v>100</v>
      </c>
      <c r="E902" s="4">
        <f>HYPERLINK("./Results/DLO\20190601_1.2.840.113619.2.416.207622654566165327622788334467860901424_310_512_512_\Osteo_Sarco_1.png","RPT")</f>
        <v/>
      </c>
      <c r="F902" s="3" t="n">
        <v>133</v>
      </c>
      <c r="G902" s="3" t="n">
        <v>11</v>
      </c>
      <c r="H902" s="7" t="n">
        <v>27.06</v>
      </c>
      <c r="I902" s="0" t="inlineStr">
        <is>
          <t>Revolution CT</t>
        </is>
      </c>
      <c r="J902" s="0" t="inlineStr">
        <is>
          <t>ABD</t>
        </is>
      </c>
      <c r="K902" t="n">
        <v>155</v>
      </c>
      <c r="L902" t="n">
        <v>65</v>
      </c>
      <c r="M902" t="n">
        <v>50.78</v>
      </c>
    </row>
    <row r="903">
      <c r="A903" s="2" t="n">
        <v>8883037</v>
      </c>
      <c r="B903" s="2" t="n">
        <v>65</v>
      </c>
      <c r="C903" s="2" t="inlineStr">
        <is>
          <t>M</t>
        </is>
      </c>
      <c r="D903" s="2" t="n">
        <v>100</v>
      </c>
      <c r="E903" s="4">
        <f>HYPERLINK("./Results/DLO\20181201_1.2.840.113619.2.311.320371817557582972004401898479400798836_2_512_512_\Osteo_Sarco_1.png","RPT")</f>
        <v/>
      </c>
      <c r="F903" s="3" t="n">
        <v>124</v>
      </c>
      <c r="G903" s="3" t="n">
        <v>9</v>
      </c>
      <c r="H903" s="6" t="n">
        <v>23.91</v>
      </c>
      <c r="I903" s="0" t="inlineStr">
        <is>
          <t>Revolution CT</t>
        </is>
      </c>
      <c r="J903" s="0" t="inlineStr">
        <is>
          <t>PRE</t>
        </is>
      </c>
      <c r="K903" t="n">
        <v>158</v>
      </c>
      <c r="L903" t="n">
        <v>59.7</v>
      </c>
      <c r="M903" t="n">
        <v>46.07</v>
      </c>
    </row>
    <row r="904">
      <c r="A904" s="2" t="n">
        <v>9832208</v>
      </c>
      <c r="B904" s="2" t="n">
        <v>65</v>
      </c>
      <c r="C904" s="2" t="inlineStr">
        <is>
          <t>F</t>
        </is>
      </c>
      <c r="D904" s="2" t="n">
        <v>100</v>
      </c>
      <c r="E904" s="4">
        <f>HYPERLINK("./Results/DLO\20191101_1.2.840.113619.2.416.71320876313347252845131569694001945336_306_512_512_\Osteo_Sarco_1.png","RPT")</f>
        <v/>
      </c>
      <c r="F904" s="3" t="n">
        <v>122</v>
      </c>
      <c r="G904" s="3" t="n">
        <v>12</v>
      </c>
      <c r="H904" s="7" t="n">
        <v>26.95</v>
      </c>
      <c r="I904" s="0" t="inlineStr">
        <is>
          <t>Revolution CT</t>
        </is>
      </c>
      <c r="J904" s="0" t="inlineStr">
        <is>
          <t>ABD</t>
        </is>
      </c>
      <c r="K904" t="n">
        <v>160</v>
      </c>
      <c r="L904" t="n">
        <v>69</v>
      </c>
      <c r="M904" t="n">
        <v>42.97</v>
      </c>
    </row>
    <row r="905">
      <c r="A905" s="2" t="n">
        <v>743398</v>
      </c>
      <c r="B905" s="2" t="n">
        <v>65</v>
      </c>
      <c r="C905" s="2" t="inlineStr">
        <is>
          <t>M</t>
        </is>
      </c>
      <c r="D905" s="2" t="n">
        <v>100</v>
      </c>
      <c r="E905" s="4">
        <f>HYPERLINK("./Results/DLO\20180401_1.3.12.2.1107.5.1.4.54310.30000018042323250732800000127_2_512_512_\Osteo_Sarco_1.png","RPT")</f>
        <v/>
      </c>
      <c r="F905" s="3" t="n">
        <v>117</v>
      </c>
      <c r="G905" s="3" t="n">
        <v>14</v>
      </c>
      <c r="H905" s="6" t="n">
        <v>23.09</v>
      </c>
      <c r="I905" s="0" t="inlineStr">
        <is>
          <t>Sensation 64</t>
        </is>
      </c>
      <c r="J905" s="0" t="inlineStr">
        <is>
          <t>W/O Contrast 3.0 B30f</t>
        </is>
      </c>
      <c r="K905" t="n">
        <v>166.1</v>
      </c>
      <c r="L905" t="n">
        <v>63.7</v>
      </c>
      <c r="M905" t="n">
        <v>37.33</v>
      </c>
    </row>
    <row r="906">
      <c r="A906" s="2" t="n">
        <v>248989</v>
      </c>
      <c r="B906" s="2" t="n">
        <v>65</v>
      </c>
      <c r="C906" s="2" t="inlineStr">
        <is>
          <t>M</t>
        </is>
      </c>
      <c r="D906" s="2" t="n">
        <v>100</v>
      </c>
      <c r="E906" s="4">
        <f>HYPERLINK("./Results/DLO\20180401_1.3.46.670589.33.1.63658629564124847300001.5617373119828169367_201_512_512_\Osteo_Sarco_1.png","RPT")</f>
        <v/>
      </c>
      <c r="F906" s="3" t="n">
        <v>116</v>
      </c>
      <c r="G906" s="3" t="n">
        <v>6</v>
      </c>
      <c r="H906" s="7" t="n">
        <v>20.29</v>
      </c>
      <c r="I906" s="0" t="inlineStr">
        <is>
          <t>Ingenuity Core 128</t>
        </is>
      </c>
      <c r="J906" s="0" t="inlineStr">
        <is>
          <t>Pre 100/236 i6, iDose (3)</t>
        </is>
      </c>
      <c r="K906" t="n">
        <v>161</v>
      </c>
      <c r="L906" t="n">
        <v>52.6</v>
      </c>
      <c r="M906" t="n">
        <v>42.44</v>
      </c>
    </row>
    <row r="907">
      <c r="A907" s="2" t="n">
        <v>5026769</v>
      </c>
      <c r="B907" s="2" t="n">
        <v>65</v>
      </c>
      <c r="C907" s="2" t="inlineStr">
        <is>
          <t>F</t>
        </is>
      </c>
      <c r="D907" s="2" t="n">
        <v>100</v>
      </c>
      <c r="E907" s="4">
        <f>HYPERLINK("./Results/DLO\20180401_1.3.12.2.1107.5.1.4.54310.30000018042723395856200009359_3_512_512_\Osteo_Sarco_1.png","RPT")</f>
        <v/>
      </c>
      <c r="F907" s="3" t="n">
        <v>114</v>
      </c>
      <c r="G907" s="3" t="n">
        <v>7</v>
      </c>
      <c r="H907" s="6" t="n">
        <v>22</v>
      </c>
      <c r="I907" s="0" t="inlineStr">
        <is>
          <t>Sensation 64</t>
        </is>
      </c>
      <c r="J907" s="0" t="inlineStr">
        <is>
          <t>Pre Contrast 3.0 B30f</t>
        </is>
      </c>
      <c r="K907" t="n">
        <v>153</v>
      </c>
      <c r="L907" t="n">
        <v>51.5</v>
      </c>
      <c r="M907" t="n">
        <v>45.71</v>
      </c>
    </row>
    <row r="908">
      <c r="A908" s="2" t="n">
        <v>9612576</v>
      </c>
      <c r="B908" s="2" t="n">
        <v>65</v>
      </c>
      <c r="C908" s="2" t="inlineStr">
        <is>
          <t>F</t>
        </is>
      </c>
      <c r="D908" s="2" t="n">
        <v>100</v>
      </c>
      <c r="E908" s="4">
        <f>HYPERLINK("./Results/DLO\20190301_1.2.840.113619.2.94.485650834948.2.9442859.20630090.1_2_512_512_\Osteo_Sarco_1.png","RPT")</f>
        <v/>
      </c>
      <c r="F908" s="3" t="n">
        <v>114</v>
      </c>
      <c r="G908" s="3" t="n">
        <v>21</v>
      </c>
      <c r="H908" s="7" t="n">
        <v>23.68</v>
      </c>
      <c r="I908" s="0" t="inlineStr">
        <is>
          <t>Sensation 64</t>
        </is>
      </c>
      <c r="J908" s="0" t="inlineStr">
        <is>
          <t>With Contrast 3.0 B30f</t>
        </is>
      </c>
      <c r="K908" t="n">
        <v>152.4</v>
      </c>
      <c r="L908" t="n">
        <v>55</v>
      </c>
      <c r="M908" t="n">
        <v>40.04</v>
      </c>
    </row>
    <row r="909">
      <c r="A909" s="2" t="n">
        <v>6741498</v>
      </c>
      <c r="B909" s="2" t="n">
        <v>65</v>
      </c>
      <c r="C909" s="2" t="inlineStr">
        <is>
          <t>M</t>
        </is>
      </c>
      <c r="D909" s="2" t="n">
        <v>100</v>
      </c>
      <c r="E909" s="4">
        <f>HYPERLINK("./Results/DLO\20181001_1.3.46.670589.33.1.63676147426944430800001.5023109743060541148_201_512_512_\Osteo_Sarco_1.png","RPT")</f>
        <v/>
      </c>
      <c r="F909" s="3" t="n">
        <v>112</v>
      </c>
      <c r="G909" s="3" t="n">
        <v>8</v>
      </c>
      <c r="H909" s="7" t="n">
        <v>20.9</v>
      </c>
      <c r="I909" s="0" t="inlineStr">
        <is>
          <t>Ingenuity Core 128</t>
        </is>
      </c>
      <c r="J909" s="0" t="inlineStr">
        <is>
          <t>Pre 100/68 i3, iDose (3)</t>
        </is>
      </c>
      <c r="K909" t="n">
        <v>168</v>
      </c>
      <c r="L909" t="n">
        <v>59</v>
      </c>
      <c r="M909" t="n">
        <v>36.85</v>
      </c>
    </row>
    <row r="910">
      <c r="A910" s="2" t="n">
        <v>8523989</v>
      </c>
      <c r="B910" s="2" t="n">
        <v>65</v>
      </c>
      <c r="C910" s="2" t="inlineStr">
        <is>
          <t>F</t>
        </is>
      </c>
      <c r="D910" s="2" t="n">
        <v>100</v>
      </c>
      <c r="E910" s="4">
        <f>HYPERLINK("./Results/DLO\20180401_1.3.12.2.1107.5.1.4.54310.30000018040523200193700003141_2_512_512_\Osteo_Sarco_1.png","RPT")</f>
        <v/>
      </c>
      <c r="F910" s="3" t="n">
        <v>110</v>
      </c>
      <c r="G910" s="3" t="n">
        <v>15</v>
      </c>
      <c r="H910" s="6" t="n">
        <v>25.73</v>
      </c>
      <c r="I910" s="0" t="inlineStr">
        <is>
          <t>Sensation 64</t>
        </is>
      </c>
      <c r="J910" s="0" t="inlineStr">
        <is>
          <t>With Contrast 3.0 B30f</t>
        </is>
      </c>
      <c r="K910" t="n">
        <v>153.1</v>
      </c>
      <c r="L910" t="n">
        <v>60.3</v>
      </c>
      <c r="M910" t="n">
        <v>40.53</v>
      </c>
    </row>
    <row r="911">
      <c r="A911" s="2" t="n">
        <v>5723155</v>
      </c>
      <c r="B911" s="2" t="n">
        <v>65</v>
      </c>
      <c r="C911" s="2" t="inlineStr">
        <is>
          <t>F</t>
        </is>
      </c>
      <c r="D911" s="2" t="n">
        <v>100</v>
      </c>
      <c r="E911" s="4">
        <f>HYPERLINK("./Results/DLO\20180801_1.3.46.670589.33.1.63669490273916970400001.5364659182771128693_201_512_512_\Osteo_Sarco_1.png","RPT")</f>
        <v/>
      </c>
      <c r="F911" s="3" t="n">
        <v>107</v>
      </c>
      <c r="G911" s="3" t="n">
        <v>10</v>
      </c>
      <c r="H911" s="7" t="n">
        <v>21.36</v>
      </c>
      <c r="I911" s="0" t="inlineStr">
        <is>
          <t>Ingenuity Core 128</t>
        </is>
      </c>
      <c r="J911" s="0" t="inlineStr">
        <is>
          <t>Post 100/236 i3, iDose (3)</t>
        </is>
      </c>
      <c r="K911" t="n">
        <v>159</v>
      </c>
      <c r="L911" t="n">
        <v>54</v>
      </c>
      <c r="M911" t="n">
        <v>38.37</v>
      </c>
    </row>
    <row r="912">
      <c r="A912" s="2" t="n">
        <v>6086217</v>
      </c>
      <c r="B912" s="2" t="n">
        <v>65</v>
      </c>
      <c r="C912" s="2" t="inlineStr">
        <is>
          <t>F</t>
        </is>
      </c>
      <c r="D912" s="2" t="n">
        <v>100</v>
      </c>
      <c r="E912" s="4">
        <f>HYPERLINK("./Results/DLO\20180401_1.3.12.2.1107.5.1.4.54310.30000018040123083078100005638_2_512_512_\Osteo_Sarco_1.png","RPT")</f>
        <v/>
      </c>
      <c r="F912" s="3" t="n">
        <v>106</v>
      </c>
      <c r="G912" s="3" t="n">
        <v>8</v>
      </c>
      <c r="H912" s="7" t="n">
        <v>23.56</v>
      </c>
      <c r="I912" s="0" t="inlineStr">
        <is>
          <t>Sensation 64</t>
        </is>
      </c>
      <c r="J912" s="0" t="inlineStr">
        <is>
          <t>With Contrast 3.0 B30f</t>
        </is>
      </c>
      <c r="K912" t="n">
        <v>150</v>
      </c>
      <c r="L912" t="n">
        <v>53</v>
      </c>
      <c r="M912" t="n">
        <v>43.56</v>
      </c>
    </row>
    <row r="913">
      <c r="A913" s="2" t="n">
        <v>3123463</v>
      </c>
      <c r="B913" s="2" t="n">
        <v>65</v>
      </c>
      <c r="C913" s="2" t="inlineStr">
        <is>
          <t>F</t>
        </is>
      </c>
      <c r="D913" s="2" t="n">
        <v>100</v>
      </c>
      <c r="E913" s="4">
        <f>HYPERLINK("./Results/DLO\20190801_1.3.12.2.1107.5.1.4.54310.30000019081122344496800029837_2_512_512_\Osteo_Sarco_1.png","RPT")</f>
        <v/>
      </c>
      <c r="F913" s="3" t="n">
        <v>106</v>
      </c>
      <c r="G913" s="3" t="n">
        <v>7</v>
      </c>
      <c r="H913" s="6" t="n">
        <v>30.24</v>
      </c>
      <c r="I913" s="0" t="inlineStr">
        <is>
          <t>Sensation 64</t>
        </is>
      </c>
      <c r="J913" s="0" t="inlineStr">
        <is>
          <t>With Contrast 3.0 B30f</t>
        </is>
      </c>
      <c r="K913" t="n">
        <v>144.8</v>
      </c>
      <c r="L913" t="n">
        <v>63.4</v>
      </c>
      <c r="M913" t="n">
        <v>47.22</v>
      </c>
    </row>
    <row r="914">
      <c r="A914" s="2" t="n">
        <v>5022511</v>
      </c>
      <c r="B914" s="2" t="n">
        <v>65</v>
      </c>
      <c r="C914" s="2" t="inlineStr">
        <is>
          <t>F</t>
        </is>
      </c>
      <c r="D914" s="2" t="n">
        <v>100</v>
      </c>
      <c r="E914" s="4">
        <f>HYPERLINK("./Results/DLO\20180501_1.2.840.113619.2.311.271113021956068627703543587579902210870_304_512_512_\Osteo_Sarco_1.png","RPT")</f>
        <v/>
      </c>
      <c r="F914" s="3" t="n">
        <v>104</v>
      </c>
      <c r="G914" s="3" t="n">
        <v>7</v>
      </c>
      <c r="H914" s="7" t="n">
        <v>23.68</v>
      </c>
      <c r="I914" s="0" t="inlineStr">
        <is>
          <t>Revolution CT</t>
        </is>
      </c>
      <c r="J914" s="0" t="inlineStr">
        <is>
          <t>ABD 2.5mm</t>
        </is>
      </c>
      <c r="K914" t="n">
        <v>161.8</v>
      </c>
      <c r="L914" t="n">
        <v>62</v>
      </c>
      <c r="M914" t="n">
        <v>37.05</v>
      </c>
    </row>
    <row r="915">
      <c r="A915" s="2" t="n">
        <v>1400938</v>
      </c>
      <c r="B915" s="2" t="n">
        <v>65</v>
      </c>
      <c r="C915" s="2" t="inlineStr">
        <is>
          <t>F</t>
        </is>
      </c>
      <c r="D915" s="2" t="n">
        <v>100</v>
      </c>
      <c r="E915" s="4">
        <f>HYPERLINK("./Results/DLO\20180701_1.2.840.113619.2.94.485650834948.2.8961813.19430180.1_304_512_512_\Osteo_Sarco_1.png","RPT")</f>
        <v/>
      </c>
      <c r="F915" s="3" t="n">
        <v>97</v>
      </c>
      <c r="G915" s="3" t="n">
        <v>10</v>
      </c>
      <c r="H915" s="6" t="n">
        <v>20.25</v>
      </c>
      <c r="I915" s="0" t="inlineStr">
        <is>
          <t>Revolution CT</t>
        </is>
      </c>
      <c r="J915" s="0" t="inlineStr">
        <is>
          <t>ABD 2.5mm</t>
        </is>
      </c>
      <c r="K915" t="n">
        <v>153.3</v>
      </c>
      <c r="L915" t="n">
        <v>47.6</v>
      </c>
      <c r="M915" t="n">
        <v>37.02</v>
      </c>
    </row>
    <row r="916">
      <c r="A916" s="2" t="n">
        <v>5674393</v>
      </c>
      <c r="B916" s="2" t="n">
        <v>66</v>
      </c>
      <c r="C916" s="2" t="inlineStr">
        <is>
          <t>F</t>
        </is>
      </c>
      <c r="D916" s="2" t="n">
        <v>100</v>
      </c>
      <c r="E916" s="4">
        <f>HYPERLINK("./Results/DLO\20180301_1.3.12.2.1107.5.1.4.54310.30000018030623290892100000465_2_512_512_\Osteo_Sarco_1.png","RPT")</f>
        <v/>
      </c>
      <c r="F916" s="3" t="n">
        <v>99</v>
      </c>
      <c r="G916" s="3" t="n">
        <v>6</v>
      </c>
      <c r="H916" s="7" t="n">
        <v>18.58</v>
      </c>
      <c r="I916" s="0" t="inlineStr">
        <is>
          <t>Sensation 64</t>
        </is>
      </c>
      <c r="J916" s="0" t="inlineStr">
        <is>
          <t>With Contrast 3.0 B30f</t>
        </is>
      </c>
      <c r="K916" t="n">
        <v>157</v>
      </c>
      <c r="L916" t="n">
        <v>45.8</v>
      </c>
      <c r="M916" t="n">
        <v>37.73</v>
      </c>
    </row>
    <row r="917">
      <c r="A917" s="2" t="n">
        <v>2491286</v>
      </c>
      <c r="B917" s="2" t="n">
        <v>66</v>
      </c>
      <c r="C917" s="2" t="inlineStr">
        <is>
          <t>F</t>
        </is>
      </c>
      <c r="D917" s="2" t="n">
        <v>100</v>
      </c>
      <c r="E917" s="4">
        <f>HYPERLINK("./Results/DLO\20181201_1.3.46.670589.33.1.63680118900452594900001.5644952929415899837_201_512_512_\Osteo_Sarco_1.png","RPT")</f>
        <v/>
      </c>
      <c r="F917" s="3" t="n">
        <v>96</v>
      </c>
      <c r="G917" s="3" t="n">
        <v>5</v>
      </c>
      <c r="H917" s="7" t="n">
        <v>20.81</v>
      </c>
      <c r="I917" s="0" t="inlineStr">
        <is>
          <t>Ingenuity Core 128</t>
        </is>
      </c>
      <c r="J917" s="0" t="inlineStr">
        <is>
          <t>Post 100/236 i3, iDose (3)</t>
        </is>
      </c>
      <c r="K917" t="n">
        <v>155</v>
      </c>
      <c r="L917" t="n">
        <v>50</v>
      </c>
      <c r="M917" t="n">
        <v>37.88</v>
      </c>
    </row>
    <row r="918">
      <c r="A918" s="2" t="n">
        <v>5705745</v>
      </c>
      <c r="B918" s="2" t="n">
        <v>66</v>
      </c>
      <c r="C918" s="2" t="inlineStr">
        <is>
          <t>F</t>
        </is>
      </c>
      <c r="D918" s="2" t="n">
        <v>100</v>
      </c>
      <c r="E918" s="4">
        <f>HYPERLINK("./Results/DLO\20180401_1.3.12.2.1107.5.1.4.54310.30000018042323110564000005024_2_512_512_\Osteo_Sarco_1.png","RPT")</f>
        <v/>
      </c>
      <c r="F918" s="3" t="n">
        <v>94</v>
      </c>
      <c r="G918" s="3" t="n">
        <v>12</v>
      </c>
      <c r="H918" s="7" t="n">
        <v>25.66</v>
      </c>
      <c r="I918" s="0" t="inlineStr">
        <is>
          <t>Sensation 64</t>
        </is>
      </c>
      <c r="J918" s="0" t="inlineStr">
        <is>
          <t>With Contrast 3.0 B30f</t>
        </is>
      </c>
      <c r="K918" t="n">
        <v>151</v>
      </c>
      <c r="L918" t="n">
        <v>58.5</v>
      </c>
      <c r="M918" t="n">
        <v>35.96</v>
      </c>
    </row>
    <row r="919">
      <c r="A919" s="2" t="n">
        <v>9727137</v>
      </c>
      <c r="B919" s="2" t="n">
        <v>66</v>
      </c>
      <c r="C919" s="2" t="inlineStr">
        <is>
          <t>M</t>
        </is>
      </c>
      <c r="D919" s="2" t="n">
        <v>100</v>
      </c>
      <c r="E919" s="4">
        <f>HYPERLINK("./Results/DLO\20190701_1.3.12.2.1107.5.1.4.54310.30000019070721291192100051365_4_512_512_\Osteo_Sarco_1.png","RPT")</f>
        <v/>
      </c>
      <c r="F919" s="3" t="n">
        <v>94</v>
      </c>
      <c r="G919" s="3" t="n">
        <v>4</v>
      </c>
      <c r="H919" s="6" t="n">
        <v>17.43</v>
      </c>
      <c r="I919" s="0" t="inlineStr">
        <is>
          <t>Sensation 64</t>
        </is>
      </c>
      <c r="J919" s="0" t="inlineStr">
        <is>
          <t>Arterial 3.0 B30f</t>
        </is>
      </c>
      <c r="K919" t="n">
        <v>166.1</v>
      </c>
      <c r="L919" t="n">
        <v>48.1</v>
      </c>
      <c r="M919" t="n">
        <v>32.62</v>
      </c>
    </row>
    <row r="920">
      <c r="A920" s="2" t="n">
        <v>5509970</v>
      </c>
      <c r="B920" s="2" t="n">
        <v>66</v>
      </c>
      <c r="C920" s="2" t="inlineStr">
        <is>
          <t>F</t>
        </is>
      </c>
      <c r="D920" s="2" t="n">
        <v>100</v>
      </c>
      <c r="E920" s="4">
        <f>HYPERLINK("./Results/DLO\20190801_1.3.12.2.1107.5.1.4.65253.30000019082918300811400038937_2_512_512_\Osteo_Sarco_1.png","RPT")</f>
        <v/>
      </c>
      <c r="F920" s="3" t="n">
        <v>92</v>
      </c>
      <c r="G920" s="3" t="n">
        <v>10</v>
      </c>
      <c r="H920" s="7" t="n">
        <v>23.24</v>
      </c>
      <c r="I920" s="0" t="inlineStr">
        <is>
          <t>SOMATOM Definition AS</t>
        </is>
      </c>
      <c r="J920" s="0" t="inlineStr">
        <is>
          <t>Pre Contrast 3.0 B30f</t>
        </is>
      </c>
      <c r="K920" t="n">
        <v>162</v>
      </c>
      <c r="L920" t="n">
        <v>61</v>
      </c>
      <c r="M920" t="n">
        <v>31.25</v>
      </c>
    </row>
    <row r="921">
      <c r="A921" s="2" t="n">
        <v>5394483</v>
      </c>
      <c r="B921" s="2" t="n">
        <v>66</v>
      </c>
      <c r="C921" s="2" t="inlineStr">
        <is>
          <t>F</t>
        </is>
      </c>
      <c r="D921" s="2" t="n">
        <v>100</v>
      </c>
      <c r="E921" s="4">
        <f>HYPERLINK("./Results/DLO\20191001_1.2.840.113619.2.416.239167574522727094177485946241085638810_310_512_512_\Osteo_Sarco_1.png","RPT")</f>
        <v/>
      </c>
      <c r="F921" s="3" t="n">
        <v>90</v>
      </c>
      <c r="G921" s="3" t="n">
        <v>10</v>
      </c>
      <c r="H921" s="6" t="n">
        <v>21.78</v>
      </c>
      <c r="I921" s="0" t="inlineStr">
        <is>
          <t>Revolution CT</t>
        </is>
      </c>
      <c r="J921" s="0" t="inlineStr">
        <is>
          <t>ABD</t>
        </is>
      </c>
      <c r="K921" t="n">
        <v>156</v>
      </c>
      <c r="L921" t="n">
        <v>53</v>
      </c>
      <c r="M921" t="n">
        <v>32.87</v>
      </c>
    </row>
    <row r="922">
      <c r="A922" s="2" t="n">
        <v>6037579</v>
      </c>
      <c r="B922" s="2" t="n">
        <v>66</v>
      </c>
      <c r="C922" s="2" t="inlineStr">
        <is>
          <t>F</t>
        </is>
      </c>
      <c r="D922" s="2" t="n">
        <v>100</v>
      </c>
      <c r="E922" s="4">
        <f>HYPERLINK("./Results/DLO\20181001_1.3.12.2.1107.5.1.4.54310.30000018101423484621800004746_2_512_512_\Osteo_Sarco_1.png","RPT")</f>
        <v/>
      </c>
      <c r="F922" s="3" t="n">
        <v>87</v>
      </c>
      <c r="G922" s="3" t="n">
        <v>8</v>
      </c>
      <c r="H922" s="7" t="n">
        <v>23.63</v>
      </c>
      <c r="I922" s="0" t="inlineStr">
        <is>
          <t>Sensation 64</t>
        </is>
      </c>
      <c r="J922" s="0" t="inlineStr">
        <is>
          <t>With Contrast 3.0 B30f</t>
        </is>
      </c>
      <c r="K922" t="n">
        <v>158</v>
      </c>
      <c r="L922" t="n">
        <v>59</v>
      </c>
      <c r="M922" t="n">
        <v>31.65</v>
      </c>
    </row>
    <row r="923">
      <c r="A923" s="2" t="n">
        <v>5028408</v>
      </c>
      <c r="B923" s="2" t="n">
        <v>66</v>
      </c>
      <c r="C923" s="2" t="inlineStr">
        <is>
          <t>F</t>
        </is>
      </c>
      <c r="D923" s="2" t="n">
        <v>100</v>
      </c>
      <c r="E923" s="4">
        <f>HYPERLINK("./Results/DLO\20180601_1.2.840.113619.2.416.239452496526436264430299001448428591834_304_512_512_\Osteo_Sarco_1.png","RPT")</f>
        <v/>
      </c>
      <c r="F923" s="3" t="n">
        <v>82</v>
      </c>
      <c r="G923" s="3" t="n">
        <v>12</v>
      </c>
      <c r="H923" s="7" t="n">
        <v>26.01</v>
      </c>
      <c r="I923" s="0" t="inlineStr">
        <is>
          <t>Revolution CT</t>
        </is>
      </c>
      <c r="J923" s="0" t="inlineStr">
        <is>
          <t>ABD 2.5mm</t>
        </is>
      </c>
      <c r="K923" t="n">
        <v>148.3</v>
      </c>
      <c r="L923" t="n">
        <v>57.2</v>
      </c>
      <c r="M923" t="n">
        <v>31.83</v>
      </c>
    </row>
    <row r="924">
      <c r="A924" s="2" t="n">
        <v>5703569</v>
      </c>
      <c r="B924" s="2" t="n">
        <v>66</v>
      </c>
      <c r="C924" s="2" t="inlineStr">
        <is>
          <t>F</t>
        </is>
      </c>
      <c r="D924" s="2" t="n">
        <v>100</v>
      </c>
      <c r="E924" s="4">
        <f>HYPERLINK("./Results/DLO\20190101_1.2.840.113619.2.311.226382789470519353840476473261389261910_304_512_512_\Osteo_Sarco_1.png","RPT")</f>
        <v/>
      </c>
      <c r="F924" s="3" t="n">
        <v>82</v>
      </c>
      <c r="G924" s="3" t="n">
        <v>6</v>
      </c>
      <c r="H924" s="7" t="n">
        <v>18.95</v>
      </c>
      <c r="I924" s="0" t="inlineStr">
        <is>
          <t>Revolution CT</t>
        </is>
      </c>
      <c r="J924" s="0" t="inlineStr">
        <is>
          <t>ABD 2.5mm</t>
        </is>
      </c>
      <c r="K924" t="n">
        <v>151</v>
      </c>
      <c r="L924" t="n">
        <v>43.2</v>
      </c>
      <c r="M924" t="n">
        <v>33.33</v>
      </c>
    </row>
    <row r="925">
      <c r="A925" s="2" t="n">
        <v>5253702</v>
      </c>
      <c r="B925" s="2" t="n">
        <v>66</v>
      </c>
      <c r="C925" s="2" t="inlineStr">
        <is>
          <t>M</t>
        </is>
      </c>
      <c r="D925" s="2" t="n">
        <v>100</v>
      </c>
      <c r="E925" s="4">
        <f>HYPERLINK("./Results/DLO\20180201_1.2.840.113619.2.311.140153554238661793924725868696225691547_304_512_512_\Osteo_Sarco_1.png","RPT")</f>
        <v/>
      </c>
      <c r="F925" s="3" t="n">
        <v>70</v>
      </c>
      <c r="G925" s="3" t="n">
        <v>2</v>
      </c>
      <c r="H925" s="6" t="n">
        <v>21.26</v>
      </c>
      <c r="I925" s="0" t="inlineStr">
        <is>
          <t>Revolution CT</t>
        </is>
      </c>
      <c r="J925" s="0" t="inlineStr">
        <is>
          <t>ABD 2.5mm</t>
        </is>
      </c>
      <c r="K925" t="n">
        <v>168</v>
      </c>
      <c r="L925" t="n">
        <v>60</v>
      </c>
      <c r="M925" t="n">
        <v>24.09</v>
      </c>
    </row>
    <row r="926">
      <c r="A926" s="2" t="n">
        <v>5027690</v>
      </c>
      <c r="B926" s="2" t="n">
        <v>66</v>
      </c>
      <c r="C926" s="2" t="inlineStr">
        <is>
          <t>M</t>
        </is>
      </c>
      <c r="D926" s="2" t="n">
        <v>100</v>
      </c>
      <c r="E926" s="4">
        <f>HYPERLINK("./Results/DLO\20190201_1.2.840.113619.2.311.209856016570805583132519547062979688533_304_512_512_\Osteo_Sarco_1.png","RPT")</f>
        <v/>
      </c>
      <c r="F926" s="3" t="n">
        <v>162</v>
      </c>
      <c r="G926" s="3" t="n">
        <v>15</v>
      </c>
      <c r="H926" s="6" t="n">
        <v>24.39</v>
      </c>
      <c r="I926" s="0" t="inlineStr">
        <is>
          <t>Revolution CT</t>
        </is>
      </c>
      <c r="J926" s="0" t="inlineStr">
        <is>
          <t>ABD 2.5mm</t>
        </is>
      </c>
      <c r="K926" t="n">
        <v>173</v>
      </c>
      <c r="L926" t="n">
        <v>73</v>
      </c>
      <c r="M926" t="n">
        <v>49.12</v>
      </c>
    </row>
    <row r="927">
      <c r="A927" s="2" t="n">
        <v>5605727</v>
      </c>
      <c r="B927" s="2" t="n">
        <v>66</v>
      </c>
      <c r="C927" s="2" t="inlineStr">
        <is>
          <t>M</t>
        </is>
      </c>
      <c r="D927" s="2" t="n">
        <v>100</v>
      </c>
      <c r="E927" s="4">
        <f>HYPERLINK("./Results/DLO\20191201_1.3.12.2.1107.5.1.4.54310.30000019120222244193700010569_2_512_512_\Osteo_Sarco_1.png","RPT")</f>
        <v/>
      </c>
      <c r="F927" s="3" t="n">
        <v>161</v>
      </c>
      <c r="G927" s="3" t="n">
        <v>6</v>
      </c>
      <c r="H927" s="7" t="n">
        <v>23.18</v>
      </c>
      <c r="I927" s="0" t="inlineStr">
        <is>
          <t>Sensation 64</t>
        </is>
      </c>
      <c r="J927" s="0" t="inlineStr">
        <is>
          <t>With Contrast 3.0 B30f</t>
        </is>
      </c>
      <c r="K927" t="n">
        <v>175</v>
      </c>
      <c r="L927" t="n">
        <v>71</v>
      </c>
      <c r="M927" t="n">
        <v>50.61</v>
      </c>
    </row>
    <row r="928">
      <c r="A928" s="2" t="n">
        <v>9814061</v>
      </c>
      <c r="B928" s="2" t="n">
        <v>66</v>
      </c>
      <c r="C928" s="2" t="inlineStr">
        <is>
          <t>M</t>
        </is>
      </c>
      <c r="D928" s="2" t="n">
        <v>100</v>
      </c>
      <c r="E928" s="4">
        <f>HYPERLINK("./Results/DLO\20191001_1.3.12.2.1107.5.1.4.65253.30000019102220114824900005782_2_512_512_\Osteo_Sarco_1.png","RPT")</f>
        <v/>
      </c>
      <c r="F928" s="3" t="n">
        <v>158</v>
      </c>
      <c r="G928" s="3" t="n">
        <v>15</v>
      </c>
      <c r="H928" s="6" t="n">
        <v>21.41</v>
      </c>
      <c r="I928" s="0" t="inlineStr">
        <is>
          <t>SOMATOM Definition AS</t>
        </is>
      </c>
      <c r="J928" s="0" t="inlineStr">
        <is>
          <t>Pre Contrast 3.0 B30f</t>
        </is>
      </c>
      <c r="K928" t="n">
        <v>165.3</v>
      </c>
      <c r="L928" t="n">
        <v>58.5</v>
      </c>
      <c r="M928" t="n">
        <v>52.33</v>
      </c>
    </row>
    <row r="929">
      <c r="A929" s="2" t="n">
        <v>9853914</v>
      </c>
      <c r="B929" s="2" t="n">
        <v>66</v>
      </c>
      <c r="C929" s="2" t="inlineStr">
        <is>
          <t>M</t>
        </is>
      </c>
      <c r="D929" s="2" t="n">
        <v>100</v>
      </c>
      <c r="E929" s="4">
        <f>HYPERLINK("./Results/DLO\20191201_1.3.46.670589.33.1.63711049804469782900001.4627041820548518348_601_512_512_\Osteo_Sarco_1.png","RPT")</f>
        <v/>
      </c>
      <c r="F929" s="3" t="n">
        <v>157</v>
      </c>
      <c r="G929" s="3" t="n">
        <v>7</v>
      </c>
      <c r="H929" s="6" t="n">
        <v>26.54</v>
      </c>
      <c r="I929" s="0" t="inlineStr">
        <is>
          <t>Ingenuity Core 128</t>
        </is>
      </c>
      <c r="J929" s="0" t="inlineStr">
        <is>
          <t>Post 3mm, iDose (3)</t>
        </is>
      </c>
      <c r="K929" t="n">
        <v>167.1</v>
      </c>
      <c r="L929" t="n">
        <v>74.09999999999999</v>
      </c>
      <c r="M929" t="n">
        <v>53.72</v>
      </c>
    </row>
    <row r="930">
      <c r="A930" s="2" t="n">
        <v>8756313</v>
      </c>
      <c r="B930" s="2" t="n">
        <v>66</v>
      </c>
      <c r="C930" s="2" t="inlineStr">
        <is>
          <t>M</t>
        </is>
      </c>
      <c r="D930" s="2" t="n">
        <v>100</v>
      </c>
      <c r="E930" s="4">
        <f>HYPERLINK("./Results/DLO\20180701_1.2.840.113619.2.94.485650834948.2.8930447.19354060.1_2_512_512_\Osteo_Sarco_1.png","RPT")</f>
        <v/>
      </c>
      <c r="F930" s="3" t="n">
        <v>149</v>
      </c>
      <c r="G930" s="3" t="n">
        <v>9</v>
      </c>
      <c r="H930" s="6" t="n">
        <v>22.23</v>
      </c>
      <c r="I930" s="0" t="inlineStr">
        <is>
          <t>Sensation 64</t>
        </is>
      </c>
      <c r="J930" s="0" t="inlineStr">
        <is>
          <t>With Contrast 3.0 B30f</t>
        </is>
      </c>
      <c r="K930" t="n">
        <v>167</v>
      </c>
      <c r="L930" t="n">
        <v>62</v>
      </c>
      <c r="M930" t="n">
        <v>50.2</v>
      </c>
    </row>
    <row r="931">
      <c r="A931" s="2" t="n">
        <v>8475956</v>
      </c>
      <c r="B931" s="2" t="n">
        <v>66</v>
      </c>
      <c r="C931" s="2" t="inlineStr">
        <is>
          <t>M</t>
        </is>
      </c>
      <c r="D931" s="2" t="n">
        <v>100</v>
      </c>
      <c r="E931" s="4">
        <f>HYPERLINK("./Results/DLO\20200501_1.3.46.670589.33.1.63725648751166479800001.4901424780927538066_601_512_512_\Osteo_Sarco_1.png","RPT")</f>
        <v/>
      </c>
      <c r="F931" s="3" t="n">
        <v>149</v>
      </c>
      <c r="G931" s="3" t="n">
        <v>7</v>
      </c>
      <c r="H931" s="7" t="n">
        <v>26.4</v>
      </c>
      <c r="I931" s="0" t="inlineStr">
        <is>
          <t>Ingenuity Core 128</t>
        </is>
      </c>
      <c r="J931" s="0" t="inlineStr">
        <is>
          <t>Post 3mm, iDose (3)</t>
        </is>
      </c>
      <c r="K931" t="n">
        <v>164</v>
      </c>
      <c r="L931" t="n">
        <v>71</v>
      </c>
      <c r="M931" t="n">
        <v>52.8</v>
      </c>
    </row>
    <row r="932">
      <c r="A932" s="2" t="n">
        <v>5028529</v>
      </c>
      <c r="B932" s="2" t="n">
        <v>66</v>
      </c>
      <c r="C932" s="2" t="inlineStr">
        <is>
          <t>F</t>
        </is>
      </c>
      <c r="D932" s="2" t="n">
        <v>100</v>
      </c>
      <c r="E932" s="4">
        <f>HYPERLINK("./Results/DLO\20190101_1.2.840.113619.2.94.485650834948.2.9373728.20451376.1_2_512_512_\Osteo_Sarco_1.png","RPT")</f>
        <v/>
      </c>
      <c r="F932" s="3" t="n">
        <v>146</v>
      </c>
      <c r="G932" s="3" t="n">
        <v>17</v>
      </c>
      <c r="H932" s="7" t="n">
        <v>20.76</v>
      </c>
      <c r="I932" s="0" t="inlineStr">
        <is>
          <t>Sensation 64</t>
        </is>
      </c>
      <c r="J932" s="0" t="inlineStr">
        <is>
          <t>With Contrast 3.0 B30f</t>
        </is>
      </c>
      <c r="K932" t="n">
        <v>170</v>
      </c>
      <c r="L932" t="n">
        <v>60</v>
      </c>
      <c r="M932" t="n">
        <v>44.64</v>
      </c>
    </row>
    <row r="933">
      <c r="A933" s="2" t="n">
        <v>8684770</v>
      </c>
      <c r="B933" s="2" t="n">
        <v>66</v>
      </c>
      <c r="C933" s="2" t="inlineStr">
        <is>
          <t>M</t>
        </is>
      </c>
      <c r="D933" s="2" t="n">
        <v>100</v>
      </c>
      <c r="E933" s="4">
        <f>HYPERLINK("./Results/DLO\20180401_1.3.12.2.1107.5.1.4.54310.30000018041623483203100008617_3_512_512_\Osteo_Sarco_1.png","RPT")</f>
        <v/>
      </c>
      <c r="F933" s="3" t="n">
        <v>145</v>
      </c>
      <c r="G933" s="3" t="n">
        <v>10</v>
      </c>
      <c r="H933" s="7" t="n">
        <v>24.05</v>
      </c>
      <c r="I933" s="0" t="inlineStr">
        <is>
          <t>Sensation 64</t>
        </is>
      </c>
      <c r="J933" s="0" t="inlineStr">
        <is>
          <t>With Contrast 3.0 B30f</t>
        </is>
      </c>
      <c r="K933" t="n">
        <v>188</v>
      </c>
      <c r="L933" t="n">
        <v>85</v>
      </c>
      <c r="M933" t="n">
        <v>38.2</v>
      </c>
    </row>
    <row r="934">
      <c r="A934" s="2" t="n">
        <v>6157329</v>
      </c>
      <c r="B934" s="2" t="n">
        <v>66</v>
      </c>
      <c r="C934" s="2" t="inlineStr">
        <is>
          <t>M</t>
        </is>
      </c>
      <c r="D934" s="2" t="n">
        <v>100</v>
      </c>
      <c r="E934" s="4">
        <f>HYPERLINK("./Results/DLO\20190101_1.3.46.670589.33.1.63684446430085656600001.5512956773004774568_201_512_512_\Osteo_Sarco_1.png","RPT")</f>
        <v/>
      </c>
      <c r="F934" s="3" t="n">
        <v>141</v>
      </c>
      <c r="G934" s="3" t="n">
        <v>5</v>
      </c>
      <c r="H934" s="7" t="n">
        <v>19.59</v>
      </c>
      <c r="I934" s="0" t="inlineStr">
        <is>
          <t>Ingenuity Core 128</t>
        </is>
      </c>
      <c r="J934" s="0" t="inlineStr">
        <is>
          <t>Post 3mm, iDose (3)</t>
        </is>
      </c>
      <c r="K934" t="n">
        <v>175</v>
      </c>
      <c r="L934" t="n">
        <v>60</v>
      </c>
      <c r="M934" t="n">
        <v>44.41</v>
      </c>
    </row>
    <row r="935">
      <c r="A935" s="2" t="n">
        <v>9007728</v>
      </c>
      <c r="B935" s="2" t="n">
        <v>66</v>
      </c>
      <c r="C935" s="2" t="inlineStr">
        <is>
          <t>M</t>
        </is>
      </c>
      <c r="D935" s="2" t="n">
        <v>100</v>
      </c>
      <c r="E935" s="4">
        <f>HYPERLINK("./Results/DLO\20180901_1.3.12.2.1107.5.1.4.54310.30000018091023324887500007106_2_512_512_\Osteo_Sarco_1.png","RPT")</f>
        <v/>
      </c>
      <c r="F935" s="3" t="n">
        <v>140</v>
      </c>
      <c r="G935" s="3" t="n">
        <v>4</v>
      </c>
      <c r="H935" s="6" t="n">
        <v>21.41</v>
      </c>
      <c r="I935" s="0" t="inlineStr">
        <is>
          <t>Sensation 64</t>
        </is>
      </c>
      <c r="J935" s="0" t="inlineStr">
        <is>
          <t>With Contrast 3.0 B30f</t>
        </is>
      </c>
      <c r="K935" t="n">
        <v>169.9</v>
      </c>
      <c r="L935" t="n">
        <v>61.8</v>
      </c>
      <c r="M935" t="n">
        <v>47.11</v>
      </c>
    </row>
    <row r="936">
      <c r="A936" s="2" t="n">
        <v>5020837</v>
      </c>
      <c r="B936" s="2" t="n">
        <v>66</v>
      </c>
      <c r="C936" s="2" t="inlineStr">
        <is>
          <t>M</t>
        </is>
      </c>
      <c r="D936" s="2" t="n">
        <v>100</v>
      </c>
      <c r="E936" s="4">
        <f>HYPERLINK("./Results/DLO\20190901_1.3.12.2.1107.5.1.4.54310.30000019091521212910900016954_8_512_512_\Osteo_Sarco_1.png","RPT")</f>
        <v/>
      </c>
      <c r="F936" s="3" t="n">
        <v>138</v>
      </c>
      <c r="G936" s="3" t="n">
        <v>22</v>
      </c>
      <c r="H936" s="6" t="n">
        <v>26.75</v>
      </c>
      <c r="I936" s="0" t="inlineStr">
        <is>
          <t>Sensation 64</t>
        </is>
      </c>
      <c r="J936" s="0" t="inlineStr">
        <is>
          <t>ABD Contrast 3.0 B30f</t>
        </is>
      </c>
      <c r="K936" t="n">
        <v>174</v>
      </c>
      <c r="L936" t="n">
        <v>81</v>
      </c>
      <c r="M936" t="n">
        <v>38.31</v>
      </c>
    </row>
    <row r="937">
      <c r="A937" s="2" t="n">
        <v>6737408</v>
      </c>
      <c r="B937" s="2" t="n">
        <v>66</v>
      </c>
      <c r="C937" s="2" t="inlineStr">
        <is>
          <t>M</t>
        </is>
      </c>
      <c r="D937" s="2" t="n">
        <v>100</v>
      </c>
      <c r="E937" s="4">
        <f>HYPERLINK("./Results/DLO\20180501_1.3.12.2.1107.5.1.4.54310.30000018052723073112500005456_2_512_512_\Osteo_Sarco_1.png","RPT")</f>
        <v/>
      </c>
      <c r="F937" s="3" t="n">
        <v>137</v>
      </c>
      <c r="G937" s="3" t="n">
        <v>13</v>
      </c>
      <c r="H937" s="6" t="n">
        <v>18.17</v>
      </c>
      <c r="I937" s="0" t="inlineStr">
        <is>
          <t>Sensation 64</t>
        </is>
      </c>
      <c r="J937" s="0" t="inlineStr">
        <is>
          <t>With Contrast 3.0 B30f</t>
        </is>
      </c>
      <c r="K937" t="n">
        <v>164.7</v>
      </c>
      <c r="L937" t="n">
        <v>49.3</v>
      </c>
      <c r="M937" t="n">
        <v>45.71</v>
      </c>
    </row>
    <row r="938">
      <c r="A938" s="2" t="n">
        <v>8423858</v>
      </c>
      <c r="B938" s="2" t="n">
        <v>66</v>
      </c>
      <c r="C938" s="2" t="inlineStr">
        <is>
          <t>M</t>
        </is>
      </c>
      <c r="D938" s="2" t="n">
        <v>100</v>
      </c>
      <c r="E938" s="4">
        <f>HYPERLINK("./Results/DLO\20181101_1.3.12.2.1107.5.1.4.65253.30000018111118325192100023260_2_512_512_\Osteo_Sarco_1.png","RPT")</f>
        <v/>
      </c>
      <c r="F938" s="3" t="n">
        <v>133</v>
      </c>
      <c r="G938" s="3" t="n">
        <v>10</v>
      </c>
      <c r="H938" s="6" t="n">
        <v>20.45</v>
      </c>
      <c r="I938" s="0" t="inlineStr">
        <is>
          <t>SOMATOM Definition AS</t>
        </is>
      </c>
      <c r="J938" s="0" t="inlineStr">
        <is>
          <t>W/O Contrast 2.0 B30f</t>
        </is>
      </c>
      <c r="K938" t="n">
        <v>145</v>
      </c>
      <c r="L938" t="n">
        <v>43</v>
      </c>
      <c r="M938" t="n">
        <v>58.5</v>
      </c>
    </row>
    <row r="939">
      <c r="A939" s="2" t="n">
        <v>9438736</v>
      </c>
      <c r="B939" s="2" t="n">
        <v>66</v>
      </c>
      <c r="C939" s="2" t="inlineStr">
        <is>
          <t>M</t>
        </is>
      </c>
      <c r="D939" s="2" t="n">
        <v>100</v>
      </c>
      <c r="E939" s="4">
        <f>HYPERLINK("./Results/DLO\20191201_1.3.12.2.1107.5.1.4.54310.30000019120421024428100050475_3_512_512_\Osteo_Sarco_1.png","RPT")</f>
        <v/>
      </c>
      <c r="F939" s="3" t="n">
        <v>132</v>
      </c>
      <c r="G939" s="3" t="n">
        <v>9</v>
      </c>
      <c r="H939" s="7" t="n">
        <v>18.78</v>
      </c>
      <c r="I939" s="0" t="inlineStr">
        <is>
          <t>Sensation 64</t>
        </is>
      </c>
      <c r="J939" s="0" t="inlineStr">
        <is>
          <t>Pre Contrast 3.0 B30f</t>
        </is>
      </c>
      <c r="K939" t="n">
        <v>168</v>
      </c>
      <c r="L939" t="n">
        <v>53</v>
      </c>
      <c r="M939" t="n">
        <v>43.58</v>
      </c>
    </row>
    <row r="940">
      <c r="A940" s="2" t="n">
        <v>5630554</v>
      </c>
      <c r="B940" s="2" t="n">
        <v>66</v>
      </c>
      <c r="C940" s="2" t="inlineStr">
        <is>
          <t>M</t>
        </is>
      </c>
      <c r="D940" s="2" t="n">
        <v>100</v>
      </c>
      <c r="E940" s="4">
        <f>HYPERLINK("./Results/DLO\20180801_1.3.46.670589.33.1.63668798435862452700001.5541412081777347536_201_512_512_\Osteo_Sarco_1.png","RPT")</f>
        <v/>
      </c>
      <c r="F940" s="3" t="n">
        <v>126</v>
      </c>
      <c r="G940" s="3" t="n">
        <v>6</v>
      </c>
      <c r="H940" s="7" t="n">
        <v>22.79</v>
      </c>
      <c r="I940" s="0" t="inlineStr">
        <is>
          <t>Ingenuity Core 128</t>
        </is>
      </c>
      <c r="J940" s="0" t="inlineStr">
        <is>
          <t>Pre 100/68 i3, iDose (3)</t>
        </is>
      </c>
      <c r="K940" t="n">
        <v>168.1</v>
      </c>
      <c r="L940" t="n">
        <v>64.40000000000001</v>
      </c>
      <c r="M940" t="n">
        <v>42.47</v>
      </c>
    </row>
    <row r="941">
      <c r="A941" s="2" t="n">
        <v>5730942</v>
      </c>
      <c r="B941" s="2" t="n">
        <v>66</v>
      </c>
      <c r="C941" s="2" t="inlineStr">
        <is>
          <t>M</t>
        </is>
      </c>
      <c r="D941" s="2" t="n">
        <v>100</v>
      </c>
      <c r="E941" s="4">
        <f>HYPERLINK("./Results/DLO\20190101_1.2.840.113619.2.311.7990823656808726515366221352532719773_303_512_512_\Osteo_Sarco_1.png","RPT")</f>
        <v/>
      </c>
      <c r="F941" s="3" t="n">
        <v>124</v>
      </c>
      <c r="G941" s="3" t="n">
        <v>17</v>
      </c>
      <c r="H941" s="7" t="n">
        <v>26.56</v>
      </c>
      <c r="I941" s="0" t="inlineStr">
        <is>
          <t>Revolution CT</t>
        </is>
      </c>
      <c r="J941" s="0" t="inlineStr">
        <is>
          <t>ABD 2.5mm</t>
        </is>
      </c>
      <c r="K941" t="n">
        <v>160</v>
      </c>
      <c r="L941" t="n">
        <v>68</v>
      </c>
      <c r="M941" t="n">
        <v>41.8</v>
      </c>
    </row>
    <row r="942">
      <c r="A942" s="2" t="n">
        <v>6184099</v>
      </c>
      <c r="B942" s="2" t="n">
        <v>66</v>
      </c>
      <c r="C942" s="2" t="inlineStr">
        <is>
          <t>F</t>
        </is>
      </c>
      <c r="D942" s="2" t="n">
        <v>100</v>
      </c>
      <c r="E942" s="4">
        <f>HYPERLINK("./Results/DLO\20190301_1.3.12.2.1107.5.1.4.54310.30000019030723310753100010436_3_512_512_\Osteo_Sarco_1.png","RPT")</f>
        <v/>
      </c>
      <c r="F942" s="3" t="n">
        <v>124</v>
      </c>
      <c r="G942" s="3" t="n">
        <v>10</v>
      </c>
      <c r="H942" s="7" t="n">
        <v>30.85</v>
      </c>
      <c r="I942" s="0" t="inlineStr">
        <is>
          <t>Sensation 64</t>
        </is>
      </c>
      <c r="J942" s="0" t="inlineStr">
        <is>
          <t>Pre Contrast 3.0 B30f</t>
        </is>
      </c>
      <c r="K942" t="n">
        <v>148.8</v>
      </c>
      <c r="L942" t="n">
        <v>68.3</v>
      </c>
      <c r="M942" t="n">
        <v>51.49</v>
      </c>
    </row>
    <row r="943">
      <c r="A943" s="2" t="n">
        <v>8332648</v>
      </c>
      <c r="B943" s="2" t="n">
        <v>66</v>
      </c>
      <c r="C943" s="2" t="inlineStr">
        <is>
          <t>M</t>
        </is>
      </c>
      <c r="D943" s="2" t="n">
        <v>100</v>
      </c>
      <c r="E943" s="4">
        <f>HYPERLINK("./Results/DLO\20180301_1.2.840.113619.2.416.181139148714382962716989907052394024392_2_512_512_\Osteo_Sarco_1.png","RPT")</f>
        <v/>
      </c>
      <c r="F943" s="3" t="n">
        <v>123</v>
      </c>
      <c r="G943" s="3" t="n">
        <v>7</v>
      </c>
      <c r="H943" s="6" t="n">
        <v>22.17</v>
      </c>
      <c r="I943" s="0" t="inlineStr">
        <is>
          <t>Revolution CT</t>
        </is>
      </c>
      <c r="J943" s="0" t="inlineStr">
        <is>
          <t>ABD</t>
        </is>
      </c>
      <c r="K943" t="n">
        <v>160.2</v>
      </c>
      <c r="L943" t="n">
        <v>56.9</v>
      </c>
      <c r="M943" t="n">
        <v>45.2</v>
      </c>
    </row>
    <row r="944">
      <c r="A944" s="2" t="n">
        <v>5024821</v>
      </c>
      <c r="B944" s="2" t="n">
        <v>66</v>
      </c>
      <c r="C944" s="2" t="inlineStr">
        <is>
          <t>F</t>
        </is>
      </c>
      <c r="D944" s="2" t="n">
        <v>100</v>
      </c>
      <c r="E944" s="4">
        <f>HYPERLINK("./Results/DLO\20181201_1.2.840.113619.2.416.165842334552648956713140646092288168656_304_512_512_\Osteo_Sarco_1.png","RPT")</f>
        <v/>
      </c>
      <c r="F944" s="3" t="n">
        <v>123</v>
      </c>
      <c r="G944" s="3" t="n">
        <v>12</v>
      </c>
      <c r="H944" s="7" t="n">
        <v>26.55</v>
      </c>
      <c r="I944" s="0" t="inlineStr">
        <is>
          <t>Revolution CT</t>
        </is>
      </c>
      <c r="J944" s="0" t="inlineStr">
        <is>
          <t>ABD 2.5mm</t>
        </is>
      </c>
      <c r="K944" t="n">
        <v>163.3</v>
      </c>
      <c r="L944" t="n">
        <v>70.8</v>
      </c>
      <c r="M944" t="n">
        <v>41.62</v>
      </c>
    </row>
    <row r="945">
      <c r="A945" s="2" t="n">
        <v>8442223</v>
      </c>
      <c r="B945" s="2" t="n">
        <v>66</v>
      </c>
      <c r="C945" s="2" t="inlineStr">
        <is>
          <t>F</t>
        </is>
      </c>
      <c r="D945" s="2" t="n">
        <v>100</v>
      </c>
      <c r="E945" s="4">
        <f>HYPERLINK("./Results/DLO\20190901_1.3.46.670589.33.1.63704934744198273100001.4899003395628805735_201_512_512_\Osteo_Sarco_1.png","RPT")</f>
        <v/>
      </c>
      <c r="F945" s="3" t="n">
        <v>115</v>
      </c>
      <c r="G945" s="3" t="n">
        <v>16</v>
      </c>
      <c r="H945" s="7" t="n">
        <v>27.19</v>
      </c>
      <c r="I945" s="0" t="inlineStr">
        <is>
          <t>Ingenuity Core 128</t>
        </is>
      </c>
      <c r="J945" s="0" t="inlineStr">
        <is>
          <t>Pre 3mm, iDose (3)</t>
        </is>
      </c>
      <c r="K945" t="n">
        <v>151.6</v>
      </c>
      <c r="L945" t="n">
        <v>62.5</v>
      </c>
      <c r="M945" t="n">
        <v>43.08</v>
      </c>
    </row>
    <row r="946">
      <c r="A946" s="2" t="n">
        <v>8438295</v>
      </c>
      <c r="B946" s="2" t="n">
        <v>66</v>
      </c>
      <c r="C946" s="2" t="inlineStr">
        <is>
          <t>F</t>
        </is>
      </c>
      <c r="D946" s="2" t="n">
        <v>100</v>
      </c>
      <c r="E946" s="4">
        <f>HYPERLINK("./Results/DLO\20190501_1.3.46.670589.33.1.63693427080520215000001.4661263248934935021_601_512_512_\Osteo_Sarco_1.png","RPT")</f>
        <v/>
      </c>
      <c r="F946" s="3" t="n">
        <v>110</v>
      </c>
      <c r="G946" s="3" t="n">
        <v>10</v>
      </c>
      <c r="H946" s="7" t="n">
        <v>24.44</v>
      </c>
      <c r="I946" s="0" t="inlineStr">
        <is>
          <t>Ingenuity Core 128</t>
        </is>
      </c>
      <c r="J946" s="0" t="inlineStr">
        <is>
          <t>Post 3mm, iDose (3)</t>
        </is>
      </c>
      <c r="K946" t="n">
        <v>158</v>
      </c>
      <c r="L946" t="n">
        <v>61</v>
      </c>
      <c r="M946" t="n">
        <v>40.06</v>
      </c>
    </row>
    <row r="947">
      <c r="A947" s="2" t="n">
        <v>5624678</v>
      </c>
      <c r="B947" s="2" t="n">
        <v>66</v>
      </c>
      <c r="C947" s="2" t="inlineStr">
        <is>
          <t>M</t>
        </is>
      </c>
      <c r="D947" s="2" t="n">
        <v>100</v>
      </c>
      <c r="E947" s="4">
        <f>HYPERLINK("./Results/DLO\20180401_1.3.12.2.1107.5.1.4.54310.30000018041023080612500018031_2_512_512_\Osteo_Sarco_1.png","RPT")</f>
        <v/>
      </c>
      <c r="F947" s="3" t="n">
        <v>109</v>
      </c>
      <c r="G947" s="3" t="n">
        <v>7</v>
      </c>
      <c r="H947" s="7" t="n">
        <v>22.23</v>
      </c>
      <c r="I947" s="0" t="inlineStr">
        <is>
          <t>Sensation 64</t>
        </is>
      </c>
      <c r="J947" s="0" t="inlineStr">
        <is>
          <t>With Contrast 3.0 B30f</t>
        </is>
      </c>
      <c r="K947" t="n">
        <v>167</v>
      </c>
      <c r="L947" t="n">
        <v>62</v>
      </c>
      <c r="M947" t="n">
        <v>36.57</v>
      </c>
    </row>
    <row r="948">
      <c r="A948" s="2" t="n">
        <v>5754546</v>
      </c>
      <c r="B948" s="2" t="n">
        <v>66</v>
      </c>
      <c r="C948" s="2" t="inlineStr">
        <is>
          <t>F</t>
        </is>
      </c>
      <c r="D948" s="2" t="n">
        <v>100</v>
      </c>
      <c r="E948" s="4">
        <f>HYPERLINK("./Results/DLO\20181201_1.2.840.113619.2.311.306356239874016523689850994089172424417_2_512_512_\Osteo_Sarco_1.png","RPT")</f>
        <v/>
      </c>
      <c r="F948" s="3" t="n">
        <v>107</v>
      </c>
      <c r="G948" s="3" t="n">
        <v>9</v>
      </c>
      <c r="H948" s="7" t="n">
        <v>24.27</v>
      </c>
      <c r="I948" s="0" t="inlineStr">
        <is>
          <t>Revolution CT</t>
        </is>
      </c>
      <c r="J948" s="0" t="inlineStr">
        <is>
          <t>Pre</t>
        </is>
      </c>
      <c r="K948" t="n">
        <v>151.5</v>
      </c>
      <c r="L948" t="n">
        <v>55.7</v>
      </c>
      <c r="M948" t="n">
        <v>42.7</v>
      </c>
    </row>
    <row r="949">
      <c r="A949" s="2" t="n">
        <v>8382147</v>
      </c>
      <c r="B949" s="2" t="n">
        <v>66</v>
      </c>
      <c r="C949" s="2" t="inlineStr">
        <is>
          <t>F</t>
        </is>
      </c>
      <c r="D949" s="2" t="n">
        <v>100</v>
      </c>
      <c r="E949" s="4">
        <f>HYPERLINK("./Results/DLO\20180801_1.3.12.2.1107.5.1.4.54310.30000018073123323842100005187_2_512_512_\Osteo_Sarco_1.png","RPT")</f>
        <v/>
      </c>
      <c r="F949" s="3" t="n">
        <v>101</v>
      </c>
      <c r="G949" s="3" t="n">
        <v>8</v>
      </c>
      <c r="H949" s="7" t="n">
        <v>26.68</v>
      </c>
      <c r="I949" s="0" t="inlineStr">
        <is>
          <t>Sensation 64</t>
        </is>
      </c>
      <c r="J949" s="0" t="inlineStr">
        <is>
          <t>With Contrast 3.0 B30f</t>
        </is>
      </c>
      <c r="K949" t="n">
        <v>147.5</v>
      </c>
      <c r="L949" t="n">
        <v>58.04</v>
      </c>
      <c r="M949" t="n">
        <v>42.75</v>
      </c>
    </row>
    <row r="950">
      <c r="A950" s="2" t="n">
        <v>5236593</v>
      </c>
      <c r="B950" s="2" t="n">
        <v>67</v>
      </c>
      <c r="C950" s="2" t="inlineStr">
        <is>
          <t>F</t>
        </is>
      </c>
      <c r="D950" s="2" t="n">
        <v>100</v>
      </c>
      <c r="E950" s="4">
        <f>HYPERLINK("./Results/DLO\20180101_1.3.12.2.1107.5.1.4.54310.30000018012423090118700012554_4_512_512_\Osteo_Sarco_1.png","RPT")</f>
        <v/>
      </c>
      <c r="F950" s="3" t="n">
        <v>99</v>
      </c>
      <c r="G950" s="3" t="n">
        <v>8</v>
      </c>
      <c r="H950" s="7" t="n">
        <v>24.12</v>
      </c>
      <c r="I950" s="0" t="inlineStr">
        <is>
          <t>Sensation 64</t>
        </is>
      </c>
      <c r="J950" s="0" t="inlineStr">
        <is>
          <t>With Contrast 3.0 B30f</t>
        </is>
      </c>
      <c r="K950" t="n">
        <v>153.2</v>
      </c>
      <c r="L950" t="n">
        <v>56.6</v>
      </c>
      <c r="M950" t="n">
        <v>38.77</v>
      </c>
    </row>
    <row r="951">
      <c r="A951" s="2" t="n">
        <v>5805773</v>
      </c>
      <c r="B951" s="2" t="n">
        <v>67</v>
      </c>
      <c r="C951" s="2" t="inlineStr">
        <is>
          <t>F</t>
        </is>
      </c>
      <c r="D951" s="2" t="n">
        <v>100</v>
      </c>
      <c r="E951" s="4">
        <f>HYPERLINK("./Results/DLO\20181101_1.2.840.113619.2.311.248521916460164517786700158751471377420_304_512_512_\Osteo_Sarco_1.png","RPT")</f>
        <v/>
      </c>
      <c r="F951" s="3" t="n">
        <v>99</v>
      </c>
      <c r="G951" s="3" t="n">
        <v>8</v>
      </c>
      <c r="H951" s="7" t="n">
        <v>23.88</v>
      </c>
      <c r="I951" s="0" t="inlineStr">
        <is>
          <t>Revolution CT</t>
        </is>
      </c>
      <c r="J951" s="0" t="inlineStr">
        <is>
          <t>ABD 2.5mm</t>
        </is>
      </c>
      <c r="K951" t="n">
        <v>154.9</v>
      </c>
      <c r="L951" t="n">
        <v>57.3</v>
      </c>
      <c r="M951" t="n">
        <v>37.93</v>
      </c>
    </row>
    <row r="952">
      <c r="A952" s="2" t="n">
        <v>5705372</v>
      </c>
      <c r="B952" s="2" t="n">
        <v>67</v>
      </c>
      <c r="C952" s="2" t="inlineStr">
        <is>
          <t>F</t>
        </is>
      </c>
      <c r="D952" s="2" t="n">
        <v>100</v>
      </c>
      <c r="E952" s="4">
        <f>HYPERLINK("./Results/DLO\20180901_1.3.12.2.1107.5.1.4.65253.30000018092821044478800047126_2_512_512_\Osteo_Sarco_1.png","RPT")</f>
        <v/>
      </c>
      <c r="F952" s="3" t="n">
        <v>95</v>
      </c>
      <c r="G952" s="3" t="n">
        <v>7</v>
      </c>
      <c r="H952" s="6" t="n">
        <v>24.47</v>
      </c>
      <c r="I952" s="0" t="inlineStr">
        <is>
          <t>SOMATOM Definition AS</t>
        </is>
      </c>
      <c r="J952" s="0" t="inlineStr">
        <is>
          <t>Pre Contrast 3.0 B30f</t>
        </is>
      </c>
      <c r="K952" t="n">
        <v>150.6</v>
      </c>
      <c r="L952" t="n">
        <v>55.5</v>
      </c>
      <c r="M952" t="n">
        <v>38.8</v>
      </c>
    </row>
    <row r="953">
      <c r="A953" s="2" t="n">
        <v>8892368</v>
      </c>
      <c r="B953" s="2" t="n">
        <v>67</v>
      </c>
      <c r="C953" s="2" t="inlineStr">
        <is>
          <t>F</t>
        </is>
      </c>
      <c r="D953" s="2" t="n">
        <v>100</v>
      </c>
      <c r="E953" s="4">
        <f>HYPERLINK("./Results/DLO\20191201_1.3.12.2.1107.5.1.4.54310.30000019122321055301500059728_2_512_512_\Osteo_Sarco_1.png","RPT")</f>
        <v/>
      </c>
      <c r="F953" s="3" t="n">
        <v>92</v>
      </c>
      <c r="G953" s="3" t="n">
        <v>8</v>
      </c>
      <c r="H953" s="7" t="n">
        <v>25.63</v>
      </c>
      <c r="I953" s="0" t="inlineStr">
        <is>
          <t>Sensation 64</t>
        </is>
      </c>
      <c r="J953" s="0" t="inlineStr">
        <is>
          <t>Pre Contrast 3.0 B30f</t>
        </is>
      </c>
      <c r="K953" t="n">
        <v>146.9</v>
      </c>
      <c r="L953" t="n">
        <v>55.3</v>
      </c>
      <c r="M953" t="n">
        <v>38.93</v>
      </c>
    </row>
    <row r="954">
      <c r="A954" s="2" t="n">
        <v>5890265</v>
      </c>
      <c r="B954" s="2" t="n">
        <v>67</v>
      </c>
      <c r="C954" s="2" t="inlineStr">
        <is>
          <t>F</t>
        </is>
      </c>
      <c r="D954" s="2" t="n">
        <v>100</v>
      </c>
      <c r="E954" s="4">
        <f>HYPERLINK("./Results/DLO\20180501_1.2.840.113619.2.416.115527895837197382365569605534605733254_303_512_512_\Osteo_Sarco_1.png","RPT")</f>
        <v/>
      </c>
      <c r="F954" s="3" t="n">
        <v>91</v>
      </c>
      <c r="G954" s="3" t="n">
        <v>15</v>
      </c>
      <c r="H954" s="7" t="n">
        <v>22.07</v>
      </c>
      <c r="I954" s="0" t="inlineStr">
        <is>
          <t>Revolution CT</t>
        </is>
      </c>
      <c r="J954" s="0" t="inlineStr">
        <is>
          <t>ABD 2.5mm</t>
        </is>
      </c>
      <c r="K954" t="n">
        <v>152</v>
      </c>
      <c r="L954" t="n">
        <v>51</v>
      </c>
      <c r="M954" t="n">
        <v>32.89</v>
      </c>
    </row>
    <row r="955">
      <c r="A955" s="2" t="n">
        <v>8894980</v>
      </c>
      <c r="B955" s="2" t="n">
        <v>67</v>
      </c>
      <c r="C955" s="2" t="inlineStr">
        <is>
          <t>F</t>
        </is>
      </c>
      <c r="D955" s="2" t="n">
        <v>100</v>
      </c>
      <c r="E955" s="4">
        <f>HYPERLINK("./Results/DLO\20200601_1.3.46.670589.33.1.63727379250773662500001.5044675511251100013_201_512_512_\Osteo_Sarco_1.png","RPT")</f>
        <v/>
      </c>
      <c r="F955" s="3" t="n">
        <v>90</v>
      </c>
      <c r="G955" s="3" t="n">
        <v>11</v>
      </c>
      <c r="H955" s="7" t="n">
        <v>22.35</v>
      </c>
      <c r="I955" s="0" t="inlineStr">
        <is>
          <t>Ingenuity Core 128</t>
        </is>
      </c>
      <c r="J955" s="0" t="inlineStr">
        <is>
          <t>Post 3mm, iDose (3)</t>
        </is>
      </c>
      <c r="K955" t="n">
        <v>158.3</v>
      </c>
      <c r="L955" t="n">
        <v>56</v>
      </c>
      <c r="M955" t="n">
        <v>31.53</v>
      </c>
    </row>
    <row r="956">
      <c r="A956" s="2" t="n">
        <v>5305852</v>
      </c>
      <c r="B956" s="2" t="n">
        <v>67</v>
      </c>
      <c r="C956" s="2" t="inlineStr">
        <is>
          <t>F</t>
        </is>
      </c>
      <c r="D956" s="2" t="n">
        <v>100</v>
      </c>
      <c r="E956" s="4">
        <f>HYPERLINK("./Results/DLO\20181201_1.3.12.2.1107.5.1.4.65253.30000018120319331952300018973_2_512_512_\Osteo_Sarco_1.png","RPT")</f>
        <v/>
      </c>
      <c r="F956" s="3" t="n">
        <v>86</v>
      </c>
      <c r="G956" s="3" t="n">
        <v>9</v>
      </c>
      <c r="H956" s="7" t="n">
        <v>16.44</v>
      </c>
      <c r="I956" s="0" t="inlineStr">
        <is>
          <t>SOMATOM Definition AS</t>
        </is>
      </c>
      <c r="J956" s="0" t="inlineStr">
        <is>
          <t>Pre Contrast 3.0 B30f</t>
        </is>
      </c>
      <c r="K956" t="n">
        <v>156</v>
      </c>
      <c r="L956" t="n">
        <v>40</v>
      </c>
      <c r="M956" t="n">
        <v>31.64</v>
      </c>
    </row>
    <row r="957">
      <c r="A957" s="2" t="n">
        <v>9832186</v>
      </c>
      <c r="B957" s="2" t="n">
        <v>67</v>
      </c>
      <c r="C957" s="2" t="inlineStr">
        <is>
          <t>F</t>
        </is>
      </c>
      <c r="D957" s="2" t="n">
        <v>100</v>
      </c>
      <c r="E957" s="4">
        <f>HYPERLINK("./Results/DLO\20191101_1.2.840.113619.2.416.35332897924285766919360998210923878815_310_512_512_\Osteo_Sarco_1.png","RPT")</f>
        <v/>
      </c>
      <c r="F957" s="3" t="n">
        <v>84</v>
      </c>
      <c r="G957" s="3" t="n">
        <v>7</v>
      </c>
      <c r="H957" s="7" t="n">
        <v>26.6</v>
      </c>
      <c r="I957" s="0" t="inlineStr">
        <is>
          <t>Revolution CT</t>
        </is>
      </c>
      <c r="J957" s="0" t="inlineStr">
        <is>
          <t>ABD</t>
        </is>
      </c>
      <c r="K957" t="n">
        <v>149.8</v>
      </c>
      <c r="L957" t="n">
        <v>59.7</v>
      </c>
      <c r="M957" t="n">
        <v>34.31</v>
      </c>
    </row>
    <row r="958">
      <c r="A958" s="2" t="n">
        <v>5823733</v>
      </c>
      <c r="B958" s="2" t="n">
        <v>67</v>
      </c>
      <c r="C958" s="2" t="inlineStr">
        <is>
          <t>M</t>
        </is>
      </c>
      <c r="D958" s="2" t="n">
        <v>100</v>
      </c>
      <c r="E958" s="4">
        <f>HYPERLINK("./Results/DLO\20190401_1.3.46.670589.33.1.63689988101028911700001.4976408416331922324_201_512_512_\Osteo_Sarco_1.png","RPT")</f>
        <v/>
      </c>
      <c r="F958" s="3" t="n">
        <v>177</v>
      </c>
      <c r="G958" s="3" t="n">
        <v>14</v>
      </c>
      <c r="H958" s="6" t="n">
        <v>28.41</v>
      </c>
      <c r="I958" s="0" t="inlineStr">
        <is>
          <t>Ingenuity Core 128</t>
        </is>
      </c>
      <c r="J958" s="0" t="inlineStr">
        <is>
          <t>Pre 3mm, iDose (3)</t>
        </is>
      </c>
      <c r="K958" t="n">
        <v>174</v>
      </c>
      <c r="L958" t="n">
        <v>86</v>
      </c>
      <c r="M958" t="n">
        <v>53.84</v>
      </c>
    </row>
    <row r="959">
      <c r="A959" s="2" t="n">
        <v>5121596</v>
      </c>
      <c r="B959" s="2" t="n">
        <v>67</v>
      </c>
      <c r="C959" s="2" t="inlineStr">
        <is>
          <t>M</t>
        </is>
      </c>
      <c r="D959" s="2" t="n">
        <v>100</v>
      </c>
      <c r="E959" s="4">
        <f>HYPERLINK("./Results/DLO\20180801_1.3.12.2.1107.5.1.4.54310.30000018081923063898400033722_6_512_512_\Osteo_Sarco_1.png","RPT")</f>
        <v/>
      </c>
      <c r="F959" s="3" t="n">
        <v>171</v>
      </c>
      <c r="G959" s="3" t="n">
        <v>20</v>
      </c>
      <c r="H959" s="6" t="n">
        <v>31.12</v>
      </c>
      <c r="I959" s="0" t="inlineStr">
        <is>
          <t>Sensation 64</t>
        </is>
      </c>
      <c r="J959" s="0" t="inlineStr">
        <is>
          <t>2min-delay 3.0 B30f</t>
        </is>
      </c>
      <c r="K959" t="n">
        <v>171</v>
      </c>
      <c r="L959" t="n">
        <v>91</v>
      </c>
      <c r="M959" t="n">
        <v>51.64</v>
      </c>
    </row>
    <row r="960">
      <c r="A960" s="2" t="n">
        <v>8460265</v>
      </c>
      <c r="B960" s="2" t="n">
        <v>67</v>
      </c>
      <c r="C960" s="2" t="inlineStr">
        <is>
          <t>M</t>
        </is>
      </c>
      <c r="D960" s="2" t="n">
        <v>100</v>
      </c>
      <c r="E960" s="4">
        <f>HYPERLINK("./Results/DLO\20190701_1.3.46.670589.33.1.63698524284950858300001.4982583866864898951_701_512_512_\Osteo_Sarco_1.png","RPT")</f>
        <v/>
      </c>
      <c r="F960" s="3" t="n">
        <v>169</v>
      </c>
      <c r="G960" s="3" t="n">
        <v>14</v>
      </c>
      <c r="H960" s="6" t="n">
        <v>25</v>
      </c>
      <c r="I960" s="0" t="inlineStr">
        <is>
          <t>Ingenuity Core 128</t>
        </is>
      </c>
      <c r="J960" s="0" t="inlineStr">
        <is>
          <t>Post 3mm, iDose (3)</t>
        </is>
      </c>
      <c r="K960" t="n">
        <v>174.6</v>
      </c>
      <c r="L960" t="n">
        <v>76.2</v>
      </c>
      <c r="M960" t="n">
        <v>50.84</v>
      </c>
    </row>
    <row r="961">
      <c r="A961" s="2" t="n">
        <v>9823402</v>
      </c>
      <c r="B961" s="2" t="n">
        <v>67</v>
      </c>
      <c r="C961" s="2" t="inlineStr">
        <is>
          <t>M</t>
        </is>
      </c>
      <c r="D961" s="2" t="n">
        <v>100</v>
      </c>
      <c r="E961" s="4">
        <f>HYPERLINK("./Results/DLO\20191201_1.2.840.113619.2.416.105405238692954636322104919181581189496_310_512_512_\Osteo_Sarco_1.png","RPT")</f>
        <v/>
      </c>
      <c r="F961" s="3" t="n">
        <v>159</v>
      </c>
      <c r="G961" s="3" t="n">
        <v>11</v>
      </c>
      <c r="H961" s="6" t="n">
        <v>28.98</v>
      </c>
      <c r="I961" s="0" t="inlineStr">
        <is>
          <t>Revolution CT</t>
        </is>
      </c>
      <c r="J961" s="0" t="inlineStr">
        <is>
          <t>ABD</t>
        </is>
      </c>
      <c r="K961" t="n">
        <v>163</v>
      </c>
      <c r="L961" t="n">
        <v>77</v>
      </c>
      <c r="M961" t="n">
        <v>55.7</v>
      </c>
    </row>
    <row r="962">
      <c r="A962" s="2" t="n">
        <v>5625574</v>
      </c>
      <c r="B962" s="2" t="n">
        <v>67</v>
      </c>
      <c r="C962" s="2" t="inlineStr">
        <is>
          <t>M</t>
        </is>
      </c>
      <c r="D962" s="2" t="n">
        <v>100</v>
      </c>
      <c r="E962" s="4">
        <f>HYPERLINK("./Results/DLO\20190901_1.3.12.2.1107.5.1.4.65253.30000019092020275833200016183_4_512_512_\Osteo_Sarco_1.png","RPT")</f>
        <v/>
      </c>
      <c r="F962" s="3" t="n">
        <v>153</v>
      </c>
      <c r="G962" s="3" t="n">
        <v>10</v>
      </c>
      <c r="H962" s="6" t="n">
        <v>21.15</v>
      </c>
      <c r="I962" s="0" t="inlineStr">
        <is>
          <t>SOMATOM Definition AS</t>
        </is>
      </c>
      <c r="J962" s="0" t="inlineStr">
        <is>
          <t>Arterial Phase 3.0 B30f</t>
        </is>
      </c>
      <c r="K962" t="n">
        <v>171.2</v>
      </c>
      <c r="L962" t="n">
        <v>62</v>
      </c>
      <c r="M962" t="n">
        <v>48.79</v>
      </c>
    </row>
    <row r="963">
      <c r="A963" s="2" t="n">
        <v>5257154</v>
      </c>
      <c r="B963" s="2" t="n">
        <v>67</v>
      </c>
      <c r="C963" s="2" t="inlineStr">
        <is>
          <t>M</t>
        </is>
      </c>
      <c r="D963" s="2" t="n">
        <v>100</v>
      </c>
      <c r="E963" s="4">
        <f>HYPERLINK("./Results/DLO\20180201_1.3.46.670589.33.1.63655060308702963100001.4645436660090006232_601_512_512_\Osteo_Sarco_1.png","RPT")</f>
        <v/>
      </c>
      <c r="F963" s="3" t="n">
        <v>151</v>
      </c>
      <c r="G963" s="3" t="n">
        <v>15</v>
      </c>
      <c r="H963" s="7" t="n">
        <v>22.28</v>
      </c>
      <c r="I963" s="0" t="inlineStr">
        <is>
          <t>Ingenuity Core 128</t>
        </is>
      </c>
      <c r="J963" s="0" t="inlineStr">
        <is>
          <t>Post 100/236 i3, iDose (3)</t>
        </is>
      </c>
      <c r="K963" t="n">
        <v>176</v>
      </c>
      <c r="L963" t="n">
        <v>69</v>
      </c>
      <c r="M963" t="n">
        <v>43.9</v>
      </c>
    </row>
    <row r="964">
      <c r="A964" s="2" t="n">
        <v>9896772</v>
      </c>
      <c r="B964" s="2" t="n">
        <v>67</v>
      </c>
      <c r="C964" s="2" t="inlineStr">
        <is>
          <t>M</t>
        </is>
      </c>
      <c r="D964" s="2" t="n">
        <v>100</v>
      </c>
      <c r="E964" s="4">
        <f>HYPERLINK("./Results/DLO\20200101_1.2.410.100011.172.24.16.221.6371511072592455131.2_2_512_512_\Osteo_Sarco_1.png","RPT")</f>
        <v/>
      </c>
      <c r="F964" s="3" t="n">
        <v>144</v>
      </c>
      <c r="G964" s="3" t="n">
        <v>7</v>
      </c>
      <c r="H964" s="7" t="n">
        <v>24.07</v>
      </c>
      <c r="I964" s="0" t="inlineStr">
        <is>
          <t>Sensation 64</t>
        </is>
      </c>
      <c r="J964" s="0" t="inlineStr">
        <is>
          <t>artery CE 4.0 B40f</t>
        </is>
      </c>
      <c r="K964" t="n">
        <v>166.2</v>
      </c>
      <c r="L964" t="n">
        <v>66.5</v>
      </c>
      <c r="M964" t="n">
        <v>49.6</v>
      </c>
    </row>
    <row r="965">
      <c r="A965" s="2" t="n">
        <v>5028658</v>
      </c>
      <c r="B965" s="2" t="n">
        <v>67</v>
      </c>
      <c r="C965" s="2" t="inlineStr">
        <is>
          <t>M</t>
        </is>
      </c>
      <c r="D965" s="2" t="n">
        <v>100</v>
      </c>
      <c r="E965" s="4">
        <f>HYPERLINK("./Results/DLO\20190401_1.2.840.113619.2.311.175268147669672622420680242319822346968_2_512_512_\Osteo_Sarco_1.png","RPT")</f>
        <v/>
      </c>
      <c r="F965" s="3" t="n">
        <v>143</v>
      </c>
      <c r="G965" s="3" t="n">
        <v>9</v>
      </c>
      <c r="H965" s="6" t="n">
        <v>25.8</v>
      </c>
      <c r="I965" s="0" t="inlineStr">
        <is>
          <t>Revolution CT</t>
        </is>
      </c>
      <c r="J965" s="0" t="inlineStr">
        <is>
          <t>ABD</t>
        </is>
      </c>
      <c r="K965" t="n">
        <v>175</v>
      </c>
      <c r="L965" t="n">
        <v>79</v>
      </c>
      <c r="M965" t="n">
        <v>43.76</v>
      </c>
    </row>
    <row r="966">
      <c r="A966" s="2" t="n">
        <v>5937806</v>
      </c>
      <c r="B966" s="2" t="n">
        <v>67</v>
      </c>
      <c r="C966" s="2" t="inlineStr">
        <is>
          <t>F</t>
        </is>
      </c>
      <c r="D966" s="2" t="n">
        <v>100</v>
      </c>
      <c r="E966" s="4">
        <f>HYPERLINK("./Results/DLO\20180601_1.2.840.113619.2.311.186271800135316577117641152222834887863_304_512_512_\Osteo_Sarco_1.png","RPT")</f>
        <v/>
      </c>
      <c r="F966" s="3" t="n">
        <v>118</v>
      </c>
      <c r="G966" s="3" t="n">
        <v>15</v>
      </c>
      <c r="H966" s="7" t="n">
        <v>25.17</v>
      </c>
      <c r="I966" s="0" t="inlineStr">
        <is>
          <t>Revolution CT</t>
        </is>
      </c>
      <c r="J966" s="0" t="inlineStr">
        <is>
          <t>ABD 2.5mm</t>
        </is>
      </c>
      <c r="K966" t="n">
        <v>153.1</v>
      </c>
      <c r="L966" t="n">
        <v>59</v>
      </c>
      <c r="M966" t="n">
        <v>43.94</v>
      </c>
    </row>
    <row r="967">
      <c r="A967" s="2" t="n">
        <v>5484235</v>
      </c>
      <c r="B967" s="2" t="n">
        <v>67</v>
      </c>
      <c r="C967" s="2" t="inlineStr">
        <is>
          <t>F</t>
        </is>
      </c>
      <c r="D967" s="2" t="n">
        <v>100</v>
      </c>
      <c r="E967" s="4">
        <f>HYPERLINK("./Results/DLO\20181201_1.3.46.670589.33.1.63681500115693411800001.4948518002026561601_201_512_512_\Osteo_Sarco_1.png","RPT")</f>
        <v/>
      </c>
      <c r="F967" s="3" t="n">
        <v>118</v>
      </c>
      <c r="G967" s="3" t="n">
        <v>15</v>
      </c>
      <c r="H967" s="7" t="n">
        <v>28.7</v>
      </c>
      <c r="I967" s="0" t="inlineStr">
        <is>
          <t>Ingenuity Core 128</t>
        </is>
      </c>
      <c r="J967" s="0" t="inlineStr">
        <is>
          <t>Post 3mm, iDose (3)</t>
        </is>
      </c>
      <c r="K967" t="n">
        <v>152.8</v>
      </c>
      <c r="L967" t="n">
        <v>67</v>
      </c>
      <c r="M967" t="n">
        <v>44.12</v>
      </c>
    </row>
    <row r="968">
      <c r="A968" s="2" t="n">
        <v>8674312</v>
      </c>
      <c r="B968" s="2" t="n">
        <v>67</v>
      </c>
      <c r="C968" s="2" t="inlineStr">
        <is>
          <t>F</t>
        </is>
      </c>
      <c r="D968" s="2" t="n">
        <v>100</v>
      </c>
      <c r="E968" s="4">
        <f>HYPERLINK("./Results/DLO\20200601_1.3.46.670589.33.1.63727912993715746900001.5065267205341911971_201_512_512_\Osteo_Sarco_1.png","RPT")</f>
        <v/>
      </c>
      <c r="F968" s="3" t="n">
        <v>118</v>
      </c>
      <c r="G968" s="3" t="n">
        <v>18</v>
      </c>
      <c r="H968" s="6" t="n">
        <v>30.09</v>
      </c>
      <c r="I968" s="0" t="inlineStr">
        <is>
          <t>Ingenuity Core 128</t>
        </is>
      </c>
      <c r="J968" s="0" t="inlineStr">
        <is>
          <t>Post 3mm, iDose (3)</t>
        </is>
      </c>
      <c r="K968" t="n">
        <v>161</v>
      </c>
      <c r="L968" t="n">
        <v>78</v>
      </c>
      <c r="M968" t="n">
        <v>38.58</v>
      </c>
    </row>
    <row r="969">
      <c r="A969" s="2" t="n">
        <v>6089611</v>
      </c>
      <c r="B969" s="2" t="n">
        <v>67</v>
      </c>
      <c r="C969" s="2" t="inlineStr">
        <is>
          <t>M</t>
        </is>
      </c>
      <c r="D969" s="2" t="n">
        <v>100</v>
      </c>
      <c r="E969" s="4">
        <f>HYPERLINK("./Results/DLO\20190101_1.3.46.670589.33.1.63683402715518691100001.5163604264464282391_201_512_512_\Osteo_Sarco_1.png","RPT")</f>
        <v/>
      </c>
      <c r="F969" s="3" t="n">
        <v>117</v>
      </c>
      <c r="G969" s="3" t="n">
        <v>9</v>
      </c>
      <c r="H969" s="6" t="n">
        <v>22.13</v>
      </c>
      <c r="I969" s="0" t="inlineStr">
        <is>
          <t>Ingenuity Core 128</t>
        </is>
      </c>
      <c r="J969" s="0" t="inlineStr">
        <is>
          <t>Pre 3mm, iDose (4)</t>
        </is>
      </c>
      <c r="K969" t="n">
        <v>174</v>
      </c>
      <c r="L969" t="n">
        <v>67</v>
      </c>
      <c r="M969" t="n">
        <v>35.67</v>
      </c>
    </row>
    <row r="970">
      <c r="A970" s="2" t="n">
        <v>6074632</v>
      </c>
      <c r="B970" s="2" t="n">
        <v>67</v>
      </c>
      <c r="C970" s="2" t="inlineStr">
        <is>
          <t>F</t>
        </is>
      </c>
      <c r="D970" s="2" t="n">
        <v>100</v>
      </c>
      <c r="E970" s="4">
        <f>HYPERLINK("./Results/DLO\20180601_1.3.12.2.1107.5.1.4.54310.30000018062123413862500001989_2_512_512_\Osteo_Sarco_1.png","RPT")</f>
        <v/>
      </c>
      <c r="F970" s="3" t="n">
        <v>115</v>
      </c>
      <c r="G970" s="3" t="n">
        <v>7</v>
      </c>
      <c r="H970" s="6" t="n">
        <v>26.91</v>
      </c>
      <c r="I970" s="0" t="inlineStr">
        <is>
          <t>Sensation 64</t>
        </is>
      </c>
      <c r="J970" s="0" t="inlineStr">
        <is>
          <t>With Contrast 3.0 B30f</t>
        </is>
      </c>
      <c r="K970" t="n">
        <v>148</v>
      </c>
      <c r="L970" t="n">
        <v>58.95</v>
      </c>
      <c r="M970" t="n">
        <v>49.31</v>
      </c>
    </row>
    <row r="971">
      <c r="A971" s="2" t="n">
        <v>8621411</v>
      </c>
      <c r="B971" s="2" t="n">
        <v>67</v>
      </c>
      <c r="C971" s="2" t="inlineStr">
        <is>
          <t>F</t>
        </is>
      </c>
      <c r="D971" s="2" t="n">
        <v>100</v>
      </c>
      <c r="E971" s="4">
        <f>HYPERLINK("./Results/DLO\20180301_1.2.840.113619.2.94.485650834948.2.8688613.18759005.1_2_512_512_\Osteo_Sarco_1.png","RPT")</f>
        <v/>
      </c>
      <c r="F971" s="3" t="n">
        <v>106</v>
      </c>
      <c r="G971" s="3" t="n">
        <v>11</v>
      </c>
      <c r="H971" s="6" t="n">
        <v>30.46</v>
      </c>
      <c r="I971" s="0" t="inlineStr">
        <is>
          <t>Sensation 64</t>
        </is>
      </c>
      <c r="J971" s="0" t="inlineStr">
        <is>
          <t>With Contrast 3.0 B30f</t>
        </is>
      </c>
      <c r="K971" t="n">
        <v>145.4</v>
      </c>
      <c r="L971" t="n">
        <v>64.40000000000001</v>
      </c>
      <c r="M971" t="n">
        <v>44.94</v>
      </c>
    </row>
    <row r="972">
      <c r="A972" s="2" t="n">
        <v>1107944</v>
      </c>
      <c r="B972" s="2" t="n">
        <v>67</v>
      </c>
      <c r="C972" s="2" t="inlineStr">
        <is>
          <t>F</t>
        </is>
      </c>
      <c r="D972" s="2" t="n">
        <v>100</v>
      </c>
      <c r="E972" s="4">
        <f>HYPERLINK("./Results/DLO\20190201_1.3.46.670589.33.1.63686769815561759700001.5473070092519277682_201_512_512_\Osteo_Sarco_1.png","RPT")</f>
        <v/>
      </c>
      <c r="F972" s="3" t="n">
        <v>104</v>
      </c>
      <c r="G972" s="3" t="n">
        <v>5</v>
      </c>
      <c r="H972" s="7" t="n">
        <v>17.15</v>
      </c>
      <c r="I972" s="0" t="inlineStr">
        <is>
          <t>Ingenuity Core 128</t>
        </is>
      </c>
      <c r="J972" s="0" t="inlineStr">
        <is>
          <t>Post 3mm, iDose (3)</t>
        </is>
      </c>
      <c r="K972" t="n">
        <v>162</v>
      </c>
      <c r="L972" t="n">
        <v>45</v>
      </c>
      <c r="M972" t="n">
        <v>37.72</v>
      </c>
    </row>
    <row r="973">
      <c r="A973" s="2" t="n">
        <v>5772707</v>
      </c>
      <c r="B973" s="2" t="n">
        <v>67</v>
      </c>
      <c r="C973" s="2" t="inlineStr">
        <is>
          <t>F</t>
        </is>
      </c>
      <c r="D973" s="2" t="n">
        <v>100</v>
      </c>
      <c r="E973" s="4">
        <f>HYPERLINK("./Results/DLO\20191001_1.3.12.2.1107.5.1.4.54310.30000019100721194125000024518_7_512_512_\Osteo_Sarco_1.png","RPT")</f>
        <v/>
      </c>
      <c r="F973" s="3" t="n">
        <v>100</v>
      </c>
      <c r="G973" s="3" t="n">
        <v>9</v>
      </c>
      <c r="H973" s="7" t="n">
        <v>24.26</v>
      </c>
      <c r="I973" s="0" t="inlineStr">
        <is>
          <t>Sensation 64</t>
        </is>
      </c>
      <c r="J973" s="0" t="inlineStr">
        <is>
          <t>ABD Contrast 3.0 B30f</t>
        </is>
      </c>
      <c r="K973" t="n">
        <v>153</v>
      </c>
      <c r="L973" t="n">
        <v>56.8</v>
      </c>
      <c r="M973" t="n">
        <v>38.87</v>
      </c>
    </row>
    <row r="974">
      <c r="A974" s="2" t="n">
        <v>9619353</v>
      </c>
      <c r="B974" s="2" t="n">
        <v>68</v>
      </c>
      <c r="C974" s="2" t="inlineStr">
        <is>
          <t>F</t>
        </is>
      </c>
      <c r="D974" s="2" t="n">
        <v>100</v>
      </c>
      <c r="E974" s="4">
        <f>HYPERLINK("./Results/DLO\20190401_1.3.12.2.1107.5.1.4.54310.30000019042123324396800044998_2_512_512_\Osteo_Sarco_1.png","RPT")</f>
        <v/>
      </c>
      <c r="F974" s="3" t="n">
        <v>96</v>
      </c>
      <c r="G974" s="3" t="n">
        <v>17</v>
      </c>
      <c r="H974" s="7" t="n">
        <v>23.22</v>
      </c>
      <c r="I974" s="0" t="inlineStr">
        <is>
          <t>Sensation 64</t>
        </is>
      </c>
      <c r="J974" s="0" t="inlineStr">
        <is>
          <t>80sec Delay 3.0 B30f</t>
        </is>
      </c>
      <c r="K974" t="n">
        <v>153.9</v>
      </c>
      <c r="L974" t="n">
        <v>55</v>
      </c>
      <c r="M974" t="n">
        <v>33.35</v>
      </c>
    </row>
    <row r="975">
      <c r="A975" s="2" t="n">
        <v>6031874</v>
      </c>
      <c r="B975" s="2" t="n">
        <v>68</v>
      </c>
      <c r="C975" s="2" t="inlineStr">
        <is>
          <t>F</t>
        </is>
      </c>
      <c r="D975" s="2" t="n">
        <v>100</v>
      </c>
      <c r="E975" s="4">
        <f>HYPERLINK("./Results/DLO\20180301_1.3.12.2.1107.5.1.4.54310.30000018030823112768700000667_2_512_512_\Osteo_Sarco_1.png","RPT")</f>
        <v/>
      </c>
      <c r="F975" s="3" t="n">
        <v>95</v>
      </c>
      <c r="G975" s="3" t="n">
        <v>7</v>
      </c>
      <c r="H975" s="7" t="n">
        <v>25.55</v>
      </c>
      <c r="I975" s="0" t="inlineStr">
        <is>
          <t>Sensation 64</t>
        </is>
      </c>
      <c r="J975" s="0" t="inlineStr">
        <is>
          <t>Pre Contrast 3.0 B30f</t>
        </is>
      </c>
      <c r="K975" t="n">
        <v>157.9</v>
      </c>
      <c r="L975" t="n">
        <v>63.7</v>
      </c>
      <c r="M975" t="n">
        <v>35.3</v>
      </c>
    </row>
    <row r="976">
      <c r="A976" s="2" t="n">
        <v>864318</v>
      </c>
      <c r="B976" s="2" t="n">
        <v>68</v>
      </c>
      <c r="C976" s="2" t="inlineStr">
        <is>
          <t>F</t>
        </is>
      </c>
      <c r="D976" s="2" t="n">
        <v>100</v>
      </c>
      <c r="E976" s="4">
        <f>HYPERLINK("./Results/DLO\20180101_1.3.12.2.1107.5.1.4.54310.30000018012523071743700028954_3_512_512_\Osteo_Sarco_1.png","RPT")</f>
        <v/>
      </c>
      <c r="F976" s="3" t="n">
        <v>93</v>
      </c>
      <c r="G976" s="3" t="n">
        <v>11</v>
      </c>
      <c r="H976" s="6" t="n">
        <v>24.61</v>
      </c>
      <c r="I976" s="0" t="inlineStr">
        <is>
          <t>Sensation 64</t>
        </is>
      </c>
      <c r="J976" s="0" t="inlineStr">
        <is>
          <t>Pre Contrast 3.0 B30f</t>
        </is>
      </c>
      <c r="K976" t="n">
        <v>148.8</v>
      </c>
      <c r="L976" t="n">
        <v>54.5</v>
      </c>
      <c r="M976" t="n">
        <v>37.03</v>
      </c>
    </row>
    <row r="977">
      <c r="A977" s="2" t="n">
        <v>8302038</v>
      </c>
      <c r="B977" s="2" t="n">
        <v>68</v>
      </c>
      <c r="C977" s="2" t="inlineStr">
        <is>
          <t>F</t>
        </is>
      </c>
      <c r="D977" s="2" t="n">
        <v>100</v>
      </c>
      <c r="E977" s="4">
        <f>HYPERLINK("./Results/DLO\20190801_1.2.840.113619.2.416.133650994262866721105960865692291052031_310_512_512_\Osteo_Sarco_1.png","RPT")</f>
        <v/>
      </c>
      <c r="F977" s="3" t="n">
        <v>53</v>
      </c>
      <c r="G977" s="3" t="n">
        <v>3</v>
      </c>
      <c r="H977" s="6" t="n">
        <v>28</v>
      </c>
      <c r="I977" s="0" t="inlineStr">
        <is>
          <t>Revolution CT</t>
        </is>
      </c>
      <c r="J977" s="0" t="inlineStr">
        <is>
          <t>ABD</t>
        </is>
      </c>
      <c r="K977" t="n">
        <v>164</v>
      </c>
      <c r="L977" t="n">
        <v>75.3</v>
      </c>
      <c r="M977" t="n">
        <v>18.59</v>
      </c>
    </row>
    <row r="978">
      <c r="A978" s="2" t="n">
        <v>1016097</v>
      </c>
      <c r="B978" s="2" t="n">
        <v>68</v>
      </c>
      <c r="C978" s="2" t="inlineStr">
        <is>
          <t>F</t>
        </is>
      </c>
      <c r="D978" s="2" t="n">
        <v>100</v>
      </c>
      <c r="E978" s="4">
        <f>HYPERLINK("./Results/DLO\20181001_1.3.12.2.1107.5.1.4.65253.30000018101713372436400044307_2_512_512_\Osteo_Sarco_1.png","RPT")</f>
        <v/>
      </c>
      <c r="F978" s="3" t="n">
        <v>81</v>
      </c>
      <c r="G978" s="3" t="n">
        <v>13</v>
      </c>
      <c r="H978" s="6" t="n">
        <v>25.33</v>
      </c>
      <c r="I978" s="0" t="inlineStr">
        <is>
          <t>SOMATOM Definition AS</t>
        </is>
      </c>
      <c r="J978" s="0" t="inlineStr">
        <is>
          <t>Pre Contrast 3.0 B30f</t>
        </is>
      </c>
      <c r="K978" t="n">
        <v>145.6</v>
      </c>
      <c r="L978" t="n">
        <v>53.7</v>
      </c>
      <c r="M978" t="n">
        <v>32.08</v>
      </c>
    </row>
    <row r="979">
      <c r="A979" s="2" t="n">
        <v>5168281</v>
      </c>
      <c r="B979" s="2" t="n">
        <v>68</v>
      </c>
      <c r="C979" s="2" t="inlineStr">
        <is>
          <t>F</t>
        </is>
      </c>
      <c r="D979" s="2" t="n">
        <v>100</v>
      </c>
      <c r="E979" s="4">
        <f>HYPERLINK("./Results/DLO\20180301_1.3.12.2.1107.5.1.4.54310.30000018030123102523400022446_3_512_512_\Osteo_Sarco_1.png","RPT")</f>
        <v/>
      </c>
      <c r="F979" s="3" t="n">
        <v>79</v>
      </c>
      <c r="G979" s="3" t="n">
        <v>11</v>
      </c>
      <c r="H979" s="7" t="n">
        <v>23.01</v>
      </c>
      <c r="I979" s="0" t="inlineStr">
        <is>
          <t>Sensation 64</t>
        </is>
      </c>
      <c r="J979" s="0" t="inlineStr">
        <is>
          <t>Pre Contrast 3.0 B30f</t>
        </is>
      </c>
      <c r="K979" t="n">
        <v>149.3</v>
      </c>
      <c r="L979" t="n">
        <v>51.3</v>
      </c>
      <c r="M979" t="n">
        <v>30.51</v>
      </c>
    </row>
    <row r="980">
      <c r="A980" s="2" t="n">
        <v>5571395</v>
      </c>
      <c r="B980" s="2" t="n">
        <v>68</v>
      </c>
      <c r="C980" s="2" t="inlineStr">
        <is>
          <t>F</t>
        </is>
      </c>
      <c r="D980" s="2" t="n">
        <v>100</v>
      </c>
      <c r="E980" s="4">
        <f>HYPERLINK("./Results/DLO\20181201_1.3.12.2.1107.5.1.4.65253.30000018120919480151100050130_2_512_512_\Osteo_Sarco_1.png","RPT")</f>
        <v/>
      </c>
      <c r="F980" s="3" t="n">
        <v>72</v>
      </c>
      <c r="G980" s="3" t="n">
        <v>8</v>
      </c>
      <c r="H980" s="7" t="n">
        <v>22.36</v>
      </c>
      <c r="I980" s="0" t="inlineStr">
        <is>
          <t>SOMATOM Definition AS</t>
        </is>
      </c>
      <c r="J980" s="0" t="inlineStr">
        <is>
          <t>W/O Contrast 3.0 B30f</t>
        </is>
      </c>
      <c r="K980" t="n">
        <v>158.1</v>
      </c>
      <c r="L980" t="n">
        <v>55.9</v>
      </c>
      <c r="M980" t="n">
        <v>25.6</v>
      </c>
    </row>
    <row r="981">
      <c r="A981" s="2" t="n">
        <v>5688780</v>
      </c>
      <c r="B981" s="2" t="n">
        <v>68</v>
      </c>
      <c r="C981" s="2" t="inlineStr">
        <is>
          <t>F</t>
        </is>
      </c>
      <c r="D981" s="2" t="n">
        <v>100</v>
      </c>
      <c r="E981" s="4">
        <f>HYPERLINK("./Results/DLO\20180601_1.2.410.100011.172.16.64.21.6371156806915472033.3_3_512_512_\Osteo_Sarco_1.png","RPT")</f>
        <v/>
      </c>
      <c r="F981" s="3" t="n">
        <v>69</v>
      </c>
      <c r="G981" s="3" t="n">
        <v>5</v>
      </c>
      <c r="H981" s="7" t="n">
        <v>15.62</v>
      </c>
      <c r="I981" s="0" t="inlineStr">
        <is>
          <t>LightSpeed VCT</t>
        </is>
      </c>
      <c r="J981" s="0" t="inlineStr">
        <is>
          <t>Portal</t>
        </is>
      </c>
      <c r="K981" t="n">
        <v>158</v>
      </c>
      <c r="L981" t="n">
        <v>39</v>
      </c>
      <c r="M981" t="n">
        <v>25.64</v>
      </c>
    </row>
    <row r="982">
      <c r="A982" s="2" t="n">
        <v>3199464</v>
      </c>
      <c r="B982" s="2" t="n">
        <v>68</v>
      </c>
      <c r="C982" s="2" t="inlineStr">
        <is>
          <t>M</t>
        </is>
      </c>
      <c r="D982" s="2" t="n">
        <v>100</v>
      </c>
      <c r="E982" s="4">
        <f>HYPERLINK("./Results/DLO\20190801_1.3.12.2.1107.5.1.4.54310.30000019081922300476500041829_5_512_512_\Osteo_Sarco_1.png","RPT")</f>
        <v/>
      </c>
      <c r="F982" s="3" t="n">
        <v>182</v>
      </c>
      <c r="G982" s="3" t="n">
        <v>4</v>
      </c>
      <c r="H982" s="6" t="n">
        <v>27.82</v>
      </c>
      <c r="I982" s="0" t="inlineStr">
        <is>
          <t>Sensation 64</t>
        </is>
      </c>
      <c r="J982" s="0" t="inlineStr">
        <is>
          <t>Arterial 3.0 B30f</t>
        </is>
      </c>
      <c r="K982" t="n">
        <v>159.3</v>
      </c>
      <c r="L982" t="n">
        <v>70.59999999999999</v>
      </c>
      <c r="M982" t="n">
        <v>70.14</v>
      </c>
    </row>
    <row r="983">
      <c r="A983" s="2" t="n">
        <v>8307310</v>
      </c>
      <c r="B983" s="2" t="n">
        <v>68</v>
      </c>
      <c r="C983" s="2" t="inlineStr">
        <is>
          <t>M</t>
        </is>
      </c>
      <c r="D983" s="2" t="n">
        <v>100</v>
      </c>
      <c r="E983" s="4">
        <f>HYPERLINK("./Results/DLO\20190301_1.3.46.670589.33.1.63688504523540847500001.4940562107571100627_201_512_512_\Osteo_Sarco_1.png","RPT")</f>
        <v/>
      </c>
      <c r="F983" s="3" t="n">
        <v>180</v>
      </c>
      <c r="G983" s="3" t="n">
        <v>10</v>
      </c>
      <c r="H983" s="7" t="n">
        <v>26.81</v>
      </c>
      <c r="I983" s="0" t="inlineStr">
        <is>
          <t>Ingenuity Core 128</t>
        </is>
      </c>
      <c r="J983" s="0" t="inlineStr">
        <is>
          <t>Post 3mm, iDose (3)</t>
        </is>
      </c>
      <c r="K983" t="n">
        <v>165</v>
      </c>
      <c r="L983" t="n">
        <v>73</v>
      </c>
      <c r="M983" t="n">
        <v>62.44</v>
      </c>
    </row>
    <row r="984">
      <c r="A984" s="2" t="n">
        <v>430440</v>
      </c>
      <c r="B984" s="2" t="n">
        <v>68</v>
      </c>
      <c r="C984" s="2" t="inlineStr">
        <is>
          <t>M</t>
        </is>
      </c>
      <c r="D984" s="2" t="n">
        <v>100</v>
      </c>
      <c r="E984" s="4">
        <f>HYPERLINK("./Results/DLO\20181101_1.3.12.2.1107.5.1.4.54310.30000018110823203071800002292_2_512_512_\Osteo_Sarco_1.png","RPT")</f>
        <v/>
      </c>
      <c r="F984" s="3" t="n">
        <v>154</v>
      </c>
      <c r="G984" s="3" t="n">
        <v>9</v>
      </c>
      <c r="H984" s="6" t="n">
        <v>22.5</v>
      </c>
      <c r="I984" s="0" t="inlineStr">
        <is>
          <t>Sensation 64</t>
        </is>
      </c>
      <c r="J984" s="0" t="inlineStr">
        <is>
          <t>With Contrast 3.0 B30f</t>
        </is>
      </c>
      <c r="K984" t="n">
        <v>171.4</v>
      </c>
      <c r="L984" t="n">
        <v>66.09999999999999</v>
      </c>
      <c r="M984" t="n">
        <v>49.36</v>
      </c>
    </row>
    <row r="985">
      <c r="A985" s="2" t="n">
        <v>5076709</v>
      </c>
      <c r="B985" s="2" t="n">
        <v>68</v>
      </c>
      <c r="C985" s="2" t="inlineStr">
        <is>
          <t>M</t>
        </is>
      </c>
      <c r="D985" s="2" t="n">
        <v>100</v>
      </c>
      <c r="E985" s="4">
        <f>HYPERLINK("./Results/DLO\20190901_1.3.12.2.1107.5.1.4.54310.30000019092421123476500046252_2_512_512_\Osteo_Sarco_1.png","RPT")</f>
        <v/>
      </c>
      <c r="F985" s="3" t="n">
        <v>145</v>
      </c>
      <c r="G985" s="3" t="n">
        <v>5</v>
      </c>
      <c r="H985" s="7" t="n">
        <v>20.37</v>
      </c>
      <c r="I985" s="0" t="inlineStr">
        <is>
          <t>Sensation 64</t>
        </is>
      </c>
      <c r="J985" s="0" t="inlineStr">
        <is>
          <t>Pre Contrast 3.0 B30f</t>
        </is>
      </c>
      <c r="K985" t="n">
        <v>168</v>
      </c>
      <c r="L985" t="n">
        <v>57.5</v>
      </c>
      <c r="M985" t="n">
        <v>49.6</v>
      </c>
    </row>
    <row r="986">
      <c r="A986" s="2" t="n">
        <v>8654236</v>
      </c>
      <c r="B986" s="2" t="n">
        <v>68</v>
      </c>
      <c r="C986" s="2" t="inlineStr">
        <is>
          <t>M</t>
        </is>
      </c>
      <c r="D986" s="2" t="n">
        <v>100</v>
      </c>
      <c r="E986" s="4">
        <f>HYPERLINK("./Results/DLO\20180501_1.2.840.113619.2.311.290502022480652180958928734265916203839_303_512_512_\Osteo_Sarco_1.png","RPT")</f>
        <v/>
      </c>
      <c r="F986" s="3" t="n">
        <v>144</v>
      </c>
      <c r="G986" s="3" t="n">
        <v>11</v>
      </c>
      <c r="H986" s="7" t="n">
        <v>24.01</v>
      </c>
      <c r="I986" s="0" t="inlineStr">
        <is>
          <t>Revolution CT</t>
        </is>
      </c>
      <c r="J986" s="0" t="inlineStr">
        <is>
          <t>ABD 2.5mm</t>
        </is>
      </c>
      <c r="K986" t="n">
        <v>164.9</v>
      </c>
      <c r="L986" t="n">
        <v>65.3</v>
      </c>
      <c r="M986" t="n">
        <v>48.91</v>
      </c>
    </row>
    <row r="987">
      <c r="A987" s="2" t="n">
        <v>1449355</v>
      </c>
      <c r="B987" s="2" t="n">
        <v>68</v>
      </c>
      <c r="C987" s="2" t="inlineStr">
        <is>
          <t>M</t>
        </is>
      </c>
      <c r="D987" s="2" t="n">
        <v>100</v>
      </c>
      <c r="E987" s="4">
        <f>HYPERLINK("./Results/DLO\20190601_1.3.46.670589.33.1.63696445817456110300001.4833599006298978964_201_512_512_\Osteo_Sarco_1.png","RPT")</f>
        <v/>
      </c>
      <c r="F987" s="3" t="n">
        <v>142</v>
      </c>
      <c r="G987" s="3" t="n">
        <v>5</v>
      </c>
      <c r="H987" s="7" t="n">
        <v>25.69</v>
      </c>
      <c r="I987" s="0" t="inlineStr">
        <is>
          <t>Ingenuity Core 128</t>
        </is>
      </c>
      <c r="J987" s="0" t="inlineStr">
        <is>
          <t>Pre 3mm, iDose (4)</t>
        </is>
      </c>
      <c r="K987" t="n">
        <v>164</v>
      </c>
      <c r="L987" t="n">
        <v>69.09999999999999</v>
      </c>
      <c r="M987" t="n">
        <v>50.94</v>
      </c>
    </row>
    <row r="988">
      <c r="A988" s="2" t="n">
        <v>5660595</v>
      </c>
      <c r="B988" s="2" t="n">
        <v>68</v>
      </c>
      <c r="C988" s="2" t="inlineStr">
        <is>
          <t>M</t>
        </is>
      </c>
      <c r="D988" s="2" t="n">
        <v>100</v>
      </c>
      <c r="E988" s="4">
        <f>HYPERLINK("./Results/DLO\20190101_1.3.46.670589.33.1.63683668571173651000001.4801454442323783550_201_512_512_\Osteo_Sarco_1.png","RPT")</f>
        <v/>
      </c>
      <c r="F988" s="3" t="n">
        <v>139</v>
      </c>
      <c r="G988" s="3" t="n">
        <v>7</v>
      </c>
      <c r="H988" s="7" t="n">
        <v>23.38</v>
      </c>
      <c r="I988" s="0" t="inlineStr">
        <is>
          <t>Ingenuity Core 128</t>
        </is>
      </c>
      <c r="J988" s="0" t="inlineStr">
        <is>
          <t>Post 3mm, iDose (3)</t>
        </is>
      </c>
      <c r="K988" t="n">
        <v>168</v>
      </c>
      <c r="L988" t="n">
        <v>66</v>
      </c>
      <c r="M988" t="n">
        <v>46.77</v>
      </c>
    </row>
    <row r="989">
      <c r="A989" s="2" t="n">
        <v>9010931</v>
      </c>
      <c r="B989" s="2" t="n">
        <v>68</v>
      </c>
      <c r="C989" s="2" t="inlineStr">
        <is>
          <t>M</t>
        </is>
      </c>
      <c r="D989" s="2" t="n">
        <v>100</v>
      </c>
      <c r="E989" s="4">
        <f>HYPERLINK("./Results/DLO\20180601_1.3.12.2.1107.5.1.4.54310.30000018062723123140600035520_3_512_512_\Osteo_Sarco_1.png","RPT")</f>
        <v/>
      </c>
      <c r="F989" s="3" t="n">
        <v>133</v>
      </c>
      <c r="G989" s="3" t="n">
        <v>4</v>
      </c>
      <c r="H989" s="6" t="n">
        <v>20.06</v>
      </c>
      <c r="I989" s="0" t="inlineStr">
        <is>
          <t>Sensation 64</t>
        </is>
      </c>
      <c r="J989" s="0" t="inlineStr">
        <is>
          <t>Pre Contrast 3.0 B30f</t>
        </is>
      </c>
      <c r="K989" t="n">
        <v>166.8</v>
      </c>
      <c r="L989" t="n">
        <v>55.8</v>
      </c>
      <c r="M989" t="n">
        <v>46.37</v>
      </c>
    </row>
    <row r="990">
      <c r="A990" s="2" t="n">
        <v>4531938</v>
      </c>
      <c r="B990" s="2" t="n">
        <v>68</v>
      </c>
      <c r="C990" s="2" t="inlineStr">
        <is>
          <t>M</t>
        </is>
      </c>
      <c r="D990" s="2" t="n">
        <v>100</v>
      </c>
      <c r="E990" s="4">
        <f>HYPERLINK("./Results/DLO\20190901_1.2.840.113619.2.416.52194869075334542942366129792907591526_302_512_512_\Osteo_Sarco_1.png","RPT")</f>
        <v/>
      </c>
      <c r="F990" s="3" t="n">
        <v>132</v>
      </c>
      <c r="G990" s="3" t="n">
        <v>8</v>
      </c>
      <c r="H990" s="7" t="n">
        <v>24.43</v>
      </c>
      <c r="I990" s="0" t="inlineStr">
        <is>
          <t>Revolution CT</t>
        </is>
      </c>
      <c r="J990" s="0" t="inlineStr">
        <is>
          <t>ABD</t>
        </is>
      </c>
      <c r="K990" t="n">
        <v>165</v>
      </c>
      <c r="L990" t="n">
        <v>66.5</v>
      </c>
      <c r="M990" t="n">
        <v>45.55</v>
      </c>
    </row>
    <row r="991">
      <c r="A991" s="2" t="n">
        <v>6737744</v>
      </c>
      <c r="B991" s="2" t="n">
        <v>68</v>
      </c>
      <c r="C991" s="2" t="inlineStr">
        <is>
          <t>M</t>
        </is>
      </c>
      <c r="D991" s="2" t="n">
        <v>100</v>
      </c>
      <c r="E991" s="4">
        <f>HYPERLINK("./Results/DLO\20190401_1.2.840.113619.2.94.485650834948.2.9548469.20901478.1_2_512_512_\Osteo_Sarco_1.png","RPT")</f>
        <v/>
      </c>
      <c r="F991" s="3" t="n">
        <v>131</v>
      </c>
      <c r="G991" s="3" t="n">
        <v>11</v>
      </c>
      <c r="H991" s="7" t="n">
        <v>22.27</v>
      </c>
      <c r="I991" s="0" t="inlineStr">
        <is>
          <t>Sensation 64</t>
        </is>
      </c>
      <c r="J991" s="0" t="inlineStr">
        <is>
          <t>With Contrast 3.0 B30f</t>
        </is>
      </c>
      <c r="K991" t="n">
        <v>158.7</v>
      </c>
      <c r="L991" t="n">
        <v>56.1</v>
      </c>
      <c r="M991" t="n">
        <v>47.65</v>
      </c>
    </row>
    <row r="992">
      <c r="A992" s="2" t="n">
        <v>5509757</v>
      </c>
      <c r="B992" s="2" t="n">
        <v>68</v>
      </c>
      <c r="C992" s="2" t="inlineStr">
        <is>
          <t>M</t>
        </is>
      </c>
      <c r="D992" s="2" t="n">
        <v>100</v>
      </c>
      <c r="E992" s="4">
        <f>HYPERLINK("./Results/DLO\20190701_1.3.12.2.1107.5.1.4.65253.30000019072118114898500042662_2_512_512_\Osteo_Sarco_1.png","RPT")</f>
        <v/>
      </c>
      <c r="F992" s="3" t="n">
        <v>131</v>
      </c>
      <c r="G992" s="3" t="n">
        <v>7</v>
      </c>
      <c r="H992" s="6" t="n">
        <v>20.17</v>
      </c>
      <c r="I992" s="0" t="inlineStr">
        <is>
          <t>SOMATOM Definition AS</t>
        </is>
      </c>
      <c r="J992" s="0" t="inlineStr">
        <is>
          <t>Pre Contrast 3.0 B30f</t>
        </is>
      </c>
      <c r="K992" t="n">
        <v>161.8</v>
      </c>
      <c r="L992" t="n">
        <v>52.8</v>
      </c>
      <c r="M992" t="n">
        <v>47.37</v>
      </c>
    </row>
    <row r="993">
      <c r="A993" s="2" t="n">
        <v>9863749</v>
      </c>
      <c r="B993" s="2" t="n">
        <v>68</v>
      </c>
      <c r="C993" s="2" t="inlineStr">
        <is>
          <t>M</t>
        </is>
      </c>
      <c r="D993" s="2" t="n">
        <v>100</v>
      </c>
      <c r="E993" s="4">
        <f>HYPERLINK("./Results/DLO\20191201_1.3.12.2.1107.5.1.4.54310.30000019120822065890600063239_4_512_512_\Osteo_Sarco_1.png","RPT")</f>
        <v/>
      </c>
      <c r="F993" s="3" t="n">
        <v>131</v>
      </c>
      <c r="G993" s="3" t="n">
        <v>10</v>
      </c>
      <c r="H993" s="6" t="n">
        <v>24.7</v>
      </c>
      <c r="I993" s="0" t="inlineStr">
        <is>
          <t>Sensation 64</t>
        </is>
      </c>
      <c r="J993" s="0" t="inlineStr">
        <is>
          <t>Arterial 3.0 B30f</t>
        </is>
      </c>
      <c r="K993" t="n">
        <v>157.4</v>
      </c>
      <c r="L993" t="n">
        <v>61.2</v>
      </c>
      <c r="M993" t="n">
        <v>48.84</v>
      </c>
    </row>
    <row r="994">
      <c r="A994" s="2" t="n">
        <v>5618028</v>
      </c>
      <c r="B994" s="2" t="n">
        <v>68</v>
      </c>
      <c r="C994" s="2" t="inlineStr">
        <is>
          <t>M</t>
        </is>
      </c>
      <c r="D994" s="2" t="n">
        <v>100</v>
      </c>
      <c r="E994" s="4">
        <f>HYPERLINK("./Results/DLO\20190301_1.3.12.2.1107.5.1.4.54310.30000019032423082598400001499_2_512_512_\Osteo_Sarco_1.png","RPT")</f>
        <v/>
      </c>
      <c r="F994" s="3" t="n">
        <v>119</v>
      </c>
      <c r="G994" s="3" t="n">
        <v>3</v>
      </c>
      <c r="H994" s="7" t="n">
        <v>22.76</v>
      </c>
      <c r="I994" s="0" t="inlineStr">
        <is>
          <t>Sensation 64</t>
        </is>
      </c>
      <c r="J994" s="0" t="inlineStr">
        <is>
          <t>With Contrast 3.0 B30f</t>
        </is>
      </c>
      <c r="K994" t="n">
        <v>169</v>
      </c>
      <c r="L994" t="n">
        <v>65</v>
      </c>
      <c r="M994" t="n">
        <v>40.61</v>
      </c>
    </row>
    <row r="995">
      <c r="A995" s="2" t="n">
        <v>8511452</v>
      </c>
      <c r="B995" s="2" t="n">
        <v>68</v>
      </c>
      <c r="C995" s="2" t="inlineStr">
        <is>
          <t>F</t>
        </is>
      </c>
      <c r="D995" s="2" t="n">
        <v>100</v>
      </c>
      <c r="E995" s="4">
        <f>HYPERLINK("./Results/DLO\20180501_1.2.840.113619.2.311.274493201254929751439311190708880637842_304_512_512_\Osteo_Sarco_1.png","RPT")</f>
        <v/>
      </c>
      <c r="F995" s="3" t="n">
        <v>115</v>
      </c>
      <c r="G995" s="3" t="n">
        <v>10</v>
      </c>
      <c r="H995" s="7" t="n">
        <v>26.24</v>
      </c>
      <c r="I995" s="0" t="inlineStr">
        <is>
          <t>Revolution CT</t>
        </is>
      </c>
      <c r="J995" s="0" t="inlineStr">
        <is>
          <t>ABD 2.5mm</t>
        </is>
      </c>
      <c r="K995" t="n">
        <v>162.5</v>
      </c>
      <c r="L995" t="n">
        <v>69.3</v>
      </c>
      <c r="M995" t="n">
        <v>39.76</v>
      </c>
    </row>
    <row r="996">
      <c r="A996" s="2" t="n">
        <v>6740027</v>
      </c>
      <c r="B996" s="2" t="n">
        <v>68</v>
      </c>
      <c r="C996" s="2" t="inlineStr">
        <is>
          <t>F</t>
        </is>
      </c>
      <c r="D996" s="2" t="n">
        <v>100</v>
      </c>
      <c r="E996" s="4">
        <f>HYPERLINK("./Results/DLO\20180401_1.3.12.2.1107.5.1.4.54310.30000018042223391226500011060_2_512_512_\Osteo_Sarco_1.png","RPT")</f>
        <v/>
      </c>
      <c r="F996" s="3" t="n">
        <v>112</v>
      </c>
      <c r="G996" s="3" t="n">
        <v>8</v>
      </c>
      <c r="H996" s="7" t="n">
        <v>21.8</v>
      </c>
      <c r="I996" s="0" t="inlineStr">
        <is>
          <t>Sensation 64</t>
        </is>
      </c>
      <c r="J996" s="0" t="inlineStr">
        <is>
          <t>With Contrast 3.0 B30f</t>
        </is>
      </c>
      <c r="K996" t="n">
        <v>165.2</v>
      </c>
      <c r="L996" t="n">
        <v>59.5</v>
      </c>
      <c r="M996" t="n">
        <v>38.11</v>
      </c>
    </row>
    <row r="997">
      <c r="A997" s="2" t="n">
        <v>5903760</v>
      </c>
      <c r="B997" s="2" t="n">
        <v>68</v>
      </c>
      <c r="C997" s="2" t="inlineStr">
        <is>
          <t>F</t>
        </is>
      </c>
      <c r="D997" s="2" t="n">
        <v>100</v>
      </c>
      <c r="E997" s="4">
        <f>HYPERLINK("./Results/DLO\20190201_1.3.12.2.1107.5.1.4.54310.30000019021023283385900036157_3_512_512_\Osteo_Sarco_1.png","RPT")</f>
        <v/>
      </c>
      <c r="F997" s="3" t="n">
        <v>110</v>
      </c>
      <c r="G997" s="3" t="n">
        <v>10</v>
      </c>
      <c r="H997" s="7" t="n">
        <v>27.69</v>
      </c>
      <c r="I997" s="0" t="inlineStr">
        <is>
          <t>Sensation 64</t>
        </is>
      </c>
      <c r="J997" s="0" t="inlineStr">
        <is>
          <t>With Contrast 3.0 B30f</t>
        </is>
      </c>
      <c r="K997" t="n">
        <v>159</v>
      </c>
      <c r="L997" t="n">
        <v>70</v>
      </c>
      <c r="M997" t="n">
        <v>39.56</v>
      </c>
    </row>
    <row r="998">
      <c r="A998" s="2" t="n">
        <v>9567235</v>
      </c>
      <c r="B998" s="2" t="n">
        <v>68</v>
      </c>
      <c r="C998" s="2" t="inlineStr">
        <is>
          <t>M</t>
        </is>
      </c>
      <c r="D998" s="2" t="n">
        <v>100</v>
      </c>
      <c r="E998" s="4">
        <f>HYPERLINK("./Results/DLO\20190401_1.3.12.2.1107.5.1.4.65253.30000019040419163826100029206_2_512_512_\Osteo_Sarco_1.png","RPT")</f>
        <v/>
      </c>
      <c r="F998" s="3" t="n">
        <v>110</v>
      </c>
      <c r="G998" s="3" t="n">
        <v>11</v>
      </c>
      <c r="H998" s="6" t="n">
        <v>21.87</v>
      </c>
      <c r="I998" s="0" t="inlineStr">
        <is>
          <t>SOMATOM Definition AS</t>
        </is>
      </c>
      <c r="J998" s="0" t="inlineStr">
        <is>
          <t>With Contrast 3.0 B30f</t>
        </is>
      </c>
      <c r="K998" t="n">
        <v>160</v>
      </c>
      <c r="L998" t="n">
        <v>56</v>
      </c>
      <c r="M998" t="n">
        <v>38.67</v>
      </c>
    </row>
    <row r="999">
      <c r="A999" s="2" t="n">
        <v>6262717</v>
      </c>
      <c r="B999" s="2" t="n">
        <v>68</v>
      </c>
      <c r="C999" s="2" t="inlineStr">
        <is>
          <t>F</t>
        </is>
      </c>
      <c r="D999" s="2" t="n">
        <v>100</v>
      </c>
      <c r="E999" s="4">
        <f>HYPERLINK("./Results/DLO\20190901_1.3.12.2.1107.5.1.4.54310.30000019091721201029600023701_7_512_512_\Osteo_Sarco_1.png","RPT")</f>
        <v/>
      </c>
      <c r="F999" s="3" t="n">
        <v>110</v>
      </c>
      <c r="G999" s="3" t="n">
        <v>5</v>
      </c>
      <c r="H999" s="7" t="n">
        <v>25.91</v>
      </c>
      <c r="I999" s="0" t="inlineStr">
        <is>
          <t>Sensation 64</t>
        </is>
      </c>
      <c r="J999" s="0" t="inlineStr">
        <is>
          <t>ABD Contrast 3.0 B30f</t>
        </is>
      </c>
      <c r="K999" t="n">
        <v>159</v>
      </c>
      <c r="L999" t="n">
        <v>65.5</v>
      </c>
      <c r="M999" t="n">
        <v>41.53</v>
      </c>
    </row>
    <row r="1000">
      <c r="A1000" s="2" t="n">
        <v>9811263</v>
      </c>
      <c r="B1000" s="2" t="n">
        <v>68</v>
      </c>
      <c r="C1000" s="2" t="inlineStr">
        <is>
          <t>F</t>
        </is>
      </c>
      <c r="D1000" s="2" t="n">
        <v>100</v>
      </c>
      <c r="E1000" s="4">
        <f>HYPERLINK("./Results/DLO\20191001_1.3.12.2.1107.5.1.4.54310.30000019102222394959300056085_4_512_512_\Osteo_Sarco_1.png","RPT")</f>
        <v/>
      </c>
      <c r="F1000" s="3" t="n">
        <v>103</v>
      </c>
      <c r="G1000" s="3" t="n">
        <v>16</v>
      </c>
      <c r="H1000" s="6" t="n">
        <v>23.9</v>
      </c>
      <c r="I1000" s="0" t="inlineStr">
        <is>
          <t>Sensation 64</t>
        </is>
      </c>
      <c r="J1000" s="0" t="inlineStr">
        <is>
          <t>Arterial 3.0 B30f</t>
        </is>
      </c>
      <c r="K1000" t="n">
        <v>151.7</v>
      </c>
      <c r="L1000" t="n">
        <v>55</v>
      </c>
      <c r="M1000" t="n">
        <v>37.8</v>
      </c>
    </row>
    <row r="1001">
      <c r="A1001" s="2" t="n">
        <v>5452306</v>
      </c>
      <c r="B1001" s="2" t="n">
        <v>69</v>
      </c>
      <c r="C1001" s="2" t="inlineStr">
        <is>
          <t>M</t>
        </is>
      </c>
      <c r="D1001" s="2" t="n">
        <v>100</v>
      </c>
      <c r="E1001" s="4">
        <f>HYPERLINK("./Results/DLO\20180101_1.3.12.2.1107.5.1.4.65253.30000018011120330774800049996_2_512_512_\Osteo_Sarco_1.png","RPT")</f>
        <v/>
      </c>
      <c r="F1001" s="3" t="n">
        <v>98</v>
      </c>
      <c r="G1001" s="3" t="n">
        <v>15</v>
      </c>
      <c r="H1001" s="7" t="n">
        <v>25.93</v>
      </c>
      <c r="I1001" s="0" t="inlineStr">
        <is>
          <t>SOMATOM Definition AS</t>
        </is>
      </c>
      <c r="J1001" s="0" t="inlineStr">
        <is>
          <t>With Contrast 3.0 B40f</t>
        </is>
      </c>
      <c r="K1001" t="n">
        <v>165</v>
      </c>
      <c r="L1001" t="n">
        <v>70.59999999999999</v>
      </c>
      <c r="M1001" t="n">
        <v>30.49</v>
      </c>
    </row>
    <row r="1002">
      <c r="A1002" s="2" t="n">
        <v>5819959</v>
      </c>
      <c r="B1002" s="2" t="n">
        <v>69</v>
      </c>
      <c r="C1002" s="2" t="inlineStr">
        <is>
          <t>F</t>
        </is>
      </c>
      <c r="D1002" s="2" t="n">
        <v>100</v>
      </c>
      <c r="E1002" s="4">
        <f>HYPERLINK("./Results/DLO\20180901_1.3.12.2.1107.5.1.4.54310.30000018091023324887500003980_2_512_512_\Osteo_Sarco_1.png","RPT")</f>
        <v/>
      </c>
      <c r="F1002" s="3" t="n">
        <v>97</v>
      </c>
      <c r="G1002" s="3" t="n">
        <v>10</v>
      </c>
      <c r="H1002" s="6" t="n">
        <v>25.06</v>
      </c>
      <c r="I1002" s="0" t="inlineStr">
        <is>
          <t>Sensation 64</t>
        </is>
      </c>
      <c r="J1002" s="0" t="inlineStr">
        <is>
          <t>With Contrast 3.0 B30f</t>
        </is>
      </c>
      <c r="K1002" t="n">
        <v>152</v>
      </c>
      <c r="L1002" t="n">
        <v>57.9</v>
      </c>
      <c r="M1002" t="n">
        <v>37.66</v>
      </c>
    </row>
    <row r="1003">
      <c r="A1003" s="2" t="n">
        <v>5758067</v>
      </c>
      <c r="B1003" s="2" t="n">
        <v>69</v>
      </c>
      <c r="C1003" s="2" t="inlineStr">
        <is>
          <t>M</t>
        </is>
      </c>
      <c r="D1003" s="2" t="n">
        <v>100</v>
      </c>
      <c r="E1003" s="4">
        <f>HYPERLINK("./Results/DLO\20190601_1.2.840.113619.2.416.264738058683707158733281621632960057860_305_512_512_\Osteo_Sarco_1.png","RPT")</f>
        <v/>
      </c>
      <c r="F1003" s="3" t="n">
        <v>179</v>
      </c>
      <c r="G1003" s="3" t="n">
        <v>23</v>
      </c>
      <c r="H1003" s="6" t="n">
        <v>27.17</v>
      </c>
      <c r="I1003" s="0" t="inlineStr">
        <is>
          <t>Revolution CT</t>
        </is>
      </c>
      <c r="J1003" s="0" t="inlineStr">
        <is>
          <t>ABD 2.5mm</t>
        </is>
      </c>
      <c r="K1003" t="n">
        <v>182</v>
      </c>
      <c r="L1003" t="n">
        <v>90</v>
      </c>
      <c r="M1003" t="n">
        <v>47.1</v>
      </c>
    </row>
    <row r="1004">
      <c r="A1004" s="2" t="n">
        <v>5027476</v>
      </c>
      <c r="B1004" s="2" t="n">
        <v>69</v>
      </c>
      <c r="C1004" s="2" t="inlineStr">
        <is>
          <t>M</t>
        </is>
      </c>
      <c r="D1004" s="2" t="n">
        <v>100</v>
      </c>
      <c r="E1004" s="4">
        <f>HYPERLINK("./Results/DLO\20180701_1.3.12.2.1107.5.1.4.65253.30000018070121035264000062071_2_512_512_\Osteo_Sarco_1.png","RPT")</f>
        <v/>
      </c>
      <c r="F1004" s="3" t="n">
        <v>163</v>
      </c>
      <c r="G1004" s="3" t="n">
        <v>6</v>
      </c>
      <c r="H1004" s="7" t="n">
        <v>24.91</v>
      </c>
      <c r="I1004" s="0" t="inlineStr">
        <is>
          <t>SOMATOM Definition AS</t>
        </is>
      </c>
      <c r="J1004" s="0" t="inlineStr">
        <is>
          <t>W/O Contrast 2.0 B30f</t>
        </is>
      </c>
      <c r="K1004" t="n">
        <v>168</v>
      </c>
      <c r="L1004" t="n">
        <v>70.3</v>
      </c>
      <c r="M1004" t="n">
        <v>55.63</v>
      </c>
    </row>
    <row r="1005">
      <c r="A1005" s="2" t="n">
        <v>5631994</v>
      </c>
      <c r="B1005" s="2" t="n">
        <v>69</v>
      </c>
      <c r="C1005" s="2" t="inlineStr">
        <is>
          <t>M</t>
        </is>
      </c>
      <c r="D1005" s="2" t="n">
        <v>100</v>
      </c>
      <c r="E1005" s="4">
        <f>HYPERLINK("./Results/DLO\20191201_1.3.12.2.1107.5.1.4.54310.30000019120522423939000008876_5_512_512_\Osteo_Sarco_1.png","RPT")</f>
        <v/>
      </c>
      <c r="F1005" s="3" t="n">
        <v>163</v>
      </c>
      <c r="G1005" s="3" t="n">
        <v>13</v>
      </c>
      <c r="H1005" s="6" t="n">
        <v>27.48</v>
      </c>
      <c r="I1005" s="0" t="inlineStr">
        <is>
          <t>Sensation 64</t>
        </is>
      </c>
      <c r="J1005" s="0" t="inlineStr">
        <is>
          <t>Post ABD AXL 3mm B30f</t>
        </is>
      </c>
      <c r="K1005" t="n">
        <v>163</v>
      </c>
      <c r="L1005" t="n">
        <v>73</v>
      </c>
      <c r="M1005" t="n">
        <v>56.46</v>
      </c>
    </row>
    <row r="1006">
      <c r="A1006" s="2" t="n">
        <v>9564277</v>
      </c>
      <c r="B1006" s="2" t="n">
        <v>69</v>
      </c>
      <c r="C1006" s="2" t="inlineStr">
        <is>
          <t>M</t>
        </is>
      </c>
      <c r="D1006" s="2" t="n">
        <v>100</v>
      </c>
      <c r="E1006" s="4">
        <f>HYPERLINK("./Results/DLO\20190101_1.3.12.2.1107.5.1.4.54310.30000019011323092907800053428_3_512_512_\Osteo_Sarco_1.png","RPT")</f>
        <v/>
      </c>
      <c r="F1006" s="3" t="n">
        <v>162</v>
      </c>
      <c r="G1006" s="3" t="n">
        <v>18</v>
      </c>
      <c r="H1006" s="7" t="n">
        <v>24.06</v>
      </c>
      <c r="I1006" s="0" t="inlineStr">
        <is>
          <t>Sensation 64</t>
        </is>
      </c>
      <c r="J1006" s="0" t="inlineStr">
        <is>
          <t>Pre Contrast 3.0 B30f</t>
        </is>
      </c>
      <c r="K1006" t="n">
        <v>173</v>
      </c>
      <c r="L1006" t="n">
        <v>72</v>
      </c>
      <c r="M1006" t="n">
        <v>48.11</v>
      </c>
    </row>
    <row r="1007">
      <c r="A1007" s="2" t="n">
        <v>5264302</v>
      </c>
      <c r="B1007" s="2" t="n">
        <v>69</v>
      </c>
      <c r="C1007" s="2" t="inlineStr">
        <is>
          <t>M</t>
        </is>
      </c>
      <c r="D1007" s="2" t="n">
        <v>100</v>
      </c>
      <c r="E1007" s="4">
        <f>HYPERLINK("./Results/DLO\20190901_1.3.12.2.1107.5.1.4.65253.30000019092618364563400050700_5_512_512_\Osteo_Sarco_1.png","RPT")</f>
        <v/>
      </c>
      <c r="F1007" s="3" t="n">
        <v>153</v>
      </c>
      <c r="G1007" s="3" t="n">
        <v>5</v>
      </c>
      <c r="H1007" s="6" t="n">
        <v>23.06</v>
      </c>
      <c r="I1007" s="0" t="inlineStr">
        <is>
          <t>SOMATOM Definition AS</t>
        </is>
      </c>
      <c r="J1007" s="0" t="inlineStr">
        <is>
          <t>Arterial Phase 3.0 B30f</t>
        </is>
      </c>
      <c r="K1007" t="n">
        <v>178.3</v>
      </c>
      <c r="L1007" t="n">
        <v>73.3</v>
      </c>
      <c r="M1007" t="n">
        <v>46.55</v>
      </c>
    </row>
    <row r="1008">
      <c r="A1008" s="2" t="n">
        <v>8952395</v>
      </c>
      <c r="B1008" s="2" t="n">
        <v>69</v>
      </c>
      <c r="C1008" s="2" t="inlineStr">
        <is>
          <t>M</t>
        </is>
      </c>
      <c r="D1008" s="2" t="n">
        <v>100</v>
      </c>
      <c r="E1008" s="4">
        <f>HYPERLINK("./Results/DLO\20180401_1.2.840.113619.2.311.261493547817559512786757142008239924660_304_512_512_\Osteo_Sarco_1.png","RPT")</f>
        <v/>
      </c>
      <c r="F1008" s="3" t="n">
        <v>148</v>
      </c>
      <c r="G1008" s="3" t="n">
        <v>16</v>
      </c>
      <c r="H1008" s="7" t="n">
        <v>22.31</v>
      </c>
      <c r="I1008" s="0" t="inlineStr">
        <is>
          <t>Revolution CT</t>
        </is>
      </c>
      <c r="J1008" s="0" t="inlineStr">
        <is>
          <t>ABD 2.5mm</t>
        </is>
      </c>
      <c r="K1008" t="n">
        <v>164</v>
      </c>
      <c r="L1008" t="n">
        <v>60</v>
      </c>
      <c r="M1008" t="n">
        <v>49.08</v>
      </c>
    </row>
    <row r="1009">
      <c r="A1009" s="2" t="n">
        <v>5842402</v>
      </c>
      <c r="B1009" s="2" t="n">
        <v>69</v>
      </c>
      <c r="C1009" s="2" t="inlineStr">
        <is>
          <t>M</t>
        </is>
      </c>
      <c r="D1009" s="2" t="n">
        <v>100</v>
      </c>
      <c r="E1009" s="4">
        <f>HYPERLINK("./Results/DLO\20190301_1.3.46.670589.33.1.63688583906906005200001.5312039362004656500_201_512_512_\Osteo_Sarco_1.png","RPT")</f>
        <v/>
      </c>
      <c r="F1009" s="3" t="n">
        <v>144</v>
      </c>
      <c r="G1009" s="3" t="n">
        <v>7</v>
      </c>
      <c r="H1009" s="7" t="n">
        <v>24.26</v>
      </c>
      <c r="I1009" s="0" t="inlineStr">
        <is>
          <t>Ingenuity Core 128</t>
        </is>
      </c>
      <c r="J1009" s="0" t="inlineStr">
        <is>
          <t>Post 3mm, iDose (3)</t>
        </is>
      </c>
      <c r="K1009" t="n">
        <v>170</v>
      </c>
      <c r="L1009" t="n">
        <v>70.09999999999999</v>
      </c>
      <c r="M1009" t="n">
        <v>47.4</v>
      </c>
    </row>
    <row r="1010">
      <c r="A1010" s="2" t="n">
        <v>5746540</v>
      </c>
      <c r="B1010" s="2" t="n">
        <v>69</v>
      </c>
      <c r="C1010" s="2" t="inlineStr">
        <is>
          <t>M</t>
        </is>
      </c>
      <c r="D1010" s="2" t="n">
        <v>100</v>
      </c>
      <c r="E1010" s="4">
        <f>HYPERLINK("./Results/DLO\20180701_1.3.12.2.1107.5.1.4.54310.30000018071523080648400004807_3_512_512_\Osteo_Sarco_1.png","RPT")</f>
        <v/>
      </c>
      <c r="F1010" s="3" t="n">
        <v>142</v>
      </c>
      <c r="G1010" s="3" t="n">
        <v>4</v>
      </c>
      <c r="H1010" s="7" t="n">
        <v>20.44</v>
      </c>
      <c r="I1010" s="0" t="inlineStr">
        <is>
          <t>Sensation 64</t>
        </is>
      </c>
      <c r="J1010" s="0" t="inlineStr">
        <is>
          <t>Pre Contrast 3.0 B30f</t>
        </is>
      </c>
      <c r="K1010" t="n">
        <v>167</v>
      </c>
      <c r="L1010" t="n">
        <v>57</v>
      </c>
      <c r="M1010" t="n">
        <v>49.48</v>
      </c>
    </row>
    <row r="1011">
      <c r="A1011" s="2" t="n">
        <v>3425505</v>
      </c>
      <c r="B1011" s="2" t="n">
        <v>69</v>
      </c>
      <c r="C1011" s="2" t="inlineStr">
        <is>
          <t>M</t>
        </is>
      </c>
      <c r="D1011" s="2" t="n">
        <v>100</v>
      </c>
      <c r="E1011" s="4">
        <f>HYPERLINK("./Results/DLO\20190401_1.3.12.2.1107.5.1.4.54310.30000019041423314437500003635_2_512_512_\Osteo_Sarco_1.png","RPT")</f>
        <v/>
      </c>
      <c r="F1011" s="3" t="n">
        <v>128</v>
      </c>
      <c r="G1011" s="3" t="n">
        <v>12</v>
      </c>
      <c r="H1011" s="7" t="n">
        <v>24.23</v>
      </c>
      <c r="I1011" s="0" t="inlineStr">
        <is>
          <t>Sensation 64</t>
        </is>
      </c>
      <c r="J1011" s="0" t="inlineStr">
        <is>
          <t>With Contrast 3.0 B30f</t>
        </is>
      </c>
      <c r="K1011" t="n">
        <v>164.3</v>
      </c>
      <c r="L1011" t="n">
        <v>65.40000000000001</v>
      </c>
      <c r="M1011" t="n">
        <v>42.97</v>
      </c>
    </row>
    <row r="1012">
      <c r="A1012" s="2" t="n">
        <v>5919295</v>
      </c>
      <c r="B1012" s="2" t="n">
        <v>69</v>
      </c>
      <c r="C1012" s="2" t="inlineStr">
        <is>
          <t>F</t>
        </is>
      </c>
      <c r="D1012" s="2" t="n">
        <v>100</v>
      </c>
      <c r="E1012" s="4">
        <f>HYPERLINK("./Results/DLO\20190701_1.3.12.2.1107.5.1.4.54310.30000019063022203612500037578_2_512_512_\Osteo_Sarco_1.png","RPT")</f>
        <v/>
      </c>
      <c r="F1012" s="3" t="n">
        <v>125</v>
      </c>
      <c r="G1012" s="3" t="n">
        <v>14</v>
      </c>
      <c r="H1012" s="7" t="n">
        <v>29.95</v>
      </c>
      <c r="I1012" s="0" t="inlineStr">
        <is>
          <t>Sensation 64</t>
        </is>
      </c>
      <c r="J1012" s="0" t="inlineStr">
        <is>
          <t>With Contrast 3.0 B30f</t>
        </is>
      </c>
      <c r="K1012" t="n">
        <v>151</v>
      </c>
      <c r="L1012" t="n">
        <v>68.3</v>
      </c>
      <c r="M1012" t="n">
        <v>48.68</v>
      </c>
    </row>
    <row r="1013">
      <c r="A1013" s="2" t="n">
        <v>5470558</v>
      </c>
      <c r="B1013" s="2" t="n">
        <v>69</v>
      </c>
      <c r="C1013" s="2" t="inlineStr">
        <is>
          <t>F</t>
        </is>
      </c>
      <c r="D1013" s="2" t="n">
        <v>100</v>
      </c>
      <c r="E1013" s="4">
        <f>HYPERLINK("./Results/DLO\20180501_1.3.12.2.1107.5.1.4.65253.30000018050819363785800029008_2_512_512_\Osteo_Sarco_1.png","RPT")</f>
        <v/>
      </c>
      <c r="F1013" s="3" t="n">
        <v>122</v>
      </c>
      <c r="G1013" s="3" t="n">
        <v>13</v>
      </c>
      <c r="H1013" s="6" t="n">
        <v>31.24</v>
      </c>
      <c r="I1013" s="0" t="inlineStr">
        <is>
          <t>SOMATOM Definition AS</t>
        </is>
      </c>
      <c r="J1013" s="0" t="inlineStr">
        <is>
          <t>Pre Contrast 3.0 B30f</t>
        </is>
      </c>
      <c r="K1013" t="n">
        <v>158</v>
      </c>
      <c r="L1013" t="n">
        <v>78</v>
      </c>
      <c r="M1013" t="n">
        <v>43.66</v>
      </c>
    </row>
    <row r="1014">
      <c r="A1014" s="2" t="n">
        <v>9740012</v>
      </c>
      <c r="B1014" s="2" t="n">
        <v>69</v>
      </c>
      <c r="C1014" s="2" t="inlineStr">
        <is>
          <t>F</t>
        </is>
      </c>
      <c r="D1014" s="2" t="n">
        <v>100</v>
      </c>
      <c r="E1014" s="4">
        <f>HYPERLINK("./Results/DLO\20190701_1.3.12.2.1107.5.1.4.65253.30000019071820134931800073590_2_512_512_\Osteo_Sarco_1.png","RPT")</f>
        <v/>
      </c>
      <c r="F1014" s="3" t="n">
        <v>120</v>
      </c>
      <c r="G1014" s="3" t="n">
        <v>8</v>
      </c>
      <c r="H1014" s="7" t="n">
        <v>23.56</v>
      </c>
      <c r="I1014" s="0" t="inlineStr">
        <is>
          <t>SOMATOM Definition AS</t>
        </is>
      </c>
      <c r="J1014" s="0" t="inlineStr">
        <is>
          <t>Pre Contrast 3.0 B30f</t>
        </is>
      </c>
      <c r="K1014" t="n">
        <v>158.5</v>
      </c>
      <c r="L1014" t="n">
        <v>59.2</v>
      </c>
      <c r="M1014" t="n">
        <v>44.58</v>
      </c>
    </row>
    <row r="1015">
      <c r="A1015" s="2" t="n">
        <v>9648870</v>
      </c>
      <c r="B1015" s="2" t="n">
        <v>69</v>
      </c>
      <c r="C1015" s="2" t="inlineStr">
        <is>
          <t>F</t>
        </is>
      </c>
      <c r="D1015" s="2" t="n">
        <v>100</v>
      </c>
      <c r="E1015" s="4">
        <f>HYPERLINK("./Results/DLO\20190401_1.3.12.2.1107.5.1.4.65253.30000019041320084743000005272_2_512_512_\Osteo_Sarco_1.png","RPT")</f>
        <v/>
      </c>
      <c r="F1015" s="3" t="n">
        <v>116</v>
      </c>
      <c r="G1015" s="3" t="n">
        <v>28</v>
      </c>
      <c r="H1015" s="6" t="n">
        <v>24.46</v>
      </c>
      <c r="I1015" s="0" t="inlineStr">
        <is>
          <t>SOMATOM Definition AS</t>
        </is>
      </c>
      <c r="J1015" s="0" t="inlineStr">
        <is>
          <t>Pre Contrast 3.0 B30f</t>
        </is>
      </c>
      <c r="K1015" t="n">
        <v>163</v>
      </c>
      <c r="L1015" t="n">
        <v>65</v>
      </c>
      <c r="M1015" t="n">
        <v>33.12</v>
      </c>
    </row>
    <row r="1016">
      <c r="A1016" s="2" t="n">
        <v>5463208</v>
      </c>
      <c r="B1016" s="2" t="n">
        <v>69</v>
      </c>
      <c r="C1016" s="2" t="inlineStr">
        <is>
          <t>F</t>
        </is>
      </c>
      <c r="D1016" s="2" t="n">
        <v>100</v>
      </c>
      <c r="E1016" s="4">
        <f>HYPERLINK("./Results/DLO\20181001_1.3.12.2.1107.5.1.4.54310.30000018102823274178100030605_2_512_512_\Osteo_Sarco_1.png","RPT")</f>
        <v/>
      </c>
      <c r="F1016" s="3" t="n">
        <v>115</v>
      </c>
      <c r="G1016" s="3" t="n">
        <v>17</v>
      </c>
      <c r="H1016" s="6" t="n">
        <v>26.04</v>
      </c>
      <c r="I1016" s="0" t="inlineStr">
        <is>
          <t>Sensation 64</t>
        </is>
      </c>
      <c r="J1016" s="0" t="inlineStr">
        <is>
          <t>With Contrast 3.0 B30f</t>
        </is>
      </c>
      <c r="K1016" t="n">
        <v>158</v>
      </c>
      <c r="L1016" t="n">
        <v>65</v>
      </c>
      <c r="M1016" t="n">
        <v>39.26</v>
      </c>
    </row>
    <row r="1017">
      <c r="A1017" s="2" t="n">
        <v>5653425</v>
      </c>
      <c r="B1017" s="2" t="n">
        <v>69</v>
      </c>
      <c r="C1017" s="2" t="inlineStr">
        <is>
          <t>F</t>
        </is>
      </c>
      <c r="D1017" s="2" t="n">
        <v>100</v>
      </c>
      <c r="E1017" s="4">
        <f>HYPERLINK("./Results/DLO\20180401_1.3.12.2.1107.5.1.4.54310.30000018040923092617100006959_6_512_512_\Osteo_Sarco_1.png","RPT")</f>
        <v/>
      </c>
      <c r="F1017" s="3" t="n">
        <v>113</v>
      </c>
      <c r="G1017" s="3" t="n">
        <v>10</v>
      </c>
      <c r="H1017" s="6" t="n">
        <v>22.96</v>
      </c>
      <c r="I1017" s="0" t="inlineStr">
        <is>
          <t>Sensation 64</t>
        </is>
      </c>
      <c r="J1017" s="0" t="inlineStr">
        <is>
          <t>Arterial 3.0 B30f</t>
        </is>
      </c>
      <c r="K1017" t="n">
        <v>163</v>
      </c>
      <c r="L1017" t="n">
        <v>61</v>
      </c>
      <c r="M1017" t="n">
        <v>38.77</v>
      </c>
    </row>
    <row r="1018">
      <c r="A1018" s="2" t="n">
        <v>5781715</v>
      </c>
      <c r="B1018" s="2" t="n">
        <v>69</v>
      </c>
      <c r="C1018" s="2" t="inlineStr">
        <is>
          <t>F</t>
        </is>
      </c>
      <c r="D1018" s="2" t="n">
        <v>100</v>
      </c>
      <c r="E1018" s="4">
        <f>HYPERLINK("./Results/DLO\20180301_1.2.840.113619.2.311.124905906165194135210597018755892040295_305_512_512_\Osteo_Sarco_1.png","RPT")</f>
        <v/>
      </c>
      <c r="F1018" s="3" t="n">
        <v>105</v>
      </c>
      <c r="G1018" s="3" t="n">
        <v>7</v>
      </c>
      <c r="H1018" s="7" t="n">
        <v>22.94</v>
      </c>
      <c r="I1018" s="0" t="inlineStr">
        <is>
          <t>Revolution CT</t>
        </is>
      </c>
      <c r="J1018" s="0" t="inlineStr">
        <is>
          <t>ABD 2.5mm</t>
        </is>
      </c>
      <c r="K1018" t="n">
        <v>146.3</v>
      </c>
      <c r="L1018" t="n">
        <v>49.1</v>
      </c>
      <c r="M1018" t="n">
        <v>45.79</v>
      </c>
    </row>
    <row r="1019">
      <c r="A1019" s="2" t="n">
        <v>6003872</v>
      </c>
      <c r="B1019" s="2" t="n">
        <v>69</v>
      </c>
      <c r="C1019" s="2" t="inlineStr">
        <is>
          <t>F</t>
        </is>
      </c>
      <c r="D1019" s="2" t="n">
        <v>100</v>
      </c>
      <c r="E1019" s="4">
        <f>HYPERLINK("./Results/DLO\20200101_1.2.840.113619.2.416.149009598972117619391468344229248944616_310_512_512_\Osteo_Sarco_1.png","RPT")</f>
        <v/>
      </c>
      <c r="F1019" s="3" t="n">
        <v>102</v>
      </c>
      <c r="G1019" s="3" t="n">
        <v>11</v>
      </c>
      <c r="H1019" s="7" t="n">
        <v>20.56</v>
      </c>
      <c r="I1019" s="0" t="inlineStr">
        <is>
          <t>Revolution CT</t>
        </is>
      </c>
      <c r="J1019" s="0" t="inlineStr">
        <is>
          <t>ABD</t>
        </is>
      </c>
      <c r="K1019" t="n">
        <v>164.6</v>
      </c>
      <c r="L1019" t="n">
        <v>55.7</v>
      </c>
      <c r="M1019" t="n">
        <v>33.59</v>
      </c>
    </row>
    <row r="1020">
      <c r="A1020" s="2" t="n">
        <v>2667646</v>
      </c>
      <c r="B1020" s="2" t="n">
        <v>69</v>
      </c>
      <c r="C1020" s="2" t="inlineStr">
        <is>
          <t>F</t>
        </is>
      </c>
      <c r="D1020" s="2" t="n">
        <v>100</v>
      </c>
      <c r="E1020" s="4">
        <f>HYPERLINK("./Results/DLO\20180201_1.3.46.670589.33.1.63653599167888977900001.5098654067298782026_201_512_512_\Osteo_Sarco_1.png","RPT")</f>
        <v/>
      </c>
      <c r="F1020" s="3" t="n">
        <v>101</v>
      </c>
      <c r="G1020" s="3" t="n">
        <v>11</v>
      </c>
      <c r="H1020" s="7" t="n">
        <v>25.39</v>
      </c>
      <c r="I1020" s="0" t="inlineStr">
        <is>
          <t>Ingenuity Core 128</t>
        </is>
      </c>
      <c r="J1020" s="0" t="inlineStr">
        <is>
          <t>Post 100/236 i3, iDose (3)</t>
        </is>
      </c>
      <c r="K1020" t="n">
        <v>160</v>
      </c>
      <c r="L1020" t="n">
        <v>65</v>
      </c>
      <c r="M1020" t="n">
        <v>35.16</v>
      </c>
    </row>
    <row r="1021">
      <c r="A1021" s="2" t="n">
        <v>3623794</v>
      </c>
      <c r="B1021" s="2" t="n">
        <v>69</v>
      </c>
      <c r="C1021" s="2" t="inlineStr">
        <is>
          <t>F</t>
        </is>
      </c>
      <c r="D1021" s="2" t="n">
        <v>100</v>
      </c>
      <c r="E1021" s="4">
        <f>HYPERLINK("./Results/DLO\20180101_1.3.12.2.1107.5.1.4.65253.30000018011520001987000000418_2_512_512_\Osteo_Sarco_1.png","RPT")</f>
        <v/>
      </c>
      <c r="F1021" s="3" t="n">
        <v>100</v>
      </c>
      <c r="G1021" s="3" t="n">
        <v>17</v>
      </c>
      <c r="H1021" s="6" t="n">
        <v>26.95</v>
      </c>
      <c r="I1021" s="0" t="inlineStr">
        <is>
          <t>SOMATOM Definition AS</t>
        </is>
      </c>
      <c r="J1021" s="0" t="inlineStr">
        <is>
          <t>With Contrast 3.0 B40f</t>
        </is>
      </c>
      <c r="K1021" t="n">
        <v>152.3</v>
      </c>
      <c r="L1021" t="n">
        <v>62.5</v>
      </c>
      <c r="M1021" t="n">
        <v>35.78</v>
      </c>
    </row>
    <row r="1022">
      <c r="A1022" s="2" t="n">
        <v>5944187</v>
      </c>
      <c r="B1022" s="2" t="n">
        <v>69</v>
      </c>
      <c r="C1022" s="2" t="inlineStr">
        <is>
          <t>F</t>
        </is>
      </c>
      <c r="D1022" s="2" t="n">
        <v>100</v>
      </c>
      <c r="E1022" s="4">
        <f>HYPERLINK("./Results/DLO\20180801_1.2.840.113619.2.416.45048872566642099361423161177490276905_304_512_512_\Osteo_Sarco_1.png","RPT")</f>
        <v/>
      </c>
      <c r="F1022" s="3" t="n">
        <v>100</v>
      </c>
      <c r="G1022" s="3" t="n">
        <v>10</v>
      </c>
      <c r="H1022" s="6" t="n">
        <v>24.24</v>
      </c>
      <c r="I1022" s="0" t="inlineStr">
        <is>
          <t>Revolution CT</t>
        </is>
      </c>
      <c r="J1022" s="0" t="inlineStr">
        <is>
          <t>ABD 2.5mm</t>
        </is>
      </c>
      <c r="K1022" t="n">
        <v>157</v>
      </c>
      <c r="L1022" t="n">
        <v>59.75</v>
      </c>
      <c r="M1022" t="n">
        <v>36.51</v>
      </c>
    </row>
    <row r="1023">
      <c r="A1023" s="2" t="n">
        <v>367771</v>
      </c>
      <c r="B1023" s="2" t="n">
        <v>70</v>
      </c>
      <c r="C1023" s="2" t="inlineStr">
        <is>
          <t>F</t>
        </is>
      </c>
      <c r="D1023" s="2" t="n">
        <v>100</v>
      </c>
      <c r="E1023" s="4">
        <f>HYPERLINK("./Results/DLO\20180401_1.3.12.2.1107.5.1.4.65253.30000018042321504630500037793_2_512_512_\Osteo_Sarco_1.png","RPT")</f>
        <v/>
      </c>
      <c r="F1023" s="3" t="n">
        <v>95</v>
      </c>
      <c r="G1023" s="3" t="n">
        <v>10</v>
      </c>
      <c r="H1023" s="7" t="n">
        <v>21.78</v>
      </c>
      <c r="I1023" s="0" t="inlineStr">
        <is>
          <t>SOMATOM Definition AS</t>
        </is>
      </c>
      <c r="J1023" s="0" t="inlineStr">
        <is>
          <t>Pre Contrast 3.0 B30f</t>
        </is>
      </c>
      <c r="K1023" t="n">
        <v>156</v>
      </c>
      <c r="L1023" t="n">
        <v>53</v>
      </c>
      <c r="M1023" t="n">
        <v>34.93</v>
      </c>
    </row>
    <row r="1024">
      <c r="A1024" s="2" t="n">
        <v>5824691</v>
      </c>
      <c r="B1024" s="2" t="n">
        <v>70</v>
      </c>
      <c r="C1024" s="2" t="inlineStr">
        <is>
          <t>F</t>
        </is>
      </c>
      <c r="D1024" s="2" t="n">
        <v>100</v>
      </c>
      <c r="E1024" s="4">
        <f>HYPERLINK("./Results/DLO\20190801_1.3.46.670589.33.1.63701372980789609300001.5052972479635638783_201_512_512_\Osteo_Sarco_1.png","RPT")</f>
        <v/>
      </c>
      <c r="F1024" s="3" t="n">
        <v>91</v>
      </c>
      <c r="G1024" s="3" t="n">
        <v>8</v>
      </c>
      <c r="H1024" s="7" t="n">
        <v>24.19</v>
      </c>
      <c r="I1024" s="0" t="inlineStr">
        <is>
          <t>Ingenuity Core 128</t>
        </is>
      </c>
      <c r="J1024" s="0" t="inlineStr">
        <is>
          <t>Post 3mm, iDose (3)</t>
        </is>
      </c>
      <c r="K1024" t="n">
        <v>158.4</v>
      </c>
      <c r="L1024" t="n">
        <v>60.7</v>
      </c>
      <c r="M1024" t="n">
        <v>33.08</v>
      </c>
    </row>
    <row r="1025">
      <c r="A1025" s="2" t="n">
        <v>6741023</v>
      </c>
      <c r="B1025" s="2" t="n">
        <v>70</v>
      </c>
      <c r="C1025" s="2" t="inlineStr">
        <is>
          <t>F</t>
        </is>
      </c>
      <c r="D1025" s="2" t="n">
        <v>100</v>
      </c>
      <c r="E1025" s="4">
        <f>HYPERLINK("./Results/DLO\20180701_1.2.840.113619.2.94.485650834948.2.8982113.19481897.1_2_512_512_\Osteo_Sarco_1.png","RPT")</f>
        <v/>
      </c>
      <c r="F1025" s="3" t="n">
        <v>86</v>
      </c>
      <c r="G1025" s="3" t="n">
        <v>11</v>
      </c>
      <c r="H1025" s="7" t="n">
        <v>23.74</v>
      </c>
      <c r="I1025" s="0" t="inlineStr">
        <is>
          <t>SOMATOM Definition AS</t>
        </is>
      </c>
      <c r="J1025" s="0" t="inlineStr">
        <is>
          <t>With Contrast 3.0 B30f</t>
        </is>
      </c>
      <c r="K1025" t="n">
        <v>148.7</v>
      </c>
      <c r="L1025" t="n">
        <v>52.5</v>
      </c>
      <c r="M1025" t="n">
        <v>33.92</v>
      </c>
    </row>
    <row r="1026">
      <c r="A1026" s="2" t="n">
        <v>904591</v>
      </c>
      <c r="B1026" s="2" t="n">
        <v>70</v>
      </c>
      <c r="C1026" s="2" t="inlineStr">
        <is>
          <t>F</t>
        </is>
      </c>
      <c r="D1026" s="2" t="n">
        <v>100</v>
      </c>
      <c r="E1026" s="4">
        <f>HYPERLINK("./Results/DLO\20190501_1.3.12.2.1107.5.1.4.54310.30000019051521013667100064058_2_512_512_\Osteo_Sarco_1.png","RPT")</f>
        <v/>
      </c>
      <c r="F1026" s="3" t="n">
        <v>62</v>
      </c>
      <c r="G1026" s="3" t="n">
        <v>9</v>
      </c>
      <c r="H1026" s="6" t="n">
        <v>17.07</v>
      </c>
      <c r="I1026" s="0" t="inlineStr">
        <is>
          <t>Sensation 64</t>
        </is>
      </c>
      <c r="J1026" s="0" t="inlineStr">
        <is>
          <t>With Contrast 3.0 B30f</t>
        </is>
      </c>
      <c r="K1026" t="n">
        <v>155</v>
      </c>
      <c r="L1026" t="n">
        <v>41</v>
      </c>
      <c r="M1026" t="n">
        <v>22.06</v>
      </c>
    </row>
    <row r="1027">
      <c r="A1027" s="2" t="n">
        <v>5852500</v>
      </c>
      <c r="B1027" s="2" t="n">
        <v>70</v>
      </c>
      <c r="C1027" s="2" t="inlineStr">
        <is>
          <t>M</t>
        </is>
      </c>
      <c r="D1027" s="2" t="n">
        <v>100</v>
      </c>
      <c r="E1027" s="4">
        <f>HYPERLINK("./Results/DLO\20181201_1.3.12.2.1107.5.1.4.65253.30000018122519362635700043746_2_512_512_\Osteo_Sarco_1.png","RPT")</f>
        <v/>
      </c>
      <c r="F1027" s="3" t="n">
        <v>195</v>
      </c>
      <c r="G1027" s="3" t="n">
        <v>19</v>
      </c>
      <c r="H1027" s="7" t="n">
        <v>27.72</v>
      </c>
      <c r="I1027" s="0" t="inlineStr">
        <is>
          <t>SOMATOM Definition AS</t>
        </is>
      </c>
      <c r="J1027" s="0" t="inlineStr">
        <is>
          <t>Pre Contrast 3.0 B30f</t>
        </is>
      </c>
      <c r="K1027" t="n">
        <v>172</v>
      </c>
      <c r="L1027" t="n">
        <v>82</v>
      </c>
      <c r="M1027" t="n">
        <v>59.49</v>
      </c>
    </row>
    <row r="1028">
      <c r="A1028" s="2" t="n">
        <v>5686834</v>
      </c>
      <c r="B1028" s="2" t="n">
        <v>70</v>
      </c>
      <c r="C1028" s="2" t="inlineStr">
        <is>
          <t>M</t>
        </is>
      </c>
      <c r="D1028" s="2" t="n">
        <v>100</v>
      </c>
      <c r="E1028" s="4">
        <f>HYPERLINK("./Results/DLO\20180501_1.3.12.2.1107.5.1.4.65253.30000018052922105125000005100_3_512_512_\Osteo_Sarco_1.png","RPT")</f>
        <v/>
      </c>
      <c r="F1028" s="3" t="n">
        <v>142</v>
      </c>
      <c r="G1028" s="3" t="n">
        <v>14</v>
      </c>
      <c r="H1028" s="7" t="n">
        <v>28.04</v>
      </c>
      <c r="I1028" s="0" t="inlineStr">
        <is>
          <t>SOMATOM Definition AS</t>
        </is>
      </c>
      <c r="J1028" s="0" t="inlineStr">
        <is>
          <t>With Contrast 3.0 B30f</t>
        </is>
      </c>
      <c r="K1028" t="n">
        <v>171</v>
      </c>
      <c r="L1028" t="n">
        <v>82</v>
      </c>
      <c r="M1028" t="n">
        <v>43.77</v>
      </c>
    </row>
    <row r="1029">
      <c r="A1029" s="2" t="n">
        <v>6111301</v>
      </c>
      <c r="B1029" s="2" t="n">
        <v>70</v>
      </c>
      <c r="C1029" s="2" t="inlineStr">
        <is>
          <t>M</t>
        </is>
      </c>
      <c r="D1029" s="2" t="n">
        <v>100</v>
      </c>
      <c r="E1029" s="4">
        <f>HYPERLINK("./Results/DLO\20181201_1.2.840.113619.2.416.87665900451967536079546966158401543317_301_512_512_\Osteo_Sarco_1.png","RPT")</f>
        <v/>
      </c>
      <c r="F1029" s="3" t="n">
        <v>142</v>
      </c>
      <c r="G1029" s="3" t="n">
        <v>7</v>
      </c>
      <c r="H1029" s="6" t="n">
        <v>24.39</v>
      </c>
      <c r="I1029" s="0" t="inlineStr">
        <is>
          <t>Revolution CT</t>
        </is>
      </c>
      <c r="J1029" s="0" t="inlineStr">
        <is>
          <t>ARTERY</t>
        </is>
      </c>
      <c r="K1029" t="n">
        <v>162</v>
      </c>
      <c r="L1029" t="n">
        <v>64</v>
      </c>
      <c r="M1029" t="n">
        <v>51.44</v>
      </c>
    </row>
    <row r="1030">
      <c r="A1030" s="2" t="n">
        <v>9643269</v>
      </c>
      <c r="B1030" s="2" t="n">
        <v>70</v>
      </c>
      <c r="C1030" s="2" t="inlineStr">
        <is>
          <t>M</t>
        </is>
      </c>
      <c r="D1030" s="2" t="n">
        <v>100</v>
      </c>
      <c r="E1030" s="4">
        <f>HYPERLINK("./Results/DLO\20190401_1.3.12.2.1107.5.1.4.54310.30000019042223330837500052983_6_512_512_\Osteo_Sarco_1.png","RPT")</f>
        <v/>
      </c>
      <c r="F1030" s="3" t="n">
        <v>142</v>
      </c>
      <c r="G1030" s="3" t="n">
        <v>7</v>
      </c>
      <c r="H1030" s="6" t="n">
        <v>25.44</v>
      </c>
      <c r="I1030" s="0" t="inlineStr">
        <is>
          <t>Sensation 64</t>
        </is>
      </c>
      <c r="J1030" s="0" t="inlineStr">
        <is>
          <t>Portal 3.0 B30f</t>
        </is>
      </c>
      <c r="K1030" t="n">
        <v>171</v>
      </c>
      <c r="L1030" t="n">
        <v>74.40000000000001</v>
      </c>
      <c r="M1030" t="n">
        <v>46.17</v>
      </c>
    </row>
    <row r="1031">
      <c r="A1031" s="2" t="n">
        <v>8405801</v>
      </c>
      <c r="B1031" s="2" t="n">
        <v>70</v>
      </c>
      <c r="C1031" s="2" t="inlineStr">
        <is>
          <t>M</t>
        </is>
      </c>
      <c r="D1031" s="2" t="n">
        <v>100</v>
      </c>
      <c r="E1031" s="4">
        <f>HYPERLINK("./Results/DLO\20180201_1.2.840.113619.2.311.137116019944845267450278139592769872057_2_512_512_\Osteo_Sarco_1.png","RPT")</f>
        <v/>
      </c>
      <c r="F1031" s="3" t="n">
        <v>140</v>
      </c>
      <c r="G1031" s="3" t="n">
        <v>11</v>
      </c>
      <c r="H1031" s="6" t="n">
        <v>24.63</v>
      </c>
      <c r="I1031" s="0" t="inlineStr">
        <is>
          <t>Revolution CT</t>
        </is>
      </c>
      <c r="J1031" s="0" t="inlineStr">
        <is>
          <t>ABD</t>
        </is>
      </c>
      <c r="K1031" t="n">
        <v>160.3</v>
      </c>
      <c r="L1031" t="n">
        <v>63.3</v>
      </c>
      <c r="M1031" t="n">
        <v>50.2</v>
      </c>
    </row>
    <row r="1032">
      <c r="A1032" s="2" t="n">
        <v>6043443</v>
      </c>
      <c r="B1032" s="2" t="n">
        <v>70</v>
      </c>
      <c r="C1032" s="2" t="inlineStr">
        <is>
          <t>M</t>
        </is>
      </c>
      <c r="D1032" s="2" t="n">
        <v>100</v>
      </c>
      <c r="E1032" s="4">
        <f>HYPERLINK("./Results/DLO\20181101_1.3.12.2.1107.5.1.4.54310.30000018110723142843700015405_2_512_512_\Osteo_Sarco_1.png","RPT")</f>
        <v/>
      </c>
      <c r="F1032" s="3" t="n">
        <v>131</v>
      </c>
      <c r="G1032" s="3" t="n">
        <v>5</v>
      </c>
      <c r="H1032" s="7" t="n">
        <v>22.41</v>
      </c>
      <c r="I1032" s="0" t="inlineStr">
        <is>
          <t>Sensation 64</t>
        </is>
      </c>
      <c r="J1032" s="0" t="inlineStr">
        <is>
          <t>Pre Contrast 3.0 B30f</t>
        </is>
      </c>
      <c r="K1032" t="n">
        <v>165</v>
      </c>
      <c r="L1032" t="n">
        <v>61</v>
      </c>
      <c r="M1032" t="n">
        <v>46.28</v>
      </c>
    </row>
    <row r="1033">
      <c r="A1033" s="2" t="n">
        <v>6064983</v>
      </c>
      <c r="B1033" s="2" t="n">
        <v>70</v>
      </c>
      <c r="C1033" s="2" t="inlineStr">
        <is>
          <t>F</t>
        </is>
      </c>
      <c r="D1033" s="2" t="n">
        <v>100</v>
      </c>
      <c r="E1033" s="4">
        <f>HYPERLINK("./Results/DLO\20180501_1.3.12.2.1107.5.1.4.54310.30000018051323243418700012480_2_512_512_\Osteo_Sarco_1.png","RPT")</f>
        <v/>
      </c>
      <c r="F1033" s="3" t="n">
        <v>127</v>
      </c>
      <c r="G1033" s="3" t="n">
        <v>13</v>
      </c>
      <c r="H1033" s="6" t="n">
        <v>31.14</v>
      </c>
      <c r="I1033" s="0" t="inlineStr">
        <is>
          <t>Sensation 64</t>
        </is>
      </c>
      <c r="J1033" s="0" t="inlineStr">
        <is>
          <t>With Contrast 3.0 B30f</t>
        </is>
      </c>
      <c r="K1033" t="n">
        <v>151</v>
      </c>
      <c r="L1033" t="n">
        <v>71</v>
      </c>
      <c r="M1033" t="n">
        <v>50</v>
      </c>
    </row>
    <row r="1034">
      <c r="A1034" s="2" t="n">
        <v>5334907</v>
      </c>
      <c r="B1034" s="2" t="n">
        <v>70</v>
      </c>
      <c r="C1034" s="2" t="inlineStr">
        <is>
          <t>M</t>
        </is>
      </c>
      <c r="D1034" s="2" t="n">
        <v>100</v>
      </c>
      <c r="E1034" s="4">
        <f>HYPERLINK("./Results/DLO\20191101_1.3.12.2.1107.5.1.4.54310.30000019110422140768700000606_6_512_512_\Osteo_Sarco_1.png","RPT")</f>
        <v/>
      </c>
      <c r="F1034" s="3" t="n">
        <v>126</v>
      </c>
      <c r="G1034" s="3" t="n">
        <v>6</v>
      </c>
      <c r="H1034" s="6" t="n">
        <v>19.05</v>
      </c>
      <c r="I1034" s="0" t="inlineStr">
        <is>
          <t>Sensation 64</t>
        </is>
      </c>
      <c r="J1034" s="0" t="inlineStr">
        <is>
          <t>With Contrast 3.0 B30f</t>
        </is>
      </c>
      <c r="K1034" t="n">
        <v>160.4</v>
      </c>
      <c r="L1034" t="n">
        <v>49</v>
      </c>
      <c r="M1034" t="n">
        <v>46.64</v>
      </c>
    </row>
    <row r="1035">
      <c r="A1035" s="2" t="n">
        <v>8617768</v>
      </c>
      <c r="B1035" s="2" t="n">
        <v>70</v>
      </c>
      <c r="C1035" s="2" t="inlineStr">
        <is>
          <t>M</t>
        </is>
      </c>
      <c r="D1035" s="2" t="n">
        <v>100</v>
      </c>
      <c r="E1035" s="4">
        <f>HYPERLINK("./Results/DLO\20200601_1.3.12.2.1107.5.1.4.54310.30000020061621223378100026911_2_512_512_\Osteo_Sarco_1.png","RPT")</f>
        <v/>
      </c>
      <c r="F1035" s="3" t="n">
        <v>120</v>
      </c>
      <c r="G1035" s="3" t="n">
        <v>12</v>
      </c>
      <c r="H1035" s="6" t="n">
        <v>22.08</v>
      </c>
      <c r="I1035" s="0" t="inlineStr">
        <is>
          <t>Sensation 64</t>
        </is>
      </c>
      <c r="J1035" s="0" t="inlineStr">
        <is>
          <t>Non Contrast 2.0 B30f</t>
        </is>
      </c>
      <c r="K1035" t="n">
        <v>153.3</v>
      </c>
      <c r="L1035" t="n">
        <v>51.9</v>
      </c>
      <c r="M1035" t="n">
        <v>45.96</v>
      </c>
    </row>
    <row r="1036">
      <c r="A1036" s="2" t="n">
        <v>3375617</v>
      </c>
      <c r="B1036" s="2" t="n">
        <v>70</v>
      </c>
      <c r="C1036" s="2" t="inlineStr">
        <is>
          <t>F</t>
        </is>
      </c>
      <c r="D1036" s="2" t="n">
        <v>100</v>
      </c>
      <c r="E1036" s="4">
        <f>HYPERLINK("./Results/DLO\20180801_1.2.840.113619.2.416.219644516753919967614822264004661298111_304_512_512_\Osteo_Sarco_1.png","RPT")</f>
        <v/>
      </c>
      <c r="F1036" s="3" t="n">
        <v>118</v>
      </c>
      <c r="G1036" s="3" t="n">
        <v>12</v>
      </c>
      <c r="H1036" s="7" t="n">
        <v>28.8</v>
      </c>
      <c r="I1036" s="0" t="inlineStr">
        <is>
          <t>Revolution CT</t>
        </is>
      </c>
      <c r="J1036" s="0" t="inlineStr">
        <is>
          <t>ABD 2.5mm</t>
        </is>
      </c>
      <c r="K1036" t="n">
        <v>153.2</v>
      </c>
      <c r="L1036" t="n">
        <v>67.59999999999999</v>
      </c>
      <c r="M1036" t="n">
        <v>45.16</v>
      </c>
    </row>
    <row r="1037">
      <c r="A1037" s="2" t="n">
        <v>8743458</v>
      </c>
      <c r="B1037" s="2" t="n">
        <v>70</v>
      </c>
      <c r="C1037" s="2" t="inlineStr">
        <is>
          <t>F</t>
        </is>
      </c>
      <c r="D1037" s="2" t="n">
        <v>100</v>
      </c>
      <c r="E1037" s="4">
        <f>HYPERLINK("./Results/DLO\20180701_1.3.12.2.1107.5.1.4.54310.30000018070923233553100013190_2_512_512_\Osteo_Sarco_1.png","RPT")</f>
        <v/>
      </c>
      <c r="F1037" s="3" t="n">
        <v>117</v>
      </c>
      <c r="G1037" s="3" t="n">
        <v>19</v>
      </c>
      <c r="H1037" s="6" t="n">
        <v>29.86</v>
      </c>
      <c r="I1037" s="0" t="inlineStr">
        <is>
          <t>Sensation 64</t>
        </is>
      </c>
      <c r="J1037" s="0" t="inlineStr">
        <is>
          <t>With Contrast 3.0 B30f</t>
        </is>
      </c>
      <c r="K1037" t="n">
        <v>152</v>
      </c>
      <c r="L1037" t="n">
        <v>69</v>
      </c>
      <c r="M1037" t="n">
        <v>42.42</v>
      </c>
    </row>
    <row r="1038">
      <c r="A1038" s="2" t="n">
        <v>9563555</v>
      </c>
      <c r="B1038" s="2" t="n">
        <v>70</v>
      </c>
      <c r="C1038" s="2" t="inlineStr">
        <is>
          <t>F</t>
        </is>
      </c>
      <c r="D1038" s="2" t="n">
        <v>100</v>
      </c>
      <c r="E1038" s="4">
        <f>HYPERLINK("./Results/DLO\20190101_1.2.840.113619.2.311.270571338495570147260436258235010949022_2_512_512_\Osteo_Sarco_1.png","RPT")</f>
        <v/>
      </c>
      <c r="F1038" s="3" t="n">
        <v>117</v>
      </c>
      <c r="G1038" s="3" t="n">
        <v>8</v>
      </c>
      <c r="H1038" s="6" t="n">
        <v>26.3</v>
      </c>
      <c r="I1038" s="0" t="inlineStr">
        <is>
          <t>Revolution CT</t>
        </is>
      </c>
      <c r="J1038" s="0" t="inlineStr">
        <is>
          <t>Pre</t>
        </is>
      </c>
      <c r="K1038" t="n">
        <v>159</v>
      </c>
      <c r="L1038" t="n">
        <v>66.5</v>
      </c>
      <c r="M1038" t="n">
        <v>43.12</v>
      </c>
    </row>
    <row r="1039">
      <c r="A1039" s="2" t="n">
        <v>5050546</v>
      </c>
      <c r="B1039" s="2" t="n">
        <v>70</v>
      </c>
      <c r="C1039" s="2" t="inlineStr">
        <is>
          <t>F</t>
        </is>
      </c>
      <c r="D1039" s="2" t="n">
        <v>100</v>
      </c>
      <c r="E1039" s="4">
        <f>HYPERLINK("./Results/DLO\20190401_1.3.12.2.1107.5.1.4.65253.30000019041920290275200032908_2_512_512_\Osteo_Sarco_1.png","RPT")</f>
        <v/>
      </c>
      <c r="F1039" s="3" t="n">
        <v>116</v>
      </c>
      <c r="G1039" s="3" t="n">
        <v>13</v>
      </c>
      <c r="H1039" s="6" t="n">
        <v>29.73</v>
      </c>
      <c r="I1039" s="0" t="inlineStr">
        <is>
          <t>SOMATOM Definition AS</t>
        </is>
      </c>
      <c r="J1039" s="0" t="inlineStr">
        <is>
          <t>Pre Contrast 3.0 B30f</t>
        </is>
      </c>
      <c r="K1039" t="n">
        <v>163</v>
      </c>
      <c r="L1039" t="n">
        <v>79</v>
      </c>
      <c r="M1039" t="n">
        <v>38.77</v>
      </c>
    </row>
    <row r="1040">
      <c r="A1040" s="2" t="n">
        <v>5266746</v>
      </c>
      <c r="B1040" s="2" t="n">
        <v>70</v>
      </c>
      <c r="C1040" s="2" t="inlineStr">
        <is>
          <t>F</t>
        </is>
      </c>
      <c r="D1040" s="2" t="n">
        <v>100</v>
      </c>
      <c r="E1040" s="4">
        <f>HYPERLINK("./Results/DLO\20180301_1.3.12.2.1107.5.1.4.54310.30000018031300121125000018824_2_512_512_\Osteo_Sarco_1.png","RPT")</f>
        <v/>
      </c>
      <c r="F1040" s="3" t="n">
        <v>110</v>
      </c>
      <c r="G1040" s="3" t="n">
        <v>12</v>
      </c>
      <c r="H1040" s="6" t="n">
        <v>23.46</v>
      </c>
      <c r="I1040" s="0" t="inlineStr">
        <is>
          <t>Sensation 64</t>
        </is>
      </c>
      <c r="J1040" s="0" t="inlineStr">
        <is>
          <t>With Contrast 3.0 B30f</t>
        </is>
      </c>
      <c r="K1040" t="n">
        <v>154.5</v>
      </c>
      <c r="L1040" t="n">
        <v>56</v>
      </c>
      <c r="M1040" t="n">
        <v>41.06</v>
      </c>
    </row>
    <row r="1041">
      <c r="A1041" s="2" t="n">
        <v>5746425</v>
      </c>
      <c r="B1041" s="2" t="n">
        <v>70</v>
      </c>
      <c r="C1041" s="2" t="inlineStr">
        <is>
          <t>F</t>
        </is>
      </c>
      <c r="D1041" s="2" t="n">
        <v>100</v>
      </c>
      <c r="E1041" s="4">
        <f>HYPERLINK("./Results/DLO\20190201_1.2.840.113619.2.311.91670896944153389999196651187416161183_304_512_512_\Osteo_Sarco_1.png","RPT")</f>
        <v/>
      </c>
      <c r="F1041" s="3" t="n">
        <v>110</v>
      </c>
      <c r="G1041" s="3" t="n">
        <v>15</v>
      </c>
      <c r="H1041" s="7" t="n">
        <v>24.78</v>
      </c>
      <c r="I1041" s="0" t="inlineStr">
        <is>
          <t>Revolution CT</t>
        </is>
      </c>
      <c r="J1041" s="0" t="inlineStr">
        <is>
          <t>ABD 2.5mm</t>
        </is>
      </c>
      <c r="K1041" t="n">
        <v>153</v>
      </c>
      <c r="L1041" t="n">
        <v>58</v>
      </c>
      <c r="M1041" t="n">
        <v>40.58</v>
      </c>
    </row>
    <row r="1042">
      <c r="A1042" s="2" t="n">
        <v>9020569</v>
      </c>
      <c r="B1042" s="2" t="n">
        <v>70</v>
      </c>
      <c r="C1042" s="2" t="inlineStr">
        <is>
          <t>M</t>
        </is>
      </c>
      <c r="D1042" s="2" t="n">
        <v>100</v>
      </c>
      <c r="E1042" s="4">
        <f>HYPERLINK("./Results/DLO\20180901_1.3.12.2.1107.5.1.4.54310.30000018090523113204600026008_3_512_512_\Osteo_Sarco_1.png","RPT")</f>
        <v/>
      </c>
      <c r="F1042" s="3" t="n">
        <v>107</v>
      </c>
      <c r="G1042" s="3" t="n">
        <v>9</v>
      </c>
      <c r="H1042" s="6" t="n">
        <v>23.91</v>
      </c>
      <c r="I1042" s="0" t="inlineStr">
        <is>
          <t>Sensation 64</t>
        </is>
      </c>
      <c r="J1042" s="0" t="inlineStr">
        <is>
          <t>Pre Contrast 3.0 B30f</t>
        </is>
      </c>
      <c r="K1042" t="n">
        <v>164.5</v>
      </c>
      <c r="L1042" t="n">
        <v>64.7</v>
      </c>
      <c r="M1042" t="n">
        <v>36.22</v>
      </c>
    </row>
    <row r="1043">
      <c r="A1043" s="2" t="n">
        <v>5620325</v>
      </c>
      <c r="B1043" s="2" t="n">
        <v>70</v>
      </c>
      <c r="C1043" s="2" t="inlineStr">
        <is>
          <t>F</t>
        </is>
      </c>
      <c r="D1043" s="2" t="n">
        <v>100</v>
      </c>
      <c r="E1043" s="4">
        <f>HYPERLINK("./Results/DLO\20190401_1.3.12.2.1107.5.1.4.54310.30000019040823311228100020638_2_512_512_\Osteo_Sarco_1.png","RPT")</f>
        <v/>
      </c>
      <c r="F1043" s="3" t="n">
        <v>107</v>
      </c>
      <c r="G1043" s="3" t="n">
        <v>8</v>
      </c>
      <c r="H1043" s="6" t="n">
        <v>21.21</v>
      </c>
      <c r="I1043" s="0" t="inlineStr">
        <is>
          <t>Sensation 64</t>
        </is>
      </c>
      <c r="J1043" s="0" t="inlineStr">
        <is>
          <t>With Contrast 3.0 B30f</t>
        </is>
      </c>
      <c r="K1043" t="n">
        <v>152</v>
      </c>
      <c r="L1043" t="n">
        <v>49</v>
      </c>
      <c r="M1043" t="n">
        <v>42.85</v>
      </c>
    </row>
    <row r="1044">
      <c r="A1044" s="2" t="n">
        <v>8902746</v>
      </c>
      <c r="B1044" s="2" t="n">
        <v>70</v>
      </c>
      <c r="C1044" s="2" t="inlineStr">
        <is>
          <t>F</t>
        </is>
      </c>
      <c r="D1044" s="2" t="n">
        <v>100</v>
      </c>
      <c r="E1044" s="4">
        <f>HYPERLINK("./Results/DLO\20180701_1.3.12.2.1107.5.1.4.54310.30000018070523140267100036052_4_512_512_\Osteo_Sarco_1.png","RPT")</f>
        <v/>
      </c>
      <c r="F1044" s="3" t="n">
        <v>105</v>
      </c>
      <c r="G1044" s="3" t="n">
        <v>15</v>
      </c>
      <c r="H1044" s="6" t="n">
        <v>22.46</v>
      </c>
      <c r="I1044" s="0" t="inlineStr">
        <is>
          <t>Sensation 64</t>
        </is>
      </c>
      <c r="J1044" s="0" t="inlineStr">
        <is>
          <t>Arterial 3.0 B30f</t>
        </is>
      </c>
      <c r="K1044" t="n">
        <v>160</v>
      </c>
      <c r="L1044" t="n">
        <v>57.5</v>
      </c>
      <c r="M1044" t="n">
        <v>35.16</v>
      </c>
    </row>
    <row r="1045">
      <c r="A1045" s="2" t="n">
        <v>1523339</v>
      </c>
      <c r="B1045" s="2" t="n">
        <v>70</v>
      </c>
      <c r="C1045" s="2" t="inlineStr">
        <is>
          <t>F</t>
        </is>
      </c>
      <c r="D1045" s="2" t="n">
        <v>100</v>
      </c>
      <c r="E1045" s="4">
        <f>HYPERLINK("./Results/DLO\20180801_1.3.12.2.1107.5.1.4.54310.30000018073123323842100027244_2_512_512_\Osteo_Sarco_1.png","RPT")</f>
        <v/>
      </c>
      <c r="F1045" s="3" t="n">
        <v>105</v>
      </c>
      <c r="G1045" s="3" t="n">
        <v>15</v>
      </c>
      <c r="H1045" s="6" t="n">
        <v>28.89</v>
      </c>
      <c r="I1045" s="0" t="inlineStr">
        <is>
          <t>Sensation 64</t>
        </is>
      </c>
      <c r="J1045" s="0" t="inlineStr">
        <is>
          <t>With Contrast 3.0 B30f</t>
        </is>
      </c>
      <c r="K1045" t="n">
        <v>157.2</v>
      </c>
      <c r="L1045" t="n">
        <v>71.40000000000001</v>
      </c>
      <c r="M1045" t="n">
        <v>36.42</v>
      </c>
    </row>
    <row r="1046">
      <c r="A1046" s="2" t="n">
        <v>6078214</v>
      </c>
      <c r="B1046" s="2" t="n">
        <v>70</v>
      </c>
      <c r="C1046" s="2" t="inlineStr">
        <is>
          <t>F</t>
        </is>
      </c>
      <c r="D1046" s="2" t="n">
        <v>100</v>
      </c>
      <c r="E1046" s="4">
        <f>HYPERLINK("./Results/DLO\20190101_1.3.46.670589.33.1.63683771087581805600001.5097520679345661300_201_512_512_\Osteo_Sarco_1.png","RPT")</f>
        <v/>
      </c>
      <c r="F1046" s="3" t="n">
        <v>105</v>
      </c>
      <c r="G1046" s="3" t="n">
        <v>12</v>
      </c>
      <c r="H1046" s="7" t="n">
        <v>26.67</v>
      </c>
      <c r="I1046" s="0" t="inlineStr">
        <is>
          <t>Ingenuity Core 128</t>
        </is>
      </c>
      <c r="J1046" s="0" t="inlineStr">
        <is>
          <t>Post 3mm, iDose (3)</t>
        </is>
      </c>
      <c r="K1046" t="n">
        <v>150</v>
      </c>
      <c r="L1046" t="n">
        <v>60</v>
      </c>
      <c r="M1046" t="n">
        <v>41.33</v>
      </c>
    </row>
    <row r="1047">
      <c r="A1047" s="2" t="n">
        <v>5200529</v>
      </c>
      <c r="B1047" s="2" t="n">
        <v>70</v>
      </c>
      <c r="C1047" s="2" t="inlineStr">
        <is>
          <t>F</t>
        </is>
      </c>
      <c r="D1047" s="2" t="n">
        <v>100</v>
      </c>
      <c r="E1047" s="4">
        <f>HYPERLINK("./Results/DLO\20180701_1.2.840.113619.2.311.293637229565030878823533414550022550290_304_512_512_\Osteo_Sarco_1.png","RPT")</f>
        <v/>
      </c>
      <c r="F1047" s="3" t="n">
        <v>104</v>
      </c>
      <c r="G1047" s="3" t="n">
        <v>11</v>
      </c>
      <c r="H1047" s="7" t="n">
        <v>21.79</v>
      </c>
      <c r="I1047" s="0" t="inlineStr">
        <is>
          <t>Revolution CT</t>
        </is>
      </c>
      <c r="J1047" s="0" t="inlineStr">
        <is>
          <t>ABD 2.5mm</t>
        </is>
      </c>
      <c r="K1047" t="n">
        <v>158.3</v>
      </c>
      <c r="L1047" t="n">
        <v>54.6</v>
      </c>
      <c r="M1047" t="n">
        <v>37.11</v>
      </c>
    </row>
    <row r="1048">
      <c r="A1048" s="2" t="n">
        <v>5365307</v>
      </c>
      <c r="B1048" s="2" t="n">
        <v>70</v>
      </c>
      <c r="C1048" s="2" t="inlineStr">
        <is>
          <t>M</t>
        </is>
      </c>
      <c r="D1048" s="2" t="n">
        <v>100</v>
      </c>
      <c r="E1048" s="4">
        <f>HYPERLINK("./Results/DLO\20191101_1.3.12.2.1107.5.1.4.54310.30000019111421210187500007103_2_512_512_\Osteo_Sarco_1.png","RPT")</f>
        <v/>
      </c>
      <c r="F1048" s="3" t="n">
        <v>100</v>
      </c>
      <c r="G1048" s="3" t="n">
        <v>6</v>
      </c>
      <c r="H1048" s="7" t="n">
        <v>20.58</v>
      </c>
      <c r="I1048" s="0" t="inlineStr">
        <is>
          <t>Sensation 64</t>
        </is>
      </c>
      <c r="J1048" s="0" t="inlineStr">
        <is>
          <t>Pre Contrast 3.0 B30f</t>
        </is>
      </c>
      <c r="K1048" t="n">
        <v>162</v>
      </c>
      <c r="L1048" t="n">
        <v>54</v>
      </c>
      <c r="M1048" t="n">
        <v>35.82</v>
      </c>
    </row>
    <row r="1049">
      <c r="A1049" s="2" t="n">
        <v>9000422</v>
      </c>
      <c r="B1049" s="2" t="n">
        <v>71</v>
      </c>
      <c r="C1049" s="2" t="inlineStr">
        <is>
          <t>M</t>
        </is>
      </c>
      <c r="D1049" s="2" t="n">
        <v>100</v>
      </c>
      <c r="E1049" s="4">
        <f>HYPERLINK("./Results/DLO\20190101_1.3.12.2.1107.5.1.4.54310.30000019010323190642100047368_2_512_512_\Osteo_Sarco_1.png","RPT")</f>
        <v/>
      </c>
      <c r="F1049" s="3" t="n">
        <v>96</v>
      </c>
      <c r="G1049" s="3" t="n">
        <v>18</v>
      </c>
      <c r="H1049" s="6" t="n">
        <v>24.12</v>
      </c>
      <c r="I1049" s="0" t="inlineStr">
        <is>
          <t>Sensation 64</t>
        </is>
      </c>
      <c r="J1049" s="0" t="inlineStr">
        <is>
          <t>Non Contrast 2.0 B30f</t>
        </is>
      </c>
      <c r="K1049" t="n">
        <v>156.4</v>
      </c>
      <c r="L1049" t="n">
        <v>59</v>
      </c>
      <c r="M1049" t="n">
        <v>31.89</v>
      </c>
    </row>
    <row r="1050">
      <c r="A1050" s="2" t="n">
        <v>5859043</v>
      </c>
      <c r="B1050" s="2" t="n">
        <v>71</v>
      </c>
      <c r="C1050" s="2" t="inlineStr">
        <is>
          <t>F</t>
        </is>
      </c>
      <c r="D1050" s="2" t="n">
        <v>100</v>
      </c>
      <c r="E1050" s="4">
        <f>HYPERLINK("./Results/DLO\20180101_1.3.12.2.1107.5.1.4.65253.30000018012518422276800019751_2_512_512_\Osteo_Sarco_1.png","RPT")</f>
        <v/>
      </c>
      <c r="F1050" s="3" t="n">
        <v>89</v>
      </c>
      <c r="G1050" s="3" t="n">
        <v>6</v>
      </c>
      <c r="H1050" s="7" t="n">
        <v>23.44</v>
      </c>
      <c r="I1050" s="0" t="inlineStr">
        <is>
          <t>SOMATOM Definition AS</t>
        </is>
      </c>
      <c r="J1050" s="0" t="inlineStr">
        <is>
          <t>Pre Contrast 3.0 B4Of</t>
        </is>
      </c>
      <c r="K1050" t="n">
        <v>160</v>
      </c>
      <c r="L1050" t="n">
        <v>60</v>
      </c>
      <c r="M1050" t="n">
        <v>32.42</v>
      </c>
    </row>
    <row r="1051">
      <c r="A1051" s="2" t="n">
        <v>2532183</v>
      </c>
      <c r="B1051" s="2" t="n">
        <v>71</v>
      </c>
      <c r="C1051" s="2" t="inlineStr">
        <is>
          <t>F</t>
        </is>
      </c>
      <c r="D1051" s="2" t="n">
        <v>100</v>
      </c>
      <c r="E1051" s="4">
        <f>HYPERLINK("./Results/DLO\20191101_1.2.840.113619.2.416.117615433373519038515427808731357590884_310_512_512_\Osteo_Sarco_1.png","RPT")</f>
        <v/>
      </c>
      <c r="F1051" s="3" t="n">
        <v>78</v>
      </c>
      <c r="G1051" s="3" t="n">
        <v>12</v>
      </c>
      <c r="H1051" s="6" t="n">
        <v>19.95</v>
      </c>
      <c r="I1051" s="0" t="inlineStr">
        <is>
          <t>Revolution CT</t>
        </is>
      </c>
      <c r="J1051" s="0" t="inlineStr">
        <is>
          <t>ABD</t>
        </is>
      </c>
      <c r="K1051" t="n">
        <v>158</v>
      </c>
      <c r="L1051" t="n">
        <v>49.8</v>
      </c>
      <c r="M1051" t="n">
        <v>26.44</v>
      </c>
    </row>
    <row r="1052">
      <c r="A1052" s="2" t="n">
        <v>8886866</v>
      </c>
      <c r="B1052" s="2" t="n">
        <v>71</v>
      </c>
      <c r="C1052" s="2" t="inlineStr">
        <is>
          <t>M</t>
        </is>
      </c>
      <c r="D1052" s="2" t="n">
        <v>100</v>
      </c>
      <c r="E1052" s="4">
        <f>HYPERLINK("./Results/DLO\20190701_1.3.12.2.1107.5.1.4.54310.30000019071022051254600023823_4_512_512_\Osteo_Sarco_1.png","RPT")</f>
        <v/>
      </c>
      <c r="F1052" s="3" t="n">
        <v>145</v>
      </c>
      <c r="G1052" s="3" t="n">
        <v>14</v>
      </c>
      <c r="H1052" s="7" t="n">
        <v>21.45</v>
      </c>
      <c r="I1052" s="0" t="inlineStr">
        <is>
          <t>Sensation 64</t>
        </is>
      </c>
      <c r="J1052" s="0" t="inlineStr">
        <is>
          <t>Non Contrast 2.0 B30f</t>
        </is>
      </c>
      <c r="K1052" t="n">
        <v>170</v>
      </c>
      <c r="L1052" t="n">
        <v>62</v>
      </c>
      <c r="M1052" t="n">
        <v>45.33</v>
      </c>
    </row>
    <row r="1053">
      <c r="A1053" s="2" t="n">
        <v>8301141</v>
      </c>
      <c r="B1053" s="2" t="n">
        <v>71</v>
      </c>
      <c r="C1053" s="2" t="inlineStr">
        <is>
          <t>M</t>
        </is>
      </c>
      <c r="D1053" s="2" t="n">
        <v>100</v>
      </c>
      <c r="E1053" s="4">
        <f>HYPERLINK("./Results/DLO\_1.2.410.100011.172.16.68.202.6366976474699110021.6.6_6_512_512_\Osteo_Sarco_1.png","RPT")</f>
        <v/>
      </c>
      <c r="F1053" s="3" t="n">
        <v>142</v>
      </c>
      <c r="G1053" s="3" t="n">
        <v>9</v>
      </c>
      <c r="H1053" s="6" t="n">
        <v>25.39</v>
      </c>
      <c r="I1053" s="0" t="inlineStr">
        <is>
          <t>Brilliance 64</t>
        </is>
      </c>
      <c r="J1053" s="0" t="inlineStr">
        <is>
          <t>Portal</t>
        </is>
      </c>
      <c r="K1053" t="n">
        <v>160</v>
      </c>
      <c r="L1053" t="n">
        <v>65</v>
      </c>
      <c r="M1053" t="n">
        <v>51.95</v>
      </c>
    </row>
    <row r="1054">
      <c r="A1054" s="2" t="n">
        <v>5814714</v>
      </c>
      <c r="B1054" s="2" t="n">
        <v>71</v>
      </c>
      <c r="C1054" s="2" t="inlineStr">
        <is>
          <t>M</t>
        </is>
      </c>
      <c r="D1054" s="2" t="n">
        <v>100</v>
      </c>
      <c r="E1054" s="4">
        <f>HYPERLINK("./Results/DLO\20180701_1.3.12.2.1107.5.1.4.65253.30000018070320313535300030041_2_512_512_\Osteo_Sarco_1.png","RPT")</f>
        <v/>
      </c>
      <c r="F1054" s="3" t="n">
        <v>141</v>
      </c>
      <c r="G1054" s="3" t="n">
        <v>20</v>
      </c>
      <c r="H1054" s="7" t="n">
        <v>23.88</v>
      </c>
      <c r="I1054" s="0" t="inlineStr">
        <is>
          <t>SOMATOM Definition AS</t>
        </is>
      </c>
      <c r="J1054" s="0" t="inlineStr">
        <is>
          <t>W/O Contrast 2.0 B30f</t>
        </is>
      </c>
      <c r="K1054" t="n">
        <v>170</v>
      </c>
      <c r="L1054" t="n">
        <v>69</v>
      </c>
      <c r="M1054" t="n">
        <v>41.87</v>
      </c>
    </row>
    <row r="1055">
      <c r="A1055" s="2" t="n">
        <v>5025472</v>
      </c>
      <c r="B1055" s="2" t="n">
        <v>71</v>
      </c>
      <c r="C1055" s="2" t="inlineStr">
        <is>
          <t>M</t>
        </is>
      </c>
      <c r="D1055" s="2" t="n">
        <v>100</v>
      </c>
      <c r="E1055" s="4">
        <f>HYPERLINK("./Results/DLO\20190301_1.3.46.670589.33.1.63688156403785853000001.4920919614580405203_201_512_512_\Osteo_Sarco_1.png","RPT")</f>
        <v/>
      </c>
      <c r="F1055" s="3" t="n">
        <v>140</v>
      </c>
      <c r="G1055" s="3" t="n">
        <v>19</v>
      </c>
      <c r="H1055" s="7" t="n">
        <v>22.96</v>
      </c>
      <c r="I1055" s="0" t="inlineStr">
        <is>
          <t>Ingenuity Core 128</t>
        </is>
      </c>
      <c r="J1055" s="0" t="inlineStr">
        <is>
          <t>Post 3mm, iDose (3)</t>
        </is>
      </c>
      <c r="K1055" t="n">
        <v>178.3</v>
      </c>
      <c r="L1055" t="n">
        <v>73</v>
      </c>
      <c r="M1055" t="n">
        <v>38.06</v>
      </c>
    </row>
    <row r="1056">
      <c r="A1056" s="2" t="n">
        <v>9732595</v>
      </c>
      <c r="B1056" s="2" t="n">
        <v>71</v>
      </c>
      <c r="C1056" s="2" t="inlineStr">
        <is>
          <t>M</t>
        </is>
      </c>
      <c r="D1056" s="2" t="n">
        <v>100</v>
      </c>
      <c r="E1056" s="4">
        <f>HYPERLINK("./Results/DLO\20190701_1.2.410.100011.172.24.16.218.6369878026676547681.2_2_512_512_\Osteo_Sarco_1.png","RPT")</f>
        <v/>
      </c>
      <c r="F1056" s="3" t="n">
        <v>140</v>
      </c>
      <c r="G1056" s="3" t="n">
        <v>6</v>
      </c>
      <c r="H1056" s="7" t="n">
        <v>24.16</v>
      </c>
      <c r="I1056" s="0" t="inlineStr">
        <is>
          <t>Revolution CT</t>
        </is>
      </c>
      <c r="J1056" s="0" t="inlineStr">
        <is>
          <t>Artery 1.25</t>
        </is>
      </c>
      <c r="K1056" t="n">
        <v>175</v>
      </c>
      <c r="L1056" t="n">
        <v>74</v>
      </c>
      <c r="M1056" t="n">
        <v>43.76</v>
      </c>
    </row>
    <row r="1057">
      <c r="A1057" s="2" t="n">
        <v>5025808</v>
      </c>
      <c r="B1057" s="2" t="n">
        <v>71</v>
      </c>
      <c r="C1057" s="2" t="inlineStr">
        <is>
          <t>M</t>
        </is>
      </c>
      <c r="D1057" s="2" t="n">
        <v>100</v>
      </c>
      <c r="E1057" s="4">
        <f>HYPERLINK("./Results/DLO\20191001_1.3.12.2.1107.5.1.4.54310.30000019102122323492100020170_3_512_512_\Osteo_Sarco_1.png","RPT")</f>
        <v/>
      </c>
      <c r="F1057" s="3" t="n">
        <v>139</v>
      </c>
      <c r="G1057" s="3" t="n">
        <v>5</v>
      </c>
      <c r="H1057" s="7" t="n">
        <v>24.45</v>
      </c>
      <c r="I1057" s="0" t="inlineStr">
        <is>
          <t>Sensation 64</t>
        </is>
      </c>
      <c r="J1057" s="0" t="inlineStr">
        <is>
          <t>With Contrast 3.0 B30f</t>
        </is>
      </c>
      <c r="K1057" t="n">
        <v>168</v>
      </c>
      <c r="L1057" t="n">
        <v>69</v>
      </c>
      <c r="M1057" t="n">
        <v>47.48</v>
      </c>
    </row>
    <row r="1058">
      <c r="A1058" s="2" t="n">
        <v>9019431</v>
      </c>
      <c r="B1058" s="2" t="n">
        <v>71</v>
      </c>
      <c r="C1058" s="2" t="inlineStr">
        <is>
          <t>M</t>
        </is>
      </c>
      <c r="D1058" s="2" t="n">
        <v>100</v>
      </c>
      <c r="E1058" s="4">
        <f>HYPERLINK("./Results/DLO\20190801_1.3.12.2.1107.5.1.4.54310.30000019081822233132800006318_3_512_512_\Osteo_Sarco_1.png","RPT")</f>
        <v/>
      </c>
      <c r="F1058" s="3" t="n">
        <v>128</v>
      </c>
      <c r="G1058" s="3" t="n">
        <v>13</v>
      </c>
      <c r="H1058" s="7" t="n">
        <v>21.98</v>
      </c>
      <c r="I1058" s="0" t="inlineStr">
        <is>
          <t>Sensation 64</t>
        </is>
      </c>
      <c r="J1058" s="0" t="inlineStr">
        <is>
          <t>Pre Contrast 3.0 B30f</t>
        </is>
      </c>
      <c r="K1058" t="n">
        <v>173.8</v>
      </c>
      <c r="L1058" t="n">
        <v>66.40000000000001</v>
      </c>
      <c r="M1058" t="n">
        <v>38.07</v>
      </c>
    </row>
    <row r="1059">
      <c r="A1059" s="2" t="n">
        <v>9003758</v>
      </c>
      <c r="B1059" s="2" t="n">
        <v>71</v>
      </c>
      <c r="C1059" s="2" t="inlineStr">
        <is>
          <t>M</t>
        </is>
      </c>
      <c r="D1059" s="2" t="n">
        <v>100</v>
      </c>
      <c r="E1059" s="4">
        <f>HYPERLINK("./Results/DLO\20180301_1.2.840.113619.2.416.273500446796026859860975468821710879545_302_512_512_\Osteo_Sarco_1.png","RPT")</f>
        <v/>
      </c>
      <c r="F1059" s="3" t="n">
        <v>125</v>
      </c>
      <c r="G1059" s="3" t="n">
        <v>10</v>
      </c>
      <c r="H1059" s="7" t="n">
        <v>25.14</v>
      </c>
      <c r="I1059" s="0" t="inlineStr">
        <is>
          <t>Revolution CT</t>
        </is>
      </c>
      <c r="J1059" s="0" t="inlineStr">
        <is>
          <t>PORTAL</t>
        </is>
      </c>
      <c r="K1059" t="n">
        <v>164.7</v>
      </c>
      <c r="L1059" t="n">
        <v>68.2</v>
      </c>
      <c r="M1059" t="n">
        <v>42.39</v>
      </c>
    </row>
    <row r="1060">
      <c r="A1060" s="2" t="n">
        <v>9594132</v>
      </c>
      <c r="B1060" s="2" t="n">
        <v>71</v>
      </c>
      <c r="C1060" s="2" t="inlineStr">
        <is>
          <t>M</t>
        </is>
      </c>
      <c r="D1060" s="2" t="n">
        <v>100</v>
      </c>
      <c r="E1060" s="4">
        <f>HYPERLINK("./Results/DLO\20190301_1.3.12.2.1107.5.1.4.54310.30000019031723585393700003023_2_512_512_\Osteo_Sarco_1.png","RPT")</f>
        <v/>
      </c>
      <c r="F1060" s="3" t="n">
        <v>121</v>
      </c>
      <c r="G1060" s="3" t="n">
        <v>7</v>
      </c>
      <c r="H1060" s="6" t="n">
        <v>25.08</v>
      </c>
      <c r="I1060" s="0" t="inlineStr">
        <is>
          <t>Sensation 64</t>
        </is>
      </c>
      <c r="J1060" s="0" t="inlineStr">
        <is>
          <t>With Contrast 3.0 B30f</t>
        </is>
      </c>
      <c r="K1060" t="n">
        <v>161</v>
      </c>
      <c r="L1060" t="n">
        <v>65</v>
      </c>
      <c r="M1060" t="n">
        <v>43.98</v>
      </c>
    </row>
    <row r="1061">
      <c r="A1061" s="2" t="n">
        <v>5664059</v>
      </c>
      <c r="B1061" s="2" t="n">
        <v>71</v>
      </c>
      <c r="C1061" s="2" t="inlineStr">
        <is>
          <t>M</t>
        </is>
      </c>
      <c r="D1061" s="2" t="n">
        <v>100</v>
      </c>
      <c r="E1061" s="4">
        <f>HYPERLINK("./Results/DLO\20180301_1.2.840.113619.2.311.10082742672200402137598027215649793261_2_512_512_\Osteo_Sarco_1.png","RPT")</f>
        <v/>
      </c>
      <c r="F1061" s="3" t="n">
        <v>110</v>
      </c>
      <c r="G1061" s="3" t="n">
        <v>11</v>
      </c>
      <c r="H1061" s="6" t="n">
        <v>25.12</v>
      </c>
      <c r="I1061" s="0" t="inlineStr">
        <is>
          <t>Revolution CT</t>
        </is>
      </c>
      <c r="J1061" s="0" t="inlineStr">
        <is>
          <t>Pre</t>
        </is>
      </c>
      <c r="K1061" t="n">
        <v>166.8</v>
      </c>
      <c r="L1061" t="n">
        <v>69.90000000000001</v>
      </c>
      <c r="M1061" t="n">
        <v>35.58</v>
      </c>
    </row>
    <row r="1062">
      <c r="A1062" s="2" t="n">
        <v>9838226</v>
      </c>
      <c r="B1062" s="2" t="n">
        <v>71</v>
      </c>
      <c r="C1062" s="2" t="inlineStr">
        <is>
          <t>F</t>
        </is>
      </c>
      <c r="D1062" s="2" t="n">
        <v>100</v>
      </c>
      <c r="E1062" s="4">
        <f>HYPERLINK("./Results/DLO\20191101_1.2.840.113619.2.416.277597838875436572900990895221757144278_310_512_512_\Osteo_Sarco_1.png","RPT")</f>
        <v/>
      </c>
      <c r="F1062" s="3" t="n">
        <v>108</v>
      </c>
      <c r="G1062" s="3" t="n">
        <v>10</v>
      </c>
      <c r="H1062" s="6" t="n">
        <v>25.14</v>
      </c>
      <c r="I1062" s="0" t="inlineStr">
        <is>
          <t>Revolution CT</t>
        </is>
      </c>
      <c r="J1062" s="0" t="inlineStr">
        <is>
          <t>ABD</t>
        </is>
      </c>
      <c r="K1062" t="n">
        <v>155</v>
      </c>
      <c r="L1062" t="n">
        <v>60.4</v>
      </c>
      <c r="M1062" t="n">
        <v>40.79</v>
      </c>
    </row>
    <row r="1063">
      <c r="A1063" s="2" t="n">
        <v>8541260</v>
      </c>
      <c r="B1063" s="2" t="n">
        <v>71</v>
      </c>
      <c r="C1063" s="2" t="inlineStr">
        <is>
          <t>F</t>
        </is>
      </c>
      <c r="D1063" s="2" t="n">
        <v>100</v>
      </c>
      <c r="E1063" s="4">
        <f>HYPERLINK("./Results/DLO\20200601_1.3.12.2.1107.5.1.4.65253.30000020062801121580100036510_6_512_512_\Osteo_Sarco_1.png","RPT")</f>
        <v/>
      </c>
      <c r="F1063" s="3" t="n">
        <v>106</v>
      </c>
      <c r="G1063" s="3" t="n">
        <v>14</v>
      </c>
      <c r="H1063" s="6" t="n">
        <v>29.28</v>
      </c>
      <c r="I1063" s="0" t="inlineStr">
        <is>
          <t>SOMATOM Definition AS</t>
        </is>
      </c>
      <c r="J1063" s="0" t="inlineStr">
        <is>
          <t>Portal Phase 3.0 B30f</t>
        </is>
      </c>
      <c r="K1063" t="n">
        <v>152.4</v>
      </c>
      <c r="L1063" t="n">
        <v>68</v>
      </c>
      <c r="M1063" t="n">
        <v>39.61</v>
      </c>
    </row>
    <row r="1064">
      <c r="A1064" s="2" t="n">
        <v>4589435</v>
      </c>
      <c r="B1064" s="2" t="n">
        <v>71</v>
      </c>
      <c r="C1064" s="2" t="inlineStr">
        <is>
          <t>F</t>
        </is>
      </c>
      <c r="D1064" s="2" t="n">
        <v>100</v>
      </c>
      <c r="E1064" s="4">
        <f>HYPERLINK("./Results/DLO\20181001_1.2.840.113619.2.311.339968714793963488570273759994790712575_304_512_512_\Osteo_Sarco_1.png","RPT")</f>
        <v/>
      </c>
      <c r="F1064" s="3" t="n">
        <v>103</v>
      </c>
      <c r="G1064" s="3" t="n">
        <v>17</v>
      </c>
      <c r="H1064" s="7" t="n">
        <v>22.86</v>
      </c>
      <c r="I1064" s="0" t="inlineStr">
        <is>
          <t>Revolution CT</t>
        </is>
      </c>
      <c r="J1064" s="0" t="inlineStr">
        <is>
          <t>ABD 2.5mm</t>
        </is>
      </c>
      <c r="K1064" t="n">
        <v>162</v>
      </c>
      <c r="L1064" t="n">
        <v>60</v>
      </c>
      <c r="M1064" t="n">
        <v>32.77</v>
      </c>
    </row>
    <row r="1065">
      <c r="A1065" s="2" t="n">
        <v>5543083</v>
      </c>
      <c r="B1065" s="2" t="n">
        <v>71</v>
      </c>
      <c r="C1065" s="2" t="inlineStr">
        <is>
          <t>F</t>
        </is>
      </c>
      <c r="D1065" s="2" t="n">
        <v>100</v>
      </c>
      <c r="E1065" s="4">
        <f>HYPERLINK("./Results/DLO\20181101_1.2.840.113619.2.94.485650834948.2.9222339.20072880.1_2_512_512_\Osteo_Sarco_1.png","RPT")</f>
        <v/>
      </c>
      <c r="F1065" s="3" t="n">
        <v>102</v>
      </c>
      <c r="G1065" s="3" t="n">
        <v>12</v>
      </c>
      <c r="H1065" s="6" t="n">
        <v>22.16</v>
      </c>
      <c r="I1065" s="0" t="inlineStr">
        <is>
          <t>Sensation 64</t>
        </is>
      </c>
      <c r="J1065" s="0" t="inlineStr">
        <is>
          <t>With Contrast 3.0 B30f</t>
        </is>
      </c>
      <c r="K1065" t="n">
        <v>152.9</v>
      </c>
      <c r="L1065" t="n">
        <v>51.8</v>
      </c>
      <c r="M1065" t="n">
        <v>38.5</v>
      </c>
    </row>
    <row r="1066">
      <c r="A1066" s="2" t="n">
        <v>8550585</v>
      </c>
      <c r="B1066" s="2" t="n">
        <v>71</v>
      </c>
      <c r="C1066" s="2" t="inlineStr">
        <is>
          <t>F</t>
        </is>
      </c>
      <c r="D1066" s="2" t="n">
        <v>100</v>
      </c>
      <c r="E1066" s="4">
        <f>HYPERLINK("./Results/DLO\20190501_1.3.12.2.1107.5.1.4.54310.30000019050621080129600039884_2_512_512_\Osteo_Sarco_1.png","RPT")</f>
        <v/>
      </c>
      <c r="F1066" s="3" t="n">
        <v>101</v>
      </c>
      <c r="G1066" s="3" t="n">
        <v>19</v>
      </c>
      <c r="H1066" s="6" t="n">
        <v>25.97</v>
      </c>
      <c r="I1066" s="0" t="inlineStr">
        <is>
          <t>Sensation 64</t>
        </is>
      </c>
      <c r="J1066" s="0" t="inlineStr">
        <is>
          <t>Pre Contrast 3.0 B30f</t>
        </is>
      </c>
      <c r="K1066" t="n">
        <v>152</v>
      </c>
      <c r="L1066" t="n">
        <v>60</v>
      </c>
      <c r="M1066" t="n">
        <v>35.49</v>
      </c>
    </row>
    <row r="1067">
      <c r="A1067" s="2" t="n">
        <v>5690482</v>
      </c>
      <c r="B1067" s="2" t="n">
        <v>71</v>
      </c>
      <c r="C1067" s="2" t="inlineStr">
        <is>
          <t>F</t>
        </is>
      </c>
      <c r="D1067" s="2" t="n">
        <v>100</v>
      </c>
      <c r="E1067" s="4">
        <f>HYPERLINK("./Results/DLO\20181101_1.3.12.2.1107.5.1.4.54310.30000018110623281529600007328_2_512_512_\Osteo_Sarco_1.png","RPT")</f>
        <v/>
      </c>
      <c r="F1067" s="3" t="n">
        <v>100</v>
      </c>
      <c r="G1067" s="3" t="n">
        <v>16</v>
      </c>
      <c r="H1067" s="7" t="n">
        <v>23.01</v>
      </c>
      <c r="I1067" s="0" t="inlineStr">
        <is>
          <t>Sensation 64</t>
        </is>
      </c>
      <c r="J1067" s="0" t="inlineStr">
        <is>
          <t>With Contrast 3.0 B30f</t>
        </is>
      </c>
      <c r="K1067" t="n">
        <v>156</v>
      </c>
      <c r="L1067" t="n">
        <v>56</v>
      </c>
      <c r="M1067" t="n">
        <v>34.52</v>
      </c>
    </row>
    <row r="1068">
      <c r="A1068" s="2" t="n">
        <v>5021061</v>
      </c>
      <c r="B1068" s="2" t="n">
        <v>71</v>
      </c>
      <c r="C1068" s="2" t="inlineStr">
        <is>
          <t>F</t>
        </is>
      </c>
      <c r="D1068" s="2" t="n">
        <v>100</v>
      </c>
      <c r="E1068" s="4">
        <f>HYPERLINK("./Results/DLO\20191201_1.3.12.2.1107.5.1.4.54310.30000019120222244193700047603_7_512_512_\Osteo_Sarco_1.png","RPT")</f>
        <v/>
      </c>
      <c r="F1068" s="3" t="n">
        <v>54</v>
      </c>
      <c r="G1068" s="3" t="n">
        <v>3</v>
      </c>
      <c r="H1068" s="6" t="n">
        <v>26.1</v>
      </c>
      <c r="I1068" s="0" t="inlineStr">
        <is>
          <t>Sensation 64</t>
        </is>
      </c>
      <c r="J1068" s="0" t="inlineStr">
        <is>
          <t>Portal 3.0 B30f</t>
        </is>
      </c>
      <c r="K1068" t="n">
        <v>138</v>
      </c>
      <c r="L1068" t="n">
        <v>49.7</v>
      </c>
      <c r="M1068" t="n">
        <v>26.78</v>
      </c>
    </row>
    <row r="1069">
      <c r="A1069" s="2" t="n">
        <v>5552894</v>
      </c>
      <c r="B1069" s="2" t="n">
        <v>72</v>
      </c>
      <c r="C1069" s="2" t="inlineStr">
        <is>
          <t>F</t>
        </is>
      </c>
      <c r="D1069" s="2" t="n">
        <v>100</v>
      </c>
      <c r="E1069" s="4">
        <f>HYPERLINK("./Results/DLO\20180601_1.2.840.113619.2.94.485650834948.2.8902960.19286451.1_2_512_512_\Osteo_Sarco_1.png","RPT")</f>
        <v/>
      </c>
      <c r="F1069" s="3" t="n">
        <v>98</v>
      </c>
      <c r="G1069" s="3" t="n">
        <v>8</v>
      </c>
      <c r="H1069" s="7" t="n">
        <v>23.29</v>
      </c>
      <c r="I1069" s="0" t="inlineStr">
        <is>
          <t>Sensation 64</t>
        </is>
      </c>
      <c r="J1069" s="0" t="inlineStr">
        <is>
          <t>With Contrast 3.0 B30f</t>
        </is>
      </c>
      <c r="K1069" t="n">
        <v>157</v>
      </c>
      <c r="L1069" t="n">
        <v>57.4</v>
      </c>
      <c r="M1069" t="n">
        <v>36.51</v>
      </c>
    </row>
    <row r="1070">
      <c r="A1070" s="2" t="n">
        <v>5804935</v>
      </c>
      <c r="B1070" s="2" t="n">
        <v>72</v>
      </c>
      <c r="C1070" s="2" t="inlineStr">
        <is>
          <t>F</t>
        </is>
      </c>
      <c r="D1070" s="2" t="n">
        <v>100</v>
      </c>
      <c r="E1070" s="4">
        <f>HYPERLINK("./Results/DLO\20190501_1.3.46.670589.33.1.63694111785475686500001.4888831504625242592_201_512_512_\Osteo_Sarco_1.png","RPT")</f>
        <v/>
      </c>
      <c r="F1070" s="3" t="n">
        <v>96</v>
      </c>
      <c r="G1070" s="3" t="n">
        <v>12</v>
      </c>
      <c r="H1070" s="7" t="n">
        <v>21.36</v>
      </c>
      <c r="I1070" s="0" t="inlineStr">
        <is>
          <t>Ingenuity Core 128</t>
        </is>
      </c>
      <c r="J1070" s="0" t="inlineStr">
        <is>
          <t>Post 3mm, iDose (3)</t>
        </is>
      </c>
      <c r="K1070" t="n">
        <v>159</v>
      </c>
      <c r="L1070" t="n">
        <v>54</v>
      </c>
      <c r="M1070" t="n">
        <v>33.23</v>
      </c>
    </row>
    <row r="1071">
      <c r="A1071" s="2" t="n">
        <v>5113232</v>
      </c>
      <c r="B1071" s="2" t="n">
        <v>72</v>
      </c>
      <c r="C1071" s="2" t="inlineStr">
        <is>
          <t>F</t>
        </is>
      </c>
      <c r="D1071" s="2" t="n">
        <v>100</v>
      </c>
      <c r="E1071" s="4">
        <f>HYPERLINK("./Results/DLO\20180401_1.3.12.2.1107.5.1.4.54310.30000018040423123057800056200_3_512_512_\Osteo_Sarco_1.png","RPT")</f>
        <v/>
      </c>
      <c r="F1071" s="3" t="n">
        <v>95</v>
      </c>
      <c r="G1071" s="3" t="n">
        <v>13</v>
      </c>
      <c r="H1071" s="6" t="n">
        <v>26.09</v>
      </c>
      <c r="I1071" s="0" t="inlineStr">
        <is>
          <t>Sensation 64</t>
        </is>
      </c>
      <c r="J1071" s="0" t="inlineStr">
        <is>
          <t>Pre Contrast 3.0 B30f</t>
        </is>
      </c>
      <c r="K1071" t="n">
        <v>150.9</v>
      </c>
      <c r="L1071" t="n">
        <v>59.4</v>
      </c>
      <c r="M1071" t="n">
        <v>36.01</v>
      </c>
    </row>
    <row r="1072">
      <c r="A1072" s="2" t="n">
        <v>5645020</v>
      </c>
      <c r="B1072" s="2" t="n">
        <v>72</v>
      </c>
      <c r="C1072" s="2" t="inlineStr">
        <is>
          <t>F</t>
        </is>
      </c>
      <c r="D1072" s="2" t="n">
        <v>100</v>
      </c>
      <c r="E1072" s="4">
        <f>HYPERLINK("./Results/DLO\20181101_1.2.840.113619.2.416.50207175848243095440013335394269227765_301_512_512_\Osteo_Sarco_1.png","RPT")</f>
        <v/>
      </c>
      <c r="F1072" s="3" t="n">
        <v>93</v>
      </c>
      <c r="G1072" s="3" t="n">
        <v>12</v>
      </c>
      <c r="H1072" s="7" t="n">
        <v>17.24</v>
      </c>
      <c r="I1072" s="0" t="inlineStr">
        <is>
          <t>Revolution CT</t>
        </is>
      </c>
      <c r="J1072" s="0" t="inlineStr">
        <is>
          <t>ARTERY</t>
        </is>
      </c>
      <c r="K1072" t="n">
        <v>166</v>
      </c>
      <c r="L1072" t="n">
        <v>47.5</v>
      </c>
      <c r="M1072" t="n">
        <v>29.39</v>
      </c>
    </row>
    <row r="1073">
      <c r="A1073" s="2" t="n">
        <v>9949157</v>
      </c>
      <c r="B1073" s="2" t="n">
        <v>72</v>
      </c>
      <c r="C1073" s="2" t="inlineStr">
        <is>
          <t>F</t>
        </is>
      </c>
      <c r="D1073" s="2" t="n">
        <v>100</v>
      </c>
      <c r="E1073" s="4">
        <f>HYPERLINK("./Results/DLO\20200301_1.3.12.2.1107.5.1.4.54310.30000020032921555831200028765_4_512_512_\Osteo_Sarco_1.png","RPT")</f>
        <v/>
      </c>
      <c r="F1073" s="3" t="n">
        <v>83</v>
      </c>
      <c r="G1073" s="3" t="n">
        <v>7</v>
      </c>
      <c r="H1073" s="6" t="n">
        <v>26.67</v>
      </c>
      <c r="I1073" s="0" t="inlineStr">
        <is>
          <t>Sensation 64</t>
        </is>
      </c>
      <c r="J1073" s="0" t="inlineStr">
        <is>
          <t>Arterial 3.0 B30f</t>
        </is>
      </c>
      <c r="K1073" t="n">
        <v>146.7</v>
      </c>
      <c r="L1073" t="n">
        <v>57.4</v>
      </c>
      <c r="M1073" t="n">
        <v>35.31</v>
      </c>
    </row>
    <row r="1074">
      <c r="A1074" s="2" t="n">
        <v>1372022</v>
      </c>
      <c r="B1074" s="2" t="n">
        <v>72</v>
      </c>
      <c r="C1074" s="2" t="inlineStr">
        <is>
          <t>F</t>
        </is>
      </c>
      <c r="D1074" s="2" t="n">
        <v>100</v>
      </c>
      <c r="E1074" s="4">
        <f>HYPERLINK("./Results/DLO\20180501_1.3.12.2.1107.5.1.4.54310.30000018051023125081200077188_2_512_512_\Osteo_Sarco_1.png","RPT")</f>
        <v/>
      </c>
      <c r="F1074" s="3" t="n">
        <v>79</v>
      </c>
      <c r="G1074" s="3" t="n">
        <v>9</v>
      </c>
      <c r="H1074" s="7" t="n">
        <v>19.48</v>
      </c>
      <c r="I1074" s="0" t="inlineStr">
        <is>
          <t>Sensation 64</t>
        </is>
      </c>
      <c r="J1074" s="0" t="inlineStr">
        <is>
          <t>With Contrast 3.0 B30f</t>
        </is>
      </c>
      <c r="K1074" t="n">
        <v>152</v>
      </c>
      <c r="L1074" t="n">
        <v>45</v>
      </c>
      <c r="M1074" t="n">
        <v>30.3</v>
      </c>
    </row>
    <row r="1075">
      <c r="A1075" s="2" t="n">
        <v>5659396</v>
      </c>
      <c r="B1075" s="2" t="n">
        <v>72</v>
      </c>
      <c r="C1075" s="2" t="inlineStr">
        <is>
          <t>F</t>
        </is>
      </c>
      <c r="D1075" s="2" t="n">
        <v>100</v>
      </c>
      <c r="E1075" s="4">
        <f>HYPERLINK("./Results/DLO\20180501_1.3.12.2.1107.5.1.4.54310.30000018051423153218700043813_3_512_512_\Osteo_Sarco_1.png","RPT")</f>
        <v/>
      </c>
      <c r="F1075" s="3" t="n">
        <v>73</v>
      </c>
      <c r="G1075" s="3" t="n">
        <v>12</v>
      </c>
      <c r="H1075" s="7" t="n">
        <v>22.91</v>
      </c>
      <c r="I1075" s="0" t="inlineStr">
        <is>
          <t>Sensation 64</t>
        </is>
      </c>
      <c r="J1075" s="0" t="inlineStr">
        <is>
          <t>With Contrast 3.0 B30f</t>
        </is>
      </c>
      <c r="K1075" t="n">
        <v>152.8</v>
      </c>
      <c r="L1075" t="n">
        <v>53.5</v>
      </c>
      <c r="M1075" t="n">
        <v>26.13</v>
      </c>
    </row>
    <row r="1076">
      <c r="A1076" s="2" t="n">
        <v>5642762</v>
      </c>
      <c r="B1076" s="2" t="n">
        <v>72</v>
      </c>
      <c r="C1076" s="2" t="inlineStr">
        <is>
          <t>M</t>
        </is>
      </c>
      <c r="D1076" s="2" t="n">
        <v>100</v>
      </c>
      <c r="E1076" s="4">
        <f>HYPERLINK("./Results/DLO\20200201_1.3.12.2.1107.5.1.4.65253.30000020020921082969400049669_5_512_512_\Osteo_Sarco_1.png","RPT")</f>
        <v/>
      </c>
      <c r="F1076" s="3" t="n">
        <v>173</v>
      </c>
      <c r="G1076" s="3" t="n">
        <v>14</v>
      </c>
      <c r="H1076" s="6" t="n">
        <v>28.76</v>
      </c>
      <c r="I1076" s="0" t="inlineStr">
        <is>
          <t>SOMATOM Definition AS</t>
        </is>
      </c>
      <c r="J1076" s="0" t="inlineStr">
        <is>
          <t>Arterial Phase 3.0 B30f</t>
        </is>
      </c>
      <c r="K1076" t="n">
        <v>171.6</v>
      </c>
      <c r="L1076" t="n">
        <v>84.7</v>
      </c>
      <c r="M1076" t="n">
        <v>54</v>
      </c>
    </row>
    <row r="1077">
      <c r="A1077" s="2" t="n">
        <v>5360671</v>
      </c>
      <c r="B1077" s="2" t="n">
        <v>72</v>
      </c>
      <c r="C1077" s="2" t="inlineStr">
        <is>
          <t>M</t>
        </is>
      </c>
      <c r="D1077" s="2" t="n">
        <v>100</v>
      </c>
      <c r="E1077" s="4">
        <f>HYPERLINK("./Results/DLO\20181101_1.2.840.113619.2.94.485650834948.2.9239674.20115816.1_2_512_512_\Osteo_Sarco_1.png","RPT")</f>
        <v/>
      </c>
      <c r="F1077" s="3" t="n">
        <v>156</v>
      </c>
      <c r="G1077" s="3" t="n">
        <v>12</v>
      </c>
      <c r="H1077" s="7" t="n">
        <v>24.62</v>
      </c>
      <c r="I1077" s="0" t="inlineStr">
        <is>
          <t>Sensation 64</t>
        </is>
      </c>
      <c r="J1077" s="0" t="inlineStr">
        <is>
          <t>With Contrast 3.0 B30f</t>
        </is>
      </c>
      <c r="K1077" t="n">
        <v>171</v>
      </c>
      <c r="L1077" t="n">
        <v>72</v>
      </c>
      <c r="M1077" t="n">
        <v>49.25</v>
      </c>
    </row>
    <row r="1078">
      <c r="A1078" s="2" t="n">
        <v>5287602</v>
      </c>
      <c r="B1078" s="2" t="n">
        <v>72</v>
      </c>
      <c r="C1078" s="2" t="inlineStr">
        <is>
          <t>M</t>
        </is>
      </c>
      <c r="D1078" s="2" t="n">
        <v>100</v>
      </c>
      <c r="E1078" s="4">
        <f>HYPERLINK("./Results/DLO\20190501_1.3.12.2.1107.5.1.4.54310.30000019052722543898400045315_2_512_512_\Osteo_Sarco_1.png","RPT")</f>
        <v/>
      </c>
      <c r="F1078" s="3" t="n">
        <v>148</v>
      </c>
      <c r="G1078" s="3" t="n">
        <v>9</v>
      </c>
      <c r="H1078" s="6" t="n">
        <v>22.39</v>
      </c>
      <c r="I1078" s="0" t="inlineStr">
        <is>
          <t>Sensation 64</t>
        </is>
      </c>
      <c r="J1078" s="0" t="inlineStr">
        <is>
          <t>Pre Contrast 3.0 B30f</t>
        </is>
      </c>
      <c r="K1078" t="n">
        <v>164.8</v>
      </c>
      <c r="L1078" t="n">
        <v>60.8</v>
      </c>
      <c r="M1078" t="n">
        <v>51.18</v>
      </c>
    </row>
    <row r="1079">
      <c r="A1079" s="2" t="n">
        <v>6002593</v>
      </c>
      <c r="B1079" s="2" t="n">
        <v>72</v>
      </c>
      <c r="C1079" s="2" t="inlineStr">
        <is>
          <t>M</t>
        </is>
      </c>
      <c r="D1079" s="2" t="n">
        <v>100</v>
      </c>
      <c r="E1079" s="4">
        <f>HYPERLINK("./Results/DLO\20191201_1.3.12.2.1107.5.1.4.65253.30000019121619470822300011121_2_512_512_\Osteo_Sarco_1.png","RPT")</f>
        <v/>
      </c>
      <c r="F1079" s="3" t="n">
        <v>148</v>
      </c>
      <c r="G1079" s="3" t="n">
        <v>23</v>
      </c>
      <c r="H1079" s="6" t="n">
        <v>26.5</v>
      </c>
      <c r="I1079" s="0" t="inlineStr">
        <is>
          <t>SOMATOM Definition AS</t>
        </is>
      </c>
      <c r="J1079" s="0" t="inlineStr">
        <is>
          <t>Pre Contrast 3.0 B30f</t>
        </is>
      </c>
      <c r="K1079" t="n">
        <v>159</v>
      </c>
      <c r="L1079" t="n">
        <v>67</v>
      </c>
      <c r="M1079" t="n">
        <v>49.44</v>
      </c>
    </row>
    <row r="1080">
      <c r="A1080" s="2" t="n">
        <v>6742129</v>
      </c>
      <c r="B1080" s="2" t="n">
        <v>72</v>
      </c>
      <c r="C1080" s="2" t="inlineStr">
        <is>
          <t>M</t>
        </is>
      </c>
      <c r="D1080" s="2" t="n">
        <v>100</v>
      </c>
      <c r="E1080" s="4">
        <f>HYPERLINK("./Results/DLO\20200601_1.3.12.2.1107.5.1.4.54310.30000020053121250062500015515_2_512_512_\Osteo_Sarco_1.png","RPT")</f>
        <v/>
      </c>
      <c r="F1080" s="3" t="n">
        <v>143</v>
      </c>
      <c r="G1080" s="3" t="n">
        <v>15</v>
      </c>
      <c r="H1080" s="6" t="n">
        <v>24.56</v>
      </c>
      <c r="I1080" s="0" t="inlineStr">
        <is>
          <t>Sensation 64</t>
        </is>
      </c>
      <c r="J1080" s="0" t="inlineStr">
        <is>
          <t>Pre ABD 3mm B30f</t>
        </is>
      </c>
      <c r="K1080" t="n">
        <v>172.4</v>
      </c>
      <c r="L1080" t="n">
        <v>73</v>
      </c>
      <c r="M1080" t="n">
        <v>43.07</v>
      </c>
    </row>
    <row r="1081">
      <c r="A1081" s="2" t="n">
        <v>3654626</v>
      </c>
      <c r="B1081" s="2" t="n">
        <v>72</v>
      </c>
      <c r="C1081" s="2" t="inlineStr">
        <is>
          <t>M</t>
        </is>
      </c>
      <c r="D1081" s="2" t="n">
        <v>100</v>
      </c>
      <c r="E1081" s="4">
        <f>HYPERLINK("./Results/DLO\20180601_1.3.12.2.1107.5.1.4.54310.30000018060623105240600007687_3_512_512_\Osteo_Sarco_1.png","RPT")</f>
        <v/>
      </c>
      <c r="F1081" s="3" t="n">
        <v>135</v>
      </c>
      <c r="G1081" s="3" t="n">
        <v>10</v>
      </c>
      <c r="H1081" s="7" t="n">
        <v>21.09</v>
      </c>
      <c r="I1081" s="0" t="inlineStr">
        <is>
          <t>Sensation 64</t>
        </is>
      </c>
      <c r="J1081" s="0" t="inlineStr">
        <is>
          <t>Pre Contrast 3.0 B30f</t>
        </is>
      </c>
      <c r="K1081" t="n">
        <v>155.2</v>
      </c>
      <c r="L1081" t="n">
        <v>50.8</v>
      </c>
      <c r="M1081" t="n">
        <v>51.9</v>
      </c>
    </row>
    <row r="1082">
      <c r="A1082" s="2" t="n">
        <v>5949111</v>
      </c>
      <c r="B1082" s="2" t="n">
        <v>72</v>
      </c>
      <c r="C1082" s="2" t="inlineStr">
        <is>
          <t>M</t>
        </is>
      </c>
      <c r="D1082" s="2" t="n">
        <v>100</v>
      </c>
      <c r="E1082" s="4">
        <f>HYPERLINK("./Results/DLO\20180701_1.3.12.2.1107.5.1.4.54310.30000018071723092825000003324_2_512_512_\Osteo_Sarco_1.png","RPT")</f>
        <v/>
      </c>
      <c r="F1082" s="3" t="n">
        <v>130</v>
      </c>
      <c r="G1082" s="3" t="n">
        <v>8</v>
      </c>
      <c r="H1082" s="7" t="n">
        <v>24.59</v>
      </c>
      <c r="I1082" s="0" t="inlineStr">
        <is>
          <t>Sensation 64</t>
        </is>
      </c>
      <c r="J1082" s="0" t="inlineStr">
        <is>
          <t>With Contrast 3.0 B30f</t>
        </is>
      </c>
      <c r="K1082" t="n">
        <v>165.8</v>
      </c>
      <c r="L1082" t="n">
        <v>67.59999999999999</v>
      </c>
      <c r="M1082" t="n">
        <v>44.38</v>
      </c>
    </row>
    <row r="1083">
      <c r="A1083" s="2" t="n">
        <v>2232894</v>
      </c>
      <c r="B1083" s="2" t="n">
        <v>72</v>
      </c>
      <c r="C1083" s="2" t="inlineStr">
        <is>
          <t>M</t>
        </is>
      </c>
      <c r="D1083" s="2" t="n">
        <v>100</v>
      </c>
      <c r="E1083" s="4">
        <f>HYPERLINK("./Results/DLO\20190301_1.2.840.113619.2.311.145619052004580723151782389662029415450_304_512_512_\Osteo_Sarco_1.png","RPT")</f>
        <v/>
      </c>
      <c r="F1083" s="3" t="n">
        <v>124</v>
      </c>
      <c r="G1083" s="3" t="n">
        <v>7</v>
      </c>
      <c r="H1083" s="7" t="n">
        <v>20.18</v>
      </c>
      <c r="I1083" s="0" t="inlineStr">
        <is>
          <t>Revolution CT</t>
        </is>
      </c>
      <c r="J1083" s="0" t="inlineStr">
        <is>
          <t>ABD 2.5mm</t>
        </is>
      </c>
      <c r="K1083" t="n">
        <v>157.4</v>
      </c>
      <c r="L1083" t="n">
        <v>50</v>
      </c>
      <c r="M1083" t="n">
        <v>47.23</v>
      </c>
    </row>
    <row r="1084">
      <c r="A1084" s="2" t="n">
        <v>5022194</v>
      </c>
      <c r="B1084" s="2" t="n">
        <v>72</v>
      </c>
      <c r="C1084" s="2" t="inlineStr">
        <is>
          <t>F</t>
        </is>
      </c>
      <c r="D1084" s="2" t="n">
        <v>100</v>
      </c>
      <c r="E1084" s="4">
        <f>HYPERLINK("./Results/DLO\20190801_1.3.46.670589.33.1.63700773959423045400001.4755149272344593140_201_512_512_\Osteo_Sarco_1.png","RPT")</f>
        <v/>
      </c>
      <c r="F1084" s="3" t="n">
        <v>120</v>
      </c>
      <c r="G1084" s="3" t="n">
        <v>10</v>
      </c>
      <c r="H1084" s="7" t="n">
        <v>22.67</v>
      </c>
      <c r="I1084" s="0" t="inlineStr">
        <is>
          <t>Ingenuity Core 128</t>
        </is>
      </c>
      <c r="J1084" s="0" t="inlineStr">
        <is>
          <t>Post 3mm, iDose (3)</t>
        </is>
      </c>
      <c r="K1084" t="n">
        <v>150</v>
      </c>
      <c r="L1084" t="n">
        <v>51</v>
      </c>
      <c r="M1084" t="n">
        <v>48.89</v>
      </c>
    </row>
    <row r="1085">
      <c r="A1085" s="2" t="n">
        <v>5952669</v>
      </c>
      <c r="B1085" s="2" t="n">
        <v>72</v>
      </c>
      <c r="C1085" s="2" t="inlineStr">
        <is>
          <t>F</t>
        </is>
      </c>
      <c r="D1085" s="2" t="n">
        <v>100</v>
      </c>
      <c r="E1085" s="4">
        <f>HYPERLINK("./Results/DLO\20190401_1.3.12.2.1107.5.1.4.65253.30000019042020064043600052473_4_512_512_\Osteo_Sarco_1.png","RPT")</f>
        <v/>
      </c>
      <c r="F1085" s="3" t="n">
        <v>119</v>
      </c>
      <c r="G1085" s="3" t="n">
        <v>11</v>
      </c>
      <c r="H1085" s="6" t="n">
        <v>25.96</v>
      </c>
      <c r="I1085" s="0" t="inlineStr">
        <is>
          <t>SOMATOM Definition AS</t>
        </is>
      </c>
      <c r="J1085" s="0" t="inlineStr">
        <is>
          <t>Arterial Phase 3.0 B30f</t>
        </is>
      </c>
      <c r="K1085" t="n">
        <v>157</v>
      </c>
      <c r="L1085" t="n">
        <v>64</v>
      </c>
      <c r="M1085" t="n">
        <v>43.82</v>
      </c>
    </row>
    <row r="1086">
      <c r="A1086" s="2" t="n">
        <v>2458139</v>
      </c>
      <c r="B1086" s="2" t="n">
        <v>72</v>
      </c>
      <c r="C1086" s="2" t="inlineStr">
        <is>
          <t>M</t>
        </is>
      </c>
      <c r="D1086" s="2" t="n">
        <v>100</v>
      </c>
      <c r="E1086" s="4">
        <f>HYPERLINK("./Results/DLO\20180801_1.3.12.2.1107.5.1.4.54310.30000018081923063898400001421_2_512_512_\Osteo_Sarco_1.png","RPT")</f>
        <v/>
      </c>
      <c r="F1086" s="3" t="n">
        <v>116</v>
      </c>
      <c r="G1086" s="3" t="n">
        <v>5</v>
      </c>
      <c r="H1086" s="7" t="n">
        <v>21.14</v>
      </c>
      <c r="I1086" s="0" t="inlineStr">
        <is>
          <t>Sensation 64</t>
        </is>
      </c>
      <c r="J1086" s="0" t="inlineStr">
        <is>
          <t>With Contrast 3.0 B30f</t>
        </is>
      </c>
      <c r="K1086" t="n">
        <v>174</v>
      </c>
      <c r="L1086" t="n">
        <v>64</v>
      </c>
      <c r="M1086" t="n">
        <v>36.66</v>
      </c>
    </row>
    <row r="1087">
      <c r="A1087" s="2" t="n">
        <v>8364859</v>
      </c>
      <c r="B1087" s="2" t="n">
        <v>72</v>
      </c>
      <c r="C1087" s="2" t="inlineStr">
        <is>
          <t>M</t>
        </is>
      </c>
      <c r="D1087" s="2" t="n">
        <v>100</v>
      </c>
      <c r="E1087" s="4">
        <f>HYPERLINK("./Results/DLO\20180701_1.3.12.2.1107.5.1.4.65253.30000018072918500783200074253_7_512_512_\Osteo_Sarco_1.png","RPT")</f>
        <v/>
      </c>
      <c r="F1087" s="3" t="n">
        <v>105</v>
      </c>
      <c r="G1087" s="3" t="n">
        <v>8</v>
      </c>
      <c r="H1087" s="6" t="n">
        <v>26.1</v>
      </c>
      <c r="I1087" s="0" t="inlineStr">
        <is>
          <t>SOMATOM Definition AS</t>
        </is>
      </c>
      <c r="J1087" s="0" t="inlineStr">
        <is>
          <t>Portal Phase 3.0 B30f</t>
        </is>
      </c>
      <c r="K1087" t="n">
        <v>169.5</v>
      </c>
      <c r="L1087" t="n">
        <v>75</v>
      </c>
      <c r="M1087" t="n">
        <v>33.76</v>
      </c>
    </row>
    <row r="1088">
      <c r="A1088" s="2" t="n">
        <v>5280595</v>
      </c>
      <c r="B1088" s="2" t="n">
        <v>72</v>
      </c>
      <c r="C1088" s="2" t="inlineStr">
        <is>
          <t>F</t>
        </is>
      </c>
      <c r="D1088" s="2" t="n">
        <v>100</v>
      </c>
      <c r="E1088" s="4">
        <f>HYPERLINK("./Results/DLO\20181001_1.2.840.113619.2.94.485650834948.2.9114798.19804605.1_2_512_512_\Osteo_Sarco_1.png","RPT")</f>
        <v/>
      </c>
      <c r="F1088" s="3" t="n">
        <v>102</v>
      </c>
      <c r="G1088" s="3" t="n">
        <v>11</v>
      </c>
      <c r="H1088" s="6" t="n">
        <v>26.37</v>
      </c>
      <c r="I1088" s="0" t="inlineStr">
        <is>
          <t>Sensation 64</t>
        </is>
      </c>
      <c r="J1088" s="0" t="inlineStr">
        <is>
          <t>With Contrast 3.0 B30f</t>
        </is>
      </c>
      <c r="K1088" t="n">
        <v>146.5</v>
      </c>
      <c r="L1088" t="n">
        <v>56.6</v>
      </c>
      <c r="M1088" t="n">
        <v>42.4</v>
      </c>
    </row>
    <row r="1089">
      <c r="A1089" s="2" t="n">
        <v>8689943</v>
      </c>
      <c r="B1089" s="2" t="n">
        <v>73</v>
      </c>
      <c r="C1089" s="2" t="inlineStr">
        <is>
          <t>F</t>
        </is>
      </c>
      <c r="D1089" s="2" t="n">
        <v>100</v>
      </c>
      <c r="E1089" s="4">
        <f>HYPERLINK("./Results/DLO\20190501_1.2.840.113619.2.416.238021537241742993107056252411115275506_310_512_512_\Osteo_Sarco_1.png","RPT")</f>
        <v/>
      </c>
      <c r="F1089" s="3" t="n">
        <v>99</v>
      </c>
      <c r="G1089" s="3" t="n">
        <v>11</v>
      </c>
      <c r="H1089" s="6" t="n">
        <v>25.97</v>
      </c>
      <c r="I1089" s="0" t="inlineStr">
        <is>
          <t>Revolution CT</t>
        </is>
      </c>
      <c r="J1089" s="0" t="inlineStr">
        <is>
          <t>ABD</t>
        </is>
      </c>
      <c r="K1089" t="n">
        <v>152</v>
      </c>
      <c r="L1089" t="n">
        <v>60</v>
      </c>
      <c r="M1089" t="n">
        <v>38.09</v>
      </c>
    </row>
    <row r="1090">
      <c r="A1090" s="2" t="n">
        <v>5596538</v>
      </c>
      <c r="B1090" s="2" t="n">
        <v>73</v>
      </c>
      <c r="C1090" s="2" t="inlineStr">
        <is>
          <t>M</t>
        </is>
      </c>
      <c r="D1090" s="2" t="n">
        <v>100</v>
      </c>
      <c r="E1090" s="4">
        <f>HYPERLINK("./Results/DLO\20180401_1.3.12.2.1107.5.1.4.54310.30000018040223110885900024268_2_512_512_\Osteo_Sarco_1.png","RPT")</f>
        <v/>
      </c>
      <c r="F1090" s="3" t="n">
        <v>220</v>
      </c>
      <c r="G1090" s="3" t="n">
        <v>21</v>
      </c>
      <c r="H1090" s="6" t="n">
        <v>31.42</v>
      </c>
      <c r="I1090" s="0" t="inlineStr">
        <is>
          <t>Sensation 64</t>
        </is>
      </c>
      <c r="J1090" s="0" t="inlineStr">
        <is>
          <t>Pre Contrast 3.0 B30f</t>
        </is>
      </c>
      <c r="K1090" t="n">
        <v>166.7</v>
      </c>
      <c r="L1090" t="n">
        <v>87.3</v>
      </c>
      <c r="M1090" t="n">
        <v>71.61</v>
      </c>
    </row>
    <row r="1091">
      <c r="A1091" s="2" t="n">
        <v>5022329</v>
      </c>
      <c r="B1091" s="2" t="n">
        <v>73</v>
      </c>
      <c r="C1091" s="2" t="inlineStr">
        <is>
          <t>M</t>
        </is>
      </c>
      <c r="D1091" s="2" t="n">
        <v>100</v>
      </c>
      <c r="E1091" s="4">
        <f>HYPERLINK("./Results/DLO\20180501_1.2.410.200069.80820110082.1130114.20250420110621079468_7413_512_512_\Osteo_Sarco_1.png","RPT")</f>
        <v/>
      </c>
      <c r="F1091" s="3" t="n">
        <v>173</v>
      </c>
      <c r="G1091" s="3" t="n">
        <v>13</v>
      </c>
      <c r="H1091" s="6" t="n">
        <v>32.67</v>
      </c>
      <c r="I1091" s="0" t="inlineStr">
        <is>
          <t>Sensation 64</t>
        </is>
      </c>
      <c r="J1091" s="0" t="inlineStr">
        <is>
          <t>N/A</t>
        </is>
      </c>
      <c r="K1091" t="n">
        <v>172.3</v>
      </c>
      <c r="L1091" t="n">
        <v>97</v>
      </c>
      <c r="M1091" t="n">
        <v>53.9</v>
      </c>
    </row>
    <row r="1092">
      <c r="A1092" s="2" t="n">
        <v>8912422</v>
      </c>
      <c r="B1092" s="2" t="n">
        <v>73</v>
      </c>
      <c r="C1092" s="2" t="inlineStr">
        <is>
          <t>M</t>
        </is>
      </c>
      <c r="D1092" s="2" t="n">
        <v>100</v>
      </c>
      <c r="E1092" s="4">
        <f>HYPERLINK("./Results/DLO\20181201_1.3.12.2.1107.5.1.4.54310.30000018122623354740600020584_2_512_512_\Osteo_Sarco_1.png","RPT")</f>
        <v/>
      </c>
      <c r="F1092" s="3" t="n">
        <v>156</v>
      </c>
      <c r="G1092" s="3" t="n">
        <v>9</v>
      </c>
      <c r="H1092" s="7" t="n">
        <v>22.78</v>
      </c>
      <c r="I1092" s="0" t="inlineStr">
        <is>
          <t>Sensation 64</t>
        </is>
      </c>
      <c r="J1092" s="0" t="inlineStr">
        <is>
          <t>With Contrast 3.0 B30f</t>
        </is>
      </c>
      <c r="K1092" t="n">
        <v>175.3</v>
      </c>
      <c r="L1092" t="n">
        <v>70</v>
      </c>
      <c r="M1092" t="n">
        <v>47.84</v>
      </c>
    </row>
    <row r="1093">
      <c r="A1093" s="2" t="n">
        <v>5260892</v>
      </c>
      <c r="B1093" s="2" t="n">
        <v>73</v>
      </c>
      <c r="C1093" s="2" t="inlineStr">
        <is>
          <t>M</t>
        </is>
      </c>
      <c r="D1093" s="2" t="n">
        <v>100</v>
      </c>
      <c r="E1093" s="4">
        <f>HYPERLINK("./Results/DLO\20180501_1.2.840.113619.2.94.485650834948.2.8804919.19045618.1_2_512_512_\Osteo_Sarco_1.png","RPT")</f>
        <v/>
      </c>
      <c r="F1093" s="3" t="n">
        <v>153</v>
      </c>
      <c r="G1093" s="3" t="n">
        <v>15</v>
      </c>
      <c r="H1093" s="6" t="n">
        <v>29.68</v>
      </c>
      <c r="I1093" s="0" t="inlineStr">
        <is>
          <t>Sensation 64</t>
        </is>
      </c>
      <c r="J1093" s="0" t="inlineStr">
        <is>
          <t>With Contrast 3.0 B30f</t>
        </is>
      </c>
      <c r="K1093" t="n">
        <v>165.7</v>
      </c>
      <c r="L1093" t="n">
        <v>81.5</v>
      </c>
      <c r="M1093" t="n">
        <v>50.26</v>
      </c>
    </row>
    <row r="1094">
      <c r="A1094" s="2" t="n">
        <v>5022688</v>
      </c>
      <c r="B1094" s="2" t="n">
        <v>73</v>
      </c>
      <c r="C1094" s="2" t="inlineStr">
        <is>
          <t>M</t>
        </is>
      </c>
      <c r="D1094" s="2" t="n">
        <v>100</v>
      </c>
      <c r="E1094" s="4">
        <f>HYPERLINK("./Results/DLO\20180801_1.2.840.113619.2.311.38554280483013388122658541833592983706_304_512_512_\Osteo_Sarco_1.png","RPT")</f>
        <v/>
      </c>
      <c r="F1094" s="3" t="n">
        <v>141</v>
      </c>
      <c r="G1094" s="3" t="n">
        <v>10</v>
      </c>
      <c r="H1094" s="7" t="n">
        <v>19.16</v>
      </c>
      <c r="I1094" s="0" t="inlineStr">
        <is>
          <t>Revolution CT</t>
        </is>
      </c>
      <c r="J1094" s="0" t="inlineStr">
        <is>
          <t>ABD 2.5mm</t>
        </is>
      </c>
      <c r="K1094" t="n">
        <v>168.2</v>
      </c>
      <c r="L1094" t="n">
        <v>54.2</v>
      </c>
      <c r="M1094" t="n">
        <v>46.3</v>
      </c>
    </row>
    <row r="1095">
      <c r="A1095" s="2" t="n">
        <v>5022827</v>
      </c>
      <c r="B1095" s="2" t="n">
        <v>73</v>
      </c>
      <c r="C1095" s="2" t="inlineStr">
        <is>
          <t>M</t>
        </is>
      </c>
      <c r="D1095" s="2" t="n">
        <v>100</v>
      </c>
      <c r="E1095" s="4">
        <f>HYPERLINK("./Results/DLO\20180101_1.2.840.113619.2.416.141693915725622232674221928128895133768_301_512_512_\Osteo_Sarco_1.png","RPT")</f>
        <v/>
      </c>
      <c r="F1095" s="3" t="n">
        <v>120</v>
      </c>
      <c r="G1095" s="3" t="n">
        <v>10</v>
      </c>
      <c r="H1095" s="6" t="n">
        <v>27.15</v>
      </c>
      <c r="I1095" s="0" t="inlineStr">
        <is>
          <t>Revolution CT</t>
        </is>
      </c>
      <c r="J1095" s="0" t="inlineStr">
        <is>
          <t>ARTERY</t>
        </is>
      </c>
      <c r="K1095" t="n">
        <v>167.1</v>
      </c>
      <c r="L1095" t="n">
        <v>75.8</v>
      </c>
      <c r="M1095" t="n">
        <v>39.39</v>
      </c>
    </row>
    <row r="1096">
      <c r="A1096" s="2" t="n">
        <v>5875134</v>
      </c>
      <c r="B1096" s="2" t="n">
        <v>73</v>
      </c>
      <c r="C1096" s="2" t="inlineStr">
        <is>
          <t>F</t>
        </is>
      </c>
      <c r="D1096" s="2" t="n">
        <v>100</v>
      </c>
      <c r="E1096" s="4">
        <f>HYPERLINK("./Results/DLO\20190101_1.3.12.2.1107.5.1.4.54310.30000019011323465885900006955_3_512_512_\Osteo_Sarco_1.png","RPT")</f>
        <v/>
      </c>
      <c r="F1096" s="3" t="n">
        <v>120</v>
      </c>
      <c r="G1096" s="3" t="n">
        <v>18</v>
      </c>
      <c r="H1096" s="6" t="n">
        <v>26.16</v>
      </c>
      <c r="I1096" s="0" t="inlineStr">
        <is>
          <t>Sensation 64</t>
        </is>
      </c>
      <c r="J1096" s="0" t="inlineStr">
        <is>
          <t>With Contrast 3.0 B30f</t>
        </is>
      </c>
      <c r="K1096" t="n">
        <v>156.3</v>
      </c>
      <c r="L1096" t="n">
        <v>63.9</v>
      </c>
      <c r="M1096" t="n">
        <v>41.75</v>
      </c>
    </row>
    <row r="1097">
      <c r="A1097" s="2" t="n">
        <v>661644</v>
      </c>
      <c r="B1097" s="2" t="n">
        <v>73</v>
      </c>
      <c r="C1097" s="2" t="inlineStr">
        <is>
          <t>F</t>
        </is>
      </c>
      <c r="D1097" s="2" t="n">
        <v>100</v>
      </c>
      <c r="E1097" s="4">
        <f>HYPERLINK("./Results/DLO\20180801_1.2.840.113619.2.311.304423198358690264546115946329690425877_304_512_512_\Osteo_Sarco_1.png","RPT")</f>
        <v/>
      </c>
      <c r="F1097" s="3" t="n">
        <v>106</v>
      </c>
      <c r="G1097" s="3" t="n">
        <v>15</v>
      </c>
      <c r="H1097" s="7" t="n">
        <v>27.07</v>
      </c>
      <c r="I1097" s="0" t="inlineStr">
        <is>
          <t>Revolution CT</t>
        </is>
      </c>
      <c r="J1097" s="0" t="inlineStr">
        <is>
          <t>ABD 2.5mm</t>
        </is>
      </c>
      <c r="K1097" t="n">
        <v>147.5</v>
      </c>
      <c r="L1097" t="n">
        <v>58.9</v>
      </c>
      <c r="M1097" t="n">
        <v>41.83</v>
      </c>
    </row>
    <row r="1098">
      <c r="A1098" s="2" t="n">
        <v>5676496</v>
      </c>
      <c r="B1098" s="2" t="n">
        <v>73</v>
      </c>
      <c r="C1098" s="2" t="inlineStr">
        <is>
          <t>F</t>
        </is>
      </c>
      <c r="D1098" s="2" t="n">
        <v>100</v>
      </c>
      <c r="E1098" s="4">
        <f>HYPERLINK("./Results/DLO\20200301_1.2.840.113619.2.416.271825025962137194551833047034998851668_310_512_512_\Osteo_Sarco_1.png","RPT")</f>
        <v/>
      </c>
      <c r="F1098" s="3" t="n">
        <v>105</v>
      </c>
      <c r="G1098" s="3" t="n">
        <v>13</v>
      </c>
      <c r="H1098" s="7" t="n">
        <v>29.16</v>
      </c>
      <c r="I1098" s="0" t="inlineStr">
        <is>
          <t>Revolution CT</t>
        </is>
      </c>
      <c r="J1098" s="0" t="inlineStr">
        <is>
          <t>ABD</t>
        </is>
      </c>
      <c r="K1098" t="n">
        <v>152.7</v>
      </c>
      <c r="L1098" t="n">
        <v>68</v>
      </c>
      <c r="M1098" t="n">
        <v>39.46</v>
      </c>
    </row>
    <row r="1099">
      <c r="A1099" s="2" t="n">
        <v>8870722</v>
      </c>
      <c r="B1099" s="2" t="n">
        <v>73</v>
      </c>
      <c r="C1099" s="2" t="inlineStr">
        <is>
          <t>F</t>
        </is>
      </c>
      <c r="D1099" s="2" t="n">
        <v>100</v>
      </c>
      <c r="E1099" s="4">
        <f>HYPERLINK("./Results/DLO\20190901_1.3.12.2.1107.5.1.4.65253.30000019092420135070400008463_2_512_512_\Osteo_Sarco_1.png","RPT")</f>
        <v/>
      </c>
      <c r="F1099" s="3" t="n">
        <v>101</v>
      </c>
      <c r="G1099" s="3" t="n">
        <v>10</v>
      </c>
      <c r="H1099" s="6" t="n">
        <v>20.34</v>
      </c>
      <c r="I1099" s="0" t="inlineStr">
        <is>
          <t>SOMATOM Definition AS</t>
        </is>
      </c>
      <c r="J1099" s="0" t="inlineStr">
        <is>
          <t>Pre Contrast 3.0 B30f</t>
        </is>
      </c>
      <c r="K1099" t="n">
        <v>154</v>
      </c>
      <c r="L1099" t="n">
        <v>48.25</v>
      </c>
      <c r="M1099" t="n">
        <v>38.37</v>
      </c>
    </row>
    <row r="1100">
      <c r="A1100" s="2" t="n">
        <v>5202232</v>
      </c>
      <c r="B1100" s="2" t="n">
        <v>73</v>
      </c>
      <c r="C1100" s="2" t="inlineStr">
        <is>
          <t>F</t>
        </is>
      </c>
      <c r="D1100" s="2" t="n">
        <v>100</v>
      </c>
      <c r="E1100" s="4">
        <f>HYPERLINK("./Results/DLO\20200301_1.3.12.2.1107.5.1.4.54310.30000020032221101504600015323_2_512_512_\Osteo_Sarco_1.png","RPT")</f>
        <v/>
      </c>
      <c r="F1100" s="3" t="n">
        <v>101</v>
      </c>
      <c r="G1100" s="3" t="n">
        <v>20</v>
      </c>
      <c r="H1100" s="7" t="n">
        <v>24.97</v>
      </c>
      <c r="I1100" s="0" t="inlineStr">
        <is>
          <t>Sensation 64</t>
        </is>
      </c>
      <c r="J1100" s="0" t="inlineStr">
        <is>
          <t>With Contrast 3.0 B30f</t>
        </is>
      </c>
      <c r="K1100" t="n">
        <v>155</v>
      </c>
      <c r="L1100" t="n">
        <v>60</v>
      </c>
      <c r="M1100" t="n">
        <v>33.71</v>
      </c>
    </row>
    <row r="1101">
      <c r="A1101" s="2" t="n">
        <v>8571194</v>
      </c>
      <c r="B1101" s="2" t="n">
        <v>74</v>
      </c>
      <c r="C1101" s="2" t="inlineStr">
        <is>
          <t>F</t>
        </is>
      </c>
      <c r="D1101" s="2" t="n">
        <v>100</v>
      </c>
      <c r="E1101" s="4">
        <f>HYPERLINK("./Results/DLO\20200501_1.3.12.2.1107.5.1.4.65253.30000020051820333120000066156_2_512_512_\Osteo_Sarco_1.png","RPT")</f>
        <v/>
      </c>
      <c r="F1101" s="3" t="n">
        <v>84</v>
      </c>
      <c r="G1101" s="3" t="n">
        <v>9</v>
      </c>
      <c r="H1101" s="6" t="n">
        <v>18.83</v>
      </c>
      <c r="I1101" s="0" t="inlineStr">
        <is>
          <t>SOMATOM Definition AS</t>
        </is>
      </c>
      <c r="J1101" s="0" t="inlineStr">
        <is>
          <t>ABD Pre 3.0 B30f</t>
        </is>
      </c>
      <c r="K1101" t="n">
        <v>158</v>
      </c>
      <c r="L1101" t="n">
        <v>47</v>
      </c>
      <c r="M1101" t="n">
        <v>30.04</v>
      </c>
    </row>
    <row r="1102">
      <c r="A1102" s="2" t="n">
        <v>5840530</v>
      </c>
      <c r="B1102" s="2" t="n">
        <v>74</v>
      </c>
      <c r="C1102" s="2" t="inlineStr">
        <is>
          <t>M</t>
        </is>
      </c>
      <c r="D1102" s="2" t="n">
        <v>100</v>
      </c>
      <c r="E1102" s="4">
        <f>HYPERLINK("./Results/DLO\20190801_1.3.12.2.1107.5.1.4.54310.30000019082922472159300007392_2_512_512_\Osteo_Sarco_1.png","RPT")</f>
        <v/>
      </c>
      <c r="F1102" s="3" t="n">
        <v>156</v>
      </c>
      <c r="G1102" s="3" t="n">
        <v>7</v>
      </c>
      <c r="H1102" s="7" t="n">
        <v>25.83</v>
      </c>
      <c r="I1102" s="0" t="inlineStr">
        <is>
          <t>Sensation 64</t>
        </is>
      </c>
      <c r="J1102" s="0" t="inlineStr">
        <is>
          <t>With Contrast 3.0 B30f</t>
        </is>
      </c>
      <c r="K1102" t="n">
        <v>176</v>
      </c>
      <c r="L1102" t="n">
        <v>80</v>
      </c>
      <c r="M1102" t="n">
        <v>48.1</v>
      </c>
    </row>
    <row r="1103">
      <c r="A1103" s="2" t="n">
        <v>5651763</v>
      </c>
      <c r="B1103" s="2" t="n">
        <v>74</v>
      </c>
      <c r="C1103" s="2" t="inlineStr">
        <is>
          <t>M</t>
        </is>
      </c>
      <c r="D1103" s="2" t="n">
        <v>100</v>
      </c>
      <c r="E1103" s="4">
        <f>HYPERLINK("./Results/DLO\20190301_1.3.46.670589.33.1.63687918527146067200001.5108936877755789988_201_512_512_\Osteo_Sarco_1.png","RPT")</f>
        <v/>
      </c>
      <c r="F1103" s="3" t="n">
        <v>149</v>
      </c>
      <c r="G1103" s="3" t="n">
        <v>11</v>
      </c>
      <c r="H1103" s="7" t="n">
        <v>25.23</v>
      </c>
      <c r="I1103" s="0" t="inlineStr">
        <is>
          <t>Ingenuity Core 128</t>
        </is>
      </c>
      <c r="J1103" s="0" t="inlineStr">
        <is>
          <t>Pre 3mm, iDose (3)</t>
        </is>
      </c>
      <c r="K1103" t="n">
        <v>166.7</v>
      </c>
      <c r="L1103" t="n">
        <v>70.09999999999999</v>
      </c>
      <c r="M1103" t="n">
        <v>49.66</v>
      </c>
    </row>
    <row r="1104">
      <c r="A1104" s="2" t="n">
        <v>8462272</v>
      </c>
      <c r="B1104" s="2" t="n">
        <v>74</v>
      </c>
      <c r="C1104" s="2" t="inlineStr">
        <is>
          <t>M</t>
        </is>
      </c>
      <c r="D1104" s="2" t="n">
        <v>100</v>
      </c>
      <c r="E1104" s="4">
        <f>HYPERLINK("./Results/DLO\20190201_1.2.840.113619.2.311.241932463631599160042163479503793194023_2_512_512_\Osteo_Sarco_1.png","RPT")</f>
        <v/>
      </c>
      <c r="F1104" s="3" t="n">
        <v>144</v>
      </c>
      <c r="G1104" s="3" t="n">
        <v>15</v>
      </c>
      <c r="H1104" s="6" t="n">
        <v>21.87</v>
      </c>
      <c r="I1104" s="0" t="inlineStr">
        <is>
          <t>Revolution CT</t>
        </is>
      </c>
      <c r="J1104" s="0" t="inlineStr">
        <is>
          <t>Pre</t>
        </is>
      </c>
      <c r="K1104" t="n">
        <v>167</v>
      </c>
      <c r="L1104" t="n">
        <v>61</v>
      </c>
      <c r="M1104" t="n">
        <v>46.25</v>
      </c>
    </row>
    <row r="1105">
      <c r="A1105" s="2" t="n">
        <v>5727873</v>
      </c>
      <c r="B1105" s="2" t="n">
        <v>74</v>
      </c>
      <c r="C1105" s="2" t="inlineStr">
        <is>
          <t>M</t>
        </is>
      </c>
      <c r="D1105" s="2" t="n">
        <v>100</v>
      </c>
      <c r="E1105" s="4">
        <f>HYPERLINK("./Results/DLO\20181101_1.3.12.2.1107.5.1.4.65253.30000018112119412174900007934_2_512_512_\Osteo_Sarco_1.png","RPT")</f>
        <v/>
      </c>
      <c r="F1105" s="3" t="n">
        <v>138</v>
      </c>
      <c r="G1105" s="3" t="n">
        <v>16</v>
      </c>
      <c r="H1105" s="6" t="n">
        <v>23.89</v>
      </c>
      <c r="I1105" s="0" t="inlineStr">
        <is>
          <t>SOMATOM Definition AS</t>
        </is>
      </c>
      <c r="J1105" s="0" t="inlineStr">
        <is>
          <t>Pre Contrast 3.0 B30f</t>
        </is>
      </c>
      <c r="K1105" t="n">
        <v>173.5</v>
      </c>
      <c r="L1105" t="n">
        <v>71.90000000000001</v>
      </c>
      <c r="M1105" t="n">
        <v>40.53</v>
      </c>
    </row>
    <row r="1106">
      <c r="A1106" s="2" t="n">
        <v>8941795</v>
      </c>
      <c r="B1106" s="2" t="n">
        <v>74</v>
      </c>
      <c r="C1106" s="2" t="inlineStr">
        <is>
          <t>M</t>
        </is>
      </c>
      <c r="D1106" s="2" t="n">
        <v>100</v>
      </c>
      <c r="E1106" s="4">
        <f>HYPERLINK("./Results/DLO\20180901_1.3.12.2.1107.5.1.4.54310.30000018092000193582800002826_2_512_512_\Osteo_Sarco_1.png","RPT")</f>
        <v/>
      </c>
      <c r="F1106" s="3" t="n">
        <v>125</v>
      </c>
      <c r="G1106" s="3" t="n">
        <v>16</v>
      </c>
      <c r="H1106" s="6" t="n">
        <v>25.5</v>
      </c>
      <c r="I1106" s="0" t="inlineStr">
        <is>
          <t>Sensation 64</t>
        </is>
      </c>
      <c r="J1106" s="0" t="inlineStr">
        <is>
          <t>With Contrast 3.0 B30f</t>
        </is>
      </c>
      <c r="K1106" t="n">
        <v>174</v>
      </c>
      <c r="L1106" t="n">
        <v>77.2</v>
      </c>
      <c r="M1106" t="n">
        <v>36</v>
      </c>
    </row>
    <row r="1107">
      <c r="A1107" s="2" t="n">
        <v>6089109</v>
      </c>
      <c r="B1107" s="2" t="n">
        <v>74</v>
      </c>
      <c r="C1107" s="2" t="inlineStr">
        <is>
          <t>M</t>
        </is>
      </c>
      <c r="D1107" s="2" t="n">
        <v>100</v>
      </c>
      <c r="E1107" s="4">
        <f>HYPERLINK("./Results/DLO\20180701_1.3.46.670589.33.1.63666292345729446000001.5588173470357710022_201_512_512_\Osteo_Sarco_1.png","RPT")</f>
        <v/>
      </c>
      <c r="F1107" s="3" t="n">
        <v>124</v>
      </c>
      <c r="G1107" s="3" t="n">
        <v>8</v>
      </c>
      <c r="H1107" s="7" t="n">
        <v>22.44</v>
      </c>
      <c r="I1107" s="0" t="inlineStr">
        <is>
          <t>Ingenuity Core 128</t>
        </is>
      </c>
      <c r="J1107" s="0" t="inlineStr">
        <is>
          <t>Pre 100/150 i4, iDose (4)</t>
        </is>
      </c>
      <c r="K1107" t="n">
        <v>170.6</v>
      </c>
      <c r="L1107" t="n">
        <v>65.3</v>
      </c>
      <c r="M1107" t="n">
        <v>39.86</v>
      </c>
    </row>
    <row r="1108">
      <c r="A1108" s="2" t="n">
        <v>5656768</v>
      </c>
      <c r="B1108" s="2" t="n">
        <v>74</v>
      </c>
      <c r="C1108" s="2" t="inlineStr">
        <is>
          <t>F</t>
        </is>
      </c>
      <c r="D1108" s="2" t="n">
        <v>100</v>
      </c>
      <c r="E1108" s="4">
        <f>HYPERLINK("./Results/DLO\20180901_1.2.840.113619.2.416.136399769297756980383939241248645481788_2_512_512_\Osteo_Sarco_1.png","RPT")</f>
        <v/>
      </c>
      <c r="F1108" s="3" t="n">
        <v>122</v>
      </c>
      <c r="G1108" s="3" t="n">
        <v>12</v>
      </c>
      <c r="H1108" s="6" t="n">
        <v>25.33</v>
      </c>
      <c r="I1108" s="0" t="inlineStr">
        <is>
          <t>Revolution CT</t>
        </is>
      </c>
      <c r="J1108" s="0" t="inlineStr">
        <is>
          <t>Pre</t>
        </is>
      </c>
      <c r="K1108" t="n">
        <v>152.1</v>
      </c>
      <c r="L1108" t="n">
        <v>58.6</v>
      </c>
      <c r="M1108" t="n">
        <v>47.55</v>
      </c>
    </row>
    <row r="1109">
      <c r="A1109" s="2" t="n">
        <v>8429740</v>
      </c>
      <c r="B1109" s="2" t="n">
        <v>74</v>
      </c>
      <c r="C1109" s="2" t="inlineStr">
        <is>
          <t>M</t>
        </is>
      </c>
      <c r="D1109" s="2" t="n">
        <v>100</v>
      </c>
      <c r="E1109" s="4">
        <f>HYPERLINK("./Results/DLO\20180701_1.2.840.113619.2.311.8014371033188699789804096479788905407_304_512_512_\Osteo_Sarco_1.png","RPT")</f>
        <v/>
      </c>
      <c r="F1109" s="3" t="n">
        <v>120</v>
      </c>
      <c r="G1109" s="3" t="n">
        <v>10</v>
      </c>
      <c r="H1109" s="7" t="n">
        <v>22.27</v>
      </c>
      <c r="I1109" s="0" t="inlineStr">
        <is>
          <t>Revolution CT</t>
        </is>
      </c>
      <c r="J1109" s="0" t="inlineStr">
        <is>
          <t>ABD 2.5mm</t>
        </is>
      </c>
      <c r="K1109" t="n">
        <v>156</v>
      </c>
      <c r="L1109" t="n">
        <v>54.2</v>
      </c>
      <c r="M1109" t="n">
        <v>45.2</v>
      </c>
    </row>
    <row r="1110">
      <c r="A1110" s="2" t="n">
        <v>4452225</v>
      </c>
      <c r="B1110" s="2" t="n">
        <v>74</v>
      </c>
      <c r="C1110" s="2" t="inlineStr">
        <is>
          <t>M</t>
        </is>
      </c>
      <c r="D1110" s="2" t="n">
        <v>100</v>
      </c>
      <c r="E1110" s="4">
        <f>HYPERLINK("./Results/DLO\20190401_1.3.12.2.1107.5.1.4.54310.30000019041423314437500022642_6_512_512_\Osteo_Sarco_1.png","RPT")</f>
        <v/>
      </c>
      <c r="F1110" s="3" t="n">
        <v>119</v>
      </c>
      <c r="G1110" s="3" t="n">
        <v>7</v>
      </c>
      <c r="H1110" s="6" t="n">
        <v>22.04</v>
      </c>
      <c r="I1110" s="0" t="inlineStr">
        <is>
          <t>Sensation 64</t>
        </is>
      </c>
      <c r="J1110" s="0" t="inlineStr">
        <is>
          <t>2min-delay 3.0 B30f</t>
        </is>
      </c>
      <c r="K1110" t="n">
        <v>165</v>
      </c>
      <c r="L1110" t="n">
        <v>60</v>
      </c>
      <c r="M1110" t="n">
        <v>41.14</v>
      </c>
    </row>
    <row r="1111">
      <c r="A1111" s="2" t="n">
        <v>6046005</v>
      </c>
      <c r="B1111" s="2" t="n">
        <v>74</v>
      </c>
      <c r="C1111" s="2" t="inlineStr">
        <is>
          <t>F</t>
        </is>
      </c>
      <c r="D1111" s="2" t="n">
        <v>100</v>
      </c>
      <c r="E1111" s="4">
        <f>HYPERLINK("./Results/DLO\20200201_1.3.12.2.1107.5.1.4.65253.30000020021619583534800050262_3_512_512_\Osteo_Sarco_1.png","RPT")</f>
        <v/>
      </c>
      <c r="F1111" s="3" t="n">
        <v>106</v>
      </c>
      <c r="G1111" s="3" t="n">
        <v>10</v>
      </c>
      <c r="H1111" s="6" t="n">
        <v>24.24</v>
      </c>
      <c r="I1111" s="0" t="inlineStr">
        <is>
          <t>SOMATOM Definition AS</t>
        </is>
      </c>
      <c r="J1111" s="0" t="inlineStr">
        <is>
          <t>ABD Contrast 3.0 B30f</t>
        </is>
      </c>
      <c r="K1111" t="n">
        <v>165</v>
      </c>
      <c r="L1111" t="n">
        <v>66</v>
      </c>
      <c r="M1111" t="n">
        <v>35.26</v>
      </c>
    </row>
    <row r="1112">
      <c r="A1112" s="2" t="n">
        <v>9444634</v>
      </c>
      <c r="B1112" s="2" t="n">
        <v>74</v>
      </c>
      <c r="C1112" s="2" t="inlineStr">
        <is>
          <t>F</t>
        </is>
      </c>
      <c r="D1112" s="2" t="n">
        <v>100</v>
      </c>
      <c r="E1112" s="4">
        <f>HYPERLINK("./Results/DLO\20190401_1.3.46.670589.33.1.63689734513255367100001.5565621488823277177_301_512_512_\Osteo_Sarco_1.png","RPT")</f>
        <v/>
      </c>
      <c r="F1112" s="3" t="n">
        <v>103</v>
      </c>
      <c r="G1112" s="3" t="n">
        <v>22</v>
      </c>
      <c r="H1112" s="6" t="n">
        <v>28.54</v>
      </c>
      <c r="I1112" s="0" t="inlineStr">
        <is>
          <t>Ingenuity Core 128</t>
        </is>
      </c>
      <c r="J1112" s="0" t="inlineStr">
        <is>
          <t>Post 3mm, iDose (3)</t>
        </is>
      </c>
      <c r="K1112" t="n">
        <v>153.1</v>
      </c>
      <c r="L1112" t="n">
        <v>66.90000000000001</v>
      </c>
      <c r="M1112" t="n">
        <v>34.56</v>
      </c>
    </row>
    <row r="1113">
      <c r="A1113" s="2" t="n">
        <v>9621721</v>
      </c>
      <c r="B1113" s="2" t="n">
        <v>75</v>
      </c>
      <c r="C1113" s="2" t="inlineStr">
        <is>
          <t>F</t>
        </is>
      </c>
      <c r="D1113" s="2" t="n">
        <v>100</v>
      </c>
      <c r="E1113" s="4">
        <f>HYPERLINK("./Results/DLO\20190701_1.3.12.2.1107.5.1.4.65253.30000019071319043319600005017_2_512_512_\Osteo_Sarco_1.png","RPT")</f>
        <v/>
      </c>
      <c r="F1113" s="3" t="n">
        <v>97</v>
      </c>
      <c r="G1113" s="3" t="n">
        <v>16</v>
      </c>
      <c r="H1113" s="6" t="n">
        <v>24.77</v>
      </c>
      <c r="I1113" s="0" t="inlineStr">
        <is>
          <t>SOMATOM Definition AS</t>
        </is>
      </c>
      <c r="J1113" s="0" t="inlineStr">
        <is>
          <t>ABD Contrast 3.0 B30f</t>
        </is>
      </c>
      <c r="K1113" t="n">
        <v>149</v>
      </c>
      <c r="L1113" t="n">
        <v>55</v>
      </c>
      <c r="M1113" t="n">
        <v>36.48</v>
      </c>
    </row>
    <row r="1114">
      <c r="A1114" s="2" t="n">
        <v>8585674</v>
      </c>
      <c r="B1114" s="2" t="n">
        <v>75</v>
      </c>
      <c r="C1114" s="2" t="inlineStr">
        <is>
          <t>F</t>
        </is>
      </c>
      <c r="D1114" s="2" t="n">
        <v>100</v>
      </c>
      <c r="E1114" s="4">
        <f>HYPERLINK("./Results/DLO\20181201_1.2.840.113619.2.311.44177814717130615194885402707649469308_306_512_512_\Osteo_Sarco_1.png","RPT")</f>
        <v/>
      </c>
      <c r="F1114" s="3" t="n">
        <v>94</v>
      </c>
      <c r="G1114" s="3" t="n">
        <v>11</v>
      </c>
      <c r="H1114" s="7" t="n">
        <v>23.79</v>
      </c>
      <c r="I1114" s="0" t="inlineStr">
        <is>
          <t>Revolution CT</t>
        </is>
      </c>
      <c r="J1114" s="0" t="inlineStr">
        <is>
          <t>ABD POST 2.5mm</t>
        </is>
      </c>
      <c r="K1114" t="n">
        <v>152.2</v>
      </c>
      <c r="L1114" t="n">
        <v>55.1</v>
      </c>
      <c r="M1114" t="n">
        <v>35.83</v>
      </c>
    </row>
    <row r="1115">
      <c r="A1115" s="2" t="n">
        <v>5766144</v>
      </c>
      <c r="B1115" s="2" t="n">
        <v>75</v>
      </c>
      <c r="C1115" s="2" t="inlineStr">
        <is>
          <t>F</t>
        </is>
      </c>
      <c r="D1115" s="2" t="n">
        <v>100</v>
      </c>
      <c r="E1115" s="4">
        <f>HYPERLINK("./Results/DLO\20180301_1.2.840.113619.2.94.485650834948.2.8703275.18794459.1_2_512_512_\Osteo_Sarco_1.png","RPT")</f>
        <v/>
      </c>
      <c r="F1115" s="3" t="n">
        <v>93</v>
      </c>
      <c r="G1115" s="3" t="n">
        <v>11</v>
      </c>
      <c r="H1115" s="6" t="n">
        <v>23.9</v>
      </c>
      <c r="I1115" s="0" t="inlineStr">
        <is>
          <t>Sensation 64</t>
        </is>
      </c>
      <c r="J1115" s="0" t="inlineStr">
        <is>
          <t>With Contrast 3.0 B30f</t>
        </is>
      </c>
      <c r="K1115" t="n">
        <v>148.9</v>
      </c>
      <c r="L1115" t="n">
        <v>53</v>
      </c>
      <c r="M1115" t="n">
        <v>36.98</v>
      </c>
    </row>
    <row r="1116">
      <c r="A1116" s="2" t="n">
        <v>5548883</v>
      </c>
      <c r="B1116" s="2" t="n">
        <v>75</v>
      </c>
      <c r="C1116" s="2" t="inlineStr">
        <is>
          <t>F</t>
        </is>
      </c>
      <c r="D1116" s="2" t="n">
        <v>100</v>
      </c>
      <c r="E1116" s="4">
        <f>HYPERLINK("./Results/DLO\20180201_1.2.840.113619.2.416.166248639203962835165404835407816155129_304_512_512_\Osteo_Sarco_1.png","RPT")</f>
        <v/>
      </c>
      <c r="F1116" s="3" t="n">
        <v>91</v>
      </c>
      <c r="G1116" s="3" t="n">
        <v>8</v>
      </c>
      <c r="H1116" s="7" t="n">
        <v>24.41</v>
      </c>
      <c r="I1116" s="0" t="inlineStr">
        <is>
          <t>Revolution CT</t>
        </is>
      </c>
      <c r="J1116" s="0" t="inlineStr">
        <is>
          <t>ABD 2.5mm</t>
        </is>
      </c>
      <c r="K1116" t="n">
        <v>154.8</v>
      </c>
      <c r="L1116" t="n">
        <v>58.5</v>
      </c>
      <c r="M1116" t="n">
        <v>34.64</v>
      </c>
    </row>
    <row r="1117">
      <c r="A1117" s="2" t="n">
        <v>6098094</v>
      </c>
      <c r="B1117" s="2" t="n">
        <v>75</v>
      </c>
      <c r="C1117" s="2" t="inlineStr">
        <is>
          <t>F</t>
        </is>
      </c>
      <c r="D1117" s="2" t="n">
        <v>100</v>
      </c>
      <c r="E1117" s="4">
        <f>HYPERLINK("./Results/DLO\20180501_1.2.840.113619.2.416.194217565130747503831839625396683643093_304_512_512_\Osteo_Sarco_1.png","RPT")</f>
        <v/>
      </c>
      <c r="F1117" s="3" t="n">
        <v>78</v>
      </c>
      <c r="G1117" s="3" t="n">
        <v>9</v>
      </c>
      <c r="H1117" s="7" t="n">
        <v>22.86</v>
      </c>
      <c r="I1117" s="0" t="inlineStr">
        <is>
          <t>Revolution CT</t>
        </is>
      </c>
      <c r="J1117" s="0" t="inlineStr">
        <is>
          <t>ABD 2.5mm</t>
        </is>
      </c>
      <c r="K1117" t="n">
        <v>162</v>
      </c>
      <c r="L1117" t="n">
        <v>60</v>
      </c>
      <c r="M1117" t="n">
        <v>26.29</v>
      </c>
    </row>
    <row r="1118">
      <c r="A1118" s="2" t="n">
        <v>9978341</v>
      </c>
      <c r="B1118" s="2" t="n">
        <v>75</v>
      </c>
      <c r="C1118" s="2" t="inlineStr">
        <is>
          <t>F</t>
        </is>
      </c>
      <c r="D1118" s="2" t="n">
        <v>100</v>
      </c>
      <c r="E1118" s="4">
        <f>HYPERLINK("./Results/DLO\20200401_1.2.410.100011.172.24.16.221.6372478949117346752.2_2_512_512_\Osteo_Sarco_1.png","RPT")</f>
        <v/>
      </c>
      <c r="F1118" s="3" t="n">
        <v>55</v>
      </c>
      <c r="G1118" s="3" t="n">
        <v>6</v>
      </c>
      <c r="H1118" s="6" t="n">
        <v>16.73</v>
      </c>
      <c r="I1118" s="0" t="inlineStr">
        <is>
          <t>SOMATOM Definition AS</t>
        </is>
      </c>
      <c r="J1118" s="0" t="inlineStr">
        <is>
          <t>Abd Non 5.0 I40f 1</t>
        </is>
      </c>
      <c r="K1118" t="n">
        <v>148.5</v>
      </c>
      <c r="L1118" t="n">
        <v>36.9</v>
      </c>
      <c r="M1118" t="n">
        <v>22.22</v>
      </c>
    </row>
    <row r="1119">
      <c r="A1119" s="2" t="n">
        <v>5021514</v>
      </c>
      <c r="B1119" s="2" t="n">
        <v>75</v>
      </c>
      <c r="C1119" s="2" t="inlineStr">
        <is>
          <t>M</t>
        </is>
      </c>
      <c r="D1119" s="2" t="n">
        <v>100</v>
      </c>
      <c r="E1119" s="4">
        <f>HYPERLINK("./Results/DLO\20180301_1.2.840.113619.2.94.485650834948.2.8710301.18811290.1_2_512_512_\Osteo_Sarco_1.png","RPT")</f>
        <v/>
      </c>
      <c r="F1119" s="3" t="n">
        <v>154</v>
      </c>
      <c r="G1119" s="3" t="n">
        <v>7</v>
      </c>
      <c r="H1119" s="7" t="n">
        <v>23.88</v>
      </c>
      <c r="I1119" s="0" t="inlineStr">
        <is>
          <t>Sensation 64</t>
        </is>
      </c>
      <c r="J1119" s="0" t="inlineStr">
        <is>
          <t>With Contrast 3.0 B30f</t>
        </is>
      </c>
      <c r="K1119" t="n">
        <v>165</v>
      </c>
      <c r="L1119" t="n">
        <v>65</v>
      </c>
      <c r="M1119" t="n">
        <v>53.99</v>
      </c>
    </row>
    <row r="1120">
      <c r="A1120" s="2" t="n">
        <v>4887285</v>
      </c>
      <c r="B1120" s="2" t="n">
        <v>75</v>
      </c>
      <c r="C1120" s="2" t="inlineStr">
        <is>
          <t>M</t>
        </is>
      </c>
      <c r="D1120" s="2" t="n">
        <v>100</v>
      </c>
      <c r="E1120" s="4">
        <f>HYPERLINK("./Results/DLO\20180401_1.3.46.670589.33.1.63660072731916299900001.5564941972707381748_201_512_512_\Osteo_Sarco_1.png","RPT")</f>
        <v/>
      </c>
      <c r="F1120" s="3" t="n">
        <v>131</v>
      </c>
      <c r="G1120" s="3" t="n">
        <v>10</v>
      </c>
      <c r="H1120" s="7" t="n">
        <v>18.83</v>
      </c>
      <c r="I1120" s="0" t="inlineStr">
        <is>
          <t>Ingenuity Core 128</t>
        </is>
      </c>
      <c r="J1120" s="0" t="inlineStr">
        <is>
          <t>Post 100/236 i3, iDose (3)</t>
        </is>
      </c>
      <c r="K1120" t="n">
        <v>174</v>
      </c>
      <c r="L1120" t="n">
        <v>57</v>
      </c>
      <c r="M1120" t="n">
        <v>39.97</v>
      </c>
    </row>
    <row r="1121">
      <c r="A1121" s="2" t="n">
        <v>539318</v>
      </c>
      <c r="B1121" s="2" t="n">
        <v>75</v>
      </c>
      <c r="C1121" s="2" t="inlineStr">
        <is>
          <t>F</t>
        </is>
      </c>
      <c r="D1121" s="2" t="n">
        <v>100</v>
      </c>
      <c r="E1121" s="4">
        <f>HYPERLINK("./Results/DLO\20200401_1.3.12.2.1107.5.1.4.65253.30000020042119430083000013970_2_512_512_\Osteo_Sarco_1.png","RPT")</f>
        <v/>
      </c>
      <c r="F1121" s="3" t="n">
        <v>115</v>
      </c>
      <c r="G1121" s="3" t="n">
        <v>17</v>
      </c>
      <c r="H1121" s="7" t="n">
        <v>27.04</v>
      </c>
      <c r="I1121" s="0" t="inlineStr">
        <is>
          <t>SOMATOM Definition AS</t>
        </is>
      </c>
      <c r="J1121" s="0" t="inlineStr">
        <is>
          <t>Pre Contrast 3.0 B30f</t>
        </is>
      </c>
      <c r="K1121" t="n">
        <v>157.4</v>
      </c>
      <c r="L1121" t="n">
        <v>67</v>
      </c>
      <c r="M1121" t="n">
        <v>39.56</v>
      </c>
    </row>
    <row r="1122">
      <c r="A1122" s="2" t="n">
        <v>5896020</v>
      </c>
      <c r="B1122" s="2" t="n">
        <v>75</v>
      </c>
      <c r="C1122" s="2" t="inlineStr">
        <is>
          <t>F</t>
        </is>
      </c>
      <c r="D1122" s="2" t="n">
        <v>100</v>
      </c>
      <c r="E1122" s="4">
        <f>HYPERLINK("./Results/DLO\20190701_1.2.410.100011.172.16.64.21.6369895840272863441.2_2_512_512_\Osteo_Sarco_1.png","RPT")</f>
        <v/>
      </c>
      <c r="F1122" s="3" t="n">
        <v>106</v>
      </c>
      <c r="G1122" s="3" t="n">
        <v>25</v>
      </c>
      <c r="H1122" s="6" t="n">
        <v>31.13</v>
      </c>
      <c r="I1122" s="0" t="inlineStr">
        <is>
          <t>SOMATOM Drive</t>
        </is>
      </c>
      <c r="J1122" s="0" t="inlineStr">
        <is>
          <t>Abd Pre 3.0 I40f 2</t>
        </is>
      </c>
      <c r="K1122" t="n">
        <v>146.7</v>
      </c>
      <c r="L1122" t="n">
        <v>67</v>
      </c>
      <c r="M1122" t="n">
        <v>37.64</v>
      </c>
    </row>
    <row r="1123">
      <c r="A1123" s="2" t="n">
        <v>8482759</v>
      </c>
      <c r="B1123" s="2" t="n">
        <v>75</v>
      </c>
      <c r="C1123" s="2" t="inlineStr">
        <is>
          <t>F</t>
        </is>
      </c>
      <c r="D1123" s="2" t="n">
        <v>100</v>
      </c>
      <c r="E1123" s="4">
        <f>HYPERLINK("./Results/DLO\20190401_1.3.12.2.1107.5.1.4.54310.30000019042323311359300046025_3_512_512_\Osteo_Sarco_1.png","RPT")</f>
        <v/>
      </c>
      <c r="F1123" s="3" t="n">
        <v>102</v>
      </c>
      <c r="G1123" s="3" t="n">
        <v>12</v>
      </c>
      <c r="H1123" s="6" t="n">
        <v>23.37</v>
      </c>
      <c r="I1123" s="0" t="inlineStr">
        <is>
          <t>Sensation 64</t>
        </is>
      </c>
      <c r="J1123" s="0" t="inlineStr">
        <is>
          <t>Pre Contrast 3.0 B30f</t>
        </is>
      </c>
      <c r="K1123" t="n">
        <v>152</v>
      </c>
      <c r="L1123" t="n">
        <v>54</v>
      </c>
      <c r="M1123" t="n">
        <v>38.95</v>
      </c>
    </row>
    <row r="1124">
      <c r="A1124" s="2" t="n">
        <v>9545040</v>
      </c>
      <c r="B1124" s="2" t="n">
        <v>76</v>
      </c>
      <c r="C1124" s="2" t="inlineStr">
        <is>
          <t>F</t>
        </is>
      </c>
      <c r="D1124" s="2" t="n">
        <v>100</v>
      </c>
      <c r="E1124" s="4">
        <f>HYPERLINK("./Results/DLO\20181201_1.3.12.2.1107.5.1.4.65253.30000018122119135859800001158_2_512_512_\Osteo_Sarco_1.png","RPT")</f>
        <v/>
      </c>
      <c r="F1124" s="3" t="n">
        <v>94</v>
      </c>
      <c r="G1124" s="3" t="n">
        <v>19</v>
      </c>
      <c r="H1124" s="6" t="n">
        <v>24.44</v>
      </c>
      <c r="I1124" s="0" t="inlineStr">
        <is>
          <t>SOMATOM Definition AS</t>
        </is>
      </c>
      <c r="J1124" s="0" t="inlineStr">
        <is>
          <t>W/O Contrast 3.0 B30f</t>
        </is>
      </c>
      <c r="K1124" t="n">
        <v>158</v>
      </c>
      <c r="L1124" t="n">
        <v>61</v>
      </c>
      <c r="M1124" t="n">
        <v>30.04</v>
      </c>
    </row>
    <row r="1125">
      <c r="A1125" s="2" t="n">
        <v>6111798</v>
      </c>
      <c r="B1125" s="2" t="n">
        <v>76</v>
      </c>
      <c r="C1125" s="2" t="inlineStr">
        <is>
          <t>F</t>
        </is>
      </c>
      <c r="D1125" s="2" t="n">
        <v>100</v>
      </c>
      <c r="E1125" s="4">
        <f>HYPERLINK("./Results/DLO\20180901_1.3.12.2.1107.5.1.4.65253.30000018090819111472400061947_2_512_512_\Osteo_Sarco_1.png","RPT")</f>
        <v/>
      </c>
      <c r="F1125" s="3" t="n">
        <v>79</v>
      </c>
      <c r="G1125" s="3" t="n">
        <v>7</v>
      </c>
      <c r="H1125" s="6" t="n">
        <v>17.71</v>
      </c>
      <c r="I1125" s="0" t="inlineStr">
        <is>
          <t>SOMATOM Definition AS</t>
        </is>
      </c>
      <c r="J1125" s="0" t="inlineStr">
        <is>
          <t>Pre Contrast 3.0 B30f</t>
        </is>
      </c>
      <c r="K1125" t="n">
        <v>155.8</v>
      </c>
      <c r="L1125" t="n">
        <v>43</v>
      </c>
      <c r="M1125" t="n">
        <v>29.66</v>
      </c>
    </row>
    <row r="1126">
      <c r="A1126" s="2" t="n">
        <v>8814235</v>
      </c>
      <c r="B1126" s="2" t="n">
        <v>76</v>
      </c>
      <c r="C1126" s="2" t="inlineStr">
        <is>
          <t>M</t>
        </is>
      </c>
      <c r="D1126" s="2" t="n">
        <v>100</v>
      </c>
      <c r="E1126" s="4">
        <f>HYPERLINK("./Results/DLO\20180601_1.2.840.113619.2.311.177534952791975669386338442115929137366_304_512_512_\Osteo_Sarco_1.png","RPT")</f>
        <v/>
      </c>
      <c r="F1126" s="3" t="n">
        <v>74</v>
      </c>
      <c r="G1126" s="3" t="n">
        <v>11</v>
      </c>
      <c r="H1126" s="6" t="n">
        <v>23.03</v>
      </c>
      <c r="I1126" s="0" t="inlineStr">
        <is>
          <t>Revolution CT</t>
        </is>
      </c>
      <c r="J1126" s="0" t="inlineStr">
        <is>
          <t>ABD 2.5mm</t>
        </is>
      </c>
      <c r="K1126" t="n">
        <v>168</v>
      </c>
      <c r="L1126" t="n">
        <v>65</v>
      </c>
      <c r="M1126" t="n">
        <v>22.32</v>
      </c>
    </row>
    <row r="1127">
      <c r="A1127" s="2" t="n">
        <v>9870874</v>
      </c>
      <c r="B1127" s="2" t="n">
        <v>76</v>
      </c>
      <c r="C1127" s="2" t="inlineStr">
        <is>
          <t>F</t>
        </is>
      </c>
      <c r="D1127" s="2" t="n">
        <v>100</v>
      </c>
      <c r="E1127" s="4">
        <f>HYPERLINK("./Results/DLO\20191201_1.3.12.2.1107.5.1.4.65253.30000019122021324259600002978_4_512_512_\Osteo_Sarco_1.png","RPT")</f>
        <v/>
      </c>
      <c r="F1127" s="3" t="n">
        <v>67</v>
      </c>
      <c r="G1127" s="3" t="n">
        <v>10</v>
      </c>
      <c r="H1127" s="6" t="n">
        <v>21.64</v>
      </c>
      <c r="I1127" s="0" t="inlineStr">
        <is>
          <t>SOMATOM Definition AS</t>
        </is>
      </c>
      <c r="J1127" s="0" t="inlineStr">
        <is>
          <t>Arterial Phase 3.0 B30f</t>
        </is>
      </c>
      <c r="K1127" t="n">
        <v>138.4</v>
      </c>
      <c r="L1127" t="n">
        <v>41.45</v>
      </c>
      <c r="M1127" t="n">
        <v>29.76</v>
      </c>
    </row>
    <row r="1128">
      <c r="A1128" s="2" t="n">
        <v>447295</v>
      </c>
      <c r="B1128" s="2" t="n">
        <v>76</v>
      </c>
      <c r="C1128" s="2" t="inlineStr">
        <is>
          <t>M</t>
        </is>
      </c>
      <c r="D1128" s="2" t="n">
        <v>100</v>
      </c>
      <c r="E1128" s="4">
        <f>HYPERLINK("./Results/DLO\20180701_1.2.410.100011.172.16.68.201.6366914698072051853.3_3_512_512_\Osteo_Sarco_1.png","RPT")</f>
        <v/>
      </c>
      <c r="F1128" s="3" t="n">
        <v>200</v>
      </c>
      <c r="G1128" s="3" t="n">
        <v>14</v>
      </c>
      <c r="H1128" s="7" t="n">
        <v>29.75</v>
      </c>
      <c r="I1128" s="0" t="inlineStr">
        <is>
          <t>Sensation 64</t>
        </is>
      </c>
      <c r="J1128" s="0" t="inlineStr">
        <is>
          <t>Pre 3.0 B30f</t>
        </is>
      </c>
      <c r="K1128" t="n">
        <v>172</v>
      </c>
      <c r="L1128" t="n">
        <v>88</v>
      </c>
      <c r="M1128" t="n">
        <v>62.87</v>
      </c>
    </row>
    <row r="1129">
      <c r="A1129" s="2" t="n">
        <v>2198986</v>
      </c>
      <c r="B1129" s="2" t="n">
        <v>76</v>
      </c>
      <c r="C1129" s="2" t="inlineStr">
        <is>
          <t>M</t>
        </is>
      </c>
      <c r="D1129" s="2" t="n">
        <v>100</v>
      </c>
      <c r="E1129" s="4">
        <f>HYPERLINK("./Results/DLO\20180501_1.3.12.2.1107.5.1.4.65253.30000018052921170848500043898_3_512_512_\Osteo_Sarco_1.png","RPT")</f>
        <v/>
      </c>
      <c r="F1129" s="3" t="n">
        <v>145</v>
      </c>
      <c r="G1129" s="3" t="n">
        <v>6</v>
      </c>
      <c r="H1129" s="7" t="n">
        <v>21.6</v>
      </c>
      <c r="I1129" s="0" t="inlineStr">
        <is>
          <t>SOMATOM Definition AS</t>
        </is>
      </c>
      <c r="J1129" s="0" t="inlineStr">
        <is>
          <t>Post Contrast 3.0 B30f</t>
        </is>
      </c>
      <c r="K1129" t="n">
        <v>174</v>
      </c>
      <c r="L1129" t="n">
        <v>65.40000000000001</v>
      </c>
      <c r="M1129" t="n">
        <v>45.91</v>
      </c>
    </row>
    <row r="1130">
      <c r="A1130" s="2" t="n">
        <v>5242718</v>
      </c>
      <c r="B1130" s="2" t="n">
        <v>76</v>
      </c>
      <c r="C1130" s="2" t="inlineStr">
        <is>
          <t>M</t>
        </is>
      </c>
      <c r="D1130" s="2" t="n">
        <v>100</v>
      </c>
      <c r="E1130" s="4">
        <f>HYPERLINK("./Results/DLO\20180701_1.2.840.113619.2.416.318349980888175046052071015441522281950_301_512_512_\Osteo_Sarco_1.png","RPT")</f>
        <v/>
      </c>
      <c r="F1130" s="3" t="n">
        <v>142</v>
      </c>
      <c r="G1130" s="3" t="n">
        <v>12</v>
      </c>
      <c r="H1130" s="6" t="n">
        <v>23.77</v>
      </c>
      <c r="I1130" s="0" t="inlineStr">
        <is>
          <t>Revolution CT</t>
        </is>
      </c>
      <c r="J1130" s="0" t="inlineStr">
        <is>
          <t>ARTERY</t>
        </is>
      </c>
      <c r="K1130" t="n">
        <v>158.6</v>
      </c>
      <c r="L1130" t="n">
        <v>59.8</v>
      </c>
      <c r="M1130" t="n">
        <v>51.68</v>
      </c>
    </row>
    <row r="1131">
      <c r="A1131" s="2" t="n">
        <v>9820791</v>
      </c>
      <c r="B1131" s="2" t="n">
        <v>76</v>
      </c>
      <c r="C1131" s="2" t="inlineStr">
        <is>
          <t>M</t>
        </is>
      </c>
      <c r="D1131" s="2" t="n">
        <v>100</v>
      </c>
      <c r="E1131" s="4">
        <f>HYPERLINK("./Results/DLO\20191001_1.3.12.2.1107.5.1.4.65253.30000019102319130874000002328_2_512_512_\Osteo_Sarco_1.png","RPT")</f>
        <v/>
      </c>
      <c r="F1131" s="3" t="n">
        <v>138</v>
      </c>
      <c r="G1131" s="3" t="n">
        <v>11</v>
      </c>
      <c r="H1131" s="6" t="n">
        <v>22.46</v>
      </c>
      <c r="I1131" s="0" t="inlineStr">
        <is>
          <t>SOMATOM Definition AS</t>
        </is>
      </c>
      <c r="J1131" s="0" t="inlineStr">
        <is>
          <t>ABD Contrast 3.0 B30f</t>
        </is>
      </c>
      <c r="K1131" t="n">
        <v>160.7</v>
      </c>
      <c r="L1131" t="n">
        <v>58</v>
      </c>
      <c r="M1131" t="n">
        <v>49.18</v>
      </c>
    </row>
    <row r="1132">
      <c r="A1132" s="2" t="n">
        <v>5052986</v>
      </c>
      <c r="B1132" s="2" t="n">
        <v>76</v>
      </c>
      <c r="C1132" s="2" t="inlineStr">
        <is>
          <t>M</t>
        </is>
      </c>
      <c r="D1132" s="2" t="n">
        <v>100</v>
      </c>
      <c r="E1132" s="4">
        <f>HYPERLINK("./Results/DLO\20180201_1.3.12.2.1107.5.1.4.65253.30000018021401161327500000322_8_512_512_\Osteo_Sarco_1.png","RPT")</f>
        <v/>
      </c>
      <c r="F1132" s="3" t="n">
        <v>137</v>
      </c>
      <c r="G1132" s="3" t="n">
        <v>7</v>
      </c>
      <c r="H1132" s="6" t="n">
        <v>21.87</v>
      </c>
      <c r="I1132" s="0" t="inlineStr">
        <is>
          <t>SOMATOM Definition AS</t>
        </is>
      </c>
      <c r="J1132" s="0" t="inlineStr">
        <is>
          <t>With Contrast 3.0 B30f</t>
        </is>
      </c>
      <c r="K1132" t="n">
        <v>160</v>
      </c>
      <c r="L1132" t="n">
        <v>56</v>
      </c>
      <c r="M1132" t="n">
        <v>50.78</v>
      </c>
    </row>
    <row r="1133">
      <c r="A1133" s="2" t="n">
        <v>5565803</v>
      </c>
      <c r="B1133" s="2" t="n">
        <v>76</v>
      </c>
      <c r="C1133" s="2" t="inlineStr">
        <is>
          <t>M</t>
        </is>
      </c>
      <c r="D1133" s="2" t="n">
        <v>100</v>
      </c>
      <c r="E1133" s="4">
        <f>HYPERLINK("./Results/DLO\20181101_1.2.840.113619.2.416.296336301592499214722029082889487001288_302_512_512_\Osteo_Sarco_1.png","RPT")</f>
        <v/>
      </c>
      <c r="F1133" s="3" t="n">
        <v>123</v>
      </c>
      <c r="G1133" s="3" t="n">
        <v>18</v>
      </c>
      <c r="H1133" s="7" t="n">
        <v>25.02</v>
      </c>
      <c r="I1133" s="0" t="inlineStr">
        <is>
          <t>Revolution CT</t>
        </is>
      </c>
      <c r="J1133" s="0" t="inlineStr">
        <is>
          <t>PORTAL</t>
        </is>
      </c>
      <c r="K1133" t="n">
        <v>174.3</v>
      </c>
      <c r="L1133" t="n">
        <v>76</v>
      </c>
      <c r="M1133" t="n">
        <v>34.56</v>
      </c>
    </row>
    <row r="1134">
      <c r="A1134" s="2" t="n">
        <v>5021356</v>
      </c>
      <c r="B1134" s="2" t="n">
        <v>76</v>
      </c>
      <c r="C1134" s="2" t="inlineStr">
        <is>
          <t>M</t>
        </is>
      </c>
      <c r="D1134" s="2" t="n">
        <v>100</v>
      </c>
      <c r="E1134" s="4">
        <f>HYPERLINK("./Results/DLO\20181201_1.3.12.2.1107.5.1.4.54310.30000018121223170937500000984_2_512_512_\Osteo_Sarco_1.png","RPT")</f>
        <v/>
      </c>
      <c r="F1134" s="3" t="n">
        <v>123</v>
      </c>
      <c r="G1134" s="3" t="n">
        <v>7</v>
      </c>
      <c r="H1134" s="6" t="n">
        <v>18.84</v>
      </c>
      <c r="I1134" s="0" t="inlineStr">
        <is>
          <t>Sensation 64</t>
        </is>
      </c>
      <c r="J1134" s="0" t="inlineStr">
        <is>
          <t>contrt Contrast 2.0 B30f</t>
        </is>
      </c>
      <c r="K1134" t="n">
        <v>165</v>
      </c>
      <c r="L1134" t="n">
        <v>51.3</v>
      </c>
      <c r="M1134" t="n">
        <v>42.61</v>
      </c>
    </row>
    <row r="1135">
      <c r="A1135" s="2" t="n">
        <v>5177782</v>
      </c>
      <c r="B1135" s="2" t="n">
        <v>76</v>
      </c>
      <c r="C1135" s="2" t="inlineStr">
        <is>
          <t>F</t>
        </is>
      </c>
      <c r="D1135" s="2" t="n">
        <v>100</v>
      </c>
      <c r="E1135" s="4">
        <f>HYPERLINK("./Results/DLO\20190501_1.3.46.670589.33.1.63692926668675021000001.4690990540733023597_201_512_512_\Osteo_Sarco_1.png","RPT")</f>
        <v/>
      </c>
      <c r="F1135" s="3" t="n">
        <v>116</v>
      </c>
      <c r="G1135" s="3" t="n">
        <v>22</v>
      </c>
      <c r="H1135" s="6" t="n">
        <v>34.61</v>
      </c>
      <c r="I1135" s="0" t="inlineStr">
        <is>
          <t>Ingenuity Core 128</t>
        </is>
      </c>
      <c r="J1135" s="0" t="inlineStr">
        <is>
          <t>Pre 3mm, iDose (3)</t>
        </is>
      </c>
      <c r="K1135" t="n">
        <v>160</v>
      </c>
      <c r="L1135" t="n">
        <v>88.59999999999999</v>
      </c>
      <c r="M1135" t="n">
        <v>36.72</v>
      </c>
    </row>
    <row r="1136">
      <c r="A1136" s="2" t="n">
        <v>6084551</v>
      </c>
      <c r="B1136" s="2" t="n">
        <v>76</v>
      </c>
      <c r="C1136" s="2" t="inlineStr">
        <is>
          <t>F</t>
        </is>
      </c>
      <c r="D1136" s="2" t="n">
        <v>100</v>
      </c>
      <c r="E1136" s="4">
        <f>HYPERLINK("./Results/DLO\20190701_1.3.12.2.1107.5.1.4.65253.30000019071419155512400039906_2_512_512_\Osteo_Sarco_1.png","RPT")</f>
        <v/>
      </c>
      <c r="F1136" s="3" t="n">
        <v>112</v>
      </c>
      <c r="G1136" s="3" t="n">
        <v>22</v>
      </c>
      <c r="H1136" s="7" t="n">
        <v>22.83</v>
      </c>
      <c r="I1136" s="0" t="inlineStr">
        <is>
          <t>SOMATOM Definition AS</t>
        </is>
      </c>
      <c r="J1136" s="0" t="inlineStr">
        <is>
          <t>Pre Contrast 3.0 B30f</t>
        </is>
      </c>
      <c r="K1136" t="n">
        <v>158</v>
      </c>
      <c r="L1136" t="n">
        <v>57</v>
      </c>
      <c r="M1136" t="n">
        <v>36.05</v>
      </c>
    </row>
    <row r="1137">
      <c r="A1137" s="2" t="n">
        <v>6059960</v>
      </c>
      <c r="B1137" s="2" t="n">
        <v>76</v>
      </c>
      <c r="C1137" s="2" t="inlineStr">
        <is>
          <t>M</t>
        </is>
      </c>
      <c r="D1137" s="2" t="n">
        <v>100</v>
      </c>
      <c r="E1137" s="4">
        <f>HYPERLINK("./Results/DLO\20190901_1.2.840.113619.2.416.277731931877409391759999252510998660959_302_512_512_\Osteo_Sarco_1.png","RPT")</f>
        <v/>
      </c>
      <c r="F1137" s="3" t="n">
        <v>112</v>
      </c>
      <c r="G1137" s="3" t="n">
        <v>10</v>
      </c>
      <c r="H1137" s="6" t="n">
        <v>24.78</v>
      </c>
      <c r="I1137" s="0" t="inlineStr">
        <is>
          <t>Revolution CT</t>
        </is>
      </c>
      <c r="J1137" s="0" t="inlineStr">
        <is>
          <t>ABD</t>
        </is>
      </c>
      <c r="K1137" t="n">
        <v>159.2</v>
      </c>
      <c r="L1137" t="n">
        <v>62.8</v>
      </c>
      <c r="M1137" t="n">
        <v>40.25</v>
      </c>
    </row>
    <row r="1138">
      <c r="A1138" s="2" t="n">
        <v>5022467</v>
      </c>
      <c r="B1138" s="2" t="n">
        <v>76</v>
      </c>
      <c r="C1138" s="2" t="inlineStr">
        <is>
          <t>M</t>
        </is>
      </c>
      <c r="D1138" s="2" t="n">
        <v>100</v>
      </c>
      <c r="E1138" s="4">
        <f>HYPERLINK("./Results/DLO\20190601_1.3.12.2.1107.5.1.4.54310.30000019061022370023400050777_6_512_512_\Osteo_Sarco_1.png","RPT")</f>
        <v/>
      </c>
      <c r="F1138" s="3" t="n">
        <v>108</v>
      </c>
      <c r="G1138" s="3" t="n">
        <v>7</v>
      </c>
      <c r="H1138" s="6" t="n">
        <v>23.28</v>
      </c>
      <c r="I1138" s="0" t="inlineStr">
        <is>
          <t>Sensation 64</t>
        </is>
      </c>
      <c r="J1138" s="0" t="inlineStr">
        <is>
          <t>ABD Non 2.0 B30f</t>
        </is>
      </c>
      <c r="K1138" t="n">
        <v>162.8</v>
      </c>
      <c r="L1138" t="n">
        <v>61.7</v>
      </c>
      <c r="M1138" t="n">
        <v>38.11</v>
      </c>
    </row>
    <row r="1139">
      <c r="A1139" s="2" t="n">
        <v>8244938</v>
      </c>
      <c r="B1139" s="2" t="n">
        <v>76</v>
      </c>
      <c r="C1139" s="2" t="inlineStr">
        <is>
          <t>F</t>
        </is>
      </c>
      <c r="D1139" s="2" t="n">
        <v>100</v>
      </c>
      <c r="E1139" s="4">
        <f>HYPERLINK("./Results/DLO\20181201_1.2.840.113619.2.416.62417209705805852455532695858807388859_304_512_512_\Osteo_Sarco_1.png","RPT")</f>
        <v/>
      </c>
      <c r="F1139" s="3" t="n">
        <v>106</v>
      </c>
      <c r="G1139" s="3" t="n">
        <v>14</v>
      </c>
      <c r="H1139" s="6" t="n">
        <v>25.85</v>
      </c>
      <c r="I1139" s="0" t="inlineStr">
        <is>
          <t>Revolution CT</t>
        </is>
      </c>
      <c r="J1139" s="0" t="inlineStr">
        <is>
          <t>ABD 2.5mm</t>
        </is>
      </c>
      <c r="K1139" t="n">
        <v>156.1</v>
      </c>
      <c r="L1139" t="n">
        <v>63</v>
      </c>
      <c r="M1139" t="n">
        <v>37.76</v>
      </c>
    </row>
    <row r="1140">
      <c r="A1140" s="2" t="n">
        <v>5448211</v>
      </c>
      <c r="B1140" s="2" t="n">
        <v>77</v>
      </c>
      <c r="C1140" s="2" t="inlineStr">
        <is>
          <t>F</t>
        </is>
      </c>
      <c r="D1140" s="2" t="n">
        <v>100</v>
      </c>
      <c r="E1140" s="4">
        <f>HYPERLINK("./Results/DLO\20180201_1.3.12.2.1107.5.1.4.65253.30000018020920272844000002319_2_512_512_\Osteo_Sarco_1.png","RPT")</f>
        <v/>
      </c>
      <c r="F1140" s="3" t="n">
        <v>99</v>
      </c>
      <c r="G1140" s="3" t="n">
        <v>10</v>
      </c>
      <c r="H1140" s="6" t="n">
        <v>21.87</v>
      </c>
      <c r="I1140" s="0" t="inlineStr">
        <is>
          <t>SOMATOM Definition AS</t>
        </is>
      </c>
      <c r="J1140" s="0" t="inlineStr">
        <is>
          <t>Pre Contrast 3.0 B30f</t>
        </is>
      </c>
      <c r="K1140" t="n">
        <v>156.4</v>
      </c>
      <c r="L1140" t="n">
        <v>53.5</v>
      </c>
      <c r="M1140" t="n">
        <v>36.38</v>
      </c>
    </row>
    <row r="1141">
      <c r="A1141" s="2" t="n">
        <v>9632668</v>
      </c>
      <c r="B1141" s="2" t="n">
        <v>77</v>
      </c>
      <c r="C1141" s="2" t="inlineStr">
        <is>
          <t>F</t>
        </is>
      </c>
      <c r="D1141" s="2" t="n">
        <v>100</v>
      </c>
      <c r="E1141" s="4">
        <f>HYPERLINK("./Results/DLO\20190401_1.2.840.113619.2.311.63143454428418316884155720374328808121_304_512_512_\Osteo_Sarco_1.png","RPT")</f>
        <v/>
      </c>
      <c r="F1141" s="3" t="n">
        <v>72</v>
      </c>
      <c r="G1141" s="3" t="n">
        <v>8</v>
      </c>
      <c r="H1141" s="6" t="n">
        <v>18.14</v>
      </c>
      <c r="I1141" s="0" t="inlineStr">
        <is>
          <t>Revolution CT</t>
        </is>
      </c>
      <c r="J1141" s="0" t="inlineStr">
        <is>
          <t>ABD 2.5mm</t>
        </is>
      </c>
      <c r="K1141" t="n">
        <v>145.7</v>
      </c>
      <c r="L1141" t="n">
        <v>38.5</v>
      </c>
      <c r="M1141" t="n">
        <v>30.15</v>
      </c>
    </row>
    <row r="1142">
      <c r="A1142" s="2" t="n">
        <v>6729585</v>
      </c>
      <c r="B1142" s="2" t="n">
        <v>77</v>
      </c>
      <c r="C1142" s="2" t="inlineStr">
        <is>
          <t>F</t>
        </is>
      </c>
      <c r="D1142" s="2" t="n">
        <v>100</v>
      </c>
      <c r="E1142" s="4">
        <f>HYPERLINK("./Results/DLO\20191101_1.3.12.2.1107.5.1.4.54310.30000019110422140768700034279_3_512_512_\Osteo_Sarco_1.png","RPT")</f>
        <v/>
      </c>
      <c r="F1142" s="3" t="n">
        <v>64</v>
      </c>
      <c r="G1142" s="3" t="n">
        <v>8</v>
      </c>
      <c r="H1142" s="6" t="n">
        <v>23.26</v>
      </c>
      <c r="I1142" s="0" t="inlineStr">
        <is>
          <t>Sensation 64</t>
        </is>
      </c>
      <c r="J1142" s="0" t="inlineStr">
        <is>
          <t>ABD Pre 3.0 B30f</t>
        </is>
      </c>
      <c r="K1142" t="n">
        <v>142.6</v>
      </c>
      <c r="L1142" t="n">
        <v>47.3</v>
      </c>
      <c r="M1142" t="n">
        <v>27.54</v>
      </c>
    </row>
    <row r="1143">
      <c r="A1143" s="2" t="n">
        <v>544600</v>
      </c>
      <c r="B1143" s="2" t="n">
        <v>77</v>
      </c>
      <c r="C1143" s="2" t="inlineStr">
        <is>
          <t>M</t>
        </is>
      </c>
      <c r="D1143" s="2" t="n">
        <v>100</v>
      </c>
      <c r="E1143" s="4">
        <f>HYPERLINK("./Results/DLO\20180801_1.3.12.2.1107.5.1.4.65253.30000018080918545438200055531_3_512_512_\Osteo_Sarco_1.png","RPT")</f>
        <v/>
      </c>
      <c r="F1143" s="3" t="n">
        <v>182</v>
      </c>
      <c r="G1143" s="3" t="n">
        <v>11</v>
      </c>
      <c r="H1143" s="7" t="n">
        <v>23.94</v>
      </c>
      <c r="I1143" s="0" t="inlineStr">
        <is>
          <t>SOMATOM Definition AS</t>
        </is>
      </c>
      <c r="J1143" s="0" t="inlineStr">
        <is>
          <t>Post Contrast 3.0 B30f</t>
        </is>
      </c>
      <c r="K1143" t="n">
        <v>171</v>
      </c>
      <c r="L1143" t="n">
        <v>70</v>
      </c>
      <c r="M1143" t="n">
        <v>58.48</v>
      </c>
    </row>
    <row r="1144">
      <c r="A1144" s="2" t="n">
        <v>5023116</v>
      </c>
      <c r="B1144" s="2" t="n">
        <v>77</v>
      </c>
      <c r="C1144" s="2" t="inlineStr">
        <is>
          <t>M</t>
        </is>
      </c>
      <c r="D1144" s="2" t="n">
        <v>100</v>
      </c>
      <c r="E1144" s="4">
        <f>HYPERLINK("./Results/DLO\20181201_1.3.12.2.1107.5.1.4.54310.30000018121023224425000040326_2_512_512_\Osteo_Sarco_1.png","RPT")</f>
        <v/>
      </c>
      <c r="F1144" s="3" t="n">
        <v>147</v>
      </c>
      <c r="G1144" s="3" t="n">
        <v>10</v>
      </c>
      <c r="H1144" s="7" t="n">
        <v>26.57</v>
      </c>
      <c r="I1144" s="0" t="inlineStr">
        <is>
          <t>Sensation 64</t>
        </is>
      </c>
      <c r="J1144" s="0" t="inlineStr">
        <is>
          <t>Pre Contrast 3.0 B30f</t>
        </is>
      </c>
      <c r="K1144" t="n">
        <v>168</v>
      </c>
      <c r="L1144" t="n">
        <v>75</v>
      </c>
      <c r="M1144" t="n">
        <v>48.54</v>
      </c>
    </row>
    <row r="1145">
      <c r="A1145" s="2" t="n">
        <v>9834040</v>
      </c>
      <c r="B1145" s="2" t="n">
        <v>77</v>
      </c>
      <c r="C1145" s="2" t="inlineStr">
        <is>
          <t>M</t>
        </is>
      </c>
      <c r="D1145" s="2" t="n">
        <v>100</v>
      </c>
      <c r="E1145" s="4">
        <f>HYPERLINK("./Results/DLO\20191101_1.3.12.2.1107.5.1.4.54310.30000019112521162262500000467_2_512_512_\Osteo_Sarco_1.png","RPT")</f>
        <v/>
      </c>
      <c r="F1145" s="3" t="n">
        <v>142</v>
      </c>
      <c r="G1145" s="3" t="n">
        <v>14</v>
      </c>
      <c r="H1145" s="7" t="n">
        <v>22.5</v>
      </c>
      <c r="I1145" s="0" t="inlineStr">
        <is>
          <t>Sensation 64</t>
        </is>
      </c>
      <c r="J1145" s="0" t="inlineStr">
        <is>
          <t>Pre Contrast 3.0 B30f</t>
        </is>
      </c>
      <c r="K1145" t="n">
        <v>162.6</v>
      </c>
      <c r="L1145" t="n">
        <v>59.5</v>
      </c>
      <c r="M1145" t="n">
        <v>48.41</v>
      </c>
    </row>
    <row r="1146">
      <c r="A1146" s="2" t="n">
        <v>8957884</v>
      </c>
      <c r="B1146" s="2" t="n">
        <v>77</v>
      </c>
      <c r="C1146" s="2" t="inlineStr">
        <is>
          <t>M</t>
        </is>
      </c>
      <c r="D1146" s="2" t="n">
        <v>100</v>
      </c>
      <c r="E1146" s="4">
        <f>HYPERLINK("./Results/DLO\20200601_1.3.12.2.1107.5.1.4.54310.30000020060421022881200045564_8_512_512_\Osteo_Sarco_1.png","RPT")</f>
        <v/>
      </c>
      <c r="F1146" s="3" t="n">
        <v>131</v>
      </c>
      <c r="G1146" s="3" t="n">
        <v>10</v>
      </c>
      <c r="H1146" s="6" t="n">
        <v>23.68</v>
      </c>
      <c r="I1146" s="0" t="inlineStr">
        <is>
          <t>Sensation 64</t>
        </is>
      </c>
      <c r="J1146" s="0" t="inlineStr">
        <is>
          <t>Portal ABD AXI 3mm B30f</t>
        </is>
      </c>
      <c r="K1146" t="n">
        <v>159.7</v>
      </c>
      <c r="L1146" t="n">
        <v>60.4</v>
      </c>
      <c r="M1146" t="n">
        <v>47.44</v>
      </c>
    </row>
    <row r="1147">
      <c r="A1147" s="2" t="n">
        <v>5890129</v>
      </c>
      <c r="B1147" s="2" t="n">
        <v>77</v>
      </c>
      <c r="C1147" s="2" t="inlineStr">
        <is>
          <t>F</t>
        </is>
      </c>
      <c r="D1147" s="2" t="n">
        <v>100</v>
      </c>
      <c r="E1147" s="4">
        <f>HYPERLINK("./Results/DLO\20190201_1.3.12.2.1107.5.1.4.54310.30000019020723361360900041925_2_512_512_\Osteo_Sarco_1.png","RPT")</f>
        <v/>
      </c>
      <c r="F1147" s="3" t="n">
        <v>130</v>
      </c>
      <c r="G1147" s="3" t="n">
        <v>16</v>
      </c>
      <c r="H1147" s="7" t="n">
        <v>23.64</v>
      </c>
      <c r="I1147" s="0" t="inlineStr">
        <is>
          <t>Sensation 64</t>
        </is>
      </c>
      <c r="J1147" s="0" t="inlineStr">
        <is>
          <t>Pre Contrast 3.0 B30f</t>
        </is>
      </c>
      <c r="K1147" t="n">
        <v>155</v>
      </c>
      <c r="L1147" t="n">
        <v>56.8</v>
      </c>
      <c r="M1147" t="n">
        <v>47.45</v>
      </c>
    </row>
    <row r="1148">
      <c r="A1148" s="2" t="n">
        <v>5924943</v>
      </c>
      <c r="B1148" s="2" t="n">
        <v>77</v>
      </c>
      <c r="C1148" s="2" t="inlineStr">
        <is>
          <t>M</t>
        </is>
      </c>
      <c r="D1148" s="2" t="n">
        <v>100</v>
      </c>
      <c r="E1148" s="4">
        <f>HYPERLINK("./Results/DLO\20181201_1.2.410.200069.80820110082.1130114.20250420110620024739_7413_512_512_\Osteo_Sarco_1.png","RPT")</f>
        <v/>
      </c>
      <c r="F1148" s="3" t="n">
        <v>126</v>
      </c>
      <c r="G1148" s="3" t="n">
        <v>17</v>
      </c>
      <c r="H1148" s="6" t="n">
        <v>24.3</v>
      </c>
      <c r="I1148" s="0" t="inlineStr">
        <is>
          <t>Sensation 64</t>
        </is>
      </c>
      <c r="J1148" s="0" t="inlineStr">
        <is>
          <t>N/A</t>
        </is>
      </c>
      <c r="K1148" t="n">
        <v>161</v>
      </c>
      <c r="L1148" t="n">
        <v>63</v>
      </c>
      <c r="M1148" t="n">
        <v>42.05</v>
      </c>
    </row>
    <row r="1149">
      <c r="A1149" s="2" t="n">
        <v>1362439</v>
      </c>
      <c r="B1149" s="2" t="n">
        <v>77</v>
      </c>
      <c r="C1149" s="2" t="inlineStr">
        <is>
          <t>M</t>
        </is>
      </c>
      <c r="D1149" s="2" t="n">
        <v>100</v>
      </c>
      <c r="E1149" s="4">
        <f>HYPERLINK("./Results/DLO\20180101_1.2.840.113619.2.94.485650834948.2.8578359.18491102.1_2_512_512_\Osteo_Sarco_1.png","RPT")</f>
        <v/>
      </c>
      <c r="F1149" s="3" t="n">
        <v>124</v>
      </c>
      <c r="G1149" s="3" t="n">
        <v>7</v>
      </c>
      <c r="H1149" s="6" t="n">
        <v>22.23</v>
      </c>
      <c r="I1149" s="0" t="inlineStr">
        <is>
          <t>Revolution CT</t>
        </is>
      </c>
      <c r="J1149" s="0" t="inlineStr">
        <is>
          <t>ABD</t>
        </is>
      </c>
      <c r="K1149" t="n">
        <v>171</v>
      </c>
      <c r="L1149" t="n">
        <v>65</v>
      </c>
      <c r="M1149" t="n">
        <v>40.01</v>
      </c>
    </row>
    <row r="1150">
      <c r="A1150" s="2" t="n">
        <v>9006753</v>
      </c>
      <c r="B1150" s="2" t="n">
        <v>77</v>
      </c>
      <c r="C1150" s="2" t="inlineStr">
        <is>
          <t>M</t>
        </is>
      </c>
      <c r="D1150" s="2" t="n">
        <v>100</v>
      </c>
      <c r="E1150" s="4">
        <f>HYPERLINK("./Results/DLO\20180101_1.2.840.113619.2.94.485650834948.2.8579014.18492188.1_2_512_512_\Osteo_Sarco_1.png","RPT")</f>
        <v/>
      </c>
      <c r="F1150" s="3" t="n">
        <v>120</v>
      </c>
      <c r="G1150" s="3" t="n">
        <v>6</v>
      </c>
      <c r="H1150" s="7" t="n">
        <v>21.01</v>
      </c>
      <c r="I1150" s="0" t="inlineStr">
        <is>
          <t>SOMATOM Definition AS</t>
        </is>
      </c>
      <c r="J1150" s="0" t="inlineStr">
        <is>
          <t>With Contrast 3.0 B40f</t>
        </is>
      </c>
      <c r="K1150" t="n">
        <v>169</v>
      </c>
      <c r="L1150" t="n">
        <v>60</v>
      </c>
      <c r="M1150" t="n">
        <v>39.91</v>
      </c>
    </row>
    <row r="1151">
      <c r="A1151" s="2" t="n">
        <v>8669156</v>
      </c>
      <c r="B1151" s="2" t="n">
        <v>77</v>
      </c>
      <c r="C1151" s="2" t="inlineStr">
        <is>
          <t>F</t>
        </is>
      </c>
      <c r="D1151" s="2" t="n">
        <v>100</v>
      </c>
      <c r="E1151" s="4">
        <f>HYPERLINK("./Results/DLO\20181201_1.3.12.2.1107.5.1.4.65253.30000018123019150732100021930_2_512_512_\Osteo_Sarco_1.png","RPT")</f>
        <v/>
      </c>
      <c r="F1151" s="3" t="n">
        <v>116</v>
      </c>
      <c r="G1151" s="3" t="n">
        <v>14</v>
      </c>
      <c r="H1151" s="6" t="n">
        <v>25.3</v>
      </c>
      <c r="I1151" s="0" t="inlineStr">
        <is>
          <t>SOMATOM Definition AS</t>
        </is>
      </c>
      <c r="J1151" s="0" t="inlineStr">
        <is>
          <t>Pre Contrast 3.0 B30f</t>
        </is>
      </c>
      <c r="K1151" t="n">
        <v>154</v>
      </c>
      <c r="L1151" t="n">
        <v>60</v>
      </c>
      <c r="M1151" t="n">
        <v>43.01</v>
      </c>
    </row>
    <row r="1152">
      <c r="A1152" s="2" t="n">
        <v>8815945</v>
      </c>
      <c r="B1152" s="2" t="n">
        <v>77</v>
      </c>
      <c r="C1152" s="2" t="inlineStr">
        <is>
          <t>F</t>
        </is>
      </c>
      <c r="D1152" s="2" t="n">
        <v>100</v>
      </c>
      <c r="E1152" s="4">
        <f>HYPERLINK("./Results/DLO\20181201_1.3.12.2.1107.5.1.4.54310.30000018122723303034300037345_2_512_512_\Osteo_Sarco_1.png","RPT")</f>
        <v/>
      </c>
      <c r="F1152" s="3" t="n">
        <v>113</v>
      </c>
      <c r="G1152" s="3" t="n">
        <v>11</v>
      </c>
      <c r="H1152" s="6" t="n">
        <v>25.39</v>
      </c>
      <c r="I1152" s="0" t="inlineStr">
        <is>
          <t>Sensation 64</t>
        </is>
      </c>
      <c r="J1152" s="0" t="inlineStr">
        <is>
          <t>Pre Contrast 3.0 B30f</t>
        </is>
      </c>
      <c r="K1152" t="n">
        <v>155.9</v>
      </c>
      <c r="L1152" t="n">
        <v>61.7</v>
      </c>
      <c r="M1152" t="n">
        <v>41.97</v>
      </c>
    </row>
    <row r="1153">
      <c r="A1153" s="2" t="n">
        <v>5558875</v>
      </c>
      <c r="B1153" s="2" t="n">
        <v>77</v>
      </c>
      <c r="C1153" s="2" t="inlineStr">
        <is>
          <t>F</t>
        </is>
      </c>
      <c r="D1153" s="2" t="n">
        <v>100</v>
      </c>
      <c r="E1153" s="4">
        <f>HYPERLINK("./Results/DLO\20180701_1.2.840.113619.2.311.155849126115524109894745708726937873298_304_512_512_\Osteo_Sarco_1.png","RPT")</f>
        <v/>
      </c>
      <c r="F1153" s="3" t="n">
        <v>103</v>
      </c>
      <c r="G1153" s="3" t="n">
        <v>19</v>
      </c>
      <c r="H1153" s="6" t="n">
        <v>22.21</v>
      </c>
      <c r="I1153" s="0" t="inlineStr">
        <is>
          <t>Revolution CT</t>
        </is>
      </c>
      <c r="J1153" s="0" t="inlineStr">
        <is>
          <t>ABD 2.5mm</t>
        </is>
      </c>
      <c r="K1153" t="n">
        <v>163</v>
      </c>
      <c r="L1153" t="n">
        <v>59</v>
      </c>
      <c r="M1153" t="n">
        <v>31.62</v>
      </c>
    </row>
    <row r="1154">
      <c r="A1154" s="2" t="n">
        <v>5169511</v>
      </c>
      <c r="B1154" s="2" t="n">
        <v>78</v>
      </c>
      <c r="C1154" s="2" t="inlineStr">
        <is>
          <t>M</t>
        </is>
      </c>
      <c r="D1154" s="2" t="n">
        <v>100</v>
      </c>
      <c r="E1154" s="4">
        <f>HYPERLINK("./Results/DLO\20180601_1.3.12.2.1107.5.1.4.65253.30000018060620205455600061679_3_512_512_\Osteo_Sarco_1.png","RPT")</f>
        <v/>
      </c>
      <c r="F1154" s="3" t="n">
        <v>93</v>
      </c>
      <c r="G1154" s="3" t="n">
        <v>6</v>
      </c>
      <c r="H1154" s="6" t="n">
        <v>16.39</v>
      </c>
      <c r="I1154" s="0" t="inlineStr">
        <is>
          <t>SOMATOM Definition AS</t>
        </is>
      </c>
      <c r="J1154" s="0" t="inlineStr">
        <is>
          <t>Post Contrast 3.0 B30f</t>
        </is>
      </c>
      <c r="K1154" t="n">
        <v>172</v>
      </c>
      <c r="L1154" t="n">
        <v>48.5</v>
      </c>
      <c r="M1154" t="n">
        <v>29.41</v>
      </c>
    </row>
    <row r="1155">
      <c r="A1155" s="2" t="n">
        <v>5333239</v>
      </c>
      <c r="B1155" s="2" t="n">
        <v>78</v>
      </c>
      <c r="C1155" s="2" t="inlineStr">
        <is>
          <t>F</t>
        </is>
      </c>
      <c r="D1155" s="2" t="n">
        <v>100</v>
      </c>
      <c r="E1155" s="4">
        <f>HYPERLINK("./Results/DLO\20190901_1.3.12.2.1107.5.1.4.65253.30000019092317151984300068234_2_512_512_\Osteo_Sarco_1.png","RPT")</f>
        <v/>
      </c>
      <c r="F1155" s="3" t="n">
        <v>83</v>
      </c>
      <c r="G1155" s="3" t="n">
        <v>13</v>
      </c>
      <c r="H1155" s="7" t="n">
        <v>22.02</v>
      </c>
      <c r="I1155" s="0" t="inlineStr">
        <is>
          <t>SOMATOM Definition AS</t>
        </is>
      </c>
      <c r="J1155" s="0" t="inlineStr">
        <is>
          <t>Pre Contrast 3.0 B30f</t>
        </is>
      </c>
      <c r="K1155" t="n">
        <v>152.2</v>
      </c>
      <c r="L1155" t="n">
        <v>51</v>
      </c>
      <c r="M1155" t="n">
        <v>30.22</v>
      </c>
    </row>
    <row r="1156">
      <c r="A1156" s="2" t="n">
        <v>5801315</v>
      </c>
      <c r="B1156" s="2" t="n">
        <v>78</v>
      </c>
      <c r="C1156" s="2" t="inlineStr">
        <is>
          <t>F</t>
        </is>
      </c>
      <c r="D1156" s="2" t="n">
        <v>100</v>
      </c>
      <c r="E1156" s="4">
        <f>HYPERLINK("./Results/DLO\20200601_1.3.12.2.1107.5.1.4.65253.30000020062019122712500080876_2_512_512_\Osteo_Sarco_1.png","RPT")</f>
        <v/>
      </c>
      <c r="F1156" s="3" t="n">
        <v>77</v>
      </c>
      <c r="G1156" s="3" t="n">
        <v>13</v>
      </c>
      <c r="H1156" s="6" t="n">
        <v>20.08</v>
      </c>
      <c r="I1156" s="0" t="inlineStr">
        <is>
          <t>SOMATOM Definition AS</t>
        </is>
      </c>
      <c r="J1156" s="0" t="inlineStr">
        <is>
          <t>ABD Pre 3.0 B30f</t>
        </is>
      </c>
      <c r="K1156" t="n">
        <v>153</v>
      </c>
      <c r="L1156" t="n">
        <v>47</v>
      </c>
      <c r="M1156" t="n">
        <v>27.34</v>
      </c>
    </row>
    <row r="1157">
      <c r="A1157" s="2" t="n">
        <v>1435212</v>
      </c>
      <c r="B1157" s="2" t="n">
        <v>78</v>
      </c>
      <c r="C1157" s="2" t="inlineStr">
        <is>
          <t>M</t>
        </is>
      </c>
      <c r="D1157" s="2" t="n">
        <v>100</v>
      </c>
      <c r="E1157" s="4">
        <f>HYPERLINK("./Results/DLO\20191001_1.3.12.2.1107.5.1.4.65253.30000019100321095746700033600_2_512_512_\Osteo_Sarco_1.png","RPT")</f>
        <v/>
      </c>
      <c r="F1157" s="3" t="n">
        <v>152</v>
      </c>
      <c r="G1157" s="3" t="n">
        <v>18</v>
      </c>
      <c r="H1157" s="7" t="n">
        <v>27.35</v>
      </c>
      <c r="I1157" s="0" t="inlineStr">
        <is>
          <t>SOMATOM Definition AS</t>
        </is>
      </c>
      <c r="J1157" s="0" t="inlineStr">
        <is>
          <t>W/O</t>
        </is>
      </c>
      <c r="K1157" t="n">
        <v>166.8</v>
      </c>
      <c r="L1157" t="n">
        <v>76.09999999999999</v>
      </c>
      <c r="M1157" t="n">
        <v>48.16</v>
      </c>
    </row>
    <row r="1158">
      <c r="A1158" s="2" t="n">
        <v>9927741</v>
      </c>
      <c r="B1158" s="2" t="n">
        <v>78</v>
      </c>
      <c r="C1158" s="2" t="inlineStr">
        <is>
          <t>M</t>
        </is>
      </c>
      <c r="D1158" s="2" t="n">
        <v>100</v>
      </c>
      <c r="E1158" s="4">
        <f>HYPERLINK("./Results/DLO\20200201_1.3.12.2.1107.5.1.4.54310.30000020022521280475000025628_7_512_512_\Osteo_Sarco_1.png","RPT")</f>
        <v/>
      </c>
      <c r="F1158" s="3" t="n">
        <v>152</v>
      </c>
      <c r="G1158" s="3" t="n">
        <v>12</v>
      </c>
      <c r="H1158" s="6" t="n">
        <v>28.78</v>
      </c>
      <c r="I1158" s="0" t="inlineStr">
        <is>
          <t>Sensation 64</t>
        </is>
      </c>
      <c r="J1158" s="0" t="inlineStr">
        <is>
          <t>ABD 3mm B30f</t>
        </is>
      </c>
      <c r="K1158" t="n">
        <v>159.7</v>
      </c>
      <c r="L1158" t="n">
        <v>73.40000000000001</v>
      </c>
      <c r="M1158" t="n">
        <v>54.89</v>
      </c>
    </row>
    <row r="1159">
      <c r="A1159" s="2" t="n">
        <v>5022756</v>
      </c>
      <c r="B1159" s="2" t="n">
        <v>78</v>
      </c>
      <c r="C1159" s="2" t="inlineStr">
        <is>
          <t>M</t>
        </is>
      </c>
      <c r="D1159" s="2" t="n">
        <v>100</v>
      </c>
      <c r="E1159" s="4">
        <f>HYPERLINK("./Results/DLO\20180901_1.3.12.2.1107.5.1.4.54310.30000018090323110353100005471_2_512_512_\Osteo_Sarco_1.png","RPT")</f>
        <v/>
      </c>
      <c r="F1159" s="3" t="n">
        <v>142</v>
      </c>
      <c r="G1159" s="3" t="n">
        <v>18</v>
      </c>
      <c r="H1159" s="6" t="n">
        <v>20.55</v>
      </c>
      <c r="I1159" s="0" t="inlineStr">
        <is>
          <t>Sensation 64</t>
        </is>
      </c>
      <c r="J1159" s="0" t="inlineStr">
        <is>
          <t>With Contrast 3.0 B30f</t>
        </is>
      </c>
      <c r="K1159" t="n">
        <v>168</v>
      </c>
      <c r="L1159" t="n">
        <v>58</v>
      </c>
      <c r="M1159" t="n">
        <v>43.93</v>
      </c>
    </row>
    <row r="1160">
      <c r="A1160" s="2" t="n">
        <v>6125440</v>
      </c>
      <c r="B1160" s="2" t="n">
        <v>78</v>
      </c>
      <c r="C1160" s="2" t="inlineStr">
        <is>
          <t>M</t>
        </is>
      </c>
      <c r="D1160" s="2" t="n">
        <v>100</v>
      </c>
      <c r="E1160" s="4">
        <f>HYPERLINK("./Results/DLO\20190301_1.3.12.2.1107.5.1.4.54310.30000019031223312378100027373_3_512_512_\Osteo_Sarco_1.png","RPT")</f>
        <v/>
      </c>
      <c r="F1160" s="3" t="n">
        <v>136</v>
      </c>
      <c r="G1160" s="3" t="n">
        <v>11</v>
      </c>
      <c r="H1160" s="7" t="n">
        <v>24.11</v>
      </c>
      <c r="I1160" s="0" t="inlineStr">
        <is>
          <t>Sensation 64</t>
        </is>
      </c>
      <c r="J1160" s="0" t="inlineStr">
        <is>
          <t>Pre Contrast 3.0 B30f</t>
        </is>
      </c>
      <c r="K1160" t="n">
        <v>174</v>
      </c>
      <c r="L1160" t="n">
        <v>73</v>
      </c>
      <c r="M1160" t="n">
        <v>41.29</v>
      </c>
    </row>
    <row r="1161">
      <c r="A1161" s="2" t="n">
        <v>8936131</v>
      </c>
      <c r="B1161" s="2" t="n">
        <v>78</v>
      </c>
      <c r="C1161" s="2" t="inlineStr">
        <is>
          <t>M</t>
        </is>
      </c>
      <c r="D1161" s="2" t="n">
        <v>100</v>
      </c>
      <c r="E1161" s="4">
        <f>HYPERLINK("./Results/DLO\20180601_1.2.840.113619.2.94.485650834948.2.8914471.19315072.1_2_512_512_\Osteo_Sarco_1.png","RPT")</f>
        <v/>
      </c>
      <c r="F1161" s="3" t="n">
        <v>122</v>
      </c>
      <c r="G1161" s="3" t="n">
        <v>7</v>
      </c>
      <c r="H1161" s="6" t="n">
        <v>21.83</v>
      </c>
      <c r="I1161" s="0" t="inlineStr">
        <is>
          <t>Sensation 64</t>
        </is>
      </c>
      <c r="J1161" s="0" t="inlineStr">
        <is>
          <t>W/O Contrast 3.0 B30f</t>
        </is>
      </c>
      <c r="K1161" t="n">
        <v>163</v>
      </c>
      <c r="L1161" t="n">
        <v>58</v>
      </c>
      <c r="M1161" t="n">
        <v>43.28</v>
      </c>
    </row>
    <row r="1162">
      <c r="A1162" s="2" t="n">
        <v>8809988</v>
      </c>
      <c r="B1162" s="2" t="n">
        <v>78</v>
      </c>
      <c r="C1162" s="2" t="inlineStr">
        <is>
          <t>M</t>
        </is>
      </c>
      <c r="D1162" s="2" t="n">
        <v>100</v>
      </c>
      <c r="E1162" s="4">
        <f>HYPERLINK("./Results/DLO\20200401_1.2.840.113619.2.416.54791458026438959721957419352356827461_303_512_512_\Osteo_Sarco_1.png","RPT")</f>
        <v/>
      </c>
      <c r="F1162" s="3" t="n">
        <v>113</v>
      </c>
      <c r="G1162" s="3" t="n">
        <v>13</v>
      </c>
      <c r="H1162" s="7" t="n">
        <v>23.74</v>
      </c>
      <c r="I1162" s="0" t="inlineStr">
        <is>
          <t>Revolution CT</t>
        </is>
      </c>
      <c r="J1162" s="0" t="inlineStr">
        <is>
          <t>ABD</t>
        </is>
      </c>
      <c r="K1162" t="n">
        <v>168</v>
      </c>
      <c r="L1162" t="n">
        <v>67</v>
      </c>
      <c r="M1162" t="n">
        <v>35.43</v>
      </c>
    </row>
    <row r="1163">
      <c r="A1163" s="2" t="n">
        <v>9672180</v>
      </c>
      <c r="B1163" s="2" t="n">
        <v>78</v>
      </c>
      <c r="C1163" s="2" t="inlineStr">
        <is>
          <t>M</t>
        </is>
      </c>
      <c r="D1163" s="2" t="n">
        <v>100</v>
      </c>
      <c r="E1163" s="4">
        <f>HYPERLINK("./Results/DLO\20190601_1.3.12.2.1107.5.1.4.65253.30000019060908254536000004684_4_512_512_\Osteo_Sarco_1.png","RPT")</f>
        <v/>
      </c>
      <c r="F1163" s="3" t="n">
        <v>112</v>
      </c>
      <c r="G1163" s="3" t="n">
        <v>6</v>
      </c>
      <c r="H1163" s="7" t="n">
        <v>18.4</v>
      </c>
      <c r="I1163" s="0" t="inlineStr">
        <is>
          <t>SOMATOM Definition AS</t>
        </is>
      </c>
      <c r="J1163" s="0" t="inlineStr">
        <is>
          <t>Arterial Phase 3.0 B30f</t>
        </is>
      </c>
      <c r="K1163" t="n">
        <v>169.7</v>
      </c>
      <c r="L1163" t="n">
        <v>53</v>
      </c>
      <c r="M1163" t="n">
        <v>36.81</v>
      </c>
    </row>
    <row r="1164">
      <c r="A1164" s="2" t="n">
        <v>5028171</v>
      </c>
      <c r="B1164" s="2" t="n">
        <v>78</v>
      </c>
      <c r="C1164" s="2" t="inlineStr">
        <is>
          <t>F</t>
        </is>
      </c>
      <c r="D1164" s="2" t="n">
        <v>100</v>
      </c>
      <c r="E1164" s="4">
        <f>HYPERLINK("./Results/DLO\20190101_1.3.12.2.1107.5.1.4.65253.30000019012022133518900001455_2_512_512_\Osteo_Sarco_1.png","RPT")</f>
        <v/>
      </c>
      <c r="F1164" s="3" t="n">
        <v>106</v>
      </c>
      <c r="G1164" s="3" t="n">
        <v>12</v>
      </c>
      <c r="H1164" s="7" t="n">
        <v>28.8</v>
      </c>
      <c r="I1164" s="0" t="inlineStr">
        <is>
          <t>SOMATOM Definition AS</t>
        </is>
      </c>
      <c r="J1164" s="0" t="inlineStr">
        <is>
          <t>With Contrast 3.0 B30f</t>
        </is>
      </c>
      <c r="K1164" t="n">
        <v>155.9</v>
      </c>
      <c r="L1164" t="n">
        <v>70</v>
      </c>
      <c r="M1164" t="n">
        <v>38.68</v>
      </c>
    </row>
    <row r="1165">
      <c r="A1165" s="2" t="n">
        <v>5674632</v>
      </c>
      <c r="B1165" s="2" t="n">
        <v>78</v>
      </c>
      <c r="C1165" s="2" t="inlineStr">
        <is>
          <t>M</t>
        </is>
      </c>
      <c r="D1165" s="2" t="n">
        <v>100</v>
      </c>
      <c r="E1165" s="4">
        <f>HYPERLINK("./Results/DLO\20190901_1.3.12.2.1107.5.1.4.65253.30000019092020275833200034325_2_512_512_\Osteo_Sarco_1.png","RPT")</f>
        <v/>
      </c>
      <c r="F1165" s="3" t="n">
        <v>103</v>
      </c>
      <c r="G1165" s="3" t="n">
        <v>8</v>
      </c>
      <c r="H1165" s="6" t="n">
        <v>18.34</v>
      </c>
      <c r="I1165" s="0" t="inlineStr">
        <is>
          <t>SOMATOM Definition AS</t>
        </is>
      </c>
      <c r="J1165" s="0" t="inlineStr">
        <is>
          <t>Pre Contrast 3.0 B30f</t>
        </is>
      </c>
      <c r="K1165" t="n">
        <v>170</v>
      </c>
      <c r="L1165" t="n">
        <v>53</v>
      </c>
      <c r="M1165" t="n">
        <v>32.87</v>
      </c>
    </row>
    <row r="1166">
      <c r="A1166" s="2" t="n">
        <v>8456082</v>
      </c>
      <c r="B1166" s="2" t="n">
        <v>78</v>
      </c>
      <c r="C1166" s="2" t="inlineStr">
        <is>
          <t>M</t>
        </is>
      </c>
      <c r="D1166" s="2" t="n">
        <v>100</v>
      </c>
      <c r="E1166" s="4">
        <f>HYPERLINK("./Results/DLO\20190701_1.2.840.113619.2.416.244164162427698135645360262251438511761_310_512_512_\Osteo_Sarco_1.png","RPT")</f>
        <v/>
      </c>
      <c r="F1166" s="3" t="n">
        <v>102</v>
      </c>
      <c r="G1166" s="3" t="n">
        <v>13</v>
      </c>
      <c r="H1166" s="6" t="n">
        <v>21.1</v>
      </c>
      <c r="I1166" s="0" t="inlineStr">
        <is>
          <t>Revolution CT</t>
        </is>
      </c>
      <c r="J1166" s="0" t="inlineStr">
        <is>
          <t>ABD</t>
        </is>
      </c>
      <c r="K1166" t="n">
        <v>175.5</v>
      </c>
      <c r="L1166" t="n">
        <v>65</v>
      </c>
      <c r="M1166" t="n">
        <v>28.9</v>
      </c>
    </row>
    <row r="1167">
      <c r="A1167" s="2" t="n">
        <v>8259949</v>
      </c>
      <c r="B1167" s="2" t="n">
        <v>79</v>
      </c>
      <c r="C1167" s="2" t="inlineStr">
        <is>
          <t>F</t>
        </is>
      </c>
      <c r="D1167" s="2" t="n">
        <v>100</v>
      </c>
      <c r="E1167" s="4">
        <f>HYPERLINK("./Results/DLO\20180301_1.2.840.113619.2.416.220401143569796751845715289004034815014_2_512_512_\Osteo_Sarco_1.png","RPT")</f>
        <v/>
      </c>
      <c r="F1167" s="3" t="n">
        <v>87</v>
      </c>
      <c r="G1167" s="3" t="n">
        <v>10</v>
      </c>
      <c r="H1167" s="6" t="n">
        <v>20.81</v>
      </c>
      <c r="I1167" s="0" t="inlineStr">
        <is>
          <t>Revolution CT</t>
        </is>
      </c>
      <c r="J1167" s="0" t="inlineStr">
        <is>
          <t>Pre</t>
        </is>
      </c>
      <c r="K1167" t="n">
        <v>155</v>
      </c>
      <c r="L1167" t="n">
        <v>50</v>
      </c>
      <c r="M1167" t="n">
        <v>32.05</v>
      </c>
    </row>
    <row r="1168">
      <c r="A1168" s="2" t="n">
        <v>744167</v>
      </c>
      <c r="B1168" s="2" t="n">
        <v>79</v>
      </c>
      <c r="C1168" s="2" t="inlineStr">
        <is>
          <t>M</t>
        </is>
      </c>
      <c r="D1168" s="2" t="n">
        <v>100</v>
      </c>
      <c r="E1168" s="4">
        <f>HYPERLINK("./Results/DLO\20191201_1.3.12.2.1107.5.1.4.65253.30000019121021080330100034162_2_512_512_\Osteo_Sarco_1.png","RPT")</f>
        <v/>
      </c>
      <c r="F1168" s="3" t="n">
        <v>76</v>
      </c>
      <c r="G1168" s="3" t="n">
        <v>2</v>
      </c>
      <c r="H1168" s="6" t="n">
        <v>14.34</v>
      </c>
      <c r="I1168" s="0" t="inlineStr">
        <is>
          <t>SOMATOM Definition AS</t>
        </is>
      </c>
      <c r="J1168" s="0" t="inlineStr">
        <is>
          <t>ABD Contrast 3.0 B30f</t>
        </is>
      </c>
      <c r="K1168" t="n">
        <v>167</v>
      </c>
      <c r="L1168" t="n">
        <v>40</v>
      </c>
      <c r="M1168" t="n">
        <v>26.53</v>
      </c>
    </row>
    <row r="1169">
      <c r="A1169" s="2" t="n">
        <v>5441878</v>
      </c>
      <c r="B1169" s="2" t="n">
        <v>79</v>
      </c>
      <c r="C1169" s="2" t="inlineStr">
        <is>
          <t>M</t>
        </is>
      </c>
      <c r="D1169" s="2" t="n">
        <v>100</v>
      </c>
      <c r="E1169" s="4">
        <f>HYPERLINK("./Results/DLO\20190401_1.2.840.113619.2.311.286937726817803787484213265112037145672_2_512_512_\Osteo_Sarco_1.png","RPT")</f>
        <v/>
      </c>
      <c r="F1169" s="3" t="n">
        <v>157</v>
      </c>
      <c r="G1169" s="3" t="n">
        <v>17</v>
      </c>
      <c r="H1169" s="6" t="n">
        <v>27.68</v>
      </c>
      <c r="I1169" s="0" t="inlineStr">
        <is>
          <t>Revolution CT</t>
        </is>
      </c>
      <c r="J1169" s="0" t="inlineStr">
        <is>
          <t>Pre</t>
        </is>
      </c>
      <c r="K1169" t="n">
        <v>170</v>
      </c>
      <c r="L1169" t="n">
        <v>80</v>
      </c>
      <c r="M1169" t="n">
        <v>48.44</v>
      </c>
    </row>
    <row r="1170">
      <c r="A1170" s="2" t="n">
        <v>5088325</v>
      </c>
      <c r="B1170" s="2" t="n">
        <v>79</v>
      </c>
      <c r="C1170" s="2" t="inlineStr">
        <is>
          <t>M</t>
        </is>
      </c>
      <c r="D1170" s="2" t="n">
        <v>100</v>
      </c>
      <c r="E1170" s="4">
        <f>HYPERLINK("./Results/DLO\20190601_1.3.12.2.1107.5.1.4.54310.30000019061222141478100055577_2_512_512_\Osteo_Sarco_1.png","RPT")</f>
        <v/>
      </c>
      <c r="F1170" s="3" t="n">
        <v>126</v>
      </c>
      <c r="G1170" s="3" t="n">
        <v>8</v>
      </c>
      <c r="H1170" s="7" t="n">
        <v>24.76</v>
      </c>
      <c r="I1170" s="0" t="inlineStr">
        <is>
          <t>Sensation 64</t>
        </is>
      </c>
      <c r="J1170" s="0" t="inlineStr">
        <is>
          <t>With Contrast 3.0 B30f</t>
        </is>
      </c>
      <c r="K1170" t="n">
        <v>167.3</v>
      </c>
      <c r="L1170" t="n">
        <v>69.3</v>
      </c>
      <c r="M1170" t="n">
        <v>42.16</v>
      </c>
    </row>
    <row r="1171">
      <c r="A1171" s="2" t="n">
        <v>2196059</v>
      </c>
      <c r="B1171" s="2" t="n">
        <v>79</v>
      </c>
      <c r="C1171" s="2" t="inlineStr">
        <is>
          <t>M</t>
        </is>
      </c>
      <c r="D1171" s="2" t="n">
        <v>100</v>
      </c>
      <c r="E1171" s="4">
        <f>HYPERLINK("./Results/DLO\20190201_1.3.12.2.1107.5.1.4.65253.30000019022720201787000018748_2_512_512_\Osteo_Sarco_1.png","RPT")</f>
        <v/>
      </c>
      <c r="F1171" s="3" t="n">
        <v>119</v>
      </c>
      <c r="G1171" s="3" t="n">
        <v>11</v>
      </c>
      <c r="H1171" s="6" t="n">
        <v>25.26</v>
      </c>
      <c r="I1171" s="0" t="inlineStr">
        <is>
          <t>SOMATOM Definition AS</t>
        </is>
      </c>
      <c r="J1171" s="0" t="inlineStr">
        <is>
          <t>With Contrast 3.0 B30f</t>
        </is>
      </c>
      <c r="K1171" t="n">
        <v>170</v>
      </c>
      <c r="L1171" t="n">
        <v>73</v>
      </c>
      <c r="M1171" t="n">
        <v>37.37</v>
      </c>
    </row>
    <row r="1172">
      <c r="A1172" s="2" t="n">
        <v>6742113</v>
      </c>
      <c r="B1172" s="2" t="n">
        <v>79</v>
      </c>
      <c r="C1172" s="2" t="inlineStr">
        <is>
          <t>M</t>
        </is>
      </c>
      <c r="D1172" s="2" t="n">
        <v>100</v>
      </c>
      <c r="E1172" s="4">
        <f>HYPERLINK("./Results/DLO\20200401_1.3.12.2.1107.5.1.4.54310.30000020042222120845300008325_2_512_512_\Osteo_Sarco_1.png","RPT")</f>
        <v/>
      </c>
      <c r="F1172" s="3" t="n">
        <v>113</v>
      </c>
      <c r="G1172" s="3" t="n">
        <v>7</v>
      </c>
      <c r="H1172" s="6" t="n">
        <v>22.49</v>
      </c>
      <c r="I1172" s="0" t="inlineStr">
        <is>
          <t>Sensation 64</t>
        </is>
      </c>
      <c r="J1172" s="0" t="inlineStr">
        <is>
          <t>Pre ABD 3mm B30f</t>
        </is>
      </c>
      <c r="K1172" t="n">
        <v>170</v>
      </c>
      <c r="L1172" t="n">
        <v>65</v>
      </c>
      <c r="M1172" t="n">
        <v>36.68</v>
      </c>
    </row>
    <row r="1173">
      <c r="A1173" s="2" t="n">
        <v>1508345</v>
      </c>
      <c r="B1173" s="2" t="n">
        <v>80</v>
      </c>
      <c r="C1173" s="2" t="inlineStr">
        <is>
          <t>F</t>
        </is>
      </c>
      <c r="D1173" s="2" t="n">
        <v>100</v>
      </c>
      <c r="E1173" s="4">
        <f>HYPERLINK("./Results/DLO\20180701_1.2.840.113619.2.311.182450074522727492510918617727441679793_303_512_512_\Osteo_Sarco_1.png","RPT")</f>
        <v/>
      </c>
      <c r="F1173" s="3" t="n">
        <v>94</v>
      </c>
      <c r="G1173" s="3" t="n">
        <v>8</v>
      </c>
      <c r="H1173" s="6" t="n">
        <v>21.91</v>
      </c>
      <c r="I1173" s="0" t="inlineStr">
        <is>
          <t>Revolution CT</t>
        </is>
      </c>
      <c r="J1173" s="0" t="inlineStr">
        <is>
          <t>ABD 2.5mm</t>
        </is>
      </c>
      <c r="K1173" t="n">
        <v>148</v>
      </c>
      <c r="L1173" t="n">
        <v>48</v>
      </c>
      <c r="M1173" t="n">
        <v>39.26</v>
      </c>
    </row>
    <row r="1174">
      <c r="A1174" s="2" t="n">
        <v>5035048</v>
      </c>
      <c r="B1174" s="2" t="n">
        <v>80</v>
      </c>
      <c r="C1174" s="2" t="inlineStr">
        <is>
          <t>F</t>
        </is>
      </c>
      <c r="D1174" s="2" t="n">
        <v>100</v>
      </c>
      <c r="E1174" s="4">
        <f>HYPERLINK("./Results/DLO\20180301_1.3.12.2.1107.5.1.4.65253.30000018031217230778000043195_2_512_512_\Osteo_Sarco_1.png","RPT")</f>
        <v/>
      </c>
      <c r="F1174" s="3" t="n">
        <v>93</v>
      </c>
      <c r="G1174" s="3" t="n">
        <v>17</v>
      </c>
      <c r="H1174" s="6" t="n">
        <v>24.97</v>
      </c>
      <c r="I1174" s="0" t="inlineStr">
        <is>
          <t>SOMATOM Definition AS</t>
        </is>
      </c>
      <c r="J1174" s="0" t="inlineStr">
        <is>
          <t>Pre Contrast 3.0 B30f</t>
        </is>
      </c>
      <c r="K1174" t="n">
        <v>155</v>
      </c>
      <c r="L1174" t="n">
        <v>60</v>
      </c>
      <c r="M1174" t="n">
        <v>31.63</v>
      </c>
    </row>
    <row r="1175">
      <c r="A1175" s="2" t="n">
        <v>5023209</v>
      </c>
      <c r="B1175" s="2" t="n">
        <v>80</v>
      </c>
      <c r="C1175" s="2" t="inlineStr">
        <is>
          <t>F</t>
        </is>
      </c>
      <c r="D1175" s="2" t="n">
        <v>100</v>
      </c>
      <c r="E1175" s="4">
        <f>HYPERLINK("./Results/DLO\20190601_1.3.12.2.1107.5.1.4.54310.30000019062322103253100048119_2_512_512_\Osteo_Sarco_1.png","RPT")</f>
        <v/>
      </c>
      <c r="F1175" s="3" t="n">
        <v>73</v>
      </c>
      <c r="G1175" s="3" t="n">
        <v>6</v>
      </c>
      <c r="H1175" s="6" t="n">
        <v>12.02</v>
      </c>
      <c r="I1175" s="0" t="inlineStr">
        <is>
          <t>Sensation 64</t>
        </is>
      </c>
      <c r="J1175" s="0" t="inlineStr">
        <is>
          <t>With Contrast 3.0 B30f</t>
        </is>
      </c>
      <c r="K1175" t="n">
        <v>158</v>
      </c>
      <c r="L1175" t="n">
        <v>30</v>
      </c>
      <c r="M1175" t="n">
        <v>26.84</v>
      </c>
    </row>
    <row r="1176">
      <c r="A1176" s="2" t="n">
        <v>10813199</v>
      </c>
      <c r="B1176" s="2" t="n">
        <v>80</v>
      </c>
      <c r="C1176" s="2" t="inlineStr">
        <is>
          <t>M</t>
        </is>
      </c>
      <c r="D1176" s="2" t="n">
        <v>100</v>
      </c>
      <c r="E1176" s="4">
        <f>HYPERLINK("./Results/DLO\20200601_1.3.12.2.1107.5.1.4.65253.30000020061800460203000084648_2_512_512_\Osteo_Sarco_1.png","RPT")</f>
        <v/>
      </c>
      <c r="F1176" s="3" t="n">
        <v>63</v>
      </c>
      <c r="G1176" s="3" t="n">
        <v>6</v>
      </c>
      <c r="H1176" s="7" t="n">
        <v>22.48</v>
      </c>
      <c r="I1176" s="0" t="inlineStr">
        <is>
          <t>SOMATOM Definition AS</t>
        </is>
      </c>
      <c r="J1176" s="0" t="inlineStr">
        <is>
          <t>Pre Contrast 3.0 B30f</t>
        </is>
      </c>
      <c r="K1176" t="n">
        <v>162</v>
      </c>
      <c r="L1176" t="n">
        <v>59</v>
      </c>
      <c r="M1176" t="n">
        <v>21.72</v>
      </c>
    </row>
    <row r="1177">
      <c r="A1177" s="2" t="n">
        <v>6739511</v>
      </c>
      <c r="B1177" s="2" t="n">
        <v>80</v>
      </c>
      <c r="C1177" s="2" t="inlineStr">
        <is>
          <t>M</t>
        </is>
      </c>
      <c r="D1177" s="2" t="n">
        <v>100</v>
      </c>
      <c r="E1177" s="4">
        <f>HYPERLINK("./Results/DLO\20180301_1.2.840.113619.2.311.136348814162666371142249436415894442199_304_512_512_\Osteo_Sarco_1.png","RPT")</f>
        <v/>
      </c>
      <c r="F1177" s="3" t="n">
        <v>157</v>
      </c>
      <c r="G1177" s="3" t="n">
        <v>20</v>
      </c>
      <c r="H1177" s="7" t="n">
        <v>24.24</v>
      </c>
      <c r="I1177" s="0" t="inlineStr">
        <is>
          <t>Revolution CT</t>
        </is>
      </c>
      <c r="J1177" s="0" t="inlineStr">
        <is>
          <t>ABD 2.5mm</t>
        </is>
      </c>
      <c r="K1177" t="n">
        <v>165</v>
      </c>
      <c r="L1177" t="n">
        <v>66</v>
      </c>
      <c r="M1177" t="n">
        <v>50.32</v>
      </c>
    </row>
    <row r="1178">
      <c r="A1178" s="2" t="n">
        <v>5722860</v>
      </c>
      <c r="B1178" s="2" t="n">
        <v>80</v>
      </c>
      <c r="C1178" s="2" t="inlineStr">
        <is>
          <t>M</t>
        </is>
      </c>
      <c r="D1178" s="2" t="n">
        <v>100</v>
      </c>
      <c r="E1178" s="4">
        <f>HYPERLINK("./Results/DLO\20180901_1.2.840.113619.2.311.279552252626696162645614990672460968796_304_512_512_\Osteo_Sarco_1.png","RPT")</f>
        <v/>
      </c>
      <c r="F1178" s="3" t="n">
        <v>126</v>
      </c>
      <c r="G1178" s="3" t="n">
        <v>11</v>
      </c>
      <c r="H1178" s="6" t="n">
        <v>22.59</v>
      </c>
      <c r="I1178" s="0" t="inlineStr">
        <is>
          <t>Revolution CT</t>
        </is>
      </c>
      <c r="J1178" s="0" t="inlineStr">
        <is>
          <t>ABD 2.5mm</t>
        </is>
      </c>
      <c r="K1178" t="n">
        <v>167</v>
      </c>
      <c r="L1178" t="n">
        <v>63</v>
      </c>
      <c r="M1178" t="n">
        <v>41.23</v>
      </c>
    </row>
    <row r="1179">
      <c r="A1179" s="2" t="n">
        <v>5208114</v>
      </c>
      <c r="B1179" s="2" t="n">
        <v>80</v>
      </c>
      <c r="C1179" s="2" t="inlineStr">
        <is>
          <t>F</t>
        </is>
      </c>
      <c r="D1179" s="2" t="n">
        <v>100</v>
      </c>
      <c r="E1179" s="4">
        <f>HYPERLINK("./Results/DLO\20180301_1.3.12.2.1107.5.1.4.65253.30000018030417255907500113774_2_512_512_\Osteo_Sarco_1.png","RPT")</f>
        <v/>
      </c>
      <c r="F1179" s="3" t="n">
        <v>105</v>
      </c>
      <c r="G1179" s="3" t="n">
        <v>31</v>
      </c>
      <c r="H1179" s="6" t="n">
        <v>27.59</v>
      </c>
      <c r="I1179" s="0" t="inlineStr">
        <is>
          <t>SOMATOM Definition AS</t>
        </is>
      </c>
      <c r="J1179" s="0" t="inlineStr">
        <is>
          <t>W/O Contrast 2.0 B30f</t>
        </is>
      </c>
      <c r="K1179" t="n">
        <v>151.1</v>
      </c>
      <c r="L1179" t="n">
        <v>63</v>
      </c>
      <c r="M1179" t="n">
        <v>32.41</v>
      </c>
    </row>
    <row r="1180">
      <c r="A1180" s="2" t="n">
        <v>5596508</v>
      </c>
      <c r="B1180" s="2" t="n">
        <v>81</v>
      </c>
      <c r="C1180" s="2" t="inlineStr">
        <is>
          <t>F</t>
        </is>
      </c>
      <c r="D1180" s="2" t="n">
        <v>100</v>
      </c>
      <c r="E1180" s="4">
        <f>HYPERLINK("./Results/DLO\20190601_1.3.12.2.1107.5.1.4.65253.30000019060419442871400030242_2_512_512_\Osteo_Sarco_1.png","RPT")</f>
        <v/>
      </c>
      <c r="F1180" s="3" t="n">
        <v>95</v>
      </c>
      <c r="G1180" s="3" t="n">
        <v>12</v>
      </c>
      <c r="H1180" s="6" t="n">
        <v>22.66</v>
      </c>
      <c r="I1180" s="0" t="inlineStr">
        <is>
          <t>SOMATOM Definition AS</t>
        </is>
      </c>
      <c r="J1180" s="0" t="inlineStr">
        <is>
          <t>Pre Contrast 3.0 B30f</t>
        </is>
      </c>
      <c r="K1180" t="n">
        <v>160</v>
      </c>
      <c r="L1180" t="n">
        <v>58</v>
      </c>
      <c r="M1180" t="n">
        <v>32.42</v>
      </c>
    </row>
    <row r="1181">
      <c r="A1181" s="2" t="n">
        <v>6741613</v>
      </c>
      <c r="B1181" s="2" t="n">
        <v>81</v>
      </c>
      <c r="C1181" s="2" t="inlineStr">
        <is>
          <t>F</t>
        </is>
      </c>
      <c r="D1181" s="2" t="n">
        <v>100</v>
      </c>
      <c r="E1181" s="4">
        <f>HYPERLINK("./Results/DLO\20180401_1.3.12.2.1107.5.1.4.54310.30000018041623483203100009627_2_512_512_\Osteo_Sarco_1.png","RPT")</f>
        <v/>
      </c>
      <c r="F1181" s="3" t="n">
        <v>87</v>
      </c>
      <c r="G1181" s="3" t="n">
        <v>11</v>
      </c>
      <c r="H1181" s="6" t="n">
        <v>21.03</v>
      </c>
      <c r="I1181" s="0" t="inlineStr">
        <is>
          <t>Sensation 64</t>
        </is>
      </c>
      <c r="J1181" s="0" t="inlineStr">
        <is>
          <t>With Contrast 3.0 B30f</t>
        </is>
      </c>
      <c r="K1181" t="n">
        <v>144.8</v>
      </c>
      <c r="L1181" t="n">
        <v>44.1</v>
      </c>
      <c r="M1181" t="n">
        <v>36.25</v>
      </c>
    </row>
    <row r="1182">
      <c r="A1182" s="2" t="n">
        <v>5142895</v>
      </c>
      <c r="B1182" s="2" t="n">
        <v>81</v>
      </c>
      <c r="C1182" s="2" t="inlineStr">
        <is>
          <t>F</t>
        </is>
      </c>
      <c r="D1182" s="2" t="n">
        <v>100</v>
      </c>
      <c r="E1182" s="4">
        <f>HYPERLINK("./Results/DLO\20181101_1.3.12.2.1107.5.1.4.65253.30000018110400365192100004509_2_512_512_\Osteo_Sarco_1.png","RPT")</f>
        <v/>
      </c>
      <c r="F1182" s="3" t="n">
        <v>64</v>
      </c>
      <c r="G1182" s="3" t="n">
        <v>17</v>
      </c>
      <c r="H1182" s="6" t="n">
        <v>16.23</v>
      </c>
      <c r="I1182" s="0" t="inlineStr">
        <is>
          <t>SOMATOM Definition AS</t>
        </is>
      </c>
      <c r="J1182" s="0" t="inlineStr">
        <is>
          <t>W/O Contrast 3.0 B45f</t>
        </is>
      </c>
      <c r="K1182" t="n">
        <v>156</v>
      </c>
      <c r="L1182" t="n">
        <v>39.5</v>
      </c>
      <c r="M1182" t="n">
        <v>19.31</v>
      </c>
    </row>
    <row r="1183">
      <c r="A1183" s="2" t="n">
        <v>5619766</v>
      </c>
      <c r="B1183" s="2" t="n">
        <v>81</v>
      </c>
      <c r="C1183" s="2" t="inlineStr">
        <is>
          <t>M</t>
        </is>
      </c>
      <c r="D1183" s="2" t="n">
        <v>100</v>
      </c>
      <c r="E1183" s="4">
        <f>HYPERLINK("./Results/DLO\20190701_1.2.410.100011.172.24.16.220.6371164996448080291.1_1_512_512_\Osteo_Sarco_1.png","RPT")</f>
        <v/>
      </c>
      <c r="F1183" s="3" t="n">
        <v>176</v>
      </c>
      <c r="G1183" s="3" t="n">
        <v>14</v>
      </c>
      <c r="H1183" s="7" t="n">
        <v>32.66</v>
      </c>
      <c r="I1183" s="0" t="inlineStr">
        <is>
          <t>LightSpeed VCT</t>
        </is>
      </c>
      <c r="J1183" s="0" t="inlineStr">
        <is>
          <t>Pre</t>
        </is>
      </c>
      <c r="K1183" t="n">
        <v>166</v>
      </c>
      <c r="L1183" t="n">
        <v>90</v>
      </c>
      <c r="M1183" t="n">
        <v>58.79</v>
      </c>
    </row>
    <row r="1184">
      <c r="A1184" s="2" t="n">
        <v>5024998</v>
      </c>
      <c r="B1184" s="2" t="n">
        <v>81</v>
      </c>
      <c r="C1184" s="2" t="inlineStr">
        <is>
          <t>M</t>
        </is>
      </c>
      <c r="D1184" s="2" t="n">
        <v>100</v>
      </c>
      <c r="E1184" s="4">
        <f>HYPERLINK("./Results/DLO\20200601_1.3.46.670589.33.1.63727375003720744900001.5194852647031464990_201_512_512_\Osteo_Sarco_1.png","RPT")</f>
        <v/>
      </c>
      <c r="F1184" s="3" t="n">
        <v>129</v>
      </c>
      <c r="G1184" s="3" t="n">
        <v>14</v>
      </c>
      <c r="H1184" s="7" t="n">
        <v>24.46</v>
      </c>
      <c r="I1184" s="0" t="inlineStr">
        <is>
          <t>Ingenuity Core 128</t>
        </is>
      </c>
      <c r="J1184" s="0" t="inlineStr">
        <is>
          <t>Post 3mm, iDose (3)</t>
        </is>
      </c>
      <c r="K1184" t="n">
        <v>163</v>
      </c>
      <c r="L1184" t="n">
        <v>65</v>
      </c>
      <c r="M1184" t="n">
        <v>43.28</v>
      </c>
    </row>
    <row r="1185">
      <c r="A1185" s="2" t="n">
        <v>5688455</v>
      </c>
      <c r="B1185" s="2" t="n">
        <v>81</v>
      </c>
      <c r="C1185" s="2" t="inlineStr">
        <is>
          <t>M</t>
        </is>
      </c>
      <c r="D1185" s="2" t="n">
        <v>100</v>
      </c>
      <c r="E1185" s="4">
        <f>HYPERLINK("./Results/DLO\20180101_1.3.12.2.1107.5.1.4.54310.30000018010823111673400016973_4_512_512_\Osteo_Sarco_1.png","RPT")</f>
        <v/>
      </c>
      <c r="F1185" s="3" t="n">
        <v>119</v>
      </c>
      <c r="G1185" s="3" t="n">
        <v>11</v>
      </c>
      <c r="H1185" s="7" t="n">
        <v>23.44</v>
      </c>
      <c r="I1185" s="0" t="inlineStr">
        <is>
          <t>Sensation 64</t>
        </is>
      </c>
      <c r="J1185" s="0" t="inlineStr">
        <is>
          <t>Pre Contrast 3.0 B30f</t>
        </is>
      </c>
      <c r="K1185" t="n">
        <v>160</v>
      </c>
      <c r="L1185" t="n">
        <v>60</v>
      </c>
      <c r="M1185" t="n">
        <v>42.19</v>
      </c>
    </row>
    <row r="1186">
      <c r="A1186" s="2" t="n">
        <v>5138913</v>
      </c>
      <c r="B1186" s="2" t="n">
        <v>81</v>
      </c>
      <c r="C1186" s="2" t="inlineStr">
        <is>
          <t>F</t>
        </is>
      </c>
      <c r="D1186" s="2" t="n">
        <v>100</v>
      </c>
      <c r="E1186" s="4">
        <f>HYPERLINK("./Results/DLO\20181101_1.3.12.2.1107.5.1.4.65253.30000018112720194887000014545_7_512_512_\Osteo_Sarco_1.png","RPT")</f>
        <v/>
      </c>
      <c r="F1186" s="3" t="n">
        <v>100</v>
      </c>
      <c r="G1186" s="3" t="n">
        <v>12</v>
      </c>
      <c r="H1186" s="6" t="n">
        <v>21.6</v>
      </c>
      <c r="I1186" s="0" t="inlineStr">
        <is>
          <t>SOMATOM Definition AS</t>
        </is>
      </c>
      <c r="J1186" s="0" t="inlineStr">
        <is>
          <t>Portal Phase 3.0 B30f</t>
        </is>
      </c>
      <c r="K1186" t="n">
        <v>150.3</v>
      </c>
      <c r="L1186" t="n">
        <v>48.8</v>
      </c>
      <c r="M1186" t="n">
        <v>38.96</v>
      </c>
    </row>
    <row r="1187">
      <c r="A1187" s="2" t="n">
        <v>9850610</v>
      </c>
      <c r="B1187" s="2" t="n">
        <v>81</v>
      </c>
      <c r="C1187" s="2" t="inlineStr">
        <is>
          <t>M</t>
        </is>
      </c>
      <c r="D1187" s="2" t="n">
        <v>100</v>
      </c>
      <c r="E1187" s="4">
        <f>HYPERLINK("./Results/DLO\20200601_1.3.12.2.1107.5.1.4.54310.30000020062222191839000044314_5_512_512_\Osteo_Sarco_1.png","RPT")</f>
        <v/>
      </c>
      <c r="F1187" s="3" t="n">
        <v>58</v>
      </c>
      <c r="G1187" s="3" t="n">
        <v>12</v>
      </c>
      <c r="H1187" s="7" t="n">
        <v>26.51</v>
      </c>
      <c r="I1187" s="0" t="inlineStr">
        <is>
          <t>Sensation 64</t>
        </is>
      </c>
      <c r="J1187" s="0" t="inlineStr">
        <is>
          <t>Arterial 3.0 B30f</t>
        </is>
      </c>
      <c r="K1187" t="n">
        <v>178</v>
      </c>
      <c r="L1187" t="n">
        <v>84</v>
      </c>
      <c r="M1187" t="n">
        <v>14.52</v>
      </c>
    </row>
    <row r="1188">
      <c r="A1188" s="2" t="n">
        <v>5714328</v>
      </c>
      <c r="B1188" s="2" t="n">
        <v>82</v>
      </c>
      <c r="C1188" s="2" t="inlineStr">
        <is>
          <t>M</t>
        </is>
      </c>
      <c r="D1188" s="2" t="n">
        <v>100</v>
      </c>
      <c r="E1188" s="4">
        <f>HYPERLINK("./Results/DLO\20191201_1.3.12.2.1107.5.1.4.65253.30000019121021080330100095587_2_512_512_\Osteo_Sarco_1.png","RPT")</f>
        <v/>
      </c>
      <c r="F1188" s="3" t="n">
        <v>145</v>
      </c>
      <c r="G1188" s="3" t="n">
        <v>18</v>
      </c>
      <c r="H1188" s="7" t="n">
        <v>25.47</v>
      </c>
      <c r="I1188" s="0" t="inlineStr">
        <is>
          <t>SOMATOM Definition AS</t>
        </is>
      </c>
      <c r="J1188" s="0" t="inlineStr">
        <is>
          <t>Pre Contrast 3.0 B30f</t>
        </is>
      </c>
      <c r="K1188" t="n">
        <v>175</v>
      </c>
      <c r="L1188" t="n">
        <v>78</v>
      </c>
      <c r="M1188" t="n">
        <v>41.47</v>
      </c>
    </row>
    <row r="1189">
      <c r="A1189" s="2" t="n">
        <v>5021777</v>
      </c>
      <c r="B1189" s="2" t="n">
        <v>82</v>
      </c>
      <c r="C1189" s="2" t="inlineStr">
        <is>
          <t>M</t>
        </is>
      </c>
      <c r="D1189" s="2" t="n">
        <v>100</v>
      </c>
      <c r="E1189" s="4">
        <f>HYPERLINK("./Results/DLO\20190501_1.3.12.2.1107.5.1.4.54310.30000019050821334617100001280_2_512_512_\Osteo_Sarco_1.png","RPT")</f>
        <v/>
      </c>
      <c r="F1189" s="3" t="n">
        <v>123</v>
      </c>
      <c r="G1189" s="3" t="n">
        <v>9</v>
      </c>
      <c r="H1189" s="7" t="n">
        <v>23.78</v>
      </c>
      <c r="I1189" s="0" t="inlineStr">
        <is>
          <t>Sensation 64</t>
        </is>
      </c>
      <c r="J1189" s="0" t="inlineStr">
        <is>
          <t>With Contrast 3.0 B30f</t>
        </is>
      </c>
      <c r="K1189" t="n">
        <v>174</v>
      </c>
      <c r="L1189" t="n">
        <v>72</v>
      </c>
      <c r="M1189" t="n">
        <v>37.65</v>
      </c>
    </row>
    <row r="1190">
      <c r="A1190" s="2" t="n">
        <v>8613491</v>
      </c>
      <c r="B1190" s="2" t="n">
        <v>82</v>
      </c>
      <c r="C1190" s="2" t="inlineStr">
        <is>
          <t>F</t>
        </is>
      </c>
      <c r="D1190" s="2" t="n">
        <v>100</v>
      </c>
      <c r="E1190" s="4">
        <f>HYPERLINK("./Results/DLO\20190301_1.3.12.2.1107.5.1.4.54310.30000019032023314110900006053_3_512_512_\Osteo_Sarco_1.png","RPT")</f>
        <v/>
      </c>
      <c r="F1190" s="3" t="n">
        <v>112</v>
      </c>
      <c r="G1190" s="3" t="n">
        <v>20</v>
      </c>
      <c r="H1190" s="6" t="n">
        <v>27.93</v>
      </c>
      <c r="I1190" s="0" t="inlineStr">
        <is>
          <t>Sensation 64</t>
        </is>
      </c>
      <c r="J1190" s="0" t="inlineStr">
        <is>
          <t>Pre Contrast 3.0 B30f</t>
        </is>
      </c>
      <c r="K1190" t="n">
        <v>149</v>
      </c>
      <c r="L1190" t="n">
        <v>62</v>
      </c>
      <c r="M1190" t="n">
        <v>41.44</v>
      </c>
    </row>
    <row r="1191">
      <c r="A1191" s="2" t="n">
        <v>5343075</v>
      </c>
      <c r="B1191" s="2" t="n">
        <v>82</v>
      </c>
      <c r="C1191" s="2" t="inlineStr">
        <is>
          <t>M</t>
        </is>
      </c>
      <c r="D1191" s="2" t="n">
        <v>100</v>
      </c>
      <c r="E1191" s="4">
        <f>HYPERLINK("./Results/DLO\20180301_1.3.12.2.1107.5.1.4.54310.30000018032823073635900038208_3_512_512_\Osteo_Sarco_1.png","RPT")</f>
        <v/>
      </c>
      <c r="F1191" s="3" t="n">
        <v>104</v>
      </c>
      <c r="G1191" s="3" t="n">
        <v>12</v>
      </c>
      <c r="H1191" s="7" t="n">
        <v>24.11</v>
      </c>
      <c r="I1191" s="0" t="inlineStr">
        <is>
          <t>Sensation 64</t>
        </is>
      </c>
      <c r="J1191" s="0" t="inlineStr">
        <is>
          <t>With Contrast 3.0 B30f</t>
        </is>
      </c>
      <c r="K1191" t="n">
        <v>174</v>
      </c>
      <c r="L1191" t="n">
        <v>73</v>
      </c>
      <c r="M1191" t="n">
        <v>30.39</v>
      </c>
    </row>
    <row r="1192">
      <c r="A1192" s="2" t="n">
        <v>136174</v>
      </c>
      <c r="B1192" s="2" t="n">
        <v>82</v>
      </c>
      <c r="C1192" s="2" t="inlineStr">
        <is>
          <t>F</t>
        </is>
      </c>
      <c r="D1192" s="2" t="n">
        <v>100</v>
      </c>
      <c r="E1192" s="4">
        <f>HYPERLINK("./Results/DLO\20180701_1.3.12.2.1107.5.1.4.65253.30000018071618482874300019308_2_512_512_\Osteo_Sarco_1.png","RPT")</f>
        <v/>
      </c>
      <c r="F1192" s="3" t="n">
        <v>102</v>
      </c>
      <c r="G1192" s="3" t="n">
        <v>11</v>
      </c>
      <c r="H1192" s="6" t="n">
        <v>24.03</v>
      </c>
      <c r="I1192" s="0" t="inlineStr">
        <is>
          <t>SOMATOM Definition AS</t>
        </is>
      </c>
      <c r="J1192" s="0" t="inlineStr">
        <is>
          <t>Pre Contrast 3.0 B30f</t>
        </is>
      </c>
      <c r="K1192" t="n">
        <v>158</v>
      </c>
      <c r="L1192" t="n">
        <v>60</v>
      </c>
      <c r="M1192" t="n">
        <v>36.45</v>
      </c>
    </row>
    <row r="1193">
      <c r="A1193" s="2" t="n">
        <v>8929407</v>
      </c>
      <c r="B1193" s="2" t="n">
        <v>82</v>
      </c>
      <c r="C1193" s="2" t="inlineStr">
        <is>
          <t>F</t>
        </is>
      </c>
      <c r="D1193" s="2" t="n">
        <v>100</v>
      </c>
      <c r="E1193" s="4">
        <f>HYPERLINK("./Results/DLO\20180901_1.2.840.113619.2.416.118868988063980936536036493667038446030_301_512_512_\Osteo_Sarco_1.png","RPT")</f>
        <v/>
      </c>
      <c r="F1193" s="3" t="n">
        <v>101</v>
      </c>
      <c r="G1193" s="3" t="n">
        <v>23</v>
      </c>
      <c r="H1193" s="6" t="n">
        <v>22.67</v>
      </c>
      <c r="I1193" s="0" t="inlineStr">
        <is>
          <t>Revolution CT</t>
        </is>
      </c>
      <c r="J1193" s="0" t="inlineStr">
        <is>
          <t>ARTERY</t>
        </is>
      </c>
      <c r="K1193" t="n">
        <v>150</v>
      </c>
      <c r="L1193" t="n">
        <v>51</v>
      </c>
      <c r="M1193" t="n">
        <v>34.67</v>
      </c>
    </row>
    <row r="1194">
      <c r="A1194" s="2" t="n">
        <v>5108850</v>
      </c>
      <c r="B1194" s="2" t="n">
        <v>83</v>
      </c>
      <c r="C1194" s="2" t="inlineStr">
        <is>
          <t>F</t>
        </is>
      </c>
      <c r="D1194" s="2" t="n">
        <v>100</v>
      </c>
      <c r="E1194" s="4">
        <f>HYPERLINK("./Results/DLO\20181001_1.3.12.2.1107.5.1.4.65253.30000018100320583328000050595_2_512_512_\Osteo_Sarco_1.png","RPT")</f>
        <v/>
      </c>
      <c r="F1194" s="3" t="n">
        <v>96</v>
      </c>
      <c r="G1194" s="3" t="n">
        <v>22</v>
      </c>
      <c r="H1194" s="6" t="n">
        <v>27.11</v>
      </c>
      <c r="I1194" s="0" t="inlineStr">
        <is>
          <t>SOMATOM Definition AS</t>
        </is>
      </c>
      <c r="J1194" s="0" t="inlineStr">
        <is>
          <t>W/O Contrast 2.0 B30f</t>
        </is>
      </c>
      <c r="K1194" t="n">
        <v>150</v>
      </c>
      <c r="L1194" t="n">
        <v>61</v>
      </c>
      <c r="M1194" t="n">
        <v>32.89</v>
      </c>
    </row>
    <row r="1195">
      <c r="A1195" s="2" t="n">
        <v>8907310</v>
      </c>
      <c r="B1195" s="2" t="n">
        <v>83</v>
      </c>
      <c r="C1195" s="2" t="inlineStr">
        <is>
          <t>M</t>
        </is>
      </c>
      <c r="D1195" s="2" t="n">
        <v>100</v>
      </c>
      <c r="E1195" s="4">
        <f>HYPERLINK("./Results/DLO\20180701_1.3.12.2.1107.5.1.4.65253.30000018072219342987300075521_2_512_512_\Osteo_Sarco_1.png","RPT")</f>
        <v/>
      </c>
      <c r="F1195" s="3" t="n">
        <v>145</v>
      </c>
      <c r="G1195" s="3" t="n">
        <v>10</v>
      </c>
      <c r="H1195" s="7" t="n">
        <v>26.23</v>
      </c>
      <c r="I1195" s="0" t="inlineStr">
        <is>
          <t>SOMATOM Definition AS</t>
        </is>
      </c>
      <c r="J1195" s="0" t="inlineStr">
        <is>
          <t>With Contrast 3.0 B30f</t>
        </is>
      </c>
      <c r="K1195" t="n">
        <v>165.8</v>
      </c>
      <c r="L1195" t="n">
        <v>72.09999999999999</v>
      </c>
      <c r="M1195" t="n">
        <v>49.11</v>
      </c>
    </row>
    <row r="1196">
      <c r="A1196" s="2" t="n">
        <v>5856244</v>
      </c>
      <c r="B1196" s="2" t="n">
        <v>83</v>
      </c>
      <c r="C1196" s="2" t="inlineStr">
        <is>
          <t>M</t>
        </is>
      </c>
      <c r="D1196" s="2" t="n">
        <v>100</v>
      </c>
      <c r="E1196" s="4">
        <f>HYPERLINK("./Results/DLO\20181201_1.2.840.113619.2.416.142682466471300637703753703857156472490_304_512_512_\Osteo_Sarco_1.png","RPT")</f>
        <v/>
      </c>
      <c r="F1196" s="3" t="n">
        <v>132</v>
      </c>
      <c r="G1196" s="3" t="n">
        <v>13</v>
      </c>
      <c r="H1196" s="6" t="n">
        <v>23.23</v>
      </c>
      <c r="I1196" s="0" t="inlineStr">
        <is>
          <t>Revolution CT</t>
        </is>
      </c>
      <c r="J1196" s="0" t="inlineStr">
        <is>
          <t>PRE 2.5mm</t>
        </is>
      </c>
      <c r="K1196" t="n">
        <v>166</v>
      </c>
      <c r="L1196" t="n">
        <v>64</v>
      </c>
      <c r="M1196" t="n">
        <v>43.18</v>
      </c>
    </row>
    <row r="1197">
      <c r="A1197" s="2" t="n">
        <v>801577</v>
      </c>
      <c r="B1197" s="2" t="n">
        <v>84</v>
      </c>
      <c r="C1197" s="2" t="inlineStr">
        <is>
          <t>F</t>
        </is>
      </c>
      <c r="D1197" s="2" t="n">
        <v>100</v>
      </c>
      <c r="E1197" s="4">
        <f>HYPERLINK("./Results/DLO\20181001_1.3.12.2.1107.5.1.4.65253.30000018100818173011100033690_2_512_512_\Osteo_Sarco_1.png","RPT")</f>
        <v/>
      </c>
      <c r="F1197" s="3" t="n">
        <v>98</v>
      </c>
      <c r="G1197" s="3" t="n">
        <v>12</v>
      </c>
      <c r="H1197" s="6" t="n">
        <v>25.63</v>
      </c>
      <c r="I1197" s="0" t="inlineStr">
        <is>
          <t>SOMATOM Definition AS</t>
        </is>
      </c>
      <c r="J1197" s="0" t="inlineStr">
        <is>
          <t>Non Contrast 3.0 B30f</t>
        </is>
      </c>
      <c r="K1197" t="n">
        <v>153</v>
      </c>
      <c r="L1197" t="n">
        <v>60</v>
      </c>
      <c r="M1197" t="n">
        <v>36.74</v>
      </c>
    </row>
    <row r="1198">
      <c r="A1198" s="2" t="n">
        <v>1395549</v>
      </c>
      <c r="B1198" s="2" t="n">
        <v>84</v>
      </c>
      <c r="C1198" s="2" t="inlineStr">
        <is>
          <t>F</t>
        </is>
      </c>
      <c r="D1198" s="2" t="n">
        <v>100</v>
      </c>
      <c r="E1198" s="4">
        <f>HYPERLINK("./Results/DLO\20191001_1.2.840.113619.2.416.148477046486740372876569506252593743220_310_512_512_\Osteo_Sarco_1.png","RPT")</f>
        <v/>
      </c>
      <c r="F1198" s="3" t="n">
        <v>98</v>
      </c>
      <c r="G1198" s="3" t="n">
        <v>12</v>
      </c>
      <c r="H1198" s="7" t="n">
        <v>28.92</v>
      </c>
      <c r="I1198" s="0" t="inlineStr">
        <is>
          <t>Revolution CT</t>
        </is>
      </c>
      <c r="J1198" s="0" t="inlineStr">
        <is>
          <t>ABD</t>
        </is>
      </c>
      <c r="K1198" t="n">
        <v>147.6</v>
      </c>
      <c r="L1198" t="n">
        <v>63</v>
      </c>
      <c r="M1198" t="n">
        <v>39.48</v>
      </c>
    </row>
    <row r="1199">
      <c r="A1199" s="2" t="n">
        <v>6069218</v>
      </c>
      <c r="B1199" s="2" t="n">
        <v>84</v>
      </c>
      <c r="C1199" s="2" t="inlineStr">
        <is>
          <t>F</t>
        </is>
      </c>
      <c r="D1199" s="2" t="n">
        <v>100</v>
      </c>
      <c r="E1199" s="4">
        <f>HYPERLINK("./Results/DLO\20181101_1.3.12.2.1107.5.1.4.65253.30000018112521135692300035874_2_512_512_\Osteo_Sarco_1.png","RPT")</f>
        <v/>
      </c>
      <c r="F1199" s="3" t="n">
        <v>95</v>
      </c>
      <c r="G1199" s="3" t="n">
        <v>20</v>
      </c>
      <c r="H1199" s="6" t="n">
        <v>23.31</v>
      </c>
      <c r="I1199" s="0" t="inlineStr">
        <is>
          <t>SOMATOM Definition AS</t>
        </is>
      </c>
      <c r="J1199" s="0" t="inlineStr">
        <is>
          <t>Non Contrast 3.0 B30f</t>
        </is>
      </c>
      <c r="K1199" t="n">
        <v>155</v>
      </c>
      <c r="L1199" t="n">
        <v>56</v>
      </c>
      <c r="M1199" t="n">
        <v>31.22</v>
      </c>
    </row>
    <row r="1200">
      <c r="A1200" s="2" t="n">
        <v>5629083</v>
      </c>
      <c r="B1200" s="2" t="n">
        <v>84</v>
      </c>
      <c r="C1200" s="2" t="inlineStr">
        <is>
          <t>M</t>
        </is>
      </c>
      <c r="D1200" s="2" t="n">
        <v>100</v>
      </c>
      <c r="E1200" s="4">
        <f>HYPERLINK("./Results/DLO\20181001_1.3.12.2.1107.5.1.4.54310.30000018101823125084300025468_2_512_512_\Osteo_Sarco_1.png","RPT")</f>
        <v/>
      </c>
      <c r="F1200" s="3" t="n">
        <v>139</v>
      </c>
      <c r="G1200" s="3" t="n">
        <v>12</v>
      </c>
      <c r="H1200" s="6" t="n">
        <v>22.41</v>
      </c>
      <c r="I1200" s="0" t="inlineStr">
        <is>
          <t>Sensation 64</t>
        </is>
      </c>
      <c r="J1200" s="0" t="inlineStr">
        <is>
          <t>Pre Contrast 3.0 B30f</t>
        </is>
      </c>
      <c r="K1200" t="n">
        <v>169</v>
      </c>
      <c r="L1200" t="n">
        <v>64</v>
      </c>
      <c r="M1200" t="n">
        <v>44.47</v>
      </c>
    </row>
    <row r="1201">
      <c r="A1201" s="2" t="n">
        <v>5711938</v>
      </c>
      <c r="B1201" s="2" t="n">
        <v>84</v>
      </c>
      <c r="C1201" s="2" t="inlineStr">
        <is>
          <t>F</t>
        </is>
      </c>
      <c r="D1201" s="2" t="n">
        <v>100</v>
      </c>
      <c r="E1201" s="4">
        <f>HYPERLINK("./Results/DLO\20190101_1.3.12.2.1107.5.1.4.65253.30000019012019405677600069461_2_512_512_\Osteo_Sarco_1.png","RPT")</f>
        <v/>
      </c>
      <c r="F1201" s="3" t="n">
        <v>102</v>
      </c>
      <c r="G1201" s="3" t="n">
        <v>36</v>
      </c>
      <c r="H1201" s="6" t="n">
        <v>22.89</v>
      </c>
      <c r="I1201" s="0" t="inlineStr">
        <is>
          <t>SOMATOM Definition AS</t>
        </is>
      </c>
      <c r="J1201" s="0" t="inlineStr">
        <is>
          <t>Non Contrast 3.0 B30f</t>
        </is>
      </c>
      <c r="K1201" t="n">
        <v>155</v>
      </c>
      <c r="L1201" t="n">
        <v>55</v>
      </c>
      <c r="M1201" t="n">
        <v>27.47</v>
      </c>
    </row>
    <row r="1202">
      <c r="A1202" s="2" t="n">
        <v>6084951</v>
      </c>
      <c r="B1202" s="2" t="n">
        <v>85</v>
      </c>
      <c r="C1202" s="2" t="inlineStr">
        <is>
          <t>M</t>
        </is>
      </c>
      <c r="D1202" s="2" t="n">
        <v>100</v>
      </c>
      <c r="E1202" s="4">
        <f>HYPERLINK("./Results/DLO\20191201_1.3.12.2.1107.5.1.4.65253.30000019120220324052100058356_3_512_512_\Osteo_Sarco_1.png","RPT")</f>
        <v/>
      </c>
      <c r="F1202" s="3" t="n">
        <v>103</v>
      </c>
      <c r="G1202" s="3" t="n">
        <v>8</v>
      </c>
      <c r="H1202" s="6" t="n">
        <v>18.91</v>
      </c>
      <c r="I1202" s="0" t="inlineStr">
        <is>
          <t>SOMATOM Definition AS</t>
        </is>
      </c>
      <c r="J1202" s="0" t="inlineStr">
        <is>
          <t>With Contrast 3.0 B30f</t>
        </is>
      </c>
      <c r="K1202" t="n">
        <v>169</v>
      </c>
      <c r="L1202" t="n">
        <v>54</v>
      </c>
      <c r="M1202" t="n">
        <v>33.26</v>
      </c>
    </row>
    <row r="1203">
      <c r="A1203" s="2" t="n">
        <v>5637199</v>
      </c>
      <c r="B1203" s="2" t="n">
        <v>86</v>
      </c>
      <c r="C1203" s="2" t="inlineStr">
        <is>
          <t>F</t>
        </is>
      </c>
      <c r="D1203" s="2" t="n">
        <v>100</v>
      </c>
      <c r="E1203" s="4">
        <f>HYPERLINK("./Results/DLO\20180101_1.3.12.2.1107.5.1.4.65253.30000018011817521172800012294_2_512_512_\Osteo_Sarco_1.png","RPT")</f>
        <v/>
      </c>
      <c r="F1203" s="3" t="n">
        <v>94</v>
      </c>
      <c r="G1203" s="3" t="n">
        <v>21</v>
      </c>
      <c r="H1203" s="7" t="n">
        <v>22.22</v>
      </c>
      <c r="I1203" s="0" t="inlineStr">
        <is>
          <t>SOMATOM Definition AS</t>
        </is>
      </c>
      <c r="J1203" s="0" t="inlineStr">
        <is>
          <t>Pre 3.0 I40f</t>
        </is>
      </c>
      <c r="K1203" t="n">
        <v>150</v>
      </c>
      <c r="L1203" t="n">
        <v>50</v>
      </c>
      <c r="M1203" t="n">
        <v>32.44</v>
      </c>
    </row>
    <row r="1204">
      <c r="A1204" s="2" t="n">
        <v>8423022</v>
      </c>
      <c r="B1204" s="2" t="n">
        <v>86</v>
      </c>
      <c r="C1204" s="2" t="inlineStr">
        <is>
          <t>M</t>
        </is>
      </c>
      <c r="D1204" s="2" t="n">
        <v>100</v>
      </c>
      <c r="E1204" s="4">
        <f>HYPERLINK("./Results/DLO\20180101_1.2.840.113619.2.311.305265965492533481822607514998030992112_304_512_512_\Osteo_Sarco_1.png","RPT")</f>
        <v/>
      </c>
      <c r="F1204" s="3" t="n">
        <v>112</v>
      </c>
      <c r="G1204" s="3" t="n">
        <v>15</v>
      </c>
      <c r="H1204" s="6" t="n">
        <v>30.62</v>
      </c>
      <c r="I1204" s="0" t="inlineStr">
        <is>
          <t>Revolution CT</t>
        </is>
      </c>
      <c r="J1204" s="0" t="inlineStr">
        <is>
          <t>ABD 2.5mm</t>
        </is>
      </c>
      <c r="K1204" t="n">
        <v>166.6</v>
      </c>
      <c r="L1204" t="n">
        <v>85</v>
      </c>
      <c r="M1204" t="n">
        <v>34.95</v>
      </c>
    </row>
    <row r="1205">
      <c r="A1205" s="2" t="n">
        <v>5921801</v>
      </c>
      <c r="B1205" s="2" t="n">
        <v>86</v>
      </c>
      <c r="C1205" s="2" t="inlineStr">
        <is>
          <t>F</t>
        </is>
      </c>
      <c r="D1205" s="2" t="n">
        <v>100</v>
      </c>
      <c r="E1205" s="4">
        <f>HYPERLINK("./Results/DLO\20190701_1.3.12.2.1107.5.1.4.65253.30000019071118201205600080479_2_512_512_\Osteo_Sarco_1.png","RPT")</f>
        <v/>
      </c>
      <c r="F1205" s="3" t="n">
        <v>103</v>
      </c>
      <c r="G1205" s="3" t="n">
        <v>28</v>
      </c>
      <c r="H1205" s="6" t="n">
        <v>24.03</v>
      </c>
      <c r="I1205" s="0" t="inlineStr">
        <is>
          <t>SOMATOM Definition AS</t>
        </is>
      </c>
      <c r="J1205" s="0" t="inlineStr">
        <is>
          <t>Pre Contrast 3.0 B30f</t>
        </is>
      </c>
      <c r="K1205" t="n">
        <v>158</v>
      </c>
      <c r="L1205" t="n">
        <v>60</v>
      </c>
      <c r="M1205" t="n">
        <v>30.04</v>
      </c>
    </row>
    <row r="1206">
      <c r="A1206" s="2" t="n">
        <v>6021518</v>
      </c>
      <c r="B1206" s="2" t="n">
        <v>86</v>
      </c>
      <c r="C1206" s="2" t="inlineStr">
        <is>
          <t>F</t>
        </is>
      </c>
      <c r="D1206" s="2" t="n">
        <v>100</v>
      </c>
      <c r="E1206" s="4">
        <f>HYPERLINK("./Results/DLO\20190701_1.3.12.2.1107.5.1.4.65253.30000019072118114898500113589_2_512_512_\Osteo_Sarco_1.png","RPT")</f>
        <v/>
      </c>
      <c r="F1206" s="3" t="n">
        <v>102</v>
      </c>
      <c r="G1206" s="3" t="n">
        <v>20</v>
      </c>
      <c r="H1206" s="6" t="n">
        <v>23.44</v>
      </c>
      <c r="I1206" s="0" t="inlineStr">
        <is>
          <t>SOMATOM Definition AS</t>
        </is>
      </c>
      <c r="J1206" s="0" t="inlineStr">
        <is>
          <t>Pre Contrast 3.0 B30f</t>
        </is>
      </c>
      <c r="K1206" t="n">
        <v>147.8</v>
      </c>
      <c r="L1206" t="n">
        <v>51.2</v>
      </c>
      <c r="M1206" t="n">
        <v>37.54</v>
      </c>
    </row>
    <row r="1207">
      <c r="A1207" s="2" t="n">
        <v>5405423</v>
      </c>
      <c r="B1207" s="2" t="n">
        <v>87</v>
      </c>
      <c r="C1207" s="2" t="inlineStr">
        <is>
          <t>F</t>
        </is>
      </c>
      <c r="D1207" s="2" t="n">
        <v>100</v>
      </c>
      <c r="E1207" s="4">
        <f>HYPERLINK("./Results/DLO\20180101_1.3.12.2.1107.5.1.4.54310.30000018011423091487500019075_2_512_512_\Osteo_Sarco_1.png","RPT")</f>
        <v/>
      </c>
      <c r="F1207" s="3" t="n">
        <v>88</v>
      </c>
      <c r="G1207" s="3" t="n">
        <v>16</v>
      </c>
      <c r="H1207" s="6" t="n">
        <v>22.77</v>
      </c>
      <c r="I1207" s="0" t="inlineStr">
        <is>
          <t>Sensation 64</t>
        </is>
      </c>
      <c r="J1207" s="0" t="inlineStr">
        <is>
          <t>With Contrast 3.0 B30f</t>
        </is>
      </c>
      <c r="K1207" t="n">
        <v>139</v>
      </c>
      <c r="L1207" t="n">
        <v>44</v>
      </c>
      <c r="M1207" t="n">
        <v>37.27</v>
      </c>
    </row>
    <row r="1208">
      <c r="A1208" s="2" t="n">
        <v>5059092</v>
      </c>
      <c r="B1208" s="2" t="n">
        <v>87</v>
      </c>
      <c r="C1208" s="2" t="inlineStr">
        <is>
          <t>F</t>
        </is>
      </c>
      <c r="D1208" s="2" t="n">
        <v>100</v>
      </c>
      <c r="E1208" s="4">
        <f>HYPERLINK("./Results/DLO\20200501_1.3.12.2.1107.5.1.4.65253.30000020051020482806800068798_2_512_512_\Osteo_Sarco_1.png","RPT")</f>
        <v/>
      </c>
      <c r="F1208" s="3" t="n">
        <v>80</v>
      </c>
      <c r="G1208" s="3" t="n">
        <v>28</v>
      </c>
      <c r="H1208" s="6" t="n">
        <v>22.89</v>
      </c>
      <c r="I1208" s="0" t="inlineStr">
        <is>
          <t>SOMATOM Definition AS</t>
        </is>
      </c>
      <c r="J1208" s="0" t="inlineStr">
        <is>
          <t>ABD Pre 3.0 B30f</t>
        </is>
      </c>
      <c r="K1208" t="n">
        <v>150</v>
      </c>
      <c r="L1208" t="n">
        <v>51.5</v>
      </c>
      <c r="M1208" t="n">
        <v>23.11</v>
      </c>
    </row>
    <row r="1209">
      <c r="A1209" s="2" t="n">
        <v>5026272</v>
      </c>
      <c r="B1209" s="2" t="n">
        <v>89</v>
      </c>
      <c r="C1209" s="2" t="inlineStr">
        <is>
          <t>M</t>
        </is>
      </c>
      <c r="D1209" s="2" t="n">
        <v>100</v>
      </c>
      <c r="E1209" s="4">
        <f>HYPERLINK("./Results/DLO\20190601_1.3.12.2.1107.5.1.4.65253.30000019061021122786800040717_6_512_512_\Osteo_Sarco_1.png","RPT")</f>
        <v/>
      </c>
      <c r="F1209" s="3" t="n">
        <v>137</v>
      </c>
      <c r="G1209" s="3" t="n">
        <v>19</v>
      </c>
      <c r="H1209" s="7" t="n">
        <v>26.01</v>
      </c>
      <c r="I1209" s="0" t="inlineStr">
        <is>
          <t>SOMATOM Definition AS</t>
        </is>
      </c>
      <c r="J1209" s="0" t="inlineStr">
        <is>
          <t>W/O ABD 2.0 B30f</t>
        </is>
      </c>
      <c r="K1209" t="n">
        <v>155</v>
      </c>
      <c r="L1209" t="n">
        <v>62.5</v>
      </c>
      <c r="M1209" t="n">
        <v>49.12</v>
      </c>
    </row>
    <row r="1210">
      <c r="A1210" s="2" t="n">
        <v>3360184</v>
      </c>
      <c r="B1210" s="2" t="n">
        <v>91</v>
      </c>
      <c r="C1210" s="2" t="inlineStr">
        <is>
          <t>F</t>
        </is>
      </c>
      <c r="D1210" s="2" t="n">
        <v>100</v>
      </c>
      <c r="E1210" s="4">
        <f>HYPERLINK("./Results/DLO\20190801_1.3.12.2.1107.5.1.4.65253.30000019080319364173000072945_2_512_512_\Osteo_Sarco_1.png","RPT")</f>
        <v/>
      </c>
      <c r="F1210" s="3" t="n">
        <v>87</v>
      </c>
      <c r="G1210" s="3" t="n">
        <v>13</v>
      </c>
      <c r="H1210" s="6" t="n">
        <v>18.72</v>
      </c>
      <c r="I1210" s="0" t="inlineStr">
        <is>
          <t>SOMATOM Definition AS</t>
        </is>
      </c>
      <c r="J1210" s="0" t="inlineStr">
        <is>
          <t>Pre Contrast 3.0 B30f</t>
        </is>
      </c>
      <c r="K1210" t="n">
        <v>138.5</v>
      </c>
      <c r="L1210" t="n">
        <v>35.9</v>
      </c>
      <c r="M1210" t="n">
        <v>38.58</v>
      </c>
    </row>
    <row r="1211">
      <c r="A1211" s="2" t="n">
        <v>9970750</v>
      </c>
      <c r="B1211" s="2" t="inlineStr">
        <is>
          <t>N/A</t>
        </is>
      </c>
      <c r="C1211" s="2" t="inlineStr">
        <is>
          <t>F</t>
        </is>
      </c>
      <c r="D1211" s="2" t="n">
        <v>100</v>
      </c>
      <c r="E1211" s="4">
        <f>HYPERLINK("./Results/DLO\20180501_1.2.410.100011.172.16.64.21.6372452732875738442.2_2_512_512_\Osteo_Sarco_1.png","RPT")</f>
        <v/>
      </c>
      <c r="F1211" s="3" t="n">
        <v>103</v>
      </c>
      <c r="G1211" s="3" t="n">
        <v>12</v>
      </c>
      <c r="H1211" s="7" t="n">
        <v>27.92</v>
      </c>
      <c r="I1211" s="0" t="inlineStr">
        <is>
          <t>Optima CT660</t>
        </is>
      </c>
      <c r="J1211" s="0" t="inlineStr">
        <is>
          <t>PRE-AXI 3.75</t>
        </is>
      </c>
      <c r="K1211" t="n">
        <v>149.5</v>
      </c>
      <c r="L1211" t="n">
        <v>62.4</v>
      </c>
      <c r="M1211" t="n">
        <v>40.72</v>
      </c>
    </row>
  </sheetData>
  <autoFilter ref="A1:H2374">
    <sortState ref="A3:H2374">
      <sortCondition ref="B1:B2374"/>
    </sortState>
  </autoFilter>
  <pageMargins left="0.75" right="0.75" top="1" bottom="1" header="0.5" footer="0.5"/>
  <pageSetup orientation="portrait" paperSize="9" fitToHeight="0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2025-12-22T09:10:57Z</dcterms:created>
  <dcterms:modified xmlns:dcterms="http://purl.org/dc/terms/" xmlns:xsi="http://www.w3.org/2001/XMLSchema-instance" xsi:type="dcterms:W3CDTF">2026-06-19T09:42:48Z</dcterms:modified>
  <cp:lastModifiedBy>전장훈</cp:lastModifiedBy>
  <cp:version>1000.0100.01</cp:version>
  <cp:revision>2</cp:revision>
</cp:coreProperties>
</file>