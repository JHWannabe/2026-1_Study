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hjun\OneDrive\Desktop\2026-1_Study\연구코드\data\강남\metadata\"/>
    </mc:Choice>
  </mc:AlternateContent>
  <xr:revisionPtr revIDLastSave="0" documentId="13_ncr:1_{934D296D-AADE-4BE8-B673-554AD5EF1AD7}" xr6:coauthVersionLast="47" xr6:coauthVersionMax="47" xr10:uidLastSave="{00000000-0000-0000-0000-000000000000}"/>
  <bookViews>
    <workbookView xWindow="32385" yWindow="1905" windowWidth="20610" windowHeight="11295" xr2:uid="{00000000-000D-0000-FFFF-FFFF00000000}"/>
  </bookViews>
  <sheets>
    <sheet name="Sheet1" sheetId="1" r:id="rId1"/>
  </sheets>
  <definedNames>
    <definedName name="_xlnm._FilterDatabase" localSheetId="0" hidden="1">Sheet1!$A$1:$H$3675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04" i="1" l="1"/>
  <c r="F2006" i="1"/>
  <c r="F2005" i="1"/>
  <c r="F3223" i="1"/>
  <c r="F3224" i="1"/>
  <c r="F3009" i="1"/>
  <c r="F785" i="1"/>
  <c r="F784" i="1"/>
  <c r="F787" i="1"/>
  <c r="F786" i="1"/>
  <c r="F222" i="1"/>
  <c r="F2256" i="1"/>
  <c r="F2257" i="1"/>
  <c r="F2259" i="1"/>
  <c r="F2258" i="1"/>
  <c r="F2564" i="1"/>
  <c r="F2565" i="1"/>
  <c r="F2566" i="1"/>
  <c r="F9" i="1"/>
  <c r="F1882" i="1"/>
  <c r="F1881" i="1"/>
  <c r="F1883" i="1"/>
  <c r="F2796" i="1"/>
  <c r="F2798" i="1"/>
  <c r="F2797" i="1"/>
  <c r="F2799" i="1"/>
  <c r="F3641" i="1"/>
  <c r="F3642" i="1"/>
  <c r="F3643" i="1"/>
  <c r="F2007" i="1"/>
  <c r="F2008" i="1"/>
  <c r="F2009" i="1"/>
  <c r="F134" i="1"/>
  <c r="F3649" i="1"/>
  <c r="F1979" i="1"/>
  <c r="F149" i="1"/>
  <c r="F150" i="1"/>
  <c r="F2524" i="1"/>
  <c r="F1270" i="1"/>
  <c r="F446" i="1"/>
  <c r="F2714" i="1"/>
  <c r="F1200" i="1"/>
  <c r="F1370" i="1"/>
  <c r="F1369" i="1"/>
  <c r="F2016" i="1"/>
  <c r="F2444" i="1"/>
  <c r="F2445" i="1"/>
  <c r="F1721" i="1"/>
  <c r="F1722" i="1"/>
  <c r="F3673" i="1"/>
  <c r="F3674" i="1"/>
  <c r="F1885" i="1"/>
  <c r="F1884" i="1"/>
  <c r="F3672" i="1"/>
  <c r="F3640" i="1"/>
  <c r="F3513" i="1"/>
  <c r="F3514" i="1"/>
  <c r="F3515" i="1"/>
  <c r="F3512" i="1"/>
  <c r="F3669" i="1"/>
  <c r="F528" i="1"/>
  <c r="F2497" i="1"/>
  <c r="F3659" i="1"/>
  <c r="F3660" i="1"/>
  <c r="F3658" i="1"/>
  <c r="F15" i="1"/>
  <c r="F2771" i="1"/>
  <c r="F2770" i="1"/>
  <c r="F2769" i="1"/>
  <c r="F36" i="1"/>
  <c r="F2179" i="1"/>
  <c r="F2180" i="1"/>
  <c r="F957" i="1"/>
  <c r="F1796" i="1"/>
  <c r="F1028" i="1"/>
  <c r="F1029" i="1"/>
  <c r="F1795" i="1"/>
  <c r="F2585" i="1"/>
  <c r="F3613" i="1"/>
  <c r="F3664" i="1"/>
  <c r="F3661" i="1"/>
  <c r="F3662" i="1"/>
  <c r="F3663" i="1"/>
  <c r="F3670" i="1"/>
  <c r="F3671" i="1"/>
  <c r="F3666" i="1"/>
  <c r="F3667" i="1"/>
  <c r="F3668" i="1"/>
  <c r="F3665" i="1"/>
  <c r="F3656" i="1"/>
  <c r="F3655" i="1"/>
  <c r="F1749" i="1"/>
  <c r="F2038" i="1"/>
  <c r="F851" i="1"/>
  <c r="F3600" i="1"/>
  <c r="F2403" i="1"/>
  <c r="F1299" i="1"/>
  <c r="F1300" i="1"/>
  <c r="F3617" i="1"/>
  <c r="F2568" i="1"/>
  <c r="F2045" i="1"/>
  <c r="F2662" i="1"/>
  <c r="F2468" i="1"/>
  <c r="F2469" i="1"/>
  <c r="F1266" i="1"/>
  <c r="F1267" i="1"/>
  <c r="F3222" i="1"/>
  <c r="F433" i="1"/>
  <c r="F284" i="1"/>
  <c r="F286" i="1"/>
  <c r="F285" i="1"/>
  <c r="F287" i="1"/>
  <c r="F3487" i="1"/>
  <c r="F2733" i="1"/>
  <c r="F3122" i="1"/>
  <c r="F1797" i="1"/>
  <c r="F1364" i="1"/>
  <c r="F1366" i="1"/>
  <c r="F1367" i="1"/>
  <c r="F1365" i="1"/>
  <c r="F958" i="1"/>
  <c r="F3644" i="1"/>
  <c r="F853" i="1"/>
  <c r="F1857" i="1"/>
  <c r="F1856" i="1"/>
  <c r="F1855" i="1"/>
  <c r="F1051" i="1"/>
  <c r="F1158" i="1"/>
  <c r="F3654" i="1"/>
  <c r="F3652" i="1"/>
  <c r="F1854" i="1"/>
  <c r="F1160" i="1"/>
  <c r="F3657" i="1"/>
  <c r="F3650" i="1"/>
  <c r="F1858" i="1"/>
  <c r="F2368" i="1"/>
  <c r="F3653" i="1"/>
  <c r="F3635" i="1"/>
  <c r="F1897" i="1"/>
  <c r="F3651" i="1"/>
  <c r="F464" i="1"/>
  <c r="F1159" i="1"/>
  <c r="F2167" i="1"/>
  <c r="F3626" i="1"/>
  <c r="F3627" i="1"/>
  <c r="F25" i="1"/>
  <c r="F26" i="1"/>
  <c r="F1429" i="1"/>
  <c r="F1430" i="1"/>
  <c r="F3630" i="1"/>
  <c r="F2178" i="1"/>
  <c r="F3632" i="1"/>
  <c r="F2177" i="1"/>
  <c r="F1647" i="1"/>
  <c r="F688" i="1"/>
  <c r="F3629" i="1"/>
  <c r="F3628" i="1"/>
  <c r="F556" i="1"/>
  <c r="F558" i="1"/>
  <c r="F559" i="1"/>
  <c r="F557" i="1"/>
  <c r="F888" i="1"/>
  <c r="F889" i="1"/>
  <c r="F891" i="1"/>
  <c r="F890" i="1"/>
  <c r="F3624" i="1"/>
  <c r="F3612" i="1"/>
  <c r="F92" i="1"/>
  <c r="F360" i="1"/>
  <c r="F1992" i="1"/>
  <c r="F2621" i="1"/>
  <c r="F3620" i="1"/>
  <c r="F1426" i="1"/>
  <c r="F2620" i="1"/>
  <c r="F93" i="1"/>
  <c r="F3631" i="1"/>
  <c r="F3625" i="1"/>
  <c r="F1598" i="1"/>
  <c r="F362" i="1"/>
  <c r="F2040" i="1"/>
  <c r="F2298" i="1"/>
  <c r="F359" i="1"/>
  <c r="F361" i="1"/>
  <c r="F3646" i="1"/>
  <c r="F3647" i="1"/>
  <c r="F3645" i="1"/>
  <c r="F3648" i="1"/>
  <c r="F1792" i="1"/>
  <c r="F859" i="1"/>
  <c r="F1372" i="1"/>
  <c r="F1021" i="1"/>
  <c r="F325" i="1"/>
  <c r="F326" i="1"/>
  <c r="F327" i="1"/>
  <c r="F3622" i="1"/>
  <c r="F3623" i="1"/>
  <c r="F3381" i="1"/>
  <c r="F3380" i="1"/>
  <c r="F3619" i="1"/>
  <c r="F3618" i="1"/>
  <c r="F1343" i="1"/>
  <c r="F1893" i="1"/>
  <c r="F412" i="1"/>
  <c r="F413" i="1"/>
  <c r="F689" i="1"/>
  <c r="F692" i="1"/>
  <c r="F690" i="1"/>
  <c r="F691" i="1"/>
  <c r="F3342" i="1"/>
  <c r="F3341" i="1"/>
  <c r="F3598" i="1"/>
  <c r="F1368" i="1"/>
  <c r="F3621" i="1"/>
  <c r="F1478" i="1"/>
  <c r="F1651" i="1"/>
  <c r="F2482" i="1"/>
  <c r="F336" i="1"/>
  <c r="F337" i="1"/>
  <c r="F2481" i="1"/>
  <c r="F3576" i="1"/>
  <c r="F3611" i="1"/>
  <c r="F3610" i="1"/>
  <c r="F35" i="1"/>
  <c r="F2483" i="1"/>
  <c r="F1477" i="1"/>
  <c r="F2480" i="1"/>
  <c r="F245" i="1"/>
  <c r="F246" i="1"/>
  <c r="F3614" i="1"/>
  <c r="F3616" i="1"/>
  <c r="F3615" i="1"/>
  <c r="F2513" i="1"/>
  <c r="F244" i="1"/>
  <c r="F739" i="1"/>
  <c r="F645" i="1"/>
  <c r="F646" i="1"/>
  <c r="F3082" i="1"/>
  <c r="F1806" i="1"/>
  <c r="F3601" i="1"/>
  <c r="F3602" i="1"/>
  <c r="F266" i="1"/>
  <c r="F3588" i="1"/>
  <c r="F1914" i="1"/>
  <c r="F1913" i="1"/>
  <c r="F1606" i="1"/>
  <c r="F1608" i="1"/>
  <c r="F1607" i="1"/>
  <c r="F459" i="1"/>
  <c r="F461" i="1"/>
  <c r="F458" i="1"/>
  <c r="F460" i="1"/>
  <c r="F3581" i="1"/>
  <c r="F3582" i="1"/>
  <c r="F3580" i="1"/>
  <c r="F3603" i="1"/>
  <c r="F2773" i="1"/>
  <c r="F959" i="1"/>
  <c r="F3594" i="1"/>
  <c r="F3593" i="1"/>
  <c r="F3587" i="1"/>
  <c r="F2653" i="1"/>
  <c r="F3140" i="1"/>
  <c r="F3262" i="1"/>
  <c r="F1336" i="1"/>
  <c r="F3574" i="1"/>
  <c r="F3595" i="1"/>
  <c r="F1047" i="1"/>
  <c r="F3139" i="1"/>
  <c r="F3592" i="1"/>
  <c r="F3247" i="1"/>
  <c r="F3575" i="1"/>
  <c r="F3599" i="1"/>
  <c r="F1046" i="1"/>
  <c r="F1889" i="1"/>
  <c r="F3597" i="1"/>
  <c r="F3596" i="1"/>
  <c r="F3609" i="1"/>
  <c r="F1890" i="1"/>
  <c r="F3250" i="1"/>
  <c r="F1049" i="1"/>
  <c r="F1048" i="1"/>
  <c r="F3636" i="1"/>
  <c r="F3638" i="1"/>
  <c r="F3637" i="1"/>
  <c r="F3639" i="1"/>
  <c r="F3605" i="1"/>
  <c r="F3604" i="1"/>
  <c r="F3606" i="1"/>
  <c r="F3607" i="1"/>
  <c r="F3608" i="1"/>
  <c r="F2828" i="1"/>
  <c r="F903" i="1"/>
  <c r="F1864" i="1"/>
  <c r="F2542" i="1"/>
  <c r="F2039" i="1"/>
  <c r="F2526" i="1"/>
  <c r="F320" i="1"/>
  <c r="F680" i="1"/>
  <c r="F681" i="1"/>
  <c r="F683" i="1"/>
  <c r="F682" i="1"/>
  <c r="F3585" i="1"/>
  <c r="F3586" i="1"/>
  <c r="F82" i="1"/>
  <c r="F81" i="1"/>
  <c r="F1101" i="1"/>
  <c r="F2631" i="1"/>
  <c r="F1919" i="1"/>
  <c r="F1918" i="1"/>
  <c r="F1920" i="1"/>
  <c r="F1917" i="1"/>
  <c r="F3524" i="1"/>
  <c r="F2380" i="1"/>
  <c r="F1198" i="1"/>
  <c r="F2379" i="1"/>
  <c r="F2472" i="1"/>
  <c r="F2378" i="1"/>
  <c r="F1197" i="1"/>
  <c r="F3167" i="1"/>
  <c r="F1888" i="1"/>
  <c r="F2381" i="1"/>
  <c r="F3523" i="1"/>
  <c r="F3583" i="1"/>
  <c r="F3584" i="1"/>
  <c r="F3589" i="1"/>
  <c r="F3591" i="1"/>
  <c r="F3590" i="1"/>
  <c r="F1340" i="1"/>
  <c r="F1338" i="1"/>
  <c r="F1337" i="1"/>
  <c r="F1339" i="1"/>
  <c r="F152" i="1"/>
  <c r="F153" i="1"/>
  <c r="F154" i="1"/>
  <c r="F3494" i="1"/>
  <c r="F3161" i="1"/>
  <c r="F2470" i="1"/>
  <c r="F3088" i="1"/>
  <c r="F3507" i="1"/>
  <c r="F376" i="1"/>
  <c r="F878" i="1"/>
  <c r="F2273" i="1"/>
  <c r="F3518" i="1"/>
  <c r="F3519" i="1"/>
  <c r="F3521" i="1"/>
  <c r="F3520" i="1"/>
  <c r="F3522" i="1"/>
  <c r="F3556" i="1"/>
  <c r="F3557" i="1"/>
  <c r="F3564" i="1"/>
  <c r="F1886" i="1"/>
  <c r="F1887" i="1"/>
  <c r="F2456" i="1"/>
  <c r="F2455" i="1"/>
  <c r="F1679" i="1"/>
  <c r="F1680" i="1"/>
  <c r="F41" i="1"/>
  <c r="F1956" i="1"/>
  <c r="F1957" i="1"/>
  <c r="F485" i="1"/>
  <c r="F486" i="1"/>
  <c r="F487" i="1"/>
  <c r="F488" i="1"/>
  <c r="F2711" i="1"/>
  <c r="F2712" i="1"/>
  <c r="F3554" i="1"/>
  <c r="F3555" i="1"/>
  <c r="F2042" i="1"/>
  <c r="F2041" i="1"/>
  <c r="F2043" i="1"/>
  <c r="F2044" i="1"/>
  <c r="F2694" i="1"/>
  <c r="F2693" i="1"/>
  <c r="F2695" i="1"/>
  <c r="F2692" i="1"/>
  <c r="F2787" i="1"/>
  <c r="F2789" i="1"/>
  <c r="F2788" i="1"/>
  <c r="F2790" i="1"/>
  <c r="F3548" i="1"/>
  <c r="F3549" i="1"/>
  <c r="F2299" i="1"/>
  <c r="F165" i="1"/>
  <c r="F164" i="1"/>
  <c r="F167" i="1"/>
  <c r="F166" i="1"/>
  <c r="F45" i="1"/>
  <c r="F44" i="1"/>
  <c r="F1597" i="1"/>
  <c r="F1596" i="1"/>
  <c r="F2997" i="1"/>
  <c r="F2995" i="1"/>
  <c r="F2996" i="1"/>
  <c r="F2998" i="1"/>
  <c r="F3532" i="1"/>
  <c r="F3533" i="1"/>
  <c r="F1152" i="1"/>
  <c r="F1155" i="1"/>
  <c r="F1153" i="1"/>
  <c r="F1154" i="1"/>
  <c r="F1565" i="1"/>
  <c r="F3041" i="1"/>
  <c r="F532" i="1"/>
  <c r="F3566" i="1"/>
  <c r="F1399" i="1"/>
  <c r="F2439" i="1"/>
  <c r="F904" i="1"/>
  <c r="F3563" i="1"/>
  <c r="F1877" i="1"/>
  <c r="F1398" i="1"/>
  <c r="F3011" i="1"/>
  <c r="F2314" i="1"/>
  <c r="F531" i="1"/>
  <c r="F2158" i="1"/>
  <c r="F2436" i="1"/>
  <c r="F3559" i="1"/>
  <c r="F3529" i="1"/>
  <c r="F3547" i="1"/>
  <c r="F3562" i="1"/>
  <c r="F2157" i="1"/>
  <c r="F1182" i="1"/>
  <c r="F3567" i="1"/>
  <c r="F1510" i="1"/>
  <c r="F3013" i="1"/>
  <c r="F1874" i="1"/>
  <c r="F2437" i="1"/>
  <c r="F3558" i="1"/>
  <c r="F1431" i="1"/>
  <c r="F377" i="1"/>
  <c r="F378" i="1"/>
  <c r="F3012" i="1"/>
  <c r="F3561" i="1"/>
  <c r="F32" i="1"/>
  <c r="F3572" i="1"/>
  <c r="F3506" i="1"/>
  <c r="F3527" i="1"/>
  <c r="F3573" i="1"/>
  <c r="F2438" i="1"/>
  <c r="F3560" i="1"/>
  <c r="F3565" i="1"/>
  <c r="F905" i="1"/>
  <c r="F3526" i="1"/>
  <c r="F2156" i="1"/>
  <c r="F31" i="1"/>
  <c r="F2313" i="1"/>
  <c r="F3505" i="1"/>
  <c r="F3528" i="1"/>
  <c r="F2316" i="1"/>
  <c r="F2087" i="1"/>
  <c r="F3504" i="1"/>
  <c r="F1876" i="1"/>
  <c r="F3010" i="1"/>
  <c r="F2315" i="1"/>
  <c r="F3568" i="1"/>
  <c r="F1432" i="1"/>
  <c r="F2442" i="1"/>
  <c r="F1553" i="1"/>
  <c r="F3503" i="1"/>
  <c r="F2084" i="1"/>
  <c r="F906" i="1"/>
  <c r="F530" i="1"/>
  <c r="F1875" i="1"/>
  <c r="F3525" i="1"/>
  <c r="F3571" i="1"/>
  <c r="F1509" i="1"/>
  <c r="F907" i="1"/>
  <c r="F2104" i="1"/>
  <c r="F3484" i="1"/>
  <c r="F533" i="1"/>
  <c r="F1030" i="1"/>
  <c r="F3578" i="1"/>
  <c r="F3577" i="1"/>
  <c r="F3579" i="1"/>
  <c r="F3530" i="1"/>
  <c r="F3531" i="1"/>
  <c r="F3536" i="1"/>
  <c r="F3538" i="1"/>
  <c r="F3539" i="1"/>
  <c r="F3537" i="1"/>
  <c r="F3543" i="1"/>
  <c r="F3546" i="1"/>
  <c r="F3545" i="1"/>
  <c r="F3544" i="1"/>
  <c r="F3542" i="1"/>
  <c r="F3569" i="1"/>
  <c r="F1879" i="1"/>
  <c r="F1880" i="1"/>
  <c r="F2046" i="1"/>
  <c r="F2048" i="1"/>
  <c r="F2047" i="1"/>
  <c r="F3535" i="1"/>
  <c r="F3534" i="1"/>
  <c r="F2235" i="1"/>
  <c r="F2150" i="1"/>
  <c r="F3451" i="1"/>
  <c r="F2206" i="1"/>
  <c r="F2544" i="1"/>
  <c r="F2645" i="1"/>
  <c r="F1041" i="1"/>
  <c r="F3472" i="1"/>
  <c r="F3486" i="1"/>
  <c r="F3467" i="1"/>
  <c r="F560" i="1"/>
  <c r="F561" i="1"/>
  <c r="F2419" i="1"/>
  <c r="F3423" i="1"/>
  <c r="F3422" i="1"/>
  <c r="F826" i="1"/>
  <c r="F825" i="1"/>
  <c r="F3502" i="1"/>
  <c r="F280" i="1"/>
  <c r="F281" i="1"/>
  <c r="F2517" i="1"/>
  <c r="F2516" i="1"/>
  <c r="F1601" i="1"/>
  <c r="F1602" i="1"/>
  <c r="F3500" i="1"/>
  <c r="F127" i="1"/>
  <c r="F3492" i="1"/>
  <c r="F3493" i="1"/>
  <c r="F3068" i="1"/>
  <c r="F2204" i="1"/>
  <c r="F566" i="1"/>
  <c r="F569" i="1"/>
  <c r="F568" i="1"/>
  <c r="F567" i="1"/>
  <c r="F1425" i="1"/>
  <c r="F1424" i="1"/>
  <c r="F23" i="1"/>
  <c r="F1530" i="1"/>
  <c r="F3491" i="1"/>
  <c r="F2052" i="1"/>
  <c r="F2053" i="1"/>
  <c r="F1412" i="1"/>
  <c r="F1717" i="1"/>
  <c r="F1849" i="1"/>
  <c r="F1846" i="1"/>
  <c r="F3499" i="1"/>
  <c r="F3111" i="1"/>
  <c r="F3490" i="1"/>
  <c r="F3489" i="1"/>
  <c r="F3510" i="1"/>
  <c r="F1816" i="1"/>
  <c r="F657" i="1"/>
  <c r="F3036" i="1"/>
  <c r="F3488" i="1"/>
  <c r="F3508" i="1"/>
  <c r="F3517" i="1"/>
  <c r="F3496" i="1"/>
  <c r="F656" i="1"/>
  <c r="F3497" i="1"/>
  <c r="F174" i="1"/>
  <c r="F1815" i="1"/>
  <c r="F3498" i="1"/>
  <c r="F3516" i="1"/>
  <c r="F3509" i="1"/>
  <c r="F3495" i="1"/>
  <c r="F731" i="1"/>
  <c r="F1767" i="1"/>
  <c r="F1848" i="1"/>
  <c r="F1817" i="1"/>
  <c r="F3511" i="1"/>
  <c r="F2496" i="1"/>
  <c r="F363" i="1"/>
  <c r="F3112" i="1"/>
  <c r="F1681" i="1"/>
  <c r="F3501" i="1"/>
  <c r="F2646" i="1"/>
  <c r="F175" i="1"/>
  <c r="F368" i="1"/>
  <c r="F1847" i="1"/>
  <c r="F730" i="1"/>
  <c r="F1479" i="1"/>
  <c r="F1480" i="1"/>
  <c r="F3550" i="1"/>
  <c r="F3551" i="1"/>
  <c r="F3552" i="1"/>
  <c r="F3553" i="1"/>
  <c r="F663" i="1"/>
  <c r="F664" i="1"/>
  <c r="F3176" i="1"/>
  <c r="F3177" i="1"/>
  <c r="F3178" i="1"/>
  <c r="F3540" i="1"/>
  <c r="F3541" i="1"/>
  <c r="F162" i="1"/>
  <c r="F372" i="1"/>
  <c r="F373" i="1"/>
  <c r="F61" i="1"/>
  <c r="F2663" i="1"/>
  <c r="F2657" i="1"/>
  <c r="F2658" i="1"/>
  <c r="F3412" i="1"/>
  <c r="F876" i="1"/>
  <c r="F3453" i="1"/>
  <c r="F2412" i="1"/>
  <c r="F1638" i="1"/>
  <c r="F1639" i="1"/>
  <c r="F1640" i="1"/>
  <c r="F2335" i="1"/>
  <c r="F2350" i="1"/>
  <c r="F2352" i="1"/>
  <c r="F2351" i="1"/>
  <c r="F1828" i="1"/>
  <c r="F3440" i="1"/>
  <c r="F3256" i="1"/>
  <c r="F3476" i="1"/>
  <c r="F3477" i="1"/>
  <c r="F3468" i="1"/>
  <c r="F3469" i="1"/>
  <c r="F3470" i="1"/>
  <c r="F3471" i="1"/>
  <c r="F3474" i="1"/>
  <c r="F3475" i="1"/>
  <c r="F3482" i="1"/>
  <c r="F3480" i="1"/>
  <c r="F3481" i="1"/>
  <c r="F3483" i="1"/>
  <c r="F3478" i="1"/>
  <c r="F3479" i="1"/>
  <c r="F2405" i="1"/>
  <c r="F2406" i="1"/>
  <c r="F803" i="1"/>
  <c r="F802" i="1"/>
  <c r="F2778" i="1"/>
  <c r="F2777" i="1"/>
  <c r="F1157" i="1"/>
  <c r="F119" i="1"/>
  <c r="F321" i="1"/>
  <c r="F322" i="1"/>
  <c r="F3465" i="1"/>
  <c r="F3466" i="1"/>
  <c r="F1205" i="1"/>
  <c r="F1204" i="1"/>
  <c r="F1504" i="1"/>
  <c r="F582" i="1"/>
  <c r="F424" i="1"/>
  <c r="F423" i="1"/>
  <c r="F426" i="1"/>
  <c r="F425" i="1"/>
  <c r="F197" i="1"/>
  <c r="F198" i="1"/>
  <c r="F1710" i="1"/>
  <c r="F3485" i="1"/>
  <c r="F1959" i="1"/>
  <c r="F2014" i="1"/>
  <c r="F2972" i="1"/>
  <c r="F2971" i="1"/>
  <c r="F3331" i="1"/>
  <c r="F3113" i="1"/>
  <c r="F1667" i="1"/>
  <c r="F3464" i="1"/>
  <c r="F1958" i="1"/>
  <c r="F2690" i="1"/>
  <c r="F3330" i="1"/>
  <c r="F3463" i="1"/>
  <c r="F1665" i="1"/>
  <c r="F900" i="1"/>
  <c r="F1666" i="1"/>
  <c r="F3329" i="1"/>
  <c r="F3473" i="1"/>
  <c r="F1434" i="1"/>
  <c r="F988" i="1"/>
  <c r="F3456" i="1"/>
  <c r="F2012" i="1"/>
  <c r="F2723" i="1"/>
  <c r="F2816" i="1"/>
  <c r="F3143" i="1"/>
  <c r="F2500" i="1"/>
  <c r="F3328" i="1"/>
  <c r="F3144" i="1"/>
  <c r="F3145" i="1"/>
  <c r="F117" i="1"/>
  <c r="F3142" i="1"/>
  <c r="F2013" i="1"/>
  <c r="F1668" i="1"/>
  <c r="F2722" i="1"/>
  <c r="F804" i="1"/>
  <c r="F801" i="1"/>
  <c r="F760" i="1"/>
  <c r="F758" i="1"/>
  <c r="F759" i="1"/>
  <c r="F757" i="1"/>
  <c r="F3035" i="1"/>
  <c r="F380" i="1"/>
  <c r="F2369" i="1"/>
  <c r="F2370" i="1"/>
  <c r="F2371" i="1"/>
  <c r="F2740" i="1"/>
  <c r="F242" i="1"/>
  <c r="F243" i="1"/>
  <c r="F2268" i="1"/>
  <c r="F443" i="1"/>
  <c r="F2572" i="1"/>
  <c r="F2400" i="1"/>
  <c r="F1487" i="1"/>
  <c r="F2401" i="1"/>
  <c r="F3400" i="1"/>
  <c r="F1078" i="1"/>
  <c r="F1079" i="1"/>
  <c r="F480" i="1"/>
  <c r="F481" i="1"/>
  <c r="F482" i="1"/>
  <c r="F615" i="1"/>
  <c r="F1378" i="1"/>
  <c r="F1380" i="1"/>
  <c r="F1379" i="1"/>
  <c r="F815" i="1"/>
  <c r="F2687" i="1"/>
  <c r="F2686" i="1"/>
  <c r="F2688" i="1"/>
  <c r="F2689" i="1"/>
  <c r="F1627" i="1"/>
  <c r="F1626" i="1"/>
  <c r="F551" i="1"/>
  <c r="F1410" i="1"/>
  <c r="F1411" i="1"/>
  <c r="F1649" i="1"/>
  <c r="F1650" i="1"/>
  <c r="F1585" i="1"/>
  <c r="F1586" i="1"/>
  <c r="F2450" i="1"/>
  <c r="F2449" i="1"/>
  <c r="F816" i="1"/>
  <c r="F817" i="1"/>
  <c r="F671" i="1"/>
  <c r="F1320" i="1"/>
  <c r="F1321" i="1"/>
  <c r="F3083" i="1"/>
  <c r="F3084" i="1"/>
  <c r="F3433" i="1"/>
  <c r="F3401" i="1"/>
  <c r="F3402" i="1"/>
  <c r="F504" i="1"/>
  <c r="F1390" i="1"/>
  <c r="F1273" i="1"/>
  <c r="F1274" i="1"/>
  <c r="F1554" i="1"/>
  <c r="F2952" i="1"/>
  <c r="F2037" i="1"/>
  <c r="F2939" i="1"/>
  <c r="F2938" i="1"/>
  <c r="F2937" i="1"/>
  <c r="F2936" i="1"/>
  <c r="F356" i="1"/>
  <c r="F3434" i="1"/>
  <c r="F1148" i="1"/>
  <c r="F1147" i="1"/>
  <c r="F186" i="1"/>
  <c r="F187" i="1"/>
  <c r="F2901" i="1"/>
  <c r="F2900" i="1"/>
  <c r="F2902" i="1"/>
  <c r="F2903" i="1"/>
  <c r="F3297" i="1"/>
  <c r="F3294" i="1"/>
  <c r="F3295" i="1"/>
  <c r="F3296" i="1"/>
  <c r="F3439" i="1"/>
  <c r="F2153" i="1"/>
  <c r="F666" i="1"/>
  <c r="F2651" i="1"/>
  <c r="F2652" i="1"/>
  <c r="F113" i="1"/>
  <c r="F114" i="1"/>
  <c r="F51" i="1"/>
  <c r="F3441" i="1"/>
  <c r="F2418" i="1"/>
  <c r="F3450" i="1"/>
  <c r="F3454" i="1"/>
  <c r="F987" i="1"/>
  <c r="F3438" i="1"/>
  <c r="F4" i="1"/>
  <c r="F603" i="1"/>
  <c r="F3437" i="1"/>
  <c r="F50" i="1"/>
  <c r="F2417" i="1"/>
  <c r="F144" i="1"/>
  <c r="F239" i="1"/>
  <c r="F1926" i="1"/>
  <c r="F2416" i="1"/>
  <c r="F3436" i="1"/>
  <c r="F111" i="1"/>
  <c r="F2668" i="1"/>
  <c r="F986" i="1"/>
  <c r="F586" i="1"/>
  <c r="F1924" i="1"/>
  <c r="F238" i="1"/>
  <c r="F2415" i="1"/>
  <c r="F3435" i="1"/>
  <c r="F713" i="1"/>
  <c r="F2667" i="1"/>
  <c r="F1925" i="1"/>
  <c r="F3452" i="1"/>
  <c r="F3445" i="1"/>
  <c r="F3455" i="1"/>
  <c r="F507" i="1"/>
  <c r="F3457" i="1"/>
  <c r="F3460" i="1"/>
  <c r="F3459" i="1"/>
  <c r="F3458" i="1"/>
  <c r="F3442" i="1"/>
  <c r="F3443" i="1"/>
  <c r="F3444" i="1"/>
  <c r="F3461" i="1"/>
  <c r="F3462" i="1"/>
  <c r="F3446" i="1"/>
  <c r="F3447" i="1"/>
  <c r="F3448" i="1"/>
  <c r="F3449" i="1"/>
  <c r="F3428" i="1"/>
  <c r="F2741" i="1"/>
  <c r="F1748" i="1"/>
  <c r="F3298" i="1"/>
  <c r="F1165" i="1"/>
  <c r="F2633" i="1"/>
  <c r="F1730" i="1"/>
  <c r="F1790" i="1"/>
  <c r="F155" i="1"/>
  <c r="F1484" i="1"/>
  <c r="F1485" i="1"/>
  <c r="F2569" i="1"/>
  <c r="F2570" i="1"/>
  <c r="F415" i="1"/>
  <c r="F1074" i="1"/>
  <c r="F1075" i="1"/>
  <c r="F78" i="1"/>
  <c r="F79" i="1"/>
  <c r="F1744" i="1"/>
  <c r="F1746" i="1"/>
  <c r="F1745" i="1"/>
  <c r="F1747" i="1"/>
  <c r="F1233" i="1"/>
  <c r="F1232" i="1"/>
  <c r="F506" i="1"/>
  <c r="F676" i="1"/>
  <c r="F677" i="1"/>
  <c r="F675" i="1"/>
  <c r="F637" i="1"/>
  <c r="F638" i="1"/>
  <c r="F639" i="1"/>
  <c r="F3373" i="1"/>
  <c r="F3374" i="1"/>
  <c r="F1765" i="1"/>
  <c r="F1719" i="1"/>
  <c r="F1662" i="1"/>
  <c r="F2253" i="1"/>
  <c r="F2254" i="1"/>
  <c r="F2818" i="1"/>
  <c r="F3394" i="1"/>
  <c r="F3397" i="1"/>
  <c r="F3396" i="1"/>
  <c r="F3395" i="1"/>
  <c r="F591" i="1"/>
  <c r="F590" i="1"/>
  <c r="F593" i="1"/>
  <c r="F592" i="1"/>
  <c r="F2336" i="1"/>
  <c r="F3267" i="1"/>
  <c r="F3268" i="1"/>
  <c r="F3417" i="1"/>
  <c r="F3416" i="1"/>
  <c r="F2920" i="1"/>
  <c r="F2919" i="1"/>
  <c r="F2921" i="1"/>
  <c r="F2922" i="1"/>
  <c r="F744" i="1"/>
  <c r="F544" i="1"/>
  <c r="F2880" i="1"/>
  <c r="F1132" i="1"/>
  <c r="F3392" i="1"/>
  <c r="F3393" i="1"/>
  <c r="F3391" i="1"/>
  <c r="F3390" i="1"/>
  <c r="F3424" i="1"/>
  <c r="F231" i="1"/>
  <c r="F344" i="1"/>
  <c r="F1389" i="1"/>
  <c r="F1348" i="1"/>
  <c r="F3378" i="1"/>
  <c r="F3385" i="1"/>
  <c r="F3156" i="1"/>
  <c r="F269" i="1"/>
  <c r="F1805" i="1"/>
  <c r="F1757" i="1"/>
  <c r="F345" i="1"/>
  <c r="F3408" i="1"/>
  <c r="F2535" i="1"/>
  <c r="F232" i="1"/>
  <c r="F3387" i="1"/>
  <c r="F3398" i="1"/>
  <c r="F3407" i="1"/>
  <c r="F1388" i="1"/>
  <c r="F3409" i="1"/>
  <c r="F3155" i="1"/>
  <c r="F3432" i="1"/>
  <c r="F2448" i="1"/>
  <c r="F1928" i="1"/>
  <c r="F3413" i="1"/>
  <c r="F270" i="1"/>
  <c r="F346" i="1"/>
  <c r="F1689" i="1"/>
  <c r="F3383" i="1"/>
  <c r="F3110" i="1"/>
  <c r="F3414" i="1"/>
  <c r="F3384" i="1"/>
  <c r="F1347" i="1"/>
  <c r="F3429" i="1"/>
  <c r="F858" i="1"/>
  <c r="F1464" i="1"/>
  <c r="F3430" i="1"/>
  <c r="F857" i="1"/>
  <c r="F343" i="1"/>
  <c r="F1758" i="1"/>
  <c r="F268" i="1"/>
  <c r="F267" i="1"/>
  <c r="F2260" i="1"/>
  <c r="F3386" i="1"/>
  <c r="F3399" i="1"/>
  <c r="F2726" i="1"/>
  <c r="F1463" i="1"/>
  <c r="F1804" i="1"/>
  <c r="F3431" i="1"/>
  <c r="F3382" i="1"/>
  <c r="F1386" i="1"/>
  <c r="F3415" i="1"/>
  <c r="F2725" i="1"/>
  <c r="F1387" i="1"/>
  <c r="F3379" i="1"/>
  <c r="F3403" i="1"/>
  <c r="F3404" i="1"/>
  <c r="F3405" i="1"/>
  <c r="F3406" i="1"/>
  <c r="F3426" i="1"/>
  <c r="F3425" i="1"/>
  <c r="F3427" i="1"/>
  <c r="F3421" i="1"/>
  <c r="F3418" i="1"/>
  <c r="F3419" i="1"/>
  <c r="F3420" i="1"/>
  <c r="F247" i="1"/>
  <c r="F248" i="1"/>
  <c r="F250" i="1"/>
  <c r="F249" i="1"/>
  <c r="F1750" i="1"/>
  <c r="F2502" i="1"/>
  <c r="F2397" i="1"/>
  <c r="F2396" i="1"/>
  <c r="F2291" i="1"/>
  <c r="F2292" i="1"/>
  <c r="F2589" i="1"/>
  <c r="F2590" i="1"/>
  <c r="F935" i="1"/>
  <c r="F989" i="1"/>
  <c r="F462" i="1"/>
  <c r="F463" i="1"/>
  <c r="F1898" i="1"/>
  <c r="F1899" i="1"/>
  <c r="F1482" i="1"/>
  <c r="F1483" i="1"/>
  <c r="F3361" i="1"/>
  <c r="F3362" i="1"/>
  <c r="F1952" i="1"/>
  <c r="F1951" i="1"/>
  <c r="F1953" i="1"/>
  <c r="F3200" i="1"/>
  <c r="F1832" i="1"/>
  <c r="F1833" i="1"/>
  <c r="F1556" i="1"/>
  <c r="F1557" i="1"/>
  <c r="F3346" i="1"/>
  <c r="F3345" i="1"/>
  <c r="F575" i="1"/>
  <c r="F574" i="1"/>
  <c r="F577" i="1"/>
  <c r="F576" i="1"/>
  <c r="F563" i="1"/>
  <c r="F564" i="1"/>
  <c r="F2577" i="1"/>
  <c r="F2576" i="1"/>
  <c r="F918" i="1"/>
  <c r="F750" i="1"/>
  <c r="F673" i="1"/>
  <c r="F265" i="1"/>
  <c r="F607" i="1"/>
  <c r="F3359" i="1"/>
  <c r="F841" i="1"/>
  <c r="F843" i="1"/>
  <c r="F842" i="1"/>
  <c r="F844" i="1"/>
  <c r="F2940" i="1"/>
  <c r="F2941" i="1"/>
  <c r="F2227" i="1"/>
  <c r="F2106" i="1"/>
  <c r="F1793" i="1"/>
  <c r="F2708" i="1"/>
  <c r="F2091" i="1"/>
  <c r="F2092" i="1"/>
  <c r="F475" i="1"/>
  <c r="F3347" i="1"/>
  <c r="F3348" i="1"/>
  <c r="F3160" i="1"/>
  <c r="F756" i="1"/>
  <c r="F1031" i="1"/>
  <c r="F1033" i="1"/>
  <c r="F1034" i="1"/>
  <c r="F1032" i="1"/>
  <c r="F3333" i="1"/>
  <c r="F3332" i="1"/>
  <c r="F3343" i="1"/>
  <c r="F1831" i="1"/>
  <c r="F3365" i="1"/>
  <c r="F3371" i="1"/>
  <c r="F1993" i="1"/>
  <c r="F3370" i="1"/>
  <c r="F3335" i="1"/>
  <c r="F2233" i="1"/>
  <c r="F1588" i="1"/>
  <c r="F3367" i="1"/>
  <c r="F1699" i="1"/>
  <c r="F1700" i="1"/>
  <c r="F1808" i="1"/>
  <c r="F3363" i="1"/>
  <c r="F3369" i="1"/>
  <c r="F1587" i="1"/>
  <c r="F1994" i="1"/>
  <c r="F1137" i="1"/>
  <c r="F3360" i="1"/>
  <c r="F1061" i="1"/>
  <c r="F3349" i="1"/>
  <c r="F3368" i="1"/>
  <c r="F3334" i="1"/>
  <c r="F2234" i="1"/>
  <c r="F2394" i="1"/>
  <c r="F2331" i="1"/>
  <c r="F3366" i="1"/>
  <c r="F1807" i="1"/>
  <c r="F1138" i="1"/>
  <c r="F3337" i="1"/>
  <c r="F2588" i="1"/>
  <c r="F2232" i="1"/>
  <c r="F1227" i="1"/>
  <c r="F1226" i="1"/>
  <c r="F1062" i="1"/>
  <c r="F3260" i="1"/>
  <c r="F3336" i="1"/>
  <c r="F1810" i="1"/>
  <c r="F3372" i="1"/>
  <c r="F1228" i="1"/>
  <c r="F3364" i="1"/>
  <c r="F1809" i="1"/>
  <c r="F1590" i="1"/>
  <c r="F3344" i="1"/>
  <c r="F1589" i="1"/>
  <c r="F1575" i="1"/>
  <c r="F1576" i="1"/>
  <c r="F3354" i="1"/>
  <c r="F3355" i="1"/>
  <c r="F3356" i="1"/>
  <c r="F3358" i="1"/>
  <c r="F3357" i="1"/>
  <c r="F3410" i="1"/>
  <c r="F3411" i="1"/>
  <c r="F3389" i="1"/>
  <c r="F3388" i="1"/>
  <c r="F3375" i="1"/>
  <c r="F3376" i="1"/>
  <c r="F3377" i="1"/>
  <c r="F512" i="1"/>
  <c r="F513" i="1"/>
  <c r="F514" i="1"/>
  <c r="F1823" i="1"/>
  <c r="F1822" i="1"/>
  <c r="F1824" i="1"/>
  <c r="F288" i="1"/>
  <c r="F3324" i="1"/>
  <c r="F3327" i="1"/>
  <c r="F3326" i="1"/>
  <c r="F3325" i="1"/>
  <c r="F1449" i="1"/>
  <c r="F123" i="1"/>
  <c r="F124" i="1"/>
  <c r="F788" i="1"/>
  <c r="F685" i="1"/>
  <c r="F684" i="1"/>
  <c r="F686" i="1"/>
  <c r="F687" i="1"/>
  <c r="F2615" i="1"/>
  <c r="F542" i="1"/>
  <c r="F543" i="1"/>
  <c r="F2610" i="1"/>
  <c r="F3263" i="1"/>
  <c r="F1208" i="1"/>
  <c r="F3299" i="1"/>
  <c r="F3300" i="1"/>
  <c r="F3274" i="1"/>
  <c r="F3275" i="1"/>
  <c r="F1545" i="1"/>
  <c r="F1544" i="1"/>
  <c r="F1546" i="1"/>
  <c r="F1547" i="1"/>
  <c r="F573" i="1"/>
  <c r="F169" i="1"/>
  <c r="F1129" i="1"/>
  <c r="F1186" i="1"/>
  <c r="F937" i="1"/>
  <c r="F936" i="1"/>
  <c r="F3085" i="1"/>
  <c r="F1201" i="1"/>
  <c r="F3312" i="1"/>
  <c r="F2070" i="1"/>
  <c r="F3304" i="1"/>
  <c r="F3303" i="1"/>
  <c r="F2934" i="1"/>
  <c r="F2933" i="1"/>
  <c r="F2935" i="1"/>
  <c r="F1281" i="1"/>
  <c r="F1834" i="1"/>
  <c r="F1172" i="1"/>
  <c r="F1486" i="1"/>
  <c r="F2049" i="1"/>
  <c r="F2050" i="1"/>
  <c r="F2137" i="1"/>
  <c r="F3098" i="1"/>
  <c r="F2359" i="1"/>
  <c r="F3323" i="1"/>
  <c r="F479" i="1"/>
  <c r="F2017" i="1"/>
  <c r="F3097" i="1"/>
  <c r="F3321" i="1"/>
  <c r="F2093" i="1"/>
  <c r="F1702" i="1"/>
  <c r="F478" i="1"/>
  <c r="F3322" i="1"/>
  <c r="F1892" i="1"/>
  <c r="F763" i="1"/>
  <c r="F1701" i="1"/>
  <c r="F766" i="1"/>
  <c r="F764" i="1"/>
  <c r="F765" i="1"/>
  <c r="F868" i="1"/>
  <c r="F640" i="1"/>
  <c r="F641" i="1"/>
  <c r="F3340" i="1"/>
  <c r="F3339" i="1"/>
  <c r="F3338" i="1"/>
  <c r="F3353" i="1"/>
  <c r="F3352" i="1"/>
  <c r="F3235" i="1"/>
  <c r="F3234" i="1"/>
  <c r="F3233" i="1"/>
  <c r="F3351" i="1"/>
  <c r="F3350" i="1"/>
  <c r="F62" i="1"/>
  <c r="F63" i="1"/>
  <c r="F64" i="1"/>
  <c r="F65" i="1"/>
  <c r="F1743" i="1"/>
  <c r="F2491" i="1"/>
  <c r="F2643" i="1"/>
  <c r="F901" i="1"/>
  <c r="F1670" i="1"/>
  <c r="F338" i="1"/>
  <c r="F1724" i="1"/>
  <c r="F3261" i="1"/>
  <c r="F2365" i="1"/>
  <c r="F1786" i="1"/>
  <c r="F1785" i="1"/>
  <c r="F1787" i="1"/>
  <c r="F1788" i="1"/>
  <c r="F1332" i="1"/>
  <c r="F1333" i="1"/>
  <c r="F1615" i="1"/>
  <c r="F2635" i="1"/>
  <c r="F2637" i="1"/>
  <c r="F2636" i="1"/>
  <c r="F771" i="1"/>
  <c r="F3317" i="1"/>
  <c r="F3316" i="1"/>
  <c r="F3318" i="1"/>
  <c r="F444" i="1"/>
  <c r="F445" i="1"/>
  <c r="F3306" i="1"/>
  <c r="F3308" i="1"/>
  <c r="F3307" i="1"/>
  <c r="F3309" i="1"/>
  <c r="F1734" i="1"/>
  <c r="F2698" i="1"/>
  <c r="F3124" i="1"/>
  <c r="F3123" i="1"/>
  <c r="F2306" i="1"/>
  <c r="F2307" i="1"/>
  <c r="F3287" i="1"/>
  <c r="F3286" i="1"/>
  <c r="F3285" i="1"/>
  <c r="F2685" i="1"/>
  <c r="F2608" i="1"/>
  <c r="F2609" i="1"/>
  <c r="F2377" i="1"/>
  <c r="F2376" i="1"/>
  <c r="F1120" i="1"/>
  <c r="F1121" i="1"/>
  <c r="F1119" i="1"/>
  <c r="F1122" i="1"/>
  <c r="F1396" i="1"/>
  <c r="F1397" i="1"/>
  <c r="F379" i="1"/>
  <c r="F1690" i="1"/>
  <c r="F2547" i="1"/>
  <c r="F2546" i="1"/>
  <c r="F840" i="1"/>
  <c r="F439" i="1"/>
  <c r="F438" i="1"/>
  <c r="F440" i="1"/>
  <c r="F1636" i="1"/>
  <c r="F1635" i="1"/>
  <c r="F55" i="1"/>
  <c r="F2056" i="1"/>
  <c r="F3273" i="1"/>
  <c r="F283" i="1"/>
  <c r="F282" i="1"/>
  <c r="F3266" i="1"/>
  <c r="F3265" i="1"/>
  <c r="F3264" i="1"/>
  <c r="F314" i="1"/>
  <c r="F315" i="1"/>
  <c r="F317" i="1"/>
  <c r="F316" i="1"/>
  <c r="F1163" i="1"/>
  <c r="F3141" i="1"/>
  <c r="F2452" i="1"/>
  <c r="F2451" i="1"/>
  <c r="F2414" i="1"/>
  <c r="F1022" i="1"/>
  <c r="F3315" i="1"/>
  <c r="F1620" i="1"/>
  <c r="F3280" i="1"/>
  <c r="F2716" i="1"/>
  <c r="F2019" i="1"/>
  <c r="F291" i="1"/>
  <c r="F290" i="1"/>
  <c r="F2737" i="1"/>
  <c r="F1293" i="1"/>
  <c r="F2977" i="1"/>
  <c r="F3276" i="1"/>
  <c r="F2739" i="1"/>
  <c r="F7" i="1"/>
  <c r="F3279" i="1"/>
  <c r="F2736" i="1"/>
  <c r="F813" i="1"/>
  <c r="F2979" i="1"/>
  <c r="F1037" i="1"/>
  <c r="F2978" i="1"/>
  <c r="F293" i="1"/>
  <c r="F2476" i="1"/>
  <c r="F2537" i="1"/>
  <c r="F2738" i="1"/>
  <c r="F944" i="1"/>
  <c r="F404" i="1"/>
  <c r="F1407" i="1"/>
  <c r="F3254" i="1"/>
  <c r="F2477" i="1"/>
  <c r="F2980" i="1"/>
  <c r="F3314" i="1"/>
  <c r="F1291" i="1"/>
  <c r="F3305" i="1"/>
  <c r="F1703" i="1"/>
  <c r="F292" i="1"/>
  <c r="F812" i="1"/>
  <c r="F946" i="1"/>
  <c r="F1704" i="1"/>
  <c r="F3272" i="1"/>
  <c r="F3281" i="1"/>
  <c r="F943" i="1"/>
  <c r="F2348" i="1"/>
  <c r="F945" i="1"/>
  <c r="F3271" i="1"/>
  <c r="F913" i="1"/>
  <c r="F3313" i="1"/>
  <c r="F1294" i="1"/>
  <c r="F1292" i="1"/>
  <c r="F3206" i="1"/>
  <c r="F3205" i="1"/>
  <c r="F3291" i="1"/>
  <c r="F1092" i="1"/>
  <c r="F1094" i="1"/>
  <c r="F1095" i="1"/>
  <c r="F1097" i="1"/>
  <c r="F1089" i="1"/>
  <c r="F1088" i="1"/>
  <c r="F1091" i="1"/>
  <c r="F1090" i="1"/>
  <c r="F1093" i="1"/>
  <c r="F1096" i="1"/>
  <c r="F1087" i="1"/>
  <c r="F168" i="1"/>
  <c r="F2025" i="1"/>
  <c r="F2024" i="1"/>
  <c r="F2026" i="1"/>
  <c r="F2027" i="1"/>
  <c r="F3289" i="1"/>
  <c r="F3288" i="1"/>
  <c r="F3290" i="1"/>
  <c r="F3282" i="1"/>
  <c r="F3283" i="1"/>
  <c r="F3284" i="1"/>
  <c r="F3310" i="1"/>
  <c r="F3311" i="1"/>
  <c r="F3292" i="1"/>
  <c r="F3293" i="1"/>
  <c r="F2321" i="1"/>
  <c r="F2064" i="1"/>
  <c r="F1433" i="1"/>
  <c r="F1929" i="1"/>
  <c r="F1739" i="1"/>
  <c r="F1738" i="1"/>
  <c r="F1740" i="1"/>
  <c r="F1113" i="1"/>
  <c r="F1798" i="1"/>
  <c r="F1799" i="1"/>
  <c r="F3017" i="1"/>
  <c r="F3016" i="1"/>
  <c r="F501" i="1"/>
  <c r="F2945" i="1"/>
  <c r="F2944" i="1"/>
  <c r="F994" i="1"/>
  <c r="F995" i="1"/>
  <c r="F2893" i="1"/>
  <c r="F2894" i="1"/>
  <c r="F2909" i="1"/>
  <c r="F2908" i="1"/>
  <c r="F1852" i="1"/>
  <c r="F1853" i="1"/>
  <c r="F1259" i="1"/>
  <c r="F1260" i="1"/>
  <c r="F1443" i="1"/>
  <c r="F3245" i="1"/>
  <c r="F3246" i="1"/>
  <c r="F2594" i="1"/>
  <c r="F2593" i="1"/>
  <c r="F3093" i="1"/>
  <c r="F3092" i="1"/>
  <c r="F3094" i="1"/>
  <c r="F3095" i="1"/>
  <c r="F3137" i="1"/>
  <c r="F3201" i="1"/>
  <c r="F3202" i="1"/>
  <c r="F3069" i="1"/>
  <c r="F3070" i="1"/>
  <c r="F3072" i="1"/>
  <c r="F3071" i="1"/>
  <c r="F2407" i="1"/>
  <c r="F2409" i="1"/>
  <c r="F2408" i="1"/>
  <c r="F2410" i="1"/>
  <c r="F3237" i="1"/>
  <c r="F3236" i="1"/>
  <c r="F3187" i="1"/>
  <c r="F883" i="1"/>
  <c r="F884" i="1"/>
  <c r="F885" i="1"/>
  <c r="F886" i="1"/>
  <c r="F3242" i="1"/>
  <c r="F3227" i="1"/>
  <c r="F1978" i="1"/>
  <c r="F972" i="1"/>
  <c r="F971" i="1"/>
  <c r="F665" i="1"/>
  <c r="F933" i="1"/>
  <c r="F1577" i="1"/>
  <c r="F1532" i="1"/>
  <c r="F1533" i="1"/>
  <c r="F693" i="1"/>
  <c r="F695" i="1"/>
  <c r="F694" i="1"/>
  <c r="F696" i="1"/>
  <c r="F1237" i="1"/>
  <c r="F1236" i="1"/>
  <c r="F1238" i="1"/>
  <c r="F1239" i="1"/>
  <c r="F2077" i="1"/>
  <c r="F2136" i="1"/>
  <c r="F3226" i="1"/>
  <c r="F2640" i="1"/>
  <c r="F139" i="1"/>
  <c r="F1435" i="1"/>
  <c r="F2393" i="1"/>
  <c r="F2625" i="1"/>
  <c r="F77" i="1"/>
  <c r="F3251" i="1"/>
  <c r="F2624" i="1"/>
  <c r="F2512" i="1"/>
  <c r="F2555" i="1"/>
  <c r="F76" i="1"/>
  <c r="F137" i="1"/>
  <c r="F140" i="1"/>
  <c r="F1621" i="1"/>
  <c r="F2626" i="1"/>
  <c r="F1622" i="1"/>
  <c r="F1436" i="1"/>
  <c r="F2623" i="1"/>
  <c r="F138" i="1"/>
  <c r="F2556" i="1"/>
  <c r="F3225" i="1"/>
  <c r="F2389" i="1"/>
  <c r="F606" i="1"/>
  <c r="F3253" i="1"/>
  <c r="F2684" i="1"/>
  <c r="F1452" i="1"/>
  <c r="F3252" i="1"/>
  <c r="F2680" i="1"/>
  <c r="F3255" i="1"/>
  <c r="F17" i="1"/>
  <c r="F474" i="1"/>
  <c r="F2682" i="1"/>
  <c r="F2391" i="1"/>
  <c r="F1241" i="1"/>
  <c r="F1250" i="1"/>
  <c r="F1451" i="1"/>
  <c r="F1240" i="1"/>
  <c r="F2683" i="1"/>
  <c r="F877" i="1"/>
  <c r="F2390" i="1"/>
  <c r="F3257" i="1"/>
  <c r="F3258" i="1"/>
  <c r="F3259" i="1"/>
  <c r="F3249" i="1"/>
  <c r="F3248" i="1"/>
  <c r="F3244" i="1"/>
  <c r="F3243" i="1"/>
  <c r="F3240" i="1"/>
  <c r="F3238" i="1"/>
  <c r="F3239" i="1"/>
  <c r="F3241" i="1"/>
  <c r="F2911" i="1"/>
  <c r="F2910" i="1"/>
  <c r="F2912" i="1"/>
  <c r="F3269" i="1"/>
  <c r="F3270" i="1"/>
  <c r="F3229" i="1"/>
  <c r="F3228" i="1"/>
  <c r="F348" i="1"/>
  <c r="F350" i="1"/>
  <c r="F349" i="1"/>
  <c r="F351" i="1"/>
  <c r="F192" i="1"/>
  <c r="F2203" i="1"/>
  <c r="F1766" i="1"/>
  <c r="F2604" i="1"/>
  <c r="F2263" i="1"/>
  <c r="F2191" i="1"/>
  <c r="F3147" i="1"/>
  <c r="F3174" i="1"/>
  <c r="F121" i="1"/>
  <c r="F122" i="1"/>
  <c r="F1202" i="1"/>
  <c r="F1195" i="1"/>
  <c r="F2776" i="1"/>
  <c r="F629" i="1"/>
  <c r="F630" i="1"/>
  <c r="F3149" i="1"/>
  <c r="F3148" i="1"/>
  <c r="F1612" i="1"/>
  <c r="F1611" i="1"/>
  <c r="F1614" i="1"/>
  <c r="F1613" i="1"/>
  <c r="F1355" i="1"/>
  <c r="F1356" i="1"/>
  <c r="F1358" i="1"/>
  <c r="F1357" i="1"/>
  <c r="F1490" i="1"/>
  <c r="F1492" i="1"/>
  <c r="F1491" i="1"/>
  <c r="F1493" i="1"/>
  <c r="F3157" i="1"/>
  <c r="F2843" i="1"/>
  <c r="F2842" i="1"/>
  <c r="F310" i="1"/>
  <c r="F1359" i="1"/>
  <c r="F3230" i="1"/>
  <c r="F3231" i="1"/>
  <c r="F3232" i="1"/>
  <c r="F729" i="1"/>
  <c r="F2882" i="1"/>
  <c r="F2883" i="1"/>
  <c r="F3212" i="1"/>
  <c r="F145" i="1"/>
  <c r="F147" i="1"/>
  <c r="F146" i="1"/>
  <c r="F148" i="1"/>
  <c r="F83" i="1"/>
  <c r="F84" i="1"/>
  <c r="F2280" i="1"/>
  <c r="F3221" i="1"/>
  <c r="F1310" i="1"/>
  <c r="F1312" i="1"/>
  <c r="F1311" i="1"/>
  <c r="F1313" i="1"/>
  <c r="F1574" i="1"/>
  <c r="F3204" i="1"/>
  <c r="F3203" i="1"/>
  <c r="F2492" i="1"/>
  <c r="F2495" i="1"/>
  <c r="F2494" i="1"/>
  <c r="F2493" i="1"/>
  <c r="F3159" i="1"/>
  <c r="F745" i="1"/>
  <c r="F747" i="1"/>
  <c r="F746" i="1"/>
  <c r="F748" i="1"/>
  <c r="F3184" i="1"/>
  <c r="F1995" i="1"/>
  <c r="F1996" i="1"/>
  <c r="F1997" i="1"/>
  <c r="F1998" i="1"/>
  <c r="F616" i="1"/>
  <c r="F617" i="1"/>
  <c r="F2032" i="1"/>
  <c r="F2031" i="1"/>
  <c r="F2033" i="1"/>
  <c r="F2034" i="1"/>
  <c r="F2991" i="1"/>
  <c r="F2993" i="1"/>
  <c r="F2992" i="1"/>
  <c r="F2994" i="1"/>
  <c r="F2465" i="1"/>
  <c r="F3213" i="1"/>
  <c r="F3188" i="1"/>
  <c r="F3181" i="1"/>
  <c r="F2107" i="1"/>
  <c r="F2428" i="1"/>
  <c r="F2504" i="1"/>
  <c r="F1406" i="1"/>
  <c r="F3219" i="1"/>
  <c r="F709" i="1"/>
  <c r="F738" i="1"/>
  <c r="F711" i="1"/>
  <c r="F2648" i="1"/>
  <c r="F2427" i="1"/>
  <c r="F3189" i="1"/>
  <c r="F737" i="1"/>
  <c r="F3191" i="1"/>
  <c r="F3193" i="1"/>
  <c r="F3195" i="1"/>
  <c r="F3220" i="1"/>
  <c r="F2650" i="1"/>
  <c r="F58" i="1"/>
  <c r="F3218" i="1"/>
  <c r="F2505" i="1"/>
  <c r="F3190" i="1"/>
  <c r="F3192" i="1"/>
  <c r="F3194" i="1"/>
  <c r="F710" i="1"/>
  <c r="F1405" i="1"/>
  <c r="F708" i="1"/>
  <c r="F2429" i="1"/>
  <c r="F2647" i="1"/>
  <c r="F2649" i="1"/>
  <c r="F3199" i="1"/>
  <c r="F3146" i="1"/>
  <c r="F1520" i="1"/>
  <c r="F289" i="1"/>
  <c r="F2404" i="1"/>
  <c r="F3175" i="1"/>
  <c r="F3214" i="1"/>
  <c r="F3216" i="1"/>
  <c r="F3215" i="1"/>
  <c r="F3217" i="1"/>
  <c r="F1708" i="1"/>
  <c r="F1709" i="1"/>
  <c r="F2332" i="1"/>
  <c r="F2333" i="1"/>
  <c r="F3211" i="1"/>
  <c r="F1500" i="1"/>
  <c r="F3196" i="1"/>
  <c r="F3197" i="1"/>
  <c r="F3198" i="1"/>
  <c r="F3207" i="1"/>
  <c r="F3208" i="1"/>
  <c r="F3209" i="1"/>
  <c r="F3210" i="1"/>
  <c r="F1460" i="1"/>
  <c r="F644" i="1"/>
  <c r="F3150" i="1"/>
  <c r="F1728" i="1"/>
  <c r="F66" i="1"/>
  <c r="F3166" i="1"/>
  <c r="F3165" i="1"/>
  <c r="F3164" i="1"/>
  <c r="F3163" i="1"/>
  <c r="F2185" i="1"/>
  <c r="F1413" i="1"/>
  <c r="F80" i="1"/>
  <c r="F422" i="1"/>
  <c r="F29" i="1"/>
  <c r="F30" i="1"/>
  <c r="F2509" i="1"/>
  <c r="F594" i="1"/>
  <c r="F619" i="1"/>
  <c r="F620" i="1"/>
  <c r="F621" i="1"/>
  <c r="F618" i="1"/>
  <c r="F2486" i="1"/>
  <c r="F2219" i="1"/>
  <c r="F2182" i="1"/>
  <c r="F2661" i="1"/>
  <c r="F3138" i="1"/>
  <c r="F3301" i="1"/>
  <c r="F3302" i="1"/>
  <c r="F277" i="1"/>
  <c r="F1555" i="1"/>
  <c r="F1331" i="1"/>
  <c r="F1188" i="1"/>
  <c r="F1189" i="1"/>
  <c r="F2767" i="1"/>
  <c r="F2768" i="1"/>
  <c r="F831" i="1"/>
  <c r="F829" i="1"/>
  <c r="F830" i="1"/>
  <c r="F832" i="1"/>
  <c r="F366" i="1"/>
  <c r="F367" i="1"/>
  <c r="F2317" i="1"/>
  <c r="F324" i="1"/>
  <c r="F3162" i="1"/>
  <c r="F1192" i="1"/>
  <c r="F1133" i="1"/>
  <c r="F2580" i="1"/>
  <c r="F1026" i="1"/>
  <c r="F408" i="1"/>
  <c r="F409" i="1"/>
  <c r="F410" i="1"/>
  <c r="F411" i="1"/>
  <c r="F3154" i="1"/>
  <c r="F1827" i="1"/>
  <c r="F1826" i="1"/>
  <c r="F1812" i="1"/>
  <c r="F1813" i="1"/>
  <c r="F2766" i="1"/>
  <c r="F1242" i="1"/>
  <c r="F879" i="1"/>
  <c r="F3170" i="1"/>
  <c r="F499" i="1"/>
  <c r="F722" i="1"/>
  <c r="F723" i="1"/>
  <c r="F2507" i="1"/>
  <c r="F2328" i="1"/>
  <c r="F725" i="1"/>
  <c r="F1248" i="1"/>
  <c r="F2193" i="1"/>
  <c r="F3171" i="1"/>
  <c r="F1249" i="1"/>
  <c r="F74" i="1"/>
  <c r="F1258" i="1"/>
  <c r="F880" i="1"/>
  <c r="F2943" i="1"/>
  <c r="F1282" i="1"/>
  <c r="F984" i="1"/>
  <c r="F3169" i="1"/>
  <c r="F724" i="1"/>
  <c r="F497" i="1"/>
  <c r="F73" i="1"/>
  <c r="F1283" i="1"/>
  <c r="F1199" i="1"/>
  <c r="F1257" i="1"/>
  <c r="F3158" i="1"/>
  <c r="F72" i="1"/>
  <c r="F71" i="1"/>
  <c r="F2329" i="1"/>
  <c r="F985" i="1"/>
  <c r="F1243" i="1"/>
  <c r="F2942" i="1"/>
  <c r="F882" i="1"/>
  <c r="F881" i="1"/>
  <c r="F1691" i="1"/>
  <c r="F2510" i="1"/>
  <c r="F1375" i="1"/>
  <c r="F2399" i="1"/>
  <c r="F1224" i="1"/>
  <c r="F2144" i="1"/>
  <c r="F1050" i="1"/>
  <c r="F1764" i="1"/>
  <c r="F3168" i="1"/>
  <c r="F2398" i="1"/>
  <c r="F500" i="1"/>
  <c r="F498" i="1"/>
  <c r="F3185" i="1"/>
  <c r="F3186" i="1"/>
  <c r="F3172" i="1"/>
  <c r="F3173" i="1"/>
  <c r="F330" i="1"/>
  <c r="F333" i="1"/>
  <c r="F332" i="1"/>
  <c r="F331" i="1"/>
  <c r="F3182" i="1"/>
  <c r="F3183" i="1"/>
  <c r="F2015" i="1"/>
  <c r="F1116" i="1"/>
  <c r="F1118" i="1"/>
  <c r="F1117" i="1"/>
  <c r="F1115" i="1"/>
  <c r="F2218" i="1"/>
  <c r="F2217" i="1"/>
  <c r="F2216" i="1"/>
  <c r="F2215" i="1"/>
  <c r="F1915" i="1"/>
  <c r="F1916" i="1"/>
  <c r="F795" i="1"/>
  <c r="F796" i="1"/>
  <c r="F1938" i="1"/>
  <c r="F1634" i="1"/>
  <c r="F1934" i="1"/>
  <c r="F1933" i="1"/>
  <c r="F1969" i="1"/>
  <c r="F1970" i="1"/>
  <c r="F369" i="1"/>
  <c r="F370" i="1"/>
  <c r="F1940" i="1"/>
  <c r="F1417" i="1"/>
  <c r="F1416" i="1"/>
  <c r="F1631" i="1"/>
  <c r="F1633" i="1"/>
  <c r="F1630" i="1"/>
  <c r="F1632" i="1"/>
  <c r="F3090" i="1"/>
  <c r="F3105" i="1"/>
  <c r="F2210" i="1"/>
  <c r="F2424" i="1"/>
  <c r="F2425" i="1"/>
  <c r="F3115" i="1"/>
  <c r="F1676" i="1"/>
  <c r="F1229" i="1"/>
  <c r="F1677" i="1"/>
  <c r="F2775" i="1"/>
  <c r="F2356" i="1"/>
  <c r="F2511" i="1"/>
  <c r="F2931" i="1"/>
  <c r="F2932" i="1"/>
  <c r="F2831" i="1"/>
  <c r="F2463" i="1"/>
  <c r="F2462" i="1"/>
  <c r="F2464" i="1"/>
  <c r="F1782" i="1"/>
  <c r="F224" i="1"/>
  <c r="F223" i="1"/>
  <c r="F2752" i="1"/>
  <c r="F2753" i="1"/>
  <c r="F2754" i="1"/>
  <c r="F2347" i="1"/>
  <c r="F733" i="1"/>
  <c r="F732" i="1"/>
  <c r="F734" i="1"/>
  <c r="F980" i="1"/>
  <c r="F979" i="1"/>
  <c r="F981" i="1"/>
  <c r="F982" i="1"/>
  <c r="F1001" i="1"/>
  <c r="F1003" i="1"/>
  <c r="F1002" i="1"/>
  <c r="F1004" i="1"/>
  <c r="F2774" i="1"/>
  <c r="F1794" i="1"/>
  <c r="F3132" i="1"/>
  <c r="F3133" i="1"/>
  <c r="F3135" i="1"/>
  <c r="F3134" i="1"/>
  <c r="F2618" i="1"/>
  <c r="F2617" i="1"/>
  <c r="F2616" i="1"/>
  <c r="F2619" i="1"/>
  <c r="F1921" i="1"/>
  <c r="F1922" i="1"/>
  <c r="F2896" i="1"/>
  <c r="F2895" i="1"/>
  <c r="F2898" i="1"/>
  <c r="F2897" i="1"/>
  <c r="F2800" i="1"/>
  <c r="F3675" i="1"/>
  <c r="F1235" i="1"/>
  <c r="F3125" i="1"/>
  <c r="F1723" i="1"/>
  <c r="F2357" i="1"/>
  <c r="F845" i="1"/>
  <c r="F2487" i="1"/>
  <c r="F214" i="1"/>
  <c r="F2108" i="1"/>
  <c r="F1039" i="1"/>
  <c r="F216" i="1"/>
  <c r="F846" i="1"/>
  <c r="F1777" i="1"/>
  <c r="F847" i="1"/>
  <c r="F597" i="1"/>
  <c r="F3120" i="1"/>
  <c r="F1778" i="1"/>
  <c r="F3121" i="1"/>
  <c r="F1038" i="1"/>
  <c r="F1779" i="1"/>
  <c r="F215" i="1"/>
  <c r="F1770" i="1"/>
  <c r="F1780" i="1"/>
  <c r="F595" i="1"/>
  <c r="F1769" i="1"/>
  <c r="F2488" i="1"/>
  <c r="F3119" i="1"/>
  <c r="F2869" i="1"/>
  <c r="F596" i="1"/>
  <c r="F2490" i="1"/>
  <c r="F848" i="1"/>
  <c r="F2868" i="1"/>
  <c r="F1040" i="1"/>
  <c r="F3127" i="1"/>
  <c r="F213" i="1"/>
  <c r="F1177" i="1"/>
  <c r="F3126" i="1"/>
  <c r="F2489" i="1"/>
  <c r="F125" i="1"/>
  <c r="F1686" i="1"/>
  <c r="F2101" i="1"/>
  <c r="F3131" i="1"/>
  <c r="F2105" i="1"/>
  <c r="F1671" i="1"/>
  <c r="F3129" i="1"/>
  <c r="F1863" i="1"/>
  <c r="F3130" i="1"/>
  <c r="F1164" i="1"/>
  <c r="F1394" i="1"/>
  <c r="F1392" i="1"/>
  <c r="F1393" i="1"/>
  <c r="F1391" i="1"/>
  <c r="F2531" i="1"/>
  <c r="F2529" i="1"/>
  <c r="F2532" i="1"/>
  <c r="F2530" i="1"/>
  <c r="F3136" i="1"/>
  <c r="F3179" i="1"/>
  <c r="F3180" i="1"/>
  <c r="F1489" i="1"/>
  <c r="F1488" i="1"/>
  <c r="F1501" i="1"/>
  <c r="F1502" i="1"/>
  <c r="F3153" i="1"/>
  <c r="F3151" i="1"/>
  <c r="F3152" i="1"/>
  <c r="F2343" i="1"/>
  <c r="F2344" i="1"/>
  <c r="F2345" i="1"/>
  <c r="F2346" i="1"/>
  <c r="F2295" i="1"/>
  <c r="F2296" i="1"/>
  <c r="F2297" i="1"/>
  <c r="F1476" i="1"/>
  <c r="F3107" i="1"/>
  <c r="F2644" i="1"/>
  <c r="F1069" i="1"/>
  <c r="F1070" i="1"/>
  <c r="F1867" i="1"/>
  <c r="F1193" i="1"/>
  <c r="F3087" i="1"/>
  <c r="F2484" i="1"/>
  <c r="F2485" i="1"/>
  <c r="F2029" i="1"/>
  <c r="F1821" i="1"/>
  <c r="F364" i="1"/>
  <c r="F203" i="1"/>
  <c r="F1623" i="1"/>
  <c r="F3060" i="1"/>
  <c r="F977" i="1"/>
  <c r="F604" i="1"/>
  <c r="F2261" i="1"/>
  <c r="F1910" i="1"/>
  <c r="F1768" i="1"/>
  <c r="F1349" i="1"/>
  <c r="F3116" i="1"/>
  <c r="F2730" i="1"/>
  <c r="F2731" i="1"/>
  <c r="F2521" i="1"/>
  <c r="F2520" i="1"/>
  <c r="F1523" i="1"/>
  <c r="F1771" i="1"/>
  <c r="F1772" i="1"/>
  <c r="F1309" i="1"/>
  <c r="F1402" i="1"/>
  <c r="F1403" i="1"/>
  <c r="F3118" i="1"/>
  <c r="F3117" i="1"/>
  <c r="F142" i="1"/>
  <c r="F2139" i="1"/>
  <c r="F2138" i="1"/>
  <c r="F436" i="1"/>
  <c r="F437" i="1"/>
  <c r="F1528" i="1"/>
  <c r="F335" i="1"/>
  <c r="F334" i="1"/>
  <c r="F1400" i="1"/>
  <c r="F1401" i="1"/>
  <c r="F1465" i="1"/>
  <c r="F3096" i="1"/>
  <c r="F1878" i="1"/>
  <c r="F2717" i="1"/>
  <c r="F2630" i="1"/>
  <c r="F2727" i="1"/>
  <c r="F1537" i="1"/>
  <c r="F3029" i="1"/>
  <c r="F3030" i="1"/>
  <c r="F489" i="1"/>
  <c r="F491" i="1"/>
  <c r="F490" i="1"/>
  <c r="F492" i="1"/>
  <c r="F1835" i="1"/>
  <c r="F1836" i="1"/>
  <c r="F600" i="1"/>
  <c r="F599" i="1"/>
  <c r="F601" i="1"/>
  <c r="F602" i="1"/>
  <c r="F1842" i="1"/>
  <c r="F1840" i="1"/>
  <c r="F1841" i="1"/>
  <c r="F780" i="1"/>
  <c r="F782" i="1"/>
  <c r="F783" i="1"/>
  <c r="F781" i="1"/>
  <c r="F3106" i="1"/>
  <c r="F873" i="1"/>
  <c r="F874" i="1"/>
  <c r="F1156" i="1"/>
  <c r="F1185" i="1"/>
  <c r="F3091" i="1"/>
  <c r="F1844" i="1"/>
  <c r="F3100" i="1"/>
  <c r="F3102" i="1"/>
  <c r="F3101" i="1"/>
  <c r="F3103" i="1"/>
  <c r="F2195" i="1"/>
  <c r="F516" i="1"/>
  <c r="F515" i="1"/>
  <c r="F2629" i="1"/>
  <c r="F3059" i="1"/>
  <c r="F2170" i="1"/>
  <c r="F1184" i="1"/>
  <c r="F3099" i="1"/>
  <c r="F3570" i="1"/>
  <c r="F1190" i="1"/>
  <c r="F2072" i="1"/>
  <c r="F672" i="1"/>
  <c r="F2249" i="1"/>
  <c r="F539" i="1"/>
  <c r="F1448" i="1"/>
  <c r="F1982" i="1"/>
  <c r="F170" i="1"/>
  <c r="F2207" i="1"/>
  <c r="F1773" i="1"/>
  <c r="F2704" i="1"/>
  <c r="F951" i="1"/>
  <c r="F37" i="1"/>
  <c r="F130" i="1"/>
  <c r="F1446" i="1"/>
  <c r="F3048" i="1"/>
  <c r="F1981" i="1"/>
  <c r="F541" i="1"/>
  <c r="F252" i="1"/>
  <c r="F128" i="1"/>
  <c r="F2246" i="1"/>
  <c r="F1791" i="1"/>
  <c r="F308" i="1"/>
  <c r="F1428" i="1"/>
  <c r="F3049" i="1"/>
  <c r="F2248" i="1"/>
  <c r="F540" i="1"/>
  <c r="F2703" i="1"/>
  <c r="F1447" i="1"/>
  <c r="F201" i="1"/>
  <c r="F309" i="1"/>
  <c r="F755" i="1"/>
  <c r="F952" i="1"/>
  <c r="F2247" i="1"/>
  <c r="F950" i="1"/>
  <c r="F171" i="1"/>
  <c r="F1427" i="1"/>
  <c r="F2705" i="1"/>
  <c r="F538" i="1"/>
  <c r="F1196" i="1"/>
  <c r="F401" i="1"/>
  <c r="F949" i="1"/>
  <c r="F200" i="1"/>
  <c r="F1774" i="1"/>
  <c r="F1503" i="1"/>
  <c r="F1445" i="1"/>
  <c r="F129" i="1"/>
  <c r="F251" i="1"/>
  <c r="F400" i="1"/>
  <c r="F2582" i="1"/>
  <c r="F2475" i="1"/>
  <c r="F3086" i="1"/>
  <c r="F2706" i="1"/>
  <c r="F529" i="1"/>
  <c r="F1698" i="1"/>
  <c r="F295" i="1"/>
  <c r="F1319" i="1"/>
  <c r="F2067" i="1"/>
  <c r="F3089" i="1"/>
  <c r="F3104" i="1"/>
  <c r="F2734" i="1"/>
  <c r="F2707" i="1"/>
  <c r="F3046" i="1"/>
  <c r="F2691" i="1"/>
  <c r="F294" i="1"/>
  <c r="F1006" i="1"/>
  <c r="F1697" i="1"/>
  <c r="F1837" i="1"/>
  <c r="F2361" i="1"/>
  <c r="F2360" i="1"/>
  <c r="F3128" i="1"/>
  <c r="F3114" i="1"/>
  <c r="F3108" i="1"/>
  <c r="F3109" i="1"/>
  <c r="F1384" i="1"/>
  <c r="F1383" i="1"/>
  <c r="F1382" i="1"/>
  <c r="F1385" i="1"/>
  <c r="F2709" i="1"/>
  <c r="F1664" i="1"/>
  <c r="F22" i="1"/>
  <c r="F2988" i="1"/>
  <c r="F502" i="1"/>
  <c r="F2355" i="1"/>
  <c r="F3051" i="1"/>
  <c r="F3050" i="1"/>
  <c r="F2578" i="1"/>
  <c r="F1307" i="1"/>
  <c r="F1306" i="1"/>
  <c r="F1308" i="1"/>
  <c r="F735" i="1"/>
  <c r="F736" i="1"/>
  <c r="F1935" i="1"/>
  <c r="F1936" i="1"/>
  <c r="F3018" i="1"/>
  <c r="F1684" i="1"/>
  <c r="F1685" i="1"/>
  <c r="F1214" i="1"/>
  <c r="F1215" i="1"/>
  <c r="F1280" i="1"/>
  <c r="F698" i="1"/>
  <c r="F2354" i="1"/>
  <c r="F1316" i="1"/>
  <c r="F1315" i="1"/>
  <c r="F849" i="1"/>
  <c r="F850" i="1"/>
  <c r="F2600" i="1"/>
  <c r="F2599" i="1"/>
  <c r="F2601" i="1"/>
  <c r="F2602" i="1"/>
  <c r="F1206" i="1"/>
  <c r="F789" i="1"/>
  <c r="F790" i="1"/>
  <c r="F189" i="1"/>
  <c r="F190" i="1"/>
  <c r="F374" i="1"/>
  <c r="F375" i="1"/>
  <c r="F275" i="1"/>
  <c r="F276" i="1"/>
  <c r="F976" i="1"/>
  <c r="F973" i="1"/>
  <c r="F975" i="1"/>
  <c r="F974" i="1"/>
  <c r="F2076" i="1"/>
  <c r="F2075" i="1"/>
  <c r="F2074" i="1"/>
  <c r="F2073" i="1"/>
  <c r="F2349" i="1"/>
  <c r="F798" i="1"/>
  <c r="F797" i="1"/>
  <c r="F799" i="1"/>
  <c r="F800" i="1"/>
  <c r="F2020" i="1"/>
  <c r="F2320" i="1"/>
  <c r="F16" i="1"/>
  <c r="F1911" i="1"/>
  <c r="F1912" i="1"/>
  <c r="F1688" i="1"/>
  <c r="F1663" i="1"/>
  <c r="F2503" i="1"/>
  <c r="F2700" i="1"/>
  <c r="F2699" i="1"/>
  <c r="F2701" i="1"/>
  <c r="F2702" i="1"/>
  <c r="F1423" i="1"/>
  <c r="F1511" i="1"/>
  <c r="F1715" i="1"/>
  <c r="F1099" i="1"/>
  <c r="F1531" i="1"/>
  <c r="F1707" i="1"/>
  <c r="F1108" i="1"/>
  <c r="F697" i="1"/>
  <c r="F1360" i="1"/>
  <c r="F383" i="1"/>
  <c r="F2323" i="1"/>
  <c r="F2325" i="1"/>
  <c r="F306" i="1"/>
  <c r="F472" i="1"/>
  <c r="F132" i="1"/>
  <c r="F536" i="1"/>
  <c r="F997" i="1"/>
  <c r="F2062" i="1"/>
  <c r="F1610" i="1"/>
  <c r="F1495" i="1"/>
  <c r="F1066" i="1"/>
  <c r="F1230" i="1"/>
  <c r="F1497" i="1"/>
  <c r="F2171" i="1"/>
  <c r="F2172" i="1"/>
  <c r="F1055" i="1"/>
  <c r="F1262" i="1"/>
  <c r="F89" i="1"/>
  <c r="F1839" i="1"/>
  <c r="F312" i="1"/>
  <c r="F1609" i="1"/>
  <c r="F1527" i="1"/>
  <c r="F304" i="1"/>
  <c r="F2634" i="1"/>
  <c r="F1496" i="1"/>
  <c r="F305" i="1"/>
  <c r="F2322" i="1"/>
  <c r="F5" i="1"/>
  <c r="F999" i="1"/>
  <c r="F471" i="1"/>
  <c r="F1263" i="1"/>
  <c r="F1470" i="1"/>
  <c r="F2063" i="1"/>
  <c r="F894" i="1"/>
  <c r="F2061" i="1"/>
  <c r="F2173" i="1"/>
  <c r="F307" i="1"/>
  <c r="F3043" i="1"/>
  <c r="F1054" i="1"/>
  <c r="F1149" i="1"/>
  <c r="F1526" i="1"/>
  <c r="F1838" i="1"/>
  <c r="F775" i="1"/>
  <c r="F897" i="1"/>
  <c r="F998" i="1"/>
  <c r="F895" i="1"/>
  <c r="F1469" i="1"/>
  <c r="F3062" i="1"/>
  <c r="F2174" i="1"/>
  <c r="F776" i="1"/>
  <c r="F2324" i="1"/>
  <c r="F1067" i="1"/>
  <c r="F1057" i="1"/>
  <c r="F191" i="1"/>
  <c r="F1056" i="1"/>
  <c r="F996" i="1"/>
  <c r="F3061" i="1"/>
  <c r="F896" i="1"/>
  <c r="F1498" i="1"/>
  <c r="F2060" i="1"/>
  <c r="F311" i="1"/>
  <c r="F2271" i="1"/>
  <c r="F1218" i="1"/>
  <c r="F522" i="1"/>
  <c r="F2710" i="1"/>
  <c r="F2581" i="1"/>
  <c r="F176" i="1"/>
  <c r="F1725" i="1"/>
  <c r="F3073" i="1"/>
  <c r="F2395" i="1"/>
  <c r="F505" i="1"/>
  <c r="F3067" i="1"/>
  <c r="F1506" i="1"/>
  <c r="F1505" i="1"/>
  <c r="F1508" i="1"/>
  <c r="F1507" i="1"/>
  <c r="F3079" i="1"/>
  <c r="F3078" i="1"/>
  <c r="F3080" i="1"/>
  <c r="F3081" i="1"/>
  <c r="F1991" i="1"/>
  <c r="F727" i="1"/>
  <c r="F1825" i="1"/>
  <c r="F2270" i="1"/>
  <c r="F762" i="1"/>
  <c r="F1675" i="1"/>
  <c r="F2148" i="1"/>
  <c r="F2149" i="1"/>
  <c r="F2639" i="1"/>
  <c r="F1999" i="1"/>
  <c r="F1652" i="1"/>
  <c r="F2562" i="1"/>
  <c r="F3005" i="1"/>
  <c r="F869" i="1"/>
  <c r="F870" i="1"/>
  <c r="F3044" i="1"/>
  <c r="F3045" i="1"/>
  <c r="F1513" i="1"/>
  <c r="F1512" i="1"/>
  <c r="F1514" i="1"/>
  <c r="F1515" i="1"/>
  <c r="F2022" i="1"/>
  <c r="F2023" i="1"/>
  <c r="F3019" i="1"/>
  <c r="F259" i="1"/>
  <c r="F260" i="1"/>
  <c r="F59" i="1"/>
  <c r="F60" i="1"/>
  <c r="F205" i="1"/>
  <c r="F42" i="1"/>
  <c r="F43" i="1"/>
  <c r="F381" i="1"/>
  <c r="F1988" i="1"/>
  <c r="F1987" i="1"/>
  <c r="F1989" i="1"/>
  <c r="F470" i="1"/>
  <c r="F1290" i="1"/>
  <c r="F899" i="1"/>
  <c r="F1271" i="1"/>
  <c r="F1272" i="1"/>
  <c r="F1466" i="1"/>
  <c r="F2264" i="1"/>
  <c r="F2267" i="1"/>
  <c r="F2266" i="1"/>
  <c r="F2265" i="1"/>
  <c r="F1104" i="1"/>
  <c r="F1334" i="1"/>
  <c r="F1335" i="1"/>
  <c r="F2388" i="1"/>
  <c r="F1591" i="1"/>
  <c r="F1592" i="1"/>
  <c r="F313" i="1"/>
  <c r="F2539" i="1"/>
  <c r="F2538" i="1"/>
  <c r="F2540" i="1"/>
  <c r="F2541" i="1"/>
  <c r="F1908" i="1"/>
  <c r="F241" i="1"/>
  <c r="F2208" i="1"/>
  <c r="F240" i="1"/>
  <c r="F2209" i="1"/>
  <c r="F1247" i="1"/>
  <c r="F1244" i="1"/>
  <c r="F1245" i="1"/>
  <c r="F1246" i="1"/>
  <c r="F2071" i="1"/>
  <c r="F887" i="1"/>
  <c r="F2103" i="1"/>
  <c r="F579" i="1"/>
  <c r="F578" i="1"/>
  <c r="F580" i="1"/>
  <c r="F581" i="1"/>
  <c r="F90" i="1"/>
  <c r="F1305" i="1"/>
  <c r="F1522" i="1"/>
  <c r="F2293" i="1"/>
  <c r="F614" i="1"/>
  <c r="F3042" i="1"/>
  <c r="F2102" i="1"/>
  <c r="F3047" i="1"/>
  <c r="F204" i="1"/>
  <c r="F1178" i="1"/>
  <c r="F2402" i="1"/>
  <c r="F1395" i="1"/>
  <c r="F99" i="1"/>
  <c r="F911" i="1"/>
  <c r="F236" i="1"/>
  <c r="F793" i="1"/>
  <c r="F116" i="1"/>
  <c r="F101" i="1"/>
  <c r="F792" i="1"/>
  <c r="F1353" i="1"/>
  <c r="F1584" i="1"/>
  <c r="F1318" i="1"/>
  <c r="F791" i="1"/>
  <c r="F3054" i="1"/>
  <c r="F120" i="1"/>
  <c r="F3053" i="1"/>
  <c r="F1711" i="1"/>
  <c r="F1354" i="1"/>
  <c r="F1317" i="1"/>
  <c r="F256" i="1"/>
  <c r="F254" i="1"/>
  <c r="F1583" i="1"/>
  <c r="F98" i="1"/>
  <c r="F910" i="1"/>
  <c r="F3052" i="1"/>
  <c r="F1166" i="1"/>
  <c r="F1963" i="1"/>
  <c r="F237" i="1"/>
  <c r="F102" i="1"/>
  <c r="F1948" i="1"/>
  <c r="F1964" i="1"/>
  <c r="F253" i="1"/>
  <c r="F235" i="1"/>
  <c r="F1946" i="1"/>
  <c r="F234" i="1"/>
  <c r="F255" i="1"/>
  <c r="F794" i="1"/>
  <c r="F1947" i="1"/>
  <c r="F1471" i="1"/>
  <c r="F1949" i="1"/>
  <c r="F909" i="1"/>
  <c r="F1472" i="1"/>
  <c r="F100" i="1"/>
  <c r="F908" i="1"/>
  <c r="F2305" i="1"/>
  <c r="F3037" i="1"/>
  <c r="F3057" i="1"/>
  <c r="F3039" i="1"/>
  <c r="F1000" i="1"/>
  <c r="F3038" i="1"/>
  <c r="F1923" i="1"/>
  <c r="F2252" i="1"/>
  <c r="F2000" i="1"/>
  <c r="F2003" i="1"/>
  <c r="F3020" i="1"/>
  <c r="F3040" i="1"/>
  <c r="F3055" i="1"/>
  <c r="F3056" i="1"/>
  <c r="F2431" i="1"/>
  <c r="F3058" i="1"/>
  <c r="F1084" i="1"/>
  <c r="F3074" i="1"/>
  <c r="F3076" i="1"/>
  <c r="F3075" i="1"/>
  <c r="F3077" i="1"/>
  <c r="F3063" i="1"/>
  <c r="F3064" i="1"/>
  <c r="F3065" i="1"/>
  <c r="F3066" i="1"/>
  <c r="F3022" i="1"/>
  <c r="F3021" i="1"/>
  <c r="F3024" i="1"/>
  <c r="F3023" i="1"/>
  <c r="F3025" i="1"/>
  <c r="F964" i="1"/>
  <c r="F961" i="1"/>
  <c r="F962" i="1"/>
  <c r="F963" i="1"/>
  <c r="F3031" i="1"/>
  <c r="F3033" i="1"/>
  <c r="F3032" i="1"/>
  <c r="F3034" i="1"/>
  <c r="F2453" i="1"/>
  <c r="F2454" i="1"/>
  <c r="F2989" i="1"/>
  <c r="F1005" i="1"/>
  <c r="F912" i="1"/>
  <c r="F1927" i="1"/>
  <c r="F2990" i="1"/>
  <c r="F2987" i="1"/>
  <c r="F1377" i="1"/>
  <c r="F219" i="1"/>
  <c r="F220" i="1"/>
  <c r="F2795" i="1"/>
  <c r="F1672" i="1"/>
  <c r="F1673" i="1"/>
  <c r="F622" i="1"/>
  <c r="F623" i="1"/>
  <c r="F430" i="1"/>
  <c r="F429" i="1"/>
  <c r="F431" i="1"/>
  <c r="F432" i="1"/>
  <c r="F406" i="1"/>
  <c r="F405" i="1"/>
  <c r="F1086" i="1"/>
  <c r="F1085" i="1"/>
  <c r="F3001" i="1"/>
  <c r="F3002" i="1"/>
  <c r="F3003" i="1"/>
  <c r="F3004" i="1"/>
  <c r="F95" i="1"/>
  <c r="F96" i="1"/>
  <c r="F2999" i="1"/>
  <c r="F3000" i="1"/>
  <c r="F1042" i="1"/>
  <c r="F1043" i="1"/>
  <c r="F1984" i="1"/>
  <c r="F1985" i="1"/>
  <c r="F1986" i="1"/>
  <c r="F2844" i="1"/>
  <c r="F2975" i="1"/>
  <c r="F2976" i="1"/>
  <c r="F2845" i="1"/>
  <c r="F2846" i="1"/>
  <c r="F2847" i="1"/>
  <c r="F2918" i="1"/>
  <c r="F2917" i="1"/>
  <c r="F465" i="1"/>
  <c r="F70" i="1"/>
  <c r="F69" i="1"/>
  <c r="F68" i="1"/>
  <c r="F67" i="1"/>
  <c r="F3006" i="1"/>
  <c r="F493" i="1"/>
  <c r="F494" i="1"/>
  <c r="F495" i="1"/>
  <c r="F496" i="1"/>
  <c r="F2212" i="1"/>
  <c r="F2211" i="1"/>
  <c r="F2213" i="1"/>
  <c r="F2214" i="1"/>
  <c r="F2756" i="1"/>
  <c r="F875" i="1"/>
  <c r="F418" i="1"/>
  <c r="F416" i="1"/>
  <c r="F417" i="1"/>
  <c r="F419" i="1"/>
  <c r="F2522" i="1"/>
  <c r="F2523" i="1"/>
  <c r="F2884" i="1"/>
  <c r="F1736" i="1"/>
  <c r="F1284" i="1"/>
  <c r="F1285" i="1"/>
  <c r="F1287" i="1"/>
  <c r="F1286" i="1"/>
  <c r="F2459" i="1"/>
  <c r="F8" i="1"/>
  <c r="F2924" i="1"/>
  <c r="F2926" i="1"/>
  <c r="F2925" i="1"/>
  <c r="F2927" i="1"/>
  <c r="F2969" i="1"/>
  <c r="F525" i="1"/>
  <c r="F526" i="1"/>
  <c r="F1176" i="1"/>
  <c r="F1737" i="1"/>
  <c r="F1873" i="1"/>
  <c r="F1983" i="1"/>
  <c r="F2536" i="1"/>
  <c r="F2964" i="1"/>
  <c r="F934" i="1"/>
  <c r="F2962" i="1"/>
  <c r="F3007" i="1"/>
  <c r="F2742" i="1"/>
  <c r="F3008" i="1"/>
  <c r="F136" i="1"/>
  <c r="F135" i="1"/>
  <c r="F2001" i="1"/>
  <c r="F257" i="1"/>
  <c r="F1624" i="1"/>
  <c r="F258" i="1"/>
  <c r="F1625" i="1"/>
  <c r="F2743" i="1"/>
  <c r="F94" i="1"/>
  <c r="F1818" i="1"/>
  <c r="F2421" i="1"/>
  <c r="F1682" i="1"/>
  <c r="F3277" i="1"/>
  <c r="F2963" i="1"/>
  <c r="F2681" i="1"/>
  <c r="F2151" i="1"/>
  <c r="F1569" i="1"/>
  <c r="F3278" i="1"/>
  <c r="F1534" i="1"/>
  <c r="F112" i="1"/>
  <c r="F2947" i="1"/>
  <c r="F183" i="1"/>
  <c r="F2923" i="1"/>
  <c r="F1683" i="1"/>
  <c r="F407" i="1"/>
  <c r="F2793" i="1"/>
  <c r="F2948" i="1"/>
  <c r="F1593" i="1"/>
  <c r="F1594" i="1"/>
  <c r="F172" i="1"/>
  <c r="F173" i="1"/>
  <c r="F2327" i="1"/>
  <c r="F2326" i="1"/>
  <c r="F1819" i="1"/>
  <c r="F1820" i="1"/>
  <c r="F871" i="1"/>
  <c r="F872" i="1"/>
  <c r="F1162" i="1"/>
  <c r="F2411" i="1"/>
  <c r="F2949" i="1"/>
  <c r="F1474" i="1"/>
  <c r="F1473" i="1"/>
  <c r="F1044" i="1"/>
  <c r="F476" i="1"/>
  <c r="F477" i="1"/>
  <c r="F1045" i="1"/>
  <c r="F902" i="1"/>
  <c r="F28" i="1"/>
  <c r="F27" i="1"/>
  <c r="F1011" i="1"/>
  <c r="F11" i="1"/>
  <c r="F2478" i="1"/>
  <c r="F2479" i="1"/>
  <c r="F2155" i="1"/>
  <c r="F2154" i="1"/>
  <c r="F229" i="1"/>
  <c r="F228" i="1"/>
  <c r="F230" i="1"/>
  <c r="F227" i="1"/>
  <c r="F1261" i="1"/>
  <c r="F2970" i="1"/>
  <c r="F451" i="1"/>
  <c r="F2641" i="1"/>
  <c r="F1302" i="1"/>
  <c r="F1301" i="1"/>
  <c r="F357" i="1"/>
  <c r="F2274" i="1"/>
  <c r="F151" i="1"/>
  <c r="F88" i="1"/>
  <c r="F87" i="1"/>
  <c r="F862" i="1"/>
  <c r="F2982" i="1"/>
  <c r="F2984" i="1"/>
  <c r="F2983" i="1"/>
  <c r="F2981" i="1"/>
  <c r="F2870" i="1"/>
  <c r="F2840" i="1"/>
  <c r="F414" i="1"/>
  <c r="F2858" i="1"/>
  <c r="F133" i="1"/>
  <c r="F2318" i="1"/>
  <c r="F2955" i="1"/>
  <c r="F2956" i="1"/>
  <c r="F2088" i="1"/>
  <c r="F1718" i="1"/>
  <c r="F2272" i="1"/>
  <c r="F1595" i="1"/>
  <c r="F856" i="1"/>
  <c r="F2817" i="1"/>
  <c r="F2786" i="1"/>
  <c r="F2881" i="1"/>
  <c r="F2892" i="1"/>
  <c r="F2862" i="1"/>
  <c r="F2028" i="1"/>
  <c r="F1314" i="1"/>
  <c r="F991" i="1"/>
  <c r="F2951" i="1"/>
  <c r="F993" i="1"/>
  <c r="F1726" i="1"/>
  <c r="F1223" i="1"/>
  <c r="F2781" i="1"/>
  <c r="F2375" i="1"/>
  <c r="F1962" i="1"/>
  <c r="F2853" i="1"/>
  <c r="F990" i="1"/>
  <c r="F2549" i="1"/>
  <c r="F1845" i="1"/>
  <c r="F642" i="1"/>
  <c r="F992" i="1"/>
  <c r="F1109" i="1"/>
  <c r="F1352" i="1"/>
  <c r="F2558" i="1"/>
  <c r="F1409" i="1"/>
  <c r="F1955" i="1"/>
  <c r="F2852" i="1"/>
  <c r="F922" i="1"/>
  <c r="F2165" i="1"/>
  <c r="F2372" i="1"/>
  <c r="F923" i="1"/>
  <c r="F2238" i="1"/>
  <c r="F2551" i="1"/>
  <c r="F1112" i="1"/>
  <c r="F2164" i="1"/>
  <c r="F2758" i="1"/>
  <c r="F2759" i="1"/>
  <c r="F2851" i="1"/>
  <c r="F1727" i="1"/>
  <c r="F1961" i="1"/>
  <c r="F2461" i="1"/>
  <c r="F2669" i="1"/>
  <c r="F643" i="1"/>
  <c r="F1954" i="1"/>
  <c r="F2550" i="1"/>
  <c r="F651" i="1"/>
  <c r="F1351" i="1"/>
  <c r="F2760" i="1"/>
  <c r="F2312" i="1"/>
  <c r="F1110" i="1"/>
  <c r="F1111" i="1"/>
  <c r="F2374" i="1"/>
  <c r="F1222" i="1"/>
  <c r="F2622" i="1"/>
  <c r="F2670" i="1"/>
  <c r="F2166" i="1"/>
  <c r="F2850" i="1"/>
  <c r="F2239" i="1"/>
  <c r="F2373" i="1"/>
  <c r="F2460" i="1"/>
  <c r="F2950" i="1"/>
  <c r="F921" i="1"/>
  <c r="F2757" i="1"/>
  <c r="F1408" i="1"/>
  <c r="F2528" i="1"/>
  <c r="F1174" i="1"/>
  <c r="F2010" i="1"/>
  <c r="F34" i="1"/>
  <c r="F225" i="1"/>
  <c r="F403" i="1"/>
  <c r="F1789" i="1"/>
  <c r="F2308" i="1"/>
  <c r="F2968" i="1"/>
  <c r="F2957" i="1"/>
  <c r="F2732" i="1"/>
  <c r="F809" i="1"/>
  <c r="F3026" i="1"/>
  <c r="F3027" i="1"/>
  <c r="F3028" i="1"/>
  <c r="F1015" i="1"/>
  <c r="F1012" i="1"/>
  <c r="F1013" i="1"/>
  <c r="F1014" i="1"/>
  <c r="F2961" i="1"/>
  <c r="F2958" i="1"/>
  <c r="F2960" i="1"/>
  <c r="F2959" i="1"/>
  <c r="F2967" i="1"/>
  <c r="F2966" i="1"/>
  <c r="F2965" i="1"/>
  <c r="F2953" i="1"/>
  <c r="F2954" i="1"/>
  <c r="F2779" i="1"/>
  <c r="F2780" i="1"/>
  <c r="F1781" i="1"/>
  <c r="F1941" i="1"/>
  <c r="F2830" i="1"/>
  <c r="F1687" i="1"/>
  <c r="F2642" i="1"/>
  <c r="F1422" i="1"/>
  <c r="F1421" i="1"/>
  <c r="F396" i="1"/>
  <c r="F397" i="1"/>
  <c r="F1965" i="1"/>
  <c r="F1967" i="1"/>
  <c r="F1966" i="1"/>
  <c r="F1968" i="1"/>
  <c r="F24" i="1"/>
  <c r="F2804" i="1"/>
  <c r="F2805" i="1"/>
  <c r="F2300" i="1"/>
  <c r="F2302" i="1"/>
  <c r="F2303" i="1"/>
  <c r="F2301" i="1"/>
  <c r="F2696" i="1"/>
  <c r="F2848" i="1"/>
  <c r="F2849" i="1"/>
  <c r="F2724" i="1"/>
  <c r="F1678" i="1"/>
  <c r="F2362" i="1"/>
  <c r="F1731" i="1"/>
  <c r="F1732" i="1"/>
  <c r="F57" i="1"/>
  <c r="F56" i="1"/>
  <c r="F598" i="1"/>
  <c r="F2" i="1"/>
  <c r="F2334" i="1"/>
  <c r="F193" i="1"/>
  <c r="F194" i="1"/>
  <c r="F434" i="1"/>
  <c r="F435" i="1"/>
  <c r="F1131" i="1"/>
  <c r="F1130" i="1"/>
  <c r="F2384" i="1"/>
  <c r="F2382" i="1"/>
  <c r="F2383" i="1"/>
  <c r="F2385" i="1"/>
  <c r="F1134" i="1"/>
  <c r="F1135" i="1"/>
  <c r="F1733" i="1"/>
  <c r="F1741" i="1"/>
  <c r="F1742" i="1"/>
  <c r="F1219" i="1"/>
  <c r="F1139" i="1"/>
  <c r="F2815" i="1"/>
  <c r="F2814" i="1"/>
  <c r="F2813" i="1"/>
  <c r="F447" i="1"/>
  <c r="F449" i="1"/>
  <c r="F448" i="1"/>
  <c r="F450" i="1"/>
  <c r="F91" i="1"/>
  <c r="F1980" i="1"/>
  <c r="F49" i="1"/>
  <c r="F48" i="1"/>
  <c r="F47" i="1"/>
  <c r="F46" i="1"/>
  <c r="F1851" i="1"/>
  <c r="F2269" i="1"/>
  <c r="F2837" i="1"/>
  <c r="F1692" i="1"/>
  <c r="F1694" i="1"/>
  <c r="F1693" i="1"/>
  <c r="F1695" i="1"/>
  <c r="F1872" i="1"/>
  <c r="F1209" i="1"/>
  <c r="F1481" i="1"/>
  <c r="F1207" i="1"/>
  <c r="F2567" i="1"/>
  <c r="F1637" i="1"/>
  <c r="F2282" i="1"/>
  <c r="F2283" i="1"/>
  <c r="F2281" i="1"/>
  <c r="F2284" i="1"/>
  <c r="F1578" i="1"/>
  <c r="F1580" i="1"/>
  <c r="F1579" i="1"/>
  <c r="F1581" i="1"/>
  <c r="F1253" i="1"/>
  <c r="F1252" i="1"/>
  <c r="F2392" i="1"/>
  <c r="F2719" i="1"/>
  <c r="F2720" i="1"/>
  <c r="F1275" i="1"/>
  <c r="F983" i="1"/>
  <c r="F1136" i="1"/>
  <c r="F2145" i="1"/>
  <c r="F1168" i="1"/>
  <c r="F2240" i="1"/>
  <c r="F2279" i="1"/>
  <c r="F118" i="1"/>
  <c r="F2194" i="1"/>
  <c r="F2575" i="1"/>
  <c r="F2433" i="1"/>
  <c r="F2627" i="1"/>
  <c r="F1105" i="1"/>
  <c r="F633" i="1"/>
  <c r="F2435" i="1"/>
  <c r="F1454" i="1"/>
  <c r="F2876" i="1"/>
  <c r="F2875" i="1"/>
  <c r="F1361" i="1"/>
  <c r="F2974" i="1"/>
  <c r="F636" i="1"/>
  <c r="F185" i="1"/>
  <c r="F1868" i="1"/>
  <c r="F184" i="1"/>
  <c r="F650" i="1"/>
  <c r="F1362" i="1"/>
  <c r="F1455" i="1"/>
  <c r="F647" i="1"/>
  <c r="F777" i="1"/>
  <c r="F635" i="1"/>
  <c r="F634" i="1"/>
  <c r="F1453" i="1"/>
  <c r="F1869" i="1"/>
  <c r="F2928" i="1"/>
  <c r="F2929" i="1"/>
  <c r="F2432" i="1"/>
  <c r="F1945" i="1"/>
  <c r="F226" i="1"/>
  <c r="F39" i="1"/>
  <c r="F2098" i="1"/>
  <c r="F38" i="1"/>
  <c r="F1943" i="1"/>
  <c r="F2097" i="1"/>
  <c r="F1106" i="1"/>
  <c r="F2434" i="1"/>
  <c r="F2973" i="1"/>
  <c r="F1942" i="1"/>
  <c r="F649" i="1"/>
  <c r="F648" i="1"/>
  <c r="F1944" i="1"/>
  <c r="F2358" i="1"/>
  <c r="F662" i="1"/>
  <c r="F898" i="1"/>
  <c r="F2659" i="1"/>
  <c r="F1342" i="1"/>
  <c r="F2241" i="1"/>
  <c r="F2841" i="1"/>
  <c r="F131" i="1"/>
  <c r="F1538" i="1"/>
  <c r="F1524" i="1"/>
  <c r="F2100" i="1"/>
  <c r="F2819" i="1"/>
  <c r="F2985" i="1"/>
  <c r="F2986" i="1"/>
  <c r="F2803" i="1"/>
  <c r="F2802" i="1"/>
  <c r="F2801" i="1"/>
  <c r="F2806" i="1"/>
  <c r="F2807" i="1"/>
  <c r="F2809" i="1"/>
  <c r="F2808" i="1"/>
  <c r="F18" i="1"/>
  <c r="F20" i="1"/>
  <c r="F19" i="1"/>
  <c r="F21" i="1"/>
  <c r="F2506" i="1"/>
  <c r="F2571" i="1"/>
  <c r="F1716" i="1"/>
  <c r="F2002" i="1"/>
  <c r="F2791" i="1"/>
  <c r="F2237" i="1"/>
  <c r="F2231" i="1"/>
  <c r="F1145" i="1"/>
  <c r="F14" i="1"/>
  <c r="F605" i="1"/>
  <c r="F1020" i="1"/>
  <c r="F2889" i="1"/>
  <c r="F2888" i="1"/>
  <c r="F2890" i="1"/>
  <c r="F2891" i="1"/>
  <c r="F2825" i="1"/>
  <c r="F2827" i="1"/>
  <c r="F2826" i="1"/>
  <c r="F2824" i="1"/>
  <c r="F927" i="1"/>
  <c r="F928" i="1"/>
  <c r="F2364" i="1"/>
  <c r="F2363" i="1"/>
  <c r="F834" i="1"/>
  <c r="F833" i="1"/>
  <c r="F1330" i="1"/>
  <c r="F1329" i="1"/>
  <c r="F2054" i="1"/>
  <c r="F2055" i="1"/>
  <c r="F2792" i="1"/>
  <c r="F892" i="1"/>
  <c r="F2904" i="1"/>
  <c r="F2905" i="1"/>
  <c r="F2906" i="1"/>
  <c r="F2907" i="1"/>
  <c r="F2596" i="1"/>
  <c r="F2598" i="1"/>
  <c r="F2597" i="1"/>
  <c r="F2595" i="1"/>
  <c r="F2099" i="1"/>
  <c r="F1937" i="1"/>
  <c r="F1550" i="1"/>
  <c r="F1551" i="1"/>
  <c r="F1141" i="1"/>
  <c r="F484" i="1"/>
  <c r="F2794" i="1"/>
  <c r="F2342" i="1"/>
  <c r="F1705" i="1"/>
  <c r="F740" i="1"/>
  <c r="F741" i="1"/>
  <c r="F742" i="1"/>
  <c r="F743" i="1"/>
  <c r="F960" i="1"/>
  <c r="F806" i="1"/>
  <c r="F807" i="1"/>
  <c r="F805" i="1"/>
  <c r="F808" i="1"/>
  <c r="F233" i="1"/>
  <c r="F1018" i="1"/>
  <c r="F1016" i="1"/>
  <c r="F1017" i="1"/>
  <c r="F1019" i="1"/>
  <c r="F2751" i="1"/>
  <c r="F2829" i="1"/>
  <c r="F1521" i="1"/>
  <c r="F323" i="1"/>
  <c r="F1932" i="1"/>
  <c r="F1931" i="1"/>
  <c r="F2748" i="1"/>
  <c r="F1150" i="1"/>
  <c r="F1803" i="1"/>
  <c r="F861" i="1"/>
  <c r="F860" i="1"/>
  <c r="F1800" i="1"/>
  <c r="F978" i="1"/>
  <c r="F274" i="1"/>
  <c r="F1801" i="1"/>
  <c r="F1802" i="1"/>
  <c r="F469" i="1"/>
  <c r="F2783" i="1"/>
  <c r="F2728" i="1"/>
  <c r="F466" i="1"/>
  <c r="F852" i="1"/>
  <c r="F454" i="1"/>
  <c r="F774" i="1"/>
  <c r="F456" i="1"/>
  <c r="F468" i="1"/>
  <c r="F2366" i="1"/>
  <c r="F1234" i="1"/>
  <c r="F1151" i="1"/>
  <c r="F2782" i="1"/>
  <c r="F2729" i="1"/>
  <c r="F1645" i="1"/>
  <c r="F457" i="1"/>
  <c r="F773" i="1"/>
  <c r="F273" i="1"/>
  <c r="F467" i="1"/>
  <c r="F455" i="1"/>
  <c r="F2367" i="1"/>
  <c r="F1646" i="1"/>
  <c r="F75" i="1"/>
  <c r="F2859" i="1"/>
  <c r="F2860" i="1"/>
  <c r="F2561" i="1"/>
  <c r="F2836" i="1"/>
  <c r="F54" i="1"/>
  <c r="F2834" i="1"/>
  <c r="F1843" i="1"/>
  <c r="F2835" i="1"/>
  <c r="F2628" i="1"/>
  <c r="F1114" i="1"/>
  <c r="F2255" i="1"/>
  <c r="F1123" i="1"/>
  <c r="F1124" i="1"/>
  <c r="F2946" i="1"/>
  <c r="F1661" i="1"/>
  <c r="F1659" i="1"/>
  <c r="F1660" i="1"/>
  <c r="F1278" i="1"/>
  <c r="F1277" i="1"/>
  <c r="F1276" i="1"/>
  <c r="F1279" i="1"/>
  <c r="F1256" i="1"/>
  <c r="F2159" i="1"/>
  <c r="F1036" i="1"/>
  <c r="F483" i="1"/>
  <c r="F1077" i="1"/>
  <c r="F1907" i="1"/>
  <c r="F2162" i="1"/>
  <c r="F2163" i="1"/>
  <c r="F2161" i="1"/>
  <c r="F2160" i="1"/>
  <c r="F398" i="1"/>
  <c r="F399" i="1"/>
  <c r="F1654" i="1"/>
  <c r="F674" i="1"/>
  <c r="F1653" i="1"/>
  <c r="F279" i="1"/>
  <c r="F278" i="1"/>
  <c r="F1268" i="1"/>
  <c r="F1269" i="1"/>
  <c r="F1901" i="1"/>
  <c r="F1900" i="1"/>
  <c r="F1903" i="1"/>
  <c r="F1902" i="1"/>
  <c r="F1566" i="1"/>
  <c r="F1568" i="1"/>
  <c r="F1567" i="1"/>
  <c r="F969" i="1"/>
  <c r="F970" i="1"/>
  <c r="F2122" i="1"/>
  <c r="F2123" i="1"/>
  <c r="F1467" i="1"/>
  <c r="F1468" i="1"/>
  <c r="F1950" i="1"/>
  <c r="F1450" i="1"/>
  <c r="F386" i="1"/>
  <c r="F2068" i="1"/>
  <c r="F519" i="1"/>
  <c r="F520" i="1"/>
  <c r="F518" i="1"/>
  <c r="F521" i="1"/>
  <c r="F2069" i="1"/>
  <c r="F929" i="1"/>
  <c r="F931" i="1"/>
  <c r="F930" i="1"/>
  <c r="F932" i="1"/>
  <c r="F1058" i="1"/>
  <c r="F188" i="1"/>
  <c r="F668" i="1"/>
  <c r="F667" i="1"/>
  <c r="F669" i="1"/>
  <c r="F670" i="1"/>
  <c r="F1517" i="1"/>
  <c r="F1518" i="1"/>
  <c r="F1519" i="1"/>
  <c r="F968" i="1"/>
  <c r="F2140" i="1"/>
  <c r="F1629" i="1"/>
  <c r="F1628" i="1"/>
  <c r="F965" i="1"/>
  <c r="F967" i="1"/>
  <c r="F966" i="1"/>
  <c r="F1494" i="1"/>
  <c r="F1930" i="1"/>
  <c r="F2089" i="1"/>
  <c r="F866" i="1"/>
  <c r="F865" i="1"/>
  <c r="F864" i="1"/>
  <c r="F863" i="1"/>
  <c r="F867" i="1"/>
  <c r="F115" i="1"/>
  <c r="F1170" i="1"/>
  <c r="F1169" i="1"/>
  <c r="F2243" i="1"/>
  <c r="F2244" i="1"/>
  <c r="F371" i="1"/>
  <c r="F2183" i="1"/>
  <c r="F2096" i="1"/>
  <c r="F2142" i="1"/>
  <c r="F2143" i="1"/>
  <c r="F2141" i="1"/>
  <c r="F925" i="1"/>
  <c r="F924" i="1"/>
  <c r="F212" i="1"/>
  <c r="F1376" i="1"/>
  <c r="F2553" i="1"/>
  <c r="F199" i="1"/>
  <c r="F1438" i="1"/>
  <c r="F441" i="1"/>
  <c r="F156" i="1"/>
  <c r="F1419" i="1"/>
  <c r="F97" i="1"/>
  <c r="F442" i="1"/>
  <c r="F1895" i="1"/>
  <c r="F2290" i="1"/>
  <c r="F2111" i="1"/>
  <c r="F2129" i="1"/>
  <c r="F1437" i="1"/>
  <c r="F1127" i="1"/>
  <c r="F1543" i="1"/>
  <c r="F1542" i="1"/>
  <c r="F1125" i="1"/>
  <c r="F1763" i="1"/>
  <c r="F1126" i="1"/>
  <c r="F1540" i="1"/>
  <c r="F2128" i="1"/>
  <c r="F1418" i="1"/>
  <c r="F1896" i="1"/>
  <c r="F653" i="1"/>
  <c r="F1128" i="1"/>
  <c r="F1975" i="1"/>
  <c r="F954" i="1"/>
  <c r="F652" i="1"/>
  <c r="F1541" i="1"/>
  <c r="F1762" i="1"/>
  <c r="F956" i="1"/>
  <c r="F955" i="1"/>
  <c r="F1894" i="1"/>
  <c r="F2110" i="1"/>
  <c r="F1761" i="1"/>
  <c r="F1760" i="1"/>
  <c r="F1217" i="1"/>
  <c r="F953" i="1"/>
  <c r="F1814" i="1"/>
  <c r="F1756" i="1"/>
  <c r="F1753" i="1"/>
  <c r="F1755" i="1"/>
  <c r="F1754" i="1"/>
  <c r="F2135" i="1"/>
  <c r="F1752" i="1"/>
  <c r="F1220" i="1"/>
  <c r="F2515" i="1"/>
  <c r="F2423" i="1"/>
  <c r="F1173" i="1"/>
  <c r="F1344" i="1"/>
  <c r="F537" i="1"/>
  <c r="F141" i="1"/>
  <c r="F2514" i="1"/>
  <c r="F2545" i="1"/>
  <c r="F1363" i="1"/>
  <c r="F534" i="1"/>
  <c r="F1552" i="1"/>
  <c r="F2772" i="1"/>
  <c r="F1759" i="1"/>
  <c r="F2560" i="1"/>
  <c r="F1171" i="1"/>
  <c r="F210" i="1"/>
  <c r="F209" i="1"/>
  <c r="F211" i="1"/>
  <c r="F208" i="1"/>
  <c r="F3014" i="1"/>
  <c r="F3015" i="1"/>
  <c r="F1562" i="1"/>
  <c r="F1563" i="1"/>
  <c r="F1564" i="1"/>
  <c r="F3633" i="1"/>
  <c r="F3634" i="1"/>
  <c r="F1098" i="1"/>
  <c r="F2205" i="1"/>
  <c r="F1539" i="1"/>
  <c r="F1341" i="1"/>
  <c r="F1525" i="1"/>
  <c r="F3" i="1"/>
  <c r="F827" i="1"/>
  <c r="F828" i="1"/>
  <c r="F820" i="1"/>
  <c r="F919" i="1"/>
  <c r="F920" i="1"/>
  <c r="F915" i="1"/>
  <c r="F914" i="1"/>
  <c r="F916" i="1"/>
  <c r="F917" i="1"/>
  <c r="F2697" i="1"/>
  <c r="F1175" i="1"/>
  <c r="F12" i="1"/>
  <c r="F2146" i="1"/>
  <c r="F2125" i="1"/>
  <c r="F2124" i="1"/>
  <c r="F2127" i="1"/>
  <c r="F2126" i="1"/>
  <c r="F2864" i="1"/>
  <c r="F2863" i="1"/>
  <c r="F2865" i="1"/>
  <c r="F2866" i="1"/>
  <c r="F86" i="1"/>
  <c r="F85" i="1"/>
  <c r="F1103" i="1"/>
  <c r="F2095" i="1"/>
  <c r="F2094" i="1"/>
  <c r="F588" i="1"/>
  <c r="F587" i="1"/>
  <c r="F589" i="1"/>
  <c r="F1008" i="1"/>
  <c r="F1007" i="1"/>
  <c r="F1009" i="1"/>
  <c r="F1010" i="1"/>
  <c r="F387" i="1"/>
  <c r="F524" i="1"/>
  <c r="F523" i="1"/>
  <c r="F1830" i="1"/>
  <c r="F1829" i="1"/>
  <c r="F1212" i="1"/>
  <c r="F1213" i="1"/>
  <c r="F1211" i="1"/>
  <c r="F1210" i="1"/>
  <c r="F1146" i="1"/>
  <c r="F1696" i="1"/>
  <c r="F40" i="1"/>
  <c r="F1674" i="1"/>
  <c r="F2134" i="1"/>
  <c r="F1143" i="1"/>
  <c r="F2554" i="1"/>
  <c r="F2665" i="1"/>
  <c r="F2664" i="1"/>
  <c r="F810" i="1"/>
  <c r="F811" i="1"/>
  <c r="F2152" i="1"/>
  <c r="F2534" i="1"/>
  <c r="F2082" i="1"/>
  <c r="F2081" i="1"/>
  <c r="F2080" i="1"/>
  <c r="F2079" i="1"/>
  <c r="F2533" i="1"/>
  <c r="F262" i="1"/>
  <c r="F264" i="1"/>
  <c r="F263" i="1"/>
  <c r="F2131" i="1"/>
  <c r="F382" i="1"/>
  <c r="F893" i="1"/>
  <c r="F1669" i="1"/>
  <c r="F1990" i="1"/>
  <c r="F1582" i="1"/>
  <c r="F1203" i="1"/>
  <c r="F1616" i="1"/>
  <c r="F1617" i="1"/>
  <c r="F1619" i="1"/>
  <c r="F1618" i="1"/>
  <c r="F298" i="1"/>
  <c r="F297" i="1"/>
  <c r="F296" i="1"/>
  <c r="F299" i="1"/>
  <c r="F2341" i="1"/>
  <c r="F2430" i="1"/>
  <c r="F2713" i="1"/>
  <c r="F565" i="1"/>
  <c r="F1298" i="1"/>
  <c r="F1297" i="1"/>
  <c r="F1296" i="1"/>
  <c r="F339" i="1"/>
  <c r="F340" i="1"/>
  <c r="F341" i="1"/>
  <c r="F342" i="1"/>
  <c r="F1548" i="1"/>
  <c r="F1549" i="1"/>
  <c r="F143" i="1"/>
  <c r="F1960" i="1"/>
  <c r="F2854" i="1"/>
  <c r="F2855" i="1"/>
  <c r="F2857" i="1"/>
  <c r="F2856" i="1"/>
  <c r="F2916" i="1"/>
  <c r="F1142" i="1"/>
  <c r="F221" i="1"/>
  <c r="F2236" i="1"/>
  <c r="F261" i="1"/>
  <c r="F2065" i="1"/>
  <c r="F1891" i="1"/>
  <c r="F2812" i="1"/>
  <c r="F2914" i="1"/>
  <c r="F1603" i="1"/>
  <c r="F182" i="1"/>
  <c r="F2228" i="1"/>
  <c r="F2574" i="1"/>
  <c r="F823" i="1"/>
  <c r="F2586" i="1"/>
  <c r="F2230" i="1"/>
  <c r="F2614" i="1"/>
  <c r="F271" i="1"/>
  <c r="F1604" i="1"/>
  <c r="F1605" i="1"/>
  <c r="F2587" i="1"/>
  <c r="F272" i="1"/>
  <c r="F2613" i="1"/>
  <c r="F2915" i="1"/>
  <c r="F181" i="1"/>
  <c r="F1060" i="1"/>
  <c r="F180" i="1"/>
  <c r="F1860" i="1"/>
  <c r="F2612" i="1"/>
  <c r="F6" i="1"/>
  <c r="F2573" i="1"/>
  <c r="F2592" i="1"/>
  <c r="F2913" i="1"/>
  <c r="F2229" i="1"/>
  <c r="F179" i="1"/>
  <c r="F2591" i="1"/>
  <c r="F1059" i="1"/>
  <c r="F824" i="1"/>
  <c r="F2133" i="1"/>
  <c r="F2735" i="1"/>
  <c r="F2132" i="1"/>
  <c r="F2749" i="1"/>
  <c r="F2251" i="1"/>
  <c r="F1183" i="1"/>
  <c r="F1072" i="1"/>
  <c r="F2750" i="1"/>
  <c r="F818" i="1"/>
  <c r="F1071" i="1"/>
  <c r="F2765" i="1"/>
  <c r="F503" i="1"/>
  <c r="F384" i="1"/>
  <c r="F2250" i="1"/>
  <c r="F1322" i="1"/>
  <c r="F2057" i="1"/>
  <c r="F2508" i="1"/>
  <c r="F2130" i="1"/>
  <c r="F2443" i="1"/>
  <c r="F2559" i="1"/>
  <c r="F2471" i="1"/>
  <c r="F2747" i="1"/>
  <c r="F2181" i="1"/>
  <c r="F2169" i="1"/>
  <c r="F2168" i="1"/>
  <c r="F2811" i="1"/>
  <c r="F2810" i="1"/>
  <c r="F2201" i="1"/>
  <c r="F2202" i="1"/>
  <c r="F1735" i="1"/>
  <c r="F1346" i="1"/>
  <c r="F947" i="1"/>
  <c r="F948" i="1"/>
  <c r="F1870" i="1"/>
  <c r="F1871" i="1"/>
  <c r="F819" i="1"/>
  <c r="F1254" i="1"/>
  <c r="F1255" i="1"/>
  <c r="F2175" i="1"/>
  <c r="F2176" i="1"/>
  <c r="F385" i="1"/>
  <c r="F1345" i="1"/>
  <c r="F2784" i="1"/>
  <c r="F2785" i="1"/>
  <c r="F1107" i="1"/>
  <c r="F13" i="1"/>
  <c r="F2262" i="1"/>
  <c r="F1414" i="1"/>
  <c r="F1415" i="1"/>
  <c r="F2474" i="1"/>
  <c r="F1866" i="1"/>
  <c r="F2552" i="1"/>
  <c r="F1861" i="1"/>
  <c r="F1862" i="1"/>
  <c r="F2035" i="1"/>
  <c r="F2036" i="1"/>
  <c r="F839" i="1"/>
  <c r="F719" i="1"/>
  <c r="F718" i="1"/>
  <c r="F720" i="1"/>
  <c r="F721" i="1"/>
  <c r="F1811" i="1"/>
  <c r="F1295" i="1"/>
  <c r="F2121" i="1"/>
  <c r="F2606" i="1"/>
  <c r="F2607" i="1"/>
  <c r="F2718" i="1"/>
  <c r="F2715" i="1"/>
  <c r="F1167" i="1"/>
  <c r="F1381" i="1"/>
  <c r="F2224" i="1"/>
  <c r="F391" i="1"/>
  <c r="F388" i="1"/>
  <c r="F390" i="1"/>
  <c r="F389" i="1"/>
  <c r="F1859" i="1"/>
  <c r="F2226" i="1"/>
  <c r="F2223" i="1"/>
  <c r="F2225" i="1"/>
  <c r="F1100" i="1"/>
  <c r="F2387" i="1"/>
  <c r="F2678" i="1"/>
  <c r="F2676" i="1"/>
  <c r="F2677" i="1"/>
  <c r="F2679" i="1"/>
  <c r="F1905" i="1"/>
  <c r="F1906" i="1"/>
  <c r="F1904" i="1"/>
  <c r="F2198" i="1"/>
  <c r="F2200" i="1"/>
  <c r="F2199" i="1"/>
  <c r="F1648" i="1"/>
  <c r="F628" i="1"/>
  <c r="F392" i="1"/>
  <c r="F395" i="1"/>
  <c r="F393" i="1"/>
  <c r="F394" i="1"/>
  <c r="F659" i="1"/>
  <c r="F658" i="1"/>
  <c r="F660" i="1"/>
  <c r="F661" i="1"/>
  <c r="F1325" i="1"/>
  <c r="F1326" i="1"/>
  <c r="F1327" i="1"/>
  <c r="F1328" i="1"/>
  <c r="F1187" i="1"/>
  <c r="F2473" i="1"/>
  <c r="F365" i="1"/>
  <c r="F1161" i="1"/>
  <c r="F2192" i="1"/>
  <c r="F1706" i="1"/>
  <c r="F2579" i="1"/>
  <c r="F2499" i="1"/>
  <c r="F1231" i="1"/>
  <c r="F562" i="1"/>
  <c r="F1027" i="1"/>
  <c r="F2220" i="1"/>
  <c r="F2832" i="1"/>
  <c r="F752" i="1"/>
  <c r="F453" i="1"/>
  <c r="F2319" i="1"/>
  <c r="F511" i="1"/>
  <c r="F700" i="1"/>
  <c r="F1289" i="1"/>
  <c r="F1081" i="1"/>
  <c r="F701" i="1"/>
  <c r="F510" i="1"/>
  <c r="F1288" i="1"/>
  <c r="F778" i="1"/>
  <c r="F1080" i="1"/>
  <c r="F2221" i="1"/>
  <c r="F355" i="1"/>
  <c r="F779" i="1"/>
  <c r="F452" i="1"/>
  <c r="F329" i="1"/>
  <c r="F715" i="1"/>
  <c r="F716" i="1"/>
  <c r="F753" i="1"/>
  <c r="F702" i="1"/>
  <c r="F2839" i="1"/>
  <c r="F509" i="1"/>
  <c r="F1083" i="1"/>
  <c r="F3320" i="1"/>
  <c r="F1976" i="1"/>
  <c r="F1082" i="1"/>
  <c r="F2120" i="1"/>
  <c r="F2222" i="1"/>
  <c r="F714" i="1"/>
  <c r="F2833" i="1"/>
  <c r="F1571" i="1"/>
  <c r="F2285" i="1"/>
  <c r="F328" i="1"/>
  <c r="F3319" i="1"/>
  <c r="F353" i="1"/>
  <c r="F508" i="1"/>
  <c r="F2287" i="1"/>
  <c r="F751" i="1"/>
  <c r="F2838" i="1"/>
  <c r="F354" i="1"/>
  <c r="F2440" i="1"/>
  <c r="F352" i="1"/>
  <c r="F1714" i="1"/>
  <c r="F717" i="1"/>
  <c r="F754" i="1"/>
  <c r="F699" i="1"/>
  <c r="F2441" i="1"/>
  <c r="F1720" i="1"/>
  <c r="F2563" i="1"/>
  <c r="F1570" i="1"/>
  <c r="F1977" i="1"/>
  <c r="F1713" i="1"/>
  <c r="F2119" i="1"/>
  <c r="F1641" i="1"/>
  <c r="F535" i="1"/>
  <c r="F2501" i="1"/>
  <c r="F2117" i="1"/>
  <c r="F2467" i="1"/>
  <c r="F572" i="1"/>
  <c r="F2118" i="1"/>
  <c r="F571" i="1"/>
  <c r="F2115" i="1"/>
  <c r="F2420" i="1"/>
  <c r="F570" i="1"/>
  <c r="F1712" i="1"/>
  <c r="F1404" i="1"/>
  <c r="F1642" i="1"/>
  <c r="F2286" i="1"/>
  <c r="F1374" i="1"/>
  <c r="F631" i="1"/>
  <c r="F632" i="1"/>
  <c r="F2078" i="1"/>
  <c r="F473" i="1"/>
  <c r="F2186" i="1"/>
  <c r="F1303" i="1"/>
  <c r="F1304" i="1"/>
  <c r="F126" i="1"/>
  <c r="F402" i="1"/>
  <c r="F2018" i="1"/>
  <c r="F2721" i="1"/>
  <c r="F2011" i="1"/>
  <c r="F177" i="1"/>
  <c r="F157" i="1"/>
  <c r="F2196" i="1"/>
  <c r="F1783" i="1"/>
  <c r="F1784" i="1"/>
  <c r="F1265" i="1"/>
  <c r="F517" i="1"/>
  <c r="F1264" i="1"/>
  <c r="F1053" i="1"/>
  <c r="F821" i="1"/>
  <c r="F822" i="1"/>
  <c r="F1459" i="1"/>
  <c r="F1458" i="1"/>
  <c r="F1324" i="1"/>
  <c r="F1323" i="1"/>
  <c r="F726" i="1"/>
  <c r="F527" i="1"/>
  <c r="F2184" i="1"/>
  <c r="F705" i="1"/>
  <c r="F706" i="1"/>
  <c r="F704" i="1"/>
  <c r="F707" i="1"/>
  <c r="F2413" i="1"/>
  <c r="F624" i="1"/>
  <c r="F627" i="1"/>
  <c r="F625" i="1"/>
  <c r="F626" i="1"/>
  <c r="F1065" i="1"/>
  <c r="F1076" i="1"/>
  <c r="F2086" i="1"/>
  <c r="F2114" i="1"/>
  <c r="F2930" i="1"/>
  <c r="F1373" i="1"/>
  <c r="F1216" i="1"/>
  <c r="F1535" i="1"/>
  <c r="F1536" i="1"/>
  <c r="F2276" i="1"/>
  <c r="F2275" i="1"/>
  <c r="F2030" i="1"/>
  <c r="F420" i="1"/>
  <c r="F421" i="1"/>
  <c r="F1068" i="1"/>
  <c r="F2611" i="1"/>
  <c r="F1102" i="1"/>
  <c r="F2386" i="1"/>
  <c r="F749" i="1"/>
  <c r="F2330" i="1"/>
  <c r="F2603" i="1"/>
  <c r="F1729" i="1"/>
  <c r="F2666" i="1"/>
  <c r="F585" i="1"/>
  <c r="F1035" i="1"/>
  <c r="F2066" i="1"/>
  <c r="F761" i="1"/>
  <c r="F1420" i="1"/>
  <c r="F1052" i="1"/>
  <c r="F2557" i="1"/>
  <c r="F2051" i="1"/>
  <c r="F554" i="1"/>
  <c r="F10" i="1"/>
  <c r="F552" i="1"/>
  <c r="F2672" i="1"/>
  <c r="F2654" i="1"/>
  <c r="F2288" i="1"/>
  <c r="F1073" i="1"/>
  <c r="F553" i="1"/>
  <c r="F547" i="1"/>
  <c r="F2674" i="1"/>
  <c r="F2309" i="1"/>
  <c r="F2583" i="1"/>
  <c r="F1064" i="1"/>
  <c r="F1573" i="1"/>
  <c r="F1063" i="1"/>
  <c r="F1561" i="1"/>
  <c r="F1559" i="1"/>
  <c r="F2457" i="1"/>
  <c r="F545" i="1"/>
  <c r="F2310" i="1"/>
  <c r="F1558" i="1"/>
  <c r="F1560" i="1"/>
  <c r="F2584" i="1"/>
  <c r="F855" i="1"/>
  <c r="F2289" i="1"/>
  <c r="F546" i="1"/>
  <c r="F854" i="1"/>
  <c r="F1516" i="1"/>
  <c r="F1572" i="1"/>
  <c r="F555" i="1"/>
  <c r="F2673" i="1"/>
  <c r="F2671" i="1"/>
  <c r="F2498" i="1"/>
  <c r="F2116" i="1"/>
  <c r="F2340" i="1"/>
  <c r="F2518" i="1"/>
  <c r="F358" i="1"/>
  <c r="F1191" i="1"/>
  <c r="F1251" i="1"/>
  <c r="F2113" i="1"/>
  <c r="F2059" i="1"/>
  <c r="F2422" i="1"/>
  <c r="F2304" i="1"/>
  <c r="F1371" i="1"/>
  <c r="F2337" i="1"/>
  <c r="F2058" i="1"/>
  <c r="F2339" i="1"/>
  <c r="F1457" i="1"/>
  <c r="F2338" i="1"/>
  <c r="F1456" i="1"/>
  <c r="F2872" i="1"/>
  <c r="F2874" i="1"/>
  <c r="F2873" i="1"/>
  <c r="F2871" i="1"/>
  <c r="F654" i="1"/>
  <c r="F655" i="1"/>
  <c r="F942" i="1"/>
  <c r="F2755" i="1"/>
  <c r="F2548" i="1"/>
  <c r="F2458" i="1"/>
  <c r="F2867" i="1"/>
  <c r="F2245" i="1"/>
  <c r="F2277" i="1"/>
  <c r="F1751" i="1"/>
  <c r="F2147" i="1"/>
  <c r="F608" i="1"/>
  <c r="F609" i="1"/>
  <c r="F1775" i="1"/>
  <c r="F1776" i="1"/>
  <c r="F347" i="1"/>
  <c r="F1599" i="1"/>
  <c r="F1600" i="1"/>
  <c r="F728" i="1"/>
  <c r="F1144" i="1"/>
  <c r="F1462" i="1"/>
  <c r="F207" i="1"/>
  <c r="F206" i="1"/>
  <c r="F33" i="1"/>
  <c r="F583" i="1"/>
  <c r="F584" i="1"/>
  <c r="F2466" i="1"/>
  <c r="F427" i="1"/>
  <c r="F428" i="1"/>
  <c r="F1643" i="1"/>
  <c r="F1644" i="1"/>
  <c r="F319" i="1"/>
  <c r="F318" i="1"/>
  <c r="F1529" i="1"/>
  <c r="F1442" i="1"/>
  <c r="F1441" i="1"/>
  <c r="F1440" i="1"/>
  <c r="F1439" i="1"/>
  <c r="F926" i="1"/>
  <c r="F1475" i="1"/>
  <c r="F550" i="1"/>
  <c r="F548" i="1"/>
  <c r="F549" i="1"/>
  <c r="F52" i="1"/>
  <c r="F53" i="1"/>
  <c r="F1225" i="1"/>
  <c r="F1350" i="1"/>
  <c r="F218" i="1"/>
  <c r="F2525" i="1"/>
  <c r="F163" i="1"/>
  <c r="F2605" i="1"/>
  <c r="F2519" i="1"/>
  <c r="F1444" i="1"/>
  <c r="F2675" i="1"/>
  <c r="F772" i="1"/>
  <c r="F836" i="1"/>
  <c r="F835" i="1"/>
  <c r="F838" i="1"/>
  <c r="F837" i="1"/>
  <c r="F1865" i="1"/>
  <c r="F712" i="1"/>
  <c r="F2311" i="1"/>
  <c r="F1655" i="1"/>
  <c r="F1656" i="1"/>
  <c r="F1657" i="1"/>
  <c r="F1658" i="1"/>
  <c r="F2294" i="1"/>
  <c r="F2527" i="1"/>
  <c r="F610" i="1"/>
  <c r="F611" i="1"/>
  <c r="F613" i="1"/>
  <c r="F612" i="1"/>
  <c r="F178" i="1"/>
  <c r="F158" i="1"/>
  <c r="F159" i="1"/>
  <c r="F160" i="1"/>
  <c r="F161" i="1"/>
  <c r="F768" i="1"/>
  <c r="F767" i="1"/>
  <c r="F769" i="1"/>
  <c r="F770" i="1"/>
  <c r="F2879" i="1"/>
  <c r="F2878" i="1"/>
  <c r="F2861" i="1"/>
  <c r="F2426" i="1"/>
  <c r="F1194" i="1"/>
  <c r="F2090" i="1"/>
  <c r="F217" i="1"/>
  <c r="F678" i="1"/>
  <c r="F202" i="1"/>
  <c r="F2278" i="1"/>
  <c r="F2877" i="1"/>
  <c r="F2543" i="1"/>
  <c r="F109" i="1"/>
  <c r="F104" i="1"/>
  <c r="F103" i="1"/>
  <c r="F106" i="1"/>
  <c r="F1850" i="1"/>
  <c r="F1221" i="1"/>
  <c r="F2109" i="1"/>
  <c r="F2632" i="1"/>
  <c r="F2656" i="1"/>
  <c r="F2746" i="1"/>
  <c r="F2188" i="1"/>
  <c r="F1973" i="1"/>
  <c r="F2763" i="1"/>
  <c r="F1971" i="1"/>
  <c r="F2762" i="1"/>
  <c r="F1180" i="1"/>
  <c r="F300" i="1"/>
  <c r="F2764" i="1"/>
  <c r="F1023" i="1"/>
  <c r="F2745" i="1"/>
  <c r="F302" i="1"/>
  <c r="F2446" i="1"/>
  <c r="F2189" i="1"/>
  <c r="F2899" i="1"/>
  <c r="F2638" i="1"/>
  <c r="F1025" i="1"/>
  <c r="F2190" i="1"/>
  <c r="F939" i="1"/>
  <c r="F938" i="1"/>
  <c r="F1972" i="1"/>
  <c r="F2660" i="1"/>
  <c r="F2655" i="1"/>
  <c r="F301" i="1"/>
  <c r="F2021" i="1"/>
  <c r="F703" i="1"/>
  <c r="F196" i="1"/>
  <c r="F2447" i="1"/>
  <c r="F1179" i="1"/>
  <c r="F2187" i="1"/>
  <c r="F1461" i="1"/>
  <c r="F195" i="1"/>
  <c r="F1974" i="1"/>
  <c r="F1181" i="1"/>
  <c r="F1140" i="1"/>
  <c r="F940" i="1"/>
  <c r="F303" i="1"/>
  <c r="F1024" i="1"/>
  <c r="F941" i="1"/>
  <c r="F2761" i="1"/>
  <c r="F1909" i="1"/>
  <c r="F2197" i="1"/>
  <c r="F2353" i="1"/>
  <c r="F814" i="1"/>
  <c r="F2112" i="1"/>
  <c r="F1499" i="1"/>
  <c r="F2083" i="1"/>
  <c r="F1939" i="1"/>
  <c r="F2085" i="1"/>
  <c r="F2242" i="1"/>
  <c r="F679" i="1"/>
  <c r="F110" i="1"/>
  <c r="F107" i="1"/>
  <c r="F108" i="1"/>
  <c r="F105" i="1"/>
  <c r="F2744" i="1"/>
  <c r="F2822" i="1"/>
  <c r="F2820" i="1"/>
  <c r="F2823" i="1"/>
  <c r="F2821" i="1"/>
  <c r="F2887" i="1"/>
  <c r="F2886" i="1"/>
  <c r="F2885" i="1"/>
</calcChain>
</file>

<file path=xl/sharedStrings.xml><?xml version="1.0" encoding="utf-8"?>
<sst xmlns="http://schemas.openxmlformats.org/spreadsheetml/2006/main" count="3686" uniqueCount="13">
  <si>
    <t>PatientSex</t>
  </si>
  <si>
    <t>PatientAge</t>
  </si>
  <si>
    <t>PatientID</t>
  </si>
  <si>
    <t>N/A</t>
  </si>
  <si>
    <t>kVp</t>
  </si>
  <si>
    <t>M</t>
  </si>
  <si>
    <t>F</t>
  </si>
  <si>
    <t>TAMA</t>
    <phoneticPr fontId="3" type="noConversion"/>
  </si>
  <si>
    <t>SRC_Report</t>
    <phoneticPr fontId="3" type="noConversion"/>
  </si>
  <si>
    <t>IMATA</t>
    <phoneticPr fontId="3" type="noConversion"/>
  </si>
  <si>
    <t>mAs</t>
    <phoneticPr fontId="3" type="noConversion"/>
  </si>
  <si>
    <t>Manufacturer</t>
    <phoneticPr fontId="3" type="noConversion"/>
  </si>
  <si>
    <t>Series_Desc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</si>
</sst>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rgb="FF000000"/>
      <name val="맑은 고딕"/>
    </font>
    <font>
      <b/>
      <sz val="11"/>
      <color rgb="FF000000"/>
      <name val="맑은 고딕"/>
      <family val="3"/>
      <charset val="129"/>
    </font>
    <font>
      <u/>
      <sz val="11"/>
      <color rgb="FF0000FF"/>
      <name val="맑은 고딕"/>
      <family val="3"/>
      <charset val="129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</cellXfs>
  <cellStyles count="1">
    <cellStyle name="표준" xfId="0" builtinId="0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3675"/>
  <sheetViews>
    <sheetView tabSelected="1" zoomScaleNormal="100" zoomScaleSheetLayoutView="75" workbookViewId="0">
      <pane ySplit="1" topLeftCell="A2" activePane="bottomLeft" state="frozen"/>
      <selection pane="bottomLeft" activeCell="J4" sqref="J4"/>
    </sheetView>
  </sheetViews>
  <sheetFormatPr defaultColWidth="8.875" defaultRowHeight="16.5" x14ac:dyDescent="0.3"/>
  <cols>
    <col min="1" max="3" width="13.625" style="1" customWidth="1"/>
    <col min="6" max="8" width="13.625" style="1" customWidth="1"/>
    <col min="9" max="11" width="10.5" customWidth="1"/>
  </cols>
  <sheetData>
    <row r="1" spans="1:10" x14ac:dyDescent="0.3">
      <c r="A1" s="5" t="s">
        <v>2</v>
      </c>
      <c r="B1" s="5" t="s">
        <v>1</v>
      </c>
      <c r="C1" s="5" t="s">
        <v>0</v>
      </c>
      <c r="D1" s="5" t="s">
        <v>4</v>
      </c>
      <c r="E1" s="5" t="s">
        <v>10</v>
      </c>
      <c r="F1" s="5" t="s">
        <v>8</v>
      </c>
      <c r="G1" s="5" t="s">
        <v>7</v>
      </c>
      <c r="H1" s="5" t="s">
        <v>9</v>
      </c>
      <c r="I1" s="6" t="s">
        <v>11</v>
      </c>
      <c r="J1" s="6" t="s">
        <v>12</v>
      </c>
    </row>
    <row r="2" spans="1:10" x14ac:dyDescent="0.3">
      <c r="A2" s="2">
        <v>136174</v>
      </c>
      <c r="B2" s="2">
        <v>82</v>
      </c>
      <c r="C2" s="2" t="s">
        <v>6</v>
      </c>
      <c r="D2" s="2">
        <v>100</v>
      </c>
      <c r="E2" s="2"/>
      <c r="F2" s="4" t="str">
        <f>HYPERLINK("./Results/DLO\20180701_1.3.12.2.1107.5.1.4.65253.30000018071618482874300019449_3_512_512_\Osteo_Sarco_1.png","RPT")</f>
        <v>RPT</v>
      </c>
      <c r="G2" s="3">
        <v>105</v>
      </c>
      <c r="H2" s="3"/>
    </row>
    <row r="3" spans="1:10" x14ac:dyDescent="0.3">
      <c r="A3" s="2">
        <v>248989</v>
      </c>
      <c r="B3" s="2">
        <v>65</v>
      </c>
      <c r="C3" s="2" t="s">
        <v>5</v>
      </c>
      <c r="D3" s="2">
        <v>100</v>
      </c>
      <c r="E3" s="2"/>
      <c r="F3" s="4" t="str">
        <f>HYPERLINK("./Results/DLO\20180401_1.3.46.670589.33.1.63658629721755863300001.4858199846973324743_601_512_512_\Osteo_Sarco_1.png","RPT")</f>
        <v>RPT</v>
      </c>
      <c r="G3" s="3">
        <v>120</v>
      </c>
      <c r="H3" s="3"/>
    </row>
    <row r="4" spans="1:10" x14ac:dyDescent="0.3">
      <c r="A4" s="2">
        <v>280328</v>
      </c>
      <c r="B4" s="2">
        <v>53</v>
      </c>
      <c r="C4" s="2" t="s">
        <v>5</v>
      </c>
      <c r="D4" s="2">
        <v>100</v>
      </c>
      <c r="E4" s="2"/>
      <c r="F4" s="4" t="str">
        <f>HYPERLINK("./Results/DLO\20190901_1.2.840.113619.2.416.36804277732764939455631951945785422586_310_512_512_\Osteo_Sarco_1.png","RPT")</f>
        <v>RPT</v>
      </c>
      <c r="G4" s="3">
        <v>105</v>
      </c>
      <c r="H4" s="3"/>
    </row>
    <row r="5" spans="1:10" x14ac:dyDescent="0.3">
      <c r="A5" s="2">
        <v>288473</v>
      </c>
      <c r="B5" s="2">
        <v>51</v>
      </c>
      <c r="C5" s="2" t="s">
        <v>5</v>
      </c>
      <c r="D5" s="2">
        <v>140</v>
      </c>
      <c r="E5" s="2"/>
      <c r="F5" s="4" t="str">
        <f>HYPERLINK("./Results/DLO\20181101_1.2.840.113619.2.416.277924879519044058456855486015858531635_302_512_512_\Osteo_Sarco_1.png","RPT")</f>
        <v>RPT</v>
      </c>
      <c r="G5" s="3">
        <v>179</v>
      </c>
      <c r="H5" s="3"/>
    </row>
    <row r="6" spans="1:10" x14ac:dyDescent="0.3">
      <c r="A6" s="2">
        <v>300279</v>
      </c>
      <c r="B6" s="2">
        <v>62</v>
      </c>
      <c r="C6" s="2" t="s">
        <v>6</v>
      </c>
      <c r="D6" s="2">
        <v>100</v>
      </c>
      <c r="E6" s="2"/>
      <c r="F6" s="4" t="str">
        <f>HYPERLINK("./Results/DLO\20180401_1.2.840.113619.2.416.166895534450409067193557544536559208277_304_512_512_\Osteo_Sarco_1.png","RPT")</f>
        <v>RPT</v>
      </c>
      <c r="G6" s="3">
        <v>139</v>
      </c>
      <c r="H6" s="3"/>
    </row>
    <row r="7" spans="1:10" x14ac:dyDescent="0.3">
      <c r="A7" s="2">
        <v>305343</v>
      </c>
      <c r="B7" s="2">
        <v>52</v>
      </c>
      <c r="C7" s="2" t="s">
        <v>6</v>
      </c>
      <c r="D7" s="2">
        <v>100</v>
      </c>
      <c r="E7" s="2"/>
      <c r="F7" s="4" t="str">
        <f>HYPERLINK("./Results/DLO\20190501_1.2.840.113619.2.416.319505693201596446324922096741805212704_310_512_512_\Osteo_Sarco_1.png","RPT")</f>
        <v>RPT</v>
      </c>
      <c r="G7" s="3">
        <v>127</v>
      </c>
      <c r="H7" s="3"/>
    </row>
    <row r="8" spans="1:10" x14ac:dyDescent="0.3">
      <c r="A8" s="2">
        <v>307070</v>
      </c>
      <c r="B8" s="2">
        <v>62</v>
      </c>
      <c r="C8" s="2" t="s">
        <v>6</v>
      </c>
      <c r="D8" s="2">
        <v>100</v>
      </c>
      <c r="E8" s="2"/>
      <c r="F8" s="4" t="str">
        <f>HYPERLINK("./Results/DLO\20180901_1.3.12.2.1107.5.1.4.54310.30000018090523165039000008682_2_512_512_\Osteo_Sarco_1.png","RPT")</f>
        <v>RPT</v>
      </c>
      <c r="G8" s="3">
        <v>108</v>
      </c>
      <c r="H8" s="3"/>
    </row>
    <row r="9" spans="1:10" x14ac:dyDescent="0.3">
      <c r="A9" s="2">
        <v>328371</v>
      </c>
      <c r="B9" s="2">
        <v>79</v>
      </c>
      <c r="C9" s="2" t="s">
        <v>6</v>
      </c>
      <c r="D9" s="2">
        <v>120</v>
      </c>
      <c r="E9" s="2"/>
      <c r="F9" s="4" t="str">
        <f>HYPERLINK("./Results/DLO\_1.2.410.100011.172.16.68.201.6366560828496533351.1_1_512_512_\Osteo_Sarco_1.png","RPT")</f>
        <v>RPT</v>
      </c>
      <c r="G9" s="3">
        <v>95</v>
      </c>
      <c r="H9" s="3"/>
    </row>
    <row r="10" spans="1:10" x14ac:dyDescent="0.3">
      <c r="A10" s="2">
        <v>334474</v>
      </c>
      <c r="B10" s="2">
        <v>74</v>
      </c>
      <c r="C10" s="2" t="s">
        <v>6</v>
      </c>
      <c r="D10" s="2">
        <v>140</v>
      </c>
      <c r="E10" s="2"/>
      <c r="F10" s="4" t="str">
        <f>HYPERLINK("./Results/DLO\20180201_1.2.840.113619.2.416.84806468417000287420016324687158217813_2_512_512_\Osteo_Sarco_1.png","RPT")</f>
        <v>RPT</v>
      </c>
      <c r="G10" s="3">
        <v>90</v>
      </c>
      <c r="H10" s="3"/>
    </row>
    <row r="11" spans="1:10" x14ac:dyDescent="0.3">
      <c r="A11" s="2">
        <v>340958</v>
      </c>
      <c r="B11" s="2">
        <v>39</v>
      </c>
      <c r="C11" s="2" t="s">
        <v>5</v>
      </c>
      <c r="D11" s="2">
        <v>100</v>
      </c>
      <c r="E11" s="2"/>
      <c r="F11" s="4" t="str">
        <f>HYPERLINK("./Results/DLO\20180801_1.3.12.2.1107.5.1.4.65253.30000018080619082202800000503_6_512_512_\Osteo_Sarco_1.png","RPT")</f>
        <v>RPT</v>
      </c>
      <c r="G11" s="3">
        <v>12</v>
      </c>
      <c r="H11" s="3"/>
    </row>
    <row r="12" spans="1:10" x14ac:dyDescent="0.3">
      <c r="A12" s="2">
        <v>367771</v>
      </c>
      <c r="B12" s="2">
        <v>70</v>
      </c>
      <c r="C12" s="2" t="s">
        <v>6</v>
      </c>
      <c r="D12" s="2">
        <v>100</v>
      </c>
      <c r="E12" s="2"/>
      <c r="F12" s="4" t="str">
        <f>HYPERLINK("./Results/DLO\20180401_1.3.12.2.1107.5.1.4.65253.30000018042321504630500037938_3_512_512_\Osteo_Sarco_1.png","RPT")</f>
        <v>RPT</v>
      </c>
      <c r="G12" s="3">
        <v>97</v>
      </c>
      <c r="H12" s="3"/>
    </row>
    <row r="13" spans="1:10" x14ac:dyDescent="0.3">
      <c r="A13" s="2">
        <v>396201</v>
      </c>
      <c r="B13" s="2">
        <v>53</v>
      </c>
      <c r="C13" s="2" t="s">
        <v>5</v>
      </c>
      <c r="D13" s="2">
        <v>120</v>
      </c>
      <c r="E13" s="2"/>
      <c r="F13" s="4" t="str">
        <f>HYPERLINK("./Results/DLO\20180301_1.3.12.2.1107.5.1.4.54310.30000018032923132856200009616_7_512_512_\Osteo_Sarco_1.png","RPT")</f>
        <v>RPT</v>
      </c>
      <c r="G13" s="3">
        <v>163</v>
      </c>
      <c r="H13" s="3"/>
    </row>
    <row r="14" spans="1:10" x14ac:dyDescent="0.3">
      <c r="A14" s="2">
        <v>400017</v>
      </c>
      <c r="B14" s="2">
        <v>58</v>
      </c>
      <c r="C14" s="2" t="s">
        <v>6</v>
      </c>
      <c r="D14" s="2">
        <v>100</v>
      </c>
      <c r="E14" s="2"/>
      <c r="F14" s="4" t="str">
        <f>HYPERLINK("./Results/DLO\20180601_1.3.46.670589.33.1.63663959250418081500001.5290208534671366020_201_512_512_\Osteo_Sarco_1.png","RPT")</f>
        <v>RPT</v>
      </c>
      <c r="G14" s="3">
        <v>97</v>
      </c>
      <c r="H14" s="3"/>
    </row>
    <row r="15" spans="1:10" x14ac:dyDescent="0.3">
      <c r="A15" s="2">
        <v>400804</v>
      </c>
      <c r="B15" s="2">
        <v>51</v>
      </c>
      <c r="C15" s="2" t="s">
        <v>6</v>
      </c>
      <c r="D15" s="2">
        <v>100</v>
      </c>
      <c r="E15" s="2"/>
      <c r="F15" s="4" t="str">
        <f>HYPERLINK("./Results/DLO\20200601_1.3.12.2.1107.5.1.4.54310.30000020060721263234300094233_7_512_512_\Osteo_Sarco_1.png","RPT")</f>
        <v>RPT</v>
      </c>
      <c r="G15" s="3">
        <v>105</v>
      </c>
      <c r="H15" s="3"/>
    </row>
    <row r="16" spans="1:10" x14ac:dyDescent="0.3">
      <c r="A16" s="2">
        <v>430440</v>
      </c>
      <c r="B16" s="2">
        <v>68</v>
      </c>
      <c r="C16" s="2" t="s">
        <v>5</v>
      </c>
      <c r="D16" s="2">
        <v>100</v>
      </c>
      <c r="E16" s="2"/>
      <c r="F16" s="4" t="str">
        <f>HYPERLINK("./Results/DLO\20181101_1.3.12.2.1107.5.1.4.54310.30000018110823203071800002292_2_512_512_\Osteo_Sarco_1.png","RPT")</f>
        <v>RPT</v>
      </c>
      <c r="G16" s="3">
        <v>154</v>
      </c>
      <c r="H16" s="3"/>
    </row>
    <row r="17" spans="1:8" x14ac:dyDescent="0.3">
      <c r="A17" s="2">
        <v>433117</v>
      </c>
      <c r="B17" s="2">
        <v>46</v>
      </c>
      <c r="C17" s="2" t="s">
        <v>6</v>
      </c>
      <c r="D17" s="2">
        <v>100</v>
      </c>
      <c r="E17" s="2"/>
      <c r="F17" s="4" t="str">
        <f>HYPERLINK("./Results/DLO\20190401_1.2.840.113619.2.311.26506538982352755797309031278517630736_304_512_512_\Osteo_Sarco_1.png","RPT")</f>
        <v>RPT</v>
      </c>
      <c r="G17" s="3">
        <v>114</v>
      </c>
      <c r="H17" s="3"/>
    </row>
    <row r="18" spans="1:8" x14ac:dyDescent="0.3">
      <c r="A18" s="2">
        <v>447295</v>
      </c>
      <c r="B18" s="2">
        <v>76</v>
      </c>
      <c r="C18" s="2" t="s">
        <v>5</v>
      </c>
      <c r="D18" s="2">
        <v>120</v>
      </c>
      <c r="E18" s="2"/>
      <c r="F18" s="4" t="str">
        <f>HYPERLINK("./Results/DLO\20180701_1.2.410.100011.172.16.68.201.6366914698072051853.6_6_512_512_\Osteo_Sarco_1.png","RPT")</f>
        <v>RPT</v>
      </c>
      <c r="G18" s="3">
        <v>202</v>
      </c>
      <c r="H18" s="3"/>
    </row>
    <row r="19" spans="1:8" x14ac:dyDescent="0.3">
      <c r="A19" s="2">
        <v>447295</v>
      </c>
      <c r="B19" s="2">
        <v>76</v>
      </c>
      <c r="C19" s="2" t="s">
        <v>5</v>
      </c>
      <c r="D19" s="2">
        <v>120</v>
      </c>
      <c r="E19" s="2"/>
      <c r="F19" s="4" t="str">
        <f>HYPERLINK("./Results/DLO\20180701_1.2.410.100011.172.16.68.201.6366914698072051853.4_4_512_512_\Osteo_Sarco_1.png","RPT")</f>
        <v>RPT</v>
      </c>
      <c r="G19" s="3">
        <v>201</v>
      </c>
      <c r="H19" s="3"/>
    </row>
    <row r="20" spans="1:8" x14ac:dyDescent="0.3">
      <c r="A20" s="2">
        <v>447295</v>
      </c>
      <c r="B20" s="2">
        <v>76</v>
      </c>
      <c r="C20" s="2" t="s">
        <v>5</v>
      </c>
      <c r="D20" s="2">
        <v>120</v>
      </c>
      <c r="E20" s="2"/>
      <c r="F20" s="4" t="str">
        <f>HYPERLINK("./Results/DLO\20180701_1.2.410.100011.172.16.68.201.6366914698072051853.5_5_512_512_\Osteo_Sarco_1.png","RPT")</f>
        <v>RPT</v>
      </c>
      <c r="G20" s="3">
        <v>201</v>
      </c>
      <c r="H20" s="3"/>
    </row>
    <row r="21" spans="1:8" x14ac:dyDescent="0.3">
      <c r="A21" s="2">
        <v>447295</v>
      </c>
      <c r="B21" s="2">
        <v>76</v>
      </c>
      <c r="C21" s="2" t="s">
        <v>5</v>
      </c>
      <c r="D21" s="2">
        <v>100</v>
      </c>
      <c r="E21" s="2"/>
      <c r="F21" s="4" t="str">
        <f>HYPERLINK("./Results/DLO\20180701_1.2.410.100011.172.16.68.201.6366914698072051853.3_3_512_512_\Osteo_Sarco_1.png","RPT")</f>
        <v>RPT</v>
      </c>
      <c r="G21" s="3">
        <v>200</v>
      </c>
      <c r="H21" s="3"/>
    </row>
    <row r="22" spans="1:8" x14ac:dyDescent="0.3">
      <c r="A22" s="2">
        <v>465292</v>
      </c>
      <c r="B22" s="2">
        <v>53</v>
      </c>
      <c r="C22" s="2" t="s">
        <v>5</v>
      </c>
      <c r="D22" s="2">
        <v>100</v>
      </c>
      <c r="E22" s="2"/>
      <c r="F22" s="4" t="str">
        <f>HYPERLINK("./Results/DLO\20181101_1.3.46.670589.33.1.63678742088018885900001.5673487750157314568_701_512_512_\Osteo_Sarco_1.png","RPT")</f>
        <v>RPT</v>
      </c>
      <c r="G22" s="3">
        <v>129</v>
      </c>
      <c r="H22" s="3"/>
    </row>
    <row r="23" spans="1:8" x14ac:dyDescent="0.3">
      <c r="A23" s="2">
        <v>487434</v>
      </c>
      <c r="B23" s="2">
        <v>59</v>
      </c>
      <c r="C23" s="2" t="s">
        <v>6</v>
      </c>
      <c r="D23" s="2">
        <v>100</v>
      </c>
      <c r="E23" s="2"/>
      <c r="F23" s="4" t="str">
        <f>HYPERLINK("./Results/DLO\20191101_1.3.12.2.1107.5.1.4.54310.30000019111321163662500070390_7_512_512_\Osteo_Sarco_1.png","RPT")</f>
        <v>RPT</v>
      </c>
      <c r="G23" s="3">
        <v>101</v>
      </c>
      <c r="H23" s="3"/>
    </row>
    <row r="24" spans="1:8" x14ac:dyDescent="0.3">
      <c r="A24" s="2">
        <v>533152</v>
      </c>
      <c r="B24" s="2">
        <v>49</v>
      </c>
      <c r="C24" s="2" t="s">
        <v>6</v>
      </c>
      <c r="D24" s="2">
        <v>100</v>
      </c>
      <c r="E24" s="2"/>
      <c r="F24" s="4" t="str">
        <f>HYPERLINK("./Results/DLO\20180701_1.3.46.670589.33.1.63666211828391117600001.5002375027028883802_201_512_512_\Osteo_Sarco_1.png","RPT")</f>
        <v>RPT</v>
      </c>
      <c r="G24" s="3">
        <v>107</v>
      </c>
      <c r="H24" s="3"/>
    </row>
    <row r="25" spans="1:8" x14ac:dyDescent="0.3">
      <c r="A25" s="2">
        <v>539318</v>
      </c>
      <c r="B25" s="2">
        <v>75</v>
      </c>
      <c r="C25" s="2" t="s">
        <v>6</v>
      </c>
      <c r="D25" s="2">
        <v>100</v>
      </c>
      <c r="E25" s="2"/>
      <c r="F25" s="4" t="str">
        <f>HYPERLINK("./Results/DLO\20200401_1.3.12.2.1107.5.1.4.65253.30000020042119430083000014117_3_512_512_\Osteo_Sarco_1.png","RPT")</f>
        <v>RPT</v>
      </c>
      <c r="G25" s="3">
        <v>118</v>
      </c>
      <c r="H25" s="3"/>
    </row>
    <row r="26" spans="1:8" x14ac:dyDescent="0.3">
      <c r="A26" s="2">
        <v>539318</v>
      </c>
      <c r="B26" s="2">
        <v>75</v>
      </c>
      <c r="C26" s="2" t="s">
        <v>6</v>
      </c>
      <c r="D26" s="2">
        <v>100</v>
      </c>
      <c r="E26" s="2"/>
      <c r="F26" s="4" t="str">
        <f>HYPERLINK("./Results/DLO\20200401_1.3.12.2.1107.5.1.4.65253.30000020042119430083000013970_2_512_512_\Osteo_Sarco_1.png","RPT")</f>
        <v>RPT</v>
      </c>
      <c r="G26" s="3">
        <v>115</v>
      </c>
      <c r="H26" s="3"/>
    </row>
    <row r="27" spans="1:8" x14ac:dyDescent="0.3">
      <c r="A27" s="2">
        <v>544600</v>
      </c>
      <c r="B27" s="2">
        <v>77</v>
      </c>
      <c r="C27" s="2" t="s">
        <v>5</v>
      </c>
      <c r="D27" s="2">
        <v>100</v>
      </c>
      <c r="E27" s="2"/>
      <c r="F27" s="4" t="str">
        <f>HYPERLINK("./Results/DLO\20180801_1.3.12.2.1107.5.1.4.65253.30000018080918545438200054832_2_512_512_\Osteo_Sarco_1.png","RPT")</f>
        <v>RPT</v>
      </c>
      <c r="G27" s="3">
        <v>182</v>
      </c>
      <c r="H27" s="3"/>
    </row>
    <row r="28" spans="1:8" x14ac:dyDescent="0.3">
      <c r="A28" s="2">
        <v>544600</v>
      </c>
      <c r="B28" s="2">
        <v>77</v>
      </c>
      <c r="C28" s="2" t="s">
        <v>5</v>
      </c>
      <c r="D28" s="2">
        <v>100</v>
      </c>
      <c r="E28" s="2"/>
      <c r="F28" s="4" t="str">
        <f>HYPERLINK("./Results/DLO\20180801_1.3.12.2.1107.5.1.4.65253.30000018080918545438200055531_3_512_512_\Osteo_Sarco_1.png","RPT")</f>
        <v>RPT</v>
      </c>
      <c r="G28" s="3">
        <v>182</v>
      </c>
      <c r="H28" s="3"/>
    </row>
    <row r="29" spans="1:8" x14ac:dyDescent="0.3">
      <c r="A29" s="2">
        <v>555291</v>
      </c>
      <c r="B29" s="2">
        <v>48</v>
      </c>
      <c r="C29" s="2" t="s">
        <v>5</v>
      </c>
      <c r="D29" s="2">
        <v>100</v>
      </c>
      <c r="E29" s="2"/>
      <c r="F29" s="4" t="str">
        <f>HYPERLINK("./Results/DLO\20190201_1.3.46.670589.33.1.63686001527769742000001.5721864562243445890_301_512_512_\Osteo_Sarco_1.png","RPT")</f>
        <v>RPT</v>
      </c>
      <c r="G29" s="3">
        <v>170</v>
      </c>
      <c r="H29" s="3"/>
    </row>
    <row r="30" spans="1:8" x14ac:dyDescent="0.3">
      <c r="A30" s="2">
        <v>555291</v>
      </c>
      <c r="B30" s="2">
        <v>48</v>
      </c>
      <c r="C30" s="2" t="s">
        <v>5</v>
      </c>
      <c r="D30" s="2">
        <v>100</v>
      </c>
      <c r="E30" s="2"/>
      <c r="F30" s="4" t="str">
        <f>HYPERLINK("./Results/DLO\20190201_1.3.46.670589.33.1.63686001402227561400001.4967443661917989722_201_512_512_\Osteo_Sarco_1.png","RPT")</f>
        <v>RPT</v>
      </c>
      <c r="G30" s="3">
        <v>169</v>
      </c>
      <c r="H30" s="3"/>
    </row>
    <row r="31" spans="1:8" x14ac:dyDescent="0.3">
      <c r="A31" s="2">
        <v>580790</v>
      </c>
      <c r="B31" s="2">
        <v>56</v>
      </c>
      <c r="C31" s="2" t="s">
        <v>6</v>
      </c>
      <c r="D31" s="2">
        <v>100</v>
      </c>
      <c r="E31" s="2"/>
      <c r="F31" s="4" t="str">
        <f>HYPERLINK("./Results/DLO\20191201_1.2.840.113619.2.416.213069094443892945780647116642919061498_311_512_512_\Osteo_Sarco_1.png","RPT")</f>
        <v>RPT</v>
      </c>
      <c r="G31" s="3">
        <v>106</v>
      </c>
      <c r="H31" s="3"/>
    </row>
    <row r="32" spans="1:8" x14ac:dyDescent="0.3">
      <c r="A32" s="2">
        <v>580790</v>
      </c>
      <c r="B32" s="2">
        <v>56</v>
      </c>
      <c r="C32" s="2" t="s">
        <v>6</v>
      </c>
      <c r="D32" s="2">
        <v>100</v>
      </c>
      <c r="E32" s="2"/>
      <c r="F32" s="4" t="str">
        <f>HYPERLINK("./Results/DLO\20191201_1.2.840.113619.2.416.277852033377252806859297204265564549273_302_512_512_\Osteo_Sarco_1.png","RPT")</f>
        <v>RPT</v>
      </c>
      <c r="G32" s="3">
        <v>99</v>
      </c>
      <c r="H32" s="3"/>
    </row>
    <row r="33" spans="1:8" x14ac:dyDescent="0.3">
      <c r="A33" s="2">
        <v>617712</v>
      </c>
      <c r="B33" s="2">
        <v>64</v>
      </c>
      <c r="C33" s="2" t="s">
        <v>5</v>
      </c>
      <c r="D33" s="2">
        <v>100</v>
      </c>
      <c r="E33" s="2"/>
      <c r="F33" s="4" t="str">
        <f>HYPERLINK("./Results/DLO\20180101_1.3.12.2.1107.5.1.4.65253.30000018011021170500300005697_2_512_512_\Osteo_Sarco_1.png","RPT")</f>
        <v>RPT</v>
      </c>
      <c r="G33" s="3">
        <v>166</v>
      </c>
      <c r="H33" s="3"/>
    </row>
    <row r="34" spans="1:8" x14ac:dyDescent="0.3">
      <c r="A34" s="2">
        <v>661644</v>
      </c>
      <c r="B34" s="2">
        <v>73</v>
      </c>
      <c r="C34" s="2" t="s">
        <v>6</v>
      </c>
      <c r="D34" s="2">
        <v>100</v>
      </c>
      <c r="E34" s="2"/>
      <c r="F34" s="4" t="str">
        <f>HYPERLINK("./Results/DLO\20180801_1.2.840.113619.2.311.304423198358690264546115946329690425877_304_512_512_\Osteo_Sarco_1.png","RPT")</f>
        <v>RPT</v>
      </c>
      <c r="G34" s="3">
        <v>106</v>
      </c>
      <c r="H34" s="3"/>
    </row>
    <row r="35" spans="1:8" x14ac:dyDescent="0.3">
      <c r="A35" s="2">
        <v>671458</v>
      </c>
      <c r="B35" s="2">
        <v>59</v>
      </c>
      <c r="C35" s="2" t="s">
        <v>6</v>
      </c>
      <c r="D35" s="2">
        <v>100</v>
      </c>
      <c r="E35" s="2"/>
      <c r="F35" s="4" t="str">
        <f>HYPERLINK("./Results/DLO\20200301_1.2.840.113619.2.416.168566396275768113841710760840174871078_310_512_512_\Osteo_Sarco_1.png","RPT")</f>
        <v>RPT</v>
      </c>
      <c r="G35" s="3">
        <v>130</v>
      </c>
      <c r="H35" s="3"/>
    </row>
    <row r="36" spans="1:8" x14ac:dyDescent="0.3">
      <c r="A36" s="2">
        <v>689169</v>
      </c>
      <c r="B36" s="2">
        <v>60</v>
      </c>
      <c r="C36" s="2" t="s">
        <v>6</v>
      </c>
      <c r="D36" s="2">
        <v>100</v>
      </c>
      <c r="E36" s="2"/>
      <c r="F36" s="4" t="str">
        <f>HYPERLINK("./Results/DLO\20200601_1.3.12.2.1107.5.1.4.54310.30000020053121250062500084213_7_512_512_\Osteo_Sarco_1.png","RPT")</f>
        <v>RPT</v>
      </c>
      <c r="G36" s="3">
        <v>87</v>
      </c>
      <c r="H36" s="3"/>
    </row>
    <row r="37" spans="1:8" x14ac:dyDescent="0.3">
      <c r="A37" s="2">
        <v>723671</v>
      </c>
      <c r="B37" s="2">
        <v>54</v>
      </c>
      <c r="C37" s="2" t="s">
        <v>6</v>
      </c>
      <c r="D37" s="2">
        <v>100</v>
      </c>
      <c r="E37" s="2"/>
      <c r="F37" s="4" t="str">
        <f>HYPERLINK("./Results/DLO\20181201_1.2.840.113619.2.416.4887534510279740699704757425488857777_303_512_512_\Osteo_Sarco_1.png","RPT")</f>
        <v>RPT</v>
      </c>
      <c r="G37" s="3">
        <v>108</v>
      </c>
      <c r="H37" s="3"/>
    </row>
    <row r="38" spans="1:8" x14ac:dyDescent="0.3">
      <c r="A38" s="2">
        <v>727292</v>
      </c>
      <c r="B38" s="2">
        <v>44</v>
      </c>
      <c r="C38" s="2" t="s">
        <v>6</v>
      </c>
      <c r="D38" s="2">
        <v>140</v>
      </c>
      <c r="E38" s="2"/>
      <c r="F38" s="4" t="str">
        <f>HYPERLINK("./Results/DLO\20180701_1.2.840.113619.2.416.128595790547710783913533644444804525432_303_512_512_\Osteo_Sarco_1.png","RPT")</f>
        <v>RPT</v>
      </c>
      <c r="G38" s="3">
        <v>117</v>
      </c>
      <c r="H38" s="3"/>
    </row>
    <row r="39" spans="1:8" x14ac:dyDescent="0.3">
      <c r="A39" s="2">
        <v>727292</v>
      </c>
      <c r="B39" s="2">
        <v>44</v>
      </c>
      <c r="C39" s="2" t="s">
        <v>6</v>
      </c>
      <c r="D39" s="2">
        <v>140</v>
      </c>
      <c r="E39" s="2"/>
      <c r="F39" s="4" t="str">
        <f>HYPERLINK("./Results/DLO\20180701_1.2.840.113619.2.416.137314905972645445399429430120065754487_302_512_512_\Osteo_Sarco_1.png","RPT")</f>
        <v>RPT</v>
      </c>
      <c r="G39" s="3">
        <v>115</v>
      </c>
      <c r="H39" s="3"/>
    </row>
    <row r="40" spans="1:8" x14ac:dyDescent="0.3">
      <c r="A40" s="2">
        <v>743398</v>
      </c>
      <c r="B40" s="2">
        <v>65</v>
      </c>
      <c r="C40" s="2" t="s">
        <v>5</v>
      </c>
      <c r="D40" s="2">
        <v>100</v>
      </c>
      <c r="E40" s="2"/>
      <c r="F40" s="4" t="str">
        <f>HYPERLINK("./Results/DLO\20180401_1.3.12.2.1107.5.1.4.54310.30000018042323250732800000127_2_512_512_\Osteo_Sarco_1.png","RPT")</f>
        <v>RPT</v>
      </c>
      <c r="G40" s="3">
        <v>117</v>
      </c>
      <c r="H40" s="3"/>
    </row>
    <row r="41" spans="1:8" x14ac:dyDescent="0.3">
      <c r="A41" s="2">
        <v>744167</v>
      </c>
      <c r="B41" s="2">
        <v>79</v>
      </c>
      <c r="C41" s="2" t="s">
        <v>5</v>
      </c>
      <c r="D41" s="2">
        <v>100</v>
      </c>
      <c r="E41" s="2"/>
      <c r="F41" s="4" t="str">
        <f>HYPERLINK("./Results/DLO\20191201_1.3.12.2.1107.5.1.4.65253.30000019121021080330100034162_2_512_512_\Osteo_Sarco_1.png","RPT")</f>
        <v>RPT</v>
      </c>
      <c r="G41" s="3">
        <v>76</v>
      </c>
      <c r="H41" s="3"/>
    </row>
    <row r="42" spans="1:8" x14ac:dyDescent="0.3">
      <c r="A42" s="2">
        <v>801577</v>
      </c>
      <c r="B42" s="2">
        <v>84</v>
      </c>
      <c r="C42" s="2" t="s">
        <v>6</v>
      </c>
      <c r="D42" s="2">
        <v>100</v>
      </c>
      <c r="E42" s="2"/>
      <c r="F42" s="4" t="str">
        <f>HYPERLINK("./Results/DLO\20181001_1.3.12.2.1107.5.1.4.65253.30000018100823095637100001938_3_512_512_\Osteo_Sarco_1.png","RPT")</f>
        <v>RPT</v>
      </c>
      <c r="G42" s="3">
        <v>99</v>
      </c>
      <c r="H42" s="3"/>
    </row>
    <row r="43" spans="1:8" x14ac:dyDescent="0.3">
      <c r="A43" s="2">
        <v>801577</v>
      </c>
      <c r="B43" s="2">
        <v>84</v>
      </c>
      <c r="C43" s="2" t="s">
        <v>6</v>
      </c>
      <c r="D43" s="2">
        <v>100</v>
      </c>
      <c r="E43" s="2"/>
      <c r="F43" s="4" t="str">
        <f>HYPERLINK("./Results/DLO\20181001_1.3.12.2.1107.5.1.4.65253.30000018100818173011100033690_2_512_512_\Osteo_Sarco_1.png","RPT")</f>
        <v>RPT</v>
      </c>
      <c r="G43" s="3">
        <v>98</v>
      </c>
      <c r="H43" s="3"/>
    </row>
    <row r="44" spans="1:8" x14ac:dyDescent="0.3">
      <c r="A44" s="2">
        <v>815427</v>
      </c>
      <c r="B44" s="2">
        <v>46</v>
      </c>
      <c r="C44" s="2" t="s">
        <v>5</v>
      </c>
      <c r="D44" s="2">
        <v>100</v>
      </c>
      <c r="E44" s="2"/>
      <c r="F44" s="4" t="str">
        <f>HYPERLINK("./Results/DLO\20191201_1.3.12.2.1107.5.1.4.54310.30000019120522423939000049706_4_512_512_\Osteo_Sarco_1.png","RPT")</f>
        <v>RPT</v>
      </c>
      <c r="G44" s="3">
        <v>201</v>
      </c>
      <c r="H44" s="3"/>
    </row>
    <row r="45" spans="1:8" x14ac:dyDescent="0.3">
      <c r="A45" s="2">
        <v>815427</v>
      </c>
      <c r="B45" s="2">
        <v>46</v>
      </c>
      <c r="C45" s="2" t="s">
        <v>5</v>
      </c>
      <c r="D45" s="2">
        <v>100</v>
      </c>
      <c r="E45" s="2"/>
      <c r="F45" s="4" t="str">
        <f>HYPERLINK("./Results/DLO\20191201_1.3.12.2.1107.5.1.4.54310.30000019120522423939000050112_6_512_512_\Osteo_Sarco_1.png","RPT")</f>
        <v>RPT</v>
      </c>
      <c r="G45" s="3">
        <v>201</v>
      </c>
      <c r="H45" s="3"/>
    </row>
    <row r="46" spans="1:8" x14ac:dyDescent="0.3">
      <c r="A46" s="2">
        <v>820691</v>
      </c>
      <c r="B46" s="2">
        <v>48</v>
      </c>
      <c r="C46" s="2" t="s">
        <v>6</v>
      </c>
      <c r="D46" s="2">
        <v>100</v>
      </c>
      <c r="E46" s="2"/>
      <c r="F46" s="4" t="str">
        <f>HYPERLINK("./Results/DLO\20180701_1.3.12.2.1107.5.1.4.54310.30000018071823254187500026246_2_512_512_\Osteo_Sarco_1.png","RPT")</f>
        <v>RPT</v>
      </c>
      <c r="G46" s="3">
        <v>104</v>
      </c>
      <c r="H46" s="3"/>
    </row>
    <row r="47" spans="1:8" x14ac:dyDescent="0.3">
      <c r="A47" s="2">
        <v>820691</v>
      </c>
      <c r="B47" s="2">
        <v>48</v>
      </c>
      <c r="C47" s="2" t="s">
        <v>6</v>
      </c>
      <c r="D47" s="2">
        <v>120</v>
      </c>
      <c r="E47" s="2"/>
      <c r="F47" s="4" t="str">
        <f>HYPERLINK("./Results/DLO\20180701_1.3.12.2.1107.5.1.4.54310.30000018071823254187500026330_5_512_512_\Osteo_Sarco_1.png","RPT")</f>
        <v>RPT</v>
      </c>
      <c r="G47" s="3">
        <v>103</v>
      </c>
      <c r="H47" s="3"/>
    </row>
    <row r="48" spans="1:8" x14ac:dyDescent="0.3">
      <c r="A48" s="2">
        <v>820691</v>
      </c>
      <c r="B48" s="2">
        <v>48</v>
      </c>
      <c r="C48" s="2" t="s">
        <v>6</v>
      </c>
      <c r="D48" s="2">
        <v>120</v>
      </c>
      <c r="E48" s="2"/>
      <c r="F48" s="4" t="str">
        <f>HYPERLINK("./Results/DLO\20180701_1.3.12.2.1107.5.1.4.54310.30000018071823254187500026663_7_512_512_\Osteo_Sarco_1.png","RPT")</f>
        <v>RPT</v>
      </c>
      <c r="G48" s="3">
        <v>103</v>
      </c>
      <c r="H48" s="3"/>
    </row>
    <row r="49" spans="1:8" x14ac:dyDescent="0.3">
      <c r="A49" s="2">
        <v>820691</v>
      </c>
      <c r="B49" s="2">
        <v>48</v>
      </c>
      <c r="C49" s="2" t="s">
        <v>6</v>
      </c>
      <c r="D49" s="2">
        <v>120</v>
      </c>
      <c r="E49" s="2"/>
      <c r="F49" s="4" t="str">
        <f>HYPERLINK("./Results/DLO\20180701_1.3.12.2.1107.5.1.4.54310.30000018071823254187500026902_9_512_512_\Osteo_Sarco_1.png","RPT")</f>
        <v>RPT</v>
      </c>
      <c r="G49" s="3">
        <v>103</v>
      </c>
      <c r="H49" s="3"/>
    </row>
    <row r="50" spans="1:8" x14ac:dyDescent="0.3">
      <c r="A50" s="2">
        <v>836829</v>
      </c>
      <c r="B50" s="2">
        <v>68</v>
      </c>
      <c r="C50" s="2" t="s">
        <v>5</v>
      </c>
      <c r="D50" s="2">
        <v>140</v>
      </c>
      <c r="E50" s="2"/>
      <c r="F50" s="4" t="str">
        <f>HYPERLINK("./Results/DLO\20190901_1.2.840.113619.2.416.322714337266270846420972776615993333841_303_512_512_\Osteo_Sarco_1.png","RPT")</f>
        <v>RPT</v>
      </c>
      <c r="G50" s="3">
        <v>137</v>
      </c>
      <c r="H50" s="3"/>
    </row>
    <row r="51" spans="1:8" x14ac:dyDescent="0.3">
      <c r="A51" s="2">
        <v>836829</v>
      </c>
      <c r="B51" s="2">
        <v>68</v>
      </c>
      <c r="C51" s="2" t="s">
        <v>5</v>
      </c>
      <c r="D51" s="2">
        <v>140</v>
      </c>
      <c r="E51" s="2"/>
      <c r="F51" s="4" t="str">
        <f>HYPERLINK("./Results/DLO\20190901_1.2.840.113619.2.416.97891859084305227895290245067798037388_302_512_512_\Osteo_Sarco_1.png","RPT")</f>
        <v>RPT</v>
      </c>
      <c r="G51" s="3">
        <v>136</v>
      </c>
      <c r="H51" s="3"/>
    </row>
    <row r="52" spans="1:8" x14ac:dyDescent="0.3">
      <c r="A52" s="2">
        <v>864318</v>
      </c>
      <c r="B52" s="2">
        <v>68</v>
      </c>
      <c r="C52" s="2" t="s">
        <v>6</v>
      </c>
      <c r="D52" s="2">
        <v>100</v>
      </c>
      <c r="E52" s="2"/>
      <c r="F52" s="4" t="str">
        <f>HYPERLINK("./Results/DLO\20180101_1.3.12.2.1107.5.1.4.54310.30000018012523071743700029113_4_512_512_\Osteo_Sarco_1.png","RPT")</f>
        <v>RPT</v>
      </c>
      <c r="G52" s="3">
        <v>95</v>
      </c>
      <c r="H52" s="3"/>
    </row>
    <row r="53" spans="1:8" x14ac:dyDescent="0.3">
      <c r="A53" s="2">
        <v>864318</v>
      </c>
      <c r="B53" s="2">
        <v>68</v>
      </c>
      <c r="C53" s="2" t="s">
        <v>6</v>
      </c>
      <c r="D53" s="2">
        <v>100</v>
      </c>
      <c r="E53" s="2"/>
      <c r="F53" s="4" t="str">
        <f>HYPERLINK("./Results/DLO\20180101_1.3.12.2.1107.5.1.4.54310.30000018012523071743700028954_3_512_512_\Osteo_Sarco_1.png","RPT")</f>
        <v>RPT</v>
      </c>
      <c r="G53" s="3">
        <v>93</v>
      </c>
      <c r="H53" s="3"/>
    </row>
    <row r="54" spans="1:8" x14ac:dyDescent="0.3">
      <c r="A54" s="2">
        <v>871616</v>
      </c>
      <c r="B54" s="2">
        <v>52</v>
      </c>
      <c r="C54" s="2" t="s">
        <v>6</v>
      </c>
      <c r="D54" s="2">
        <v>100</v>
      </c>
      <c r="E54" s="2"/>
      <c r="F54" s="4" t="str">
        <f>HYPERLINK("./Results/DLO\20180601_1.2.840.113619.2.311.265122332287572161690888036432596278967_304_512_512_\Osteo_Sarco_1.png","RPT")</f>
        <v>RPT</v>
      </c>
      <c r="G54" s="3">
        <v>100</v>
      </c>
      <c r="H54" s="3"/>
    </row>
    <row r="55" spans="1:8" x14ac:dyDescent="0.3">
      <c r="A55" s="2">
        <v>904591</v>
      </c>
      <c r="B55" s="2">
        <v>70</v>
      </c>
      <c r="C55" s="2" t="s">
        <v>6</v>
      </c>
      <c r="D55" s="2">
        <v>100</v>
      </c>
      <c r="E55" s="2"/>
      <c r="F55" s="4" t="str">
        <f>HYPERLINK("./Results/DLO\20190501_1.3.12.2.1107.5.1.4.54310.30000019051521013667100064058_2_512_512_\Osteo_Sarco_1.png","RPT")</f>
        <v>RPT</v>
      </c>
      <c r="G55" s="3">
        <v>62</v>
      </c>
      <c r="H55" s="3"/>
    </row>
    <row r="56" spans="1:8" x14ac:dyDescent="0.3">
      <c r="A56" s="2">
        <v>970646</v>
      </c>
      <c r="B56" s="2">
        <v>39</v>
      </c>
      <c r="C56" s="2" t="s">
        <v>5</v>
      </c>
      <c r="D56" s="2">
        <v>100</v>
      </c>
      <c r="E56" s="2"/>
      <c r="F56" s="4" t="str">
        <f>HYPERLINK("./Results/DLO\20180701_1.3.12.2.1107.5.1.4.65253.30000018071916364286400010586_2_512_512_\Osteo_Sarco_1.png","RPT")</f>
        <v>RPT</v>
      </c>
      <c r="G56" s="3">
        <v>189</v>
      </c>
      <c r="H56" s="3"/>
    </row>
    <row r="57" spans="1:8" x14ac:dyDescent="0.3">
      <c r="A57" s="2">
        <v>970646</v>
      </c>
      <c r="B57" s="2">
        <v>39</v>
      </c>
      <c r="C57" s="2" t="s">
        <v>5</v>
      </c>
      <c r="D57" s="2">
        <v>100</v>
      </c>
      <c r="E57" s="2"/>
      <c r="F57" s="4" t="str">
        <f>HYPERLINK("./Results/DLO\20180701_1.3.12.2.1107.5.1.4.65253.30000018071916364286400010738_3_512_512_\Osteo_Sarco_1.png","RPT")</f>
        <v>RPT</v>
      </c>
      <c r="G57" s="3">
        <v>189</v>
      </c>
      <c r="H57" s="3"/>
    </row>
    <row r="58" spans="1:8" x14ac:dyDescent="0.3">
      <c r="A58" s="2">
        <v>1003064</v>
      </c>
      <c r="B58" s="2">
        <v>55</v>
      </c>
      <c r="C58" s="2" t="s">
        <v>6</v>
      </c>
      <c r="D58" s="2">
        <v>100</v>
      </c>
      <c r="E58" s="2"/>
      <c r="F58" s="4" t="str">
        <f>HYPERLINK("./Results/DLO\20190301_1.2.840.113619.2.416.222046030437918032467119324062661404155_304_512_512_\Osteo_Sarco_1.png","RPT")</f>
        <v>RPT</v>
      </c>
      <c r="G58" s="3">
        <v>111</v>
      </c>
      <c r="H58" s="3"/>
    </row>
    <row r="59" spans="1:8" x14ac:dyDescent="0.3">
      <c r="A59" s="2">
        <v>1016097</v>
      </c>
      <c r="B59" s="2">
        <v>68</v>
      </c>
      <c r="C59" s="2" t="s">
        <v>6</v>
      </c>
      <c r="D59" s="2">
        <v>100</v>
      </c>
      <c r="E59" s="2"/>
      <c r="F59" s="4" t="str">
        <f>HYPERLINK("./Results/DLO\20181001_1.3.12.2.1107.5.1.4.65253.30000018101713372436400044439_3_512_512_\Osteo_Sarco_1.png","RPT")</f>
        <v>RPT</v>
      </c>
      <c r="G59" s="3">
        <v>90</v>
      </c>
      <c r="H59" s="3"/>
    </row>
    <row r="60" spans="1:8" x14ac:dyDescent="0.3">
      <c r="A60" s="2">
        <v>1016097</v>
      </c>
      <c r="B60" s="2">
        <v>68</v>
      </c>
      <c r="C60" s="2" t="s">
        <v>6</v>
      </c>
      <c r="D60" s="2">
        <v>100</v>
      </c>
      <c r="E60" s="2"/>
      <c r="F60" s="4" t="str">
        <f>HYPERLINK("./Results/DLO\20181001_1.3.12.2.1107.5.1.4.65253.30000018101713372436400044307_2_512_512_\Osteo_Sarco_1.png","RPT")</f>
        <v>RPT</v>
      </c>
      <c r="G60" s="3">
        <v>81</v>
      </c>
      <c r="H60" s="3"/>
    </row>
    <row r="61" spans="1:8" x14ac:dyDescent="0.3">
      <c r="A61" s="2">
        <v>1033192</v>
      </c>
      <c r="B61" s="2">
        <v>49</v>
      </c>
      <c r="C61" s="2" t="s">
        <v>6</v>
      </c>
      <c r="D61" s="2">
        <v>100</v>
      </c>
      <c r="E61" s="2"/>
      <c r="F61" s="4" t="str">
        <f>HYPERLINK("./Results/DLO\20191001_1.3.46.670589.33.1.63707938605966193000001.4793164987433411828_201_512_512_\Osteo_Sarco_1.png","RPT")</f>
        <v>RPT</v>
      </c>
      <c r="G61" s="3">
        <v>98</v>
      </c>
      <c r="H61" s="3"/>
    </row>
    <row r="62" spans="1:8" x14ac:dyDescent="0.3">
      <c r="A62" s="2">
        <v>1090869</v>
      </c>
      <c r="B62" s="2">
        <v>71</v>
      </c>
      <c r="C62" s="2" t="s">
        <v>6</v>
      </c>
      <c r="D62" s="2">
        <v>120</v>
      </c>
      <c r="E62" s="2"/>
      <c r="F62" s="4" t="str">
        <f>HYPERLINK("./Results/DLO\20190601_1.2.410.100011.172.16.64.21.6369757485590532442.6_6_512_512_\Osteo_Sarco_1.png","RPT")</f>
        <v>RPT</v>
      </c>
      <c r="G62" s="3">
        <v>129</v>
      </c>
      <c r="H62" s="3"/>
    </row>
    <row r="63" spans="1:8" x14ac:dyDescent="0.3">
      <c r="A63" s="2">
        <v>1090869</v>
      </c>
      <c r="B63" s="2">
        <v>71</v>
      </c>
      <c r="C63" s="2" t="s">
        <v>6</v>
      </c>
      <c r="D63" s="2">
        <v>120</v>
      </c>
      <c r="E63" s="2"/>
      <c r="F63" s="4" t="str">
        <f>HYPERLINK("./Results/DLO\20190601_1.2.410.100011.172.16.64.21.6369757485590532442.5_5_512_512_\Osteo_Sarco_1.png","RPT")</f>
        <v>RPT</v>
      </c>
      <c r="G63" s="3">
        <v>117</v>
      </c>
      <c r="H63" s="3"/>
    </row>
    <row r="64" spans="1:8" x14ac:dyDescent="0.3">
      <c r="A64" s="2">
        <v>1090869</v>
      </c>
      <c r="B64" s="2">
        <v>71</v>
      </c>
      <c r="C64" s="2" t="s">
        <v>6</v>
      </c>
      <c r="D64" s="2">
        <v>120</v>
      </c>
      <c r="E64" s="2"/>
      <c r="F64" s="4" t="str">
        <f>HYPERLINK("./Results/DLO\20190601_1.2.410.100011.172.16.64.21.6369757485590532442.4_4_512_512_\Osteo_Sarco_1.png","RPT")</f>
        <v>RPT</v>
      </c>
      <c r="G64" s="3">
        <v>116</v>
      </c>
      <c r="H64" s="3"/>
    </row>
    <row r="65" spans="1:8" x14ac:dyDescent="0.3">
      <c r="A65" s="2">
        <v>1090869</v>
      </c>
      <c r="B65" s="2">
        <v>71</v>
      </c>
      <c r="C65" s="2" t="s">
        <v>6</v>
      </c>
      <c r="D65" s="2">
        <v>120</v>
      </c>
      <c r="E65" s="2"/>
      <c r="F65" s="4" t="str">
        <f>HYPERLINK("./Results/DLO\20190601_1.2.410.100011.172.16.64.21.6369757485590532442.2_2_512_512_\Osteo_Sarco_1.png","RPT")</f>
        <v>RPT</v>
      </c>
      <c r="G65" s="3">
        <v>115</v>
      </c>
      <c r="H65" s="3"/>
    </row>
    <row r="66" spans="1:8" x14ac:dyDescent="0.3">
      <c r="A66" s="2">
        <v>1107944</v>
      </c>
      <c r="B66" s="2">
        <v>67</v>
      </c>
      <c r="C66" s="2" t="s">
        <v>6</v>
      </c>
      <c r="D66" s="2">
        <v>100</v>
      </c>
      <c r="E66" s="2"/>
      <c r="F66" s="4" t="str">
        <f>HYPERLINK("./Results/DLO\20190201_1.3.46.670589.33.1.63686769815561759700001.5473070092519277682_201_512_512_\Osteo_Sarco_1.png","RPT")</f>
        <v>RPT</v>
      </c>
      <c r="G66" s="3">
        <v>104</v>
      </c>
      <c r="H66" s="3"/>
    </row>
    <row r="67" spans="1:8" x14ac:dyDescent="0.3">
      <c r="A67" s="2">
        <v>1109042</v>
      </c>
      <c r="B67" s="2">
        <v>58</v>
      </c>
      <c r="C67" s="2" t="s">
        <v>5</v>
      </c>
      <c r="D67" s="2">
        <v>120</v>
      </c>
      <c r="E67" s="2"/>
      <c r="F67" s="4" t="str">
        <f>HYPERLINK("./Results/DLO\20180901_1.3.12.2.1107.5.1.4.55018.30000018090723465100000036299_4_512_512_\Osteo_Sarco_1.png","RPT")</f>
        <v>RPT</v>
      </c>
      <c r="G67" s="3">
        <v>156</v>
      </c>
      <c r="H67" s="3"/>
    </row>
    <row r="68" spans="1:8" x14ac:dyDescent="0.3">
      <c r="A68" s="2">
        <v>1109042</v>
      </c>
      <c r="B68" s="2">
        <v>58</v>
      </c>
      <c r="C68" s="2" t="s">
        <v>5</v>
      </c>
      <c r="D68" s="2">
        <v>120</v>
      </c>
      <c r="E68" s="2"/>
      <c r="F68" s="4" t="str">
        <f>HYPERLINK("./Results/DLO\20180901_1.3.12.2.1107.5.1.4.55018.30000018090723465100000036473_5_512_512_\Osteo_Sarco_1.png","RPT")</f>
        <v>RPT</v>
      </c>
      <c r="G68" s="3">
        <v>156</v>
      </c>
      <c r="H68" s="3"/>
    </row>
    <row r="69" spans="1:8" x14ac:dyDescent="0.3">
      <c r="A69" s="2">
        <v>1109042</v>
      </c>
      <c r="B69" s="2">
        <v>58</v>
      </c>
      <c r="C69" s="2" t="s">
        <v>5</v>
      </c>
      <c r="D69" s="2">
        <v>120</v>
      </c>
      <c r="E69" s="2"/>
      <c r="F69" s="4" t="str">
        <f>HYPERLINK("./Results/DLO\20180901_1.3.12.2.1107.5.1.4.55018.30000018090723465100000036559_6_512_512_\Osteo_Sarco_1.png","RPT")</f>
        <v>RPT</v>
      </c>
      <c r="G69" s="3">
        <v>156</v>
      </c>
      <c r="H69" s="3"/>
    </row>
    <row r="70" spans="1:8" x14ac:dyDescent="0.3">
      <c r="A70" s="2">
        <v>1109042</v>
      </c>
      <c r="B70" s="2">
        <v>58</v>
      </c>
      <c r="C70" s="2" t="s">
        <v>5</v>
      </c>
      <c r="D70" s="2">
        <v>120</v>
      </c>
      <c r="E70" s="2"/>
      <c r="F70" s="4" t="str">
        <f>HYPERLINK("./Results/DLO\20180901_1.3.12.2.1107.5.1.4.55018.30000018090723465100000037251_8_512_512_\Osteo_Sarco_1.png","RPT")</f>
        <v>RPT</v>
      </c>
      <c r="G70" s="3">
        <v>155</v>
      </c>
      <c r="H70" s="3"/>
    </row>
    <row r="71" spans="1:8" x14ac:dyDescent="0.3">
      <c r="A71" s="2">
        <v>1134913</v>
      </c>
      <c r="B71" s="2">
        <v>42</v>
      </c>
      <c r="C71" s="2" t="s">
        <v>5</v>
      </c>
      <c r="D71" s="2">
        <v>140</v>
      </c>
      <c r="E71" s="2"/>
      <c r="F71" s="4" t="str">
        <f>HYPERLINK("./Results/DLO\20190201_1.2.840.113619.2.416.154499492672317111412067866715226987326_306_512_512_\Osteo_Sarco_1.png","RPT")</f>
        <v>RPT</v>
      </c>
      <c r="G71" s="3">
        <v>165</v>
      </c>
      <c r="H71" s="3"/>
    </row>
    <row r="72" spans="1:8" x14ac:dyDescent="0.3">
      <c r="A72" s="2">
        <v>1134913</v>
      </c>
      <c r="B72" s="2">
        <v>42</v>
      </c>
      <c r="C72" s="2" t="s">
        <v>5</v>
      </c>
      <c r="D72" s="2">
        <v>140</v>
      </c>
      <c r="E72" s="2"/>
      <c r="F72" s="4" t="str">
        <f>HYPERLINK("./Results/DLO\20190201_1.2.840.113619.2.416.155582081286078388281178806906137808978_301_512_512_\Osteo_Sarco_1.png","RPT")</f>
        <v>RPT</v>
      </c>
      <c r="G72" s="3">
        <v>161</v>
      </c>
      <c r="H72" s="3"/>
    </row>
    <row r="73" spans="1:8" x14ac:dyDescent="0.3">
      <c r="A73" s="2">
        <v>1134913</v>
      </c>
      <c r="B73" s="2">
        <v>42</v>
      </c>
      <c r="C73" s="2" t="s">
        <v>5</v>
      </c>
      <c r="D73" s="2">
        <v>140</v>
      </c>
      <c r="E73" s="2"/>
      <c r="F73" s="4" t="str">
        <f>HYPERLINK("./Results/DLO\20190201_1.2.840.113619.2.416.180646131784510435515969708032331988536_2_512_512_\Osteo_Sarco_1.png","RPT")</f>
        <v>RPT</v>
      </c>
      <c r="G73" s="3">
        <v>160</v>
      </c>
      <c r="H73" s="3"/>
    </row>
    <row r="74" spans="1:8" x14ac:dyDescent="0.3">
      <c r="A74" s="2">
        <v>1134913</v>
      </c>
      <c r="B74" s="2">
        <v>42</v>
      </c>
      <c r="C74" s="2" t="s">
        <v>5</v>
      </c>
      <c r="D74" s="2">
        <v>140</v>
      </c>
      <c r="E74" s="2"/>
      <c r="F74" s="4" t="str">
        <f>HYPERLINK("./Results/DLO\20190201_1.2.840.113619.2.416.320803681114855465465705841845273525821_303_512_512_\Osteo_Sarco_1.png","RPT")</f>
        <v>RPT</v>
      </c>
      <c r="G74" s="3">
        <v>160</v>
      </c>
      <c r="H74" s="3"/>
    </row>
    <row r="75" spans="1:8" x14ac:dyDescent="0.3">
      <c r="A75" s="2">
        <v>1146907</v>
      </c>
      <c r="B75" s="2">
        <v>40</v>
      </c>
      <c r="C75" s="2" t="s">
        <v>6</v>
      </c>
      <c r="D75" s="2">
        <v>100</v>
      </c>
      <c r="E75" s="2"/>
      <c r="F75" s="4" t="str">
        <f>HYPERLINK("./Results/DLO\20180601_1.2.840.113619.2.416.1105822604560446660898534615427058006_304_512_512_\Osteo_Sarco_1.png","RPT")</f>
        <v>RPT</v>
      </c>
      <c r="G75" s="3">
        <v>101</v>
      </c>
      <c r="H75" s="3"/>
    </row>
    <row r="76" spans="1:8" x14ac:dyDescent="0.3">
      <c r="A76" s="2">
        <v>1154785</v>
      </c>
      <c r="B76" s="2">
        <v>55</v>
      </c>
      <c r="C76" s="2" t="s">
        <v>5</v>
      </c>
      <c r="D76" s="2">
        <v>140</v>
      </c>
      <c r="E76" s="2"/>
      <c r="F76" s="4" t="str">
        <f>HYPERLINK("./Results/DLO\20190401_1.2.840.113619.2.416.246306093493693010789009185895926797294_303_512_512_\Osteo_Sarco_1.png","RPT")</f>
        <v>RPT</v>
      </c>
      <c r="G76" s="3">
        <v>201</v>
      </c>
      <c r="H76" s="3"/>
    </row>
    <row r="77" spans="1:8" x14ac:dyDescent="0.3">
      <c r="A77" s="2">
        <v>1154785</v>
      </c>
      <c r="B77" s="2">
        <v>55</v>
      </c>
      <c r="C77" s="2" t="s">
        <v>5</v>
      </c>
      <c r="D77" s="2">
        <v>140</v>
      </c>
      <c r="E77" s="2"/>
      <c r="F77" s="4" t="str">
        <f>HYPERLINK("./Results/DLO\20190401_1.2.840.113619.2.416.315815327371450356737951768026932411288_302_512_512_\Osteo_Sarco_1.png","RPT")</f>
        <v>RPT</v>
      </c>
      <c r="G77" s="3">
        <v>199</v>
      </c>
      <c r="H77" s="3"/>
    </row>
    <row r="78" spans="1:8" x14ac:dyDescent="0.3">
      <c r="A78" s="2">
        <v>1174889</v>
      </c>
      <c r="B78" s="2">
        <v>39</v>
      </c>
      <c r="C78" s="2" t="s">
        <v>6</v>
      </c>
      <c r="D78" s="2">
        <v>100</v>
      </c>
      <c r="E78" s="2"/>
      <c r="F78" s="4" t="str">
        <f>HYPERLINK("./Results/DLO\20190801_1.3.12.2.1107.5.1.4.65253.30000019081419583491200042186_3_512_512_\Osteo_Sarco_1.png","RPT")</f>
        <v>RPT</v>
      </c>
      <c r="G78" s="3">
        <v>111</v>
      </c>
      <c r="H78" s="3"/>
    </row>
    <row r="79" spans="1:8" x14ac:dyDescent="0.3">
      <c r="A79" s="2">
        <v>1174889</v>
      </c>
      <c r="B79" s="2">
        <v>39</v>
      </c>
      <c r="C79" s="2" t="s">
        <v>6</v>
      </c>
      <c r="D79" s="2">
        <v>100</v>
      </c>
      <c r="E79" s="2"/>
      <c r="F79" s="4" t="str">
        <f>HYPERLINK("./Results/DLO\20190801_1.3.12.2.1107.5.1.4.65253.30000019081419583491200042011_2_512_512_\Osteo_Sarco_1.png","RPT")</f>
        <v>RPT</v>
      </c>
      <c r="G79" s="3">
        <v>110</v>
      </c>
      <c r="H79" s="3"/>
    </row>
    <row r="80" spans="1:8" x14ac:dyDescent="0.3">
      <c r="A80" s="2">
        <v>1199519</v>
      </c>
      <c r="B80" s="2">
        <v>61</v>
      </c>
      <c r="C80" s="2" t="s">
        <v>5</v>
      </c>
      <c r="D80" s="2">
        <v>100</v>
      </c>
      <c r="E80" s="2"/>
      <c r="F80" s="4" t="str">
        <f>HYPERLINK("./Results/DLO\20190201_1.3.46.670589.33.1.63686341877491043600001.5657948898709736145_201_512_512_\Osteo_Sarco_1.png","RPT")</f>
        <v>RPT</v>
      </c>
      <c r="G80" s="3">
        <v>157</v>
      </c>
      <c r="H80" s="3"/>
    </row>
    <row r="81" spans="1:8" x14ac:dyDescent="0.3">
      <c r="A81" s="2">
        <v>1220966</v>
      </c>
      <c r="B81" s="2">
        <v>59</v>
      </c>
      <c r="C81" s="2" t="s">
        <v>5</v>
      </c>
      <c r="D81" s="2">
        <v>100</v>
      </c>
      <c r="E81" s="2"/>
      <c r="F81" s="4" t="str">
        <f>HYPERLINK("./Results/DLO\20200101_1.3.12.2.1107.5.1.4.54310.30000020012022362432800019357_2_512_512_\Osteo_Sarco_1.png","RPT")</f>
        <v>RPT</v>
      </c>
      <c r="G81" s="3">
        <v>149</v>
      </c>
      <c r="H81" s="3"/>
    </row>
    <row r="82" spans="1:8" x14ac:dyDescent="0.3">
      <c r="A82" s="2">
        <v>1220966</v>
      </c>
      <c r="B82" s="2">
        <v>59</v>
      </c>
      <c r="C82" s="2" t="s">
        <v>5</v>
      </c>
      <c r="D82" s="2">
        <v>100</v>
      </c>
      <c r="E82" s="2"/>
      <c r="F82" s="4" t="str">
        <f>HYPERLINK("./Results/DLO\20200101_1.3.12.2.1107.5.1.4.54310.30000020012022362432800020518_8_512_512_\Osteo_Sarco_1.png","RPT")</f>
        <v>RPT</v>
      </c>
      <c r="G82" s="3">
        <v>148</v>
      </c>
      <c r="H82" s="3"/>
    </row>
    <row r="83" spans="1:8" x14ac:dyDescent="0.3">
      <c r="A83" s="2">
        <v>1245901</v>
      </c>
      <c r="B83" s="2">
        <v>72</v>
      </c>
      <c r="C83" s="2" t="s">
        <v>6</v>
      </c>
      <c r="D83" s="2">
        <v>100</v>
      </c>
      <c r="E83" s="2"/>
      <c r="F83" s="4" t="str">
        <f>HYPERLINK("./Results/DLO\20190301_1.3.12.2.1107.5.1.4.65253.30000019030620083671800056014_3_512_512_\Osteo_Sarco_1.png","RPT")</f>
        <v>RPT</v>
      </c>
      <c r="G83" s="3">
        <v>90</v>
      </c>
      <c r="H83" s="3"/>
    </row>
    <row r="84" spans="1:8" x14ac:dyDescent="0.3">
      <c r="A84" s="2">
        <v>1245901</v>
      </c>
      <c r="B84" s="2">
        <v>72</v>
      </c>
      <c r="C84" s="2" t="s">
        <v>6</v>
      </c>
      <c r="D84" s="2">
        <v>100</v>
      </c>
      <c r="E84" s="2"/>
      <c r="F84" s="4" t="str">
        <f>HYPERLINK("./Results/DLO\20190301_1.3.12.2.1107.5.1.4.65253.30000019030620083671800055861_2_512_512_\Osteo_Sarco_1.png","RPT")</f>
        <v>RPT</v>
      </c>
      <c r="G84" s="3">
        <v>88</v>
      </c>
      <c r="H84" s="3"/>
    </row>
    <row r="85" spans="1:8" x14ac:dyDescent="0.3">
      <c r="A85" s="2">
        <v>1252461</v>
      </c>
      <c r="B85" s="2">
        <v>38</v>
      </c>
      <c r="C85" s="2" t="s">
        <v>5</v>
      </c>
      <c r="D85" s="2">
        <v>100</v>
      </c>
      <c r="E85" s="2"/>
      <c r="F85" s="4" t="str">
        <f>HYPERLINK("./Results/DLO\20180401_1.3.12.2.1107.5.1.4.65253.30000018041320101722900007800_2_512_512_\Osteo_Sarco_1.png","RPT")</f>
        <v>RPT</v>
      </c>
      <c r="G85" s="3">
        <v>135</v>
      </c>
      <c r="H85" s="3"/>
    </row>
    <row r="86" spans="1:8" x14ac:dyDescent="0.3">
      <c r="A86" s="2">
        <v>1252461</v>
      </c>
      <c r="B86" s="2">
        <v>38</v>
      </c>
      <c r="C86" s="2" t="s">
        <v>5</v>
      </c>
      <c r="D86" s="2">
        <v>100</v>
      </c>
      <c r="E86" s="2"/>
      <c r="F86" s="4" t="str">
        <f>HYPERLINK("./Results/DLO\20180401_1.3.12.2.1107.5.1.4.65253.30000018041320101722900007952_3_512_512_\Osteo_Sarco_1.png","RPT")</f>
        <v>RPT</v>
      </c>
      <c r="G86" s="3">
        <v>135</v>
      </c>
      <c r="H86" s="3"/>
    </row>
    <row r="87" spans="1:8" x14ac:dyDescent="0.3">
      <c r="A87" s="2">
        <v>1283595</v>
      </c>
      <c r="B87" s="2">
        <v>48</v>
      </c>
      <c r="C87" s="2" t="s">
        <v>6</v>
      </c>
      <c r="D87" s="2">
        <v>100</v>
      </c>
      <c r="E87" s="2"/>
      <c r="F87" s="4" t="str">
        <f>HYPERLINK("./Results/DLO\20180801_1.3.12.2.1107.5.1.4.54310.30000018080923254621800062366_2_512_512_\Osteo_Sarco_1.png","RPT")</f>
        <v>RPT</v>
      </c>
      <c r="G87" s="3">
        <v>129</v>
      </c>
      <c r="H87" s="3"/>
    </row>
    <row r="88" spans="1:8" x14ac:dyDescent="0.3">
      <c r="A88" s="2">
        <v>1283595</v>
      </c>
      <c r="B88" s="2">
        <v>48</v>
      </c>
      <c r="C88" s="2" t="s">
        <v>6</v>
      </c>
      <c r="D88" s="2">
        <v>100</v>
      </c>
      <c r="E88" s="2"/>
      <c r="F88" s="4" t="str">
        <f>HYPERLINK("./Results/DLO\20180801_1.3.12.2.1107.5.1.4.54310.30000018080923254621800062532_3_512_512_\Osteo_Sarco_1.png","RPT")</f>
        <v>RPT</v>
      </c>
      <c r="G88" s="3">
        <v>127</v>
      </c>
      <c r="H88" s="3"/>
    </row>
    <row r="89" spans="1:8" x14ac:dyDescent="0.3">
      <c r="A89" s="2">
        <v>1325921</v>
      </c>
      <c r="B89" s="2">
        <v>52</v>
      </c>
      <c r="C89" s="2" t="s">
        <v>6</v>
      </c>
      <c r="D89" s="2">
        <v>100</v>
      </c>
      <c r="E89" s="2"/>
      <c r="F89" s="4" t="str">
        <f>HYPERLINK("./Results/DLO\20181101_1.2.840.113619.2.416.316100658017199577842690067969738493815_304_512_512_\Osteo_Sarco_1.png","RPT")</f>
        <v>RPT</v>
      </c>
      <c r="G89" s="3">
        <v>96</v>
      </c>
      <c r="H89" s="3"/>
    </row>
    <row r="90" spans="1:8" x14ac:dyDescent="0.3">
      <c r="A90" s="2">
        <v>1325942</v>
      </c>
      <c r="B90" s="2">
        <v>60</v>
      </c>
      <c r="C90" s="2" t="s">
        <v>6</v>
      </c>
      <c r="D90" s="2">
        <v>100</v>
      </c>
      <c r="E90" s="2"/>
      <c r="F90" s="4" t="str">
        <f>HYPERLINK("./Results/DLO\20181001_1.3.12.2.1107.5.1.4.54310.30000018100323223954600024481_3_512_512_\Osteo_Sarco_1.png","RPT")</f>
        <v>RPT</v>
      </c>
      <c r="G90" s="3">
        <v>100</v>
      </c>
      <c r="H90" s="3"/>
    </row>
    <row r="91" spans="1:8" x14ac:dyDescent="0.3">
      <c r="A91" s="2">
        <v>1327057</v>
      </c>
      <c r="B91" s="2">
        <v>47</v>
      </c>
      <c r="C91" s="2" t="s">
        <v>6</v>
      </c>
      <c r="D91" s="2">
        <v>100</v>
      </c>
      <c r="E91" s="2"/>
      <c r="F91" s="4" t="str">
        <f>HYPERLINK("./Results/DLO\20180701_1.3.12.2.1107.5.1.4.54310.30000018072223435926500008301_2_512_512_\Osteo_Sarco_1.png","RPT")</f>
        <v>RPT</v>
      </c>
      <c r="G91" s="3">
        <v>97</v>
      </c>
      <c r="H91" s="3"/>
    </row>
    <row r="92" spans="1:8" x14ac:dyDescent="0.3">
      <c r="A92" s="2">
        <v>1335427</v>
      </c>
      <c r="B92" s="2">
        <v>49</v>
      </c>
      <c r="C92" s="2" t="s">
        <v>6</v>
      </c>
      <c r="D92" s="2">
        <v>140</v>
      </c>
      <c r="E92" s="2"/>
      <c r="F92" s="4" t="str">
        <f>HYPERLINK("./Results/DLO\20200401_1.2.840.113619.2.416.84260766018836245828094991264206526882_307_512_512_\Osteo_Sarco_1.png","RPT")</f>
        <v>RPT</v>
      </c>
      <c r="G92" s="3">
        <v>115</v>
      </c>
      <c r="H92" s="3"/>
    </row>
    <row r="93" spans="1:8" x14ac:dyDescent="0.3">
      <c r="A93" s="2">
        <v>1335427</v>
      </c>
      <c r="B93" s="2">
        <v>49</v>
      </c>
      <c r="C93" s="2" t="s">
        <v>6</v>
      </c>
      <c r="D93" s="2">
        <v>140</v>
      </c>
      <c r="E93" s="2"/>
      <c r="F93" s="4" t="str">
        <f>HYPERLINK("./Results/DLO\20200401_1.2.840.113619.2.416.28602725895381801159580699260324736961_308_512_512_\Osteo_Sarco_1.png","RPT")</f>
        <v>RPT</v>
      </c>
      <c r="G93" s="3">
        <v>111</v>
      </c>
      <c r="H93" s="3"/>
    </row>
    <row r="94" spans="1:8" x14ac:dyDescent="0.3">
      <c r="A94" s="2">
        <v>1338051</v>
      </c>
      <c r="B94" s="2">
        <v>49</v>
      </c>
      <c r="C94" s="2" t="s">
        <v>6</v>
      </c>
      <c r="D94" s="2">
        <v>100</v>
      </c>
      <c r="E94" s="2"/>
      <c r="F94" s="4" t="str">
        <f>HYPERLINK("./Results/DLO\20180901_1.2.840.113619.2.311.39566044419890465235810740811315830691_304_512_512_\Osteo_Sarco_1.png","RPT")</f>
        <v>RPT</v>
      </c>
      <c r="G94" s="3">
        <v>97</v>
      </c>
      <c r="H94" s="3"/>
    </row>
    <row r="95" spans="1:8" x14ac:dyDescent="0.3">
      <c r="A95" s="2">
        <v>1352435</v>
      </c>
      <c r="B95" s="2">
        <v>59</v>
      </c>
      <c r="C95" s="2" t="s">
        <v>5</v>
      </c>
      <c r="D95" s="2">
        <v>100</v>
      </c>
      <c r="E95" s="2"/>
      <c r="F95" s="4" t="str">
        <f>HYPERLINK("./Results/DLO\20180901_1.3.12.2.1107.5.1.4.65253.30000018091320460370100009287_3_512_512_\Osteo_Sarco_1.png","RPT")</f>
        <v>RPT</v>
      </c>
      <c r="G95" s="3">
        <v>160</v>
      </c>
      <c r="H95" s="3"/>
    </row>
    <row r="96" spans="1:8" x14ac:dyDescent="0.3">
      <c r="A96" s="2">
        <v>1352435</v>
      </c>
      <c r="B96" s="2">
        <v>59</v>
      </c>
      <c r="C96" s="2" t="s">
        <v>5</v>
      </c>
      <c r="D96" s="2">
        <v>100</v>
      </c>
      <c r="E96" s="2"/>
      <c r="F96" s="4" t="str">
        <f>HYPERLINK("./Results/DLO\20180901_1.3.12.2.1107.5.1.4.65253.30000018091320460370100009121_2_512_512_\Osteo_Sarco_1.png","RPT")</f>
        <v>RPT</v>
      </c>
      <c r="G96" s="3">
        <v>158</v>
      </c>
      <c r="H96" s="3"/>
    </row>
    <row r="97" spans="1:8" x14ac:dyDescent="0.3">
      <c r="A97" s="2">
        <v>1353459</v>
      </c>
      <c r="B97" s="2">
        <v>47</v>
      </c>
      <c r="C97" s="2" t="s">
        <v>6</v>
      </c>
      <c r="D97" s="2">
        <v>100</v>
      </c>
      <c r="E97" s="2"/>
      <c r="F97" s="4" t="str">
        <f>HYPERLINK("./Results/DLO\20180501_1.2.840.113619.2.416.45396019321690807093773588929348024989_303_512_512_\Osteo_Sarco_1.png","RPT")</f>
        <v>RPT</v>
      </c>
      <c r="G97" s="3">
        <v>112</v>
      </c>
      <c r="H97" s="3"/>
    </row>
    <row r="98" spans="1:8" x14ac:dyDescent="0.3">
      <c r="A98" s="2">
        <v>1356838</v>
      </c>
      <c r="B98" s="2">
        <v>37</v>
      </c>
      <c r="C98" s="2" t="s">
        <v>6</v>
      </c>
      <c r="D98" s="2">
        <v>100</v>
      </c>
      <c r="E98" s="2"/>
      <c r="F98" s="4" t="str">
        <f>HYPERLINK("./Results/DLO\20181001_1.2.840.113619.2.416.255640115672949554710299977542139167172_304_512_512_\Osteo_Sarco_1.png","RPT")</f>
        <v>RPT</v>
      </c>
      <c r="G98" s="3">
        <v>125</v>
      </c>
      <c r="H98" s="3"/>
    </row>
    <row r="99" spans="1:8" x14ac:dyDescent="0.3">
      <c r="A99" s="2">
        <v>1358920</v>
      </c>
      <c r="B99" s="2">
        <v>63</v>
      </c>
      <c r="C99" s="2" t="s">
        <v>5</v>
      </c>
      <c r="D99" s="2">
        <v>140</v>
      </c>
      <c r="E99" s="2"/>
      <c r="F99" s="4" t="str">
        <f>HYPERLINK("./Results/DLO\20181001_1.2.840.113619.2.416.94731096418449839432012422942654253551_305_512_512_\Osteo_Sarco_1.png","RPT")</f>
        <v>RPT</v>
      </c>
      <c r="G99" s="3">
        <v>133</v>
      </c>
      <c r="H99" s="3"/>
    </row>
    <row r="100" spans="1:8" x14ac:dyDescent="0.3">
      <c r="A100" s="2">
        <v>1358920</v>
      </c>
      <c r="B100" s="2">
        <v>63</v>
      </c>
      <c r="C100" s="2" t="s">
        <v>5</v>
      </c>
      <c r="D100" s="2">
        <v>140</v>
      </c>
      <c r="E100" s="2"/>
      <c r="F100" s="4" t="str">
        <f>HYPERLINK("./Results/DLO\20181001_1.2.840.113619.2.416.13091640733737670606749952189420514746_308_512_512_\Osteo_Sarco_1.png","RPT")</f>
        <v>RPT</v>
      </c>
      <c r="G100" s="3">
        <v>130</v>
      </c>
      <c r="H100" s="3"/>
    </row>
    <row r="101" spans="1:8" x14ac:dyDescent="0.3">
      <c r="A101" s="2">
        <v>1358920</v>
      </c>
      <c r="B101" s="2">
        <v>63</v>
      </c>
      <c r="C101" s="2" t="s">
        <v>5</v>
      </c>
      <c r="D101" s="2">
        <v>140</v>
      </c>
      <c r="E101" s="2"/>
      <c r="F101" s="4" t="str">
        <f>HYPERLINK("./Results/DLO\20181001_1.2.840.113619.2.416.54873713065327051447079749197817924314_303_512_512_\Osteo_Sarco_1.png","RPT")</f>
        <v>RPT</v>
      </c>
      <c r="G101" s="3">
        <v>130</v>
      </c>
      <c r="H101" s="3"/>
    </row>
    <row r="102" spans="1:8" x14ac:dyDescent="0.3">
      <c r="A102" s="2">
        <v>1358920</v>
      </c>
      <c r="B102" s="2">
        <v>63</v>
      </c>
      <c r="C102" s="2" t="s">
        <v>5</v>
      </c>
      <c r="D102" s="2">
        <v>140</v>
      </c>
      <c r="E102" s="2"/>
      <c r="F102" s="4" t="str">
        <f>HYPERLINK("./Results/DLO\20181001_1.2.840.113619.2.416.231642086590134954599048437206199179127_301_512_512_\Osteo_Sarco_1.png","RPT")</f>
        <v>RPT</v>
      </c>
      <c r="G102" s="3">
        <v>129</v>
      </c>
      <c r="H102" s="3"/>
    </row>
    <row r="103" spans="1:8" x14ac:dyDescent="0.3">
      <c r="A103" s="2">
        <v>1362439</v>
      </c>
      <c r="B103" s="2">
        <v>77</v>
      </c>
      <c r="C103" s="2" t="s">
        <v>5</v>
      </c>
      <c r="D103" s="2">
        <v>120</v>
      </c>
      <c r="E103" s="2"/>
      <c r="F103" s="4" t="str">
        <f>HYPERLINK("./Results/DLO\20180101_1.2.840.113619.2.94.485650834948.2.8578359.18491106.1_3_512_512_\Osteo_Sarco_1.png","RPT")</f>
        <v>RPT</v>
      </c>
      <c r="G103" s="3">
        <v>125</v>
      </c>
      <c r="H103" s="3"/>
    </row>
    <row r="104" spans="1:8" x14ac:dyDescent="0.3">
      <c r="A104" s="2">
        <v>1362439</v>
      </c>
      <c r="B104" s="2">
        <v>77</v>
      </c>
      <c r="C104" s="2" t="s">
        <v>5</v>
      </c>
      <c r="D104" s="2">
        <v>140</v>
      </c>
      <c r="E104" s="2"/>
      <c r="F104" s="4" t="str">
        <f>HYPERLINK("./Results/DLO\20180101_1.2.840.113619.2.94.485650834948.2.8578359.18491120.1_301_512_512_\Osteo_Sarco_1.png","RPT")</f>
        <v>RPT</v>
      </c>
      <c r="G104" s="3">
        <v>125</v>
      </c>
      <c r="H104" s="3"/>
    </row>
    <row r="105" spans="1:8" x14ac:dyDescent="0.3">
      <c r="A105" s="2">
        <v>1362439</v>
      </c>
      <c r="B105" s="2">
        <v>77</v>
      </c>
      <c r="C105" s="2" t="s">
        <v>5</v>
      </c>
      <c r="D105" s="2">
        <v>140</v>
      </c>
      <c r="E105" s="2"/>
      <c r="F105" s="4" t="str">
        <f>HYPERLINK("./Results/DLO\20180101_1.2.410.200069.10820110185.1012000.20250820082931058847_93011_512_512_\Osteo_Sarco_1.png","RPT")</f>
        <v>RPT</v>
      </c>
      <c r="G105" s="3">
        <v>124</v>
      </c>
      <c r="H105" s="3"/>
    </row>
    <row r="106" spans="1:8" x14ac:dyDescent="0.3">
      <c r="A106" s="2">
        <v>1362439</v>
      </c>
      <c r="B106" s="2">
        <v>77</v>
      </c>
      <c r="C106" s="2" t="s">
        <v>5</v>
      </c>
      <c r="D106" s="2">
        <v>100</v>
      </c>
      <c r="E106" s="2"/>
      <c r="F106" s="4" t="str">
        <f>HYPERLINK("./Results/DLO\20180101_1.2.840.113619.2.94.485650834948.2.8578359.18491102.1_2_512_512_\Osteo_Sarco_1.png","RPT")</f>
        <v>RPT</v>
      </c>
      <c r="G106" s="3">
        <v>124</v>
      </c>
      <c r="H106" s="3"/>
    </row>
    <row r="107" spans="1:8" x14ac:dyDescent="0.3">
      <c r="A107" s="2">
        <v>1362439</v>
      </c>
      <c r="B107" s="2">
        <v>77</v>
      </c>
      <c r="C107" s="2" t="s">
        <v>5</v>
      </c>
      <c r="D107" s="2">
        <v>140</v>
      </c>
      <c r="E107" s="2"/>
      <c r="F107" s="4" t="str">
        <f>HYPERLINK("./Results/DLO\20180101_1.2.410.200069.80820110186.1160115.20250820082941085877_730116_512_512_\Osteo_Sarco_1.png","RPT")</f>
        <v>RPT</v>
      </c>
      <c r="G107" s="3">
        <v>123</v>
      </c>
      <c r="H107" s="3"/>
    </row>
    <row r="108" spans="1:8" x14ac:dyDescent="0.3">
      <c r="A108" s="2">
        <v>1362439</v>
      </c>
      <c r="B108" s="2">
        <v>77</v>
      </c>
      <c r="C108" s="2" t="s">
        <v>5</v>
      </c>
      <c r="D108" s="2">
        <v>140</v>
      </c>
      <c r="E108" s="2"/>
      <c r="F108" s="4" t="str">
        <f>HYPERLINK("./Results/DLO\20180101_1.2.410.200069.10820110185.1012000.20250820082933090114_93021_512_512_\Osteo_Sarco_1.png","RPT")</f>
        <v>RPT</v>
      </c>
      <c r="G108" s="3">
        <v>117</v>
      </c>
      <c r="H108" s="3"/>
    </row>
    <row r="109" spans="1:8" x14ac:dyDescent="0.3">
      <c r="A109" s="2">
        <v>1362439</v>
      </c>
      <c r="B109" s="2">
        <v>77</v>
      </c>
      <c r="C109" s="2" t="s">
        <v>5</v>
      </c>
      <c r="D109" s="2">
        <v>140</v>
      </c>
      <c r="E109" s="2"/>
      <c r="F109" s="4" t="str">
        <f>HYPERLINK("./Results/DLO\20180101_1.2.840.113619.2.94.485650834948.2.8578359.18491128.1_302_512_512_\Osteo_Sarco_1.png","RPT")</f>
        <v>RPT</v>
      </c>
      <c r="G109" s="3">
        <v>112</v>
      </c>
      <c r="H109" s="3"/>
    </row>
    <row r="110" spans="1:8" x14ac:dyDescent="0.3">
      <c r="A110" s="2">
        <v>1362439</v>
      </c>
      <c r="B110" s="2">
        <v>77</v>
      </c>
      <c r="C110" s="2" t="s">
        <v>5</v>
      </c>
      <c r="D110" s="2">
        <v>140</v>
      </c>
      <c r="E110" s="2"/>
      <c r="F110" s="4" t="str">
        <f>HYPERLINK("./Results/DLO\20180101_1.2.410.200069.80820110186.1160115.20250820082946039733_730216_512_512_\Osteo_Sarco_1.png","RPT")</f>
        <v>RPT</v>
      </c>
      <c r="G110" s="3">
        <v>109</v>
      </c>
      <c r="H110" s="3"/>
    </row>
    <row r="111" spans="1:8" x14ac:dyDescent="0.3">
      <c r="A111" s="2">
        <v>1364871</v>
      </c>
      <c r="B111" s="2">
        <v>51</v>
      </c>
      <c r="C111" s="2" t="s">
        <v>6</v>
      </c>
      <c r="D111" s="2">
        <v>100</v>
      </c>
      <c r="E111" s="2"/>
      <c r="F111" s="4" t="str">
        <f>HYPERLINK("./Results/DLO\20190901_1.2.840.113619.2.416.261954147013516340763335569122409811300_310_512_512_\Osteo_Sarco_1.png","RPT")</f>
        <v>RPT</v>
      </c>
      <c r="G111" s="3">
        <v>121</v>
      </c>
      <c r="H111" s="3"/>
    </row>
    <row r="112" spans="1:8" x14ac:dyDescent="0.3">
      <c r="A112" s="2">
        <v>1366476</v>
      </c>
      <c r="B112" s="2">
        <v>49</v>
      </c>
      <c r="C112" s="2" t="s">
        <v>6</v>
      </c>
      <c r="D112" s="2">
        <v>100</v>
      </c>
      <c r="E112" s="2"/>
      <c r="F112" s="4" t="str">
        <f>HYPERLINK("./Results/DLO\20180901_1.2.840.113619.2.311.100960404799664694549328552299518490047_304_512_512_\Osteo_Sarco_1.png","RPT")</f>
        <v>RPT</v>
      </c>
      <c r="G112" s="3">
        <v>98</v>
      </c>
      <c r="H112" s="3"/>
    </row>
    <row r="113" spans="1:8" x14ac:dyDescent="0.3">
      <c r="A113" s="2">
        <v>1370775</v>
      </c>
      <c r="B113" s="2">
        <v>62</v>
      </c>
      <c r="C113" s="2" t="s">
        <v>5</v>
      </c>
      <c r="D113" s="2">
        <v>120</v>
      </c>
      <c r="E113" s="2"/>
      <c r="F113" s="4" t="str">
        <f>HYPERLINK("./Results/DLO\20190901_1.3.12.2.1107.5.1.4.54191.30000019090920305707800020162_6_512_512_\Osteo_Sarco_1.png","RPT")</f>
        <v>RPT</v>
      </c>
      <c r="G113" s="3">
        <v>163</v>
      </c>
      <c r="H113" s="3"/>
    </row>
    <row r="114" spans="1:8" x14ac:dyDescent="0.3">
      <c r="A114" s="2">
        <v>1370775</v>
      </c>
      <c r="B114" s="2">
        <v>62</v>
      </c>
      <c r="C114" s="2" t="s">
        <v>5</v>
      </c>
      <c r="D114" s="2">
        <v>120</v>
      </c>
      <c r="E114" s="2"/>
      <c r="F114" s="4" t="str">
        <f>HYPERLINK("./Results/DLO\20190901_1.3.12.2.1107.5.1.4.54191.30000019090920305707800019627_3_512_512_\Osteo_Sarco_1.png","RPT")</f>
        <v>RPT</v>
      </c>
      <c r="G114" s="3">
        <v>151</v>
      </c>
      <c r="H114" s="3"/>
    </row>
    <row r="115" spans="1:8" x14ac:dyDescent="0.3">
      <c r="A115" s="2">
        <v>1372022</v>
      </c>
      <c r="B115" s="2">
        <v>72</v>
      </c>
      <c r="C115" s="2" t="s">
        <v>6</v>
      </c>
      <c r="D115" s="2">
        <v>100</v>
      </c>
      <c r="E115" s="2"/>
      <c r="F115" s="4" t="str">
        <f>HYPERLINK("./Results/DLO\20180501_1.3.12.2.1107.5.1.4.54310.30000018051023125081200077188_2_512_512_\Osteo_Sarco_1.png","RPT")</f>
        <v>RPT</v>
      </c>
      <c r="G115" s="3">
        <v>79</v>
      </c>
      <c r="H115" s="3"/>
    </row>
    <row r="116" spans="1:8" x14ac:dyDescent="0.3">
      <c r="A116" s="2">
        <v>1386106</v>
      </c>
      <c r="B116" s="2">
        <v>75</v>
      </c>
      <c r="C116" s="2" t="s">
        <v>5</v>
      </c>
      <c r="D116" s="2">
        <v>120</v>
      </c>
      <c r="E116" s="2"/>
      <c r="F116" s="4" t="str">
        <f>HYPERLINK("./Results/DLO\20181001_1.2.840.113619.2.416.56030979937538202284638035168323806983_2_512_512_\Osteo_Sarco_1.png","RPT")</f>
        <v>RPT</v>
      </c>
      <c r="G116" s="3">
        <v>137</v>
      </c>
      <c r="H116" s="3"/>
    </row>
    <row r="117" spans="1:8" x14ac:dyDescent="0.3">
      <c r="A117" s="2">
        <v>1395549</v>
      </c>
      <c r="B117" s="2">
        <v>84</v>
      </c>
      <c r="C117" s="2" t="s">
        <v>6</v>
      </c>
      <c r="D117" s="2">
        <v>100</v>
      </c>
      <c r="E117" s="2"/>
      <c r="F117" s="4" t="str">
        <f>HYPERLINK("./Results/DLO\20191001_1.2.840.113619.2.416.148477046486740372876569506252593743220_310_512_512_\Osteo_Sarco_1.png","RPT")</f>
        <v>RPT</v>
      </c>
      <c r="G117" s="3">
        <v>98</v>
      </c>
      <c r="H117" s="3"/>
    </row>
    <row r="118" spans="1:8" x14ac:dyDescent="0.3">
      <c r="A118" s="2">
        <v>1400938</v>
      </c>
      <c r="B118" s="2">
        <v>65</v>
      </c>
      <c r="C118" s="2" t="s">
        <v>6</v>
      </c>
      <c r="D118" s="2">
        <v>100</v>
      </c>
      <c r="E118" s="2"/>
      <c r="F118" s="4" t="str">
        <f>HYPERLINK("./Results/DLO\20180701_1.2.840.113619.2.94.485650834948.2.8961813.19430180.1_304_512_512_\Osteo_Sarco_1.png","RPT")</f>
        <v>RPT</v>
      </c>
      <c r="G118" s="3">
        <v>102</v>
      </c>
      <c r="H118" s="3"/>
    </row>
    <row r="119" spans="1:8" x14ac:dyDescent="0.3">
      <c r="A119" s="2">
        <v>1435212</v>
      </c>
      <c r="B119" s="2">
        <v>78</v>
      </c>
      <c r="C119" s="2" t="s">
        <v>5</v>
      </c>
      <c r="D119" s="2">
        <v>100</v>
      </c>
      <c r="E119" s="2"/>
      <c r="F119" s="4" t="str">
        <f>HYPERLINK("./Results/DLO\20191001_1.3.12.2.1107.5.1.4.65253.30000019100321095746700033600_2_512_512_\Osteo_Sarco_1.png","RPT")</f>
        <v>RPT</v>
      </c>
      <c r="G119" s="3">
        <v>152</v>
      </c>
      <c r="H119" s="3"/>
    </row>
    <row r="120" spans="1:8" x14ac:dyDescent="0.3">
      <c r="A120" s="2">
        <v>1436467</v>
      </c>
      <c r="B120" s="2">
        <v>53</v>
      </c>
      <c r="C120" s="2" t="s">
        <v>6</v>
      </c>
      <c r="D120" s="2">
        <v>100</v>
      </c>
      <c r="E120" s="2"/>
      <c r="F120" s="4" t="str">
        <f>HYPERLINK("./Results/DLO\20181001_1.2.840.113619.2.416.304234725892995222900677543455971242896_304_512_512_\Osteo_Sarco_1.png","RPT")</f>
        <v>RPT</v>
      </c>
      <c r="G120" s="3">
        <v>79</v>
      </c>
      <c r="H120" s="3"/>
    </row>
    <row r="121" spans="1:8" x14ac:dyDescent="0.3">
      <c r="A121" s="2">
        <v>1448769</v>
      </c>
      <c r="B121" s="2">
        <v>48</v>
      </c>
      <c r="C121" s="2" t="s">
        <v>5</v>
      </c>
      <c r="D121" s="2">
        <v>100</v>
      </c>
      <c r="E121" s="2"/>
      <c r="F121" s="4" t="str">
        <f>HYPERLINK("./Results/DLO\20190301_1.3.46.670589.33.1.63688241595975260300001.5420003468351145943_301_512_512_\Osteo_Sarco_1.png","RPT")</f>
        <v>RPT</v>
      </c>
      <c r="G121" s="3">
        <v>115</v>
      </c>
      <c r="H121" s="3"/>
    </row>
    <row r="122" spans="1:8" x14ac:dyDescent="0.3">
      <c r="A122" s="2">
        <v>1448769</v>
      </c>
      <c r="B122" s="2">
        <v>48</v>
      </c>
      <c r="C122" s="2" t="s">
        <v>5</v>
      </c>
      <c r="D122" s="2">
        <v>100</v>
      </c>
      <c r="E122" s="2"/>
      <c r="F122" s="4" t="str">
        <f>HYPERLINK("./Results/DLO\20190301_1.3.46.670589.33.1.63688241474491311900001.5008622576487794246_201_512_512_\Osteo_Sarco_1.png","RPT")</f>
        <v>RPT</v>
      </c>
      <c r="G122" s="3">
        <v>109</v>
      </c>
      <c r="H122" s="3"/>
    </row>
    <row r="123" spans="1:8" x14ac:dyDescent="0.3">
      <c r="A123" s="2">
        <v>1449355</v>
      </c>
      <c r="B123" s="2">
        <v>68</v>
      </c>
      <c r="C123" s="2" t="s">
        <v>5</v>
      </c>
      <c r="D123" s="2">
        <v>100</v>
      </c>
      <c r="E123" s="2"/>
      <c r="F123" s="4" t="str">
        <f>HYPERLINK("./Results/DLO\20190601_1.3.46.670589.33.1.63696445931297621700001.5130145135698875624_301_512_512_\Osteo_Sarco_1.png","RPT")</f>
        <v>RPT</v>
      </c>
      <c r="G123" s="3">
        <v>147</v>
      </c>
      <c r="H123" s="3"/>
    </row>
    <row r="124" spans="1:8" x14ac:dyDescent="0.3">
      <c r="A124" s="2">
        <v>1449355</v>
      </c>
      <c r="B124" s="2">
        <v>68</v>
      </c>
      <c r="C124" s="2" t="s">
        <v>5</v>
      </c>
      <c r="D124" s="2">
        <v>100</v>
      </c>
      <c r="E124" s="2"/>
      <c r="F124" s="4" t="str">
        <f>HYPERLINK("./Results/DLO\20190601_1.3.46.670589.33.1.63696445817456110300001.4833599006298978964_201_512_512_\Osteo_Sarco_1.png","RPT")</f>
        <v>RPT</v>
      </c>
      <c r="G124" s="3">
        <v>142</v>
      </c>
      <c r="H124" s="3"/>
    </row>
    <row r="125" spans="1:8" x14ac:dyDescent="0.3">
      <c r="A125" s="2">
        <v>1459329</v>
      </c>
      <c r="B125" s="2">
        <v>57</v>
      </c>
      <c r="C125" s="2" t="s">
        <v>6</v>
      </c>
      <c r="D125" s="2">
        <v>100</v>
      </c>
      <c r="E125" s="2"/>
      <c r="F125" s="4" t="str">
        <f>HYPERLINK("./Results/DLO\20190101_1.2.840.113619.2.311.94364996060561483147522917520879894549_304_512_512_\Osteo_Sarco_1.png","RPT")</f>
        <v>RPT</v>
      </c>
      <c r="G125" s="3">
        <v>125</v>
      </c>
      <c r="H125" s="3"/>
    </row>
    <row r="126" spans="1:8" x14ac:dyDescent="0.3">
      <c r="A126" s="2">
        <v>1461206</v>
      </c>
      <c r="B126" s="2">
        <v>63</v>
      </c>
      <c r="C126" s="2" t="s">
        <v>5</v>
      </c>
      <c r="D126" s="2">
        <v>100</v>
      </c>
      <c r="E126" s="2"/>
      <c r="F126" s="4" t="str">
        <f>HYPERLINK("./Results/DLO\20180201_1.3.46.670589.33.1.63653675992385349400001.5256286800430969385_201_512_512_\Osteo_Sarco_1.png","RPT")</f>
        <v>RPT</v>
      </c>
      <c r="G126" s="3">
        <v>172</v>
      </c>
      <c r="H126" s="3"/>
    </row>
    <row r="127" spans="1:8" x14ac:dyDescent="0.3">
      <c r="A127" s="2">
        <v>1467360</v>
      </c>
      <c r="B127" s="2">
        <v>45</v>
      </c>
      <c r="C127" s="2" t="s">
        <v>6</v>
      </c>
      <c r="D127" s="2">
        <v>100</v>
      </c>
      <c r="E127" s="2"/>
      <c r="F127" s="4" t="str">
        <f>HYPERLINK("./Results/DLO\20191101_1.3.12.2.1107.5.1.4.54310.30000019112723035667100028528_10_512_512_\Osteo_Sarco_1.png","RPT")</f>
        <v>RPT</v>
      </c>
      <c r="G127" s="3">
        <v>113</v>
      </c>
      <c r="H127" s="3"/>
    </row>
    <row r="128" spans="1:8" x14ac:dyDescent="0.3">
      <c r="A128" s="2">
        <v>1504533</v>
      </c>
      <c r="B128" s="2">
        <v>93</v>
      </c>
      <c r="C128" s="2" t="s">
        <v>5</v>
      </c>
      <c r="D128" s="2">
        <v>140</v>
      </c>
      <c r="E128" s="2"/>
      <c r="F128" s="4" t="str">
        <f>HYPERLINK("./Results/DLO\20181201_1.2.840.113619.2.416.287730306072989149107123592180443416028_301_512_512_\Osteo_Sarco_1.png","RPT")</f>
        <v>RPT</v>
      </c>
      <c r="G128" s="3">
        <v>108</v>
      </c>
      <c r="H128" s="3"/>
    </row>
    <row r="129" spans="1:8" x14ac:dyDescent="0.3">
      <c r="A129" s="2">
        <v>1504533</v>
      </c>
      <c r="B129" s="2">
        <v>93</v>
      </c>
      <c r="C129" s="2" t="s">
        <v>5</v>
      </c>
      <c r="D129" s="2">
        <v>140</v>
      </c>
      <c r="E129" s="2"/>
      <c r="F129" s="4" t="str">
        <f>HYPERLINK("./Results/DLO\20181201_1.2.840.113619.2.416.116532719054517071898164888940059008048_303_512_512_\Osteo_Sarco_1.png","RPT")</f>
        <v>RPT</v>
      </c>
      <c r="G129" s="3">
        <v>107</v>
      </c>
      <c r="H129" s="3"/>
    </row>
    <row r="130" spans="1:8" x14ac:dyDescent="0.3">
      <c r="A130" s="2">
        <v>1504533</v>
      </c>
      <c r="B130" s="2">
        <v>93</v>
      </c>
      <c r="C130" s="2" t="s">
        <v>5</v>
      </c>
      <c r="D130" s="2">
        <v>140</v>
      </c>
      <c r="E130" s="2"/>
      <c r="F130" s="4" t="str">
        <f>HYPERLINK("./Results/DLO\20181201_1.2.840.113619.2.416.35608729696185987677918358239260019508_305_512_512_\Osteo_Sarco_1.png","RPT")</f>
        <v>RPT</v>
      </c>
      <c r="G130" s="3">
        <v>81</v>
      </c>
      <c r="H130" s="3"/>
    </row>
    <row r="131" spans="1:8" x14ac:dyDescent="0.3">
      <c r="A131" s="2">
        <v>1508345</v>
      </c>
      <c r="B131" s="2">
        <v>80</v>
      </c>
      <c r="C131" s="2" t="s">
        <v>6</v>
      </c>
      <c r="D131" s="2">
        <v>100</v>
      </c>
      <c r="E131" s="2"/>
      <c r="F131" s="4" t="str">
        <f>HYPERLINK("./Results/DLO\20180701_1.2.840.113619.2.311.182450074522727492510918617727441679793_303_512_512_\Osteo_Sarco_1.png","RPT")</f>
        <v>RPT</v>
      </c>
      <c r="G131" s="3">
        <v>94</v>
      </c>
      <c r="H131" s="3"/>
    </row>
    <row r="132" spans="1:8" x14ac:dyDescent="0.3">
      <c r="A132" s="2">
        <v>1518024</v>
      </c>
      <c r="B132" s="2">
        <v>81</v>
      </c>
      <c r="C132" s="2" t="s">
        <v>6</v>
      </c>
      <c r="D132" s="2">
        <v>140</v>
      </c>
      <c r="E132" s="2"/>
      <c r="F132" s="4" t="str">
        <f>HYPERLINK("./Results/DLO\20181101_1.2.840.113619.2.416.77638182040550775474140250959755082471_303_512_512_\Osteo_Sarco_1.png","RPT")</f>
        <v>RPT</v>
      </c>
      <c r="G132" s="3">
        <v>74</v>
      </c>
      <c r="H132" s="3"/>
    </row>
    <row r="133" spans="1:8" x14ac:dyDescent="0.3">
      <c r="A133" s="2">
        <v>1523339</v>
      </c>
      <c r="B133" s="2">
        <v>70</v>
      </c>
      <c r="C133" s="2" t="s">
        <v>6</v>
      </c>
      <c r="D133" s="2">
        <v>100</v>
      </c>
      <c r="E133" s="2"/>
      <c r="F133" s="4" t="str">
        <f>HYPERLINK("./Results/DLO\20180801_1.3.12.2.1107.5.1.4.54310.30000018073123323842100027244_2_512_512_\Osteo_Sarco_1.png","RPT")</f>
        <v>RPT</v>
      </c>
      <c r="G133" s="3">
        <v>105</v>
      </c>
      <c r="H133" s="3"/>
    </row>
    <row r="134" spans="1:8" x14ac:dyDescent="0.3">
      <c r="A134" s="2">
        <v>1548092</v>
      </c>
      <c r="B134" s="2">
        <v>53</v>
      </c>
      <c r="C134" s="2" t="s">
        <v>6</v>
      </c>
      <c r="D134" s="2">
        <v>100</v>
      </c>
      <c r="E134" s="2"/>
      <c r="F134" s="4" t="str">
        <f>HYPERLINK("./Results/DLO\20200601_1.3.46.670589.33.1.63728766733688781200001.5577116955549923459_201_512_512_\Osteo_Sarco_1.png","RPT")</f>
        <v>RPT</v>
      </c>
      <c r="G134" s="3">
        <v>93</v>
      </c>
      <c r="H134" s="3"/>
    </row>
    <row r="135" spans="1:8" x14ac:dyDescent="0.3">
      <c r="A135" s="2">
        <v>1561321</v>
      </c>
      <c r="B135" s="2">
        <v>74</v>
      </c>
      <c r="C135" s="2" t="s">
        <v>6</v>
      </c>
      <c r="D135" s="2">
        <v>140</v>
      </c>
      <c r="E135" s="2"/>
      <c r="F135" s="4" t="str">
        <f>HYPERLINK("./Results/DLO\20180901_1.2.840.113619.2.416.46609484776467351852667226517240374778_302_512_512_\Osteo_Sarco_1.png","RPT")</f>
        <v>RPT</v>
      </c>
      <c r="G135" s="3">
        <v>99</v>
      </c>
      <c r="H135" s="3"/>
    </row>
    <row r="136" spans="1:8" x14ac:dyDescent="0.3">
      <c r="A136" s="2">
        <v>1561321</v>
      </c>
      <c r="B136" s="2">
        <v>74</v>
      </c>
      <c r="C136" s="2" t="s">
        <v>6</v>
      </c>
      <c r="D136" s="2">
        <v>140</v>
      </c>
      <c r="E136" s="2"/>
      <c r="F136" s="4" t="str">
        <f>HYPERLINK("./Results/DLO\20180901_1.2.840.113619.2.416.5141326780315060706543462944301870236_303_512_512_\Osteo_Sarco_1.png","RPT")</f>
        <v>RPT</v>
      </c>
      <c r="G136" s="3">
        <v>94</v>
      </c>
      <c r="H136" s="3"/>
    </row>
    <row r="137" spans="1:8" x14ac:dyDescent="0.3">
      <c r="A137" s="2">
        <v>1562168</v>
      </c>
      <c r="B137" s="2">
        <v>79</v>
      </c>
      <c r="C137" s="2" t="s">
        <v>6</v>
      </c>
      <c r="D137" s="2">
        <v>140</v>
      </c>
      <c r="E137" s="2"/>
      <c r="F137" s="4" t="str">
        <f>HYPERLINK("./Results/DLO\20190401_1.2.840.113619.2.416.229286499912760914101006050483008664749_306_512_512_\Osteo_Sarco_1.png","RPT")</f>
        <v>RPT</v>
      </c>
      <c r="G137" s="3">
        <v>87</v>
      </c>
      <c r="H137" s="3"/>
    </row>
    <row r="138" spans="1:8" x14ac:dyDescent="0.3">
      <c r="A138" s="2">
        <v>1562168</v>
      </c>
      <c r="B138" s="2">
        <v>79</v>
      </c>
      <c r="C138" s="2" t="s">
        <v>6</v>
      </c>
      <c r="D138" s="2">
        <v>140</v>
      </c>
      <c r="E138" s="2"/>
      <c r="F138" s="4" t="str">
        <f>HYPERLINK("./Results/DLO\20190401_1.2.840.113619.2.416.148897689349154759340569876778217485873_303_512_512_\Osteo_Sarco_1.png","RPT")</f>
        <v>RPT</v>
      </c>
      <c r="G138" s="3">
        <v>86</v>
      </c>
      <c r="H138" s="3"/>
    </row>
    <row r="139" spans="1:8" x14ac:dyDescent="0.3">
      <c r="A139" s="2">
        <v>1562168</v>
      </c>
      <c r="B139" s="2">
        <v>79</v>
      </c>
      <c r="C139" s="2" t="s">
        <v>6</v>
      </c>
      <c r="D139" s="2">
        <v>140</v>
      </c>
      <c r="E139" s="2"/>
      <c r="F139" s="4" t="str">
        <f>HYPERLINK("./Results/DLO\20190401_1.2.840.113619.2.416.52549212135455764421877621904706662336_301_512_512_\Osteo_Sarco_1.png","RPT")</f>
        <v>RPT</v>
      </c>
      <c r="G139" s="3">
        <v>81</v>
      </c>
      <c r="H139" s="3"/>
    </row>
    <row r="140" spans="1:8" x14ac:dyDescent="0.3">
      <c r="A140" s="2">
        <v>1562168</v>
      </c>
      <c r="B140" s="2">
        <v>79</v>
      </c>
      <c r="C140" s="2" t="s">
        <v>6</v>
      </c>
      <c r="D140" s="2">
        <v>140</v>
      </c>
      <c r="E140" s="2"/>
      <c r="F140" s="4" t="str">
        <f>HYPERLINK("./Results/DLO\20190401_1.2.840.113619.2.416.216866331265989838760714523266254690790_2_512_512_\Osteo_Sarco_1.png","RPT")</f>
        <v>RPT</v>
      </c>
      <c r="G140" s="3">
        <v>77</v>
      </c>
      <c r="H140" s="3"/>
    </row>
    <row r="141" spans="1:8" x14ac:dyDescent="0.3">
      <c r="A141" s="2">
        <v>1570118</v>
      </c>
      <c r="B141" s="2">
        <v>70</v>
      </c>
      <c r="C141" s="2" t="s">
        <v>6</v>
      </c>
      <c r="D141" s="2">
        <v>100</v>
      </c>
      <c r="E141" s="2"/>
      <c r="F141" s="4" t="str">
        <f>HYPERLINK("./Results/DLO\20180501_1.2.840.113619.2.311.215885783448393362994551814396705847534_303_512_512_\Osteo_Sarco_1.png","RPT")</f>
        <v>RPT</v>
      </c>
      <c r="G141" s="3">
        <v>110</v>
      </c>
      <c r="H141" s="3"/>
    </row>
    <row r="142" spans="1:8" x14ac:dyDescent="0.3">
      <c r="A142" s="2">
        <v>1571269</v>
      </c>
      <c r="B142" s="2">
        <v>69</v>
      </c>
      <c r="C142" s="2" t="s">
        <v>5</v>
      </c>
      <c r="D142" s="2">
        <v>100</v>
      </c>
      <c r="E142" s="2"/>
      <c r="F142" s="4" t="str">
        <f>HYPERLINK("./Results/DLO\20181201_1.3.12.2.1107.5.1.4.65253.30000018121320264867000019057_2_512_512_\Osteo_Sarco_1.png","RPT")</f>
        <v>RPT</v>
      </c>
      <c r="G142" s="3">
        <v>150</v>
      </c>
      <c r="H142" s="3"/>
    </row>
    <row r="143" spans="1:8" x14ac:dyDescent="0.3">
      <c r="A143" s="2">
        <v>1589698</v>
      </c>
      <c r="B143" s="2">
        <v>48</v>
      </c>
      <c r="C143" s="2" t="s">
        <v>6</v>
      </c>
      <c r="D143" s="2">
        <v>100</v>
      </c>
      <c r="E143" s="2"/>
      <c r="F143" s="4" t="str">
        <f>HYPERLINK("./Results/DLO\20180401_1.3.12.2.1107.5.1.4.54310.30000018040123113548400003843_2_512_512_\Osteo_Sarco_1.png","RPT")</f>
        <v>RPT</v>
      </c>
      <c r="G143" s="3">
        <v>87</v>
      </c>
      <c r="H143" s="3"/>
    </row>
    <row r="144" spans="1:8" x14ac:dyDescent="0.3">
      <c r="A144" s="2">
        <v>1616094</v>
      </c>
      <c r="B144" s="2">
        <v>48</v>
      </c>
      <c r="C144" s="2" t="s">
        <v>6</v>
      </c>
      <c r="D144" s="2">
        <v>100</v>
      </c>
      <c r="E144" s="2"/>
      <c r="F144" s="4" t="str">
        <f>HYPERLINK("./Results/DLO\20190901_1.2.840.113619.2.416.303823446491670807226256448480346483909_310_512_512_\Osteo_Sarco_1.png","RPT")</f>
        <v>RPT</v>
      </c>
      <c r="G144" s="3">
        <v>81</v>
      </c>
      <c r="H144" s="3"/>
    </row>
    <row r="145" spans="1:8" x14ac:dyDescent="0.3">
      <c r="A145" s="2">
        <v>1621274</v>
      </c>
      <c r="B145" s="2">
        <v>81</v>
      </c>
      <c r="C145" s="2" t="s">
        <v>5</v>
      </c>
      <c r="D145" s="2">
        <v>100</v>
      </c>
      <c r="E145" s="2"/>
      <c r="F145" s="4" t="str">
        <f>HYPERLINK("./Results/DLO\20190301_1.3.12.2.1107.5.1.4.65253.30000019031416485450100023976_9_512_512_\Osteo_Sarco_1.png","RPT")</f>
        <v>RPT</v>
      </c>
      <c r="G145" s="3">
        <v>132</v>
      </c>
      <c r="H145" s="3"/>
    </row>
    <row r="146" spans="1:8" x14ac:dyDescent="0.3">
      <c r="A146" s="2">
        <v>1621274</v>
      </c>
      <c r="B146" s="2">
        <v>81</v>
      </c>
      <c r="C146" s="2" t="s">
        <v>5</v>
      </c>
      <c r="D146" s="2">
        <v>100</v>
      </c>
      <c r="E146" s="2"/>
      <c r="F146" s="4" t="str">
        <f>HYPERLINK("./Results/DLO\20190301_1.3.12.2.1107.5.1.4.65253.30000019031416485450100023181_5_512_512_\Osteo_Sarco_1.png","RPT")</f>
        <v>RPT</v>
      </c>
      <c r="G146" s="3">
        <v>128</v>
      </c>
      <c r="H146" s="3"/>
    </row>
    <row r="147" spans="1:8" x14ac:dyDescent="0.3">
      <c r="A147" s="2">
        <v>1621274</v>
      </c>
      <c r="B147" s="2">
        <v>81</v>
      </c>
      <c r="C147" s="2" t="s">
        <v>5</v>
      </c>
      <c r="D147" s="2">
        <v>100</v>
      </c>
      <c r="E147" s="2"/>
      <c r="F147" s="4" t="str">
        <f>HYPERLINK("./Results/DLO\20190301_1.3.12.2.1107.5.1.4.65253.30000019031416485450100023690_7_512_512_\Osteo_Sarco_1.png","RPT")</f>
        <v>RPT</v>
      </c>
      <c r="G147" s="3">
        <v>128</v>
      </c>
      <c r="H147" s="3"/>
    </row>
    <row r="148" spans="1:8" x14ac:dyDescent="0.3">
      <c r="A148" s="2">
        <v>1621274</v>
      </c>
      <c r="B148" s="2">
        <v>81</v>
      </c>
      <c r="C148" s="2" t="s">
        <v>5</v>
      </c>
      <c r="D148" s="2">
        <v>100</v>
      </c>
      <c r="E148" s="2"/>
      <c r="F148" s="4" t="str">
        <f>HYPERLINK("./Results/DLO\20190301_1.3.12.2.1107.5.1.4.65253.30000019031416485450100023084_2_512_512_\Osteo_Sarco_1.png","RPT")</f>
        <v>RPT</v>
      </c>
      <c r="G148" s="3">
        <v>127</v>
      </c>
      <c r="H148" s="3"/>
    </row>
    <row r="149" spans="1:8" x14ac:dyDescent="0.3">
      <c r="A149" s="2">
        <v>1634115</v>
      </c>
      <c r="B149" s="2">
        <v>60</v>
      </c>
      <c r="C149" s="2" t="s">
        <v>6</v>
      </c>
      <c r="D149" s="2">
        <v>100</v>
      </c>
      <c r="E149" s="2"/>
      <c r="F149" s="4" t="str">
        <f>HYPERLINK("./Results/DLO\20200601_1.3.46.670589.33.1.63728413415163480800001.5450431053869491647_301_512_512_\Osteo_Sarco_1.png","RPT")</f>
        <v>RPT</v>
      </c>
      <c r="G149" s="3">
        <v>104</v>
      </c>
      <c r="H149" s="3"/>
    </row>
    <row r="150" spans="1:8" x14ac:dyDescent="0.3">
      <c r="A150" s="2">
        <v>1634115</v>
      </c>
      <c r="B150" s="2">
        <v>60</v>
      </c>
      <c r="C150" s="2" t="s">
        <v>6</v>
      </c>
      <c r="D150" s="2">
        <v>100</v>
      </c>
      <c r="E150" s="2"/>
      <c r="F150" s="4" t="str">
        <f>HYPERLINK("./Results/DLO\20200601_1.3.46.670589.33.1.63728413297741764600001.5013148458173627995_201_512_512_\Osteo_Sarco_1.png","RPT")</f>
        <v>RPT</v>
      </c>
      <c r="G150" s="3">
        <v>102</v>
      </c>
      <c r="H150" s="3"/>
    </row>
    <row r="151" spans="1:8" x14ac:dyDescent="0.3">
      <c r="A151" s="2">
        <v>1678834</v>
      </c>
      <c r="B151" s="2">
        <v>69</v>
      </c>
      <c r="C151" s="2" t="s">
        <v>6</v>
      </c>
      <c r="D151" s="2">
        <v>100</v>
      </c>
      <c r="E151" s="2"/>
      <c r="F151" s="4" t="str">
        <f>HYPERLINK("./Results/DLO\20180801_1.3.12.2.1107.5.1.4.54310.30000018081323504317100014176_2_512_512_\Osteo_Sarco_1.png","RPT")</f>
        <v>RPT</v>
      </c>
      <c r="G151" s="3">
        <v>103</v>
      </c>
      <c r="H151" s="3"/>
    </row>
    <row r="152" spans="1:8" x14ac:dyDescent="0.3">
      <c r="A152" s="2">
        <v>1689397</v>
      </c>
      <c r="B152" s="2">
        <v>79</v>
      </c>
      <c r="C152" s="2" t="s">
        <v>6</v>
      </c>
      <c r="D152" s="2">
        <v>100</v>
      </c>
      <c r="E152" s="2"/>
      <c r="F152" s="4" t="str">
        <f>HYPERLINK("./Results/DLO\20200101_1.2.410.100011.172.16.64.21.6371960568501637121.6_6_512_512_\Osteo_Sarco_1.png","RPT")</f>
        <v>RPT</v>
      </c>
      <c r="G152" s="3">
        <v>133</v>
      </c>
      <c r="H152" s="3"/>
    </row>
    <row r="153" spans="1:8" x14ac:dyDescent="0.3">
      <c r="A153" s="2">
        <v>1689397</v>
      </c>
      <c r="B153" s="2">
        <v>79</v>
      </c>
      <c r="C153" s="2" t="s">
        <v>6</v>
      </c>
      <c r="D153" s="2">
        <v>100</v>
      </c>
      <c r="E153" s="2"/>
      <c r="F153" s="4" t="str">
        <f>HYPERLINK("./Results/DLO\20200101_1.2.410.100011.172.16.64.21.6371960568501637121.3_3_512_512_\Osteo_Sarco_1.png","RPT")</f>
        <v>RPT</v>
      </c>
      <c r="G153" s="3">
        <v>129</v>
      </c>
      <c r="H153" s="3"/>
    </row>
    <row r="154" spans="1:8" x14ac:dyDescent="0.3">
      <c r="A154" s="2">
        <v>1689397</v>
      </c>
      <c r="B154" s="2">
        <v>79</v>
      </c>
      <c r="C154" s="2" t="s">
        <v>6</v>
      </c>
      <c r="D154" s="2">
        <v>100</v>
      </c>
      <c r="E154" s="2"/>
      <c r="F154" s="4" t="str">
        <f>HYPERLINK("./Results/DLO\20200101_1.2.410.100011.172.16.64.21.6371960568501637121.2_2_512_512_\Osteo_Sarco_1.png","RPT")</f>
        <v>RPT</v>
      </c>
      <c r="G154" s="3">
        <v>127</v>
      </c>
      <c r="H154" s="3"/>
    </row>
    <row r="155" spans="1:8" x14ac:dyDescent="0.3">
      <c r="A155" s="2">
        <v>1711119</v>
      </c>
      <c r="B155" s="2">
        <v>55</v>
      </c>
      <c r="C155" s="2" t="s">
        <v>6</v>
      </c>
      <c r="D155" s="2">
        <v>100</v>
      </c>
      <c r="E155" s="2"/>
      <c r="F155" s="4" t="str">
        <f>HYPERLINK("./Results/DLO\20190801_1.3.46.670589.33.1.63700256048239246500001.5122669567908638529_201_512_512_\Osteo_Sarco_1.png","RPT")</f>
        <v>RPT</v>
      </c>
      <c r="G155" s="3">
        <v>96</v>
      </c>
      <c r="H155" s="3"/>
    </row>
    <row r="156" spans="1:8" x14ac:dyDescent="0.3">
      <c r="A156" s="2">
        <v>1711665</v>
      </c>
      <c r="B156" s="2">
        <v>70</v>
      </c>
      <c r="C156" s="2" t="s">
        <v>6</v>
      </c>
      <c r="D156" s="2">
        <v>100</v>
      </c>
      <c r="E156" s="2"/>
      <c r="F156" s="4" t="str">
        <f>HYPERLINK("./Results/DLO\20180501_1.2.840.113619.2.416.56884268046232602318776149709939571757_304_512_512_\Osteo_Sarco_1.png","RPT")</f>
        <v>RPT</v>
      </c>
      <c r="G156" s="3">
        <v>117</v>
      </c>
      <c r="H156" s="3"/>
    </row>
    <row r="157" spans="1:8" x14ac:dyDescent="0.3">
      <c r="A157" s="2">
        <v>1716981</v>
      </c>
      <c r="B157" s="2">
        <v>40</v>
      </c>
      <c r="C157" s="2" t="s">
        <v>6</v>
      </c>
      <c r="D157" s="2">
        <v>100</v>
      </c>
      <c r="E157" s="2"/>
      <c r="F157" s="4" t="str">
        <f>HYPERLINK("./Results/DLO\20180201_1.3.12.2.1107.5.1.4.65253.30000018022423580444000005756_6_512_512_\Osteo_Sarco_1.png","RPT")</f>
        <v>RPT</v>
      </c>
      <c r="G157" s="3">
        <v>95</v>
      </c>
      <c r="H157" s="3"/>
    </row>
    <row r="158" spans="1:8" x14ac:dyDescent="0.3">
      <c r="A158" s="2">
        <v>1718562</v>
      </c>
      <c r="B158" s="2">
        <v>47</v>
      </c>
      <c r="C158" s="2" t="s">
        <v>5</v>
      </c>
      <c r="D158" s="2">
        <v>120</v>
      </c>
      <c r="E158" s="2"/>
      <c r="F158" s="4" t="str">
        <f>HYPERLINK("./Results/DLO\20180101_1.3.12.2.1107.5.1.4.54310.30000018010223094192100024635_7_512_512_\Osteo_Sarco_1.png","RPT")</f>
        <v>RPT</v>
      </c>
      <c r="G158" s="3">
        <v>146</v>
      </c>
      <c r="H158" s="3"/>
    </row>
    <row r="159" spans="1:8" x14ac:dyDescent="0.3">
      <c r="A159" s="2">
        <v>1718562</v>
      </c>
      <c r="B159" s="2">
        <v>47</v>
      </c>
      <c r="C159" s="2" t="s">
        <v>5</v>
      </c>
      <c r="D159" s="2">
        <v>120</v>
      </c>
      <c r="E159" s="2"/>
      <c r="F159" s="4" t="str">
        <f>HYPERLINK("./Results/DLO\20180101_1.3.12.2.1107.5.1.4.54310.30000018010223094192100024380_6_512_512_\Osteo_Sarco_1.png","RPT")</f>
        <v>RPT</v>
      </c>
      <c r="G159" s="3">
        <v>144</v>
      </c>
      <c r="H159" s="3"/>
    </row>
    <row r="160" spans="1:8" x14ac:dyDescent="0.3">
      <c r="A160" s="2">
        <v>1718562</v>
      </c>
      <c r="B160" s="2">
        <v>47</v>
      </c>
      <c r="C160" s="2" t="s">
        <v>5</v>
      </c>
      <c r="D160" s="2">
        <v>120</v>
      </c>
      <c r="E160" s="2"/>
      <c r="F160" s="4" t="str">
        <f>HYPERLINK("./Results/DLO\20180101_1.3.12.2.1107.5.1.4.54310.30000018010223094192100023965_4_512_512_\Osteo_Sarco_1.png","RPT")</f>
        <v>RPT</v>
      </c>
      <c r="G160" s="3">
        <v>143</v>
      </c>
      <c r="H160" s="3"/>
    </row>
    <row r="161" spans="1:8" x14ac:dyDescent="0.3">
      <c r="A161" s="2">
        <v>1718562</v>
      </c>
      <c r="B161" s="2">
        <v>47</v>
      </c>
      <c r="C161" s="2" t="s">
        <v>5</v>
      </c>
      <c r="D161" s="2">
        <v>100</v>
      </c>
      <c r="E161" s="2"/>
      <c r="F161" s="4" t="str">
        <f>HYPERLINK("./Results/DLO\20180101_1.3.12.2.1107.5.1.4.54310.30000018010223094192100023871_3_512_512_\Osteo_Sarco_1.png","RPT")</f>
        <v>RPT</v>
      </c>
      <c r="G161" s="3">
        <v>142</v>
      </c>
      <c r="H161" s="3"/>
    </row>
    <row r="162" spans="1:8" x14ac:dyDescent="0.3">
      <c r="A162" s="2">
        <v>1731290</v>
      </c>
      <c r="B162" s="2">
        <v>66</v>
      </c>
      <c r="C162" s="2" t="s">
        <v>6</v>
      </c>
      <c r="D162" s="2">
        <v>120</v>
      </c>
      <c r="E162" s="2"/>
      <c r="F162" s="4" t="str">
        <f>HYPERLINK("./Results/DLO\20191101_1.2.410.100011.172.16.44.21.6371078457036410261.2_2_512_512_\Osteo_Sarco_1.png","RPT")</f>
        <v>RPT</v>
      </c>
      <c r="G162" s="3">
        <v>96</v>
      </c>
      <c r="H162" s="3"/>
    </row>
    <row r="163" spans="1:8" x14ac:dyDescent="0.3">
      <c r="A163" s="2">
        <v>1751229</v>
      </c>
      <c r="B163" s="2">
        <v>61</v>
      </c>
      <c r="C163" s="2" t="s">
        <v>6</v>
      </c>
      <c r="D163" s="2">
        <v>100</v>
      </c>
      <c r="E163" s="2"/>
      <c r="F163" s="4" t="str">
        <f>HYPERLINK("./Results/DLO\20180101_1.3.12.2.1107.5.1.4.54310.30000018011623145625000013201_2_512_512_\Osteo_Sarco_1.png","RPT")</f>
        <v>RPT</v>
      </c>
      <c r="G163" s="3">
        <v>107</v>
      </c>
      <c r="H163" s="3"/>
    </row>
    <row r="164" spans="1:8" x14ac:dyDescent="0.3">
      <c r="A164" s="2">
        <v>1763313</v>
      </c>
      <c r="B164" s="2">
        <v>52</v>
      </c>
      <c r="C164" s="2" t="s">
        <v>6</v>
      </c>
      <c r="D164" s="2">
        <v>100</v>
      </c>
      <c r="E164" s="2"/>
      <c r="F164" s="4" t="str">
        <f>HYPERLINK("./Results/DLO\20191201_1.3.12.2.1107.5.1.4.54310.30000019120822065890600013576_7_512_512_\Osteo_Sarco_1.png","RPT")</f>
        <v>RPT</v>
      </c>
      <c r="G164" s="3">
        <v>113</v>
      </c>
      <c r="H164" s="3"/>
    </row>
    <row r="165" spans="1:8" x14ac:dyDescent="0.3">
      <c r="A165" s="2">
        <v>1763313</v>
      </c>
      <c r="B165" s="2">
        <v>52</v>
      </c>
      <c r="C165" s="2" t="s">
        <v>6</v>
      </c>
      <c r="D165" s="2">
        <v>100</v>
      </c>
      <c r="E165" s="2"/>
      <c r="F165" s="4" t="str">
        <f>HYPERLINK("./Results/DLO\20191201_1.3.12.2.1107.5.1.4.54310.30000019120822065890600013832_9_512_512_\Osteo_Sarco_1.png","RPT")</f>
        <v>RPT</v>
      </c>
      <c r="G165" s="3">
        <v>113</v>
      </c>
      <c r="H165" s="3"/>
    </row>
    <row r="166" spans="1:8" x14ac:dyDescent="0.3">
      <c r="A166" s="2">
        <v>1763313</v>
      </c>
      <c r="B166" s="2">
        <v>52</v>
      </c>
      <c r="C166" s="2" t="s">
        <v>6</v>
      </c>
      <c r="D166" s="2">
        <v>100</v>
      </c>
      <c r="E166" s="2"/>
      <c r="F166" s="4" t="str">
        <f>HYPERLINK("./Results/DLO\20191201_1.3.12.2.1107.5.1.4.54310.30000019120822065890600013156_3_512_512_\Osteo_Sarco_1.png","RPT")</f>
        <v>RPT</v>
      </c>
      <c r="G166" s="3">
        <v>112</v>
      </c>
      <c r="H166" s="3"/>
    </row>
    <row r="167" spans="1:8" x14ac:dyDescent="0.3">
      <c r="A167" s="2">
        <v>1763313</v>
      </c>
      <c r="B167" s="2">
        <v>52</v>
      </c>
      <c r="C167" s="2" t="s">
        <v>6</v>
      </c>
      <c r="D167" s="2">
        <v>100</v>
      </c>
      <c r="E167" s="2"/>
      <c r="F167" s="4" t="str">
        <f>HYPERLINK("./Results/DLO\20191201_1.3.12.2.1107.5.1.4.54310.30000019120822065890600013240_5_512_512_\Osteo_Sarco_1.png","RPT")</f>
        <v>RPT</v>
      </c>
      <c r="G167" s="3">
        <v>112</v>
      </c>
      <c r="H167" s="3"/>
    </row>
    <row r="168" spans="1:8" x14ac:dyDescent="0.3">
      <c r="A168" s="2">
        <v>1766512</v>
      </c>
      <c r="B168" s="2">
        <v>57</v>
      </c>
      <c r="C168" s="2" t="s">
        <v>6</v>
      </c>
      <c r="D168" s="2">
        <v>120</v>
      </c>
      <c r="E168" s="2"/>
      <c r="F168" s="4" t="str">
        <f>HYPERLINK("./Results/DLO\20190501_1.2.410.100011.172.16.64.22.6369333706025787172.4_4_512_512_\Osteo_Sarco_1.png","RPT")</f>
        <v>RPT</v>
      </c>
      <c r="G168" s="3">
        <v>132</v>
      </c>
      <c r="H168" s="3"/>
    </row>
    <row r="169" spans="1:8" x14ac:dyDescent="0.3">
      <c r="A169" s="2">
        <v>1771671</v>
      </c>
      <c r="B169" s="2">
        <v>46</v>
      </c>
      <c r="C169" s="2" t="s">
        <v>6</v>
      </c>
      <c r="D169" s="2">
        <v>100</v>
      </c>
      <c r="E169" s="2"/>
      <c r="F169" s="4" t="str">
        <f>HYPERLINK("./Results/DLO\20190601_1.3.12.2.1107.5.1.4.54310.30000019062600375940600037185_2_512_512_\Osteo_Sarco_1.png","RPT")</f>
        <v>RPT</v>
      </c>
      <c r="G169" s="3">
        <v>118</v>
      </c>
      <c r="H169" s="3"/>
    </row>
    <row r="170" spans="1:8" x14ac:dyDescent="0.3">
      <c r="A170" s="2">
        <v>1779260</v>
      </c>
      <c r="B170" s="2">
        <v>66</v>
      </c>
      <c r="C170" s="2" t="s">
        <v>5</v>
      </c>
      <c r="D170" s="2">
        <v>120</v>
      </c>
      <c r="E170" s="2"/>
      <c r="F170" s="4" t="str">
        <f>HYPERLINK("./Results/DLO\20181201_1.2.840.113619.2.416.69921920005680133702617570230296946690_2_512_512_\Osteo_Sarco_1.png","RPT")</f>
        <v>RPT</v>
      </c>
      <c r="G170" s="3">
        <v>145</v>
      </c>
      <c r="H170" s="3"/>
    </row>
    <row r="171" spans="1:8" x14ac:dyDescent="0.3">
      <c r="A171" s="2">
        <v>1779260</v>
      </c>
      <c r="B171" s="2">
        <v>66</v>
      </c>
      <c r="C171" s="2" t="s">
        <v>5</v>
      </c>
      <c r="D171" s="2">
        <v>140</v>
      </c>
      <c r="E171" s="2"/>
      <c r="F171" s="4" t="str">
        <f>HYPERLINK("./Results/DLO\20181201_1.2.840.113619.2.416.190206587104814493800991910648175080664_302_512_512_\Osteo_Sarco_1.png","RPT")</f>
        <v>RPT</v>
      </c>
      <c r="G171" s="3">
        <v>143</v>
      </c>
      <c r="H171" s="3"/>
    </row>
    <row r="172" spans="1:8" x14ac:dyDescent="0.3">
      <c r="A172" s="2">
        <v>1782470</v>
      </c>
      <c r="B172" s="2">
        <v>29</v>
      </c>
      <c r="C172" s="2" t="s">
        <v>6</v>
      </c>
      <c r="D172" s="2">
        <v>100</v>
      </c>
      <c r="E172" s="2"/>
      <c r="F172" s="4" t="str">
        <f>HYPERLINK("./Results/DLO\20180801_1.3.12.2.1107.5.1.4.65253.30000018083108214308600019613_3_512_512_\Osteo_Sarco_1.png","RPT")</f>
        <v>RPT</v>
      </c>
      <c r="G172" s="3">
        <v>114</v>
      </c>
      <c r="H172" s="3"/>
    </row>
    <row r="173" spans="1:8" x14ac:dyDescent="0.3">
      <c r="A173" s="2">
        <v>1782470</v>
      </c>
      <c r="B173" s="2">
        <v>29</v>
      </c>
      <c r="C173" s="2" t="s">
        <v>6</v>
      </c>
      <c r="D173" s="2">
        <v>100</v>
      </c>
      <c r="E173" s="2"/>
      <c r="F173" s="4" t="str">
        <f>HYPERLINK("./Results/DLO\20180801_1.3.12.2.1107.5.1.4.65253.30000018083108214308600019453_2_512_512_\Osteo_Sarco_1.png","RPT")</f>
        <v>RPT</v>
      </c>
      <c r="G173" s="3">
        <v>113</v>
      </c>
      <c r="H173" s="3"/>
    </row>
    <row r="174" spans="1:8" x14ac:dyDescent="0.3">
      <c r="A174" s="2">
        <v>1785265</v>
      </c>
      <c r="B174" s="2">
        <v>78</v>
      </c>
      <c r="C174" s="2" t="s">
        <v>6</v>
      </c>
      <c r="D174" s="2">
        <v>140</v>
      </c>
      <c r="E174" s="2"/>
      <c r="F174" s="4" t="str">
        <f>HYPERLINK("./Results/DLO\20191101_1.2.840.113619.2.416.263172582903575793727494400182890728962_305_512_512_\Osteo_Sarco_1.png","RPT")</f>
        <v>RPT</v>
      </c>
      <c r="G174" s="3">
        <v>90</v>
      </c>
      <c r="H174" s="3"/>
    </row>
    <row r="175" spans="1:8" x14ac:dyDescent="0.3">
      <c r="A175" s="2">
        <v>1785265</v>
      </c>
      <c r="B175" s="2">
        <v>78</v>
      </c>
      <c r="C175" s="2" t="s">
        <v>6</v>
      </c>
      <c r="D175" s="2">
        <v>120</v>
      </c>
      <c r="E175" s="2"/>
      <c r="F175" s="4" t="str">
        <f>HYPERLINK("./Results/DLO\20191101_1.2.840.113619.2.416.135198826234191959526557082030255213607_2_512_512_\Osteo_Sarco_1.png","RPT")</f>
        <v>RPT</v>
      </c>
      <c r="G175" s="3">
        <v>85</v>
      </c>
      <c r="H175" s="3"/>
    </row>
    <row r="176" spans="1:8" x14ac:dyDescent="0.3">
      <c r="A176" s="2">
        <v>1785294</v>
      </c>
      <c r="B176" s="2">
        <v>76</v>
      </c>
      <c r="C176" s="2" t="s">
        <v>5</v>
      </c>
      <c r="D176" s="2">
        <v>100</v>
      </c>
      <c r="E176" s="2"/>
      <c r="F176" s="4" t="str">
        <f>HYPERLINK("./Results/DLO\20181101_1.2.840.113619.2.311.298293438295719788525987873850220549623_303_512_512_\Osteo_Sarco_1.png","RPT")</f>
        <v>RPT</v>
      </c>
      <c r="G176" s="3">
        <v>102</v>
      </c>
      <c r="H176" s="3"/>
    </row>
    <row r="177" spans="1:8" x14ac:dyDescent="0.3">
      <c r="A177" s="2">
        <v>1791719</v>
      </c>
      <c r="B177" s="2">
        <v>28</v>
      </c>
      <c r="C177" s="2" t="s">
        <v>5</v>
      </c>
      <c r="D177" s="2">
        <v>100</v>
      </c>
      <c r="E177" s="2"/>
      <c r="F177" s="4" t="str">
        <f>HYPERLINK("./Results/DLO\20180201_1.3.46.670589.33.1.63653416965704727800001.5267039976941433299_201_512_512_\Osteo_Sarco_1.png","RPT")</f>
        <v>RPT</v>
      </c>
      <c r="G177" s="3">
        <v>150</v>
      </c>
      <c r="H177" s="3"/>
    </row>
    <row r="178" spans="1:8" x14ac:dyDescent="0.3">
      <c r="A178" s="2">
        <v>1818904</v>
      </c>
      <c r="B178" s="2">
        <v>55</v>
      </c>
      <c r="C178" s="2" t="s">
        <v>5</v>
      </c>
      <c r="D178" s="2">
        <v>100</v>
      </c>
      <c r="E178" s="2"/>
      <c r="F178" s="4" t="str">
        <f>HYPERLINK("./Results/DLO\20180101_1.3.12.2.1107.5.1.4.54310.30000018010323200323400006001_2_512_512_\Osteo_Sarco_1.png","RPT")</f>
        <v>RPT</v>
      </c>
      <c r="G178" s="3">
        <v>181</v>
      </c>
      <c r="H178" s="3"/>
    </row>
    <row r="179" spans="1:8" x14ac:dyDescent="0.3">
      <c r="A179" s="2">
        <v>1828726</v>
      </c>
      <c r="B179" s="2">
        <v>70</v>
      </c>
      <c r="C179" s="2" t="s">
        <v>6</v>
      </c>
      <c r="D179" s="2">
        <v>140</v>
      </c>
      <c r="E179" s="2"/>
      <c r="F179" s="4" t="str">
        <f>HYPERLINK("./Results/DLO\20180401_1.2.840.113619.2.416.128977244655297008614966551265172170965_304_512_512_\Osteo_Sarco_1.png","RPT")</f>
        <v>RPT</v>
      </c>
      <c r="G179" s="3">
        <v>107</v>
      </c>
      <c r="H179" s="3"/>
    </row>
    <row r="180" spans="1:8" x14ac:dyDescent="0.3">
      <c r="A180" s="2">
        <v>1828726</v>
      </c>
      <c r="B180" s="2">
        <v>70</v>
      </c>
      <c r="C180" s="2" t="s">
        <v>6</v>
      </c>
      <c r="D180" s="2">
        <v>140</v>
      </c>
      <c r="E180" s="2"/>
      <c r="F180" s="4" t="str">
        <f>HYPERLINK("./Results/DLO\20180401_1.2.840.113619.2.416.18341971688620386206056076108260800420_308_512_512_\Osteo_Sarco_1.png","RPT")</f>
        <v>RPT</v>
      </c>
      <c r="G180" s="3">
        <v>107</v>
      </c>
      <c r="H180" s="3"/>
    </row>
    <row r="181" spans="1:8" x14ac:dyDescent="0.3">
      <c r="A181" s="2">
        <v>1828726</v>
      </c>
      <c r="B181" s="2">
        <v>70</v>
      </c>
      <c r="C181" s="2" t="s">
        <v>6</v>
      </c>
      <c r="D181" s="2">
        <v>140</v>
      </c>
      <c r="E181" s="2"/>
      <c r="F181" s="4" t="str">
        <f>HYPERLINK("./Results/DLO\20180401_1.2.840.113619.2.416.191813463446975871641367293397313690459_302_512_512_\Osteo_Sarco_1.png","RPT")</f>
        <v>RPT</v>
      </c>
      <c r="G181" s="3">
        <v>105</v>
      </c>
      <c r="H181" s="3"/>
    </row>
    <row r="182" spans="1:8" x14ac:dyDescent="0.3">
      <c r="A182" s="2">
        <v>1828726</v>
      </c>
      <c r="B182" s="2">
        <v>70</v>
      </c>
      <c r="C182" s="2" t="s">
        <v>6</v>
      </c>
      <c r="D182" s="2">
        <v>140</v>
      </c>
      <c r="E182" s="2"/>
      <c r="F182" s="4" t="str">
        <f>HYPERLINK("./Results/DLO\20180401_1.2.840.113619.2.416.76273801644121151912810370956842609907_2_512_512_\Osteo_Sarco_1.png","RPT")</f>
        <v>RPT</v>
      </c>
      <c r="G182" s="3">
        <v>104</v>
      </c>
      <c r="H182" s="3"/>
    </row>
    <row r="183" spans="1:8" x14ac:dyDescent="0.3">
      <c r="A183" s="2">
        <v>1834025</v>
      </c>
      <c r="B183" s="2">
        <v>63</v>
      </c>
      <c r="C183" s="2" t="s">
        <v>6</v>
      </c>
      <c r="D183" s="2">
        <v>100</v>
      </c>
      <c r="E183" s="2"/>
      <c r="F183" s="4" t="str">
        <f>HYPERLINK("./Results/DLO\20180801_1.3.46.670589.33.1.63669496906113310300001.5028447648949523837_201_512_512_\Osteo_Sarco_1.png","RPT")</f>
        <v>RPT</v>
      </c>
      <c r="G183" s="3">
        <v>92</v>
      </c>
      <c r="H183" s="3"/>
    </row>
    <row r="184" spans="1:8" x14ac:dyDescent="0.3">
      <c r="A184" s="2">
        <v>1835207</v>
      </c>
      <c r="B184" s="2">
        <v>48</v>
      </c>
      <c r="C184" s="2" t="s">
        <v>6</v>
      </c>
      <c r="D184" s="2">
        <v>140</v>
      </c>
      <c r="E184" s="2"/>
      <c r="F184" s="4" t="str">
        <f>HYPERLINK("./Results/DLO\20180701_1.2.840.113619.2.416.320242736527272686675414307311455590476_302_512_512_\Osteo_Sarco_1.png","RPT")</f>
        <v>RPT</v>
      </c>
      <c r="G184" s="3">
        <v>89</v>
      </c>
      <c r="H184" s="3"/>
    </row>
    <row r="185" spans="1:8" x14ac:dyDescent="0.3">
      <c r="A185" s="2">
        <v>1835207</v>
      </c>
      <c r="B185" s="2">
        <v>48</v>
      </c>
      <c r="C185" s="2" t="s">
        <v>6</v>
      </c>
      <c r="D185" s="2">
        <v>140</v>
      </c>
      <c r="E185" s="2"/>
      <c r="F185" s="4" t="str">
        <f>HYPERLINK("./Results/DLO\20180701_1.2.840.113619.2.416.330315973832529080409260229465224856767_303_512_512_\Osteo_Sarco_1.png","RPT")</f>
        <v>RPT</v>
      </c>
      <c r="G185" s="3">
        <v>85</v>
      </c>
      <c r="H185" s="3"/>
    </row>
    <row r="186" spans="1:8" x14ac:dyDescent="0.3">
      <c r="A186" s="2">
        <v>1836890</v>
      </c>
      <c r="B186" s="2">
        <v>55</v>
      </c>
      <c r="C186" s="2" t="s">
        <v>6</v>
      </c>
      <c r="D186" s="2">
        <v>100</v>
      </c>
      <c r="E186" s="2"/>
      <c r="F186" s="4" t="str">
        <f>HYPERLINK("./Results/DLO\20190901_1.3.12.2.1107.5.1.4.54310.30000019090821263114000064666_3_512_512_\Osteo_Sarco_1.png","RPT")</f>
        <v>RPT</v>
      </c>
      <c r="G186" s="3">
        <v>101</v>
      </c>
      <c r="H186" s="3"/>
    </row>
    <row r="187" spans="1:8" x14ac:dyDescent="0.3">
      <c r="A187" s="2">
        <v>1836890</v>
      </c>
      <c r="B187" s="2">
        <v>55</v>
      </c>
      <c r="C187" s="2" t="s">
        <v>6</v>
      </c>
      <c r="D187" s="2">
        <v>100</v>
      </c>
      <c r="E187" s="2"/>
      <c r="F187" s="4" t="str">
        <f>HYPERLINK("./Results/DLO\20190901_1.3.12.2.1107.5.1.4.54310.30000019090821263114000064503_2_512_512_\Osteo_Sarco_1.png","RPT")</f>
        <v>RPT</v>
      </c>
      <c r="G187" s="3">
        <v>86</v>
      </c>
      <c r="H187" s="3"/>
    </row>
    <row r="188" spans="1:8" x14ac:dyDescent="0.3">
      <c r="A188" s="2">
        <v>1838092</v>
      </c>
      <c r="B188" s="2">
        <v>78</v>
      </c>
      <c r="C188" s="2" t="s">
        <v>6</v>
      </c>
      <c r="D188" s="2">
        <v>100</v>
      </c>
      <c r="E188" s="2"/>
      <c r="F188" s="4" t="str">
        <f>HYPERLINK("./Results/DLO\20180501_1.3.12.2.1107.5.1.4.54310.30000018052023084193700009869_2_512_512_\Osteo_Sarco_1.png","RPT")</f>
        <v>RPT</v>
      </c>
      <c r="G188" s="3">
        <v>90</v>
      </c>
      <c r="H188" s="3"/>
    </row>
    <row r="189" spans="1:8" x14ac:dyDescent="0.3">
      <c r="A189" s="2">
        <v>1839429</v>
      </c>
      <c r="B189" s="2">
        <v>53</v>
      </c>
      <c r="C189" s="2" t="s">
        <v>6</v>
      </c>
      <c r="D189" s="2">
        <v>100</v>
      </c>
      <c r="E189" s="2"/>
      <c r="F189" s="4" t="str">
        <f>HYPERLINK("./Results/DLO\20181101_1.3.12.2.1107.5.1.4.54310.30000018112823185235900050612_3_512_512_\Osteo_Sarco_1.png","RPT")</f>
        <v>RPT</v>
      </c>
      <c r="G189" s="3">
        <v>123</v>
      </c>
      <c r="H189" s="3"/>
    </row>
    <row r="190" spans="1:8" x14ac:dyDescent="0.3">
      <c r="A190" s="2">
        <v>1839429</v>
      </c>
      <c r="B190" s="2">
        <v>53</v>
      </c>
      <c r="C190" s="2" t="s">
        <v>6</v>
      </c>
      <c r="D190" s="2">
        <v>100</v>
      </c>
      <c r="E190" s="2"/>
      <c r="F190" s="4" t="str">
        <f>HYPERLINK("./Results/DLO\20181101_1.3.12.2.1107.5.1.4.54310.30000018112823185235900050465_2_512_512_\Osteo_Sarco_1.png","RPT")</f>
        <v>RPT</v>
      </c>
      <c r="G190" s="3">
        <v>120</v>
      </c>
      <c r="H190" s="3"/>
    </row>
    <row r="191" spans="1:8" x14ac:dyDescent="0.3">
      <c r="A191" s="2">
        <v>1855280</v>
      </c>
      <c r="B191" s="2">
        <v>35</v>
      </c>
      <c r="C191" s="2" t="s">
        <v>6</v>
      </c>
      <c r="D191" s="2">
        <v>100</v>
      </c>
      <c r="E191" s="2"/>
      <c r="F191" s="4" t="str">
        <f>HYPERLINK("./Results/DLO\20181101_1.2.840.113619.2.416.131843173115300671591164863542121661341_304_512_512_\Osteo_Sarco_1.png","RPT")</f>
        <v>RPT</v>
      </c>
      <c r="G191" s="3">
        <v>97</v>
      </c>
      <c r="H191" s="3"/>
    </row>
    <row r="192" spans="1:8" x14ac:dyDescent="0.3">
      <c r="A192" s="2">
        <v>1855460</v>
      </c>
      <c r="B192" s="2">
        <v>54</v>
      </c>
      <c r="C192" s="2" t="s">
        <v>5</v>
      </c>
      <c r="D192" s="2">
        <v>100</v>
      </c>
      <c r="E192" s="2"/>
      <c r="F192" s="4" t="str">
        <f>HYPERLINK("./Results/DLO\20190301_1.3.46.670589.33.1.63688842393181329700001.5182047694858839715_201_512_512_\Osteo_Sarco_1.png","RPT")</f>
        <v>RPT</v>
      </c>
      <c r="G192" s="3">
        <v>182</v>
      </c>
      <c r="H192" s="3"/>
    </row>
    <row r="193" spans="1:8" x14ac:dyDescent="0.3">
      <c r="A193" s="2">
        <v>1868319</v>
      </c>
      <c r="B193" s="2">
        <v>71</v>
      </c>
      <c r="C193" s="2" t="s">
        <v>5</v>
      </c>
      <c r="D193" s="2">
        <v>100</v>
      </c>
      <c r="E193" s="2"/>
      <c r="F193" s="4" t="str">
        <f>HYPERLINK("./Results/DLO\20180701_1.3.12.2.1107.5.1.4.65253.30000018071221203865800050750_3_512_512_\Osteo_Sarco_1.png","RPT")</f>
        <v>RPT</v>
      </c>
      <c r="G193" s="3">
        <v>91</v>
      </c>
      <c r="H193" s="3"/>
    </row>
    <row r="194" spans="1:8" x14ac:dyDescent="0.3">
      <c r="A194" s="2">
        <v>1868319</v>
      </c>
      <c r="B194" s="2">
        <v>71</v>
      </c>
      <c r="C194" s="2" t="s">
        <v>5</v>
      </c>
      <c r="D194" s="2">
        <v>100</v>
      </c>
      <c r="E194" s="2"/>
      <c r="F194" s="4" t="str">
        <f>HYPERLINK("./Results/DLO\20180701_1.3.12.2.1107.5.1.4.65253.30000018071221203865800050595_2_512_512_\Osteo_Sarco_1.png","RPT")</f>
        <v>RPT</v>
      </c>
      <c r="G194" s="3">
        <v>67</v>
      </c>
      <c r="H194" s="3"/>
    </row>
    <row r="195" spans="1:8" x14ac:dyDescent="0.3">
      <c r="A195" s="2">
        <v>1888519</v>
      </c>
      <c r="B195" s="2">
        <v>39</v>
      </c>
      <c r="C195" s="2" t="s">
        <v>6</v>
      </c>
      <c r="D195" s="2">
        <v>140</v>
      </c>
      <c r="E195" s="2"/>
      <c r="F195" s="4" t="str">
        <f>HYPERLINK("./Results/DLO\20180101_1.2.840.113619.2.416.148065163192722587811288437995700642867_305_512_512_\Osteo_Sarco_1.png","RPT")</f>
        <v>RPT</v>
      </c>
      <c r="G195" s="3">
        <v>119</v>
      </c>
      <c r="H195" s="3"/>
    </row>
    <row r="196" spans="1:8" x14ac:dyDescent="0.3">
      <c r="A196" s="2">
        <v>1888519</v>
      </c>
      <c r="B196" s="2">
        <v>39</v>
      </c>
      <c r="C196" s="2" t="s">
        <v>6</v>
      </c>
      <c r="D196" s="2">
        <v>100</v>
      </c>
      <c r="E196" s="2"/>
      <c r="F196" s="4" t="str">
        <f>HYPERLINK("./Results/DLO\20180101_1.2.840.113619.2.416.162591621993632548564183904023117220186_2_512_512_\Osteo_Sarco_1.png","RPT")</f>
        <v>RPT</v>
      </c>
      <c r="G196" s="3">
        <v>114</v>
      </c>
      <c r="H196" s="3"/>
    </row>
    <row r="197" spans="1:8" x14ac:dyDescent="0.3">
      <c r="A197" s="2">
        <v>1892401</v>
      </c>
      <c r="B197" s="2">
        <v>77</v>
      </c>
      <c r="C197" s="2" t="s">
        <v>5</v>
      </c>
      <c r="D197" s="2">
        <v>100</v>
      </c>
      <c r="E197" s="2"/>
      <c r="F197" s="4" t="str">
        <f>HYPERLINK("./Results/DLO\20191001_1.3.12.2.1107.5.1.4.54310.30000019100922061823400012876_8_512_512_\Osteo_Sarco_1.png","RPT")</f>
        <v>RPT</v>
      </c>
      <c r="G197" s="3">
        <v>104</v>
      </c>
      <c r="H197" s="3"/>
    </row>
    <row r="198" spans="1:8" x14ac:dyDescent="0.3">
      <c r="A198" s="2">
        <v>1892401</v>
      </c>
      <c r="B198" s="2">
        <v>77</v>
      </c>
      <c r="C198" s="2" t="s">
        <v>5</v>
      </c>
      <c r="D198" s="2">
        <v>100</v>
      </c>
      <c r="E198" s="2"/>
      <c r="F198" s="4" t="str">
        <f>HYPERLINK("./Results/DLO\20191001_1.3.12.2.1107.5.1.4.54310.30000019100922061823400012333_4_512_512_\Osteo_Sarco_1.png","RPT")</f>
        <v>RPT</v>
      </c>
      <c r="G198" s="3">
        <v>101</v>
      </c>
      <c r="H198" s="3"/>
    </row>
    <row r="199" spans="1:8" x14ac:dyDescent="0.3">
      <c r="A199" s="2">
        <v>1894727</v>
      </c>
      <c r="B199" s="2">
        <v>58</v>
      </c>
      <c r="C199" s="2" t="s">
        <v>6</v>
      </c>
      <c r="D199" s="2">
        <v>100</v>
      </c>
      <c r="E199" s="2"/>
      <c r="F199" s="4" t="str">
        <f>HYPERLINK("./Results/DLO\20180501_1.2.840.113619.2.94.485650834948.2.8802867.19040160.1_2_512_512_\Osteo_Sarco_1.png","RPT")</f>
        <v>RPT</v>
      </c>
      <c r="G199" s="3">
        <v>88</v>
      </c>
      <c r="H199" s="3"/>
    </row>
    <row r="200" spans="1:8" x14ac:dyDescent="0.3">
      <c r="A200" s="2">
        <v>1897166</v>
      </c>
      <c r="B200" s="2">
        <v>68</v>
      </c>
      <c r="C200" s="2" t="s">
        <v>6</v>
      </c>
      <c r="D200" s="2">
        <v>140</v>
      </c>
      <c r="E200" s="2"/>
      <c r="F200" s="4" t="str">
        <f>HYPERLINK("./Results/DLO\20181201_1.2.840.113619.2.416.142748640543778055059181432945216533346_302_512_512_\Osteo_Sarco_1.png","RPT")</f>
        <v>RPT</v>
      </c>
      <c r="G200" s="3">
        <v>119</v>
      </c>
      <c r="H200" s="3"/>
    </row>
    <row r="201" spans="1:8" x14ac:dyDescent="0.3">
      <c r="A201" s="2">
        <v>1897166</v>
      </c>
      <c r="B201" s="2">
        <v>68</v>
      </c>
      <c r="C201" s="2" t="s">
        <v>6</v>
      </c>
      <c r="D201" s="2">
        <v>140</v>
      </c>
      <c r="E201" s="2"/>
      <c r="F201" s="4" t="str">
        <f>HYPERLINK("./Results/DLO\20181201_1.2.840.113619.2.416.223588363479851183113676092202099790693_303_512_512_\Osteo_Sarco_1.png","RPT")</f>
        <v>RPT</v>
      </c>
      <c r="G201" s="3">
        <v>113</v>
      </c>
      <c r="H201" s="3"/>
    </row>
    <row r="202" spans="1:8" x14ac:dyDescent="0.3">
      <c r="A202" s="2">
        <v>1902394</v>
      </c>
      <c r="B202" s="2">
        <v>74</v>
      </c>
      <c r="C202" s="2" t="s">
        <v>6</v>
      </c>
      <c r="D202" s="2">
        <v>100</v>
      </c>
      <c r="E202" s="2"/>
      <c r="F202" s="4" t="str">
        <f>HYPERLINK("./Results/DLO\20180101_1.2.840.113619.2.94.485650834948.2.8588669.18515654.1_2_512_512_\Osteo_Sarco_1.png","RPT")</f>
        <v>RPT</v>
      </c>
      <c r="G202" s="3">
        <v>97</v>
      </c>
      <c r="H202" s="3"/>
    </row>
    <row r="203" spans="1:8" x14ac:dyDescent="0.3">
      <c r="A203" s="2">
        <v>1906679</v>
      </c>
      <c r="B203" s="2">
        <v>65</v>
      </c>
      <c r="C203" s="2" t="s">
        <v>6</v>
      </c>
      <c r="D203" s="2">
        <v>100</v>
      </c>
      <c r="E203" s="2"/>
      <c r="F203" s="4" t="str">
        <f>HYPERLINK("./Results/DLO\20181201_1.3.46.670589.33.1.63680036203576461800001.5200999139904475074_601_512_512_\Osteo_Sarco_1.png","RPT")</f>
        <v>RPT</v>
      </c>
      <c r="G203" s="3">
        <v>97</v>
      </c>
      <c r="H203" s="3"/>
    </row>
    <row r="204" spans="1:8" x14ac:dyDescent="0.3">
      <c r="A204" s="2">
        <v>1921000</v>
      </c>
      <c r="B204" s="2">
        <v>71</v>
      </c>
      <c r="C204" s="2" t="s">
        <v>6</v>
      </c>
      <c r="D204" s="2">
        <v>100</v>
      </c>
      <c r="E204" s="2"/>
      <c r="F204" s="4" t="str">
        <f>HYPERLINK("./Results/DLO\20181001_1.2.840.113619.2.94.485650834948.2.9145221.19880402.1_3_512_512_\Osteo_Sarco_1.png","RPT")</f>
        <v>RPT</v>
      </c>
      <c r="G204" s="3">
        <v>74</v>
      </c>
      <c r="H204" s="3"/>
    </row>
    <row r="205" spans="1:8" x14ac:dyDescent="0.3">
      <c r="A205" s="2">
        <v>1921000</v>
      </c>
      <c r="B205" s="2">
        <v>71</v>
      </c>
      <c r="C205" s="2" t="s">
        <v>6</v>
      </c>
      <c r="D205" s="2">
        <v>100</v>
      </c>
      <c r="E205" s="2"/>
      <c r="F205" s="4" t="str">
        <f>HYPERLINK("./Results/DLO\20181001_1.3.12.2.1107.5.1.4.65253.30000018101620053752800053899_2_512_512_\Osteo_Sarco_1.png","RPT")</f>
        <v>RPT</v>
      </c>
      <c r="G205" s="3">
        <v>72</v>
      </c>
      <c r="H205" s="3"/>
    </row>
    <row r="206" spans="1:8" x14ac:dyDescent="0.3">
      <c r="A206" s="2">
        <v>1948681</v>
      </c>
      <c r="B206" s="2">
        <v>18</v>
      </c>
      <c r="C206" s="2" t="s">
        <v>5</v>
      </c>
      <c r="D206" s="2">
        <v>100</v>
      </c>
      <c r="E206" s="2"/>
      <c r="F206" s="4" t="str">
        <f>HYPERLINK("./Results/DLO\20180101_1.3.12.2.1107.5.1.4.65253.30000018011021170500300076551_2_512_512_\Osteo_Sarco_1.png","RPT")</f>
        <v>RPT</v>
      </c>
      <c r="G206" s="3">
        <v>162</v>
      </c>
      <c r="H206" s="3"/>
    </row>
    <row r="207" spans="1:8" x14ac:dyDescent="0.3">
      <c r="A207" s="2">
        <v>1948681</v>
      </c>
      <c r="B207" s="2">
        <v>18</v>
      </c>
      <c r="C207" s="2" t="s">
        <v>5</v>
      </c>
      <c r="D207" s="2">
        <v>100</v>
      </c>
      <c r="E207" s="2"/>
      <c r="F207" s="4" t="str">
        <f>HYPERLINK("./Results/DLO\20180101_1.3.12.2.1107.5.1.4.65253.30000018011021170500300076700_3_512_512_\Osteo_Sarco_1.png","RPT")</f>
        <v>RPT</v>
      </c>
      <c r="G207" s="3">
        <v>162</v>
      </c>
      <c r="H207" s="3"/>
    </row>
    <row r="208" spans="1:8" x14ac:dyDescent="0.3">
      <c r="A208" s="2">
        <v>1956748</v>
      </c>
      <c r="B208" s="2">
        <v>59</v>
      </c>
      <c r="C208" s="2" t="s">
        <v>6</v>
      </c>
      <c r="D208" s="2">
        <v>80</v>
      </c>
      <c r="E208" s="2"/>
      <c r="F208" s="4" t="str">
        <f>HYPERLINK("./Results/DLO\20180501_1.2.410.100011.172.24.16.220.6366309889023969901.2.2_2_512_512_\Osteo_Sarco_1.png","RPT")</f>
        <v>RPT</v>
      </c>
      <c r="G208" s="3">
        <v>98</v>
      </c>
      <c r="H208" s="3"/>
    </row>
    <row r="209" spans="1:8" x14ac:dyDescent="0.3">
      <c r="A209" s="2">
        <v>1956748</v>
      </c>
      <c r="B209" s="2">
        <v>59</v>
      </c>
      <c r="C209" s="2" t="s">
        <v>6</v>
      </c>
      <c r="D209" s="2">
        <v>80</v>
      </c>
      <c r="E209" s="2"/>
      <c r="F209" s="4" t="str">
        <f>HYPERLINK("./Results/DLO\20180501_1.2.410.100011.172.24.16.220.6366309889023969901.4.8_8_512_512_\Osteo_Sarco_1.png","RPT")</f>
        <v>RPT</v>
      </c>
      <c r="G209" s="3">
        <v>97</v>
      </c>
      <c r="H209" s="3"/>
    </row>
    <row r="210" spans="1:8" x14ac:dyDescent="0.3">
      <c r="A210" s="2">
        <v>1956748</v>
      </c>
      <c r="B210" s="2">
        <v>59</v>
      </c>
      <c r="C210" s="2" t="s">
        <v>6</v>
      </c>
      <c r="D210" s="2">
        <v>80</v>
      </c>
      <c r="E210" s="2"/>
      <c r="F210" s="4" t="str">
        <f>HYPERLINK("./Results/DLO\20180501_1.2.410.100011.172.24.16.220.6366309889023969901.5.10_10_512_512_\Osteo_Sarco_1.png","RPT")</f>
        <v>RPT</v>
      </c>
      <c r="G210" s="3">
        <v>97</v>
      </c>
      <c r="H210" s="3"/>
    </row>
    <row r="211" spans="1:8" x14ac:dyDescent="0.3">
      <c r="A211" s="2">
        <v>1956748</v>
      </c>
      <c r="B211" s="2">
        <v>59</v>
      </c>
      <c r="C211" s="2" t="s">
        <v>6</v>
      </c>
      <c r="D211" s="2">
        <v>80</v>
      </c>
      <c r="E211" s="2"/>
      <c r="F211" s="4" t="str">
        <f>HYPERLINK("./Results/DLO\20180501_1.2.410.100011.172.24.16.220.6366309889023969901.3.6_6_512_512_\Osteo_Sarco_1.png","RPT")</f>
        <v>RPT</v>
      </c>
      <c r="G211" s="3">
        <v>96</v>
      </c>
      <c r="H211" s="3"/>
    </row>
    <row r="212" spans="1:8" x14ac:dyDescent="0.3">
      <c r="A212" s="2">
        <v>1961235</v>
      </c>
      <c r="B212" s="2">
        <v>68</v>
      </c>
      <c r="C212" s="2" t="s">
        <v>6</v>
      </c>
      <c r="D212" s="2">
        <v>100</v>
      </c>
      <c r="E212" s="2"/>
      <c r="F212" s="4" t="str">
        <f>HYPERLINK("./Results/DLO\20180501_1.2.840.113619.2.94.485650834948.2.8817899.19077585.1_2_512_512_\Osteo_Sarco_1.png","RPT")</f>
        <v>RPT</v>
      </c>
      <c r="G212" s="3">
        <v>119</v>
      </c>
      <c r="H212" s="3"/>
    </row>
    <row r="213" spans="1:8" x14ac:dyDescent="0.3">
      <c r="A213" s="2">
        <v>1965638</v>
      </c>
      <c r="B213" s="2">
        <v>53</v>
      </c>
      <c r="C213" s="2" t="s">
        <v>5</v>
      </c>
      <c r="D213" s="2">
        <v>140</v>
      </c>
      <c r="E213" s="2"/>
      <c r="F213" s="4" t="str">
        <f>HYPERLINK("./Results/DLO\20190101_1.2.840.113619.2.416.12775440084760013084808144171940590299_305_512_512_\Osteo_Sarco_1.png","RPT")</f>
        <v>RPT</v>
      </c>
      <c r="G213" s="3">
        <v>165</v>
      </c>
      <c r="H213" s="3"/>
    </row>
    <row r="214" spans="1:8" x14ac:dyDescent="0.3">
      <c r="A214" s="2">
        <v>1965638</v>
      </c>
      <c r="B214" s="2">
        <v>53</v>
      </c>
      <c r="C214" s="2" t="s">
        <v>5</v>
      </c>
      <c r="D214" s="2">
        <v>140</v>
      </c>
      <c r="E214" s="2"/>
      <c r="F214" s="4" t="str">
        <f>HYPERLINK("./Results/DLO\20190101_1.2.840.113619.2.416.73822623257066049918999864238871594212_308_512_512_\Osteo_Sarco_1.png","RPT")</f>
        <v>RPT</v>
      </c>
      <c r="G214" s="3">
        <v>165</v>
      </c>
      <c r="H214" s="3"/>
    </row>
    <row r="215" spans="1:8" x14ac:dyDescent="0.3">
      <c r="A215" s="2">
        <v>1965638</v>
      </c>
      <c r="B215" s="2">
        <v>53</v>
      </c>
      <c r="C215" s="2" t="s">
        <v>5</v>
      </c>
      <c r="D215" s="2">
        <v>140</v>
      </c>
      <c r="E215" s="2"/>
      <c r="F215" s="4" t="str">
        <f>HYPERLINK("./Results/DLO\20190101_1.2.840.113619.2.416.242830559803636021763279877099083020673_303_512_512_\Osteo_Sarco_1.png","RPT")</f>
        <v>RPT</v>
      </c>
      <c r="G215" s="3">
        <v>164</v>
      </c>
      <c r="H215" s="3"/>
    </row>
    <row r="216" spans="1:8" x14ac:dyDescent="0.3">
      <c r="A216" s="2">
        <v>1965638</v>
      </c>
      <c r="B216" s="2">
        <v>53</v>
      </c>
      <c r="C216" s="2" t="s">
        <v>5</v>
      </c>
      <c r="D216" s="2">
        <v>140</v>
      </c>
      <c r="E216" s="2"/>
      <c r="F216" s="4" t="str">
        <f>HYPERLINK("./Results/DLO\20190101_1.2.840.113619.2.416.43138795525424313045346551391259974808_301_512_512_\Osteo_Sarco_1.png","RPT")</f>
        <v>RPT</v>
      </c>
      <c r="G216" s="3">
        <v>162</v>
      </c>
      <c r="H216" s="3"/>
    </row>
    <row r="217" spans="1:8" x14ac:dyDescent="0.3">
      <c r="A217" s="2">
        <v>1977568</v>
      </c>
      <c r="B217" s="2">
        <v>65</v>
      </c>
      <c r="C217" s="2" t="s">
        <v>5</v>
      </c>
      <c r="D217" s="2">
        <v>100</v>
      </c>
      <c r="E217" s="2"/>
      <c r="F217" s="4" t="str">
        <f>HYPERLINK("./Results/DLO\20180101_1.2.840.113619.2.94.485650834948.2.8593486.18527862.1_3_512_512_\Osteo_Sarco_1.png","RPT")</f>
        <v>RPT</v>
      </c>
      <c r="G217" s="3">
        <v>133</v>
      </c>
      <c r="H217" s="3"/>
    </row>
    <row r="218" spans="1:8" x14ac:dyDescent="0.3">
      <c r="A218" s="2">
        <v>1977568</v>
      </c>
      <c r="B218" s="2">
        <v>65</v>
      </c>
      <c r="C218" s="2" t="s">
        <v>5</v>
      </c>
      <c r="D218" s="2">
        <v>100</v>
      </c>
      <c r="E218" s="2"/>
      <c r="F218" s="4" t="str">
        <f>HYPERLINK("./Results/DLO\20180101_1.3.12.2.1107.5.1.4.54310.30000018011723045789000015378_2_512_512_\Osteo_Sarco_1.png","RPT")</f>
        <v>RPT</v>
      </c>
      <c r="G218" s="3">
        <v>132</v>
      </c>
      <c r="H218" s="3"/>
    </row>
    <row r="219" spans="1:8" x14ac:dyDescent="0.3">
      <c r="A219" s="2">
        <v>1983780</v>
      </c>
      <c r="B219" s="2">
        <v>56</v>
      </c>
      <c r="C219" s="2" t="s">
        <v>5</v>
      </c>
      <c r="D219" s="2">
        <v>100</v>
      </c>
      <c r="E219" s="2"/>
      <c r="F219" s="4" t="str">
        <f>HYPERLINK("./Results/DLO\20180901_1.3.46.670589.33.1.63671567769008301200001.5374750631671276800_301_512_512_\Osteo_Sarco_1.png","RPT")</f>
        <v>RPT</v>
      </c>
      <c r="G219" s="3">
        <v>165</v>
      </c>
      <c r="H219" s="3"/>
    </row>
    <row r="220" spans="1:8" x14ac:dyDescent="0.3">
      <c r="A220" s="2">
        <v>1983780</v>
      </c>
      <c r="B220" s="2">
        <v>56</v>
      </c>
      <c r="C220" s="2" t="s">
        <v>5</v>
      </c>
      <c r="D220" s="2">
        <v>100</v>
      </c>
      <c r="E220" s="2"/>
      <c r="F220" s="4" t="str">
        <f>HYPERLINK("./Results/DLO\20180901_1.3.46.670589.33.1.63671567644889202000001.4688977216722449191_201_512_512_\Osteo_Sarco_1.png","RPT")</f>
        <v>RPT</v>
      </c>
      <c r="G220" s="3">
        <v>163</v>
      </c>
      <c r="H220" s="3"/>
    </row>
    <row r="221" spans="1:8" x14ac:dyDescent="0.3">
      <c r="A221" s="2">
        <v>1997254</v>
      </c>
      <c r="B221" s="2">
        <v>31</v>
      </c>
      <c r="C221" s="2" t="s">
        <v>5</v>
      </c>
      <c r="D221" s="2">
        <v>100</v>
      </c>
      <c r="E221" s="2"/>
      <c r="F221" s="4" t="str">
        <f>HYPERLINK("./Results/DLO\20180401_1.2.840.113619.2.94.485650834948.2.8781402.18989328.1_2_512_512_\Osteo_Sarco_1.png","RPT")</f>
        <v>RPT</v>
      </c>
      <c r="G221" s="3">
        <v>177</v>
      </c>
      <c r="H221" s="3"/>
    </row>
    <row r="222" spans="1:8" x14ac:dyDescent="0.3">
      <c r="A222" s="2">
        <v>1997688</v>
      </c>
      <c r="B222" s="2">
        <v>50</v>
      </c>
      <c r="C222" s="2" t="s">
        <v>6</v>
      </c>
      <c r="D222" s="2">
        <v>100</v>
      </c>
      <c r="E222" s="2"/>
      <c r="F222" s="4" t="str">
        <f>HYPERLINK("./Results/DLO\_1.2.410.100011.172.16.68.202.6367365871931926251.2.2_2_512_512_\Osteo_Sarco_1.png","RPT")</f>
        <v>RPT</v>
      </c>
      <c r="G222" s="3">
        <v>96</v>
      </c>
      <c r="H222" s="3"/>
    </row>
    <row r="223" spans="1:8" x14ac:dyDescent="0.3">
      <c r="A223" s="2">
        <v>2022837</v>
      </c>
      <c r="B223" s="2">
        <v>57</v>
      </c>
      <c r="C223" s="2" t="s">
        <v>6</v>
      </c>
      <c r="D223" s="2">
        <v>100</v>
      </c>
      <c r="E223" s="2"/>
      <c r="F223" s="4" t="str">
        <f>HYPERLINK("./Results/DLO\20190101_1.3.12.2.1107.5.1.4.54310.30000019012823333212500025158_2_512_512_\Osteo_Sarco_1.png","RPT")</f>
        <v>RPT</v>
      </c>
      <c r="G223" s="3">
        <v>100</v>
      </c>
      <c r="H223" s="3"/>
    </row>
    <row r="224" spans="1:8" x14ac:dyDescent="0.3">
      <c r="A224" s="2">
        <v>2022837</v>
      </c>
      <c r="B224" s="2">
        <v>57</v>
      </c>
      <c r="C224" s="2" t="s">
        <v>6</v>
      </c>
      <c r="D224" s="2">
        <v>100</v>
      </c>
      <c r="E224" s="2"/>
      <c r="F224" s="4" t="str">
        <f>HYPERLINK("./Results/DLO\20190101_1.3.12.2.1107.5.1.4.54310.30000019012823333212500025301_3_512_512_\Osteo_Sarco_1.png","RPT")</f>
        <v>RPT</v>
      </c>
      <c r="G224" s="3">
        <v>100</v>
      </c>
      <c r="H224" s="3"/>
    </row>
    <row r="225" spans="1:8" x14ac:dyDescent="0.3">
      <c r="A225" s="2">
        <v>2029339</v>
      </c>
      <c r="B225" s="2">
        <v>55</v>
      </c>
      <c r="C225" s="2" t="s">
        <v>6</v>
      </c>
      <c r="D225" s="2">
        <v>100</v>
      </c>
      <c r="E225" s="2"/>
      <c r="F225" s="4" t="str">
        <f>HYPERLINK("./Results/DLO\20180801_1.2.840.113619.2.311.278979947826288775840946704926061992987_304_512_512_\Osteo_Sarco_1.png","RPT")</f>
        <v>RPT</v>
      </c>
      <c r="G225" s="3">
        <v>99</v>
      </c>
      <c r="H225" s="3"/>
    </row>
    <row r="226" spans="1:8" x14ac:dyDescent="0.3">
      <c r="A226" s="2">
        <v>2029645</v>
      </c>
      <c r="B226" s="2">
        <v>49</v>
      </c>
      <c r="C226" s="2" t="s">
        <v>6</v>
      </c>
      <c r="D226" s="2">
        <v>100</v>
      </c>
      <c r="E226" s="2"/>
      <c r="F226" s="4" t="str">
        <f>HYPERLINK("./Results/DLO\20180701_1.2.840.113619.2.416.162901327935166017630407412543229038017_304_512_512_\Osteo_Sarco_1.png","RPT")</f>
        <v>RPT</v>
      </c>
      <c r="G226" s="3">
        <v>113</v>
      </c>
      <c r="H226" s="3"/>
    </row>
    <row r="227" spans="1:8" x14ac:dyDescent="0.3">
      <c r="A227" s="2">
        <v>2043620</v>
      </c>
      <c r="B227" s="2">
        <v>60</v>
      </c>
      <c r="C227" s="2" t="s">
        <v>5</v>
      </c>
      <c r="D227" s="2">
        <v>100</v>
      </c>
      <c r="E227" s="2"/>
      <c r="F227" s="4" t="str">
        <f>HYPERLINK("./Results/DLO\20180801_1.3.12.2.1107.5.1.4.54310.30000018083023120093700064764_3_512_512_\Osteo_Sarco_1.png","RPT")</f>
        <v>RPT</v>
      </c>
      <c r="G227" s="3">
        <v>200</v>
      </c>
      <c r="H227" s="3"/>
    </row>
    <row r="228" spans="1:8" x14ac:dyDescent="0.3">
      <c r="A228" s="2">
        <v>2043620</v>
      </c>
      <c r="B228" s="2">
        <v>60</v>
      </c>
      <c r="C228" s="2" t="s">
        <v>5</v>
      </c>
      <c r="D228" s="2">
        <v>120</v>
      </c>
      <c r="E228" s="2"/>
      <c r="F228" s="4" t="str">
        <f>HYPERLINK("./Results/DLO\20180801_1.3.12.2.1107.5.1.4.54310.30000018083023120093700065205_7_512_512_\Osteo_Sarco_1.png","RPT")</f>
        <v>RPT</v>
      </c>
      <c r="G228" s="3">
        <v>200</v>
      </c>
      <c r="H228" s="3"/>
    </row>
    <row r="229" spans="1:8" x14ac:dyDescent="0.3">
      <c r="A229" s="2">
        <v>2043620</v>
      </c>
      <c r="B229" s="2">
        <v>60</v>
      </c>
      <c r="C229" s="2" t="s">
        <v>5</v>
      </c>
      <c r="D229" s="2">
        <v>120</v>
      </c>
      <c r="E229" s="2"/>
      <c r="F229" s="4" t="str">
        <f>HYPERLINK("./Results/DLO\20180801_1.3.12.2.1107.5.1.4.54310.30000018083023120093700065488_9_512_512_\Osteo_Sarco_1.png","RPT")</f>
        <v>RPT</v>
      </c>
      <c r="G229" s="3">
        <v>200</v>
      </c>
      <c r="H229" s="3"/>
    </row>
    <row r="230" spans="1:8" x14ac:dyDescent="0.3">
      <c r="A230" s="2">
        <v>2043620</v>
      </c>
      <c r="B230" s="2">
        <v>60</v>
      </c>
      <c r="C230" s="2" t="s">
        <v>5</v>
      </c>
      <c r="D230" s="2">
        <v>120</v>
      </c>
      <c r="E230" s="2"/>
      <c r="F230" s="4" t="str">
        <f>HYPERLINK("./Results/DLO\20180801_1.3.12.2.1107.5.1.4.54310.30000018083023120093700064853_5_512_512_\Osteo_Sarco_1.png","RPT")</f>
        <v>RPT</v>
      </c>
      <c r="G230" s="3">
        <v>198</v>
      </c>
      <c r="H230" s="3"/>
    </row>
    <row r="231" spans="1:8" x14ac:dyDescent="0.3">
      <c r="A231" s="2">
        <v>2044331</v>
      </c>
      <c r="B231" s="2">
        <v>67</v>
      </c>
      <c r="C231" s="2" t="s">
        <v>6</v>
      </c>
      <c r="D231" s="2">
        <v>140</v>
      </c>
      <c r="E231" s="2"/>
      <c r="F231" s="4" t="str">
        <f>HYPERLINK("./Results/DLO\20190801_1.2.840.113619.2.416.83906265999196046427554535181025719389_303_512_512_\Osteo_Sarco_1.png","RPT")</f>
        <v>RPT</v>
      </c>
      <c r="G231" s="3">
        <v>68</v>
      </c>
      <c r="H231" s="3"/>
    </row>
    <row r="232" spans="1:8" x14ac:dyDescent="0.3">
      <c r="A232" s="2">
        <v>2044331</v>
      </c>
      <c r="B232" s="2">
        <v>67</v>
      </c>
      <c r="C232" s="2" t="s">
        <v>6</v>
      </c>
      <c r="D232" s="2">
        <v>140</v>
      </c>
      <c r="E232" s="2"/>
      <c r="F232" s="4" t="str">
        <f>HYPERLINK("./Results/DLO\20190801_1.2.840.113619.2.416.315180294459166838951520238468389376601_302_512_512_\Osteo_Sarco_1.png","RPT")</f>
        <v>RPT</v>
      </c>
      <c r="G232" s="3">
        <v>49</v>
      </c>
      <c r="H232" s="3"/>
    </row>
    <row r="233" spans="1:8" x14ac:dyDescent="0.3">
      <c r="A233" s="2">
        <v>2056764</v>
      </c>
      <c r="B233" s="2">
        <v>66</v>
      </c>
      <c r="C233" s="2" t="s">
        <v>5</v>
      </c>
      <c r="D233" s="2">
        <v>100</v>
      </c>
      <c r="E233" s="2"/>
      <c r="F233" s="4" t="str">
        <f>HYPERLINK("./Results/DLO\20180601_1.3.12.2.1107.5.1.4.54310.30000018053123305925000003045_2_512_512_\Osteo_Sarco_1.png","RPT")</f>
        <v>RPT</v>
      </c>
      <c r="G233" s="3">
        <v>181</v>
      </c>
      <c r="H233" s="3"/>
    </row>
    <row r="234" spans="1:8" x14ac:dyDescent="0.3">
      <c r="A234" s="2">
        <v>2066134</v>
      </c>
      <c r="B234" s="2">
        <v>61</v>
      </c>
      <c r="C234" s="2" t="s">
        <v>5</v>
      </c>
      <c r="D234" s="2">
        <v>140</v>
      </c>
      <c r="E234" s="2"/>
      <c r="F234" s="4" t="str">
        <f>HYPERLINK("./Results/DLO\20181001_1.2.840.113619.2.416.170653222310786390773384696984237737465_308_512_512_\Osteo_Sarco_1.png","RPT")</f>
        <v>RPT</v>
      </c>
      <c r="G234" s="3">
        <v>128</v>
      </c>
      <c r="H234" s="3"/>
    </row>
    <row r="235" spans="1:8" x14ac:dyDescent="0.3">
      <c r="A235" s="2">
        <v>2066134</v>
      </c>
      <c r="B235" s="2">
        <v>61</v>
      </c>
      <c r="C235" s="2" t="s">
        <v>5</v>
      </c>
      <c r="D235" s="2">
        <v>140</v>
      </c>
      <c r="E235" s="2"/>
      <c r="F235" s="4" t="str">
        <f>HYPERLINK("./Results/DLO\20181001_1.2.840.113619.2.416.201716045103561676377062522419575291612_303_512_512_\Osteo_Sarco_1.png","RPT")</f>
        <v>RPT</v>
      </c>
      <c r="G235" s="3">
        <v>126</v>
      </c>
      <c r="H235" s="3"/>
    </row>
    <row r="236" spans="1:8" x14ac:dyDescent="0.3">
      <c r="A236" s="2">
        <v>2066134</v>
      </c>
      <c r="B236" s="2">
        <v>61</v>
      </c>
      <c r="C236" s="2" t="s">
        <v>5</v>
      </c>
      <c r="D236" s="2">
        <v>140</v>
      </c>
      <c r="E236" s="2"/>
      <c r="F236" s="4" t="str">
        <f>HYPERLINK("./Results/DLO\20181001_1.2.840.113619.2.416.75330958728878192628311316496132873335_301_512_512_\Osteo_Sarco_1.png","RPT")</f>
        <v>RPT</v>
      </c>
      <c r="G236" s="3">
        <v>124</v>
      </c>
      <c r="H236" s="3"/>
    </row>
    <row r="237" spans="1:8" x14ac:dyDescent="0.3">
      <c r="A237" s="2">
        <v>2066134</v>
      </c>
      <c r="B237" s="2">
        <v>61</v>
      </c>
      <c r="C237" s="2" t="s">
        <v>5</v>
      </c>
      <c r="D237" s="2">
        <v>140</v>
      </c>
      <c r="E237" s="2"/>
      <c r="F237" s="4" t="str">
        <f>HYPERLINK("./Results/DLO\20181001_1.2.840.113619.2.416.241532631687829101812087373851248184393_305_512_512_\Osteo_Sarco_1.png","RPT")</f>
        <v>RPT</v>
      </c>
      <c r="G237" s="3">
        <v>61</v>
      </c>
      <c r="H237" s="3"/>
    </row>
    <row r="238" spans="1:8" x14ac:dyDescent="0.3">
      <c r="A238" s="2">
        <v>2069844</v>
      </c>
      <c r="B238" s="2">
        <v>41</v>
      </c>
      <c r="C238" s="2" t="s">
        <v>5</v>
      </c>
      <c r="D238" s="2">
        <v>140</v>
      </c>
      <c r="E238" s="2"/>
      <c r="F238" s="4" t="str">
        <f>HYPERLINK("./Results/DLO\20190901_1.2.840.113619.2.416.17974587688659270525513212988280625677_303_512_512_\Osteo_Sarco_1.png","RPT")</f>
        <v>RPT</v>
      </c>
      <c r="G238" s="3">
        <v>153</v>
      </c>
      <c r="H238" s="3"/>
    </row>
    <row r="239" spans="1:8" x14ac:dyDescent="0.3">
      <c r="A239" s="2">
        <v>2069844</v>
      </c>
      <c r="B239" s="2">
        <v>41</v>
      </c>
      <c r="C239" s="2" t="s">
        <v>5</v>
      </c>
      <c r="D239" s="2">
        <v>140</v>
      </c>
      <c r="E239" s="2"/>
      <c r="F239" s="4" t="str">
        <f>HYPERLINK("./Results/DLO\20190901_1.2.840.113619.2.416.285692525446600293831095092027158794341_302_512_512_\Osteo_Sarco_1.png","RPT")</f>
        <v>RPT</v>
      </c>
      <c r="G239" s="3">
        <v>152</v>
      </c>
      <c r="H239" s="3"/>
    </row>
    <row r="240" spans="1:8" x14ac:dyDescent="0.3">
      <c r="A240" s="2">
        <v>2089584</v>
      </c>
      <c r="B240" s="2">
        <v>57</v>
      </c>
      <c r="C240" s="2" t="s">
        <v>5</v>
      </c>
      <c r="D240" s="2">
        <v>100</v>
      </c>
      <c r="E240" s="2"/>
      <c r="F240" s="4" t="str">
        <f>HYPERLINK("./Results/DLO\20181001_1.3.12.2.1107.5.1.4.54310.30000018101023215771800047621_2_512_512_\Osteo_Sarco_1.png","RPT")</f>
        <v>RPT</v>
      </c>
      <c r="G240" s="3">
        <v>146</v>
      </c>
      <c r="H240" s="3"/>
    </row>
    <row r="241" spans="1:8" x14ac:dyDescent="0.3">
      <c r="A241" s="2">
        <v>2089584</v>
      </c>
      <c r="B241" s="2">
        <v>57</v>
      </c>
      <c r="C241" s="2" t="s">
        <v>5</v>
      </c>
      <c r="D241" s="2">
        <v>100</v>
      </c>
      <c r="E241" s="2"/>
      <c r="F241" s="4" t="str">
        <f>HYPERLINK("./Results/DLO\20181001_1.3.12.2.1107.5.1.4.54310.30000018101100161426500014105_3_512_512_\Osteo_Sarco_1.png","RPT")</f>
        <v>RPT</v>
      </c>
      <c r="G241" s="3">
        <v>145</v>
      </c>
      <c r="H241" s="3"/>
    </row>
    <row r="242" spans="1:8" x14ac:dyDescent="0.3">
      <c r="A242" s="2">
        <v>2099649</v>
      </c>
      <c r="B242" s="2">
        <v>66</v>
      </c>
      <c r="C242" s="2" t="s">
        <v>6</v>
      </c>
      <c r="D242" s="2">
        <v>100</v>
      </c>
      <c r="E242" s="2"/>
      <c r="F242" s="4" t="str">
        <f>HYPERLINK("./Results/DLO\20190901_1.3.46.670589.33.1.63704330841282490800001.4851908620603499523_301_512_512_\Osteo_Sarco_1.png","RPT")</f>
        <v>RPT</v>
      </c>
      <c r="G242" s="3">
        <v>135</v>
      </c>
      <c r="H242" s="3"/>
    </row>
    <row r="243" spans="1:8" x14ac:dyDescent="0.3">
      <c r="A243" s="2">
        <v>2099649</v>
      </c>
      <c r="B243" s="2">
        <v>66</v>
      </c>
      <c r="C243" s="2" t="s">
        <v>6</v>
      </c>
      <c r="D243" s="2">
        <v>100</v>
      </c>
      <c r="E243" s="2"/>
      <c r="F243" s="4" t="str">
        <f>HYPERLINK("./Results/DLO\20190901_1.3.46.670589.33.1.63704330723635761800001.5199217792338424942_201_512_512_\Osteo_Sarco_1.png","RPT")</f>
        <v>RPT</v>
      </c>
      <c r="G243" s="3">
        <v>126</v>
      </c>
      <c r="H243" s="3"/>
    </row>
    <row r="244" spans="1:8" x14ac:dyDescent="0.3">
      <c r="A244" s="2">
        <v>2099998</v>
      </c>
      <c r="B244" s="2">
        <v>57</v>
      </c>
      <c r="C244" s="2" t="s">
        <v>6</v>
      </c>
      <c r="D244" s="2">
        <v>100</v>
      </c>
      <c r="E244" s="2"/>
      <c r="F244" s="4" t="str">
        <f>HYPERLINK("./Results/DLO\20200201_1.3.46.670589.33.1.63717535005350228200001.4746116657741851927_201_512_512_\Osteo_Sarco_1.png","RPT")</f>
        <v>RPT</v>
      </c>
      <c r="G244" s="3">
        <v>96</v>
      </c>
      <c r="H244" s="3"/>
    </row>
    <row r="245" spans="1:8" x14ac:dyDescent="0.3">
      <c r="A245" s="2">
        <v>2101898</v>
      </c>
      <c r="B245" s="2">
        <v>72</v>
      </c>
      <c r="C245" s="2" t="s">
        <v>5</v>
      </c>
      <c r="D245" s="2">
        <v>120</v>
      </c>
      <c r="E245" s="2"/>
      <c r="F245" s="4" t="str">
        <f>HYPERLINK("./Results/DLO\20200301_1.2.410.100011.172.24.16.221.6372720935885158437.4_4_512_512_\Osteo_Sarco_1.png","RPT")</f>
        <v>RPT</v>
      </c>
      <c r="G245" s="3">
        <v>110</v>
      </c>
      <c r="H245" s="3"/>
    </row>
    <row r="246" spans="1:8" x14ac:dyDescent="0.3">
      <c r="A246" s="2">
        <v>2101898</v>
      </c>
      <c r="B246" s="2">
        <v>72</v>
      </c>
      <c r="C246" s="2" t="s">
        <v>5</v>
      </c>
      <c r="D246" s="2">
        <v>120</v>
      </c>
      <c r="E246" s="2"/>
      <c r="F246" s="4" t="str">
        <f>HYPERLINK("./Results/DLO\20200301_1.2.410.100011.172.24.16.221.6372720935885158437.2_2_512_512_\Osteo_Sarco_1.png","RPT")</f>
        <v>RPT</v>
      </c>
      <c r="G246" s="3">
        <v>105</v>
      </c>
      <c r="H246" s="3"/>
    </row>
    <row r="247" spans="1:8" x14ac:dyDescent="0.3">
      <c r="A247" s="2">
        <v>2108454</v>
      </c>
      <c r="B247" s="2">
        <v>75</v>
      </c>
      <c r="C247" s="2" t="s">
        <v>6</v>
      </c>
      <c r="D247" s="2">
        <v>100</v>
      </c>
      <c r="E247" s="2"/>
      <c r="F247" s="4" t="str">
        <f>HYPERLINK("./Results/DLO\20190701_1.3.46.670589.33.1.63699735975931627500001.5669125246026194912_801_512_512_\Osteo_Sarco_1.png","RPT")</f>
        <v>RPT</v>
      </c>
      <c r="G247" s="3">
        <v>97</v>
      </c>
      <c r="H247" s="3"/>
    </row>
    <row r="248" spans="1:8" x14ac:dyDescent="0.3">
      <c r="A248" s="2">
        <v>2108454</v>
      </c>
      <c r="B248" s="2">
        <v>75</v>
      </c>
      <c r="C248" s="2" t="s">
        <v>6</v>
      </c>
      <c r="D248" s="2">
        <v>100</v>
      </c>
      <c r="E248" s="2"/>
      <c r="F248" s="4" t="str">
        <f>HYPERLINK("./Results/DLO\20190701_1.3.46.670589.33.1.63699735884723410700001.4827782909106717526_601_512_512_\Osteo_Sarco_1.png","RPT")</f>
        <v>RPT</v>
      </c>
      <c r="G248" s="3">
        <v>96</v>
      </c>
      <c r="H248" s="3"/>
    </row>
    <row r="249" spans="1:8" x14ac:dyDescent="0.3">
      <c r="A249" s="2">
        <v>2108454</v>
      </c>
      <c r="B249" s="2">
        <v>75</v>
      </c>
      <c r="C249" s="2" t="s">
        <v>6</v>
      </c>
      <c r="D249" s="2">
        <v>100</v>
      </c>
      <c r="E249" s="2"/>
      <c r="F249" s="4" t="str">
        <f>HYPERLINK("./Results/DLO\20190701_1.3.46.670589.33.1.63699735740636169400001.5175897007684408859_201_512_512_\Osteo_Sarco_1.png","RPT")</f>
        <v>RPT</v>
      </c>
      <c r="G249" s="3">
        <v>94</v>
      </c>
      <c r="H249" s="3"/>
    </row>
    <row r="250" spans="1:8" x14ac:dyDescent="0.3">
      <c r="A250" s="2">
        <v>2108454</v>
      </c>
      <c r="B250" s="2">
        <v>75</v>
      </c>
      <c r="C250" s="2" t="s">
        <v>6</v>
      </c>
      <c r="D250" s="2">
        <v>100</v>
      </c>
      <c r="E250" s="2"/>
      <c r="F250" s="4" t="str">
        <f>HYPERLINK("./Results/DLO\20190701_1.3.46.670589.33.1.63699735826403075000001.5370741996698664963_501_512_512_\Osteo_Sarco_1.png","RPT")</f>
        <v>RPT</v>
      </c>
      <c r="G250" s="3">
        <v>94</v>
      </c>
      <c r="H250" s="3"/>
    </row>
    <row r="251" spans="1:8" x14ac:dyDescent="0.3">
      <c r="A251" s="2">
        <v>2109305</v>
      </c>
      <c r="B251" s="2">
        <v>66</v>
      </c>
      <c r="C251" s="2" t="s">
        <v>6</v>
      </c>
      <c r="D251" s="2">
        <v>140</v>
      </c>
      <c r="E251" s="2"/>
      <c r="F251" s="4" t="str">
        <f>HYPERLINK("./Results/DLO\20181201_1.2.840.113619.2.416.114626026704885960139578426549359495611_302_512_512_\Osteo_Sarco_1.png","RPT")</f>
        <v>RPT</v>
      </c>
      <c r="G251" s="3">
        <v>99</v>
      </c>
      <c r="H251" s="3"/>
    </row>
    <row r="252" spans="1:8" x14ac:dyDescent="0.3">
      <c r="A252" s="2">
        <v>2109305</v>
      </c>
      <c r="B252" s="2">
        <v>66</v>
      </c>
      <c r="C252" s="2" t="s">
        <v>6</v>
      </c>
      <c r="D252" s="2">
        <v>140</v>
      </c>
      <c r="E252" s="2"/>
      <c r="F252" s="4" t="str">
        <f>HYPERLINK("./Results/DLO\20181201_1.2.840.113619.2.416.290072169318938703717343828247571559552_303_512_512_\Osteo_Sarco_1.png","RPT")</f>
        <v>RPT</v>
      </c>
      <c r="G252" s="3">
        <v>99</v>
      </c>
      <c r="H252" s="3"/>
    </row>
    <row r="253" spans="1:8" x14ac:dyDescent="0.3">
      <c r="A253" s="2">
        <v>2115945</v>
      </c>
      <c r="B253" s="2">
        <v>69</v>
      </c>
      <c r="C253" s="2" t="s">
        <v>6</v>
      </c>
      <c r="D253" s="2">
        <v>140</v>
      </c>
      <c r="E253" s="2"/>
      <c r="F253" s="4" t="str">
        <f>HYPERLINK("./Results/DLO\20181001_1.2.840.113619.2.416.212056150218485020490582738096261129591_308_512_512_\Osteo_Sarco_1.png","RPT")</f>
        <v>RPT</v>
      </c>
      <c r="G253" s="3">
        <v>109</v>
      </c>
      <c r="H253" s="3"/>
    </row>
    <row r="254" spans="1:8" x14ac:dyDescent="0.3">
      <c r="A254" s="2">
        <v>2115945</v>
      </c>
      <c r="B254" s="2">
        <v>69</v>
      </c>
      <c r="C254" s="2" t="s">
        <v>6</v>
      </c>
      <c r="D254" s="2">
        <v>140</v>
      </c>
      <c r="E254" s="2"/>
      <c r="F254" s="4" t="str">
        <f>HYPERLINK("./Results/DLO\20181001_1.2.840.113619.2.416.268751206397325958964089174834637537588_305_512_512_\Osteo_Sarco_1.png","RPT")</f>
        <v>RPT</v>
      </c>
      <c r="G254" s="3">
        <v>106</v>
      </c>
      <c r="H254" s="3"/>
    </row>
    <row r="255" spans="1:8" x14ac:dyDescent="0.3">
      <c r="A255" s="2">
        <v>2115945</v>
      </c>
      <c r="B255" s="2">
        <v>69</v>
      </c>
      <c r="C255" s="2" t="s">
        <v>6</v>
      </c>
      <c r="D255" s="2">
        <v>140</v>
      </c>
      <c r="E255" s="2"/>
      <c r="F255" s="4" t="str">
        <f>HYPERLINK("./Results/DLO\20181001_1.2.840.113619.2.416.169211676839036597298935294932343232213_303_512_512_\Osteo_Sarco_1.png","RPT")</f>
        <v>RPT</v>
      </c>
      <c r="G255" s="3">
        <v>103</v>
      </c>
      <c r="H255" s="3"/>
    </row>
    <row r="256" spans="1:8" x14ac:dyDescent="0.3">
      <c r="A256" s="2">
        <v>2115945</v>
      </c>
      <c r="B256" s="2">
        <v>69</v>
      </c>
      <c r="C256" s="2" t="s">
        <v>6</v>
      </c>
      <c r="D256" s="2">
        <v>140</v>
      </c>
      <c r="E256" s="2"/>
      <c r="F256" s="4" t="str">
        <f>HYPERLINK("./Results/DLO\20181001_1.2.840.113619.2.416.275050339026312679789744294321353273346_301_512_512_\Osteo_Sarco_1.png","RPT")</f>
        <v>RPT</v>
      </c>
      <c r="G256" s="3">
        <v>102</v>
      </c>
      <c r="H256" s="3"/>
    </row>
    <row r="257" spans="1:8" x14ac:dyDescent="0.3">
      <c r="A257" s="2">
        <v>2125358</v>
      </c>
      <c r="B257" s="2">
        <v>65</v>
      </c>
      <c r="C257" s="2" t="s">
        <v>5</v>
      </c>
      <c r="D257" s="2">
        <v>120</v>
      </c>
      <c r="E257" s="2"/>
      <c r="F257" s="4" t="str">
        <f>HYPERLINK("./Results/DLO\20180901_1.2.840.113619.2.416.279528247483426797976997221640034665536_2_512_512_\Osteo_Sarco_1.png","RPT")</f>
        <v>RPT</v>
      </c>
      <c r="G257" s="3">
        <v>162</v>
      </c>
      <c r="H257" s="3"/>
    </row>
    <row r="258" spans="1:8" x14ac:dyDescent="0.3">
      <c r="A258" s="2">
        <v>2125358</v>
      </c>
      <c r="B258" s="2">
        <v>65</v>
      </c>
      <c r="C258" s="2" t="s">
        <v>5</v>
      </c>
      <c r="D258" s="2">
        <v>140</v>
      </c>
      <c r="E258" s="2"/>
      <c r="F258" s="4" t="str">
        <f>HYPERLINK("./Results/DLO\20180901_1.2.840.113619.2.416.144449711342583565588297325269801811105_302_512_512_\Osteo_Sarco_1.png","RPT")</f>
        <v>RPT</v>
      </c>
      <c r="G258" s="3">
        <v>160</v>
      </c>
      <c r="H258" s="3"/>
    </row>
    <row r="259" spans="1:8" x14ac:dyDescent="0.3">
      <c r="A259" s="2">
        <v>2126945</v>
      </c>
      <c r="B259" s="2">
        <v>54</v>
      </c>
      <c r="C259" s="2" t="s">
        <v>6</v>
      </c>
      <c r="D259" s="2">
        <v>100</v>
      </c>
      <c r="E259" s="2"/>
      <c r="F259" s="4" t="str">
        <f>HYPERLINK("./Results/DLO\20181001_1.3.12.2.1107.5.1.4.65253.30000018101918161339600002393_3_512_512_\Osteo_Sarco_1.png","RPT")</f>
        <v>RPT</v>
      </c>
      <c r="G259" s="3">
        <v>106</v>
      </c>
      <c r="H259" s="3"/>
    </row>
    <row r="260" spans="1:8" x14ac:dyDescent="0.3">
      <c r="A260" s="2">
        <v>2126945</v>
      </c>
      <c r="B260" s="2">
        <v>54</v>
      </c>
      <c r="C260" s="2" t="s">
        <v>6</v>
      </c>
      <c r="D260" s="2">
        <v>100</v>
      </c>
      <c r="E260" s="2"/>
      <c r="F260" s="4" t="str">
        <f>HYPERLINK("./Results/DLO\20181001_1.3.12.2.1107.5.1.4.65253.30000018101918161339600002233_2_512_512_\Osteo_Sarco_1.png","RPT")</f>
        <v>RPT</v>
      </c>
      <c r="G260" s="3">
        <v>105</v>
      </c>
      <c r="H260" s="3"/>
    </row>
    <row r="261" spans="1:8" x14ac:dyDescent="0.3">
      <c r="A261" s="2">
        <v>2131822</v>
      </c>
      <c r="B261" s="2">
        <v>65</v>
      </c>
      <c r="C261" s="2" t="s">
        <v>5</v>
      </c>
      <c r="D261" s="2">
        <v>120</v>
      </c>
      <c r="E261" s="2"/>
      <c r="F261" s="4" t="str">
        <f>HYPERLINK("./Results/DLO\20180401_1.2.840.113619.2.94.485650834948.2.8769600.18959932.1_7_512_512_\Osteo_Sarco_1.png","RPT")</f>
        <v>RPT</v>
      </c>
      <c r="G261" s="3">
        <v>156</v>
      </c>
      <c r="H261" s="3"/>
    </row>
    <row r="262" spans="1:8" x14ac:dyDescent="0.3">
      <c r="A262" s="2">
        <v>2131822</v>
      </c>
      <c r="B262" s="2">
        <v>65</v>
      </c>
      <c r="C262" s="2" t="s">
        <v>5</v>
      </c>
      <c r="D262" s="2">
        <v>120</v>
      </c>
      <c r="E262" s="2"/>
      <c r="F262" s="4" t="str">
        <f>HYPERLINK("./Results/DLO\20180401_1.3.12.2.1107.5.1.4.54310.30000018041623104917100004272_12_512_512_\Osteo_Sarco_1.png","RPT")</f>
        <v>RPT</v>
      </c>
      <c r="G262" s="3">
        <v>156</v>
      </c>
      <c r="H262" s="3"/>
    </row>
    <row r="263" spans="1:8" x14ac:dyDescent="0.3">
      <c r="A263" s="2">
        <v>2131822</v>
      </c>
      <c r="B263" s="2">
        <v>65</v>
      </c>
      <c r="C263" s="2" t="s">
        <v>5</v>
      </c>
      <c r="D263" s="2">
        <v>100</v>
      </c>
      <c r="E263" s="2"/>
      <c r="F263" s="4" t="str">
        <f>HYPERLINK("./Results/DLO\20180401_1.3.12.2.1107.5.1.4.54310.30000018041623104917100002864_3_512_512_\Osteo_Sarco_1.png","RPT")</f>
        <v>RPT</v>
      </c>
      <c r="G263" s="3">
        <v>154</v>
      </c>
      <c r="H263" s="3"/>
    </row>
    <row r="264" spans="1:8" x14ac:dyDescent="0.3">
      <c r="A264" s="2">
        <v>2131822</v>
      </c>
      <c r="B264" s="2">
        <v>65</v>
      </c>
      <c r="C264" s="2" t="s">
        <v>5</v>
      </c>
      <c r="D264" s="2">
        <v>120</v>
      </c>
      <c r="E264" s="2"/>
      <c r="F264" s="4" t="str">
        <f>HYPERLINK("./Results/DLO\20180401_1.3.12.2.1107.5.1.4.54310.30000018041623104917100002965_5_512_512_\Osteo_Sarco_1.png","RPT")</f>
        <v>RPT</v>
      </c>
      <c r="G264" s="3">
        <v>154</v>
      </c>
      <c r="H264" s="3"/>
    </row>
    <row r="265" spans="1:8" x14ac:dyDescent="0.3">
      <c r="A265" s="2">
        <v>2144147</v>
      </c>
      <c r="B265" s="2">
        <v>59</v>
      </c>
      <c r="C265" s="2" t="s">
        <v>5</v>
      </c>
      <c r="D265" s="2">
        <v>100</v>
      </c>
      <c r="E265" s="2"/>
      <c r="F265" s="4" t="str">
        <f>HYPERLINK("./Results/DLO\20190701_1.3.12.2.1107.5.1.4.54310.30000019072321271154600005790_3_512_512_\Osteo_Sarco_1.png","RPT")</f>
        <v>RPT</v>
      </c>
      <c r="G265" s="3">
        <v>187</v>
      </c>
      <c r="H265" s="3"/>
    </row>
    <row r="266" spans="1:8" x14ac:dyDescent="0.3">
      <c r="A266" s="2">
        <v>2153180</v>
      </c>
      <c r="B266" s="2">
        <v>67</v>
      </c>
      <c r="C266" s="2" t="s">
        <v>6</v>
      </c>
      <c r="D266" s="2">
        <v>100</v>
      </c>
      <c r="E266" s="2"/>
      <c r="F266" s="4" t="str">
        <f>HYPERLINK("./Results/DLO\20200201_1.3.12.2.1107.5.1.4.65253.30000020021921072563400052910_2_512_512_\Osteo_Sarco_1.png","RPT")</f>
        <v>RPT</v>
      </c>
      <c r="G266" s="3">
        <v>89</v>
      </c>
      <c r="H266" s="3"/>
    </row>
    <row r="267" spans="1:8" x14ac:dyDescent="0.3">
      <c r="A267" s="2">
        <v>2159911</v>
      </c>
      <c r="B267" s="2">
        <v>52</v>
      </c>
      <c r="C267" s="2" t="s">
        <v>6</v>
      </c>
      <c r="D267" s="2">
        <v>140</v>
      </c>
      <c r="E267" s="2"/>
      <c r="F267" s="4" t="str">
        <f>HYPERLINK("./Results/DLO\20190801_1.2.840.113619.2.416.135297419718326376132178638332228423646_303_512_512_\Osteo_Sarco_1.png","RPT")</f>
        <v>RPT</v>
      </c>
      <c r="G267" s="3">
        <v>130</v>
      </c>
      <c r="H267" s="3"/>
    </row>
    <row r="268" spans="1:8" x14ac:dyDescent="0.3">
      <c r="A268" s="2">
        <v>2159911</v>
      </c>
      <c r="B268" s="2">
        <v>52</v>
      </c>
      <c r="C268" s="2" t="s">
        <v>6</v>
      </c>
      <c r="D268" s="2">
        <v>140</v>
      </c>
      <c r="E268" s="2"/>
      <c r="F268" s="4" t="str">
        <f>HYPERLINK("./Results/DLO\20190801_1.2.840.113619.2.416.138362806812540227695578582551374194452_306_512_512_\Osteo_Sarco_1.png","RPT")</f>
        <v>RPT</v>
      </c>
      <c r="G268" s="3">
        <v>130</v>
      </c>
      <c r="H268" s="3"/>
    </row>
    <row r="269" spans="1:8" x14ac:dyDescent="0.3">
      <c r="A269" s="2">
        <v>2159911</v>
      </c>
      <c r="B269" s="2">
        <v>52</v>
      </c>
      <c r="C269" s="2" t="s">
        <v>6</v>
      </c>
      <c r="D269" s="2">
        <v>140</v>
      </c>
      <c r="E269" s="2"/>
      <c r="F269" s="4" t="str">
        <f>HYPERLINK("./Results/DLO\20190801_1.2.840.113619.2.416.47418830365082770757892114864488579512_2_512_512_\Osteo_Sarco_1.png","RPT")</f>
        <v>RPT</v>
      </c>
      <c r="G269" s="3">
        <v>127</v>
      </c>
      <c r="H269" s="3"/>
    </row>
    <row r="270" spans="1:8" x14ac:dyDescent="0.3">
      <c r="A270" s="2">
        <v>2159911</v>
      </c>
      <c r="B270" s="2">
        <v>52</v>
      </c>
      <c r="C270" s="2" t="s">
        <v>6</v>
      </c>
      <c r="D270" s="2">
        <v>140</v>
      </c>
      <c r="E270" s="2"/>
      <c r="F270" s="4" t="str">
        <f>HYPERLINK("./Results/DLO\20190801_1.2.840.113619.2.416.240938675611922467446683984241142231202_301_512_512_\Osteo_Sarco_1.png","RPT")</f>
        <v>RPT</v>
      </c>
      <c r="G270" s="3">
        <v>126</v>
      </c>
      <c r="H270" s="3"/>
    </row>
    <row r="271" spans="1:8" x14ac:dyDescent="0.3">
      <c r="A271" s="2">
        <v>2172138</v>
      </c>
      <c r="B271" s="2">
        <v>64</v>
      </c>
      <c r="C271" s="2" t="s">
        <v>6</v>
      </c>
      <c r="D271" s="2">
        <v>140</v>
      </c>
      <c r="E271" s="2"/>
      <c r="F271" s="4" t="str">
        <f>HYPERLINK("./Results/DLO\20180401_1.2.840.113619.2.416.261815772671460909992722855895667452765_303_512_512_\Osteo_Sarco_1.png","RPT")</f>
        <v>RPT</v>
      </c>
      <c r="G271" s="3">
        <v>116</v>
      </c>
      <c r="H271" s="3"/>
    </row>
    <row r="272" spans="1:8" x14ac:dyDescent="0.3">
      <c r="A272" s="2">
        <v>2172138</v>
      </c>
      <c r="B272" s="2">
        <v>64</v>
      </c>
      <c r="C272" s="2" t="s">
        <v>6</v>
      </c>
      <c r="D272" s="2">
        <v>140</v>
      </c>
      <c r="E272" s="2"/>
      <c r="F272" s="4" t="str">
        <f>HYPERLINK("./Results/DLO\20180401_1.2.840.113619.2.416.227318689864669788995486287906201749632_2_512_512_\Osteo_Sarco_1.png","RPT")</f>
        <v>RPT</v>
      </c>
      <c r="G272" s="3">
        <v>115</v>
      </c>
      <c r="H272" s="3"/>
    </row>
    <row r="273" spans="1:8" x14ac:dyDescent="0.3">
      <c r="A273" s="2">
        <v>2176550</v>
      </c>
      <c r="B273" s="2">
        <v>68</v>
      </c>
      <c r="C273" s="2" t="s">
        <v>6</v>
      </c>
      <c r="D273" s="2">
        <v>140</v>
      </c>
      <c r="E273" s="2"/>
      <c r="F273" s="4" t="str">
        <f>HYPERLINK("./Results/DLO\20180601_1.2.840.113619.2.416.179960753694030034471626689712073785592_303_512_512_\Osteo_Sarco_1.png","RPT")</f>
        <v>RPT</v>
      </c>
      <c r="G273" s="3">
        <v>96</v>
      </c>
      <c r="H273" s="3"/>
    </row>
    <row r="274" spans="1:8" x14ac:dyDescent="0.3">
      <c r="A274" s="2">
        <v>2176550</v>
      </c>
      <c r="B274" s="2">
        <v>68</v>
      </c>
      <c r="C274" s="2" t="s">
        <v>6</v>
      </c>
      <c r="D274" s="2">
        <v>140</v>
      </c>
      <c r="E274" s="2"/>
      <c r="F274" s="4" t="str">
        <f>HYPERLINK("./Results/DLO\20180601_1.2.840.113619.2.416.5612300736123306550841276509530745323_302_512_512_\Osteo_Sarco_1.png","RPT")</f>
        <v>RPT</v>
      </c>
      <c r="G274" s="3">
        <v>95</v>
      </c>
      <c r="H274" s="3"/>
    </row>
    <row r="275" spans="1:8" x14ac:dyDescent="0.3">
      <c r="A275" s="2">
        <v>2188500</v>
      </c>
      <c r="B275" s="2">
        <v>64</v>
      </c>
      <c r="C275" s="2" t="s">
        <v>6</v>
      </c>
      <c r="D275" s="2">
        <v>100</v>
      </c>
      <c r="E275" s="2"/>
      <c r="F275" s="4" t="str">
        <f>HYPERLINK("./Results/DLO\20181101_1.3.12.2.1107.5.1.4.54310.30000018112623404506200029325_3_512_512_\Osteo_Sarco_1.png","RPT")</f>
        <v>RPT</v>
      </c>
      <c r="G275" s="3">
        <v>105</v>
      </c>
      <c r="H275" s="3"/>
    </row>
    <row r="276" spans="1:8" x14ac:dyDescent="0.3">
      <c r="A276" s="2">
        <v>2188500</v>
      </c>
      <c r="B276" s="2">
        <v>64</v>
      </c>
      <c r="C276" s="2" t="s">
        <v>6</v>
      </c>
      <c r="D276" s="2">
        <v>100</v>
      </c>
      <c r="E276" s="2"/>
      <c r="F276" s="4" t="str">
        <f>HYPERLINK("./Results/DLO\20181101_1.3.12.2.1107.5.1.4.54310.30000018112623404506200029179_2_512_512_\Osteo_Sarco_1.png","RPT")</f>
        <v>RPT</v>
      </c>
      <c r="G276" s="3">
        <v>104</v>
      </c>
      <c r="H276" s="3"/>
    </row>
    <row r="277" spans="1:8" x14ac:dyDescent="0.3">
      <c r="A277" s="2">
        <v>2196059</v>
      </c>
      <c r="B277" s="2">
        <v>79</v>
      </c>
      <c r="C277" s="2" t="s">
        <v>5</v>
      </c>
      <c r="D277" s="2">
        <v>100</v>
      </c>
      <c r="E277" s="2"/>
      <c r="F277" s="4" t="str">
        <f>HYPERLINK("./Results/DLO\20190201_1.3.12.2.1107.5.1.4.65253.30000019022720201787000018748_2_512_512_\Osteo_Sarco_1.png","RPT")</f>
        <v>RPT</v>
      </c>
      <c r="G277" s="3">
        <v>119</v>
      </c>
      <c r="H277" s="3"/>
    </row>
    <row r="278" spans="1:8" x14ac:dyDescent="0.3">
      <c r="A278" s="2">
        <v>2198986</v>
      </c>
      <c r="B278" s="2">
        <v>76</v>
      </c>
      <c r="C278" s="2" t="s">
        <v>5</v>
      </c>
      <c r="D278" s="2">
        <v>100</v>
      </c>
      <c r="E278" s="2"/>
      <c r="F278" s="4" t="str">
        <f>HYPERLINK("./Results/DLO\20180501_1.3.12.2.1107.5.1.4.65253.30000018052921170848500043742_2_512_512_\Osteo_Sarco_1.png","RPT")</f>
        <v>RPT</v>
      </c>
      <c r="G278" s="3">
        <v>146</v>
      </c>
      <c r="H278" s="3"/>
    </row>
    <row r="279" spans="1:8" x14ac:dyDescent="0.3">
      <c r="A279" s="2">
        <v>2198986</v>
      </c>
      <c r="B279" s="2">
        <v>76</v>
      </c>
      <c r="C279" s="2" t="s">
        <v>5</v>
      </c>
      <c r="D279" s="2">
        <v>100</v>
      </c>
      <c r="E279" s="2"/>
      <c r="F279" s="4" t="str">
        <f>HYPERLINK("./Results/DLO\20180501_1.3.12.2.1107.5.1.4.65253.30000018052921170848500043898_3_512_512_\Osteo_Sarco_1.png","RPT")</f>
        <v>RPT</v>
      </c>
      <c r="G279" s="3">
        <v>145</v>
      </c>
      <c r="H279" s="3"/>
    </row>
    <row r="280" spans="1:8" x14ac:dyDescent="0.3">
      <c r="A280" s="2">
        <v>2201063</v>
      </c>
      <c r="B280" s="2">
        <v>59</v>
      </c>
      <c r="C280" s="2" t="s">
        <v>5</v>
      </c>
      <c r="D280" s="2">
        <v>100</v>
      </c>
      <c r="E280" s="2"/>
      <c r="F280" s="4" t="str">
        <f>HYPERLINK("./Results/DLO\20191101_1.3.12.2.1107.5.1.4.65253.30000019110820232568400011048_3_512_512_\Osteo_Sarco_1.png","RPT")</f>
        <v>RPT</v>
      </c>
      <c r="G280" s="3">
        <v>141</v>
      </c>
      <c r="H280" s="3"/>
    </row>
    <row r="281" spans="1:8" x14ac:dyDescent="0.3">
      <c r="A281" s="2">
        <v>2201063</v>
      </c>
      <c r="B281" s="2">
        <v>59</v>
      </c>
      <c r="C281" s="2" t="s">
        <v>5</v>
      </c>
      <c r="D281" s="2">
        <v>100</v>
      </c>
      <c r="E281" s="2"/>
      <c r="F281" s="4" t="str">
        <f>HYPERLINK("./Results/DLO\20191101_1.3.12.2.1107.5.1.4.65253.30000019110820232568400010874_2_512_512_\Osteo_Sarco_1.png","RPT")</f>
        <v>RPT</v>
      </c>
      <c r="G281" s="3">
        <v>140</v>
      </c>
      <c r="H281" s="3"/>
    </row>
    <row r="282" spans="1:8" x14ac:dyDescent="0.3">
      <c r="A282" s="2">
        <v>2206956</v>
      </c>
      <c r="B282" s="2">
        <v>51</v>
      </c>
      <c r="C282" s="2" t="s">
        <v>6</v>
      </c>
      <c r="D282" s="2">
        <v>100</v>
      </c>
      <c r="E282" s="2"/>
      <c r="F282" s="4" t="str">
        <f>HYPERLINK("./Results/DLO\20190501_1.3.12.2.1107.5.1.4.54310.30000019051321154218700042999_2_512_512_\Osteo_Sarco_1.png","RPT")</f>
        <v>RPT</v>
      </c>
      <c r="G282" s="3">
        <v>119</v>
      </c>
      <c r="H282" s="3"/>
    </row>
    <row r="283" spans="1:8" x14ac:dyDescent="0.3">
      <c r="A283" s="2">
        <v>2206956</v>
      </c>
      <c r="B283" s="2">
        <v>51</v>
      </c>
      <c r="C283" s="2" t="s">
        <v>6</v>
      </c>
      <c r="D283" s="2">
        <v>100</v>
      </c>
      <c r="E283" s="2"/>
      <c r="F283" s="4" t="str">
        <f>HYPERLINK("./Results/DLO\20190501_1.3.12.2.1107.5.1.4.54310.30000019051321154218700043155_3_512_512_\Osteo_Sarco_1.png","RPT")</f>
        <v>RPT</v>
      </c>
      <c r="G283" s="3">
        <v>119</v>
      </c>
      <c r="H283" s="3"/>
    </row>
    <row r="284" spans="1:8" x14ac:dyDescent="0.3">
      <c r="A284" s="2">
        <v>2225776</v>
      </c>
      <c r="B284" s="2">
        <v>77</v>
      </c>
      <c r="C284" s="2" t="s">
        <v>6</v>
      </c>
      <c r="D284" s="2">
        <v>100</v>
      </c>
      <c r="E284" s="2"/>
      <c r="F284" s="4" t="str">
        <f>HYPERLINK("./Results/DLO\20200501_1.3.12.2.1107.5.1.4.65253.30000020050321050221200020201_9_512_512_\Osteo_Sarco_1.png","RPT")</f>
        <v>RPT</v>
      </c>
      <c r="G284" s="3">
        <v>99</v>
      </c>
      <c r="H284" s="3"/>
    </row>
    <row r="285" spans="1:8" x14ac:dyDescent="0.3">
      <c r="A285" s="2">
        <v>2225776</v>
      </c>
      <c r="B285" s="2">
        <v>77</v>
      </c>
      <c r="C285" s="2" t="s">
        <v>6</v>
      </c>
      <c r="D285" s="2">
        <v>100</v>
      </c>
      <c r="E285" s="2"/>
      <c r="F285" s="4" t="str">
        <f>HYPERLINK("./Results/DLO\20200501_1.3.12.2.1107.5.1.4.65253.30000020050321050221200019481_5_512_512_\Osteo_Sarco_1.png","RPT")</f>
        <v>RPT</v>
      </c>
      <c r="G285" s="3">
        <v>98</v>
      </c>
      <c r="H285" s="3"/>
    </row>
    <row r="286" spans="1:8" x14ac:dyDescent="0.3">
      <c r="A286" s="2">
        <v>2225776</v>
      </c>
      <c r="B286" s="2">
        <v>77</v>
      </c>
      <c r="C286" s="2" t="s">
        <v>6</v>
      </c>
      <c r="D286" s="2">
        <v>100</v>
      </c>
      <c r="E286" s="2"/>
      <c r="F286" s="4" t="str">
        <f>HYPERLINK("./Results/DLO\20200501_1.3.12.2.1107.5.1.4.65253.30000020050321050221200019945_7_512_512_\Osteo_Sarco_1.png","RPT")</f>
        <v>RPT</v>
      </c>
      <c r="G286" s="3">
        <v>98</v>
      </c>
      <c r="H286" s="3"/>
    </row>
    <row r="287" spans="1:8" x14ac:dyDescent="0.3">
      <c r="A287" s="2">
        <v>2225776</v>
      </c>
      <c r="B287" s="2">
        <v>77</v>
      </c>
      <c r="C287" s="2" t="s">
        <v>6</v>
      </c>
      <c r="D287" s="2">
        <v>100</v>
      </c>
      <c r="E287" s="2"/>
      <c r="F287" s="4" t="str">
        <f>HYPERLINK("./Results/DLO\20200501_1.3.12.2.1107.5.1.4.65253.30000020050321050221200019392_2_512_512_\Osteo_Sarco_1.png","RPT")</f>
        <v>RPT</v>
      </c>
      <c r="G287" s="3">
        <v>96</v>
      </c>
      <c r="H287" s="3"/>
    </row>
    <row r="288" spans="1:8" x14ac:dyDescent="0.3">
      <c r="A288" s="2">
        <v>2227174</v>
      </c>
      <c r="B288" s="2">
        <v>63</v>
      </c>
      <c r="C288" s="2" t="s">
        <v>5</v>
      </c>
      <c r="D288" s="2">
        <v>100</v>
      </c>
      <c r="E288" s="2"/>
      <c r="F288" s="4" t="str">
        <f>HYPERLINK("./Results/DLO\20190601_1.3.46.670589.33.1.63697059889917086500001.4949211579004393431_201_512_512_\Osteo_Sarco_1.png","RPT")</f>
        <v>RPT</v>
      </c>
      <c r="G288" s="3">
        <v>134</v>
      </c>
      <c r="H288" s="3"/>
    </row>
    <row r="289" spans="1:8" x14ac:dyDescent="0.3">
      <c r="A289" s="2">
        <v>2232894</v>
      </c>
      <c r="B289" s="2">
        <v>72</v>
      </c>
      <c r="C289" s="2" t="s">
        <v>5</v>
      </c>
      <c r="D289" s="2">
        <v>100</v>
      </c>
      <c r="E289" s="2"/>
      <c r="F289" s="4" t="str">
        <f>HYPERLINK("./Results/DLO\20190301_1.2.840.113619.2.311.145619052004580723151782389662029415450_304_512_512_\Osteo_Sarco_1.png","RPT")</f>
        <v>RPT</v>
      </c>
      <c r="G289" s="3">
        <v>124</v>
      </c>
      <c r="H289" s="3"/>
    </row>
    <row r="290" spans="1:8" x14ac:dyDescent="0.3">
      <c r="A290" s="2">
        <v>2249494</v>
      </c>
      <c r="B290" s="2">
        <v>63</v>
      </c>
      <c r="C290" s="2" t="s">
        <v>6</v>
      </c>
      <c r="D290" s="2">
        <v>140</v>
      </c>
      <c r="E290" s="2"/>
      <c r="F290" s="4" t="str">
        <f>HYPERLINK("./Results/DLO\20190501_1.2.840.113619.2.416.37464464430719030671188764124708947986_306_512_512_\Osteo_Sarco_1.png","RPT")</f>
        <v>RPT</v>
      </c>
      <c r="G290" s="3">
        <v>101</v>
      </c>
      <c r="H290" s="3"/>
    </row>
    <row r="291" spans="1:8" x14ac:dyDescent="0.3">
      <c r="A291" s="2">
        <v>2249494</v>
      </c>
      <c r="B291" s="2">
        <v>63</v>
      </c>
      <c r="C291" s="2" t="s">
        <v>6</v>
      </c>
      <c r="D291" s="2">
        <v>140</v>
      </c>
      <c r="E291" s="2"/>
      <c r="F291" s="4" t="str">
        <f>HYPERLINK("./Results/DLO\20190501_1.2.840.113619.2.416.44684141626323237694897029077348119889_301_512_512_\Osteo_Sarco_1.png","RPT")</f>
        <v>RPT</v>
      </c>
      <c r="G291" s="3">
        <v>101</v>
      </c>
      <c r="H291" s="3"/>
    </row>
    <row r="292" spans="1:8" x14ac:dyDescent="0.3">
      <c r="A292" s="2">
        <v>2249494</v>
      </c>
      <c r="B292" s="2">
        <v>63</v>
      </c>
      <c r="C292" s="2" t="s">
        <v>6</v>
      </c>
      <c r="D292" s="2">
        <v>140</v>
      </c>
      <c r="E292" s="2"/>
      <c r="F292" s="4" t="str">
        <f>HYPERLINK("./Results/DLO\20190501_1.2.840.113619.2.416.184378656144792228952039193112792060220_2_512_512_\Osteo_Sarco_1.png","RPT")</f>
        <v>RPT</v>
      </c>
      <c r="G292" s="3">
        <v>100</v>
      </c>
      <c r="H292" s="3"/>
    </row>
    <row r="293" spans="1:8" x14ac:dyDescent="0.3">
      <c r="A293" s="2">
        <v>2249494</v>
      </c>
      <c r="B293" s="2">
        <v>63</v>
      </c>
      <c r="C293" s="2" t="s">
        <v>6</v>
      </c>
      <c r="D293" s="2">
        <v>140</v>
      </c>
      <c r="E293" s="2"/>
      <c r="F293" s="4" t="str">
        <f>HYPERLINK("./Results/DLO\20190501_1.2.840.113619.2.416.250283414505401460153055638305026073606_303_512_512_\Osteo_Sarco_1.png","RPT")</f>
        <v>RPT</v>
      </c>
      <c r="G293" s="3">
        <v>99</v>
      </c>
      <c r="H293" s="3"/>
    </row>
    <row r="294" spans="1:8" x14ac:dyDescent="0.3">
      <c r="A294" s="2">
        <v>2251638</v>
      </c>
      <c r="B294" s="2">
        <v>78</v>
      </c>
      <c r="C294" s="2" t="s">
        <v>6</v>
      </c>
      <c r="D294" s="2">
        <v>100</v>
      </c>
      <c r="E294" s="2"/>
      <c r="F294" s="4" t="str">
        <f>HYPERLINK("./Results/DLO\20181201_1.2.840.113619.2.311.139251475598533930999552512104588799605_304_512_512_\Osteo_Sarco_1.png","RPT")</f>
        <v>RPT</v>
      </c>
      <c r="G294" s="3">
        <v>108</v>
      </c>
      <c r="H294" s="3"/>
    </row>
    <row r="295" spans="1:8" x14ac:dyDescent="0.3">
      <c r="A295" s="2">
        <v>2251638</v>
      </c>
      <c r="B295" s="2">
        <v>78</v>
      </c>
      <c r="C295" s="2" t="s">
        <v>6</v>
      </c>
      <c r="D295" s="2">
        <v>100</v>
      </c>
      <c r="E295" s="2"/>
      <c r="F295" s="4" t="str">
        <f>HYPERLINK("./Results/DLO\20181201_1.2.840.113619.2.311.289367545112157463008900325805862007256_2_512_512_\Osteo_Sarco_1.png","RPT")</f>
        <v>RPT</v>
      </c>
      <c r="G295" s="3">
        <v>104</v>
      </c>
      <c r="H295" s="3"/>
    </row>
    <row r="296" spans="1:8" x14ac:dyDescent="0.3">
      <c r="A296" s="2">
        <v>2265515</v>
      </c>
      <c r="B296" s="2">
        <v>57</v>
      </c>
      <c r="C296" s="2" t="s">
        <v>5</v>
      </c>
      <c r="D296" s="2">
        <v>120</v>
      </c>
      <c r="E296" s="2"/>
      <c r="F296" s="4" t="str">
        <f>HYPERLINK("./Results/DLO\20180401_1.3.12.2.1107.5.1.4.54310.30000018040823074450000046338_5_512_512_\Osteo_Sarco_1.png","RPT")</f>
        <v>RPT</v>
      </c>
      <c r="G296" s="3">
        <v>105</v>
      </c>
      <c r="H296" s="3"/>
    </row>
    <row r="297" spans="1:8" x14ac:dyDescent="0.3">
      <c r="A297" s="2">
        <v>2265515</v>
      </c>
      <c r="B297" s="2">
        <v>57</v>
      </c>
      <c r="C297" s="2" t="s">
        <v>5</v>
      </c>
      <c r="D297" s="2">
        <v>120</v>
      </c>
      <c r="E297" s="2"/>
      <c r="F297" s="4" t="str">
        <f>HYPERLINK("./Results/DLO\20180401_1.3.12.2.1107.5.1.4.54310.30000018040823074450000046753_7_512_512_\Osteo_Sarco_1.png","RPT")</f>
        <v>RPT</v>
      </c>
      <c r="G297" s="3">
        <v>105</v>
      </c>
      <c r="H297" s="3"/>
    </row>
    <row r="298" spans="1:8" x14ac:dyDescent="0.3">
      <c r="A298" s="2">
        <v>2265515</v>
      </c>
      <c r="B298" s="2">
        <v>57</v>
      </c>
      <c r="C298" s="2" t="s">
        <v>5</v>
      </c>
      <c r="D298" s="2">
        <v>120</v>
      </c>
      <c r="E298" s="2"/>
      <c r="F298" s="4" t="str">
        <f>HYPERLINK("./Results/DLO\20180401_1.3.12.2.1107.5.1.4.54310.30000018040823074450000047077_9_512_512_\Osteo_Sarco_1.png","RPT")</f>
        <v>RPT</v>
      </c>
      <c r="G298" s="3">
        <v>105</v>
      </c>
      <c r="H298" s="3"/>
    </row>
    <row r="299" spans="1:8" x14ac:dyDescent="0.3">
      <c r="A299" s="2">
        <v>2265515</v>
      </c>
      <c r="B299" s="2">
        <v>57</v>
      </c>
      <c r="C299" s="2" t="s">
        <v>5</v>
      </c>
      <c r="D299" s="2">
        <v>100</v>
      </c>
      <c r="E299" s="2"/>
      <c r="F299" s="4" t="str">
        <f>HYPERLINK("./Results/DLO\20180401_1.3.12.2.1107.5.1.4.54310.30000018040823074450000046244_3_512_512_\Osteo_Sarco_1.png","RPT")</f>
        <v>RPT</v>
      </c>
      <c r="G299" s="3">
        <v>104</v>
      </c>
      <c r="H299" s="3"/>
    </row>
    <row r="300" spans="1:8" x14ac:dyDescent="0.3">
      <c r="A300" s="2">
        <v>2274966</v>
      </c>
      <c r="B300" s="2">
        <v>28</v>
      </c>
      <c r="C300" s="2" t="s">
        <v>6</v>
      </c>
      <c r="D300" s="2">
        <v>120</v>
      </c>
      <c r="E300" s="2"/>
      <c r="F300" s="4" t="str">
        <f>HYPERLINK("./Results/DLO\20180101_1.2.840.113619.2.416.326967102334267979675120780312419514122_2_512_512_\Osteo_Sarco_1.png","RPT")</f>
        <v>RPT</v>
      </c>
      <c r="G300" s="3">
        <v>96</v>
      </c>
      <c r="H300" s="3"/>
    </row>
    <row r="301" spans="1:8" x14ac:dyDescent="0.3">
      <c r="A301" s="2">
        <v>2274966</v>
      </c>
      <c r="B301" s="2">
        <v>28</v>
      </c>
      <c r="C301" s="2" t="s">
        <v>6</v>
      </c>
      <c r="D301" s="2">
        <v>100</v>
      </c>
      <c r="E301" s="2"/>
      <c r="F301" s="4" t="str">
        <f>HYPERLINK("./Results/DLO\20180101_1.2.840.113619.2.416.209637731371554180723374668615319566541_305_512_512_\Osteo_Sarco_1.png","RPT")</f>
        <v>RPT</v>
      </c>
      <c r="G301" s="3">
        <v>91</v>
      </c>
      <c r="H301" s="3"/>
    </row>
    <row r="302" spans="1:8" x14ac:dyDescent="0.3">
      <c r="A302" s="2">
        <v>2274966</v>
      </c>
      <c r="B302" s="2">
        <v>28</v>
      </c>
      <c r="C302" s="2" t="s">
        <v>6</v>
      </c>
      <c r="D302" s="2">
        <v>100</v>
      </c>
      <c r="E302" s="2"/>
      <c r="F302" s="4" t="str">
        <f>HYPERLINK("./Results/DLO\20180101_1.2.840.113619.2.416.300586302363355826456632395621998707739_301_512_512_\Osteo_Sarco_1.png","RPT")</f>
        <v>RPT</v>
      </c>
      <c r="G302" s="3">
        <v>91</v>
      </c>
      <c r="H302" s="3"/>
    </row>
    <row r="303" spans="1:8" x14ac:dyDescent="0.3">
      <c r="A303" s="2">
        <v>2274966</v>
      </c>
      <c r="B303" s="2">
        <v>28</v>
      </c>
      <c r="C303" s="2" t="s">
        <v>6</v>
      </c>
      <c r="D303" s="2">
        <v>100</v>
      </c>
      <c r="E303" s="2"/>
      <c r="F303" s="4" t="str">
        <f>HYPERLINK("./Results/DLO\20180101_1.2.840.113619.2.416.134468342966748050830918199552291110326_302_512_512_\Osteo_Sarco_1.png","RPT")</f>
        <v>RPT</v>
      </c>
      <c r="G303" s="3">
        <v>90</v>
      </c>
      <c r="H303" s="3"/>
    </row>
    <row r="304" spans="1:8" x14ac:dyDescent="0.3">
      <c r="A304" s="2">
        <v>2286472</v>
      </c>
      <c r="B304" s="2">
        <v>57</v>
      </c>
      <c r="C304" s="2" t="s">
        <v>6</v>
      </c>
      <c r="D304" s="2">
        <v>100</v>
      </c>
      <c r="E304" s="2"/>
      <c r="F304" s="4" t="str">
        <f>HYPERLINK("./Results/DLO\20181101_1.2.840.113619.2.416.294672850484492520514801956733228122997_302_512_512_\Osteo_Sarco_1.png","RPT")</f>
        <v>RPT</v>
      </c>
      <c r="G304" s="3">
        <v>98</v>
      </c>
      <c r="H304" s="3"/>
    </row>
    <row r="305" spans="1:8" x14ac:dyDescent="0.3">
      <c r="A305" s="2">
        <v>2286472</v>
      </c>
      <c r="B305" s="2">
        <v>57</v>
      </c>
      <c r="C305" s="2" t="s">
        <v>6</v>
      </c>
      <c r="D305" s="2">
        <v>100</v>
      </c>
      <c r="E305" s="2"/>
      <c r="F305" s="4" t="str">
        <f>HYPERLINK("./Results/DLO\20181101_1.2.840.113619.2.416.291217954385651974413123791465717468358_305_512_512_\Osteo_Sarco_1.png","RPT")</f>
        <v>RPT</v>
      </c>
      <c r="G305" s="3">
        <v>97</v>
      </c>
      <c r="H305" s="3"/>
    </row>
    <row r="306" spans="1:8" x14ac:dyDescent="0.3">
      <c r="A306" s="2">
        <v>2286472</v>
      </c>
      <c r="B306" s="2">
        <v>57</v>
      </c>
      <c r="C306" s="2" t="s">
        <v>6</v>
      </c>
      <c r="D306" s="2">
        <v>120</v>
      </c>
      <c r="E306" s="2"/>
      <c r="F306" s="4" t="str">
        <f>HYPERLINK("./Results/DLO\20181101_1.2.840.113619.2.416.88731033238288205847093153764981996932_2_512_512_\Osteo_Sarco_1.png","RPT")</f>
        <v>RPT</v>
      </c>
      <c r="G306" s="3">
        <v>96</v>
      </c>
      <c r="H306" s="3"/>
    </row>
    <row r="307" spans="1:8" x14ac:dyDescent="0.3">
      <c r="A307" s="2">
        <v>2286472</v>
      </c>
      <c r="B307" s="2">
        <v>57</v>
      </c>
      <c r="C307" s="2" t="s">
        <v>6</v>
      </c>
      <c r="D307" s="2">
        <v>100</v>
      </c>
      <c r="E307" s="2"/>
      <c r="F307" s="4" t="str">
        <f>HYPERLINK("./Results/DLO\20181101_1.2.840.113619.2.416.215537860886842095587102872001677908971_301_512_512_\Osteo_Sarco_1.png","RPT")</f>
        <v>RPT</v>
      </c>
      <c r="G307" s="3">
        <v>93</v>
      </c>
      <c r="H307" s="3"/>
    </row>
    <row r="308" spans="1:8" x14ac:dyDescent="0.3">
      <c r="A308" s="2">
        <v>2297891</v>
      </c>
      <c r="B308" s="2">
        <v>76</v>
      </c>
      <c r="C308" s="2" t="s">
        <v>6</v>
      </c>
      <c r="D308" s="2">
        <v>140</v>
      </c>
      <c r="E308" s="2"/>
      <c r="F308" s="4" t="str">
        <f>HYPERLINK("./Results/DLO\20181201_1.2.840.113619.2.416.27745527445111625690231051507376113790_302_512_512_\Osteo_Sarco_1.png","RPT")</f>
        <v>RPT</v>
      </c>
      <c r="G308" s="3">
        <v>122</v>
      </c>
      <c r="H308" s="3"/>
    </row>
    <row r="309" spans="1:8" x14ac:dyDescent="0.3">
      <c r="A309" s="2">
        <v>2297891</v>
      </c>
      <c r="B309" s="2">
        <v>76</v>
      </c>
      <c r="C309" s="2" t="s">
        <v>6</v>
      </c>
      <c r="D309" s="2">
        <v>140</v>
      </c>
      <c r="E309" s="2"/>
      <c r="F309" s="4" t="str">
        <f>HYPERLINK("./Results/DLO\20181201_1.2.840.113619.2.416.222937456235925025729987613571398465892_303_512_512_\Osteo_Sarco_1.png","RPT")</f>
        <v>RPT</v>
      </c>
      <c r="G309" s="3">
        <v>113</v>
      </c>
      <c r="H309" s="3"/>
    </row>
    <row r="310" spans="1:8" x14ac:dyDescent="0.3">
      <c r="A310" s="2">
        <v>2299542</v>
      </c>
      <c r="B310" s="2">
        <v>58</v>
      </c>
      <c r="C310" s="2" t="s">
        <v>5</v>
      </c>
      <c r="D310" s="2">
        <v>100</v>
      </c>
      <c r="E310" s="2"/>
      <c r="F310" s="4" t="str">
        <f>HYPERLINK("./Results/DLO\20190301_1.3.46.670589.33.1.63687379407990004100001.5196155857973664468_201_512_512_\Osteo_Sarco_1.png","RPT")</f>
        <v>RPT</v>
      </c>
      <c r="G310" s="3">
        <v>194</v>
      </c>
      <c r="H310" s="3"/>
    </row>
    <row r="311" spans="1:8" x14ac:dyDescent="0.3">
      <c r="A311" s="2">
        <v>2312452</v>
      </c>
      <c r="B311" s="2">
        <v>53</v>
      </c>
      <c r="C311" s="2" t="s">
        <v>6</v>
      </c>
      <c r="D311" s="2">
        <v>140</v>
      </c>
      <c r="E311" s="2"/>
      <c r="F311" s="4" t="str">
        <f>HYPERLINK("./Results/DLO\20181101_1.2.840.113619.2.416.107340507724890921122877905729701518625_303_512_512_\Osteo_Sarco_1.png","RPT")</f>
        <v>RPT</v>
      </c>
      <c r="G311" s="3">
        <v>129</v>
      </c>
      <c r="H311" s="3"/>
    </row>
    <row r="312" spans="1:8" x14ac:dyDescent="0.3">
      <c r="A312" s="2">
        <v>2312452</v>
      </c>
      <c r="B312" s="2">
        <v>53</v>
      </c>
      <c r="C312" s="2" t="s">
        <v>6</v>
      </c>
      <c r="D312" s="2">
        <v>140</v>
      </c>
      <c r="E312" s="2"/>
      <c r="F312" s="4" t="str">
        <f>HYPERLINK("./Results/DLO\20181101_1.2.840.113619.2.416.306611922396068427217448177459837715773_302_512_512_\Osteo_Sarco_1.png","RPT")</f>
        <v>RPT</v>
      </c>
      <c r="G312" s="3">
        <v>127</v>
      </c>
      <c r="H312" s="3"/>
    </row>
    <row r="313" spans="1:8" x14ac:dyDescent="0.3">
      <c r="A313" s="2">
        <v>2324663</v>
      </c>
      <c r="B313" s="2">
        <v>62</v>
      </c>
      <c r="C313" s="2" t="s">
        <v>6</v>
      </c>
      <c r="D313" s="2">
        <v>100</v>
      </c>
      <c r="E313" s="2"/>
      <c r="F313" s="4" t="str">
        <f>HYPERLINK("./Results/DLO\20181001_1.3.12.2.1107.5.1.4.54310.30000018101623353367100033159_2_512_512_\Osteo_Sarco_1.png","RPT")</f>
        <v>RPT</v>
      </c>
      <c r="G313" s="3">
        <v>97</v>
      </c>
      <c r="H313" s="3"/>
    </row>
    <row r="314" spans="1:8" x14ac:dyDescent="0.3">
      <c r="A314" s="2">
        <v>2331881</v>
      </c>
      <c r="B314" s="2">
        <v>48</v>
      </c>
      <c r="C314" s="2" t="s">
        <v>6</v>
      </c>
      <c r="D314" s="2">
        <v>120</v>
      </c>
      <c r="E314" s="2"/>
      <c r="F314" s="4" t="str">
        <f>HYPERLINK("./Results/DLO\20190501_1.3.12.2.1107.5.1.4.54310.30000019050821334617100038655_9_512_512_\Osteo_Sarco_1.png","RPT")</f>
        <v>RPT</v>
      </c>
      <c r="G314" s="3">
        <v>145</v>
      </c>
      <c r="H314" s="3"/>
    </row>
    <row r="315" spans="1:8" x14ac:dyDescent="0.3">
      <c r="A315" s="2">
        <v>2331881</v>
      </c>
      <c r="B315" s="2">
        <v>48</v>
      </c>
      <c r="C315" s="2" t="s">
        <v>6</v>
      </c>
      <c r="D315" s="2">
        <v>120</v>
      </c>
      <c r="E315" s="2"/>
      <c r="F315" s="4" t="str">
        <f>HYPERLINK("./Results/DLO\20190501_1.3.12.2.1107.5.1.4.54310.30000019050821334617100038347_7_512_512_\Osteo_Sarco_1.png","RPT")</f>
        <v>RPT</v>
      </c>
      <c r="G315" s="3">
        <v>144</v>
      </c>
      <c r="H315" s="3"/>
    </row>
    <row r="316" spans="1:8" x14ac:dyDescent="0.3">
      <c r="A316" s="2">
        <v>2331881</v>
      </c>
      <c r="B316" s="2">
        <v>48</v>
      </c>
      <c r="C316" s="2" t="s">
        <v>6</v>
      </c>
      <c r="D316" s="2">
        <v>100</v>
      </c>
      <c r="E316" s="2"/>
      <c r="F316" s="4" t="str">
        <f>HYPERLINK("./Results/DLO\20190501_1.3.12.2.1107.5.1.4.54310.30000019050821334617100037781_3_512_512_\Osteo_Sarco_1.png","RPT")</f>
        <v>RPT</v>
      </c>
      <c r="G316" s="3">
        <v>142</v>
      </c>
      <c r="H316" s="3"/>
    </row>
    <row r="317" spans="1:8" x14ac:dyDescent="0.3">
      <c r="A317" s="2">
        <v>2331881</v>
      </c>
      <c r="B317" s="2">
        <v>48</v>
      </c>
      <c r="C317" s="2" t="s">
        <v>6</v>
      </c>
      <c r="D317" s="2">
        <v>120</v>
      </c>
      <c r="E317" s="2"/>
      <c r="F317" s="4" t="str">
        <f>HYPERLINK("./Results/DLO\20190501_1.3.12.2.1107.5.1.4.54310.30000019050821334617100037895_5_512_512_\Osteo_Sarco_1.png","RPT")</f>
        <v>RPT</v>
      </c>
      <c r="G317" s="3">
        <v>138</v>
      </c>
      <c r="H317" s="3"/>
    </row>
    <row r="318" spans="1:8" x14ac:dyDescent="0.3">
      <c r="A318" s="2">
        <v>2339555</v>
      </c>
      <c r="B318" s="2">
        <v>60</v>
      </c>
      <c r="C318" s="2" t="s">
        <v>5</v>
      </c>
      <c r="D318" s="2">
        <v>120</v>
      </c>
      <c r="E318" s="2"/>
      <c r="F318" s="4" t="str">
        <f>HYPERLINK("./Results/DLO\20180101_1.3.12.2.1107.5.1.4.64716.30000018010822094245100105212_2_512_512_\Osteo_Sarco_1.png","RPT")</f>
        <v>RPT</v>
      </c>
      <c r="G318" s="3">
        <v>172</v>
      </c>
      <c r="H318" s="3"/>
    </row>
    <row r="319" spans="1:8" x14ac:dyDescent="0.3">
      <c r="A319" s="2">
        <v>2339555</v>
      </c>
      <c r="B319" s="2">
        <v>60</v>
      </c>
      <c r="C319" s="2" t="s">
        <v>5</v>
      </c>
      <c r="D319" s="2">
        <v>120</v>
      </c>
      <c r="E319" s="2"/>
      <c r="F319" s="4" t="str">
        <f>HYPERLINK("./Results/DLO\20180101_1.3.12.2.1107.5.1.4.64716.30000018010822094245100105323_3_512_512_\Osteo_Sarco_1.png","RPT")</f>
        <v>RPT</v>
      </c>
      <c r="G319" s="3">
        <v>171</v>
      </c>
      <c r="H319" s="3"/>
    </row>
    <row r="320" spans="1:8" x14ac:dyDescent="0.3">
      <c r="A320" s="2">
        <v>2360141</v>
      </c>
      <c r="B320" s="2">
        <v>71</v>
      </c>
      <c r="C320" s="2" t="s">
        <v>6</v>
      </c>
      <c r="D320" s="2">
        <v>100</v>
      </c>
      <c r="E320" s="2"/>
      <c r="F320" s="4" t="str">
        <f>HYPERLINK("./Results/DLO\20200101_1.3.12.2.1107.5.1.4.65253.30000020011319395761900014840_2_512_512_\Osteo_Sarco_1.png","RPT")</f>
        <v>RPT</v>
      </c>
      <c r="G320" s="3">
        <v>96</v>
      </c>
      <c r="H320" s="3"/>
    </row>
    <row r="321" spans="1:8" x14ac:dyDescent="0.3">
      <c r="A321" s="2">
        <v>2380953</v>
      </c>
      <c r="B321" s="2">
        <v>62</v>
      </c>
      <c r="C321" s="2" t="s">
        <v>6</v>
      </c>
      <c r="D321" s="2">
        <v>100</v>
      </c>
      <c r="E321" s="2"/>
      <c r="F321" s="4" t="str">
        <f>HYPERLINK("./Results/DLO\20191001_1.3.12.2.1107.5.1.4.65253.30000019093020481743200001000_3_512_512_\Osteo_Sarco_1.png","RPT")</f>
        <v>RPT</v>
      </c>
      <c r="G321" s="3">
        <v>103</v>
      </c>
      <c r="H321" s="3"/>
    </row>
    <row r="322" spans="1:8" x14ac:dyDescent="0.3">
      <c r="A322" s="2">
        <v>2380953</v>
      </c>
      <c r="B322" s="2">
        <v>62</v>
      </c>
      <c r="C322" s="2" t="s">
        <v>6</v>
      </c>
      <c r="D322" s="2">
        <v>100</v>
      </c>
      <c r="E322" s="2"/>
      <c r="F322" s="4" t="str">
        <f>HYPERLINK("./Results/DLO\20191001_1.3.12.2.1107.5.1.4.65253.30000019093020481743200000285_2_512_512_\Osteo_Sarco_1.png","RPT")</f>
        <v>RPT</v>
      </c>
      <c r="G322" s="3">
        <v>101</v>
      </c>
      <c r="H322" s="3"/>
    </row>
    <row r="323" spans="1:8" x14ac:dyDescent="0.3">
      <c r="A323" s="2">
        <v>2383198</v>
      </c>
      <c r="B323" s="2">
        <v>63</v>
      </c>
      <c r="C323" s="2" t="s">
        <v>6</v>
      </c>
      <c r="D323" s="2">
        <v>100</v>
      </c>
      <c r="E323" s="2"/>
      <c r="F323" s="4" t="str">
        <f>HYPERLINK("./Results/DLO\20180601_1.2.840.113619.2.94.485650834948.2.8902681.19285781.1_2_512_512_\Osteo_Sarco_1.png","RPT")</f>
        <v>RPT</v>
      </c>
      <c r="G323" s="3">
        <v>111</v>
      </c>
      <c r="H323" s="3"/>
    </row>
    <row r="324" spans="1:8" x14ac:dyDescent="0.3">
      <c r="A324" s="2">
        <v>2385350</v>
      </c>
      <c r="B324" s="2">
        <v>78</v>
      </c>
      <c r="C324" s="2" t="s">
        <v>5</v>
      </c>
      <c r="D324" s="2">
        <v>100</v>
      </c>
      <c r="E324" s="2"/>
      <c r="F324" s="4" t="str">
        <f>HYPERLINK("./Results/DLO\20190201_1.3.12.2.1107.5.1.4.54310.30000019022523304521800006387_2_512_512_\Osteo_Sarco_1.png","RPT")</f>
        <v>RPT</v>
      </c>
      <c r="G324" s="3">
        <v>147</v>
      </c>
      <c r="H324" s="3"/>
    </row>
    <row r="325" spans="1:8" x14ac:dyDescent="0.3">
      <c r="A325" s="2">
        <v>2387082</v>
      </c>
      <c r="B325" s="2">
        <v>84</v>
      </c>
      <c r="C325" s="2" t="s">
        <v>5</v>
      </c>
      <c r="D325" s="2">
        <v>100</v>
      </c>
      <c r="E325" s="2"/>
      <c r="F325" s="4" t="str">
        <f>HYPERLINK("./Results/DLO\20200301_1.3.12.2.1107.5.1.4.65253.30000020030419535544500012894_7_512_512_\Osteo_Sarco_1.png","RPT")</f>
        <v>RPT</v>
      </c>
      <c r="G325" s="3">
        <v>123</v>
      </c>
      <c r="H325" s="3"/>
    </row>
    <row r="326" spans="1:8" x14ac:dyDescent="0.3">
      <c r="A326" s="2">
        <v>2387082</v>
      </c>
      <c r="B326" s="2">
        <v>84</v>
      </c>
      <c r="C326" s="2" t="s">
        <v>5</v>
      </c>
      <c r="D326" s="2">
        <v>100</v>
      </c>
      <c r="E326" s="2"/>
      <c r="F326" s="4" t="str">
        <f>HYPERLINK("./Results/DLO\20200301_1.3.12.2.1107.5.1.4.65253.30000020030419535544500012144_5_512_512_\Osteo_Sarco_1.png","RPT")</f>
        <v>RPT</v>
      </c>
      <c r="G326" s="3">
        <v>120</v>
      </c>
      <c r="H326" s="3"/>
    </row>
    <row r="327" spans="1:8" x14ac:dyDescent="0.3">
      <c r="A327" s="2">
        <v>2387082</v>
      </c>
      <c r="B327" s="2">
        <v>84</v>
      </c>
      <c r="C327" s="2" t="s">
        <v>5</v>
      </c>
      <c r="D327" s="2">
        <v>100</v>
      </c>
      <c r="E327" s="2"/>
      <c r="F327" s="4" t="str">
        <f>HYPERLINK("./Results/DLO\20200301_1.3.12.2.1107.5.1.4.65253.30000020030419535544500011956_2_512_512_\Osteo_Sarco_1.png","RPT")</f>
        <v>RPT</v>
      </c>
      <c r="G327" s="3">
        <v>119</v>
      </c>
      <c r="H327" s="3"/>
    </row>
    <row r="328" spans="1:8" x14ac:dyDescent="0.3">
      <c r="A328" s="2">
        <v>2394140</v>
      </c>
      <c r="B328" s="2">
        <v>66</v>
      </c>
      <c r="C328" s="2" t="s">
        <v>5</v>
      </c>
      <c r="D328" s="2">
        <v>140</v>
      </c>
      <c r="E328" s="2"/>
      <c r="F328" s="4" t="str">
        <f>HYPERLINK("./Results/DLO\20180301_1.2.840.113619.2.416.180587923088224150433666791452647949040_303_512_512_\Osteo_Sarco_1.png","RPT")</f>
        <v>RPT</v>
      </c>
      <c r="G328" s="3">
        <v>134</v>
      </c>
      <c r="H328" s="3"/>
    </row>
    <row r="329" spans="1:8" x14ac:dyDescent="0.3">
      <c r="A329" s="2">
        <v>2394140</v>
      </c>
      <c r="B329" s="2">
        <v>66</v>
      </c>
      <c r="C329" s="2" t="s">
        <v>5</v>
      </c>
      <c r="D329" s="2">
        <v>140</v>
      </c>
      <c r="E329" s="2"/>
      <c r="F329" s="4" t="str">
        <f>HYPERLINK("./Results/DLO\20180301_1.2.840.113619.2.416.305673673901290925575829999165215231876_2_512_512_\Osteo_Sarco_1.png","RPT")</f>
        <v>RPT</v>
      </c>
      <c r="G329" s="3">
        <v>132</v>
      </c>
      <c r="H329" s="3"/>
    </row>
    <row r="330" spans="1:8" x14ac:dyDescent="0.3">
      <c r="A330" s="2">
        <v>2400226</v>
      </c>
      <c r="B330" s="2">
        <v>35</v>
      </c>
      <c r="C330" s="2" t="s">
        <v>5</v>
      </c>
      <c r="D330" s="2">
        <v>100</v>
      </c>
      <c r="E330" s="2"/>
      <c r="F330" s="4" t="str">
        <f>HYPERLINK("./Results/DLO\20190201_1.2.410.100011.172.16.68.202.6368687056130995842.4.7_7_512_512_\Osteo_Sarco_1.png","RPT")</f>
        <v>RPT</v>
      </c>
      <c r="G330" s="3">
        <v>147</v>
      </c>
      <c r="H330" s="3"/>
    </row>
    <row r="331" spans="1:8" x14ac:dyDescent="0.3">
      <c r="A331" s="2">
        <v>2400226</v>
      </c>
      <c r="B331" s="2">
        <v>35</v>
      </c>
      <c r="C331" s="2" t="s">
        <v>5</v>
      </c>
      <c r="D331" s="2">
        <v>100</v>
      </c>
      <c r="E331" s="2"/>
      <c r="F331" s="4" t="str">
        <f>HYPERLINK("./Results/DLO\20190201_1.2.410.100011.172.16.68.202.6368687056130995842.1.2_2_512_512_\Osteo_Sarco_1.png","RPT")</f>
        <v>RPT</v>
      </c>
      <c r="G331" s="3">
        <v>146</v>
      </c>
      <c r="H331" s="3"/>
    </row>
    <row r="332" spans="1:8" x14ac:dyDescent="0.3">
      <c r="A332" s="2">
        <v>2400226</v>
      </c>
      <c r="B332" s="2">
        <v>35</v>
      </c>
      <c r="C332" s="2" t="s">
        <v>5</v>
      </c>
      <c r="D332" s="2">
        <v>100</v>
      </c>
      <c r="E332" s="2"/>
      <c r="F332" s="4" t="str">
        <f>HYPERLINK("./Results/DLO\20190201_1.2.410.100011.172.16.68.202.6368687056130995842.2.3_3_512_512_\Osteo_Sarco_1.png","RPT")</f>
        <v>RPT</v>
      </c>
      <c r="G332" s="3">
        <v>145</v>
      </c>
      <c r="H332" s="3"/>
    </row>
    <row r="333" spans="1:8" x14ac:dyDescent="0.3">
      <c r="A333" s="2">
        <v>2400226</v>
      </c>
      <c r="B333" s="2">
        <v>35</v>
      </c>
      <c r="C333" s="2" t="s">
        <v>5</v>
      </c>
      <c r="D333" s="2">
        <v>100</v>
      </c>
      <c r="E333" s="2"/>
      <c r="F333" s="4" t="str">
        <f>HYPERLINK("./Results/DLO\20190201_1.2.410.100011.172.16.68.202.6368687056130995842.3.4_4_512_512_\Osteo_Sarco_1.png","RPT")</f>
        <v>RPT</v>
      </c>
      <c r="G333" s="3">
        <v>143</v>
      </c>
      <c r="H333" s="3"/>
    </row>
    <row r="334" spans="1:8" x14ac:dyDescent="0.3">
      <c r="A334" s="2">
        <v>2418309</v>
      </c>
      <c r="B334" s="2">
        <v>41</v>
      </c>
      <c r="C334" s="2" t="s">
        <v>6</v>
      </c>
      <c r="D334" s="2">
        <v>100</v>
      </c>
      <c r="E334" s="2"/>
      <c r="F334" s="4" t="str">
        <f>HYPERLINK("./Results/DLO\20181201_1.3.12.2.1107.5.1.4.65253.30000018120420321950700000000_2_512_512_\Osteo_Sarco_1.png","RPT")</f>
        <v>RPT</v>
      </c>
      <c r="G334" s="3">
        <v>105</v>
      </c>
      <c r="H334" s="3"/>
    </row>
    <row r="335" spans="1:8" x14ac:dyDescent="0.3">
      <c r="A335" s="2">
        <v>2418309</v>
      </c>
      <c r="B335" s="2">
        <v>41</v>
      </c>
      <c r="C335" s="2" t="s">
        <v>6</v>
      </c>
      <c r="D335" s="2">
        <v>100</v>
      </c>
      <c r="E335" s="2"/>
      <c r="F335" s="4" t="str">
        <f>HYPERLINK("./Results/DLO\20181201_1.3.12.2.1107.5.1.4.65253.30000018120420321950700000156_3_512_512_\Osteo_Sarco_1.png","RPT")</f>
        <v>RPT</v>
      </c>
      <c r="G335" s="3">
        <v>105</v>
      </c>
      <c r="H335" s="3"/>
    </row>
    <row r="336" spans="1:8" x14ac:dyDescent="0.3">
      <c r="A336" s="2">
        <v>2419614</v>
      </c>
      <c r="B336" s="2">
        <v>72</v>
      </c>
      <c r="C336" s="2" t="s">
        <v>6</v>
      </c>
      <c r="D336" s="2">
        <v>140</v>
      </c>
      <c r="E336" s="2"/>
      <c r="F336" s="4" t="str">
        <f>HYPERLINK("./Results/DLO\20200301_1.2.840.113619.2.416.255309994403469865695178101833861681362_302_512_512_\Osteo_Sarco_1.png","RPT")</f>
        <v>RPT</v>
      </c>
      <c r="G336" s="3">
        <v>109</v>
      </c>
      <c r="H336" s="3"/>
    </row>
    <row r="337" spans="1:8" x14ac:dyDescent="0.3">
      <c r="A337" s="2">
        <v>2419614</v>
      </c>
      <c r="B337" s="2">
        <v>72</v>
      </c>
      <c r="C337" s="2" t="s">
        <v>6</v>
      </c>
      <c r="D337" s="2">
        <v>120</v>
      </c>
      <c r="E337" s="2"/>
      <c r="F337" s="4" t="str">
        <f>HYPERLINK("./Results/DLO\20200301_1.2.840.113619.2.416.254648089859100648262673565016165551087_2_512_512_\Osteo_Sarco_1.png","RPT")</f>
        <v>RPT</v>
      </c>
      <c r="G337" s="3">
        <v>108</v>
      </c>
      <c r="H337" s="3"/>
    </row>
    <row r="338" spans="1:8" x14ac:dyDescent="0.3">
      <c r="A338" s="2">
        <v>2424061</v>
      </c>
      <c r="B338" s="2">
        <v>54</v>
      </c>
      <c r="C338" s="2" t="s">
        <v>6</v>
      </c>
      <c r="D338" s="2">
        <v>100</v>
      </c>
      <c r="E338" s="2"/>
      <c r="F338" s="4" t="str">
        <f>HYPERLINK("./Results/DLO\20190501_1.3.46.670589.33.1.63694120181612918100001.5274828817518869519_601_512_512_\Osteo_Sarco_1.png","RPT")</f>
        <v>RPT</v>
      </c>
      <c r="G338" s="3">
        <v>110</v>
      </c>
      <c r="H338" s="3"/>
    </row>
    <row r="339" spans="1:8" x14ac:dyDescent="0.3">
      <c r="A339" s="2">
        <v>2424624</v>
      </c>
      <c r="B339" s="2">
        <v>61</v>
      </c>
      <c r="C339" s="2" t="s">
        <v>6</v>
      </c>
      <c r="D339" s="2">
        <v>100</v>
      </c>
      <c r="E339" s="2"/>
      <c r="F339" s="4" t="str">
        <f>HYPERLINK("./Results/DLO\20180401_1.3.12.2.1107.5.1.4.54310.30000018040323102348400005420_9_512_512_\Osteo_Sarco_1.png","RPT")</f>
        <v>RPT</v>
      </c>
      <c r="G339" s="3">
        <v>98</v>
      </c>
      <c r="H339" s="3"/>
    </row>
    <row r="340" spans="1:8" x14ac:dyDescent="0.3">
      <c r="A340" s="2">
        <v>2424624</v>
      </c>
      <c r="B340" s="2">
        <v>61</v>
      </c>
      <c r="C340" s="2" t="s">
        <v>6</v>
      </c>
      <c r="D340" s="2">
        <v>100</v>
      </c>
      <c r="E340" s="2"/>
      <c r="F340" s="4" t="str">
        <f>HYPERLINK("./Results/DLO\20180401_1.3.12.2.1107.5.1.4.54310.30000018040323102348400005170_7_512_512_\Osteo_Sarco_1.png","RPT")</f>
        <v>RPT</v>
      </c>
      <c r="G340" s="3">
        <v>97</v>
      </c>
      <c r="H340" s="3"/>
    </row>
    <row r="341" spans="1:8" x14ac:dyDescent="0.3">
      <c r="A341" s="2">
        <v>2424624</v>
      </c>
      <c r="B341" s="2">
        <v>61</v>
      </c>
      <c r="C341" s="2" t="s">
        <v>6</v>
      </c>
      <c r="D341" s="2">
        <v>100</v>
      </c>
      <c r="E341" s="2"/>
      <c r="F341" s="4" t="str">
        <f>HYPERLINK("./Results/DLO\20180401_1.3.12.2.1107.5.1.4.54310.30000018040323102348400004822_5_512_512_\Osteo_Sarco_1.png","RPT")</f>
        <v>RPT</v>
      </c>
      <c r="G341" s="3">
        <v>96</v>
      </c>
      <c r="H341" s="3"/>
    </row>
    <row r="342" spans="1:8" x14ac:dyDescent="0.3">
      <c r="A342" s="2">
        <v>2424624</v>
      </c>
      <c r="B342" s="2">
        <v>61</v>
      </c>
      <c r="C342" s="2" t="s">
        <v>6</v>
      </c>
      <c r="D342" s="2">
        <v>100</v>
      </c>
      <c r="E342" s="2"/>
      <c r="F342" s="4" t="str">
        <f>HYPERLINK("./Results/DLO\20180401_1.3.12.2.1107.5.1.4.54310.30000018040323102348400004733_3_512_512_\Osteo_Sarco_1.png","RPT")</f>
        <v>RPT</v>
      </c>
      <c r="G342" s="3">
        <v>95</v>
      </c>
      <c r="H342" s="3"/>
    </row>
    <row r="343" spans="1:8" x14ac:dyDescent="0.3">
      <c r="A343" s="2">
        <v>2431276</v>
      </c>
      <c r="B343" s="2">
        <v>67</v>
      </c>
      <c r="C343" s="2" t="s">
        <v>6</v>
      </c>
      <c r="D343" s="2">
        <v>140</v>
      </c>
      <c r="E343" s="2"/>
      <c r="F343" s="4" t="str">
        <f>HYPERLINK("./Results/DLO\20190801_1.2.840.113619.2.416.150109920694783346540628196139514090439_2_512_512_\Osteo_Sarco_1.png","RPT")</f>
        <v>RPT</v>
      </c>
      <c r="G343" s="3">
        <v>76</v>
      </c>
      <c r="H343" s="3"/>
    </row>
    <row r="344" spans="1:8" x14ac:dyDescent="0.3">
      <c r="A344" s="2">
        <v>2431276</v>
      </c>
      <c r="B344" s="2">
        <v>67</v>
      </c>
      <c r="C344" s="2" t="s">
        <v>6</v>
      </c>
      <c r="D344" s="2">
        <v>140</v>
      </c>
      <c r="E344" s="2"/>
      <c r="F344" s="4" t="str">
        <f>HYPERLINK("./Results/DLO\20190801_1.2.840.113619.2.416.75359084611399990249986254893672839314_303_512_512_\Osteo_Sarco_1.png","RPT")</f>
        <v>RPT</v>
      </c>
      <c r="G344" s="3">
        <v>74</v>
      </c>
      <c r="H344" s="3"/>
    </row>
    <row r="345" spans="1:8" x14ac:dyDescent="0.3">
      <c r="A345" s="2">
        <v>2431276</v>
      </c>
      <c r="B345" s="2">
        <v>67</v>
      </c>
      <c r="C345" s="2" t="s">
        <v>6</v>
      </c>
      <c r="D345" s="2">
        <v>140</v>
      </c>
      <c r="E345" s="2"/>
      <c r="F345" s="4" t="str">
        <f>HYPERLINK("./Results/DLO\20190801_1.2.840.113619.2.416.332237289060255254247475664469092513149_306_512_512_\Osteo_Sarco_1.png","RPT")</f>
        <v>RPT</v>
      </c>
      <c r="G345" s="3">
        <v>73</v>
      </c>
      <c r="H345" s="3"/>
    </row>
    <row r="346" spans="1:8" x14ac:dyDescent="0.3">
      <c r="A346" s="2">
        <v>2431276</v>
      </c>
      <c r="B346" s="2">
        <v>67</v>
      </c>
      <c r="C346" s="2" t="s">
        <v>6</v>
      </c>
      <c r="D346" s="2">
        <v>140</v>
      </c>
      <c r="E346" s="2"/>
      <c r="F346" s="4" t="str">
        <f>HYPERLINK("./Results/DLO\20190801_1.2.840.113619.2.416.238960549226672989169797855678300888734_301_512_512_\Osteo_Sarco_1.png","RPT")</f>
        <v>RPT</v>
      </c>
      <c r="G346" s="3">
        <v>72</v>
      </c>
      <c r="H346" s="3"/>
    </row>
    <row r="347" spans="1:8" x14ac:dyDescent="0.3">
      <c r="A347" s="2">
        <v>2437651</v>
      </c>
      <c r="B347" s="2">
        <v>66</v>
      </c>
      <c r="C347" s="2" t="s">
        <v>6</v>
      </c>
      <c r="D347" s="2">
        <v>100</v>
      </c>
      <c r="E347" s="2"/>
      <c r="F347" s="4" t="str">
        <f>HYPERLINK("./Results/DLO\20180101_1.3.12.2.1107.5.1.4.65253.30000018012401533305800000205_2_512_512_\Osteo_Sarco_1.png","RPT")</f>
        <v>RPT</v>
      </c>
      <c r="G347" s="3">
        <v>82</v>
      </c>
      <c r="H347" s="3"/>
    </row>
    <row r="348" spans="1:8" x14ac:dyDescent="0.3">
      <c r="A348" s="2">
        <v>2438507</v>
      </c>
      <c r="B348" s="2">
        <v>58</v>
      </c>
      <c r="C348" s="2" t="s">
        <v>5</v>
      </c>
      <c r="D348" s="2">
        <v>100</v>
      </c>
      <c r="E348" s="2"/>
      <c r="F348" s="4" t="str">
        <f>HYPERLINK("./Results/DLO\20190301_1.3.46.670589.33.1.63689126672423784900001.4741026877942244533_701_512_512_\Osteo_Sarco_1.png","RPT")</f>
        <v>RPT</v>
      </c>
      <c r="G348" s="3">
        <v>134</v>
      </c>
      <c r="H348" s="3"/>
    </row>
    <row r="349" spans="1:8" x14ac:dyDescent="0.3">
      <c r="A349" s="2">
        <v>2438507</v>
      </c>
      <c r="B349" s="2">
        <v>58</v>
      </c>
      <c r="C349" s="2" t="s">
        <v>5</v>
      </c>
      <c r="D349" s="2">
        <v>100</v>
      </c>
      <c r="E349" s="2"/>
      <c r="F349" s="4" t="str">
        <f>HYPERLINK("./Results/DLO\20190301_1.3.46.670589.33.1.63689126527489495100001.4814113841312599580_501_512_512_\Osteo_Sarco_1.png","RPT")</f>
        <v>RPT</v>
      </c>
      <c r="G349" s="3">
        <v>132</v>
      </c>
      <c r="H349" s="3"/>
    </row>
    <row r="350" spans="1:8" x14ac:dyDescent="0.3">
      <c r="A350" s="2">
        <v>2438507</v>
      </c>
      <c r="B350" s="2">
        <v>58</v>
      </c>
      <c r="C350" s="2" t="s">
        <v>5</v>
      </c>
      <c r="D350" s="2">
        <v>100</v>
      </c>
      <c r="E350" s="2"/>
      <c r="F350" s="4" t="str">
        <f>HYPERLINK("./Results/DLO\20190301_1.3.46.670589.33.1.63689126580384520500001.4934283337546116957_601_512_512_\Osteo_Sarco_1.png","RPT")</f>
        <v>RPT</v>
      </c>
      <c r="G350" s="3">
        <v>132</v>
      </c>
      <c r="H350" s="3"/>
    </row>
    <row r="351" spans="1:8" x14ac:dyDescent="0.3">
      <c r="A351" s="2">
        <v>2438507</v>
      </c>
      <c r="B351" s="2">
        <v>58</v>
      </c>
      <c r="C351" s="2" t="s">
        <v>5</v>
      </c>
      <c r="D351" s="2">
        <v>100</v>
      </c>
      <c r="E351" s="2"/>
      <c r="F351" s="4" t="str">
        <f>HYPERLINK("./Results/DLO\20190301_1.3.46.670589.33.1.63689126417124182600001.4794660027985709986_201_512_512_\Osteo_Sarco_1.png","RPT")</f>
        <v>RPT</v>
      </c>
      <c r="G351" s="3">
        <v>131</v>
      </c>
      <c r="H351" s="3"/>
    </row>
    <row r="352" spans="1:8" x14ac:dyDescent="0.3">
      <c r="A352" s="2">
        <v>2439020</v>
      </c>
      <c r="B352" s="2">
        <v>51</v>
      </c>
      <c r="C352" s="2" t="s">
        <v>5</v>
      </c>
      <c r="D352" s="2">
        <v>140</v>
      </c>
      <c r="E352" s="2"/>
      <c r="F352" s="4" t="str">
        <f>HYPERLINK("./Results/DLO\20180301_1.2.840.113619.2.416.135450718623355850750719431471169431448_304_512_512_\Osteo_Sarco_1.png","RPT")</f>
        <v>RPT</v>
      </c>
      <c r="G352" s="3">
        <v>153</v>
      </c>
      <c r="H352" s="3"/>
    </row>
    <row r="353" spans="1:8" x14ac:dyDescent="0.3">
      <c r="A353" s="2">
        <v>2439020</v>
      </c>
      <c r="B353" s="2">
        <v>51</v>
      </c>
      <c r="C353" s="2" t="s">
        <v>5</v>
      </c>
      <c r="D353" s="2">
        <v>140</v>
      </c>
      <c r="E353" s="2"/>
      <c r="F353" s="4" t="str">
        <f>HYPERLINK("./Results/DLO\20180301_1.2.840.113619.2.416.165286943053817631936712347459754808645_308_512_512_\Osteo_Sarco_1.png","RPT")</f>
        <v>RPT</v>
      </c>
      <c r="G353" s="3">
        <v>151</v>
      </c>
      <c r="H353" s="3"/>
    </row>
    <row r="354" spans="1:8" x14ac:dyDescent="0.3">
      <c r="A354" s="2">
        <v>2439020</v>
      </c>
      <c r="B354" s="2">
        <v>51</v>
      </c>
      <c r="C354" s="2" t="s">
        <v>5</v>
      </c>
      <c r="D354" s="2">
        <v>140</v>
      </c>
      <c r="E354" s="2"/>
      <c r="F354" s="4" t="str">
        <f>HYPERLINK("./Results/DLO\20180301_1.2.840.113619.2.416.139397989346690970908305489954142549136_302_512_512_\Osteo_Sarco_1.png","RPT")</f>
        <v>RPT</v>
      </c>
      <c r="G354" s="3">
        <v>149</v>
      </c>
      <c r="H354" s="3"/>
    </row>
    <row r="355" spans="1:8" x14ac:dyDescent="0.3">
      <c r="A355" s="2">
        <v>2439020</v>
      </c>
      <c r="B355" s="2">
        <v>51</v>
      </c>
      <c r="C355" s="2" t="s">
        <v>5</v>
      </c>
      <c r="D355" s="2">
        <v>140</v>
      </c>
      <c r="E355" s="2"/>
      <c r="F355" s="4" t="str">
        <f>HYPERLINK("./Results/DLO\20180301_1.2.840.113619.2.416.316473828417179456514732278801073994931_2_512_512_\Osteo_Sarco_1.png","RPT")</f>
        <v>RPT</v>
      </c>
      <c r="G355" s="3">
        <v>145</v>
      </c>
      <c r="H355" s="3"/>
    </row>
    <row r="356" spans="1:8" x14ac:dyDescent="0.3">
      <c r="A356" s="2">
        <v>2441172</v>
      </c>
      <c r="B356" s="2">
        <v>66</v>
      </c>
      <c r="C356" s="2" t="s">
        <v>6</v>
      </c>
      <c r="D356" s="2">
        <v>100</v>
      </c>
      <c r="E356" s="2"/>
      <c r="F356" s="4" t="str">
        <f>HYPERLINK("./Results/DLO\20190901_1.3.12.2.1107.5.1.4.54310.30000019091621180282800035007_7_512_512_\Osteo_Sarco_1.png","RPT")</f>
        <v>RPT</v>
      </c>
      <c r="G356" s="3">
        <v>104</v>
      </c>
      <c r="H356" s="3"/>
    </row>
    <row r="357" spans="1:8" x14ac:dyDescent="0.3">
      <c r="A357" s="2">
        <v>2458139</v>
      </c>
      <c r="B357" s="2">
        <v>72</v>
      </c>
      <c r="C357" s="2" t="s">
        <v>5</v>
      </c>
      <c r="D357" s="2">
        <v>100</v>
      </c>
      <c r="E357" s="2"/>
      <c r="F357" s="4" t="str">
        <f>HYPERLINK("./Results/DLO\20180801_1.3.12.2.1107.5.1.4.54310.30000018081923063898400001421_2_512_512_\Osteo_Sarco_1.png","RPT")</f>
        <v>RPT</v>
      </c>
      <c r="G357" s="3">
        <v>116</v>
      </c>
      <c r="H357" s="3"/>
    </row>
    <row r="358" spans="1:8" x14ac:dyDescent="0.3">
      <c r="A358" s="2">
        <v>2462536</v>
      </c>
      <c r="B358" s="2">
        <v>50</v>
      </c>
      <c r="C358" s="2" t="s">
        <v>6</v>
      </c>
      <c r="D358" s="2">
        <v>100</v>
      </c>
      <c r="E358" s="2"/>
      <c r="F358" s="4" t="str">
        <f>HYPERLINK("./Results/DLO\20180201_1.2.840.113619.2.311.290196616023874487203319470749794151999_304_512_512_\Osteo_Sarco_1.png","RPT")</f>
        <v>RPT</v>
      </c>
      <c r="G358" s="3">
        <v>101</v>
      </c>
      <c r="H358" s="3"/>
    </row>
    <row r="359" spans="1:8" x14ac:dyDescent="0.3">
      <c r="A359" s="2">
        <v>2464990</v>
      </c>
      <c r="B359" s="2">
        <v>54</v>
      </c>
      <c r="C359" s="2" t="s">
        <v>5</v>
      </c>
      <c r="D359" s="2">
        <v>140</v>
      </c>
      <c r="E359" s="2"/>
      <c r="F359" s="4" t="str">
        <f>HYPERLINK("./Results/DLO\20200401_1.2.840.113619.2.416.133002953010316666722872556850416032455_306_512_512_\Osteo_Sarco_1.png","RPT")</f>
        <v>RPT</v>
      </c>
      <c r="G359" s="3">
        <v>185</v>
      </c>
      <c r="H359" s="3"/>
    </row>
    <row r="360" spans="1:8" x14ac:dyDescent="0.3">
      <c r="A360" s="2">
        <v>2464990</v>
      </c>
      <c r="B360" s="2">
        <v>54</v>
      </c>
      <c r="C360" s="2" t="s">
        <v>5</v>
      </c>
      <c r="D360" s="2">
        <v>140</v>
      </c>
      <c r="E360" s="2"/>
      <c r="F360" s="4" t="str">
        <f>HYPERLINK("./Results/DLO\20200401_1.2.840.113619.2.416.82923519848563945158093526363989137648_303_512_512_\Osteo_Sarco_1.png","RPT")</f>
        <v>RPT</v>
      </c>
      <c r="G360" s="3">
        <v>184</v>
      </c>
      <c r="H360" s="3"/>
    </row>
    <row r="361" spans="1:8" x14ac:dyDescent="0.3">
      <c r="A361" s="2">
        <v>2464990</v>
      </c>
      <c r="B361" s="2">
        <v>54</v>
      </c>
      <c r="C361" s="2" t="s">
        <v>5</v>
      </c>
      <c r="D361" s="2">
        <v>140</v>
      </c>
      <c r="E361" s="2"/>
      <c r="F361" s="4" t="str">
        <f>HYPERLINK("./Results/DLO\20200401_1.2.840.113619.2.416.115068396295067233251500188756840145557_301_512_512_\Osteo_Sarco_1.png","RPT")</f>
        <v>RPT</v>
      </c>
      <c r="G361" s="3">
        <v>182</v>
      </c>
      <c r="H361" s="3"/>
    </row>
    <row r="362" spans="1:8" x14ac:dyDescent="0.3">
      <c r="A362" s="2">
        <v>2464990</v>
      </c>
      <c r="B362" s="2">
        <v>54</v>
      </c>
      <c r="C362" s="2" t="s">
        <v>5</v>
      </c>
      <c r="D362" s="2">
        <v>140</v>
      </c>
      <c r="E362" s="2"/>
      <c r="F362" s="4" t="str">
        <f>HYPERLINK("./Results/DLO\20200401_1.2.840.113619.2.416.235128572497204090864066917854972080362_2_512_512_\Osteo_Sarco_1.png","RPT")</f>
        <v>RPT</v>
      </c>
      <c r="G362" s="3">
        <v>181</v>
      </c>
      <c r="H362" s="3"/>
    </row>
    <row r="363" spans="1:8" x14ac:dyDescent="0.3">
      <c r="A363" s="2">
        <v>2474841</v>
      </c>
      <c r="B363" s="2">
        <v>34</v>
      </c>
      <c r="C363" s="2" t="s">
        <v>6</v>
      </c>
      <c r="D363" s="2">
        <v>100</v>
      </c>
      <c r="E363" s="2"/>
      <c r="F363" s="4" t="str">
        <f>HYPERLINK("./Results/DLO\20191101_1.2.840.113619.2.416.19320413189664494993407073809570618557_310_512_512_\Osteo_Sarco_1.png","RPT")</f>
        <v>RPT</v>
      </c>
      <c r="G363" s="3">
        <v>108</v>
      </c>
      <c r="H363" s="3"/>
    </row>
    <row r="364" spans="1:8" x14ac:dyDescent="0.3">
      <c r="A364" s="2">
        <v>2491286</v>
      </c>
      <c r="B364" s="2">
        <v>66</v>
      </c>
      <c r="C364" s="2" t="s">
        <v>6</v>
      </c>
      <c r="D364" s="2">
        <v>100</v>
      </c>
      <c r="E364" s="2"/>
      <c r="F364" s="4" t="str">
        <f>HYPERLINK("./Results/DLO\20181201_1.3.46.670589.33.1.63680118900452594900001.5644952929415899837_201_512_512_\Osteo_Sarco_1.png","RPT")</f>
        <v>RPT</v>
      </c>
      <c r="G364" s="3">
        <v>96</v>
      </c>
      <c r="H364" s="3"/>
    </row>
    <row r="365" spans="1:8" x14ac:dyDescent="0.3">
      <c r="A365" s="2">
        <v>2501934</v>
      </c>
      <c r="B365" s="2">
        <v>61</v>
      </c>
      <c r="C365" s="2" t="s">
        <v>6</v>
      </c>
      <c r="D365" s="2">
        <v>100</v>
      </c>
      <c r="E365" s="2"/>
      <c r="F365" s="4" t="str">
        <f>HYPERLINK("./Results/DLO\20180301_1.2.840.113619.2.94.485650834948.2.8719361.18834260.1_2_512_512_\Osteo_Sarco_1.png","RPT")</f>
        <v>RPT</v>
      </c>
      <c r="G365" s="3">
        <v>122</v>
      </c>
      <c r="H365" s="3"/>
    </row>
    <row r="366" spans="1:8" x14ac:dyDescent="0.3">
      <c r="A366" s="2">
        <v>2511663</v>
      </c>
      <c r="B366" s="2">
        <v>68</v>
      </c>
      <c r="C366" s="2" t="s">
        <v>6</v>
      </c>
      <c r="D366" s="2">
        <v>100</v>
      </c>
      <c r="E366" s="2"/>
      <c r="F366" s="4" t="str">
        <f>HYPERLINK("./Results/DLO\20190201_1.3.12.2.1107.5.1.4.54310.30000019022623324843700043630_6_512_512_\Osteo_Sarco_1.png","RPT")</f>
        <v>RPT</v>
      </c>
      <c r="G366" s="3">
        <v>108</v>
      </c>
      <c r="H366" s="3"/>
    </row>
    <row r="367" spans="1:8" x14ac:dyDescent="0.3">
      <c r="A367" s="2">
        <v>2511663</v>
      </c>
      <c r="B367" s="2">
        <v>68</v>
      </c>
      <c r="C367" s="2" t="s">
        <v>6</v>
      </c>
      <c r="D367" s="2">
        <v>100</v>
      </c>
      <c r="E367" s="2"/>
      <c r="F367" s="4" t="str">
        <f>HYPERLINK("./Results/DLO\20190201_1.3.12.2.1107.5.1.4.54310.30000019022623324843700043277_4_512_512_\Osteo_Sarco_1.png","RPT")</f>
        <v>RPT</v>
      </c>
      <c r="G367" s="3">
        <v>106</v>
      </c>
      <c r="H367" s="3"/>
    </row>
    <row r="368" spans="1:8" x14ac:dyDescent="0.3">
      <c r="A368" s="2">
        <v>2532183</v>
      </c>
      <c r="B368" s="2">
        <v>71</v>
      </c>
      <c r="C368" s="2" t="s">
        <v>6</v>
      </c>
      <c r="D368" s="2">
        <v>100</v>
      </c>
      <c r="E368" s="2"/>
      <c r="F368" s="4" t="str">
        <f>HYPERLINK("./Results/DLO\20191101_1.2.840.113619.2.416.117615433373519038515427808731357590884_310_512_512_\Osteo_Sarco_1.png","RPT")</f>
        <v>RPT</v>
      </c>
      <c r="G368" s="3">
        <v>78</v>
      </c>
      <c r="H368" s="3"/>
    </row>
    <row r="369" spans="1:8" x14ac:dyDescent="0.3">
      <c r="A369" s="2">
        <v>2537999</v>
      </c>
      <c r="B369" s="2">
        <v>64</v>
      </c>
      <c r="C369" s="2" t="s">
        <v>5</v>
      </c>
      <c r="D369" s="2">
        <v>100</v>
      </c>
      <c r="E369" s="2"/>
      <c r="F369" s="4" t="str">
        <f>HYPERLINK("./Results/DLO\20190101_1.3.46.670589.33.1.63683314105931438000001.5530954445010434839_301_512_512_\Osteo_Sarco_1.png","RPT")</f>
        <v>RPT</v>
      </c>
      <c r="G369" s="3">
        <v>133</v>
      </c>
      <c r="H369" s="3"/>
    </row>
    <row r="370" spans="1:8" x14ac:dyDescent="0.3">
      <c r="A370" s="2">
        <v>2537999</v>
      </c>
      <c r="B370" s="2">
        <v>64</v>
      </c>
      <c r="C370" s="2" t="s">
        <v>5</v>
      </c>
      <c r="D370" s="2">
        <v>100</v>
      </c>
      <c r="E370" s="2"/>
      <c r="F370" s="4" t="str">
        <f>HYPERLINK("./Results/DLO\20190101_1.3.46.670589.33.1.63683313991511893600001.5681921398382606398_201_512_512_\Osteo_Sarco_1.png","RPT")</f>
        <v>RPT</v>
      </c>
      <c r="G370" s="3">
        <v>128</v>
      </c>
      <c r="H370" s="3"/>
    </row>
    <row r="371" spans="1:8" x14ac:dyDescent="0.3">
      <c r="A371" s="2">
        <v>2538674</v>
      </c>
      <c r="B371" s="2">
        <v>54</v>
      </c>
      <c r="C371" s="2" t="s">
        <v>5</v>
      </c>
      <c r="D371" s="2">
        <v>100</v>
      </c>
      <c r="E371" s="2"/>
      <c r="F371" s="4" t="str">
        <f>HYPERLINK("./Results/DLO\20180501_1.3.12.2.1107.5.1.4.54310.30000018050123303617100013728_2_512_512_\Osteo_Sarco_1.png","RPT")</f>
        <v>RPT</v>
      </c>
      <c r="G371" s="3">
        <v>181</v>
      </c>
      <c r="H371" s="3"/>
    </row>
    <row r="372" spans="1:8" x14ac:dyDescent="0.3">
      <c r="A372" s="2">
        <v>2539849</v>
      </c>
      <c r="B372" s="2">
        <v>50</v>
      </c>
      <c r="C372" s="2" t="s">
        <v>6</v>
      </c>
      <c r="D372" s="2">
        <v>100</v>
      </c>
      <c r="E372" s="2"/>
      <c r="F372" s="4" t="str">
        <f>HYPERLINK("./Results/DLO\20191001_1.3.46.670589.33.1.63707942017059296400001.5390417722416298421_301_512_512_\Osteo_Sarco_1.png","RPT")</f>
        <v>RPT</v>
      </c>
      <c r="G372" s="3">
        <v>108</v>
      </c>
      <c r="H372" s="3"/>
    </row>
    <row r="373" spans="1:8" x14ac:dyDescent="0.3">
      <c r="A373" s="2">
        <v>2539849</v>
      </c>
      <c r="B373" s="2">
        <v>50</v>
      </c>
      <c r="C373" s="2" t="s">
        <v>6</v>
      </c>
      <c r="D373" s="2">
        <v>100</v>
      </c>
      <c r="E373" s="2"/>
      <c r="F373" s="4" t="str">
        <f>HYPERLINK("./Results/DLO\20191001_1.3.46.670589.33.1.63707941907154010100001.4807159950069396803_201_512_512_\Osteo_Sarco_1.png","RPT")</f>
        <v>RPT</v>
      </c>
      <c r="G373" s="3">
        <v>106</v>
      </c>
      <c r="H373" s="3"/>
    </row>
    <row r="374" spans="1:8" x14ac:dyDescent="0.3">
      <c r="A374" s="2">
        <v>2543270</v>
      </c>
      <c r="B374" s="2">
        <v>71</v>
      </c>
      <c r="C374" s="2" t="s">
        <v>6</v>
      </c>
      <c r="D374" s="2">
        <v>100</v>
      </c>
      <c r="E374" s="2"/>
      <c r="F374" s="4" t="str">
        <f>HYPERLINK("./Results/DLO\20181101_1.3.12.2.1107.5.1.4.54310.30000018112823185235900017254_3_512_512_\Osteo_Sarco_1.png","RPT")</f>
        <v>RPT</v>
      </c>
      <c r="G374" s="3">
        <v>101</v>
      </c>
      <c r="H374" s="3"/>
    </row>
    <row r="375" spans="1:8" x14ac:dyDescent="0.3">
      <c r="A375" s="2">
        <v>2543270</v>
      </c>
      <c r="B375" s="2">
        <v>71</v>
      </c>
      <c r="C375" s="2" t="s">
        <v>6</v>
      </c>
      <c r="D375" s="2">
        <v>100</v>
      </c>
      <c r="E375" s="2"/>
      <c r="F375" s="4" t="str">
        <f>HYPERLINK("./Results/DLO\20181101_1.3.12.2.1107.5.1.4.54310.30000018112823185235900017111_2_512_512_\Osteo_Sarco_1.png","RPT")</f>
        <v>RPT</v>
      </c>
      <c r="G375" s="3">
        <v>99</v>
      </c>
      <c r="H375" s="3"/>
    </row>
    <row r="376" spans="1:8" x14ac:dyDescent="0.3">
      <c r="A376" s="2">
        <v>2546971</v>
      </c>
      <c r="B376" s="2">
        <v>65</v>
      </c>
      <c r="C376" s="2" t="s">
        <v>6</v>
      </c>
      <c r="D376" s="2">
        <v>100</v>
      </c>
      <c r="E376" s="2"/>
      <c r="F376" s="4" t="str">
        <f>HYPERLINK("./Results/DLO\20191201_1.3.46.670589.33.1.63711831918631086700001.5551471656243911739_201_512_512_\Osteo_Sarco_1.png","RPT")</f>
        <v>RPT</v>
      </c>
      <c r="G376" s="3">
        <v>117</v>
      </c>
      <c r="H376" s="3"/>
    </row>
    <row r="377" spans="1:8" x14ac:dyDescent="0.3">
      <c r="A377" s="2">
        <v>2553714</v>
      </c>
      <c r="B377" s="2">
        <v>57</v>
      </c>
      <c r="C377" s="2" t="s">
        <v>6</v>
      </c>
      <c r="D377" s="2">
        <v>140</v>
      </c>
      <c r="E377" s="2"/>
      <c r="F377" s="4" t="str">
        <f>HYPERLINK("./Results/DLO\20191201_1.2.840.113619.2.416.285885522215074214662180779803669066755_303_512_512_\Osteo_Sarco_1.png","RPT")</f>
        <v>RPT</v>
      </c>
      <c r="G377" s="3">
        <v>113</v>
      </c>
      <c r="H377" s="3"/>
    </row>
    <row r="378" spans="1:8" x14ac:dyDescent="0.3">
      <c r="A378" s="2">
        <v>2553714</v>
      </c>
      <c r="B378" s="2">
        <v>57</v>
      </c>
      <c r="C378" s="2" t="s">
        <v>6</v>
      </c>
      <c r="D378" s="2">
        <v>140</v>
      </c>
      <c r="E378" s="2"/>
      <c r="F378" s="4" t="str">
        <f>HYPERLINK("./Results/DLO\20191201_1.2.840.113619.2.416.284945473887479788436297521674255430839_302_512_512_\Osteo_Sarco_1.png","RPT")</f>
        <v>RPT</v>
      </c>
      <c r="G378" s="3">
        <v>109</v>
      </c>
      <c r="H378" s="3"/>
    </row>
    <row r="379" spans="1:8" x14ac:dyDescent="0.3">
      <c r="A379" s="2">
        <v>2554290</v>
      </c>
      <c r="B379" s="2">
        <v>49</v>
      </c>
      <c r="C379" s="2" t="s">
        <v>5</v>
      </c>
      <c r="D379" s="2">
        <v>100</v>
      </c>
      <c r="E379" s="2"/>
      <c r="F379" s="4" t="str">
        <f>HYPERLINK("./Results/DLO\20190501_1.3.12.2.1107.5.1.4.54310.30000019052621325350000034591_2_512_512_\Osteo_Sarco_1.png","RPT")</f>
        <v>RPT</v>
      </c>
      <c r="G379" s="3">
        <v>170</v>
      </c>
      <c r="H379" s="3"/>
    </row>
    <row r="380" spans="1:8" x14ac:dyDescent="0.3">
      <c r="A380" s="2">
        <v>2559340</v>
      </c>
      <c r="B380" s="2">
        <v>37</v>
      </c>
      <c r="C380" s="2" t="s">
        <v>6</v>
      </c>
      <c r="D380" s="2">
        <v>100</v>
      </c>
      <c r="E380" s="2"/>
      <c r="F380" s="4" t="str">
        <f>HYPERLINK("./Results/DLO\20190901_1.3.46.670589.33.1.63705346670652677000001.5556583170705163881_201_512_512_\Osteo_Sarco_1.png","RPT")</f>
        <v>RPT</v>
      </c>
      <c r="G380" s="3">
        <v>113</v>
      </c>
      <c r="H380" s="3"/>
    </row>
    <row r="381" spans="1:8" x14ac:dyDescent="0.3">
      <c r="A381" s="2">
        <v>2573354</v>
      </c>
      <c r="B381" s="2">
        <v>54</v>
      </c>
      <c r="C381" s="2" t="s">
        <v>6</v>
      </c>
      <c r="D381" s="2">
        <v>100</v>
      </c>
      <c r="E381" s="2"/>
      <c r="F381" s="4" t="str">
        <f>HYPERLINK("./Results/DLO\20181001_1.3.12.2.1107.5.1.4.65253.30000018100722531863800000685_2_512_512_\Osteo_Sarco_1.png","RPT")</f>
        <v>RPT</v>
      </c>
      <c r="G381" s="3">
        <v>86</v>
      </c>
      <c r="H381" s="3"/>
    </row>
    <row r="382" spans="1:8" x14ac:dyDescent="0.3">
      <c r="A382" s="2">
        <v>2574570</v>
      </c>
      <c r="B382" s="2">
        <v>44</v>
      </c>
      <c r="C382" s="2" t="s">
        <v>6</v>
      </c>
      <c r="D382" s="2">
        <v>100</v>
      </c>
      <c r="E382" s="2"/>
      <c r="F382" s="4" t="str">
        <f>HYPERLINK("./Results/DLO\20180401_1.3.12.2.1107.5.1.4.54310.30000018041523193462500013431_2_512_512_\Osteo_Sarco_1.png","RPT")</f>
        <v>RPT</v>
      </c>
      <c r="G382" s="3">
        <v>109</v>
      </c>
      <c r="H382" s="3"/>
    </row>
    <row r="383" spans="1:8" x14ac:dyDescent="0.3">
      <c r="A383" s="2">
        <v>2574743</v>
      </c>
      <c r="B383" s="2">
        <v>63</v>
      </c>
      <c r="C383" s="2" t="s">
        <v>6</v>
      </c>
      <c r="D383" s="2">
        <v>100</v>
      </c>
      <c r="E383" s="2"/>
      <c r="F383" s="4" t="str">
        <f>HYPERLINK("./Results/DLO\20181101_1.2.840.113619.2.94.485650834948.2.9186090.19982562.1_2_512_512_\Osteo_Sarco_1.png","RPT")</f>
        <v>RPT</v>
      </c>
      <c r="G383" s="3">
        <v>106</v>
      </c>
      <c r="H383" s="3"/>
    </row>
    <row r="384" spans="1:8" x14ac:dyDescent="0.3">
      <c r="A384" s="2">
        <v>2587327</v>
      </c>
      <c r="B384" s="2">
        <v>43</v>
      </c>
      <c r="C384" s="2" t="s">
        <v>6</v>
      </c>
      <c r="D384" s="2">
        <v>100</v>
      </c>
      <c r="E384" s="2"/>
      <c r="F384" s="4" t="str">
        <f>HYPERLINK("./Results/DLO\20180401_1.2.840.113619.2.311.228190814807358448533299059690064091480_303_512_512_\Osteo_Sarco_1.png","RPT")</f>
        <v>RPT</v>
      </c>
      <c r="G384" s="3">
        <v>102</v>
      </c>
      <c r="H384" s="3"/>
    </row>
    <row r="385" spans="1:8" x14ac:dyDescent="0.3">
      <c r="A385" s="2">
        <v>2592031</v>
      </c>
      <c r="B385" s="2">
        <v>45</v>
      </c>
      <c r="C385" s="2" t="s">
        <v>6</v>
      </c>
      <c r="D385" s="2">
        <v>100</v>
      </c>
      <c r="E385" s="2"/>
      <c r="F385" s="4" t="str">
        <f>HYPERLINK("./Results/DLO\20180301_1.3.12.2.1107.5.1.4.65253.30000018030417255907500116724_2_512_512_\Osteo_Sarco_1.png","RPT")</f>
        <v>RPT</v>
      </c>
      <c r="G385" s="3">
        <v>110</v>
      </c>
      <c r="H385" s="3"/>
    </row>
    <row r="386" spans="1:8" x14ac:dyDescent="0.3">
      <c r="A386" s="2">
        <v>2596661</v>
      </c>
      <c r="B386" s="2">
        <v>58</v>
      </c>
      <c r="C386" s="2" t="s">
        <v>5</v>
      </c>
      <c r="D386" s="2">
        <v>100</v>
      </c>
      <c r="E386" s="2"/>
      <c r="F386" s="4" t="str">
        <f>HYPERLINK("./Results/DLO\20180501_1.3.12.2.1107.5.1.4.54310.30000018052923310892100000838_2_512_512_\Osteo_Sarco_1.png","RPT")</f>
        <v>RPT</v>
      </c>
      <c r="G386" s="3">
        <v>135</v>
      </c>
      <c r="H386" s="3"/>
    </row>
    <row r="387" spans="1:8" x14ac:dyDescent="0.3">
      <c r="A387" s="2">
        <v>2606684</v>
      </c>
      <c r="B387" s="2">
        <v>69</v>
      </c>
      <c r="C387" s="2" t="s">
        <v>5</v>
      </c>
      <c r="D387" s="2">
        <v>100</v>
      </c>
      <c r="E387" s="2"/>
      <c r="F387" s="4" t="str">
        <f>HYPERLINK("./Results/DLO\20180401_1.3.12.2.1107.5.1.4.65253.30000018040118401598400067143_2_512_512_\Osteo_Sarco_1.png","RPT")</f>
        <v>RPT</v>
      </c>
      <c r="G387" s="3">
        <v>123</v>
      </c>
      <c r="H387" s="3"/>
    </row>
    <row r="388" spans="1:8" x14ac:dyDescent="0.3">
      <c r="A388" s="2">
        <v>2607456</v>
      </c>
      <c r="B388" s="2">
        <v>71</v>
      </c>
      <c r="C388" s="2" t="s">
        <v>6</v>
      </c>
      <c r="D388" s="2">
        <v>120</v>
      </c>
      <c r="E388" s="2"/>
      <c r="F388" s="4" t="str">
        <f>HYPERLINK("./Results/DLO\20180301_1.3.12.2.1107.5.1.4.54310.30000018031223122687500024240_7_512_512_\Osteo_Sarco_1.png","RPT")</f>
        <v>RPT</v>
      </c>
      <c r="G388" s="3">
        <v>109</v>
      </c>
      <c r="H388" s="3"/>
    </row>
    <row r="389" spans="1:8" x14ac:dyDescent="0.3">
      <c r="A389" s="2">
        <v>2607456</v>
      </c>
      <c r="B389" s="2">
        <v>71</v>
      </c>
      <c r="C389" s="2" t="s">
        <v>6</v>
      </c>
      <c r="D389" s="2">
        <v>100</v>
      </c>
      <c r="E389" s="2"/>
      <c r="F389" s="4" t="str">
        <f>HYPERLINK("./Results/DLO\20180301_1.3.12.2.1107.5.1.4.54310.30000018031223122687500023822_3_512_512_\Osteo_Sarco_1.png","RPT")</f>
        <v>RPT</v>
      </c>
      <c r="G389" s="3">
        <v>108</v>
      </c>
      <c r="H389" s="3"/>
    </row>
    <row r="390" spans="1:8" x14ac:dyDescent="0.3">
      <c r="A390" s="2">
        <v>2607456</v>
      </c>
      <c r="B390" s="2">
        <v>71</v>
      </c>
      <c r="C390" s="2" t="s">
        <v>6</v>
      </c>
      <c r="D390" s="2">
        <v>120</v>
      </c>
      <c r="E390" s="2"/>
      <c r="F390" s="4" t="str">
        <f>HYPERLINK("./Results/DLO\20180301_1.3.12.2.1107.5.1.4.54310.30000018031223122687500023907_5_512_512_\Osteo_Sarco_1.png","RPT")</f>
        <v>RPT</v>
      </c>
      <c r="G390" s="3">
        <v>107</v>
      </c>
      <c r="H390" s="3"/>
    </row>
    <row r="391" spans="1:8" x14ac:dyDescent="0.3">
      <c r="A391" s="2">
        <v>2607456</v>
      </c>
      <c r="B391" s="2">
        <v>71</v>
      </c>
      <c r="C391" s="2" t="s">
        <v>6</v>
      </c>
      <c r="D391" s="2">
        <v>120</v>
      </c>
      <c r="E391" s="2"/>
      <c r="F391" s="4" t="str">
        <f>HYPERLINK("./Results/DLO\20180301_1.3.12.2.1107.5.1.4.54310.30000018031223122687500024491_9_512_512_\Osteo_Sarco_1.png","RPT")</f>
        <v>RPT</v>
      </c>
      <c r="G391" s="3">
        <v>107</v>
      </c>
      <c r="H391" s="3"/>
    </row>
    <row r="392" spans="1:8" x14ac:dyDescent="0.3">
      <c r="A392" s="2">
        <v>2617738</v>
      </c>
      <c r="B392" s="2">
        <v>56</v>
      </c>
      <c r="C392" s="2" t="s">
        <v>5</v>
      </c>
      <c r="D392" s="2">
        <v>120</v>
      </c>
      <c r="E392" s="2"/>
      <c r="F392" s="4" t="str">
        <f>HYPERLINK("./Results/DLO\20180301_1.3.12.2.1107.5.1.4.54310.30000018030523103939000004412_9_512_512_\Osteo_Sarco_1.png","RPT")</f>
        <v>RPT</v>
      </c>
      <c r="G392" s="3">
        <v>168</v>
      </c>
      <c r="H392" s="3"/>
    </row>
    <row r="393" spans="1:8" x14ac:dyDescent="0.3">
      <c r="A393" s="2">
        <v>2617738</v>
      </c>
      <c r="B393" s="2">
        <v>56</v>
      </c>
      <c r="C393" s="2" t="s">
        <v>5</v>
      </c>
      <c r="D393" s="2">
        <v>120</v>
      </c>
      <c r="E393" s="2"/>
      <c r="F393" s="4" t="str">
        <f>HYPERLINK("./Results/DLO\20180301_1.3.12.2.1107.5.1.4.54310.30000018030523103939000003730_5_512_512_\Osteo_Sarco_1.png","RPT")</f>
        <v>RPT</v>
      </c>
      <c r="G393" s="3">
        <v>167</v>
      </c>
      <c r="H393" s="3"/>
    </row>
    <row r="394" spans="1:8" x14ac:dyDescent="0.3">
      <c r="A394" s="2">
        <v>2617738</v>
      </c>
      <c r="B394" s="2">
        <v>56</v>
      </c>
      <c r="C394" s="2" t="s">
        <v>5</v>
      </c>
      <c r="D394" s="2">
        <v>100</v>
      </c>
      <c r="E394" s="2"/>
      <c r="F394" s="4" t="str">
        <f>HYPERLINK("./Results/DLO\20180301_1.3.12.2.1107.5.1.4.54310.30000018030523103939000003633_3_512_512_\Osteo_Sarco_1.png","RPT")</f>
        <v>RPT</v>
      </c>
      <c r="G394" s="3">
        <v>166</v>
      </c>
      <c r="H394" s="3"/>
    </row>
    <row r="395" spans="1:8" x14ac:dyDescent="0.3">
      <c r="A395" s="2">
        <v>2617738</v>
      </c>
      <c r="B395" s="2">
        <v>56</v>
      </c>
      <c r="C395" s="2" t="s">
        <v>5</v>
      </c>
      <c r="D395" s="2">
        <v>120</v>
      </c>
      <c r="E395" s="2"/>
      <c r="F395" s="4" t="str">
        <f>HYPERLINK("./Results/DLO\20180301_1.3.12.2.1107.5.1.4.54310.30000018030523103939000004119_7_512_512_\Osteo_Sarco_1.png","RPT")</f>
        <v>RPT</v>
      </c>
      <c r="G395" s="3">
        <v>165</v>
      </c>
      <c r="H395" s="3"/>
    </row>
    <row r="396" spans="1:8" x14ac:dyDescent="0.3">
      <c r="A396" s="2">
        <v>2618993</v>
      </c>
      <c r="B396" s="2">
        <v>64</v>
      </c>
      <c r="C396" s="2" t="s">
        <v>5</v>
      </c>
      <c r="D396" s="2">
        <v>100</v>
      </c>
      <c r="E396" s="2"/>
      <c r="F396" s="4" t="str">
        <f>HYPERLINK("./Results/DLO\20180701_1.3.46.670589.33.1.63666464178232029900001.4960907205736843392_301_512_512_\Osteo_Sarco_1.png","RPT")</f>
        <v>RPT</v>
      </c>
      <c r="G396" s="3">
        <v>162</v>
      </c>
      <c r="H396" s="3"/>
    </row>
    <row r="397" spans="1:8" x14ac:dyDescent="0.3">
      <c r="A397" s="2">
        <v>2618993</v>
      </c>
      <c r="B397" s="2">
        <v>64</v>
      </c>
      <c r="C397" s="2" t="s">
        <v>5</v>
      </c>
      <c r="D397" s="2">
        <v>100</v>
      </c>
      <c r="E397" s="2"/>
      <c r="F397" s="4" t="str">
        <f>HYPERLINK("./Results/DLO\20180701_1.3.46.670589.33.1.63666464064841544300001.5605466430119751617_201_512_512_\Osteo_Sarco_1.png","RPT")</f>
        <v>RPT</v>
      </c>
      <c r="G397" s="3">
        <v>160</v>
      </c>
      <c r="H397" s="3"/>
    </row>
    <row r="398" spans="1:8" x14ac:dyDescent="0.3">
      <c r="A398" s="2">
        <v>2631472</v>
      </c>
      <c r="B398" s="2">
        <v>76</v>
      </c>
      <c r="C398" s="2" t="s">
        <v>6</v>
      </c>
      <c r="D398" s="2">
        <v>100</v>
      </c>
      <c r="E398" s="2"/>
      <c r="F398" s="4" t="str">
        <f>HYPERLINK("./Results/DLO\20180501_1.3.12.2.1107.5.1.4.65253.30000018053019070489500024230_3_512_512_\Osteo_Sarco_1.png","RPT")</f>
        <v>RPT</v>
      </c>
      <c r="G398" s="3">
        <v>85</v>
      </c>
      <c r="H398" s="3"/>
    </row>
    <row r="399" spans="1:8" x14ac:dyDescent="0.3">
      <c r="A399" s="2">
        <v>2631472</v>
      </c>
      <c r="B399" s="2">
        <v>76</v>
      </c>
      <c r="C399" s="2" t="s">
        <v>6</v>
      </c>
      <c r="D399" s="2">
        <v>100</v>
      </c>
      <c r="E399" s="2"/>
      <c r="F399" s="4" t="str">
        <f>HYPERLINK("./Results/DLO\20180501_1.3.12.2.1107.5.1.4.65253.30000018053019070489500024086_2_512_512_\Osteo_Sarco_1.png","RPT")</f>
        <v>RPT</v>
      </c>
      <c r="G399" s="3">
        <v>81</v>
      </c>
      <c r="H399" s="3"/>
    </row>
    <row r="400" spans="1:8" x14ac:dyDescent="0.3">
      <c r="A400" s="2">
        <v>2648955</v>
      </c>
      <c r="B400" s="2">
        <v>65</v>
      </c>
      <c r="C400" s="2" t="s">
        <v>6</v>
      </c>
      <c r="D400" s="2">
        <v>140</v>
      </c>
      <c r="E400" s="2"/>
      <c r="F400" s="4" t="str">
        <f>HYPERLINK("./Results/DLO\20181201_1.2.840.113619.2.416.113393492894842592756971758872457194308_302_512_512_\Osteo_Sarco_1.png","RPT")</f>
        <v>RPT</v>
      </c>
      <c r="G400" s="3">
        <v>115</v>
      </c>
      <c r="H400" s="3"/>
    </row>
    <row r="401" spans="1:8" x14ac:dyDescent="0.3">
      <c r="A401" s="2">
        <v>2648955</v>
      </c>
      <c r="B401" s="2">
        <v>65</v>
      </c>
      <c r="C401" s="2" t="s">
        <v>6</v>
      </c>
      <c r="D401" s="2">
        <v>120</v>
      </c>
      <c r="E401" s="2"/>
      <c r="F401" s="4" t="str">
        <f>HYPERLINK("./Results/DLO\20181201_1.2.840.113619.2.416.157818427843045615930242378913116274934_2_512_512_\Osteo_Sarco_1.png","RPT")</f>
        <v>RPT</v>
      </c>
      <c r="G401" s="3">
        <v>109</v>
      </c>
      <c r="H401" s="3"/>
    </row>
    <row r="402" spans="1:8" x14ac:dyDescent="0.3">
      <c r="A402" s="2">
        <v>2667646</v>
      </c>
      <c r="B402" s="2">
        <v>69</v>
      </c>
      <c r="C402" s="2" t="s">
        <v>6</v>
      </c>
      <c r="D402" s="2">
        <v>100</v>
      </c>
      <c r="E402" s="2"/>
      <c r="F402" s="4" t="str">
        <f>HYPERLINK("./Results/DLO\20180201_1.3.46.670589.33.1.63653599167888977900001.5098654067298782026_201_512_512_\Osteo_Sarco_1.png","RPT")</f>
        <v>RPT</v>
      </c>
      <c r="G402" s="3">
        <v>101</v>
      </c>
      <c r="H402" s="3"/>
    </row>
    <row r="403" spans="1:8" x14ac:dyDescent="0.3">
      <c r="A403" s="2">
        <v>2671168</v>
      </c>
      <c r="B403" s="2">
        <v>50</v>
      </c>
      <c r="C403" s="2" t="s">
        <v>5</v>
      </c>
      <c r="D403" s="2">
        <v>100</v>
      </c>
      <c r="E403" s="2"/>
      <c r="F403" s="4" t="str">
        <f>HYPERLINK("./Results/DLO\20180801_1.2.840.113619.2.311.258982732842566526056395612161990956821_304_512_512_\Osteo_Sarco_1.png","RPT")</f>
        <v>RPT</v>
      </c>
      <c r="G403" s="3">
        <v>153</v>
      </c>
      <c r="H403" s="3"/>
    </row>
    <row r="404" spans="1:8" x14ac:dyDescent="0.3">
      <c r="A404" s="2">
        <v>2687074</v>
      </c>
      <c r="B404" s="2">
        <v>66</v>
      </c>
      <c r="C404" s="2" t="s">
        <v>6</v>
      </c>
      <c r="D404" s="2">
        <v>100</v>
      </c>
      <c r="E404" s="2"/>
      <c r="F404" s="4" t="str">
        <f>HYPERLINK("./Results/DLO\20190501_1.2.840.113619.2.416.214078016382213258817031895811490900043_310_512_512_\Osteo_Sarco_1.png","RPT")</f>
        <v>RPT</v>
      </c>
      <c r="G404" s="3">
        <v>115</v>
      </c>
      <c r="H404" s="3"/>
    </row>
    <row r="405" spans="1:8" x14ac:dyDescent="0.3">
      <c r="A405" s="2">
        <v>2692716</v>
      </c>
      <c r="B405" s="2">
        <v>26</v>
      </c>
      <c r="C405" s="2" t="s">
        <v>6</v>
      </c>
      <c r="D405" s="2">
        <v>100</v>
      </c>
      <c r="E405" s="2"/>
      <c r="F405" s="4" t="str">
        <f>HYPERLINK("./Results/DLO\20180901_1.3.12.2.1107.5.1.4.65253.30000018092019375004400042056_2_512_512_\Osteo_Sarco_1.png","RPT")</f>
        <v>RPT</v>
      </c>
      <c r="G405" s="3">
        <v>103</v>
      </c>
      <c r="H405" s="3"/>
    </row>
    <row r="406" spans="1:8" x14ac:dyDescent="0.3">
      <c r="A406" s="2">
        <v>2692716</v>
      </c>
      <c r="B406" s="2">
        <v>26</v>
      </c>
      <c r="C406" s="2" t="s">
        <v>6</v>
      </c>
      <c r="D406" s="2">
        <v>100</v>
      </c>
      <c r="E406" s="2"/>
      <c r="F406" s="4" t="str">
        <f>HYPERLINK("./Results/DLO\20180901_1.3.12.2.1107.5.1.4.65253.30000018092019375004400042213_3_512_512_\Osteo_Sarco_1.png","RPT")</f>
        <v>RPT</v>
      </c>
      <c r="G406" s="3">
        <v>102</v>
      </c>
      <c r="H406" s="3"/>
    </row>
    <row r="407" spans="1:8" x14ac:dyDescent="0.3">
      <c r="A407" s="2">
        <v>2694856</v>
      </c>
      <c r="B407" s="2">
        <v>61</v>
      </c>
      <c r="C407" s="2" t="s">
        <v>5</v>
      </c>
      <c r="D407" s="2">
        <v>100</v>
      </c>
      <c r="E407" s="2"/>
      <c r="F407" s="4" t="str">
        <f>HYPERLINK("./Results/DLO\20180801_1.3.46.670589.33.1.63669489939453840200001.5098161664949122964_201_512_512_\Osteo_Sarco_1.png","RPT")</f>
        <v>RPT</v>
      </c>
      <c r="G407" s="3">
        <v>165</v>
      </c>
      <c r="H407" s="3"/>
    </row>
    <row r="408" spans="1:8" x14ac:dyDescent="0.3">
      <c r="A408" s="2">
        <v>2695937</v>
      </c>
      <c r="B408" s="2">
        <v>72</v>
      </c>
      <c r="C408" s="2" t="s">
        <v>5</v>
      </c>
      <c r="D408" s="2">
        <v>120</v>
      </c>
      <c r="E408" s="2"/>
      <c r="F408" s="4" t="str">
        <f>HYPERLINK("./Results/DLO\20190201_1.3.12.2.1107.5.1.4.54310.30000019021223331035900015512_9_512_512_\Osteo_Sarco_1.png","RPT")</f>
        <v>RPT</v>
      </c>
      <c r="G408" s="3">
        <v>121</v>
      </c>
      <c r="H408" s="3"/>
    </row>
    <row r="409" spans="1:8" x14ac:dyDescent="0.3">
      <c r="A409" s="2">
        <v>2695937</v>
      </c>
      <c r="B409" s="2">
        <v>72</v>
      </c>
      <c r="C409" s="2" t="s">
        <v>5</v>
      </c>
      <c r="D409" s="2">
        <v>120</v>
      </c>
      <c r="E409" s="2"/>
      <c r="F409" s="4" t="str">
        <f>HYPERLINK("./Results/DLO\20190201_1.3.12.2.1107.5.1.4.54310.30000019021223331035900015252_7_512_512_\Osteo_Sarco_1.png","RPT")</f>
        <v>RPT</v>
      </c>
      <c r="G409" s="3">
        <v>118</v>
      </c>
      <c r="H409" s="3"/>
    </row>
    <row r="410" spans="1:8" x14ac:dyDescent="0.3">
      <c r="A410" s="2">
        <v>2695937</v>
      </c>
      <c r="B410" s="2">
        <v>72</v>
      </c>
      <c r="C410" s="2" t="s">
        <v>5</v>
      </c>
      <c r="D410" s="2">
        <v>120</v>
      </c>
      <c r="E410" s="2"/>
      <c r="F410" s="4" t="str">
        <f>HYPERLINK("./Results/DLO\20190201_1.3.12.2.1107.5.1.4.54310.30000019021223331035900014968_5_512_512_\Osteo_Sarco_1.png","RPT")</f>
        <v>RPT</v>
      </c>
      <c r="G410" s="3">
        <v>117</v>
      </c>
      <c r="H410" s="3"/>
    </row>
    <row r="411" spans="1:8" x14ac:dyDescent="0.3">
      <c r="A411" s="2">
        <v>2695937</v>
      </c>
      <c r="B411" s="2">
        <v>72</v>
      </c>
      <c r="C411" s="2" t="s">
        <v>5</v>
      </c>
      <c r="D411" s="2">
        <v>100</v>
      </c>
      <c r="E411" s="2"/>
      <c r="F411" s="4" t="str">
        <f>HYPERLINK("./Results/DLO\20190201_1.3.12.2.1107.5.1.4.54310.30000019021223331035900014896_3_512_512_\Osteo_Sarco_1.png","RPT")</f>
        <v>RPT</v>
      </c>
      <c r="G411" s="3">
        <v>113</v>
      </c>
      <c r="H411" s="3"/>
    </row>
    <row r="412" spans="1:8" x14ac:dyDescent="0.3">
      <c r="A412" s="2">
        <v>2695937</v>
      </c>
      <c r="B412" s="2">
        <v>73</v>
      </c>
      <c r="C412" s="2" t="s">
        <v>5</v>
      </c>
      <c r="D412" s="2">
        <v>100</v>
      </c>
      <c r="E412" s="2"/>
      <c r="F412" s="4" t="str">
        <f>HYPERLINK("./Results/DLO\20200301_1.3.12.2.1107.5.1.4.54310.30000020030923001896800007598_6_512_512_\Osteo_Sarco_1.png","RPT")</f>
        <v>RPT</v>
      </c>
      <c r="G412" s="3">
        <v>105</v>
      </c>
      <c r="H412" s="3"/>
    </row>
    <row r="413" spans="1:8" x14ac:dyDescent="0.3">
      <c r="A413" s="2">
        <v>2695937</v>
      </c>
      <c r="B413" s="2">
        <v>73</v>
      </c>
      <c r="C413" s="2" t="s">
        <v>5</v>
      </c>
      <c r="D413" s="2">
        <v>100</v>
      </c>
      <c r="E413" s="2"/>
      <c r="F413" s="4" t="str">
        <f>HYPERLINK("./Results/DLO\20200301_1.3.12.2.1107.5.1.4.54310.30000020030923001896800007245_4_512_512_\Osteo_Sarco_1.png","RPT")</f>
        <v>RPT</v>
      </c>
      <c r="G413" s="3">
        <v>103</v>
      </c>
      <c r="H413" s="3"/>
    </row>
    <row r="414" spans="1:8" x14ac:dyDescent="0.3">
      <c r="A414" s="2">
        <v>2701680</v>
      </c>
      <c r="B414" s="2">
        <v>75</v>
      </c>
      <c r="C414" s="2" t="s">
        <v>6</v>
      </c>
      <c r="D414" s="2">
        <v>100</v>
      </c>
      <c r="E414" s="2"/>
      <c r="F414" s="4" t="str">
        <f>HYPERLINK("./Results/DLO\20180801_1.3.12.2.1107.5.1.4.54310.30000018080123484515600008436_2_512_512_\Osteo_Sarco_1.png","RPT")</f>
        <v>RPT</v>
      </c>
      <c r="G414" s="3">
        <v>106</v>
      </c>
      <c r="H414" s="3"/>
    </row>
    <row r="415" spans="1:8" x14ac:dyDescent="0.3">
      <c r="A415" s="2">
        <v>2703234</v>
      </c>
      <c r="B415" s="2">
        <v>15</v>
      </c>
      <c r="C415" s="2" t="s">
        <v>5</v>
      </c>
      <c r="D415" s="2">
        <v>100</v>
      </c>
      <c r="E415" s="2"/>
      <c r="F415" s="4" t="str">
        <f>HYPERLINK("./Results/DLO\20190801_1.3.12.2.1107.5.1.4.65253.30000019081820032486000051228_2_512_512_\Osteo_Sarco_1.png","RPT")</f>
        <v>RPT</v>
      </c>
      <c r="G415" s="3">
        <v>184</v>
      </c>
      <c r="H415" s="3"/>
    </row>
    <row r="416" spans="1:8" x14ac:dyDescent="0.3">
      <c r="A416" s="2">
        <v>2705287</v>
      </c>
      <c r="B416" s="2">
        <v>59</v>
      </c>
      <c r="C416" s="2" t="s">
        <v>6</v>
      </c>
      <c r="D416" s="2">
        <v>120</v>
      </c>
      <c r="E416" s="2"/>
      <c r="F416" s="4" t="str">
        <f>HYPERLINK("./Results/DLO\20180901_1.3.12.2.1107.5.1.4.54310.30000018091623220746800034638_7_512_512_\Osteo_Sarco_1.png","RPT")</f>
        <v>RPT</v>
      </c>
      <c r="G416" s="3">
        <v>95</v>
      </c>
      <c r="H416" s="3"/>
    </row>
    <row r="417" spans="1:8" x14ac:dyDescent="0.3">
      <c r="A417" s="2">
        <v>2705287</v>
      </c>
      <c r="B417" s="2">
        <v>59</v>
      </c>
      <c r="C417" s="2" t="s">
        <v>6</v>
      </c>
      <c r="D417" s="2">
        <v>120</v>
      </c>
      <c r="E417" s="2"/>
      <c r="F417" s="4" t="str">
        <f>HYPERLINK("./Results/DLO\20180901_1.3.12.2.1107.5.1.4.54310.30000018091623220746800034284_5_512_512_\Osteo_Sarco_1.png","RPT")</f>
        <v>RPT</v>
      </c>
      <c r="G417" s="3">
        <v>92</v>
      </c>
      <c r="H417" s="3"/>
    </row>
    <row r="418" spans="1:8" x14ac:dyDescent="0.3">
      <c r="A418" s="2">
        <v>2705287</v>
      </c>
      <c r="B418" s="2">
        <v>59</v>
      </c>
      <c r="C418" s="2" t="s">
        <v>6</v>
      </c>
      <c r="D418" s="2">
        <v>120</v>
      </c>
      <c r="E418" s="2"/>
      <c r="F418" s="4" t="str">
        <f>HYPERLINK("./Results/DLO\20180901_1.3.12.2.1107.5.1.4.54310.30000018091623220746800034893_9_512_512_\Osteo_Sarco_1.png","RPT")</f>
        <v>RPT</v>
      </c>
      <c r="G418" s="3">
        <v>91</v>
      </c>
      <c r="H418" s="3"/>
    </row>
    <row r="419" spans="1:8" x14ac:dyDescent="0.3">
      <c r="A419" s="2">
        <v>2705287</v>
      </c>
      <c r="B419" s="2">
        <v>59</v>
      </c>
      <c r="C419" s="2" t="s">
        <v>6</v>
      </c>
      <c r="D419" s="2">
        <v>100</v>
      </c>
      <c r="E419" s="2"/>
      <c r="F419" s="4" t="str">
        <f>HYPERLINK("./Results/DLO\20180901_1.3.12.2.1107.5.1.4.54310.30000018091623220746800034194_3_512_512_\Osteo_Sarco_1.png","RPT")</f>
        <v>RPT</v>
      </c>
      <c r="G419" s="3">
        <v>89</v>
      </c>
      <c r="H419" s="3"/>
    </row>
    <row r="420" spans="1:8" x14ac:dyDescent="0.3">
      <c r="A420" s="2">
        <v>2712394</v>
      </c>
      <c r="B420" s="2">
        <v>57</v>
      </c>
      <c r="C420" s="2" t="s">
        <v>6</v>
      </c>
      <c r="D420" s="2">
        <v>100</v>
      </c>
      <c r="E420" s="2"/>
      <c r="F420" s="4" t="str">
        <f>HYPERLINK("./Results/DLO\20180201_1.3.12.2.1107.5.1.4.54310.30000018020723145868700013150_5_512_512_\Osteo_Sarco_1.png","RPT")</f>
        <v>RPT</v>
      </c>
      <c r="G420" s="3">
        <v>109</v>
      </c>
      <c r="H420" s="3"/>
    </row>
    <row r="421" spans="1:8" x14ac:dyDescent="0.3">
      <c r="A421" s="2">
        <v>2712394</v>
      </c>
      <c r="B421" s="2">
        <v>57</v>
      </c>
      <c r="C421" s="2" t="s">
        <v>6</v>
      </c>
      <c r="D421" s="2">
        <v>100</v>
      </c>
      <c r="E421" s="2"/>
      <c r="F421" s="4" t="str">
        <f>HYPERLINK("./Results/DLO\20180201_1.3.12.2.1107.5.1.4.54310.30000018020723145868700012997_4_512_512_\Osteo_Sarco_1.png","RPT")</f>
        <v>RPT</v>
      </c>
      <c r="G421" s="3">
        <v>107</v>
      </c>
      <c r="H421" s="3"/>
    </row>
    <row r="422" spans="1:8" x14ac:dyDescent="0.3">
      <c r="A422" s="2">
        <v>2713167</v>
      </c>
      <c r="B422" s="2">
        <v>59</v>
      </c>
      <c r="C422" s="2" t="s">
        <v>5</v>
      </c>
      <c r="D422" s="2">
        <v>100</v>
      </c>
      <c r="E422" s="2"/>
      <c r="F422" s="4" t="str">
        <f>HYPERLINK("./Results/DLO\20190201_1.3.46.670589.33.1.63686083651104653100001.5760692568807531608_201_512_512_\Osteo_Sarco_1.png","RPT")</f>
        <v>RPT</v>
      </c>
      <c r="G422" s="3">
        <v>148</v>
      </c>
      <c r="H422" s="3"/>
    </row>
    <row r="423" spans="1:8" x14ac:dyDescent="0.3">
      <c r="A423" s="2">
        <v>2718145</v>
      </c>
      <c r="B423" s="2">
        <v>63</v>
      </c>
      <c r="C423" s="2" t="s">
        <v>6</v>
      </c>
      <c r="D423" s="2">
        <v>100</v>
      </c>
      <c r="E423" s="2"/>
      <c r="F423" s="4" t="str">
        <f>HYPERLINK("./Results/DLO\20191001_1.3.12.2.1107.5.1.4.54310.30000019101321220551500067665_6_512_512_\Osteo_Sarco_1.png","RPT")</f>
        <v>RPT</v>
      </c>
      <c r="G423" s="3">
        <v>120</v>
      </c>
      <c r="H423" s="3"/>
    </row>
    <row r="424" spans="1:8" x14ac:dyDescent="0.3">
      <c r="A424" s="2">
        <v>2718145</v>
      </c>
      <c r="B424" s="2">
        <v>63</v>
      </c>
      <c r="C424" s="2" t="s">
        <v>6</v>
      </c>
      <c r="D424" s="2">
        <v>100</v>
      </c>
      <c r="E424" s="2"/>
      <c r="F424" s="4" t="str">
        <f>HYPERLINK("./Results/DLO\20191001_1.3.12.2.1107.5.1.4.54310.30000019101321220551500068035_9_512_512_\Osteo_Sarco_1.png","RPT")</f>
        <v>RPT</v>
      </c>
      <c r="G424" s="3">
        <v>111</v>
      </c>
      <c r="H424" s="3"/>
    </row>
    <row r="425" spans="1:8" x14ac:dyDescent="0.3">
      <c r="A425" s="2">
        <v>2718145</v>
      </c>
      <c r="B425" s="2">
        <v>63</v>
      </c>
      <c r="C425" s="2" t="s">
        <v>6</v>
      </c>
      <c r="D425" s="2">
        <v>100</v>
      </c>
      <c r="E425" s="2"/>
      <c r="F425" s="4" t="str">
        <f>HYPERLINK("./Results/DLO\20191001_1.3.12.2.1107.5.1.4.54310.30000019101321220551500067487_3_512_512_\Osteo_Sarco_1.png","RPT")</f>
        <v>RPT</v>
      </c>
      <c r="G425" s="3">
        <v>108</v>
      </c>
      <c r="H425" s="3"/>
    </row>
    <row r="426" spans="1:8" x14ac:dyDescent="0.3">
      <c r="A426" s="2">
        <v>2718145</v>
      </c>
      <c r="B426" s="2">
        <v>63</v>
      </c>
      <c r="C426" s="2" t="s">
        <v>6</v>
      </c>
      <c r="D426" s="2">
        <v>100</v>
      </c>
      <c r="E426" s="2"/>
      <c r="F426" s="4" t="str">
        <f>HYPERLINK("./Results/DLO\20191001_1.3.12.2.1107.5.1.4.54310.30000019101321220551500067575_5_512_512_\Osteo_Sarco_1.png","RPT")</f>
        <v>RPT</v>
      </c>
      <c r="G426" s="3">
        <v>108</v>
      </c>
      <c r="H426" s="3"/>
    </row>
    <row r="427" spans="1:8" x14ac:dyDescent="0.3">
      <c r="A427" s="2">
        <v>2718286</v>
      </c>
      <c r="B427" s="2">
        <v>76</v>
      </c>
      <c r="C427" s="2" t="s">
        <v>6</v>
      </c>
      <c r="D427" s="2">
        <v>100</v>
      </c>
      <c r="E427" s="2"/>
      <c r="F427" s="4" t="str">
        <f>HYPERLINK("./Results/DLO\20180101_1.3.12.2.1107.5.1.4.65253.30000018010306282209700001758_3_512_512_\Osteo_Sarco_1.png","RPT")</f>
        <v>RPT</v>
      </c>
      <c r="G427" s="3">
        <v>97</v>
      </c>
      <c r="H427" s="3"/>
    </row>
    <row r="428" spans="1:8" x14ac:dyDescent="0.3">
      <c r="A428" s="2">
        <v>2718286</v>
      </c>
      <c r="B428" s="2">
        <v>76</v>
      </c>
      <c r="C428" s="2" t="s">
        <v>6</v>
      </c>
      <c r="D428" s="2">
        <v>100</v>
      </c>
      <c r="E428" s="2"/>
      <c r="F428" s="4" t="str">
        <f>HYPERLINK("./Results/DLO\20180101_1.3.12.2.1107.5.1.4.65253.30000018010306282209700001614_2_512_512_\Osteo_Sarco_1.png","RPT")</f>
        <v>RPT</v>
      </c>
      <c r="G428" s="3">
        <v>92</v>
      </c>
      <c r="H428" s="3"/>
    </row>
    <row r="429" spans="1:8" x14ac:dyDescent="0.3">
      <c r="A429" s="2">
        <v>2727745</v>
      </c>
      <c r="B429" s="2">
        <v>60</v>
      </c>
      <c r="C429" s="2" t="s">
        <v>5</v>
      </c>
      <c r="D429" s="2">
        <v>100</v>
      </c>
      <c r="E429" s="2"/>
      <c r="F429" s="4" t="str">
        <f>HYPERLINK("./Results/DLO\20180901_1.3.12.2.1107.5.1.4.65253.30000018092019375004400048064_7_512_512_\Osteo_Sarco_1.png","RPT")</f>
        <v>RPT</v>
      </c>
      <c r="G429" s="3">
        <v>180</v>
      </c>
      <c r="H429" s="3"/>
    </row>
    <row r="430" spans="1:8" x14ac:dyDescent="0.3">
      <c r="A430" s="2">
        <v>2727745</v>
      </c>
      <c r="B430" s="2">
        <v>60</v>
      </c>
      <c r="C430" s="2" t="s">
        <v>5</v>
      </c>
      <c r="D430" s="2">
        <v>100</v>
      </c>
      <c r="E430" s="2"/>
      <c r="F430" s="4" t="str">
        <f>HYPERLINK("./Results/DLO\20180901_1.3.12.2.1107.5.1.4.65253.30000018092019375004400048355_9_512_512_\Osteo_Sarco_1.png","RPT")</f>
        <v>RPT</v>
      </c>
      <c r="G430" s="3">
        <v>179</v>
      </c>
      <c r="H430" s="3"/>
    </row>
    <row r="431" spans="1:8" x14ac:dyDescent="0.3">
      <c r="A431" s="2">
        <v>2727745</v>
      </c>
      <c r="B431" s="2">
        <v>60</v>
      </c>
      <c r="C431" s="2" t="s">
        <v>5</v>
      </c>
      <c r="D431" s="2">
        <v>100</v>
      </c>
      <c r="E431" s="2"/>
      <c r="F431" s="4" t="str">
        <f>HYPERLINK("./Results/DLO\20180901_1.3.12.2.1107.5.1.4.65253.30000018092019375004400047558_5_512_512_\Osteo_Sarco_1.png","RPT")</f>
        <v>RPT</v>
      </c>
      <c r="G431" s="3">
        <v>178</v>
      </c>
      <c r="H431" s="3"/>
    </row>
    <row r="432" spans="1:8" x14ac:dyDescent="0.3">
      <c r="A432" s="2">
        <v>2727745</v>
      </c>
      <c r="B432" s="2">
        <v>60</v>
      </c>
      <c r="C432" s="2" t="s">
        <v>5</v>
      </c>
      <c r="D432" s="2">
        <v>100</v>
      </c>
      <c r="E432" s="2"/>
      <c r="F432" s="4" t="str">
        <f>HYPERLINK("./Results/DLO\20180901_1.3.12.2.1107.5.1.4.65253.30000018092019375004400047461_2_512_512_\Osteo_Sarco_1.png","RPT")</f>
        <v>RPT</v>
      </c>
      <c r="G432" s="3">
        <v>177</v>
      </c>
      <c r="H432" s="3"/>
    </row>
    <row r="433" spans="1:8" x14ac:dyDescent="0.3">
      <c r="A433" s="2">
        <v>2734032</v>
      </c>
      <c r="B433" s="2">
        <v>83</v>
      </c>
      <c r="C433" s="2" t="s">
        <v>6</v>
      </c>
      <c r="D433" s="2">
        <v>100</v>
      </c>
      <c r="E433" s="2"/>
      <c r="F433" s="4" t="str">
        <f>HYPERLINK("./Results/DLO\20200501_1.3.12.2.1107.5.1.4.65253.30000020050620362504600011318_3_512_512_\Osteo_Sarco_1.png","RPT")</f>
        <v>RPT</v>
      </c>
      <c r="G433" s="3">
        <v>93</v>
      </c>
      <c r="H433" s="3"/>
    </row>
    <row r="434" spans="1:8" x14ac:dyDescent="0.3">
      <c r="A434" s="2">
        <v>2734911</v>
      </c>
      <c r="B434" s="2">
        <v>45</v>
      </c>
      <c r="C434" s="2" t="s">
        <v>5</v>
      </c>
      <c r="D434" s="2">
        <v>100</v>
      </c>
      <c r="E434" s="2"/>
      <c r="F434" s="4" t="str">
        <f>HYPERLINK("./Results/DLO\20180701_1.3.12.2.1107.5.1.4.65253.30000018071221203865800049868_3_512_512_\Osteo_Sarco_1.png","RPT")</f>
        <v>RPT</v>
      </c>
      <c r="G434" s="3">
        <v>147</v>
      </c>
      <c r="H434" s="3"/>
    </row>
    <row r="435" spans="1:8" x14ac:dyDescent="0.3">
      <c r="A435" s="2">
        <v>2734911</v>
      </c>
      <c r="B435" s="2">
        <v>45</v>
      </c>
      <c r="C435" s="2" t="s">
        <v>5</v>
      </c>
      <c r="D435" s="2">
        <v>100</v>
      </c>
      <c r="E435" s="2"/>
      <c r="F435" s="4" t="str">
        <f>HYPERLINK("./Results/DLO\20180701_1.3.12.2.1107.5.1.4.65253.30000018071221203865800049723_2_512_512_\Osteo_Sarco_1.png","RPT")</f>
        <v>RPT</v>
      </c>
      <c r="G435" s="3">
        <v>144</v>
      </c>
      <c r="H435" s="3"/>
    </row>
    <row r="436" spans="1:8" x14ac:dyDescent="0.3">
      <c r="A436" s="2">
        <v>2735825</v>
      </c>
      <c r="B436" s="2">
        <v>37</v>
      </c>
      <c r="C436" s="2" t="s">
        <v>6</v>
      </c>
      <c r="D436" s="2">
        <v>100</v>
      </c>
      <c r="E436" s="2"/>
      <c r="F436" s="4" t="str">
        <f>HYPERLINK("./Results/DLO\20181201_1.3.12.2.1107.5.1.4.65253.30000018121120031523800028630_3_512_512_\Osteo_Sarco_1.png","RPT")</f>
        <v>RPT</v>
      </c>
      <c r="G436" s="3">
        <v>103</v>
      </c>
      <c r="H436" s="3"/>
    </row>
    <row r="437" spans="1:8" x14ac:dyDescent="0.3">
      <c r="A437" s="2">
        <v>2735825</v>
      </c>
      <c r="B437" s="2">
        <v>37</v>
      </c>
      <c r="C437" s="2" t="s">
        <v>6</v>
      </c>
      <c r="D437" s="2">
        <v>100</v>
      </c>
      <c r="E437" s="2"/>
      <c r="F437" s="4" t="str">
        <f>HYPERLINK("./Results/DLO\20181201_1.3.12.2.1107.5.1.4.65253.30000018121120031523800028494_2_512_512_\Osteo_Sarco_1.png","RPT")</f>
        <v>RPT</v>
      </c>
      <c r="G437" s="3">
        <v>99</v>
      </c>
      <c r="H437" s="3"/>
    </row>
    <row r="438" spans="1:8" x14ac:dyDescent="0.3">
      <c r="A438" s="2">
        <v>2735840</v>
      </c>
      <c r="B438" s="2">
        <v>77</v>
      </c>
      <c r="C438" s="2" t="s">
        <v>5</v>
      </c>
      <c r="D438" s="2">
        <v>100</v>
      </c>
      <c r="E438" s="2"/>
      <c r="F438" s="4" t="str">
        <f>HYPERLINK("./Results/DLO\20190501_1.3.12.2.1107.5.1.4.54310.30000019052021130364000028597_7_512_512_\Osteo_Sarco_1.png","RPT")</f>
        <v>RPT</v>
      </c>
      <c r="G438" s="3">
        <v>121</v>
      </c>
      <c r="H438" s="3"/>
    </row>
    <row r="439" spans="1:8" x14ac:dyDescent="0.3">
      <c r="A439" s="2">
        <v>2735840</v>
      </c>
      <c r="B439" s="2">
        <v>77</v>
      </c>
      <c r="C439" s="2" t="s">
        <v>5</v>
      </c>
      <c r="D439" s="2">
        <v>100</v>
      </c>
      <c r="E439" s="2"/>
      <c r="F439" s="4" t="str">
        <f>HYPERLINK("./Results/DLO\20190501_1.3.12.2.1107.5.1.4.54310.30000019052021130364000028857_9_512_512_\Osteo_Sarco_1.png","RPT")</f>
        <v>RPT</v>
      </c>
      <c r="G439" s="3">
        <v>121</v>
      </c>
      <c r="H439" s="3"/>
    </row>
    <row r="440" spans="1:8" x14ac:dyDescent="0.3">
      <c r="A440" s="2">
        <v>2735840</v>
      </c>
      <c r="B440" s="2">
        <v>77</v>
      </c>
      <c r="C440" s="2" t="s">
        <v>5</v>
      </c>
      <c r="D440" s="2">
        <v>100</v>
      </c>
      <c r="E440" s="2"/>
      <c r="F440" s="4" t="str">
        <f>HYPERLINK("./Results/DLO\20190501_1.3.12.2.1107.5.1.4.54310.30000019052021130364000027778_2_512_512_\Osteo_Sarco_1.png","RPT")</f>
        <v>RPT</v>
      </c>
      <c r="G440" s="3">
        <v>120</v>
      </c>
      <c r="H440" s="3"/>
    </row>
    <row r="441" spans="1:8" x14ac:dyDescent="0.3">
      <c r="A441" s="2">
        <v>2748453</v>
      </c>
      <c r="B441" s="2">
        <v>64</v>
      </c>
      <c r="C441" s="2" t="s">
        <v>5</v>
      </c>
      <c r="D441" s="2">
        <v>140</v>
      </c>
      <c r="E441" s="2"/>
      <c r="F441" s="4" t="str">
        <f>HYPERLINK("./Results/DLO\20180501_1.2.840.113619.2.416.62712957647532786315226695788392454772_303_512_512_\Osteo_Sarco_1.png","RPT")</f>
        <v>RPT</v>
      </c>
      <c r="G441" s="3">
        <v>140</v>
      </c>
      <c r="H441" s="3"/>
    </row>
    <row r="442" spans="1:8" x14ac:dyDescent="0.3">
      <c r="A442" s="2">
        <v>2748453</v>
      </c>
      <c r="B442" s="2">
        <v>64</v>
      </c>
      <c r="C442" s="2" t="s">
        <v>5</v>
      </c>
      <c r="D442" s="2">
        <v>140</v>
      </c>
      <c r="E442" s="2"/>
      <c r="F442" s="4" t="str">
        <f>HYPERLINK("./Results/DLO\20180501_1.2.840.113619.2.416.4448725055635163912893687582489341375_2_512_512_\Osteo_Sarco_1.png","RPT")</f>
        <v>RPT</v>
      </c>
      <c r="G442" s="3">
        <v>126</v>
      </c>
      <c r="H442" s="3"/>
    </row>
    <row r="443" spans="1:8" x14ac:dyDescent="0.3">
      <c r="A443" s="2">
        <v>2752564</v>
      </c>
      <c r="B443" s="2">
        <v>62</v>
      </c>
      <c r="C443" s="2" t="s">
        <v>5</v>
      </c>
      <c r="D443" s="2">
        <v>100</v>
      </c>
      <c r="E443" s="2"/>
      <c r="F443" s="4" t="str">
        <f>HYPERLINK("./Results/DLO\20190901_1.3.46.670589.33.1.63703707105719417700001.4794780123325992409_201_512_512_\Osteo_Sarco_1.png","RPT")</f>
        <v>RPT</v>
      </c>
      <c r="G443" s="3">
        <v>131</v>
      </c>
      <c r="H443" s="3"/>
    </row>
    <row r="444" spans="1:8" x14ac:dyDescent="0.3">
      <c r="A444" s="2">
        <v>2757823</v>
      </c>
      <c r="B444" s="2">
        <v>71</v>
      </c>
      <c r="C444" s="2" t="s">
        <v>5</v>
      </c>
      <c r="D444" s="2">
        <v>100</v>
      </c>
      <c r="E444" s="2"/>
      <c r="F444" s="4" t="str">
        <f>HYPERLINK("./Results/DLO\20190501_1.3.12.2.1107.5.1.4.65253.30000019052919183478400047018_3_512_512_\Osteo_Sarco_1.png","RPT")</f>
        <v>RPT</v>
      </c>
      <c r="G444" s="3">
        <v>144</v>
      </c>
      <c r="H444" s="3"/>
    </row>
    <row r="445" spans="1:8" x14ac:dyDescent="0.3">
      <c r="A445" s="2">
        <v>2757823</v>
      </c>
      <c r="B445" s="2">
        <v>71</v>
      </c>
      <c r="C445" s="2" t="s">
        <v>5</v>
      </c>
      <c r="D445" s="2">
        <v>100</v>
      </c>
      <c r="E445" s="2"/>
      <c r="F445" s="4" t="str">
        <f>HYPERLINK("./Results/DLO\20190501_1.3.12.2.1107.5.1.4.65253.30000019052919183478400046845_2_512_512_\Osteo_Sarco_1.png","RPT")</f>
        <v>RPT</v>
      </c>
      <c r="G445" s="3">
        <v>141</v>
      </c>
      <c r="H445" s="3"/>
    </row>
    <row r="446" spans="1:8" x14ac:dyDescent="0.3">
      <c r="A446" s="2">
        <v>2775238</v>
      </c>
      <c r="B446" s="2">
        <v>56</v>
      </c>
      <c r="C446" s="2" t="s">
        <v>5</v>
      </c>
      <c r="D446" s="2">
        <v>100</v>
      </c>
      <c r="E446" s="2"/>
      <c r="F446" s="4" t="str">
        <f>HYPERLINK("./Results/DLO\20200601_1.3.46.670589.33.1.63727893355635512900001.5024890195418637152_201_512_512_\Osteo_Sarco_1.png","RPT")</f>
        <v>RPT</v>
      </c>
      <c r="G446" s="3">
        <v>146</v>
      </c>
      <c r="H446" s="3"/>
    </row>
    <row r="447" spans="1:8" x14ac:dyDescent="0.3">
      <c r="A447" s="2">
        <v>2786691</v>
      </c>
      <c r="B447" s="2">
        <v>51</v>
      </c>
      <c r="C447" s="2" t="s">
        <v>6</v>
      </c>
      <c r="D447" s="2">
        <v>120</v>
      </c>
      <c r="E447" s="2"/>
      <c r="F447" s="4" t="str">
        <f>HYPERLINK("./Results/DLO\20180701_1.3.12.2.1107.5.1.4.54310.30000018072323111520300019258_9_512_512_\Osteo_Sarco_1.png","RPT")</f>
        <v>RPT</v>
      </c>
      <c r="G447" s="3">
        <v>103</v>
      </c>
      <c r="H447" s="3"/>
    </row>
    <row r="448" spans="1:8" x14ac:dyDescent="0.3">
      <c r="A448" s="2">
        <v>2786691</v>
      </c>
      <c r="B448" s="2">
        <v>51</v>
      </c>
      <c r="C448" s="2" t="s">
        <v>6</v>
      </c>
      <c r="D448" s="2">
        <v>120</v>
      </c>
      <c r="E448" s="2"/>
      <c r="F448" s="4" t="str">
        <f>HYPERLINK("./Results/DLO\20180701_1.3.12.2.1107.5.1.4.54310.30000018072323111520300018654_5_512_512_\Osteo_Sarco_1.png","RPT")</f>
        <v>RPT</v>
      </c>
      <c r="G448" s="3">
        <v>102</v>
      </c>
      <c r="H448" s="3"/>
    </row>
    <row r="449" spans="1:8" x14ac:dyDescent="0.3">
      <c r="A449" s="2">
        <v>2786691</v>
      </c>
      <c r="B449" s="2">
        <v>51</v>
      </c>
      <c r="C449" s="2" t="s">
        <v>6</v>
      </c>
      <c r="D449" s="2">
        <v>120</v>
      </c>
      <c r="E449" s="2"/>
      <c r="F449" s="4" t="str">
        <f>HYPERLINK("./Results/DLO\20180701_1.3.12.2.1107.5.1.4.54310.30000018072323111520300018987_7_512_512_\Osteo_Sarco_1.png","RPT")</f>
        <v>RPT</v>
      </c>
      <c r="G449" s="3">
        <v>102</v>
      </c>
      <c r="H449" s="3"/>
    </row>
    <row r="450" spans="1:8" x14ac:dyDescent="0.3">
      <c r="A450" s="2">
        <v>2786691</v>
      </c>
      <c r="B450" s="2">
        <v>51</v>
      </c>
      <c r="C450" s="2" t="s">
        <v>6</v>
      </c>
      <c r="D450" s="2">
        <v>100</v>
      </c>
      <c r="E450" s="2"/>
      <c r="F450" s="4" t="str">
        <f>HYPERLINK("./Results/DLO\20180701_1.3.12.2.1107.5.1.4.54310.30000018072323111520300018570_3_512_512_\Osteo_Sarco_1.png","RPT")</f>
        <v>RPT</v>
      </c>
      <c r="G450" s="3">
        <v>101</v>
      </c>
      <c r="H450" s="3"/>
    </row>
    <row r="451" spans="1:8" x14ac:dyDescent="0.3">
      <c r="A451" s="2">
        <v>2789490</v>
      </c>
      <c r="B451" s="2">
        <v>45</v>
      </c>
      <c r="C451" s="2" t="s">
        <v>5</v>
      </c>
      <c r="D451" s="2">
        <v>100</v>
      </c>
      <c r="E451" s="2"/>
      <c r="F451" s="4" t="str">
        <f>HYPERLINK("./Results/DLO\20180801_1.3.12.2.1107.5.1.4.54310.30000018082323592635900008218_2_512_512_\Osteo_Sarco_1.png","RPT")</f>
        <v>RPT</v>
      </c>
      <c r="G451" s="3">
        <v>155</v>
      </c>
      <c r="H451" s="3"/>
    </row>
    <row r="452" spans="1:8" x14ac:dyDescent="0.3">
      <c r="A452" s="2">
        <v>2792189</v>
      </c>
      <c r="B452" s="2">
        <v>65</v>
      </c>
      <c r="C452" s="2" t="s">
        <v>5</v>
      </c>
      <c r="D452" s="2">
        <v>140</v>
      </c>
      <c r="E452" s="2"/>
      <c r="F452" s="4" t="str">
        <f>HYPERLINK("./Results/DLO\20180301_1.2.840.113619.2.416.308548326319346229145840013406183249798_304_512_512_\Osteo_Sarco_1.png","RPT")</f>
        <v>RPT</v>
      </c>
      <c r="G452" s="3">
        <v>182</v>
      </c>
      <c r="H452" s="3"/>
    </row>
    <row r="453" spans="1:8" x14ac:dyDescent="0.3">
      <c r="A453" s="2">
        <v>2792189</v>
      </c>
      <c r="B453" s="2">
        <v>65</v>
      </c>
      <c r="C453" s="2" t="s">
        <v>5</v>
      </c>
      <c r="D453" s="2">
        <v>140</v>
      </c>
      <c r="E453" s="2"/>
      <c r="F453" s="4" t="str">
        <f>HYPERLINK("./Results/DLO\20180301_1.2.840.113619.2.416.67275437847575086780117012283871348524_2_512_512_\Osteo_Sarco_1.png","RPT")</f>
        <v>RPT</v>
      </c>
      <c r="G453" s="3">
        <v>179</v>
      </c>
      <c r="H453" s="3"/>
    </row>
    <row r="454" spans="1:8" x14ac:dyDescent="0.3">
      <c r="A454" s="2">
        <v>2800788</v>
      </c>
      <c r="B454" s="2">
        <v>55</v>
      </c>
      <c r="C454" s="2" t="s">
        <v>5</v>
      </c>
      <c r="D454" s="2">
        <v>140</v>
      </c>
      <c r="E454" s="2"/>
      <c r="F454" s="4" t="str">
        <f>HYPERLINK("./Results/DLO\20180601_1.2.840.113619.2.416.292872568512979884089050026284006603456_303_512_512_\Osteo_Sarco_1.png","RPT")</f>
        <v>RPT</v>
      </c>
      <c r="G454" s="3">
        <v>157</v>
      </c>
      <c r="H454" s="3"/>
    </row>
    <row r="455" spans="1:8" x14ac:dyDescent="0.3">
      <c r="A455" s="2">
        <v>2800788</v>
      </c>
      <c r="B455" s="2">
        <v>55</v>
      </c>
      <c r="C455" s="2" t="s">
        <v>5</v>
      </c>
      <c r="D455" s="2">
        <v>140</v>
      </c>
      <c r="E455" s="2"/>
      <c r="F455" s="4" t="str">
        <f>HYPERLINK("./Results/DLO\20180601_1.2.840.113619.2.416.168179012698900893901793645820336222319_308_512_512_\Osteo_Sarco_1.png","RPT")</f>
        <v>RPT</v>
      </c>
      <c r="G455" s="3">
        <v>142</v>
      </c>
      <c r="H455" s="3"/>
    </row>
    <row r="456" spans="1:8" x14ac:dyDescent="0.3">
      <c r="A456" s="2">
        <v>2800788</v>
      </c>
      <c r="B456" s="2">
        <v>55</v>
      </c>
      <c r="C456" s="2" t="s">
        <v>5</v>
      </c>
      <c r="D456" s="2">
        <v>140</v>
      </c>
      <c r="E456" s="2"/>
      <c r="F456" s="4" t="str">
        <f>HYPERLINK("./Results/DLO\20180601_1.2.840.113619.2.416.280982266319667225882446757920711589762_305_512_512_\Osteo_Sarco_1.png","RPT")</f>
        <v>RPT</v>
      </c>
      <c r="G456" s="3">
        <v>141</v>
      </c>
      <c r="H456" s="3"/>
    </row>
    <row r="457" spans="1:8" x14ac:dyDescent="0.3">
      <c r="A457" s="2">
        <v>2800788</v>
      </c>
      <c r="B457" s="2">
        <v>55</v>
      </c>
      <c r="C457" s="2" t="s">
        <v>5</v>
      </c>
      <c r="D457" s="2">
        <v>140</v>
      </c>
      <c r="E457" s="2"/>
      <c r="F457" s="4" t="str">
        <f>HYPERLINK("./Results/DLO\20180601_1.2.840.113619.2.416.187099000737121188018748772830909685430_301_512_512_\Osteo_Sarco_1.png","RPT")</f>
        <v>RPT</v>
      </c>
      <c r="G457" s="3">
        <v>140</v>
      </c>
      <c r="H457" s="3"/>
    </row>
    <row r="458" spans="1:8" x14ac:dyDescent="0.3">
      <c r="A458" s="2">
        <v>2813512</v>
      </c>
      <c r="B458" s="2">
        <v>70</v>
      </c>
      <c r="C458" s="2" t="s">
        <v>6</v>
      </c>
      <c r="D458" s="2">
        <v>100</v>
      </c>
      <c r="E458" s="2"/>
      <c r="F458" s="4" t="str">
        <f>HYPERLINK("./Results/DLO\20200201_1.3.12.2.1107.5.1.4.65253.30000020020921082969400037199_5_512_512_\Osteo_Sarco_1.png","RPT")</f>
        <v>RPT</v>
      </c>
      <c r="G458" s="3">
        <v>123</v>
      </c>
      <c r="H458" s="3"/>
    </row>
    <row r="459" spans="1:8" x14ac:dyDescent="0.3">
      <c r="A459" s="2">
        <v>2813512</v>
      </c>
      <c r="B459" s="2">
        <v>70</v>
      </c>
      <c r="C459" s="2" t="s">
        <v>6</v>
      </c>
      <c r="D459" s="2">
        <v>100</v>
      </c>
      <c r="E459" s="2"/>
      <c r="F459" s="4" t="str">
        <f>HYPERLINK("./Results/DLO\20200201_1.3.12.2.1107.5.1.4.65253.30000020020921082969400037973_9_512_512_\Osteo_Sarco_1.png","RPT")</f>
        <v>RPT</v>
      </c>
      <c r="G459" s="3">
        <v>123</v>
      </c>
      <c r="H459" s="3"/>
    </row>
    <row r="460" spans="1:8" x14ac:dyDescent="0.3">
      <c r="A460" s="2">
        <v>2813512</v>
      </c>
      <c r="B460" s="2">
        <v>70</v>
      </c>
      <c r="C460" s="2" t="s">
        <v>6</v>
      </c>
      <c r="D460" s="2">
        <v>100</v>
      </c>
      <c r="E460" s="2"/>
      <c r="F460" s="4" t="str">
        <f>HYPERLINK("./Results/DLO\20200201_1.3.12.2.1107.5.1.4.65253.30000020020921082969400037106_2_512_512_\Osteo_Sarco_1.png","RPT")</f>
        <v>RPT</v>
      </c>
      <c r="G460" s="3">
        <v>121</v>
      </c>
      <c r="H460" s="3"/>
    </row>
    <row r="461" spans="1:8" x14ac:dyDescent="0.3">
      <c r="A461" s="2">
        <v>2813512</v>
      </c>
      <c r="B461" s="2">
        <v>70</v>
      </c>
      <c r="C461" s="2" t="s">
        <v>6</v>
      </c>
      <c r="D461" s="2">
        <v>100</v>
      </c>
      <c r="E461" s="2"/>
      <c r="F461" s="4" t="str">
        <f>HYPERLINK("./Results/DLO\20200201_1.3.12.2.1107.5.1.4.65253.30000020020921082969400037685_7_512_512_\Osteo_Sarco_1.png","RPT")</f>
        <v>RPT</v>
      </c>
      <c r="G461" s="3">
        <v>119</v>
      </c>
      <c r="H461" s="3"/>
    </row>
    <row r="462" spans="1:8" x14ac:dyDescent="0.3">
      <c r="A462" s="2">
        <v>2814927</v>
      </c>
      <c r="B462" s="2">
        <v>53</v>
      </c>
      <c r="C462" s="2" t="s">
        <v>5</v>
      </c>
      <c r="D462" s="2">
        <v>100</v>
      </c>
      <c r="E462" s="2"/>
      <c r="F462" s="4" t="str">
        <f>HYPERLINK("./Results/DLO\20190701_1.3.12.2.1107.5.1.4.65253.30000019072519585580200044800_7_512_512_\Osteo_Sarco_1.png","RPT")</f>
        <v>RPT</v>
      </c>
      <c r="G462" s="3">
        <v>120</v>
      </c>
      <c r="H462" s="3"/>
    </row>
    <row r="463" spans="1:8" x14ac:dyDescent="0.3">
      <c r="A463" s="2">
        <v>2814927</v>
      </c>
      <c r="B463" s="2">
        <v>53</v>
      </c>
      <c r="C463" s="2" t="s">
        <v>5</v>
      </c>
      <c r="D463" s="2">
        <v>100</v>
      </c>
      <c r="E463" s="2"/>
      <c r="F463" s="4" t="str">
        <f>HYPERLINK("./Results/DLO\20190701_1.3.12.2.1107.5.1.4.65253.30000019072519585580200044132_2_512_512_\Osteo_Sarco_1.png","RPT")</f>
        <v>RPT</v>
      </c>
      <c r="G463" s="3">
        <v>119</v>
      </c>
      <c r="H463" s="3"/>
    </row>
    <row r="464" spans="1:8" x14ac:dyDescent="0.3">
      <c r="A464" s="2">
        <v>2817512</v>
      </c>
      <c r="B464" s="2">
        <v>60</v>
      </c>
      <c r="C464" s="2" t="s">
        <v>6</v>
      </c>
      <c r="D464" s="2">
        <v>100</v>
      </c>
      <c r="E464" s="2"/>
      <c r="F464" s="4" t="str">
        <f>HYPERLINK("./Results/DLO\20200501_1.2.840.113619.2.416.152773004022873042133117112022309251840_307_512_512_\Osteo_Sarco_1.png","RPT")</f>
        <v>RPT</v>
      </c>
      <c r="G464" s="3">
        <v>139</v>
      </c>
      <c r="H464" s="3"/>
    </row>
    <row r="465" spans="1:8" x14ac:dyDescent="0.3">
      <c r="A465" s="2">
        <v>2818633</v>
      </c>
      <c r="B465" s="2">
        <v>50</v>
      </c>
      <c r="C465" s="2" t="s">
        <v>5</v>
      </c>
      <c r="D465" s="2">
        <v>100</v>
      </c>
      <c r="E465" s="2"/>
      <c r="F465" s="4" t="str">
        <f>HYPERLINK("./Results/DLO\20180901_1.3.12.2.1107.5.1.4.65253.30000018090119141895000003288_2_512_512_\Osteo_Sarco_1.png","RPT")</f>
        <v>RPT</v>
      </c>
      <c r="G465" s="3">
        <v>176</v>
      </c>
      <c r="H465" s="3"/>
    </row>
    <row r="466" spans="1:8" x14ac:dyDescent="0.3">
      <c r="A466" s="2">
        <v>2842114</v>
      </c>
      <c r="B466" s="2">
        <v>57</v>
      </c>
      <c r="C466" s="2" t="s">
        <v>5</v>
      </c>
      <c r="D466" s="2">
        <v>140</v>
      </c>
      <c r="E466" s="2"/>
      <c r="F466" s="4" t="str">
        <f>HYPERLINK("./Results/DLO\20180601_1.2.840.113619.2.416.309105457944329088879532146196073384209_301_512_512_\Osteo_Sarco_1.png","RPT")</f>
        <v>RPT</v>
      </c>
      <c r="G466" s="3">
        <v>168</v>
      </c>
      <c r="H466" s="3"/>
    </row>
    <row r="467" spans="1:8" x14ac:dyDescent="0.3">
      <c r="A467" s="2">
        <v>2842114</v>
      </c>
      <c r="B467" s="2">
        <v>57</v>
      </c>
      <c r="C467" s="2" t="s">
        <v>5</v>
      </c>
      <c r="D467" s="2">
        <v>140</v>
      </c>
      <c r="E467" s="2"/>
      <c r="F467" s="4" t="str">
        <f>HYPERLINK("./Results/DLO\20180601_1.2.840.113619.2.416.168729101270855746339604407092652389959_308_512_512_\Osteo_Sarco_1.png","RPT")</f>
        <v>RPT</v>
      </c>
      <c r="G467" s="3">
        <v>166</v>
      </c>
      <c r="H467" s="3"/>
    </row>
    <row r="468" spans="1:8" x14ac:dyDescent="0.3">
      <c r="A468" s="2">
        <v>2842114</v>
      </c>
      <c r="B468" s="2">
        <v>57</v>
      </c>
      <c r="C468" s="2" t="s">
        <v>5</v>
      </c>
      <c r="D468" s="2">
        <v>140</v>
      </c>
      <c r="E468" s="2"/>
      <c r="F468" s="4" t="str">
        <f>HYPERLINK("./Results/DLO\20180601_1.2.840.113619.2.416.278995736125088141344210109612680274721_305_512_512_\Osteo_Sarco_1.png","RPT")</f>
        <v>RPT</v>
      </c>
      <c r="G468" s="3">
        <v>163</v>
      </c>
      <c r="H468" s="3"/>
    </row>
    <row r="469" spans="1:8" x14ac:dyDescent="0.3">
      <c r="A469" s="2">
        <v>2842114</v>
      </c>
      <c r="B469" s="2">
        <v>57</v>
      </c>
      <c r="C469" s="2" t="s">
        <v>5</v>
      </c>
      <c r="D469" s="2">
        <v>140</v>
      </c>
      <c r="E469" s="2"/>
      <c r="F469" s="4" t="str">
        <f>HYPERLINK("./Results/DLO\20180601_1.2.840.113619.2.416.321632098915643831185062824793428072060_303_512_512_\Osteo_Sarco_1.png","RPT")</f>
        <v>RPT</v>
      </c>
      <c r="G469" s="3">
        <v>161</v>
      </c>
      <c r="H469" s="3"/>
    </row>
    <row r="470" spans="1:8" x14ac:dyDescent="0.3">
      <c r="A470" s="2">
        <v>2854988</v>
      </c>
      <c r="B470" s="2">
        <v>73</v>
      </c>
      <c r="C470" s="2" t="s">
        <v>5</v>
      </c>
      <c r="D470" s="2">
        <v>100</v>
      </c>
      <c r="E470" s="2"/>
      <c r="F470" s="4" t="str">
        <f>HYPERLINK("./Results/DLO\20181001_1.3.12.2.1107.5.1.4.65253.30000018100618142469100014918_2_512_512_\Osteo_Sarco_1.png","RPT")</f>
        <v>RPT</v>
      </c>
      <c r="G470" s="3">
        <v>160</v>
      </c>
      <c r="H470" s="3"/>
    </row>
    <row r="471" spans="1:8" x14ac:dyDescent="0.3">
      <c r="A471" s="2">
        <v>2869664</v>
      </c>
      <c r="B471" s="2">
        <v>67</v>
      </c>
      <c r="C471" s="2" t="s">
        <v>6</v>
      </c>
      <c r="D471" s="2">
        <v>120</v>
      </c>
      <c r="E471" s="2"/>
      <c r="F471" s="4" t="str">
        <f>HYPERLINK("./Results/DLO\20181101_1.2.840.113619.2.416.254139823303461197955406126037926559310_2_512_512_\Osteo_Sarco_1.png","RPT")</f>
        <v>RPT</v>
      </c>
      <c r="G471" s="3">
        <v>112</v>
      </c>
      <c r="H471" s="3"/>
    </row>
    <row r="472" spans="1:8" x14ac:dyDescent="0.3">
      <c r="A472" s="2">
        <v>2869664</v>
      </c>
      <c r="B472" s="2">
        <v>67</v>
      </c>
      <c r="C472" s="2" t="s">
        <v>6</v>
      </c>
      <c r="D472" s="2">
        <v>140</v>
      </c>
      <c r="E472" s="2"/>
      <c r="F472" s="4" t="str">
        <f>HYPERLINK("./Results/DLO\20181101_1.2.840.113619.2.416.8530604716558127572282268172385235540_302_512_512_\Osteo_Sarco_1.png","RPT")</f>
        <v>RPT</v>
      </c>
      <c r="G472" s="3">
        <v>111</v>
      </c>
      <c r="H472" s="3"/>
    </row>
    <row r="473" spans="1:8" x14ac:dyDescent="0.3">
      <c r="A473" s="2">
        <v>2872235</v>
      </c>
      <c r="B473" s="2">
        <v>67</v>
      </c>
      <c r="C473" s="2" t="s">
        <v>5</v>
      </c>
      <c r="D473" s="2">
        <v>100</v>
      </c>
      <c r="E473" s="2"/>
      <c r="F473" s="4" t="str">
        <f>HYPERLINK("./Results/DLO\20180201_1.3.46.670589.33.1.63654804731365775600001.5030564687055886797_201_512_512_\Osteo_Sarco_1.png","RPT")</f>
        <v>RPT</v>
      </c>
      <c r="G473" s="3">
        <v>173</v>
      </c>
      <c r="H473" s="3"/>
    </row>
    <row r="474" spans="1:8" x14ac:dyDescent="0.3">
      <c r="A474" s="2">
        <v>2872237</v>
      </c>
      <c r="B474" s="2">
        <v>75</v>
      </c>
      <c r="C474" s="2" t="s">
        <v>5</v>
      </c>
      <c r="D474" s="2">
        <v>100</v>
      </c>
      <c r="E474" s="2"/>
      <c r="F474" s="4" t="str">
        <f>HYPERLINK("./Results/DLO\20190401_1.2.840.113619.2.311.2466951019171132275197504599210760424_304_512_512_\Osteo_Sarco_1.png","RPT")</f>
        <v>RPT</v>
      </c>
      <c r="G474" s="3">
        <v>144</v>
      </c>
      <c r="H474" s="3"/>
    </row>
    <row r="475" spans="1:8" x14ac:dyDescent="0.3">
      <c r="A475" s="2">
        <v>2872377</v>
      </c>
      <c r="B475" s="2">
        <v>46</v>
      </c>
      <c r="C475" s="2" t="s">
        <v>6</v>
      </c>
      <c r="D475" s="2">
        <v>100</v>
      </c>
      <c r="E475" s="2"/>
      <c r="F475" s="4" t="str">
        <f>HYPERLINK("./Results/DLO\20190701_1.3.12.2.1107.5.1.4.54310.30000019070822255218700042972_2_512_512_\Osteo_Sarco_1.png","RPT")</f>
        <v>RPT</v>
      </c>
      <c r="G475" s="3">
        <v>110</v>
      </c>
      <c r="H475" s="3"/>
    </row>
    <row r="476" spans="1:8" x14ac:dyDescent="0.3">
      <c r="A476" s="2">
        <v>2876647</v>
      </c>
      <c r="B476" s="2">
        <v>79</v>
      </c>
      <c r="C476" s="2" t="s">
        <v>6</v>
      </c>
      <c r="D476" s="2">
        <v>100</v>
      </c>
      <c r="E476" s="2"/>
      <c r="F476" s="4" t="str">
        <f>HYPERLINK("./Results/DLO\20180801_1.3.12.2.1107.5.1.4.65253.30000018081320154583300058080_6_512_512_\Osteo_Sarco_1.png","RPT")</f>
        <v>RPT</v>
      </c>
      <c r="G476" s="3">
        <v>118</v>
      </c>
      <c r="H476" s="3"/>
    </row>
    <row r="477" spans="1:8" x14ac:dyDescent="0.3">
      <c r="A477" s="2">
        <v>2876647</v>
      </c>
      <c r="B477" s="2">
        <v>79</v>
      </c>
      <c r="C477" s="2" t="s">
        <v>6</v>
      </c>
      <c r="D477" s="2">
        <v>100</v>
      </c>
      <c r="E477" s="2"/>
      <c r="F477" s="4" t="str">
        <f>HYPERLINK("./Results/DLO\20180801_1.3.12.2.1107.5.1.4.65253.30000018081320154583300057605_4_512_512_\Osteo_Sarco_1.png","RPT")</f>
        <v>RPT</v>
      </c>
      <c r="G477" s="3">
        <v>72</v>
      </c>
      <c r="H477" s="3"/>
    </row>
    <row r="478" spans="1:8" x14ac:dyDescent="0.3">
      <c r="A478" s="2">
        <v>2878553</v>
      </c>
      <c r="B478" s="2">
        <v>67</v>
      </c>
      <c r="C478" s="2" t="s">
        <v>5</v>
      </c>
      <c r="D478" s="2">
        <v>140</v>
      </c>
      <c r="E478" s="2"/>
      <c r="F478" s="4" t="str">
        <f>HYPERLINK("./Results/DLO\20190601_1.2.840.113619.2.416.246538678171876203771688773954973777731_302_512_512_\Osteo_Sarco_1.png","RPT")</f>
        <v>RPT</v>
      </c>
      <c r="G478" s="3">
        <v>138</v>
      </c>
      <c r="H478" s="3"/>
    </row>
    <row r="479" spans="1:8" x14ac:dyDescent="0.3">
      <c r="A479" s="2">
        <v>2878553</v>
      </c>
      <c r="B479" s="2">
        <v>67</v>
      </c>
      <c r="C479" s="2" t="s">
        <v>5</v>
      </c>
      <c r="D479" s="2">
        <v>120</v>
      </c>
      <c r="E479" s="2"/>
      <c r="F479" s="4" t="str">
        <f>HYPERLINK("./Results/DLO\20190601_1.2.840.113619.2.416.328110983946782630112216596632464322684_2_512_512_\Osteo_Sarco_1.png","RPT")</f>
        <v>RPT</v>
      </c>
      <c r="G479" s="3">
        <v>138</v>
      </c>
      <c r="H479" s="3"/>
    </row>
    <row r="480" spans="1:8" x14ac:dyDescent="0.3">
      <c r="A480" s="2">
        <v>2882433</v>
      </c>
      <c r="B480" s="2">
        <v>72</v>
      </c>
      <c r="C480" s="2" t="s">
        <v>6</v>
      </c>
      <c r="D480" s="2">
        <v>100</v>
      </c>
      <c r="E480" s="2"/>
      <c r="F480" s="4" t="str">
        <f>HYPERLINK("./Results/DLO\20190901_1.3.46.670589.33.1.63703034303876985700001.4738328529284069489_401_512_512_\Osteo_Sarco_1.png","RPT")</f>
        <v>RPT</v>
      </c>
      <c r="G480" s="3">
        <v>93</v>
      </c>
      <c r="H480" s="3"/>
    </row>
    <row r="481" spans="1:8" x14ac:dyDescent="0.3">
      <c r="A481" s="2">
        <v>2882433</v>
      </c>
      <c r="B481" s="2">
        <v>72</v>
      </c>
      <c r="C481" s="2" t="s">
        <v>6</v>
      </c>
      <c r="D481" s="2">
        <v>100</v>
      </c>
      <c r="E481" s="2"/>
      <c r="F481" s="4" t="str">
        <f>HYPERLINK("./Results/DLO\20190901_1.3.46.670589.33.1.63703034214005845400001.5212615090782526683_301_512_512_\Osteo_Sarco_1.png","RPT")</f>
        <v>RPT</v>
      </c>
      <c r="G481" s="3">
        <v>92</v>
      </c>
      <c r="H481" s="3"/>
    </row>
    <row r="482" spans="1:8" x14ac:dyDescent="0.3">
      <c r="A482" s="2">
        <v>2882433</v>
      </c>
      <c r="B482" s="2">
        <v>72</v>
      </c>
      <c r="C482" s="2" t="s">
        <v>6</v>
      </c>
      <c r="D482" s="2">
        <v>100</v>
      </c>
      <c r="E482" s="2"/>
      <c r="F482" s="4" t="str">
        <f>HYPERLINK("./Results/DLO\20190901_1.3.46.670589.33.1.63703034088474665400001.4702490203992275236_201_512_512_\Osteo_Sarco_1.png","RPT")</f>
        <v>RPT</v>
      </c>
      <c r="G482" s="3">
        <v>89</v>
      </c>
      <c r="H482" s="3"/>
    </row>
    <row r="483" spans="1:8" x14ac:dyDescent="0.3">
      <c r="A483" s="2">
        <v>2886673</v>
      </c>
      <c r="B483" s="2">
        <v>67</v>
      </c>
      <c r="C483" s="2" t="s">
        <v>6</v>
      </c>
      <c r="D483" s="2">
        <v>100</v>
      </c>
      <c r="E483" s="2"/>
      <c r="F483" s="4" t="str">
        <f>HYPERLINK("./Results/DLO\20180501_1.3.46.670589.33.1.63661457736362369700001.5630304150178232838_201_512_512_\Osteo_Sarco_1.png","RPT")</f>
        <v>RPT</v>
      </c>
      <c r="G483" s="3">
        <v>80</v>
      </c>
      <c r="H483" s="3"/>
    </row>
    <row r="484" spans="1:8" x14ac:dyDescent="0.3">
      <c r="A484" s="2">
        <v>2893688</v>
      </c>
      <c r="B484" s="2">
        <v>69</v>
      </c>
      <c r="C484" s="2" t="s">
        <v>5</v>
      </c>
      <c r="D484" s="2">
        <v>100</v>
      </c>
      <c r="E484" s="2"/>
      <c r="F484" s="4" t="str">
        <f>HYPERLINK("./Results/DLO\20180601_1.3.12.2.1107.5.1.4.54310.30000018061823105095300000278_2_512_512_\Osteo_Sarco_1.png","RPT")</f>
        <v>RPT</v>
      </c>
      <c r="G484" s="3">
        <v>177</v>
      </c>
      <c r="H484" s="3"/>
    </row>
    <row r="485" spans="1:8" x14ac:dyDescent="0.3">
      <c r="A485" s="2">
        <v>2901790</v>
      </c>
      <c r="B485" s="2">
        <v>62</v>
      </c>
      <c r="C485" s="2" t="s">
        <v>6</v>
      </c>
      <c r="D485" s="2">
        <v>100</v>
      </c>
      <c r="E485" s="2"/>
      <c r="F485" s="4" t="str">
        <f>HYPERLINK("./Results/DLO\20191201_1.3.12.2.1107.5.1.4.54310.30000019122921240779600022244_9_512_512_\Osteo_Sarco_1.png","RPT")</f>
        <v>RPT</v>
      </c>
      <c r="G485" s="3">
        <v>115</v>
      </c>
      <c r="H485" s="3"/>
    </row>
    <row r="486" spans="1:8" x14ac:dyDescent="0.3">
      <c r="A486" s="2">
        <v>2901790</v>
      </c>
      <c r="B486" s="2">
        <v>62</v>
      </c>
      <c r="C486" s="2" t="s">
        <v>6</v>
      </c>
      <c r="D486" s="2">
        <v>100</v>
      </c>
      <c r="E486" s="2"/>
      <c r="F486" s="4" t="str">
        <f>HYPERLINK("./Results/DLO\20191201_1.3.12.2.1107.5.1.4.54310.30000019122921240779600021978_7_512_512_\Osteo_Sarco_1.png","RPT")</f>
        <v>RPT</v>
      </c>
      <c r="G486" s="3">
        <v>114</v>
      </c>
      <c r="H486" s="3"/>
    </row>
    <row r="487" spans="1:8" x14ac:dyDescent="0.3">
      <c r="A487" s="2">
        <v>2901790</v>
      </c>
      <c r="B487" s="2">
        <v>62</v>
      </c>
      <c r="C487" s="2" t="s">
        <v>6</v>
      </c>
      <c r="D487" s="2">
        <v>100</v>
      </c>
      <c r="E487" s="2"/>
      <c r="F487" s="4" t="str">
        <f>HYPERLINK("./Results/DLO\20191201_1.3.12.2.1107.5.1.4.54310.30000019122921240779600021654_5_512_512_\Osteo_Sarco_1.png","RPT")</f>
        <v>RPT</v>
      </c>
      <c r="G487" s="3">
        <v>111</v>
      </c>
      <c r="H487" s="3"/>
    </row>
    <row r="488" spans="1:8" x14ac:dyDescent="0.3">
      <c r="A488" s="2">
        <v>2901790</v>
      </c>
      <c r="B488" s="2">
        <v>62</v>
      </c>
      <c r="C488" s="2" t="s">
        <v>6</v>
      </c>
      <c r="D488" s="2">
        <v>100</v>
      </c>
      <c r="E488" s="2"/>
      <c r="F488" s="4" t="str">
        <f>HYPERLINK("./Results/DLO\20191201_1.3.12.2.1107.5.1.4.54310.30000019122921240779600021572_3_512_512_\Osteo_Sarco_1.png","RPT")</f>
        <v>RPT</v>
      </c>
      <c r="G488" s="3">
        <v>109</v>
      </c>
      <c r="H488" s="3"/>
    </row>
    <row r="489" spans="1:8" x14ac:dyDescent="0.3">
      <c r="A489" s="2">
        <v>2911955</v>
      </c>
      <c r="B489" s="2">
        <v>60</v>
      </c>
      <c r="C489" s="2" t="s">
        <v>5</v>
      </c>
      <c r="D489" s="2">
        <v>120</v>
      </c>
      <c r="E489" s="2"/>
      <c r="F489" s="4" t="str">
        <f>HYPERLINK("./Results/DLO\20181201_1.3.12.2.1107.5.1.4.54310.30000018121923192868700045519_9_512_512_\Osteo_Sarco_1.png","RPT")</f>
        <v>RPT</v>
      </c>
      <c r="G489" s="3">
        <v>135</v>
      </c>
      <c r="H489" s="3"/>
    </row>
    <row r="490" spans="1:8" x14ac:dyDescent="0.3">
      <c r="A490" s="2">
        <v>2911955</v>
      </c>
      <c r="B490" s="2">
        <v>60</v>
      </c>
      <c r="C490" s="2" t="s">
        <v>5</v>
      </c>
      <c r="D490" s="2">
        <v>120</v>
      </c>
      <c r="E490" s="2"/>
      <c r="F490" s="4" t="str">
        <f>HYPERLINK("./Results/DLO\20181201_1.3.12.2.1107.5.1.4.54310.30000018121923192868700044915_5_512_512_\Osteo_Sarco_1.png","RPT")</f>
        <v>RPT</v>
      </c>
      <c r="G490" s="3">
        <v>133</v>
      </c>
      <c r="H490" s="3"/>
    </row>
    <row r="491" spans="1:8" x14ac:dyDescent="0.3">
      <c r="A491" s="2">
        <v>2911955</v>
      </c>
      <c r="B491" s="2">
        <v>60</v>
      </c>
      <c r="C491" s="2" t="s">
        <v>5</v>
      </c>
      <c r="D491" s="2">
        <v>120</v>
      </c>
      <c r="E491" s="2"/>
      <c r="F491" s="4" t="str">
        <f>HYPERLINK("./Results/DLO\20181201_1.3.12.2.1107.5.1.4.54310.30000018121923192868700045260_7_512_512_\Osteo_Sarco_1.png","RPT")</f>
        <v>RPT</v>
      </c>
      <c r="G491" s="3">
        <v>132</v>
      </c>
      <c r="H491" s="3"/>
    </row>
    <row r="492" spans="1:8" x14ac:dyDescent="0.3">
      <c r="A492" s="2">
        <v>2911955</v>
      </c>
      <c r="B492" s="2">
        <v>60</v>
      </c>
      <c r="C492" s="2" t="s">
        <v>5</v>
      </c>
      <c r="D492" s="2">
        <v>100</v>
      </c>
      <c r="E492" s="2"/>
      <c r="F492" s="4" t="str">
        <f>HYPERLINK("./Results/DLO\20181201_1.3.12.2.1107.5.1.4.54310.30000018121923192868700044827_3_512_512_\Osteo_Sarco_1.png","RPT")</f>
        <v>RPT</v>
      </c>
      <c r="G492" s="3">
        <v>130</v>
      </c>
      <c r="H492" s="3"/>
    </row>
    <row r="493" spans="1:8" x14ac:dyDescent="0.3">
      <c r="A493" s="2">
        <v>2924108</v>
      </c>
      <c r="B493" s="2">
        <v>57</v>
      </c>
      <c r="C493" s="2" t="s">
        <v>6</v>
      </c>
      <c r="D493" s="2">
        <v>120</v>
      </c>
      <c r="E493" s="2"/>
      <c r="F493" s="4" t="str">
        <f>HYPERLINK("./Results/DLO\20180901_1.3.12.2.1107.5.1.4.54310.30000018092723151085900019642_9_512_512_\Osteo_Sarco_1.png","RPT")</f>
        <v>RPT</v>
      </c>
      <c r="G493" s="3">
        <v>103</v>
      </c>
      <c r="H493" s="3"/>
    </row>
    <row r="494" spans="1:8" x14ac:dyDescent="0.3">
      <c r="A494" s="2">
        <v>2924108</v>
      </c>
      <c r="B494" s="2">
        <v>57</v>
      </c>
      <c r="C494" s="2" t="s">
        <v>6</v>
      </c>
      <c r="D494" s="2">
        <v>120</v>
      </c>
      <c r="E494" s="2"/>
      <c r="F494" s="4" t="str">
        <f>HYPERLINK("./Results/DLO\20180901_1.3.12.2.1107.5.1.4.54310.30000018092723151085900019404_7_512_512_\Osteo_Sarco_1.png","RPT")</f>
        <v>RPT</v>
      </c>
      <c r="G494" s="3">
        <v>102</v>
      </c>
      <c r="H494" s="3"/>
    </row>
    <row r="495" spans="1:8" x14ac:dyDescent="0.3">
      <c r="A495" s="2">
        <v>2924108</v>
      </c>
      <c r="B495" s="2">
        <v>57</v>
      </c>
      <c r="C495" s="2" t="s">
        <v>6</v>
      </c>
      <c r="D495" s="2">
        <v>120</v>
      </c>
      <c r="E495" s="2"/>
      <c r="F495" s="4" t="str">
        <f>HYPERLINK("./Results/DLO\20180901_1.3.12.2.1107.5.1.4.54310.30000018092723151085900019075_5_512_512_\Osteo_Sarco_1.png","RPT")</f>
        <v>RPT</v>
      </c>
      <c r="G495" s="3">
        <v>101</v>
      </c>
      <c r="H495" s="3"/>
    </row>
    <row r="496" spans="1:8" x14ac:dyDescent="0.3">
      <c r="A496" s="2">
        <v>2924108</v>
      </c>
      <c r="B496" s="2">
        <v>57</v>
      </c>
      <c r="C496" s="2" t="s">
        <v>6</v>
      </c>
      <c r="D496" s="2">
        <v>100</v>
      </c>
      <c r="E496" s="2"/>
      <c r="F496" s="4" t="str">
        <f>HYPERLINK("./Results/DLO\20180901_1.3.12.2.1107.5.1.4.54310.30000018092723151085900018991_3_512_512_\Osteo_Sarco_1.png","RPT")</f>
        <v>RPT</v>
      </c>
      <c r="G496" s="3">
        <v>100</v>
      </c>
      <c r="H496" s="3"/>
    </row>
    <row r="497" spans="1:8" x14ac:dyDescent="0.3">
      <c r="A497" s="2">
        <v>2930007</v>
      </c>
      <c r="B497" s="2">
        <v>64</v>
      </c>
      <c r="C497" s="2" t="s">
        <v>6</v>
      </c>
      <c r="D497" s="2">
        <v>120</v>
      </c>
      <c r="E497" s="2"/>
      <c r="F497" s="4" t="str">
        <f>HYPERLINK("./Results/DLO\20190201_1.2.840.113619.2.416.195078919738514421567613791979647838316_2_512_512_\Osteo_Sarco_1.png","RPT")</f>
        <v>RPT</v>
      </c>
      <c r="G497" s="3">
        <v>116</v>
      </c>
      <c r="H497" s="3"/>
    </row>
    <row r="498" spans="1:8" x14ac:dyDescent="0.3">
      <c r="A498" s="2">
        <v>2930007</v>
      </c>
      <c r="B498" s="2">
        <v>64</v>
      </c>
      <c r="C498" s="2" t="s">
        <v>6</v>
      </c>
      <c r="D498" s="2">
        <v>140</v>
      </c>
      <c r="E498" s="2"/>
      <c r="F498" s="4" t="str">
        <f>HYPERLINK("./Results/DLO\20190201_1.2.410.200069.10820110185.1012000.20250823234856054903_93021_512_512_\Osteo_Sarco_1.png","RPT")</f>
        <v>RPT</v>
      </c>
      <c r="G498" s="3">
        <v>111</v>
      </c>
      <c r="H498" s="3"/>
    </row>
    <row r="499" spans="1:8" x14ac:dyDescent="0.3">
      <c r="A499" s="2">
        <v>2930007</v>
      </c>
      <c r="B499" s="2">
        <v>64</v>
      </c>
      <c r="C499" s="2" t="s">
        <v>6</v>
      </c>
      <c r="D499" s="2">
        <v>140</v>
      </c>
      <c r="E499" s="2"/>
      <c r="F499" s="4" t="str">
        <f>HYPERLINK("./Results/DLO\20190201_1.2.840.113619.2.416.73806111688469371534507706321562305945_302_512_512_\Osteo_Sarco_1.png","RPT")</f>
        <v>RPT</v>
      </c>
      <c r="G499" s="3">
        <v>98</v>
      </c>
      <c r="H499" s="3"/>
    </row>
    <row r="500" spans="1:8" x14ac:dyDescent="0.3">
      <c r="A500" s="2">
        <v>2930007</v>
      </c>
      <c r="B500" s="2">
        <v>64</v>
      </c>
      <c r="C500" s="2" t="s">
        <v>6</v>
      </c>
      <c r="D500" s="2">
        <v>140</v>
      </c>
      <c r="E500" s="2"/>
      <c r="F500" s="4" t="str">
        <f>HYPERLINK("./Results/DLO\20190201_1.2.410.200069.80820110186.1160115.20250823234858048672_730216_512_512_\Osteo_Sarco_1.png","RPT")</f>
        <v>RPT</v>
      </c>
      <c r="G500" s="3">
        <v>93</v>
      </c>
      <c r="H500" s="3"/>
    </row>
    <row r="501" spans="1:8" x14ac:dyDescent="0.3">
      <c r="A501" s="2">
        <v>2936416</v>
      </c>
      <c r="B501" s="2">
        <v>71</v>
      </c>
      <c r="C501" s="2" t="s">
        <v>6</v>
      </c>
      <c r="D501" s="2">
        <v>100</v>
      </c>
      <c r="E501" s="2"/>
      <c r="F501" s="4" t="str">
        <f>HYPERLINK("./Results/DLO\20190401_1.3.12.2.1107.5.1.4.65253.30000019042803380059300002204_2_512_512_\Osteo_Sarco_1.png","RPT")</f>
        <v>RPT</v>
      </c>
      <c r="G501" s="3">
        <v>94</v>
      </c>
      <c r="H501" s="3"/>
    </row>
    <row r="502" spans="1:8" x14ac:dyDescent="0.3">
      <c r="A502" s="2">
        <v>2941076</v>
      </c>
      <c r="B502" s="2">
        <v>43</v>
      </c>
      <c r="C502" s="2" t="s">
        <v>5</v>
      </c>
      <c r="D502" s="2">
        <v>100</v>
      </c>
      <c r="E502" s="2"/>
      <c r="F502" s="4" t="str">
        <f>HYPERLINK("./Results/DLO\20181101_1.3.46.670589.33.1.63678736923646500700001.5566872063720948759_201_512_512_\Osteo_Sarco_1.png","RPT")</f>
        <v>RPT</v>
      </c>
      <c r="G502" s="3">
        <v>193</v>
      </c>
      <c r="H502" s="3"/>
    </row>
    <row r="503" spans="1:8" x14ac:dyDescent="0.3">
      <c r="A503" s="2">
        <v>2960118</v>
      </c>
      <c r="B503" s="2">
        <v>67</v>
      </c>
      <c r="C503" s="2" t="s">
        <v>6</v>
      </c>
      <c r="D503" s="2">
        <v>100</v>
      </c>
      <c r="E503" s="2"/>
      <c r="F503" s="4" t="str">
        <f>HYPERLINK("./Results/DLO\20180401_1.2.840.113619.2.311.255058724106081607006541156769534954490_304_512_512_\Osteo_Sarco_1.png","RPT")</f>
        <v>RPT</v>
      </c>
      <c r="G503" s="3">
        <v>123</v>
      </c>
      <c r="H503" s="3"/>
    </row>
    <row r="504" spans="1:8" x14ac:dyDescent="0.3">
      <c r="A504" s="2">
        <v>2961502</v>
      </c>
      <c r="B504" s="2">
        <v>40</v>
      </c>
      <c r="C504" s="2" t="s">
        <v>6</v>
      </c>
      <c r="D504" s="2">
        <v>100</v>
      </c>
      <c r="E504" s="2"/>
      <c r="F504" s="4" t="str">
        <f>HYPERLINK("./Results/DLO\20190901_1.3.12.2.1107.5.1.4.54310.30000019092922070114000070759_2_512_512_\Osteo_Sarco_1.png","RPT")</f>
        <v>RPT</v>
      </c>
      <c r="G504" s="3">
        <v>107</v>
      </c>
      <c r="H504" s="3"/>
    </row>
    <row r="505" spans="1:8" x14ac:dyDescent="0.3">
      <c r="A505" s="2">
        <v>2977144</v>
      </c>
      <c r="B505" s="2">
        <v>42</v>
      </c>
      <c r="C505" s="2" t="s">
        <v>6</v>
      </c>
      <c r="D505" s="2">
        <v>100</v>
      </c>
      <c r="E505" s="2"/>
      <c r="F505" s="4" t="str">
        <f>HYPERLINK("./Results/DLO\20181101_1.2.840.113619.2.311.129464528788383643246348865633525567744_304_512_512_\Osteo_Sarco_1.png","RPT")</f>
        <v>RPT</v>
      </c>
      <c r="G505" s="3">
        <v>106</v>
      </c>
      <c r="H505" s="3"/>
    </row>
    <row r="506" spans="1:8" x14ac:dyDescent="0.3">
      <c r="A506" s="2">
        <v>2977983</v>
      </c>
      <c r="B506" s="2">
        <v>52</v>
      </c>
      <c r="C506" s="2" t="s">
        <v>6</v>
      </c>
      <c r="D506" s="2">
        <v>100</v>
      </c>
      <c r="E506" s="2"/>
      <c r="F506" s="4" t="str">
        <f>HYPERLINK("./Results/DLO\20190801_1.3.12.2.1107.5.1.4.65253.30000019080520420231000015932_2_512_512_\Osteo_Sarco_1.png","RPT")</f>
        <v>RPT</v>
      </c>
      <c r="G506" s="3">
        <v>103</v>
      </c>
      <c r="H506" s="3"/>
    </row>
    <row r="507" spans="1:8" x14ac:dyDescent="0.3">
      <c r="A507" s="2">
        <v>2980751</v>
      </c>
      <c r="B507" s="2">
        <v>39</v>
      </c>
      <c r="C507" s="2" t="s">
        <v>6</v>
      </c>
      <c r="D507" s="2">
        <v>100</v>
      </c>
      <c r="E507" s="2"/>
      <c r="F507" s="4" t="str">
        <f>HYPERLINK("./Results/DLO\20190901_1.2.840.113619.2.416.105365011838274972406370773128892974513_310_512_512_\Osteo_Sarco_1.png","RPT")</f>
        <v>RPT</v>
      </c>
      <c r="G507" s="3">
        <v>96</v>
      </c>
      <c r="H507" s="3"/>
    </row>
    <row r="508" spans="1:8" x14ac:dyDescent="0.3">
      <c r="A508" s="2">
        <v>2982200</v>
      </c>
      <c r="B508" s="2">
        <v>63</v>
      </c>
      <c r="C508" s="2" t="s">
        <v>5</v>
      </c>
      <c r="D508" s="2">
        <v>140</v>
      </c>
      <c r="E508" s="2"/>
      <c r="F508" s="4" t="str">
        <f>HYPERLINK("./Results/DLO\20180301_1.2.840.113619.2.416.154934567954030091089021162892365289471_308_512_512_\Osteo_Sarco_1.png","RPT")</f>
        <v>RPT</v>
      </c>
      <c r="G508" s="3">
        <v>145</v>
      </c>
      <c r="H508" s="3"/>
    </row>
    <row r="509" spans="1:8" x14ac:dyDescent="0.3">
      <c r="A509" s="2">
        <v>2982200</v>
      </c>
      <c r="B509" s="2">
        <v>63</v>
      </c>
      <c r="C509" s="2" t="s">
        <v>5</v>
      </c>
      <c r="D509" s="2">
        <v>140</v>
      </c>
      <c r="E509" s="2"/>
      <c r="F509" s="4" t="str">
        <f>HYPERLINK("./Results/DLO\20180301_1.2.840.113619.2.416.266164035014765551214672845973652924088_304_512_512_\Osteo_Sarco_1.png","RPT")</f>
        <v>RPT</v>
      </c>
      <c r="G509" s="3">
        <v>144</v>
      </c>
      <c r="H509" s="3"/>
    </row>
    <row r="510" spans="1:8" x14ac:dyDescent="0.3">
      <c r="A510" s="2">
        <v>2982200</v>
      </c>
      <c r="B510" s="2">
        <v>63</v>
      </c>
      <c r="C510" s="2" t="s">
        <v>5</v>
      </c>
      <c r="D510" s="2">
        <v>140</v>
      </c>
      <c r="E510" s="2"/>
      <c r="F510" s="4" t="str">
        <f>HYPERLINK("./Results/DLO\20180301_1.2.840.113619.2.416.330407493540027243690296019920599006732_302_512_512_\Osteo_Sarco_1.png","RPT")</f>
        <v>RPT</v>
      </c>
      <c r="G510" s="3">
        <v>144</v>
      </c>
      <c r="H510" s="3"/>
    </row>
    <row r="511" spans="1:8" x14ac:dyDescent="0.3">
      <c r="A511" s="2">
        <v>2982200</v>
      </c>
      <c r="B511" s="2">
        <v>63</v>
      </c>
      <c r="C511" s="2" t="s">
        <v>5</v>
      </c>
      <c r="D511" s="2">
        <v>140</v>
      </c>
      <c r="E511" s="2"/>
      <c r="F511" s="4" t="str">
        <f>HYPERLINK("./Results/DLO\20180301_1.2.840.113619.2.416.63869593802788023616961654952837635476_2_512_512_\Osteo_Sarco_1.png","RPT")</f>
        <v>RPT</v>
      </c>
      <c r="G511" s="3">
        <v>143</v>
      </c>
      <c r="H511" s="3"/>
    </row>
    <row r="512" spans="1:8" x14ac:dyDescent="0.3">
      <c r="A512" s="2">
        <v>2983583</v>
      </c>
      <c r="B512" s="2">
        <v>62</v>
      </c>
      <c r="C512" s="2" t="s">
        <v>6</v>
      </c>
      <c r="D512" s="2">
        <v>120</v>
      </c>
      <c r="E512" s="2"/>
      <c r="F512" s="4" t="str">
        <f>HYPERLINK("./Results/DLO\20190701_1.2.410.100011.172.16.64.21.6370059235586753821.5_5_512_512_\Osteo_Sarco_1.png","RPT")</f>
        <v>RPT</v>
      </c>
      <c r="G512" s="3">
        <v>84</v>
      </c>
      <c r="H512" s="3"/>
    </row>
    <row r="513" spans="1:8" x14ac:dyDescent="0.3">
      <c r="A513" s="2">
        <v>2983583</v>
      </c>
      <c r="B513" s="2">
        <v>62</v>
      </c>
      <c r="C513" s="2" t="s">
        <v>6</v>
      </c>
      <c r="D513" s="2">
        <v>120</v>
      </c>
      <c r="E513" s="2"/>
      <c r="F513" s="4" t="str">
        <f>HYPERLINK("./Results/DLO\20190701_1.2.410.100011.172.16.64.21.6370059235586753821.3_3_512_512_\Osteo_Sarco_1.png","RPT")</f>
        <v>RPT</v>
      </c>
      <c r="G513" s="3">
        <v>77</v>
      </c>
      <c r="H513" s="3"/>
    </row>
    <row r="514" spans="1:8" x14ac:dyDescent="0.3">
      <c r="A514" s="2">
        <v>2983583</v>
      </c>
      <c r="B514" s="2">
        <v>62</v>
      </c>
      <c r="C514" s="2" t="s">
        <v>6</v>
      </c>
      <c r="D514" s="2">
        <v>120</v>
      </c>
      <c r="E514" s="2"/>
      <c r="F514" s="4" t="str">
        <f>HYPERLINK("./Results/DLO\20190701_1.2.410.100011.172.16.64.21.6370059235586753821.2_2_512_512_\Osteo_Sarco_1.png","RPT")</f>
        <v>RPT</v>
      </c>
      <c r="G514" s="3">
        <v>74</v>
      </c>
      <c r="H514" s="3"/>
    </row>
    <row r="515" spans="1:8" x14ac:dyDescent="0.3">
      <c r="A515" s="2">
        <v>2987367</v>
      </c>
      <c r="B515" s="2">
        <v>61</v>
      </c>
      <c r="C515" s="2" t="s">
        <v>5</v>
      </c>
      <c r="D515" s="2">
        <v>100</v>
      </c>
      <c r="E515" s="2"/>
      <c r="F515" s="4" t="str">
        <f>HYPERLINK("./Results/DLO\20181201_1.3.12.2.1107.5.1.4.54310.30000018120323211295300027613_2_512_512_\Osteo_Sarco_1.png","RPT")</f>
        <v>RPT</v>
      </c>
      <c r="G515" s="3">
        <v>170</v>
      </c>
      <c r="H515" s="3"/>
    </row>
    <row r="516" spans="1:8" x14ac:dyDescent="0.3">
      <c r="A516" s="2">
        <v>2987367</v>
      </c>
      <c r="B516" s="2">
        <v>61</v>
      </c>
      <c r="C516" s="2" t="s">
        <v>5</v>
      </c>
      <c r="D516" s="2">
        <v>100</v>
      </c>
      <c r="E516" s="2"/>
      <c r="F516" s="4" t="str">
        <f>HYPERLINK("./Results/DLO\20181201_1.3.12.2.1107.5.1.4.54310.30000018120323211295300028096_3_512_512_\Osteo_Sarco_1.png","RPT")</f>
        <v>RPT</v>
      </c>
      <c r="G516" s="3">
        <v>169</v>
      </c>
      <c r="H516" s="3"/>
    </row>
    <row r="517" spans="1:8" x14ac:dyDescent="0.3">
      <c r="A517" s="2">
        <v>2993899</v>
      </c>
      <c r="B517" s="2">
        <v>64</v>
      </c>
      <c r="C517" s="2" t="s">
        <v>6</v>
      </c>
      <c r="D517" s="2">
        <v>100</v>
      </c>
      <c r="E517" s="2"/>
      <c r="F517" s="4" t="str">
        <f>HYPERLINK("./Results/DLO\20180201_1.3.12.2.1107.5.1.4.65253.30000018021321121032000051024_2_512_512_\Osteo_Sarco_1.png","RPT")</f>
        <v>RPT</v>
      </c>
      <c r="G517" s="3">
        <v>103</v>
      </c>
      <c r="H517" s="3"/>
    </row>
    <row r="518" spans="1:8" x14ac:dyDescent="0.3">
      <c r="A518" s="2">
        <v>2995487</v>
      </c>
      <c r="B518" s="2">
        <v>47</v>
      </c>
      <c r="C518" s="2" t="s">
        <v>5</v>
      </c>
      <c r="D518" s="2">
        <v>120</v>
      </c>
      <c r="E518" s="2"/>
      <c r="F518" s="4" t="str">
        <f>HYPERLINK("./Results/DLO\20180501_1.3.12.2.1107.5.1.4.54310.30000018052423121998400058313_5_512_512_\Osteo_Sarco_1.png","RPT")</f>
        <v>RPT</v>
      </c>
      <c r="G518" s="3">
        <v>140</v>
      </c>
      <c r="H518" s="3"/>
    </row>
    <row r="519" spans="1:8" x14ac:dyDescent="0.3">
      <c r="A519" s="2">
        <v>2995487</v>
      </c>
      <c r="B519" s="2">
        <v>47</v>
      </c>
      <c r="C519" s="2" t="s">
        <v>5</v>
      </c>
      <c r="D519" s="2">
        <v>120</v>
      </c>
      <c r="E519" s="2"/>
      <c r="F519" s="4" t="str">
        <f>HYPERLINK("./Results/DLO\20180501_1.3.12.2.1107.5.1.4.54310.30000018052423121998400058979_9_512_512_\Osteo_Sarco_1.png","RPT")</f>
        <v>RPT</v>
      </c>
      <c r="G519" s="3">
        <v>140</v>
      </c>
      <c r="H519" s="3"/>
    </row>
    <row r="520" spans="1:8" x14ac:dyDescent="0.3">
      <c r="A520" s="2">
        <v>2995487</v>
      </c>
      <c r="B520" s="2">
        <v>47</v>
      </c>
      <c r="C520" s="2" t="s">
        <v>5</v>
      </c>
      <c r="D520" s="2">
        <v>120</v>
      </c>
      <c r="E520" s="2"/>
      <c r="F520" s="4" t="str">
        <f>HYPERLINK("./Results/DLO\20180501_1.3.12.2.1107.5.1.4.54310.30000018052423121998400058694_7_512_512_\Osteo_Sarco_1.png","RPT")</f>
        <v>RPT</v>
      </c>
      <c r="G520" s="3">
        <v>139</v>
      </c>
      <c r="H520" s="3"/>
    </row>
    <row r="521" spans="1:8" x14ac:dyDescent="0.3">
      <c r="A521" s="2">
        <v>2995487</v>
      </c>
      <c r="B521" s="2">
        <v>47</v>
      </c>
      <c r="C521" s="2" t="s">
        <v>5</v>
      </c>
      <c r="D521" s="2">
        <v>100</v>
      </c>
      <c r="E521" s="2"/>
      <c r="F521" s="4" t="str">
        <f>HYPERLINK("./Results/DLO\20180501_1.3.12.2.1107.5.1.4.54310.30000018052423121998400058215_3_512_512_\Osteo_Sarco_1.png","RPT")</f>
        <v>RPT</v>
      </c>
      <c r="G521" s="3">
        <v>136</v>
      </c>
      <c r="H521" s="3"/>
    </row>
    <row r="522" spans="1:8" x14ac:dyDescent="0.3">
      <c r="A522" s="2">
        <v>3034034</v>
      </c>
      <c r="B522" s="2">
        <v>45</v>
      </c>
      <c r="C522" s="2" t="s">
        <v>6</v>
      </c>
      <c r="D522" s="2">
        <v>100</v>
      </c>
      <c r="E522" s="2"/>
      <c r="F522" s="4" t="str">
        <f>HYPERLINK("./Results/DLO\20181101_1.2.840.113619.2.311.32425720505839138894584100906657209289_304_512_512_\Osteo_Sarco_1.png","RPT")</f>
        <v>RPT</v>
      </c>
      <c r="G522" s="3">
        <v>164</v>
      </c>
      <c r="H522" s="3"/>
    </row>
    <row r="523" spans="1:8" x14ac:dyDescent="0.3">
      <c r="A523" s="2">
        <v>3036502</v>
      </c>
      <c r="B523" s="2">
        <v>64</v>
      </c>
      <c r="C523" s="2" t="s">
        <v>5</v>
      </c>
      <c r="D523" s="2">
        <v>100</v>
      </c>
      <c r="E523" s="2"/>
      <c r="F523" s="4" t="str">
        <f>HYPERLINK("./Results/DLO\20180401_1.3.12.2.1107.5.1.4.54310.30000018042923092775000015700_2_512_512_\Osteo_Sarco_1.png","RPT")</f>
        <v>RPT</v>
      </c>
      <c r="G523" s="3">
        <v>146</v>
      </c>
      <c r="H523" s="3"/>
    </row>
    <row r="524" spans="1:8" x14ac:dyDescent="0.3">
      <c r="A524" s="2">
        <v>3036502</v>
      </c>
      <c r="B524" s="2">
        <v>64</v>
      </c>
      <c r="C524" s="2" t="s">
        <v>5</v>
      </c>
      <c r="D524" s="2">
        <v>100</v>
      </c>
      <c r="E524" s="2"/>
      <c r="F524" s="4" t="str">
        <f>HYPERLINK("./Results/DLO\20180401_1.3.12.2.1107.5.1.4.54310.30000018042923092775000015859_3_512_512_\Osteo_Sarco_1.png","RPT")</f>
        <v>RPT</v>
      </c>
      <c r="G524" s="3">
        <v>145</v>
      </c>
      <c r="H524" s="3"/>
    </row>
    <row r="525" spans="1:8" x14ac:dyDescent="0.3">
      <c r="A525" s="2">
        <v>3041747</v>
      </c>
      <c r="B525" s="2">
        <v>71</v>
      </c>
      <c r="C525" s="2" t="s">
        <v>5</v>
      </c>
      <c r="D525" s="2">
        <v>100</v>
      </c>
      <c r="E525" s="2"/>
      <c r="F525" s="4" t="str">
        <f>HYPERLINK("./Results/DLO\20180901_1.3.12.2.1107.5.1.4.54310.30000018090323110353100049720_3_512_512_\Osteo_Sarco_1.png","RPT")</f>
        <v>RPT</v>
      </c>
      <c r="G525" s="3">
        <v>166</v>
      </c>
      <c r="H525" s="3"/>
    </row>
    <row r="526" spans="1:8" x14ac:dyDescent="0.3">
      <c r="A526" s="2">
        <v>3041747</v>
      </c>
      <c r="B526" s="2">
        <v>71</v>
      </c>
      <c r="C526" s="2" t="s">
        <v>5</v>
      </c>
      <c r="D526" s="2">
        <v>100</v>
      </c>
      <c r="E526" s="2"/>
      <c r="F526" s="4" t="str">
        <f>HYPERLINK("./Results/DLO\20180901_1.3.12.2.1107.5.1.4.54310.30000018090323110353100049562_2_512_512_\Osteo_Sarco_1.png","RPT")</f>
        <v>RPT</v>
      </c>
      <c r="G526" s="3">
        <v>165</v>
      </c>
      <c r="H526" s="3"/>
    </row>
    <row r="527" spans="1:8" x14ac:dyDescent="0.3">
      <c r="A527" s="2">
        <v>3045600</v>
      </c>
      <c r="B527" s="2">
        <v>71</v>
      </c>
      <c r="C527" s="2" t="s">
        <v>5</v>
      </c>
      <c r="D527" s="2">
        <v>100</v>
      </c>
      <c r="E527" s="2"/>
      <c r="F527" s="4" t="str">
        <f>HYPERLINK("./Results/DLO\20180201_1.3.12.2.1107.5.1.4.65253.30000018020321595412000001197_2_512_512_\Osteo_Sarco_1.png","RPT")</f>
        <v>RPT</v>
      </c>
      <c r="G527" s="3">
        <v>157</v>
      </c>
      <c r="H527" s="3"/>
    </row>
    <row r="528" spans="1:8" x14ac:dyDescent="0.3">
      <c r="A528" s="2">
        <v>3054990</v>
      </c>
      <c r="B528" s="2">
        <v>63</v>
      </c>
      <c r="C528" s="2" t="s">
        <v>6</v>
      </c>
      <c r="D528" s="2">
        <v>100</v>
      </c>
      <c r="E528" s="2"/>
      <c r="F528" s="4" t="str">
        <f>HYPERLINK("./Results/DLO\20200601_1.3.12.2.1107.5.1.4.54310.30000020062122312240600037379_5_512_512_\Osteo_Sarco_1.png","RPT")</f>
        <v>RPT</v>
      </c>
      <c r="G528" s="3">
        <v>95</v>
      </c>
      <c r="H528" s="3"/>
    </row>
    <row r="529" spans="1:8" x14ac:dyDescent="0.3">
      <c r="A529" s="2">
        <v>3062474</v>
      </c>
      <c r="B529" s="2">
        <v>76</v>
      </c>
      <c r="C529" s="2" t="s">
        <v>6</v>
      </c>
      <c r="D529" s="2">
        <v>100</v>
      </c>
      <c r="E529" s="2"/>
      <c r="F529" s="4" t="str">
        <f>HYPERLINK("./Results/DLO\20181201_1.2.840.113619.2.311.31724804274345842400443967059906975900_304_512_512_\Osteo_Sarco_1.png","RPT")</f>
        <v>RPT</v>
      </c>
      <c r="G529" s="3">
        <v>101</v>
      </c>
      <c r="H529" s="3"/>
    </row>
    <row r="530" spans="1:8" x14ac:dyDescent="0.3">
      <c r="A530" s="2">
        <v>3074221</v>
      </c>
      <c r="B530" s="2">
        <v>63</v>
      </c>
      <c r="C530" s="2" t="s">
        <v>5</v>
      </c>
      <c r="D530" s="2">
        <v>140</v>
      </c>
      <c r="E530" s="2"/>
      <c r="F530" s="4" t="str">
        <f>HYPERLINK("./Results/DLO\20191201_1.2.840.113619.2.416.127120134860059202525144128981504340810_306_512_512_\Osteo_Sarco_1.png","RPT")</f>
        <v>RPT</v>
      </c>
      <c r="G530" s="3">
        <v>129</v>
      </c>
      <c r="H530" s="3"/>
    </row>
    <row r="531" spans="1:8" x14ac:dyDescent="0.3">
      <c r="A531" s="2">
        <v>3074221</v>
      </c>
      <c r="B531" s="2">
        <v>63</v>
      </c>
      <c r="C531" s="2" t="s">
        <v>5</v>
      </c>
      <c r="D531" s="2">
        <v>140</v>
      </c>
      <c r="E531" s="2"/>
      <c r="F531" s="4" t="str">
        <f>HYPERLINK("./Results/DLO\20191201_1.2.840.113619.2.416.62654339948853530888734073143150276972_303_512_512_\Osteo_Sarco_1.png","RPT")</f>
        <v>RPT</v>
      </c>
      <c r="G531" s="3">
        <v>128</v>
      </c>
      <c r="H531" s="3"/>
    </row>
    <row r="532" spans="1:8" x14ac:dyDescent="0.3">
      <c r="A532" s="2">
        <v>3074221</v>
      </c>
      <c r="B532" s="2">
        <v>63</v>
      </c>
      <c r="C532" s="2" t="s">
        <v>5</v>
      </c>
      <c r="D532" s="2">
        <v>140</v>
      </c>
      <c r="E532" s="2"/>
      <c r="F532" s="4" t="str">
        <f>HYPERLINK("./Results/DLO\20191201_1.2.840.113619.2.416.91195623636453862053633933850724300149_301_512_512_\Osteo_Sarco_1.png","RPT")</f>
        <v>RPT</v>
      </c>
      <c r="G532" s="3">
        <v>126</v>
      </c>
      <c r="H532" s="3"/>
    </row>
    <row r="533" spans="1:8" x14ac:dyDescent="0.3">
      <c r="A533" s="2">
        <v>3074221</v>
      </c>
      <c r="B533" s="2">
        <v>63</v>
      </c>
      <c r="C533" s="2" t="s">
        <v>5</v>
      </c>
      <c r="D533" s="2">
        <v>140</v>
      </c>
      <c r="E533" s="2"/>
      <c r="F533" s="4" t="str">
        <f>HYPERLINK("./Results/DLO\20191201_1.2.840.113619.2.416.10338531167844604254621349006134631557_2_512_512_\Osteo_Sarco_1.png","RPT")</f>
        <v>RPT</v>
      </c>
      <c r="G533" s="3">
        <v>123</v>
      </c>
      <c r="H533" s="3"/>
    </row>
    <row r="534" spans="1:8" x14ac:dyDescent="0.3">
      <c r="A534" s="2">
        <v>3079951</v>
      </c>
      <c r="B534" s="2">
        <v>60</v>
      </c>
      <c r="C534" s="2" t="s">
        <v>6</v>
      </c>
      <c r="D534" s="2">
        <v>100</v>
      </c>
      <c r="E534" s="2"/>
      <c r="F534" s="4" t="str">
        <f>HYPERLINK("./Results/DLO\20180501_1.2.840.113619.2.311.183739700963246357921278542400624829595_303_512_512_\Osteo_Sarco_1.png","RPT")</f>
        <v>RPT</v>
      </c>
      <c r="G534" s="3">
        <v>128</v>
      </c>
      <c r="H534" s="3"/>
    </row>
    <row r="535" spans="1:8" x14ac:dyDescent="0.3">
      <c r="A535" s="2">
        <v>3086214</v>
      </c>
      <c r="B535" s="2">
        <v>59</v>
      </c>
      <c r="C535" s="2" t="s">
        <v>5</v>
      </c>
      <c r="D535" s="2">
        <v>100</v>
      </c>
      <c r="E535" s="2"/>
      <c r="F535" s="4" t="str">
        <f>HYPERLINK("./Results/DLO\20180301_1.2.840.113619.2.311.251737076276581879488627379666174489543_304_512_512_\Osteo_Sarco_1.png","RPT")</f>
        <v>RPT</v>
      </c>
      <c r="G535" s="3">
        <v>150</v>
      </c>
      <c r="H535" s="3"/>
    </row>
    <row r="536" spans="1:8" x14ac:dyDescent="0.3">
      <c r="A536" s="2">
        <v>3089582</v>
      </c>
      <c r="B536" s="2">
        <v>55</v>
      </c>
      <c r="C536" s="2" t="s">
        <v>6</v>
      </c>
      <c r="D536" s="2">
        <v>100</v>
      </c>
      <c r="E536" s="2"/>
      <c r="F536" s="4" t="str">
        <f>HYPERLINK("./Results/DLO\20181101_1.2.840.113619.2.416.75563837257038355786865241492885484353_304_512_512_\Osteo_Sarco_1.png","RPT")</f>
        <v>RPT</v>
      </c>
      <c r="G536" s="3">
        <v>110</v>
      </c>
      <c r="H536" s="3"/>
    </row>
    <row r="537" spans="1:8" x14ac:dyDescent="0.3">
      <c r="A537" s="2">
        <v>3099515</v>
      </c>
      <c r="B537" s="2">
        <v>72</v>
      </c>
      <c r="C537" s="2" t="s">
        <v>5</v>
      </c>
      <c r="D537" s="2">
        <v>100</v>
      </c>
      <c r="E537" s="2"/>
      <c r="F537" s="4" t="str">
        <f>HYPERLINK("./Results/DLO\20180501_1.2.840.113619.2.311.225116642997979950190582868238639021301_303_512_512_\Osteo_Sarco_1.png","RPT")</f>
        <v>RPT</v>
      </c>
      <c r="G537" s="3">
        <v>151</v>
      </c>
      <c r="H537" s="3"/>
    </row>
    <row r="538" spans="1:8" x14ac:dyDescent="0.3">
      <c r="A538" s="2">
        <v>3105140</v>
      </c>
      <c r="B538" s="2">
        <v>66</v>
      </c>
      <c r="C538" s="2" t="s">
        <v>6</v>
      </c>
      <c r="D538" s="2">
        <v>140</v>
      </c>
      <c r="E538" s="2"/>
      <c r="F538" s="4" t="str">
        <f>HYPERLINK("./Results/DLO\20181201_1.2.840.113619.2.416.16590780158601094428229963767549538821_305_512_512_\Osteo_Sarco_1.png","RPT")</f>
        <v>RPT</v>
      </c>
      <c r="G538" s="3">
        <v>117</v>
      </c>
      <c r="H538" s="3"/>
    </row>
    <row r="539" spans="1:8" x14ac:dyDescent="0.3">
      <c r="A539" s="2">
        <v>3105140</v>
      </c>
      <c r="B539" s="2">
        <v>66</v>
      </c>
      <c r="C539" s="2" t="s">
        <v>6</v>
      </c>
      <c r="D539" s="2">
        <v>140</v>
      </c>
      <c r="E539" s="2"/>
      <c r="F539" s="4" t="str">
        <f>HYPERLINK("./Results/DLO\20181201_1.2.840.113619.2.416.92838865202058006730686421525327676150_303_512_512_\Osteo_Sarco_1.png","RPT")</f>
        <v>RPT</v>
      </c>
      <c r="G539" s="3">
        <v>113</v>
      </c>
      <c r="H539" s="3"/>
    </row>
    <row r="540" spans="1:8" x14ac:dyDescent="0.3">
      <c r="A540" s="2">
        <v>3105140</v>
      </c>
      <c r="B540" s="2">
        <v>66</v>
      </c>
      <c r="C540" s="2" t="s">
        <v>6</v>
      </c>
      <c r="D540" s="2">
        <v>140</v>
      </c>
      <c r="E540" s="2"/>
      <c r="F540" s="4" t="str">
        <f>HYPERLINK("./Results/DLO\20181201_1.2.840.113619.2.416.246208338402451922931177384603565526114_308_512_512_\Osteo_Sarco_1.png","RPT")</f>
        <v>RPT</v>
      </c>
      <c r="G540" s="3">
        <v>111</v>
      </c>
      <c r="H540" s="3"/>
    </row>
    <row r="541" spans="1:8" x14ac:dyDescent="0.3">
      <c r="A541" s="2">
        <v>3105140</v>
      </c>
      <c r="B541" s="2">
        <v>66</v>
      </c>
      <c r="C541" s="2" t="s">
        <v>6</v>
      </c>
      <c r="D541" s="2">
        <v>140</v>
      </c>
      <c r="E541" s="2"/>
      <c r="F541" s="4" t="str">
        <f>HYPERLINK("./Results/DLO\20181201_1.2.840.113619.2.416.320305973246465814349694390352754026139_301_512_512_\Osteo_Sarco_1.png","RPT")</f>
        <v>RPT</v>
      </c>
      <c r="G541" s="3">
        <v>109</v>
      </c>
      <c r="H541" s="3"/>
    </row>
    <row r="542" spans="1:8" x14ac:dyDescent="0.3">
      <c r="A542" s="2">
        <v>3107713</v>
      </c>
      <c r="B542" s="2">
        <v>40</v>
      </c>
      <c r="C542" s="2" t="s">
        <v>6</v>
      </c>
      <c r="D542" s="2">
        <v>100</v>
      </c>
      <c r="E542" s="2"/>
      <c r="F542" s="4" t="str">
        <f>HYPERLINK("./Results/DLO\20190601_1.3.12.2.1107.5.1.4.65253.30000019062917252974700019682_3_512_512_\Osteo_Sarco_1.png","RPT")</f>
        <v>RPT</v>
      </c>
      <c r="G542" s="3">
        <v>114</v>
      </c>
      <c r="H542" s="3"/>
    </row>
    <row r="543" spans="1:8" x14ac:dyDescent="0.3">
      <c r="A543" s="2">
        <v>3107713</v>
      </c>
      <c r="B543" s="2">
        <v>40</v>
      </c>
      <c r="C543" s="2" t="s">
        <v>6</v>
      </c>
      <c r="D543" s="2">
        <v>100</v>
      </c>
      <c r="E543" s="2"/>
      <c r="F543" s="4" t="str">
        <f>HYPERLINK("./Results/DLO\20190601_1.3.12.2.1107.5.1.4.65253.30000019062917252974700019523_2_512_512_\Osteo_Sarco_1.png","RPT")</f>
        <v>RPT</v>
      </c>
      <c r="G543" s="3">
        <v>111</v>
      </c>
      <c r="H543" s="3"/>
    </row>
    <row r="544" spans="1:8" x14ac:dyDescent="0.3">
      <c r="A544" s="2">
        <v>3123463</v>
      </c>
      <c r="B544" s="2">
        <v>65</v>
      </c>
      <c r="C544" s="2" t="s">
        <v>6</v>
      </c>
      <c r="D544" s="2">
        <v>100</v>
      </c>
      <c r="E544" s="2"/>
      <c r="F544" s="4" t="str">
        <f>HYPERLINK("./Results/DLO\20190801_1.3.12.2.1107.5.1.4.54310.30000019081122344496800029837_2_512_512_\Osteo_Sarco_1.png","RPT")</f>
        <v>RPT</v>
      </c>
      <c r="G544" s="3">
        <v>106</v>
      </c>
      <c r="H544" s="3"/>
    </row>
    <row r="545" spans="1:8" x14ac:dyDescent="0.3">
      <c r="A545" s="2">
        <v>3125157</v>
      </c>
      <c r="B545" s="2">
        <v>76</v>
      </c>
      <c r="C545" s="2" t="s">
        <v>5</v>
      </c>
      <c r="D545" s="2">
        <v>140</v>
      </c>
      <c r="E545" s="2"/>
      <c r="F545" s="4" t="str">
        <f>HYPERLINK("./Results/DLO\20180201_1.2.840.113619.2.416.239323300432572149551001321562937381245_310_512_512_\Osteo_Sarco_1.png","RPT")</f>
        <v>RPT</v>
      </c>
      <c r="G545" s="3">
        <v>158</v>
      </c>
      <c r="H545" s="3"/>
    </row>
    <row r="546" spans="1:8" x14ac:dyDescent="0.3">
      <c r="A546" s="2">
        <v>3125157</v>
      </c>
      <c r="B546" s="2">
        <v>76</v>
      </c>
      <c r="C546" s="2" t="s">
        <v>5</v>
      </c>
      <c r="D546" s="2">
        <v>140</v>
      </c>
      <c r="E546" s="2"/>
      <c r="F546" s="4" t="str">
        <f>HYPERLINK("./Results/DLO\20180201_1.2.840.113619.2.416.178694569087884087605521894696647544802_302_512_512_\Osteo_Sarco_1.png","RPT")</f>
        <v>RPT</v>
      </c>
      <c r="G546" s="3">
        <v>152</v>
      </c>
      <c r="H546" s="3"/>
    </row>
    <row r="547" spans="1:8" x14ac:dyDescent="0.3">
      <c r="A547" s="2">
        <v>3125157</v>
      </c>
      <c r="B547" s="2">
        <v>76</v>
      </c>
      <c r="C547" s="2" t="s">
        <v>5</v>
      </c>
      <c r="D547" s="2">
        <v>120</v>
      </c>
      <c r="E547" s="2"/>
      <c r="F547" s="4" t="str">
        <f>HYPERLINK("./Results/DLO\20180201_1.2.840.113619.2.416.334315256626107529238838988979813018340_305_512_512_\Osteo_Sarco_1.png","RPT")</f>
        <v>RPT</v>
      </c>
      <c r="G547" s="3">
        <v>112</v>
      </c>
      <c r="H547" s="3"/>
    </row>
    <row r="548" spans="1:8" x14ac:dyDescent="0.3">
      <c r="A548" s="2">
        <v>3130452</v>
      </c>
      <c r="B548" s="2">
        <v>23</v>
      </c>
      <c r="C548" s="2" t="s">
        <v>5</v>
      </c>
      <c r="D548" s="2">
        <v>120</v>
      </c>
      <c r="E548" s="2"/>
      <c r="F548" s="4" t="str">
        <f>HYPERLINK("./Results/DLO\20180101_1.3.12.2.1107.5.1.4.54310.30000018012823065815600028699_3_512_512_\Osteo_Sarco_1.png","RPT")</f>
        <v>RPT</v>
      </c>
      <c r="G548" s="3">
        <v>174</v>
      </c>
      <c r="H548" s="3"/>
    </row>
    <row r="549" spans="1:8" x14ac:dyDescent="0.3">
      <c r="A549" s="2">
        <v>3130452</v>
      </c>
      <c r="B549" s="2">
        <v>23</v>
      </c>
      <c r="C549" s="2" t="s">
        <v>5</v>
      </c>
      <c r="D549" s="2">
        <v>100</v>
      </c>
      <c r="E549" s="2"/>
      <c r="F549" s="4" t="str">
        <f>HYPERLINK("./Results/DLO\20180101_1.3.12.2.1107.5.1.4.54310.30000018012823065815600028512_2_512_512_\Osteo_Sarco_1.png","RPT")</f>
        <v>RPT</v>
      </c>
      <c r="G549" s="3">
        <v>173</v>
      </c>
      <c r="H549" s="3"/>
    </row>
    <row r="550" spans="1:8" x14ac:dyDescent="0.3">
      <c r="A550" s="2">
        <v>3130452</v>
      </c>
      <c r="B550" s="2">
        <v>23</v>
      </c>
      <c r="C550" s="2" t="s">
        <v>5</v>
      </c>
      <c r="D550" s="2">
        <v>120</v>
      </c>
      <c r="E550" s="2"/>
      <c r="F550" s="4" t="str">
        <f>HYPERLINK("./Results/DLO\20180101_1.3.12.2.1107.5.1.4.54310.30000018012823065815600028996_5_512_512_\Osteo_Sarco_1.png","RPT")</f>
        <v>RPT</v>
      </c>
      <c r="G550" s="3">
        <v>173</v>
      </c>
      <c r="H550" s="3"/>
    </row>
    <row r="551" spans="1:8" x14ac:dyDescent="0.3">
      <c r="A551" s="2">
        <v>3133776</v>
      </c>
      <c r="B551" s="2">
        <v>62</v>
      </c>
      <c r="C551" s="2" t="s">
        <v>5</v>
      </c>
      <c r="D551" s="2">
        <v>100</v>
      </c>
      <c r="E551" s="2"/>
      <c r="F551" s="4" t="str">
        <f>HYPERLINK("./Results/DLO\20190901_1.3.12.2.1107.5.1.4.65253.30000019092317151984300090030_3_512_512_\Osteo_Sarco_1.png","RPT")</f>
        <v>RPT</v>
      </c>
      <c r="G551" s="3">
        <v>124</v>
      </c>
      <c r="H551" s="3"/>
    </row>
    <row r="552" spans="1:8" x14ac:dyDescent="0.3">
      <c r="A552" s="2">
        <v>3136503</v>
      </c>
      <c r="B552" s="2">
        <v>60</v>
      </c>
      <c r="C552" s="2" t="s">
        <v>6</v>
      </c>
      <c r="D552" s="2">
        <v>140</v>
      </c>
      <c r="E552" s="2"/>
      <c r="F552" s="4" t="str">
        <f>HYPERLINK("./Results/DLO\20180201_1.2.840.113619.2.416.72323316642961244078877201411545224117_304_512_512_\Osteo_Sarco_1.png","RPT")</f>
        <v>RPT</v>
      </c>
      <c r="G552" s="3">
        <v>112</v>
      </c>
      <c r="H552" s="3"/>
    </row>
    <row r="553" spans="1:8" x14ac:dyDescent="0.3">
      <c r="A553" s="2">
        <v>3136503</v>
      </c>
      <c r="B553" s="2">
        <v>60</v>
      </c>
      <c r="C553" s="2" t="s">
        <v>6</v>
      </c>
      <c r="D553" s="2">
        <v>140</v>
      </c>
      <c r="E553" s="2"/>
      <c r="F553" s="4" t="str">
        <f>HYPERLINK("./Results/DLO\20180201_1.2.840.113619.2.416.3478811424096097179306419670809274543_2_512_512_\Osteo_Sarco_1.png","RPT")</f>
        <v>RPT</v>
      </c>
      <c r="G553" s="3">
        <v>111</v>
      </c>
      <c r="H553" s="3"/>
    </row>
    <row r="554" spans="1:8" x14ac:dyDescent="0.3">
      <c r="A554" s="2">
        <v>3136503</v>
      </c>
      <c r="B554" s="2">
        <v>60</v>
      </c>
      <c r="C554" s="2" t="s">
        <v>6</v>
      </c>
      <c r="D554" s="2">
        <v>140</v>
      </c>
      <c r="E554" s="2"/>
      <c r="F554" s="4" t="str">
        <f>HYPERLINK("./Results/DLO\20180201_1.2.840.113619.2.416.87648302999318019770750027225962776161_308_512_512_\Osteo_Sarco_1.png","RPT")</f>
        <v>RPT</v>
      </c>
      <c r="G554" s="3">
        <v>111</v>
      </c>
      <c r="H554" s="3"/>
    </row>
    <row r="555" spans="1:8" x14ac:dyDescent="0.3">
      <c r="A555" s="2">
        <v>3136503</v>
      </c>
      <c r="B555" s="2">
        <v>60</v>
      </c>
      <c r="C555" s="2" t="s">
        <v>6</v>
      </c>
      <c r="D555" s="2">
        <v>140</v>
      </c>
      <c r="E555" s="2"/>
      <c r="F555" s="4" t="str">
        <f>HYPERLINK("./Results/DLO\20180201_1.2.840.113619.2.416.156206617884954350589391924626642417457_302_512_512_\Osteo_Sarco_1.png","RPT")</f>
        <v>RPT</v>
      </c>
      <c r="G555" s="3">
        <v>110</v>
      </c>
      <c r="H555" s="3"/>
    </row>
    <row r="556" spans="1:8" x14ac:dyDescent="0.3">
      <c r="A556" s="2">
        <v>3137499</v>
      </c>
      <c r="B556" s="2">
        <v>64</v>
      </c>
      <c r="C556" s="2" t="s">
        <v>5</v>
      </c>
      <c r="D556" s="2">
        <v>100</v>
      </c>
      <c r="E556" s="2"/>
      <c r="F556" s="4" t="str">
        <f>HYPERLINK("./Results/DLO\20200401_1.3.12.2.1107.5.1.4.54310.30000020040622271903100050375_8_512_512_\Osteo_Sarco_1.png","RPT")</f>
        <v>RPT</v>
      </c>
      <c r="G556" s="3">
        <v>182</v>
      </c>
      <c r="H556" s="3"/>
    </row>
    <row r="557" spans="1:8" x14ac:dyDescent="0.3">
      <c r="A557" s="2">
        <v>3137499</v>
      </c>
      <c r="B557" s="2">
        <v>64</v>
      </c>
      <c r="C557" s="2" t="s">
        <v>5</v>
      </c>
      <c r="D557" s="2">
        <v>100</v>
      </c>
      <c r="E557" s="2"/>
      <c r="F557" s="4" t="str">
        <f>HYPERLINK("./Results/DLO\20200401_1.3.12.2.1107.5.1.4.54310.30000020040622271903100049685_3_512_512_\Osteo_Sarco_1.png","RPT")</f>
        <v>RPT</v>
      </c>
      <c r="G557" s="3">
        <v>179</v>
      </c>
      <c r="H557" s="3"/>
    </row>
    <row r="558" spans="1:8" x14ac:dyDescent="0.3">
      <c r="A558" s="2">
        <v>3137499</v>
      </c>
      <c r="B558" s="2">
        <v>64</v>
      </c>
      <c r="C558" s="2" t="s">
        <v>5</v>
      </c>
      <c r="D558" s="2">
        <v>100</v>
      </c>
      <c r="E558" s="2"/>
      <c r="F558" s="4" t="str">
        <f>HYPERLINK("./Results/DLO\20200401_1.3.12.2.1107.5.1.4.54310.30000020040622271903100050190_7_512_512_\Osteo_Sarco_1.png","RPT")</f>
        <v>RPT</v>
      </c>
      <c r="G558" s="3">
        <v>179</v>
      </c>
      <c r="H558" s="3"/>
    </row>
    <row r="559" spans="1:8" x14ac:dyDescent="0.3">
      <c r="A559" s="2">
        <v>3137499</v>
      </c>
      <c r="B559" s="2">
        <v>64</v>
      </c>
      <c r="C559" s="2" t="s">
        <v>5</v>
      </c>
      <c r="D559" s="2">
        <v>100</v>
      </c>
      <c r="E559" s="2"/>
      <c r="F559" s="4" t="str">
        <f>HYPERLINK("./Results/DLO\20200401_1.3.12.2.1107.5.1.4.54310.30000020040622271903100049786_5_512_512_\Osteo_Sarco_1.png","RPT")</f>
        <v>RPT</v>
      </c>
      <c r="G559" s="3">
        <v>178</v>
      </c>
      <c r="H559" s="3"/>
    </row>
    <row r="560" spans="1:8" x14ac:dyDescent="0.3">
      <c r="A560" s="2">
        <v>3144533</v>
      </c>
      <c r="B560" s="2">
        <v>75</v>
      </c>
      <c r="C560" s="2" t="s">
        <v>5</v>
      </c>
      <c r="D560" s="2">
        <v>100</v>
      </c>
      <c r="E560" s="2"/>
      <c r="F560" s="4" t="str">
        <f>HYPERLINK("./Results/DLO\20191101_1.3.46.670589.33.1.63708463276348133400001.5286220425377739382_301_512_512_\Osteo_Sarco_1.png","RPT")</f>
        <v>RPT</v>
      </c>
      <c r="G560" s="3">
        <v>115</v>
      </c>
      <c r="H560" s="3"/>
    </row>
    <row r="561" spans="1:8" x14ac:dyDescent="0.3">
      <c r="A561" s="2">
        <v>3144533</v>
      </c>
      <c r="B561" s="2">
        <v>75</v>
      </c>
      <c r="C561" s="2" t="s">
        <v>5</v>
      </c>
      <c r="D561" s="2">
        <v>100</v>
      </c>
      <c r="E561" s="2"/>
      <c r="F561" s="4" t="str">
        <f>HYPERLINK("./Results/DLO\20191101_1.3.46.670589.33.1.63708463151715004800001.5677583776894935191_201_512_512_\Osteo_Sarco_1.png","RPT")</f>
        <v>RPT</v>
      </c>
      <c r="G561" s="3">
        <v>106</v>
      </c>
      <c r="H561" s="3"/>
    </row>
    <row r="562" spans="1:8" x14ac:dyDescent="0.3">
      <c r="A562" s="2">
        <v>3144874</v>
      </c>
      <c r="B562" s="2">
        <v>44</v>
      </c>
      <c r="C562" s="2" t="s">
        <v>6</v>
      </c>
      <c r="D562" s="2">
        <v>100</v>
      </c>
      <c r="E562" s="2"/>
      <c r="F562" s="4" t="str">
        <f>HYPERLINK("./Results/DLO\20180301_1.2.840.113619.2.94.485650834948.2.8677990.18733315.1_2_512_512_\Osteo_Sarco_1.png","RPT")</f>
        <v>RPT</v>
      </c>
      <c r="G562" s="3">
        <v>100</v>
      </c>
      <c r="H562" s="3"/>
    </row>
    <row r="563" spans="1:8" x14ac:dyDescent="0.3">
      <c r="A563" s="2">
        <v>3149649</v>
      </c>
      <c r="B563" s="2">
        <v>39</v>
      </c>
      <c r="C563" s="2" t="s">
        <v>5</v>
      </c>
      <c r="D563" s="2">
        <v>100</v>
      </c>
      <c r="E563" s="2"/>
      <c r="F563" s="4" t="str">
        <f>HYPERLINK("./Results/DLO\20190701_1.3.12.2.1107.5.1.4.65253.30000019070121244618300014168_3_512_512_\Osteo_Sarco_1.png","RPT")</f>
        <v>RPT</v>
      </c>
      <c r="G563" s="3">
        <v>199</v>
      </c>
      <c r="H563" s="3"/>
    </row>
    <row r="564" spans="1:8" x14ac:dyDescent="0.3">
      <c r="A564" s="2">
        <v>3149649</v>
      </c>
      <c r="B564" s="2">
        <v>39</v>
      </c>
      <c r="C564" s="2" t="s">
        <v>5</v>
      </c>
      <c r="D564" s="2">
        <v>100</v>
      </c>
      <c r="E564" s="2"/>
      <c r="F564" s="4" t="str">
        <f>HYPERLINK("./Results/DLO\20190701_1.3.12.2.1107.5.1.4.65253.30000019070121244618300014014_2_512_512_\Osteo_Sarco_1.png","RPT")</f>
        <v>RPT</v>
      </c>
      <c r="G564" s="3">
        <v>195</v>
      </c>
      <c r="H564" s="3"/>
    </row>
    <row r="565" spans="1:8" x14ac:dyDescent="0.3">
      <c r="A565" s="2">
        <v>3155129</v>
      </c>
      <c r="B565" s="2">
        <v>71</v>
      </c>
      <c r="C565" s="2" t="s">
        <v>6</v>
      </c>
      <c r="D565" s="2">
        <v>100</v>
      </c>
      <c r="E565" s="2"/>
      <c r="F565" s="4" t="str">
        <f>HYPERLINK("./Results/DLO\20180401_1.3.12.2.1107.5.1.4.54310.30000018040423230757800002816_2_512_512_\Osteo_Sarco_1.png","RPT")</f>
        <v>RPT</v>
      </c>
      <c r="G565" s="3">
        <v>99</v>
      </c>
      <c r="H565" s="3"/>
    </row>
    <row r="566" spans="1:8" x14ac:dyDescent="0.3">
      <c r="A566" s="2">
        <v>3164398</v>
      </c>
      <c r="B566" s="2">
        <v>60</v>
      </c>
      <c r="C566" s="2" t="s">
        <v>6</v>
      </c>
      <c r="D566" s="2">
        <v>100</v>
      </c>
      <c r="E566" s="2"/>
      <c r="F566" s="4" t="str">
        <f>HYPERLINK("./Results/DLO\20191101_1.3.12.2.1107.5.1.4.54310.30000019111721190531200036092_9_512_512_\Osteo_Sarco_1.png","RPT")</f>
        <v>RPT</v>
      </c>
      <c r="G566" s="3">
        <v>84</v>
      </c>
      <c r="H566" s="3"/>
    </row>
    <row r="567" spans="1:8" x14ac:dyDescent="0.3">
      <c r="A567" s="2">
        <v>3164398</v>
      </c>
      <c r="B567" s="2">
        <v>60</v>
      </c>
      <c r="C567" s="2" t="s">
        <v>6</v>
      </c>
      <c r="D567" s="2">
        <v>100</v>
      </c>
      <c r="E567" s="2"/>
      <c r="F567" s="4" t="str">
        <f>HYPERLINK("./Results/DLO\20191101_1.3.12.2.1107.5.1.4.54310.30000019111721190531200035163_3_512_512_\Osteo_Sarco_1.png","RPT")</f>
        <v>RPT</v>
      </c>
      <c r="G567" s="3">
        <v>82</v>
      </c>
      <c r="H567" s="3"/>
    </row>
    <row r="568" spans="1:8" x14ac:dyDescent="0.3">
      <c r="A568" s="2">
        <v>3164398</v>
      </c>
      <c r="B568" s="2">
        <v>60</v>
      </c>
      <c r="C568" s="2" t="s">
        <v>6</v>
      </c>
      <c r="D568" s="2">
        <v>100</v>
      </c>
      <c r="E568" s="2"/>
      <c r="F568" s="4" t="str">
        <f>HYPERLINK("./Results/DLO\20191101_1.3.12.2.1107.5.1.4.54310.30000019111721190531200035247_5_512_512_\Osteo_Sarco_1.png","RPT")</f>
        <v>RPT</v>
      </c>
      <c r="G568" s="3">
        <v>82</v>
      </c>
      <c r="H568" s="3"/>
    </row>
    <row r="569" spans="1:8" x14ac:dyDescent="0.3">
      <c r="A569" s="2">
        <v>3164398</v>
      </c>
      <c r="B569" s="2">
        <v>60</v>
      </c>
      <c r="C569" s="2" t="s">
        <v>6</v>
      </c>
      <c r="D569" s="2">
        <v>100</v>
      </c>
      <c r="E569" s="2"/>
      <c r="F569" s="4" t="str">
        <f>HYPERLINK("./Results/DLO\20191101_1.3.12.2.1107.5.1.4.54310.30000019111721190531200035331_6_512_512_\Osteo_Sarco_1.png","RPT")</f>
        <v>RPT</v>
      </c>
      <c r="G569" s="3">
        <v>82</v>
      </c>
      <c r="H569" s="3"/>
    </row>
    <row r="570" spans="1:8" x14ac:dyDescent="0.3">
      <c r="A570" s="2">
        <v>3168007</v>
      </c>
      <c r="B570" s="2">
        <v>54</v>
      </c>
      <c r="C570" s="2" t="s">
        <v>5</v>
      </c>
      <c r="D570" s="2">
        <v>100</v>
      </c>
      <c r="E570" s="2"/>
      <c r="F570" s="4" t="str">
        <f>HYPERLINK("./Results/DLO\20180301_1.2.840.113619.2.311.134158337599402082003206347185145552595_307_512_512_\Osteo_Sarco_1.png","RPT")</f>
        <v>RPT</v>
      </c>
      <c r="G570" s="3">
        <v>205</v>
      </c>
      <c r="H570" s="3"/>
    </row>
    <row r="571" spans="1:8" x14ac:dyDescent="0.3">
      <c r="A571" s="2">
        <v>3168007</v>
      </c>
      <c r="B571" s="2">
        <v>54</v>
      </c>
      <c r="C571" s="2" t="s">
        <v>5</v>
      </c>
      <c r="D571" s="2">
        <v>100</v>
      </c>
      <c r="E571" s="2"/>
      <c r="F571" s="4" t="str">
        <f>HYPERLINK("./Results/DLO\20180301_1.2.840.113619.2.311.148086308662552940688845473939698107515_301_512_512_\Osteo_Sarco_1.png","RPT")</f>
        <v>RPT</v>
      </c>
      <c r="G571" s="3">
        <v>203</v>
      </c>
      <c r="H571" s="3"/>
    </row>
    <row r="572" spans="1:8" x14ac:dyDescent="0.3">
      <c r="A572" s="2">
        <v>3168007</v>
      </c>
      <c r="B572" s="2">
        <v>54</v>
      </c>
      <c r="C572" s="2" t="s">
        <v>5</v>
      </c>
      <c r="D572" s="2">
        <v>100</v>
      </c>
      <c r="E572" s="2"/>
      <c r="F572" s="4" t="str">
        <f>HYPERLINK("./Results/DLO\20180301_1.2.840.113619.2.311.233277227942967702034808069418164572828_2_512_512_\Osteo_Sarco_1.png","RPT")</f>
        <v>RPT</v>
      </c>
      <c r="G572" s="3">
        <v>201</v>
      </c>
      <c r="H572" s="3"/>
    </row>
    <row r="573" spans="1:8" x14ac:dyDescent="0.3">
      <c r="A573" s="2">
        <v>3168798</v>
      </c>
      <c r="B573" s="2">
        <v>67</v>
      </c>
      <c r="C573" s="2" t="s">
        <v>6</v>
      </c>
      <c r="D573" s="2">
        <v>100</v>
      </c>
      <c r="E573" s="2"/>
      <c r="F573" s="4" t="str">
        <f>HYPERLINK("./Results/DLO\20190601_1.3.12.2.1107.5.1.4.65253.30000019053020461533200227948_2_512_512_\Osteo_Sarco_1.png","RPT")</f>
        <v>RPT</v>
      </c>
      <c r="G573" s="3">
        <v>108</v>
      </c>
      <c r="H573" s="3"/>
    </row>
    <row r="574" spans="1:8" x14ac:dyDescent="0.3">
      <c r="A574" s="2">
        <v>3170228</v>
      </c>
      <c r="B574" s="2">
        <v>51</v>
      </c>
      <c r="C574" s="2" t="s">
        <v>6</v>
      </c>
      <c r="D574" s="2">
        <v>100</v>
      </c>
      <c r="E574" s="2"/>
      <c r="F574" s="4" t="str">
        <f>HYPERLINK("./Results/DLO\20190701_1.3.12.2.1107.5.1.4.65253.30000019070519312019600002020_7_512_512_\Osteo_Sarco_1.png","RPT")</f>
        <v>RPT</v>
      </c>
      <c r="G574" s="3">
        <v>162</v>
      </c>
      <c r="H574" s="3"/>
    </row>
    <row r="575" spans="1:8" x14ac:dyDescent="0.3">
      <c r="A575" s="2">
        <v>3170228</v>
      </c>
      <c r="B575" s="2">
        <v>51</v>
      </c>
      <c r="C575" s="2" t="s">
        <v>6</v>
      </c>
      <c r="D575" s="2">
        <v>100</v>
      </c>
      <c r="E575" s="2"/>
      <c r="F575" s="4" t="str">
        <f>HYPERLINK("./Results/DLO\20190701_1.3.12.2.1107.5.1.4.65253.30000019070519312019600002322_9_512_512_\Osteo_Sarco_1.png","RPT")</f>
        <v>RPT</v>
      </c>
      <c r="G575" s="3">
        <v>161</v>
      </c>
      <c r="H575" s="3"/>
    </row>
    <row r="576" spans="1:8" x14ac:dyDescent="0.3">
      <c r="A576" s="2">
        <v>3170228</v>
      </c>
      <c r="B576" s="2">
        <v>51</v>
      </c>
      <c r="C576" s="2" t="s">
        <v>6</v>
      </c>
      <c r="D576" s="2">
        <v>100</v>
      </c>
      <c r="E576" s="2"/>
      <c r="F576" s="4" t="str">
        <f>HYPERLINK("./Results/DLO\20190701_1.3.12.2.1107.5.1.4.65253.30000019070519312019600001396_2_512_512_\Osteo_Sarco_1.png","RPT")</f>
        <v>RPT</v>
      </c>
      <c r="G576" s="3">
        <v>158</v>
      </c>
      <c r="H576" s="3"/>
    </row>
    <row r="577" spans="1:8" x14ac:dyDescent="0.3">
      <c r="A577" s="2">
        <v>3170228</v>
      </c>
      <c r="B577" s="2">
        <v>51</v>
      </c>
      <c r="C577" s="2" t="s">
        <v>6</v>
      </c>
      <c r="D577" s="2">
        <v>100</v>
      </c>
      <c r="E577" s="2"/>
      <c r="F577" s="4" t="str">
        <f>HYPERLINK("./Results/DLO\20190701_1.3.12.2.1107.5.1.4.65253.30000019070519312019600001496_5_512_512_\Osteo_Sarco_1.png","RPT")</f>
        <v>RPT</v>
      </c>
      <c r="G577" s="3">
        <v>157</v>
      </c>
      <c r="H577" s="3"/>
    </row>
    <row r="578" spans="1:8" x14ac:dyDescent="0.3">
      <c r="A578" s="2">
        <v>3179626</v>
      </c>
      <c r="B578" s="2">
        <v>56</v>
      </c>
      <c r="C578" s="2" t="s">
        <v>6</v>
      </c>
      <c r="D578" s="2">
        <v>120</v>
      </c>
      <c r="E578" s="2"/>
      <c r="F578" s="4" t="str">
        <f>HYPERLINK("./Results/DLO\20181001_1.3.12.2.1107.5.1.4.54310.30000018100323223954600035491_7_512_512_\Osteo_Sarco_1.png","RPT")</f>
        <v>RPT</v>
      </c>
      <c r="G578" s="3">
        <v>117</v>
      </c>
      <c r="H578" s="3"/>
    </row>
    <row r="579" spans="1:8" x14ac:dyDescent="0.3">
      <c r="A579" s="2">
        <v>3179626</v>
      </c>
      <c r="B579" s="2">
        <v>56</v>
      </c>
      <c r="C579" s="2" t="s">
        <v>6</v>
      </c>
      <c r="D579" s="2">
        <v>120</v>
      </c>
      <c r="E579" s="2"/>
      <c r="F579" s="4" t="str">
        <f>HYPERLINK("./Results/DLO\20181001_1.3.12.2.1107.5.1.4.54310.30000018100323223954600035800_9_512_512_\Osteo_Sarco_1.png","RPT")</f>
        <v>RPT</v>
      </c>
      <c r="G579" s="3">
        <v>117</v>
      </c>
      <c r="H579" s="3"/>
    </row>
    <row r="580" spans="1:8" x14ac:dyDescent="0.3">
      <c r="A580" s="2">
        <v>3179626</v>
      </c>
      <c r="B580" s="2">
        <v>56</v>
      </c>
      <c r="C580" s="2" t="s">
        <v>6</v>
      </c>
      <c r="D580" s="2">
        <v>120</v>
      </c>
      <c r="E580" s="2"/>
      <c r="F580" s="4" t="str">
        <f>HYPERLINK("./Results/DLO\20181001_1.3.12.2.1107.5.1.4.54310.30000018100323223954600035063_5_512_512_\Osteo_Sarco_1.png","RPT")</f>
        <v>RPT</v>
      </c>
      <c r="G580" s="3">
        <v>116</v>
      </c>
      <c r="H580" s="3"/>
    </row>
    <row r="581" spans="1:8" x14ac:dyDescent="0.3">
      <c r="A581" s="2">
        <v>3179626</v>
      </c>
      <c r="B581" s="2">
        <v>56</v>
      </c>
      <c r="C581" s="2" t="s">
        <v>6</v>
      </c>
      <c r="D581" s="2">
        <v>100</v>
      </c>
      <c r="E581" s="2"/>
      <c r="F581" s="4" t="str">
        <f>HYPERLINK("./Results/DLO\20181001_1.3.12.2.1107.5.1.4.54310.30000018100323223954600034956_3_512_512_\Osteo_Sarco_1.png","RPT")</f>
        <v>RPT</v>
      </c>
      <c r="G581" s="3">
        <v>115</v>
      </c>
      <c r="H581" s="3"/>
    </row>
    <row r="582" spans="1:8" x14ac:dyDescent="0.3">
      <c r="A582" s="2">
        <v>3181128</v>
      </c>
      <c r="B582" s="2">
        <v>57</v>
      </c>
      <c r="C582" s="2" t="s">
        <v>6</v>
      </c>
      <c r="D582" s="2">
        <v>100</v>
      </c>
      <c r="E582" s="2"/>
      <c r="F582" s="4" t="str">
        <f>HYPERLINK("./Results/DLO\20191001_1.3.12.2.1107.5.1.4.54310.30000019101407382498400004064_7_512_512_\Osteo_Sarco_1.png","RPT")</f>
        <v>RPT</v>
      </c>
      <c r="G582" s="3">
        <v>109</v>
      </c>
      <c r="H582" s="3"/>
    </row>
    <row r="583" spans="1:8" x14ac:dyDescent="0.3">
      <c r="A583" s="2">
        <v>3182202</v>
      </c>
      <c r="B583" s="2">
        <v>77</v>
      </c>
      <c r="C583" s="2" t="s">
        <v>5</v>
      </c>
      <c r="D583" s="2">
        <v>100</v>
      </c>
      <c r="E583" s="2"/>
      <c r="F583" s="4" t="str">
        <f>HYPERLINK("./Results/DLO\20180101_1.3.12.2.1107.5.1.4.65253.30000018010823560207700001157_3_512_512_\Osteo_Sarco_1.png","RPT")</f>
        <v>RPT</v>
      </c>
      <c r="G583" s="3">
        <v>106</v>
      </c>
      <c r="H583" s="3"/>
    </row>
    <row r="584" spans="1:8" x14ac:dyDescent="0.3">
      <c r="A584" s="2">
        <v>3182202</v>
      </c>
      <c r="B584" s="2">
        <v>77</v>
      </c>
      <c r="C584" s="2" t="s">
        <v>5</v>
      </c>
      <c r="D584" s="2">
        <v>100</v>
      </c>
      <c r="E584" s="2"/>
      <c r="F584" s="4" t="str">
        <f>HYPERLINK("./Results/DLO\20180101_1.3.12.2.1107.5.1.4.65253.30000018010820054430700019140_2_512_512_\Osteo_Sarco_1.png","RPT")</f>
        <v>RPT</v>
      </c>
      <c r="G584" s="3">
        <v>103</v>
      </c>
      <c r="H584" s="3"/>
    </row>
    <row r="585" spans="1:8" x14ac:dyDescent="0.3">
      <c r="A585" s="2">
        <v>3182476</v>
      </c>
      <c r="B585" s="2">
        <v>69</v>
      </c>
      <c r="C585" s="2" t="s">
        <v>6</v>
      </c>
      <c r="D585" s="2">
        <v>100</v>
      </c>
      <c r="E585" s="2"/>
      <c r="F585" s="4" t="str">
        <f>HYPERLINK("./Results/DLO\20180201_1.3.12.2.1107.5.1.4.54310.30000018013123112864000000999_2_512_512_\Osteo_Sarco_1.png","RPT")</f>
        <v>RPT</v>
      </c>
      <c r="G585" s="3">
        <v>102</v>
      </c>
      <c r="H585" s="3"/>
    </row>
    <row r="586" spans="1:8" x14ac:dyDescent="0.3">
      <c r="A586" s="2">
        <v>3192904</v>
      </c>
      <c r="B586" s="2">
        <v>60</v>
      </c>
      <c r="C586" s="2" t="s">
        <v>6</v>
      </c>
      <c r="D586" s="2">
        <v>100</v>
      </c>
      <c r="E586" s="2"/>
      <c r="F586" s="4" t="str">
        <f>HYPERLINK("./Results/DLO\20190901_1.2.840.113619.2.416.221045669435982723748333980580170535143_310_512_512_\Osteo_Sarco_1.png","RPT")</f>
        <v>RPT</v>
      </c>
      <c r="G586" s="3">
        <v>92</v>
      </c>
      <c r="H586" s="3"/>
    </row>
    <row r="587" spans="1:8" x14ac:dyDescent="0.3">
      <c r="A587" s="2">
        <v>3195319</v>
      </c>
      <c r="B587" s="2">
        <v>48</v>
      </c>
      <c r="C587" s="2" t="s">
        <v>6</v>
      </c>
      <c r="D587" s="2">
        <v>120</v>
      </c>
      <c r="E587" s="2"/>
      <c r="F587" s="4" t="str">
        <f>HYPERLINK("./Results/DLO\20180401_1.3.12.2.1107.5.1.4.65253.30000018040318144835600052353_5_512_512_\Osteo_Sarco_1.png","RPT")</f>
        <v>RPT</v>
      </c>
      <c r="G587" s="3">
        <v>110</v>
      </c>
      <c r="H587" s="3"/>
    </row>
    <row r="588" spans="1:8" x14ac:dyDescent="0.3">
      <c r="A588" s="2">
        <v>3195319</v>
      </c>
      <c r="B588" s="2">
        <v>48</v>
      </c>
      <c r="C588" s="2" t="s">
        <v>6</v>
      </c>
      <c r="D588" s="2">
        <v>120</v>
      </c>
      <c r="E588" s="2"/>
      <c r="F588" s="4" t="str">
        <f>HYPERLINK("./Results/DLO\20180401_1.3.12.2.1107.5.1.4.65253.30000018040318144835600052956_7_512_512_\Osteo_Sarco_1.png","RPT")</f>
        <v>RPT</v>
      </c>
      <c r="G588" s="3">
        <v>108</v>
      </c>
      <c r="H588" s="3"/>
    </row>
    <row r="589" spans="1:8" x14ac:dyDescent="0.3">
      <c r="A589" s="2">
        <v>3195319</v>
      </c>
      <c r="B589" s="2">
        <v>48</v>
      </c>
      <c r="C589" s="2" t="s">
        <v>6</v>
      </c>
      <c r="D589" s="2">
        <v>100</v>
      </c>
      <c r="E589" s="2"/>
      <c r="F589" s="4" t="str">
        <f>HYPERLINK("./Results/DLO\20180401_1.3.12.2.1107.5.1.4.65253.30000018040318144835600052201_2_512_512_\Osteo_Sarco_1.png","RPT")</f>
        <v>RPT</v>
      </c>
      <c r="G589" s="3">
        <v>107</v>
      </c>
      <c r="H589" s="3"/>
    </row>
    <row r="590" spans="1:8" x14ac:dyDescent="0.3">
      <c r="A590" s="2">
        <v>3199464</v>
      </c>
      <c r="B590" s="2">
        <v>68</v>
      </c>
      <c r="C590" s="2" t="s">
        <v>5</v>
      </c>
      <c r="D590" s="2">
        <v>100</v>
      </c>
      <c r="E590" s="2"/>
      <c r="F590" s="4" t="str">
        <f>HYPERLINK("./Results/DLO\20190801_1.3.12.2.1107.5.1.4.54310.30000019081922300476500042205_7_512_512_\Osteo_Sarco_1.png","RPT")</f>
        <v>RPT</v>
      </c>
      <c r="G590" s="3">
        <v>184</v>
      </c>
      <c r="H590" s="3"/>
    </row>
    <row r="591" spans="1:8" x14ac:dyDescent="0.3">
      <c r="A591" s="2">
        <v>3199464</v>
      </c>
      <c r="B591" s="2">
        <v>68</v>
      </c>
      <c r="C591" s="2" t="s">
        <v>5</v>
      </c>
      <c r="D591" s="2">
        <v>100</v>
      </c>
      <c r="E591" s="2"/>
      <c r="F591" s="4" t="str">
        <f>HYPERLINK("./Results/DLO\20190801_1.3.12.2.1107.5.1.4.54310.30000019081922300476500042633_9_512_512_\Osteo_Sarco_1.png","RPT")</f>
        <v>RPT</v>
      </c>
      <c r="G591" s="3">
        <v>184</v>
      </c>
      <c r="H591" s="3"/>
    </row>
    <row r="592" spans="1:8" x14ac:dyDescent="0.3">
      <c r="A592" s="2">
        <v>3199464</v>
      </c>
      <c r="B592" s="2">
        <v>68</v>
      </c>
      <c r="C592" s="2" t="s">
        <v>5</v>
      </c>
      <c r="D592" s="2">
        <v>100</v>
      </c>
      <c r="E592" s="2"/>
      <c r="F592" s="4" t="str">
        <f>HYPERLINK("./Results/DLO\20190801_1.3.12.2.1107.5.1.4.54310.30000019081922300476500041734_3_512_512_\Osteo_Sarco_1.png","RPT")</f>
        <v>RPT</v>
      </c>
      <c r="G592" s="3">
        <v>183</v>
      </c>
      <c r="H592" s="3"/>
    </row>
    <row r="593" spans="1:8" x14ac:dyDescent="0.3">
      <c r="A593" s="2">
        <v>3199464</v>
      </c>
      <c r="B593" s="2">
        <v>68</v>
      </c>
      <c r="C593" s="2" t="s">
        <v>5</v>
      </c>
      <c r="D593" s="2">
        <v>100</v>
      </c>
      <c r="E593" s="2"/>
      <c r="F593" s="4" t="str">
        <f>HYPERLINK("./Results/DLO\20190801_1.3.12.2.1107.5.1.4.54310.30000019081922300476500041829_5_512_512_\Osteo_Sarco_1.png","RPT")</f>
        <v>RPT</v>
      </c>
      <c r="G593" s="3">
        <v>182</v>
      </c>
      <c r="H593" s="3"/>
    </row>
    <row r="594" spans="1:8" x14ac:dyDescent="0.3">
      <c r="A594" s="2">
        <v>3199645</v>
      </c>
      <c r="B594" s="2">
        <v>62</v>
      </c>
      <c r="C594" s="2" t="s">
        <v>6</v>
      </c>
      <c r="D594" s="2">
        <v>100</v>
      </c>
      <c r="E594" s="2"/>
      <c r="F594" s="4" t="str">
        <f>HYPERLINK("./Results/DLO\20190201_1.3.46.670589.33.1.63685822478708461200001.5153312878486458961_201_512_512_\Osteo_Sarco_1.png","RPT")</f>
        <v>RPT</v>
      </c>
      <c r="G594" s="3">
        <v>113</v>
      </c>
      <c r="H594" s="3"/>
    </row>
    <row r="595" spans="1:8" x14ac:dyDescent="0.3">
      <c r="A595" s="2">
        <v>3201710</v>
      </c>
      <c r="B595" s="2">
        <v>61</v>
      </c>
      <c r="C595" s="2" t="s">
        <v>6</v>
      </c>
      <c r="D595" s="2">
        <v>140</v>
      </c>
      <c r="E595" s="2"/>
      <c r="F595" s="4" t="str">
        <f>HYPERLINK("./Results/DLO\20190101_1.2.840.113619.2.416.226161531486770051013183056626852666866_308_512_512_\Osteo_Sarco_1.png","RPT")</f>
        <v>RPT</v>
      </c>
      <c r="G595" s="3">
        <v>95</v>
      </c>
      <c r="H595" s="3"/>
    </row>
    <row r="596" spans="1:8" x14ac:dyDescent="0.3">
      <c r="A596" s="2">
        <v>3201710</v>
      </c>
      <c r="B596" s="2">
        <v>61</v>
      </c>
      <c r="C596" s="2" t="s">
        <v>6</v>
      </c>
      <c r="D596" s="2">
        <v>140</v>
      </c>
      <c r="E596" s="2"/>
      <c r="F596" s="4" t="str">
        <f>HYPERLINK("./Results/DLO\20190101_1.2.840.113619.2.416.185542075930721155418298759000204389997_305_512_512_\Osteo_Sarco_1.png","RPT")</f>
        <v>RPT</v>
      </c>
      <c r="G596" s="3">
        <v>94</v>
      </c>
      <c r="H596" s="3"/>
    </row>
    <row r="597" spans="1:8" x14ac:dyDescent="0.3">
      <c r="A597" s="2">
        <v>3201710</v>
      </c>
      <c r="B597" s="2">
        <v>61</v>
      </c>
      <c r="C597" s="2" t="s">
        <v>6</v>
      </c>
      <c r="D597" s="2">
        <v>140</v>
      </c>
      <c r="E597" s="2"/>
      <c r="F597" s="4" t="str">
        <f>HYPERLINK("./Results/DLO\20190101_1.2.840.113619.2.416.305488451175770166680932755094989575252_303_512_512_\Osteo_Sarco_1.png","RPT")</f>
        <v>RPT</v>
      </c>
      <c r="G597" s="3">
        <v>92</v>
      </c>
      <c r="H597" s="3"/>
    </row>
    <row r="598" spans="1:8" x14ac:dyDescent="0.3">
      <c r="A598" s="2">
        <v>3214132</v>
      </c>
      <c r="B598" s="2">
        <v>74</v>
      </c>
      <c r="C598" s="2" t="s">
        <v>6</v>
      </c>
      <c r="D598" s="2">
        <v>100</v>
      </c>
      <c r="E598" s="2"/>
      <c r="F598" s="4" t="str">
        <f>HYPERLINK("./Results/DLO\20180701_1.3.12.2.1107.5.1.4.65253.30000018071720274464400001394_2_512_512_\Osteo_Sarco_1.png","RPT")</f>
        <v>RPT</v>
      </c>
      <c r="G598" s="3">
        <v>123</v>
      </c>
      <c r="H598" s="3"/>
    </row>
    <row r="599" spans="1:8" x14ac:dyDescent="0.3">
      <c r="A599" s="2">
        <v>3218792</v>
      </c>
      <c r="B599" s="2">
        <v>72</v>
      </c>
      <c r="C599" s="2" t="s">
        <v>5</v>
      </c>
      <c r="D599" s="2">
        <v>120</v>
      </c>
      <c r="E599" s="2"/>
      <c r="F599" s="4" t="str">
        <f>HYPERLINK("./Results/DLO\20181201_1.3.12.2.1107.5.1.4.54310.30000018121923192868700010019_7_512_512_\Osteo_Sarco_1.png","RPT")</f>
        <v>RPT</v>
      </c>
      <c r="G599" s="3">
        <v>138</v>
      </c>
      <c r="H599" s="3"/>
    </row>
    <row r="600" spans="1:8" x14ac:dyDescent="0.3">
      <c r="A600" s="2">
        <v>3218792</v>
      </c>
      <c r="B600" s="2">
        <v>72</v>
      </c>
      <c r="C600" s="2" t="s">
        <v>5</v>
      </c>
      <c r="D600" s="2">
        <v>120</v>
      </c>
      <c r="E600" s="2"/>
      <c r="F600" s="4" t="str">
        <f>HYPERLINK("./Results/DLO\20181201_1.3.12.2.1107.5.1.4.54310.30000018121923192868700010317_9_512_512_\Osteo_Sarco_1.png","RPT")</f>
        <v>RPT</v>
      </c>
      <c r="G600" s="3">
        <v>137</v>
      </c>
      <c r="H600" s="3"/>
    </row>
    <row r="601" spans="1:8" x14ac:dyDescent="0.3">
      <c r="A601" s="2">
        <v>3218792</v>
      </c>
      <c r="B601" s="2">
        <v>72</v>
      </c>
      <c r="C601" s="2" t="s">
        <v>5</v>
      </c>
      <c r="D601" s="2">
        <v>120</v>
      </c>
      <c r="E601" s="2"/>
      <c r="F601" s="4" t="str">
        <f>HYPERLINK("./Results/DLO\20181201_1.3.12.2.1107.5.1.4.54310.30000018121923192868700009630_5_512_512_\Osteo_Sarco_1.png","RPT")</f>
        <v>RPT</v>
      </c>
      <c r="G601" s="3">
        <v>136</v>
      </c>
      <c r="H601" s="3"/>
    </row>
    <row r="602" spans="1:8" x14ac:dyDescent="0.3">
      <c r="A602" s="2">
        <v>3218792</v>
      </c>
      <c r="B602" s="2">
        <v>72</v>
      </c>
      <c r="C602" s="2" t="s">
        <v>5</v>
      </c>
      <c r="D602" s="2">
        <v>100</v>
      </c>
      <c r="E602" s="2"/>
      <c r="F602" s="4" t="str">
        <f>HYPERLINK("./Results/DLO\20181201_1.3.12.2.1107.5.1.4.54310.30000018121923192868700009530_3_512_512_\Osteo_Sarco_1.png","RPT")</f>
        <v>RPT</v>
      </c>
      <c r="G602" s="3">
        <v>135</v>
      </c>
      <c r="H602" s="3"/>
    </row>
    <row r="603" spans="1:8" x14ac:dyDescent="0.3">
      <c r="A603" s="2">
        <v>3228837</v>
      </c>
      <c r="B603" s="2">
        <v>47</v>
      </c>
      <c r="C603" s="2" t="s">
        <v>6</v>
      </c>
      <c r="D603" s="2">
        <v>100</v>
      </c>
      <c r="E603" s="2"/>
      <c r="F603" s="4" t="str">
        <f>HYPERLINK("./Results/DLO\20190901_1.2.840.113619.2.416.332876762818781112004859149585165090121_310_512_512_\Osteo_Sarco_1.png","RPT")</f>
        <v>RPT</v>
      </c>
      <c r="G603" s="3">
        <v>103</v>
      </c>
      <c r="H603" s="3"/>
    </row>
    <row r="604" spans="1:8" x14ac:dyDescent="0.3">
      <c r="A604" s="2">
        <v>3242550</v>
      </c>
      <c r="B604" s="2">
        <v>56</v>
      </c>
      <c r="C604" s="2" t="s">
        <v>5</v>
      </c>
      <c r="D604" s="2">
        <v>100</v>
      </c>
      <c r="E604" s="2"/>
      <c r="F604" s="4" t="str">
        <f>HYPERLINK("./Results/DLO\20181201_1.3.46.670589.33.1.63679776814732138500001.5481823806141728030_201_512_512_\Osteo_Sarco_1.png","RPT")</f>
        <v>RPT</v>
      </c>
      <c r="G604" s="3">
        <v>116</v>
      </c>
      <c r="H604" s="3"/>
    </row>
    <row r="605" spans="1:8" x14ac:dyDescent="0.3">
      <c r="A605" s="2">
        <v>3262421</v>
      </c>
      <c r="B605" s="2">
        <v>47</v>
      </c>
      <c r="C605" s="2" t="s">
        <v>5</v>
      </c>
      <c r="D605" s="2">
        <v>100</v>
      </c>
      <c r="E605" s="2"/>
      <c r="F605" s="4" t="str">
        <f>HYPERLINK("./Results/DLO\20180601_1.3.46.670589.33.1.63663441489181914500001.5125021702768735109_201_512_512_\Osteo_Sarco_1.png","RPT")</f>
        <v>RPT</v>
      </c>
      <c r="G605" s="3">
        <v>172</v>
      </c>
      <c r="H605" s="3"/>
    </row>
    <row r="606" spans="1:8" x14ac:dyDescent="0.3">
      <c r="A606" s="2">
        <v>3265665</v>
      </c>
      <c r="B606" s="2">
        <v>51</v>
      </c>
      <c r="C606" s="2" t="s">
        <v>6</v>
      </c>
      <c r="D606" s="2">
        <v>100</v>
      </c>
      <c r="E606" s="2"/>
      <c r="F606" s="4" t="str">
        <f>HYPERLINK("./Results/DLO\20190401_1.2.840.113619.2.311.313493366460980101526723684407887766639_304_512_512_\Osteo_Sarco_1.png","RPT")</f>
        <v>RPT</v>
      </c>
      <c r="G606" s="3">
        <v>113</v>
      </c>
      <c r="H606" s="3"/>
    </row>
    <row r="607" spans="1:8" x14ac:dyDescent="0.3">
      <c r="A607" s="2">
        <v>3279703</v>
      </c>
      <c r="B607" s="2">
        <v>55</v>
      </c>
      <c r="C607" s="2" t="s">
        <v>6</v>
      </c>
      <c r="D607" s="2">
        <v>100</v>
      </c>
      <c r="E607" s="2"/>
      <c r="F607" s="4" t="str">
        <f>HYPERLINK("./Results/DLO\20190701_1.3.12.2.1107.5.1.4.54310.30000019072121195101500067557_2_512_512_\Osteo_Sarco_1.png","RPT")</f>
        <v>RPT</v>
      </c>
      <c r="G607" s="3">
        <v>110</v>
      </c>
      <c r="H607" s="3"/>
    </row>
    <row r="608" spans="1:8" x14ac:dyDescent="0.3">
      <c r="A608" s="2">
        <v>3283124</v>
      </c>
      <c r="B608" s="2">
        <v>66</v>
      </c>
      <c r="C608" s="2" t="s">
        <v>5</v>
      </c>
      <c r="D608" s="2">
        <v>100</v>
      </c>
      <c r="E608" s="2"/>
      <c r="F608" s="4" t="str">
        <f>HYPERLINK("./Results/DLO\20180101_1.3.12.2.1107.5.1.4.65253.30000018012821101180600004430_3_512_512_\Osteo_Sarco_1.png","RPT")</f>
        <v>RPT</v>
      </c>
      <c r="G608" s="3">
        <v>141</v>
      </c>
      <c r="H608" s="3"/>
    </row>
    <row r="609" spans="1:8" x14ac:dyDescent="0.3">
      <c r="A609" s="2">
        <v>3283124</v>
      </c>
      <c r="B609" s="2">
        <v>66</v>
      </c>
      <c r="C609" s="2" t="s">
        <v>5</v>
      </c>
      <c r="D609" s="2">
        <v>100</v>
      </c>
      <c r="E609" s="2"/>
      <c r="F609" s="4" t="str">
        <f>HYPERLINK("./Results/DLO\20180101_1.3.12.2.1107.5.1.4.65253.30000018012817275651600068993_2_512_512_\Osteo_Sarco_1.png","RPT")</f>
        <v>RPT</v>
      </c>
      <c r="G609" s="3">
        <v>140</v>
      </c>
      <c r="H609" s="3"/>
    </row>
    <row r="610" spans="1:8" x14ac:dyDescent="0.3">
      <c r="A610" s="2">
        <v>3288992</v>
      </c>
      <c r="B610" s="2">
        <v>65</v>
      </c>
      <c r="C610" s="2" t="s">
        <v>5</v>
      </c>
      <c r="D610" s="2">
        <v>120</v>
      </c>
      <c r="E610" s="2"/>
      <c r="F610" s="4" t="str">
        <f>HYPERLINK("./Results/DLO\20180101_1.3.12.2.1107.5.1.4.54310.30000018010423122176500009318_9_512_512_\Osteo_Sarco_1.png","RPT")</f>
        <v>RPT</v>
      </c>
      <c r="G610" s="3">
        <v>180</v>
      </c>
      <c r="H610" s="3"/>
    </row>
    <row r="611" spans="1:8" x14ac:dyDescent="0.3">
      <c r="A611" s="2">
        <v>3288992</v>
      </c>
      <c r="B611" s="2">
        <v>65</v>
      </c>
      <c r="C611" s="2" t="s">
        <v>5</v>
      </c>
      <c r="D611" s="2">
        <v>120</v>
      </c>
      <c r="E611" s="2"/>
      <c r="F611" s="4" t="str">
        <f>HYPERLINK("./Results/DLO\20180101_1.3.12.2.1107.5.1.4.54310.30000018010423122176500009040_7_512_512_\Osteo_Sarco_1.png","RPT")</f>
        <v>RPT</v>
      </c>
      <c r="G611" s="3">
        <v>179</v>
      </c>
      <c r="H611" s="3"/>
    </row>
    <row r="612" spans="1:8" x14ac:dyDescent="0.3">
      <c r="A612" s="2">
        <v>3288992</v>
      </c>
      <c r="B612" s="2">
        <v>65</v>
      </c>
      <c r="C612" s="2" t="s">
        <v>5</v>
      </c>
      <c r="D612" s="2">
        <v>100</v>
      </c>
      <c r="E612" s="2"/>
      <c r="F612" s="4" t="str">
        <f>HYPERLINK("./Results/DLO\20180101_1.3.12.2.1107.5.1.4.54310.30000018010423122176500008607_4_512_512_\Osteo_Sarco_1.png","RPT")</f>
        <v>RPT</v>
      </c>
      <c r="G612" s="3">
        <v>178</v>
      </c>
      <c r="H612" s="3"/>
    </row>
    <row r="613" spans="1:8" x14ac:dyDescent="0.3">
      <c r="A613" s="2">
        <v>3288992</v>
      </c>
      <c r="B613" s="2">
        <v>65</v>
      </c>
      <c r="C613" s="2" t="s">
        <v>5</v>
      </c>
      <c r="D613" s="2">
        <v>120</v>
      </c>
      <c r="E613" s="2"/>
      <c r="F613" s="4" t="str">
        <f>HYPERLINK("./Results/DLO\20180101_1.3.12.2.1107.5.1.4.54310.30000018010423122176500008695_5_512_512_\Osteo_Sarco_1.png","RPT")</f>
        <v>RPT</v>
      </c>
      <c r="G613" s="3">
        <v>177</v>
      </c>
      <c r="H613" s="3"/>
    </row>
    <row r="614" spans="1:8" x14ac:dyDescent="0.3">
      <c r="A614" s="2">
        <v>3300673</v>
      </c>
      <c r="B614" s="2">
        <v>78</v>
      </c>
      <c r="C614" s="2" t="s">
        <v>6</v>
      </c>
      <c r="D614" s="2">
        <v>100</v>
      </c>
      <c r="E614" s="2"/>
      <c r="F614" s="4" t="str">
        <f>HYPERLINK("./Results/DLO\20181001_1.2.840.113619.2.94.485650834948.2.9171315.19945075.1_2_512_512_\Osteo_Sarco_1.png","RPT")</f>
        <v>RPT</v>
      </c>
      <c r="G614" s="3">
        <v>98</v>
      </c>
      <c r="H614" s="3"/>
    </row>
    <row r="615" spans="1:8" x14ac:dyDescent="0.3">
      <c r="A615" s="2">
        <v>3307240</v>
      </c>
      <c r="B615" s="2">
        <v>58</v>
      </c>
      <c r="C615" s="2" t="s">
        <v>5</v>
      </c>
      <c r="D615" s="2">
        <v>100</v>
      </c>
      <c r="E615" s="2"/>
      <c r="F615" s="4" t="str">
        <f>HYPERLINK("./Results/DLO\20190901_1.3.46.670589.33.1.63703030441747084500001.5250460237870808220_201_512_512_\Osteo_Sarco_1.png","RPT")</f>
        <v>RPT</v>
      </c>
      <c r="G615" s="3">
        <v>117</v>
      </c>
      <c r="H615" s="3"/>
    </row>
    <row r="616" spans="1:8" x14ac:dyDescent="0.3">
      <c r="A616" s="2">
        <v>3312271</v>
      </c>
      <c r="B616" s="2">
        <v>51</v>
      </c>
      <c r="C616" s="2" t="s">
        <v>5</v>
      </c>
      <c r="D616" s="2">
        <v>100</v>
      </c>
      <c r="E616" s="2"/>
      <c r="F616" s="4" t="str">
        <f>HYPERLINK("./Results/DLO\20190301_1.3.12.2.1107.5.1.4.54310.30000019030723310753100012312_3_512_512_\Osteo_Sarco_1.png","RPT")</f>
        <v>RPT</v>
      </c>
      <c r="G616" s="3">
        <v>173</v>
      </c>
      <c r="H616" s="3"/>
    </row>
    <row r="617" spans="1:8" x14ac:dyDescent="0.3">
      <c r="A617" s="2">
        <v>3312271</v>
      </c>
      <c r="B617" s="2">
        <v>51</v>
      </c>
      <c r="C617" s="2" t="s">
        <v>5</v>
      </c>
      <c r="D617" s="2">
        <v>100</v>
      </c>
      <c r="E617" s="2"/>
      <c r="F617" s="4" t="str">
        <f>HYPERLINK("./Results/DLO\20190301_1.3.12.2.1107.5.1.4.54310.30000019030723310753100012161_2_512_512_\Osteo_Sarco_1.png","RPT")</f>
        <v>RPT</v>
      </c>
      <c r="G617" s="3">
        <v>171</v>
      </c>
      <c r="H617" s="3"/>
    </row>
    <row r="618" spans="1:8" x14ac:dyDescent="0.3">
      <c r="A618" s="2">
        <v>3330200</v>
      </c>
      <c r="B618" s="2">
        <v>70</v>
      </c>
      <c r="C618" s="2" t="s">
        <v>5</v>
      </c>
      <c r="D618" s="2">
        <v>100</v>
      </c>
      <c r="E618" s="2"/>
      <c r="F618" s="4" t="str">
        <f>HYPERLINK("./Results/DLO\20190201_1.3.46.670589.33.1.63685756120435110200001.5406846732075347429_201_512_512_\Osteo_Sarco_1.png","RPT")</f>
        <v>RPT</v>
      </c>
      <c r="G618" s="3">
        <v>173</v>
      </c>
      <c r="H618" s="3"/>
    </row>
    <row r="619" spans="1:8" x14ac:dyDescent="0.3">
      <c r="A619" s="2">
        <v>3330200</v>
      </c>
      <c r="B619" s="2">
        <v>70</v>
      </c>
      <c r="C619" s="2" t="s">
        <v>5</v>
      </c>
      <c r="D619" s="2">
        <v>100</v>
      </c>
      <c r="E619" s="2"/>
      <c r="F619" s="4" t="str">
        <f>HYPERLINK("./Results/DLO\20190201_1.3.46.670589.33.1.63685756367550244400001.4930158250922472500_701_512_512_\Osteo_Sarco_1.png","RPT")</f>
        <v>RPT</v>
      </c>
      <c r="G619" s="3">
        <v>172</v>
      </c>
      <c r="H619" s="3"/>
    </row>
    <row r="620" spans="1:8" x14ac:dyDescent="0.3">
      <c r="A620" s="2">
        <v>3330200</v>
      </c>
      <c r="B620" s="2">
        <v>70</v>
      </c>
      <c r="C620" s="2" t="s">
        <v>5</v>
      </c>
      <c r="D620" s="2">
        <v>100</v>
      </c>
      <c r="E620" s="2"/>
      <c r="F620" s="4" t="str">
        <f>HYPERLINK("./Results/DLO\20190201_1.3.46.670589.33.1.63685756261823197200001.4973944091004822080_601_512_512_\Osteo_Sarco_1.png","RPT")</f>
        <v>RPT</v>
      </c>
      <c r="G620" s="3">
        <v>168</v>
      </c>
      <c r="H620" s="3"/>
    </row>
    <row r="621" spans="1:8" x14ac:dyDescent="0.3">
      <c r="A621" s="2">
        <v>3330200</v>
      </c>
      <c r="B621" s="2">
        <v>70</v>
      </c>
      <c r="C621" s="2" t="s">
        <v>5</v>
      </c>
      <c r="D621" s="2">
        <v>100</v>
      </c>
      <c r="E621" s="2"/>
      <c r="F621" s="4" t="str">
        <f>HYPERLINK("./Results/DLO\20190201_1.3.46.670589.33.1.63685756205435972000001.5023518055279474837_501_512_512_\Osteo_Sarco_1.png","RPT")</f>
        <v>RPT</v>
      </c>
      <c r="G621" s="3">
        <v>167</v>
      </c>
      <c r="H621" s="3"/>
    </row>
    <row r="622" spans="1:8" x14ac:dyDescent="0.3">
      <c r="A622" s="2">
        <v>3332411</v>
      </c>
      <c r="B622" s="2">
        <v>69</v>
      </c>
      <c r="C622" s="2" t="s">
        <v>5</v>
      </c>
      <c r="D622" s="2">
        <v>100</v>
      </c>
      <c r="E622" s="2"/>
      <c r="F622" s="4" t="str">
        <f>HYPERLINK("./Results/DLO\20180901_1.3.12.2.1107.5.1.4.65253.30000018092221102831000012463_3_512_512_\Osteo_Sarco_1.png","RPT")</f>
        <v>RPT</v>
      </c>
      <c r="G622" s="3">
        <v>126</v>
      </c>
      <c r="H622" s="3"/>
    </row>
    <row r="623" spans="1:8" x14ac:dyDescent="0.3">
      <c r="A623" s="2">
        <v>3332411</v>
      </c>
      <c r="B623" s="2">
        <v>69</v>
      </c>
      <c r="C623" s="2" t="s">
        <v>5</v>
      </c>
      <c r="D623" s="2">
        <v>100</v>
      </c>
      <c r="E623" s="2"/>
      <c r="F623" s="4" t="str">
        <f>HYPERLINK("./Results/DLO\20180901_1.3.12.2.1107.5.1.4.65253.30000018092221102831000012311_2_512_512_\Osteo_Sarco_1.png","RPT")</f>
        <v>RPT</v>
      </c>
      <c r="G623" s="3">
        <v>125</v>
      </c>
      <c r="H623" s="3"/>
    </row>
    <row r="624" spans="1:8" x14ac:dyDescent="0.3">
      <c r="A624" s="2">
        <v>3334419</v>
      </c>
      <c r="B624" s="2">
        <v>62</v>
      </c>
      <c r="C624" s="2" t="s">
        <v>5</v>
      </c>
      <c r="D624" s="2">
        <v>120</v>
      </c>
      <c r="E624" s="2"/>
      <c r="F624" s="4" t="str">
        <f>HYPERLINK("./Results/DLO\20180201_1.3.12.2.1107.5.1.4.54310.30000018022123092040600003821_9_512_512_\Osteo_Sarco_1.png","RPT")</f>
        <v>RPT</v>
      </c>
      <c r="G624" s="3">
        <v>154</v>
      </c>
      <c r="H624" s="3"/>
    </row>
    <row r="625" spans="1:8" x14ac:dyDescent="0.3">
      <c r="A625" s="2">
        <v>3334419</v>
      </c>
      <c r="B625" s="2">
        <v>62</v>
      </c>
      <c r="C625" s="2" t="s">
        <v>5</v>
      </c>
      <c r="D625" s="2">
        <v>120</v>
      </c>
      <c r="E625" s="2"/>
      <c r="F625" s="4" t="str">
        <f>HYPERLINK("./Results/DLO\20180201_1.3.12.2.1107.5.1.4.54310.30000018022123092040600003244_5_512_512_\Osteo_Sarco_1.png","RPT")</f>
        <v>RPT</v>
      </c>
      <c r="G625" s="3">
        <v>151</v>
      </c>
      <c r="H625" s="3"/>
    </row>
    <row r="626" spans="1:8" x14ac:dyDescent="0.3">
      <c r="A626" s="2">
        <v>3334419</v>
      </c>
      <c r="B626" s="2">
        <v>62</v>
      </c>
      <c r="C626" s="2" t="s">
        <v>5</v>
      </c>
      <c r="D626" s="2">
        <v>100</v>
      </c>
      <c r="E626" s="2"/>
      <c r="F626" s="4" t="str">
        <f>HYPERLINK("./Results/DLO\20180201_1.3.12.2.1107.5.1.4.54310.30000018022123092040600003162_3_512_512_\Osteo_Sarco_1.png","RPT")</f>
        <v>RPT</v>
      </c>
      <c r="G626" s="3">
        <v>149</v>
      </c>
      <c r="H626" s="3"/>
    </row>
    <row r="627" spans="1:8" x14ac:dyDescent="0.3">
      <c r="A627" s="2">
        <v>3334419</v>
      </c>
      <c r="B627" s="2">
        <v>62</v>
      </c>
      <c r="C627" s="2" t="s">
        <v>5</v>
      </c>
      <c r="D627" s="2">
        <v>120</v>
      </c>
      <c r="E627" s="2"/>
      <c r="F627" s="4" t="str">
        <f>HYPERLINK("./Results/DLO\20180201_1.3.12.2.1107.5.1.4.54310.30000018022123092040600003561_7_512_512_\Osteo_Sarco_1.png","RPT")</f>
        <v>RPT</v>
      </c>
      <c r="G627" s="3">
        <v>147</v>
      </c>
      <c r="H627" s="3"/>
    </row>
    <row r="628" spans="1:8" x14ac:dyDescent="0.3">
      <c r="A628" s="2">
        <v>3340021</v>
      </c>
      <c r="B628" s="2">
        <v>66</v>
      </c>
      <c r="C628" s="2" t="s">
        <v>6</v>
      </c>
      <c r="D628" s="2">
        <v>100</v>
      </c>
      <c r="E628" s="2"/>
      <c r="F628" s="4" t="str">
        <f>HYPERLINK("./Results/DLO\20180301_1.3.12.2.1107.5.1.4.54310.30000018030623114193700018437_2_512_512_\Osteo_Sarco_1.png","RPT")</f>
        <v>RPT</v>
      </c>
      <c r="G628" s="3">
        <v>97</v>
      </c>
      <c r="H628" s="3"/>
    </row>
    <row r="629" spans="1:8" x14ac:dyDescent="0.3">
      <c r="A629" s="2">
        <v>3344618</v>
      </c>
      <c r="B629" s="2">
        <v>66</v>
      </c>
      <c r="C629" s="2" t="s">
        <v>5</v>
      </c>
      <c r="D629" s="2">
        <v>100</v>
      </c>
      <c r="E629" s="2"/>
      <c r="F629" s="4" t="str">
        <f>HYPERLINK("./Results/DLO\20190301_1.3.46.670589.33.1.63687998580400401000001.5644704937931272200_301_512_512_\Osteo_Sarco_1.png","RPT")</f>
        <v>RPT</v>
      </c>
      <c r="G629" s="3">
        <v>169</v>
      </c>
      <c r="H629" s="3"/>
    </row>
    <row r="630" spans="1:8" x14ac:dyDescent="0.3">
      <c r="A630" s="2">
        <v>3344618</v>
      </c>
      <c r="B630" s="2">
        <v>66</v>
      </c>
      <c r="C630" s="2" t="s">
        <v>5</v>
      </c>
      <c r="D630" s="2">
        <v>100</v>
      </c>
      <c r="E630" s="2"/>
      <c r="F630" s="4" t="str">
        <f>HYPERLINK("./Results/DLO\20190301_1.3.46.670589.33.1.63687998439836361200001.5762896598361634052_201_512_512_\Osteo_Sarco_1.png","RPT")</f>
        <v>RPT</v>
      </c>
      <c r="G630" s="3">
        <v>166</v>
      </c>
      <c r="H630" s="3"/>
    </row>
    <row r="631" spans="1:8" x14ac:dyDescent="0.3">
      <c r="A631" s="2">
        <v>3350154</v>
      </c>
      <c r="B631" s="2">
        <v>59</v>
      </c>
      <c r="C631" s="2" t="s">
        <v>6</v>
      </c>
      <c r="D631" s="2">
        <v>100</v>
      </c>
      <c r="E631" s="2"/>
      <c r="F631" s="4" t="str">
        <f>HYPERLINK("./Results/DLO\20180201_1.3.46.670589.33.1.63654982326665645700001.4682489271572773755_301_512_512_\Osteo_Sarco_1.png","RPT")</f>
        <v>RPT</v>
      </c>
      <c r="G631" s="3">
        <v>116</v>
      </c>
      <c r="H631" s="3"/>
    </row>
    <row r="632" spans="1:8" x14ac:dyDescent="0.3">
      <c r="A632" s="2">
        <v>3350154</v>
      </c>
      <c r="B632" s="2">
        <v>59</v>
      </c>
      <c r="C632" s="2" t="s">
        <v>6</v>
      </c>
      <c r="D632" s="2">
        <v>100</v>
      </c>
      <c r="E632" s="2"/>
      <c r="F632" s="4" t="str">
        <f>HYPERLINK("./Results/DLO\20180201_1.3.46.670589.33.1.63654982183722469800001.5345385589393425314_201_512_512_\Osteo_Sarco_1.png","RPT")</f>
        <v>RPT</v>
      </c>
      <c r="G632" s="3">
        <v>113</v>
      </c>
      <c r="H632" s="3"/>
    </row>
    <row r="633" spans="1:8" x14ac:dyDescent="0.3">
      <c r="A633" s="2">
        <v>3358370</v>
      </c>
      <c r="B633" s="2">
        <v>56</v>
      </c>
      <c r="C633" s="2" t="s">
        <v>6</v>
      </c>
      <c r="D633" s="2">
        <v>140</v>
      </c>
      <c r="E633" s="2"/>
      <c r="F633" s="4" t="str">
        <f>HYPERLINK("./Results/DLO\20180701_1.2.840.113619.2.416.76061786484018844903866954298726206367_303_512_512_\Osteo_Sarco_1.png","RPT")</f>
        <v>RPT</v>
      </c>
      <c r="G633" s="3">
        <v>91</v>
      </c>
      <c r="H633" s="3"/>
    </row>
    <row r="634" spans="1:8" x14ac:dyDescent="0.3">
      <c r="A634" s="2">
        <v>3358370</v>
      </c>
      <c r="B634" s="2">
        <v>56</v>
      </c>
      <c r="C634" s="2" t="s">
        <v>6</v>
      </c>
      <c r="D634" s="2">
        <v>140</v>
      </c>
      <c r="E634" s="2"/>
      <c r="F634" s="4" t="str">
        <f>HYPERLINK("./Results/DLO\20180701_1.2.840.113619.2.416.254310846999202049892126844694533774062_308_512_512_\Osteo_Sarco_1.png","RPT")</f>
        <v>RPT</v>
      </c>
      <c r="G634" s="3">
        <v>90</v>
      </c>
      <c r="H634" s="3"/>
    </row>
    <row r="635" spans="1:8" x14ac:dyDescent="0.3">
      <c r="A635" s="2">
        <v>3358370</v>
      </c>
      <c r="B635" s="2">
        <v>56</v>
      </c>
      <c r="C635" s="2" t="s">
        <v>6</v>
      </c>
      <c r="D635" s="2">
        <v>140</v>
      </c>
      <c r="E635" s="2"/>
      <c r="F635" s="4" t="str">
        <f>HYPERLINK("./Results/DLO\20180701_1.2.840.113619.2.416.272317324662805640029595861650630771824_305_512_512_\Osteo_Sarco_1.png","RPT")</f>
        <v>RPT</v>
      </c>
      <c r="G635" s="3">
        <v>86</v>
      </c>
      <c r="H635" s="3"/>
    </row>
    <row r="636" spans="1:8" x14ac:dyDescent="0.3">
      <c r="A636" s="2">
        <v>3358370</v>
      </c>
      <c r="B636" s="2">
        <v>56</v>
      </c>
      <c r="C636" s="2" t="s">
        <v>6</v>
      </c>
      <c r="D636" s="2">
        <v>140</v>
      </c>
      <c r="E636" s="2"/>
      <c r="F636" s="4" t="str">
        <f>HYPERLINK("./Results/DLO\20180701_1.2.840.113619.2.416.33989741012567391388793638537520044947_301_512_512_\Osteo_Sarco_1.png","RPT")</f>
        <v>RPT</v>
      </c>
      <c r="G636" s="3">
        <v>85</v>
      </c>
      <c r="H636" s="3"/>
    </row>
    <row r="637" spans="1:8" x14ac:dyDescent="0.3">
      <c r="A637" s="2">
        <v>3360184</v>
      </c>
      <c r="B637" s="2">
        <v>91</v>
      </c>
      <c r="C637" s="2" t="s">
        <v>6</v>
      </c>
      <c r="D637" s="2">
        <v>100</v>
      </c>
      <c r="E637" s="2"/>
      <c r="F637" s="4" t="str">
        <f>HYPERLINK("./Results/DLO\20190801_1.3.12.2.1107.5.1.4.65253.30000019080319364173000073313_5_512_512_\Osteo_Sarco_1.png","RPT")</f>
        <v>RPT</v>
      </c>
      <c r="G637" s="3">
        <v>93</v>
      </c>
      <c r="H637" s="3"/>
    </row>
    <row r="638" spans="1:8" x14ac:dyDescent="0.3">
      <c r="A638" s="2">
        <v>3360184</v>
      </c>
      <c r="B638" s="2">
        <v>91</v>
      </c>
      <c r="C638" s="2" t="s">
        <v>6</v>
      </c>
      <c r="D638" s="2">
        <v>100</v>
      </c>
      <c r="E638" s="2"/>
      <c r="F638" s="4" t="str">
        <f>HYPERLINK("./Results/DLO\20190801_1.3.12.2.1107.5.1.4.65253.30000019080319364173000073070_3_512_512_\Osteo_Sarco_1.png","RPT")</f>
        <v>RPT</v>
      </c>
      <c r="G638" s="3">
        <v>88</v>
      </c>
      <c r="H638" s="3"/>
    </row>
    <row r="639" spans="1:8" x14ac:dyDescent="0.3">
      <c r="A639" s="2">
        <v>3360184</v>
      </c>
      <c r="B639" s="2">
        <v>91</v>
      </c>
      <c r="C639" s="2" t="s">
        <v>6</v>
      </c>
      <c r="D639" s="2">
        <v>100</v>
      </c>
      <c r="E639" s="2"/>
      <c r="F639" s="4" t="str">
        <f>HYPERLINK("./Results/DLO\20190801_1.3.12.2.1107.5.1.4.65253.30000019080319364173000072945_2_512_512_\Osteo_Sarco_1.png","RPT")</f>
        <v>RPT</v>
      </c>
      <c r="G639" s="3">
        <v>87</v>
      </c>
      <c r="H639" s="3"/>
    </row>
    <row r="640" spans="1:8" x14ac:dyDescent="0.3">
      <c r="A640" s="2">
        <v>3360661</v>
      </c>
      <c r="B640" s="2">
        <v>69</v>
      </c>
      <c r="C640" s="2" t="s">
        <v>6</v>
      </c>
      <c r="D640" s="2">
        <v>140</v>
      </c>
      <c r="E640" s="2"/>
      <c r="F640" s="4" t="str">
        <f>HYPERLINK("./Results/DLO\20190601_1.2.840.113619.2.416.156457028226605988717119227353678696807_303_512_512_\Osteo_Sarco_1.png","RPT")</f>
        <v>RPT</v>
      </c>
      <c r="G640" s="3">
        <v>129</v>
      </c>
      <c r="H640" s="3"/>
    </row>
    <row r="641" spans="1:8" x14ac:dyDescent="0.3">
      <c r="A641" s="2">
        <v>3360661</v>
      </c>
      <c r="B641" s="2">
        <v>69</v>
      </c>
      <c r="C641" s="2" t="s">
        <v>6</v>
      </c>
      <c r="D641" s="2">
        <v>140</v>
      </c>
      <c r="E641" s="2"/>
      <c r="F641" s="4" t="str">
        <f>HYPERLINK("./Results/DLO\20190601_1.2.840.113619.2.416.117147531664087747868706773062883625989_302_512_512_\Osteo_Sarco_1.png","RPT")</f>
        <v>RPT</v>
      </c>
      <c r="G641" s="3">
        <v>126</v>
      </c>
      <c r="H641" s="3"/>
    </row>
    <row r="642" spans="1:8" x14ac:dyDescent="0.3">
      <c r="A642" s="2">
        <v>3362231</v>
      </c>
      <c r="B642" s="2">
        <v>59</v>
      </c>
      <c r="C642" s="2" t="s">
        <v>5</v>
      </c>
      <c r="D642" s="2">
        <v>120</v>
      </c>
      <c r="E642" s="2"/>
      <c r="F642" s="4" t="str">
        <f>HYPERLINK("./Results/DLO\20180801_1.2.840.113619.2.416.42781214787344549225624419635558587970_2_512_512_\Osteo_Sarco_1.png","RPT")</f>
        <v>RPT</v>
      </c>
      <c r="G642" s="3">
        <v>139</v>
      </c>
      <c r="H642" s="3"/>
    </row>
    <row r="643" spans="1:8" x14ac:dyDescent="0.3">
      <c r="A643" s="2">
        <v>3362231</v>
      </c>
      <c r="B643" s="2">
        <v>59</v>
      </c>
      <c r="C643" s="2" t="s">
        <v>5</v>
      </c>
      <c r="D643" s="2">
        <v>140</v>
      </c>
      <c r="E643" s="2"/>
      <c r="F643" s="4" t="str">
        <f>HYPERLINK("./Results/DLO\20180801_1.2.840.113619.2.416.22823052977516502183477376823024285401_302_512_512_\Osteo_Sarco_1.png","RPT")</f>
        <v>RPT</v>
      </c>
      <c r="G643" s="3">
        <v>137</v>
      </c>
      <c r="H643" s="3"/>
    </row>
    <row r="644" spans="1:8" x14ac:dyDescent="0.3">
      <c r="A644" s="2">
        <v>3362457</v>
      </c>
      <c r="B644" s="2">
        <v>59</v>
      </c>
      <c r="C644" s="2" t="s">
        <v>5</v>
      </c>
      <c r="D644" s="2">
        <v>100</v>
      </c>
      <c r="E644" s="2"/>
      <c r="F644" s="4" t="str">
        <f>HYPERLINK("./Results/DLO\20190201_1.3.46.670589.33.1.63686861451619042400001.5173329365243563580_201_512_512_\Osteo_Sarco_1.png","RPT")</f>
        <v>RPT</v>
      </c>
      <c r="G644" s="3">
        <v>175</v>
      </c>
      <c r="H644" s="3"/>
    </row>
    <row r="645" spans="1:8" x14ac:dyDescent="0.3">
      <c r="A645" s="2">
        <v>3368722</v>
      </c>
      <c r="B645" s="2">
        <v>52</v>
      </c>
      <c r="C645" s="2" t="s">
        <v>5</v>
      </c>
      <c r="D645" s="2">
        <v>100</v>
      </c>
      <c r="E645" s="2"/>
      <c r="F645" s="4" t="str">
        <f>HYPERLINK("./Results/DLO\20200201_1.3.46.670589.33.1.63717101951511247100001.4972272330374077008_301_512_512_\Osteo_Sarco_1.png","RPT")</f>
        <v>RPT</v>
      </c>
      <c r="G645" s="3">
        <v>217</v>
      </c>
      <c r="H645" s="3"/>
    </row>
    <row r="646" spans="1:8" x14ac:dyDescent="0.3">
      <c r="A646" s="2">
        <v>3368722</v>
      </c>
      <c r="B646" s="2">
        <v>52</v>
      </c>
      <c r="C646" s="2" t="s">
        <v>5</v>
      </c>
      <c r="D646" s="2">
        <v>100</v>
      </c>
      <c r="E646" s="2"/>
      <c r="F646" s="4" t="str">
        <f>HYPERLINK("./Results/DLO\20200201_1.3.46.670589.33.1.63717101832632447600001.5620558927477462730_201_512_512_\Osteo_Sarco_1.png","RPT")</f>
        <v>RPT</v>
      </c>
      <c r="G646" s="3">
        <v>216</v>
      </c>
      <c r="H646" s="3"/>
    </row>
    <row r="647" spans="1:8" x14ac:dyDescent="0.3">
      <c r="A647" s="2">
        <v>3375239</v>
      </c>
      <c r="B647" s="2">
        <v>69</v>
      </c>
      <c r="C647" s="2" t="s">
        <v>6</v>
      </c>
      <c r="D647" s="2">
        <v>140</v>
      </c>
      <c r="E647" s="2"/>
      <c r="F647" s="4" t="str">
        <f>HYPERLINK("./Results/DLO\20180701_1.2.840.113619.2.416.300091469052774884773870443359600431254_308_512_512_\Osteo_Sarco_1.png","RPT")</f>
        <v>RPT</v>
      </c>
      <c r="G647" s="3">
        <v>113</v>
      </c>
      <c r="H647" s="3"/>
    </row>
    <row r="648" spans="1:8" x14ac:dyDescent="0.3">
      <c r="A648" s="2">
        <v>3375239</v>
      </c>
      <c r="B648" s="2">
        <v>69</v>
      </c>
      <c r="C648" s="2" t="s">
        <v>6</v>
      </c>
      <c r="D648" s="2">
        <v>140</v>
      </c>
      <c r="E648" s="2"/>
      <c r="F648" s="4" t="str">
        <f>HYPERLINK("./Results/DLO\20180701_1.2.840.113619.2.416.103284467634559510357998502126984977363_305_512_512_\Osteo_Sarco_1.png","RPT")</f>
        <v>RPT</v>
      </c>
      <c r="G648" s="3">
        <v>112</v>
      </c>
      <c r="H648" s="3"/>
    </row>
    <row r="649" spans="1:8" x14ac:dyDescent="0.3">
      <c r="A649" s="2">
        <v>3375239</v>
      </c>
      <c r="B649" s="2">
        <v>69</v>
      </c>
      <c r="C649" s="2" t="s">
        <v>6</v>
      </c>
      <c r="D649" s="2">
        <v>140</v>
      </c>
      <c r="E649" s="2"/>
      <c r="F649" s="4" t="str">
        <f>HYPERLINK("./Results/DLO\20180701_1.2.840.113619.2.416.110729025715186965308376065259609229722_301_512_512_\Osteo_Sarco_1.png","RPT")</f>
        <v>RPT</v>
      </c>
      <c r="G649" s="3">
        <v>106</v>
      </c>
      <c r="H649" s="3"/>
    </row>
    <row r="650" spans="1:8" x14ac:dyDescent="0.3">
      <c r="A650" s="2">
        <v>3375239</v>
      </c>
      <c r="B650" s="2">
        <v>69</v>
      </c>
      <c r="C650" s="2" t="s">
        <v>6</v>
      </c>
      <c r="D650" s="2">
        <v>140</v>
      </c>
      <c r="E650" s="2"/>
      <c r="F650" s="4" t="str">
        <f>HYPERLINK("./Results/DLO\20180701_1.2.840.113619.2.416.319834160773161527564186747832290547642_303_512_512_\Osteo_Sarco_1.png","RPT")</f>
        <v>RPT</v>
      </c>
      <c r="G650" s="3">
        <v>95</v>
      </c>
      <c r="H650" s="3"/>
    </row>
    <row r="651" spans="1:8" x14ac:dyDescent="0.3">
      <c r="A651" s="2">
        <v>3375617</v>
      </c>
      <c r="B651" s="2">
        <v>70</v>
      </c>
      <c r="C651" s="2" t="s">
        <v>6</v>
      </c>
      <c r="D651" s="2">
        <v>100</v>
      </c>
      <c r="E651" s="2"/>
      <c r="F651" s="4" t="str">
        <f>HYPERLINK("./Results/DLO\20180801_1.2.840.113619.2.416.219644516753919967614822264004661298111_304_512_512_\Osteo_Sarco_1.png","RPT")</f>
        <v>RPT</v>
      </c>
      <c r="G651" s="3">
        <v>118</v>
      </c>
      <c r="H651" s="3"/>
    </row>
    <row r="652" spans="1:8" x14ac:dyDescent="0.3">
      <c r="A652" s="2">
        <v>3377027</v>
      </c>
      <c r="B652" s="2">
        <v>70</v>
      </c>
      <c r="C652" s="2" t="s">
        <v>5</v>
      </c>
      <c r="D652" s="2">
        <v>140</v>
      </c>
      <c r="E652" s="2"/>
      <c r="F652" s="4" t="str">
        <f>HYPERLINK("./Results/DLO\20180501_1.2.840.113619.2.416.191886807442970604683233521674235126700_303_512_512_\Osteo_Sarco_1.png","RPT")</f>
        <v>RPT</v>
      </c>
      <c r="G652" s="3">
        <v>138</v>
      </c>
      <c r="H652" s="3"/>
    </row>
    <row r="653" spans="1:8" x14ac:dyDescent="0.3">
      <c r="A653" s="2">
        <v>3377027</v>
      </c>
      <c r="B653" s="2">
        <v>70</v>
      </c>
      <c r="C653" s="2" t="s">
        <v>5</v>
      </c>
      <c r="D653" s="2">
        <v>140</v>
      </c>
      <c r="E653" s="2"/>
      <c r="F653" s="4" t="str">
        <f>HYPERLINK("./Results/DLO\20180501_1.2.840.113619.2.416.199808491185071034307362498384939111185_302_512_512_\Osteo_Sarco_1.png","RPT")</f>
        <v>RPT</v>
      </c>
      <c r="G653" s="3">
        <v>136</v>
      </c>
      <c r="H653" s="3"/>
    </row>
    <row r="654" spans="1:8" x14ac:dyDescent="0.3">
      <c r="A654" s="2">
        <v>3382302</v>
      </c>
      <c r="B654" s="2">
        <v>50</v>
      </c>
      <c r="C654" s="2" t="s">
        <v>5</v>
      </c>
      <c r="D654" s="2">
        <v>120</v>
      </c>
      <c r="E654" s="2"/>
      <c r="F654" s="4" t="str">
        <f>HYPERLINK("./Results/DLO\20180201_1.2.392.200036.9116.2.5.1.37.2418752317.1518570058.288626_3_512_512_\Osteo_Sarco_1.png","RPT")</f>
        <v>RPT</v>
      </c>
      <c r="G654" s="3">
        <v>133</v>
      </c>
      <c r="H654" s="3"/>
    </row>
    <row r="655" spans="1:8" x14ac:dyDescent="0.3">
      <c r="A655" s="2">
        <v>3382302</v>
      </c>
      <c r="B655" s="2">
        <v>50</v>
      </c>
      <c r="C655" s="2" t="s">
        <v>5</v>
      </c>
      <c r="D655" s="2">
        <v>120</v>
      </c>
      <c r="E655" s="2"/>
      <c r="F655" s="4" t="str">
        <f>HYPERLINK("./Results/DLO\20180201_1.2.392.200036.9116.2.5.1.37.2418752317.1518569888.281867_2_512_512_\Osteo_Sarco_1.png","RPT")</f>
        <v>RPT</v>
      </c>
      <c r="G655" s="3">
        <v>131</v>
      </c>
      <c r="H655" s="3"/>
    </row>
    <row r="656" spans="1:8" x14ac:dyDescent="0.3">
      <c r="A656" s="2">
        <v>3399499</v>
      </c>
      <c r="B656" s="2">
        <v>67</v>
      </c>
      <c r="C656" s="2" t="s">
        <v>5</v>
      </c>
      <c r="D656" s="2">
        <v>140</v>
      </c>
      <c r="E656" s="2"/>
      <c r="F656" s="4" t="str">
        <f>HYPERLINK("./Results/DLO\20191101_1.2.840.113619.2.416.272954220319125470841154063793368492123_302_512_512_\Osteo_Sarco_1.png","RPT")</f>
        <v>RPT</v>
      </c>
      <c r="G656" s="3">
        <v>146</v>
      </c>
      <c r="H656" s="3"/>
    </row>
    <row r="657" spans="1:8" x14ac:dyDescent="0.3">
      <c r="A657" s="2">
        <v>3399499</v>
      </c>
      <c r="B657" s="2">
        <v>67</v>
      </c>
      <c r="C657" s="2" t="s">
        <v>5</v>
      </c>
      <c r="D657" s="2">
        <v>140</v>
      </c>
      <c r="E657" s="2"/>
      <c r="F657" s="4" t="str">
        <f>HYPERLINK("./Results/DLO\20191101_1.2.840.113619.2.416.5589052666531055594788191859495283939_303_512_512_\Osteo_Sarco_1.png","RPT")</f>
        <v>RPT</v>
      </c>
      <c r="G657" s="3">
        <v>133</v>
      </c>
      <c r="H657" s="3"/>
    </row>
    <row r="658" spans="1:8" x14ac:dyDescent="0.3">
      <c r="A658" s="2">
        <v>3399551</v>
      </c>
      <c r="B658" s="2">
        <v>60</v>
      </c>
      <c r="C658" s="2" t="s">
        <v>6</v>
      </c>
      <c r="D658" s="2">
        <v>100</v>
      </c>
      <c r="E658" s="2"/>
      <c r="F658" s="4" t="str">
        <f>HYPERLINK("./Results/DLO\20180301_1.3.12.2.1107.5.1.4.54310.30000018030223453910900000682_7_512_512_\Osteo_Sarco_1.png","RPT")</f>
        <v>RPT</v>
      </c>
      <c r="G658" s="3">
        <v>119</v>
      </c>
      <c r="H658" s="3"/>
    </row>
    <row r="659" spans="1:8" x14ac:dyDescent="0.3">
      <c r="A659" s="2">
        <v>3399551</v>
      </c>
      <c r="B659" s="2">
        <v>60</v>
      </c>
      <c r="C659" s="2" t="s">
        <v>6</v>
      </c>
      <c r="D659" s="2">
        <v>100</v>
      </c>
      <c r="E659" s="2"/>
      <c r="F659" s="4" t="str">
        <f>HYPERLINK("./Results/DLO\20180301_1.3.12.2.1107.5.1.4.54310.30000018030223453910900001020_9_512_512_\Osteo_Sarco_1.png","RPT")</f>
        <v>RPT</v>
      </c>
      <c r="G659" s="3">
        <v>119</v>
      </c>
      <c r="H659" s="3"/>
    </row>
    <row r="660" spans="1:8" x14ac:dyDescent="0.3">
      <c r="A660" s="2">
        <v>3399551</v>
      </c>
      <c r="B660" s="2">
        <v>60</v>
      </c>
      <c r="C660" s="2" t="s">
        <v>6</v>
      </c>
      <c r="D660" s="2">
        <v>100</v>
      </c>
      <c r="E660" s="2"/>
      <c r="F660" s="4" t="str">
        <f>HYPERLINK("./Results/DLO\20180301_1.3.12.2.1107.5.1.4.54310.30000018030223453910900000324_5_512_512_\Osteo_Sarco_1.png","RPT")</f>
        <v>RPT</v>
      </c>
      <c r="G660" s="3">
        <v>118</v>
      </c>
      <c r="H660" s="3"/>
    </row>
    <row r="661" spans="1:8" x14ac:dyDescent="0.3">
      <c r="A661" s="2">
        <v>3399551</v>
      </c>
      <c r="B661" s="2">
        <v>60</v>
      </c>
      <c r="C661" s="2" t="s">
        <v>6</v>
      </c>
      <c r="D661" s="2">
        <v>100</v>
      </c>
      <c r="E661" s="2"/>
      <c r="F661" s="4" t="str">
        <f>HYPERLINK("./Results/DLO\20180301_1.3.12.2.1107.5.1.4.54310.30000018030223453910900000234_3_512_512_\Osteo_Sarco_1.png","RPT")</f>
        <v>RPT</v>
      </c>
      <c r="G661" s="3">
        <v>117</v>
      </c>
      <c r="H661" s="3"/>
    </row>
    <row r="662" spans="1:8" x14ac:dyDescent="0.3">
      <c r="A662" s="2">
        <v>3410157</v>
      </c>
      <c r="B662" s="2">
        <v>49</v>
      </c>
      <c r="C662" s="2" t="s">
        <v>6</v>
      </c>
      <c r="D662" s="2">
        <v>100</v>
      </c>
      <c r="E662" s="2"/>
      <c r="F662" s="4" t="str">
        <f>HYPERLINK("./Results/DLO\20180701_1.2.840.113619.2.311.66394524162926403028620195902690921070_304_512_512_\Osteo_Sarco_1.png","RPT")</f>
        <v>RPT</v>
      </c>
      <c r="G662" s="3">
        <v>92</v>
      </c>
      <c r="H662" s="3"/>
    </row>
    <row r="663" spans="1:8" x14ac:dyDescent="0.3">
      <c r="A663" s="2">
        <v>3425339</v>
      </c>
      <c r="B663" s="2">
        <v>76</v>
      </c>
      <c r="C663" s="2" t="s">
        <v>5</v>
      </c>
      <c r="D663" s="2">
        <v>100</v>
      </c>
      <c r="E663" s="2"/>
      <c r="F663" s="4" t="str">
        <f>HYPERLINK("./Results/DLO\20191101_1.2.410.100011.172.24.16.220.6371113559944199438.3_3_512_512_\Osteo_Sarco_1.png","RPT")</f>
        <v>RPT</v>
      </c>
      <c r="G663" s="3">
        <v>199</v>
      </c>
      <c r="H663" s="3"/>
    </row>
    <row r="664" spans="1:8" x14ac:dyDescent="0.3">
      <c r="A664" s="2">
        <v>3425339</v>
      </c>
      <c r="B664" s="2">
        <v>76</v>
      </c>
      <c r="C664" s="2" t="s">
        <v>5</v>
      </c>
      <c r="D664" s="2">
        <v>100</v>
      </c>
      <c r="E664" s="2"/>
      <c r="F664" s="4" t="str">
        <f>HYPERLINK("./Results/DLO\20191101_1.2.410.100011.172.24.16.220.6371113559944199438.2_2_512_512_\Osteo_Sarco_1.png","RPT")</f>
        <v>RPT</v>
      </c>
      <c r="G664" s="3">
        <v>198</v>
      </c>
      <c r="H664" s="3"/>
    </row>
    <row r="665" spans="1:8" x14ac:dyDescent="0.3">
      <c r="A665" s="2">
        <v>3425505</v>
      </c>
      <c r="B665" s="2">
        <v>69</v>
      </c>
      <c r="C665" s="2" t="s">
        <v>5</v>
      </c>
      <c r="D665" s="2">
        <v>100</v>
      </c>
      <c r="E665" s="2"/>
      <c r="F665" s="4" t="str">
        <f>HYPERLINK("./Results/DLO\20190401_1.3.12.2.1107.5.1.4.54310.30000019041423314437500003635_2_512_512_\Osteo_Sarco_1.png","RPT")</f>
        <v>RPT</v>
      </c>
      <c r="G665" s="3">
        <v>128</v>
      </c>
      <c r="H665" s="3"/>
    </row>
    <row r="666" spans="1:8" x14ac:dyDescent="0.3">
      <c r="A666" s="2">
        <v>3426570</v>
      </c>
      <c r="B666" s="2">
        <v>40</v>
      </c>
      <c r="C666" s="2" t="s">
        <v>5</v>
      </c>
      <c r="D666" s="2">
        <v>100</v>
      </c>
      <c r="E666" s="2"/>
      <c r="F666" s="4" t="str">
        <f>HYPERLINK("./Results/DLO\20190901_1.3.12.2.1107.5.1.4.54310.30000019090121244076500061870_7_512_512_\Osteo_Sarco_1.png","RPT")</f>
        <v>RPT</v>
      </c>
      <c r="G666" s="3">
        <v>143</v>
      </c>
      <c r="H666" s="3"/>
    </row>
    <row r="667" spans="1:8" x14ac:dyDescent="0.3">
      <c r="A667" s="2">
        <v>3462543</v>
      </c>
      <c r="B667" s="2">
        <v>65</v>
      </c>
      <c r="C667" s="2" t="s">
        <v>6</v>
      </c>
      <c r="D667" s="2">
        <v>120</v>
      </c>
      <c r="E667" s="2"/>
      <c r="F667" s="4" t="str">
        <f>HYPERLINK("./Results/DLO\20180501_1.3.12.2.1107.5.1.4.54310.30000018051823462175000008001_7_512_512_\Osteo_Sarco_1.png","RPT")</f>
        <v>RPT</v>
      </c>
      <c r="G667" s="3">
        <v>89</v>
      </c>
      <c r="H667" s="3"/>
    </row>
    <row r="668" spans="1:8" x14ac:dyDescent="0.3">
      <c r="A668" s="2">
        <v>3462543</v>
      </c>
      <c r="B668" s="2">
        <v>65</v>
      </c>
      <c r="C668" s="2" t="s">
        <v>6</v>
      </c>
      <c r="D668" s="2">
        <v>120</v>
      </c>
      <c r="E668" s="2"/>
      <c r="F668" s="4" t="str">
        <f>HYPERLINK("./Results/DLO\20180501_1.3.12.2.1107.5.1.4.54310.30000018051823462175000008248_9_512_512_\Osteo_Sarco_1.png","RPT")</f>
        <v>RPT</v>
      </c>
      <c r="G668" s="3">
        <v>89</v>
      </c>
      <c r="H668" s="3"/>
    </row>
    <row r="669" spans="1:8" x14ac:dyDescent="0.3">
      <c r="A669" s="2">
        <v>3462543</v>
      </c>
      <c r="B669" s="2">
        <v>65</v>
      </c>
      <c r="C669" s="2" t="s">
        <v>6</v>
      </c>
      <c r="D669" s="2">
        <v>120</v>
      </c>
      <c r="E669" s="2"/>
      <c r="F669" s="4" t="str">
        <f>HYPERLINK("./Results/DLO\20180501_1.3.12.2.1107.5.1.4.54310.30000018051823462175000007679_5_512_512_\Osteo_Sarco_1.png","RPT")</f>
        <v>RPT</v>
      </c>
      <c r="G669" s="3">
        <v>88</v>
      </c>
      <c r="H669" s="3"/>
    </row>
    <row r="670" spans="1:8" x14ac:dyDescent="0.3">
      <c r="A670" s="2">
        <v>3462543</v>
      </c>
      <c r="B670" s="2">
        <v>65</v>
      </c>
      <c r="C670" s="2" t="s">
        <v>6</v>
      </c>
      <c r="D670" s="2">
        <v>100</v>
      </c>
      <c r="E670" s="2"/>
      <c r="F670" s="4" t="str">
        <f>HYPERLINK("./Results/DLO\20180501_1.3.12.2.1107.5.1.4.54310.30000018051823462175000007595_3_512_512_\Osteo_Sarco_1.png","RPT")</f>
        <v>RPT</v>
      </c>
      <c r="G670" s="3">
        <v>86</v>
      </c>
      <c r="H670" s="3"/>
    </row>
    <row r="671" spans="1:8" x14ac:dyDescent="0.3">
      <c r="A671" s="2">
        <v>3478617</v>
      </c>
      <c r="B671" s="2">
        <v>60</v>
      </c>
      <c r="C671" s="2" t="s">
        <v>5</v>
      </c>
      <c r="D671" s="2">
        <v>100</v>
      </c>
      <c r="E671" s="2"/>
      <c r="F671" s="4" t="str">
        <f>HYPERLINK("./Results/DLO\20190901_1.3.12.2.1107.5.1.4.65253.30000019091720340989800018374_2_512_512_\Osteo_Sarco_1.png","RPT")</f>
        <v>RPT</v>
      </c>
      <c r="G671" s="3">
        <v>111</v>
      </c>
      <c r="H671" s="3"/>
    </row>
    <row r="672" spans="1:8" x14ac:dyDescent="0.3">
      <c r="A672" s="2">
        <v>3485295</v>
      </c>
      <c r="B672" s="2">
        <v>84</v>
      </c>
      <c r="C672" s="2" t="s">
        <v>5</v>
      </c>
      <c r="D672" s="2">
        <v>100</v>
      </c>
      <c r="E672" s="2"/>
      <c r="F672" s="4" t="str">
        <f>HYPERLINK("./Results/DLO\20181201_1.2.840.113619.2.94.485650834948.2.9243414.20124962.1_2_512_512_\Osteo_Sarco_1.png","RPT")</f>
        <v>RPT</v>
      </c>
      <c r="G672" s="3">
        <v>109</v>
      </c>
      <c r="H672" s="3"/>
    </row>
    <row r="673" spans="1:8" x14ac:dyDescent="0.3">
      <c r="A673" s="2">
        <v>3485486</v>
      </c>
      <c r="B673" s="2">
        <v>82</v>
      </c>
      <c r="C673" s="2" t="s">
        <v>6</v>
      </c>
      <c r="D673" s="2">
        <v>100</v>
      </c>
      <c r="E673" s="2"/>
      <c r="F673" s="4" t="str">
        <f>HYPERLINK("./Results/DLO\20190701_1.3.12.2.1107.5.1.4.54310.30000019072422211732800008245_2_512_512_\Osteo_Sarco_1.png","RPT")</f>
        <v>RPT</v>
      </c>
      <c r="G673" s="3">
        <v>99</v>
      </c>
      <c r="H673" s="3"/>
    </row>
    <row r="674" spans="1:8" x14ac:dyDescent="0.3">
      <c r="A674" s="2">
        <v>3488109</v>
      </c>
      <c r="B674" s="2">
        <v>71</v>
      </c>
      <c r="C674" s="2" t="s">
        <v>5</v>
      </c>
      <c r="D674" s="2">
        <v>100</v>
      </c>
      <c r="E674" s="2"/>
      <c r="F674" s="4" t="str">
        <f>HYPERLINK("./Results/DLO\20180501_1.3.12.2.1107.5.1.4.65253.30000018052921170848500075425_2_512_512_\Osteo_Sarco_1.png","RPT")</f>
        <v>RPT</v>
      </c>
      <c r="G674" s="3">
        <v>117</v>
      </c>
      <c r="H674" s="3"/>
    </row>
    <row r="675" spans="1:8" x14ac:dyDescent="0.3">
      <c r="A675" s="2">
        <v>3492583</v>
      </c>
      <c r="B675" s="2">
        <v>63</v>
      </c>
      <c r="C675" s="2" t="s">
        <v>5</v>
      </c>
      <c r="D675" s="2">
        <v>100</v>
      </c>
      <c r="E675" s="2"/>
      <c r="F675" s="4" t="str">
        <f>HYPERLINK("./Results/DLO\20190801_1.3.12.2.1107.5.1.4.65253.30000019080420462225600044422_2_512_512_\Osteo_Sarco_1.png","RPT")</f>
        <v>RPT</v>
      </c>
      <c r="G675" s="3">
        <v>72</v>
      </c>
      <c r="H675" s="3"/>
    </row>
    <row r="676" spans="1:8" x14ac:dyDescent="0.3">
      <c r="A676" s="2">
        <v>3492583</v>
      </c>
      <c r="B676" s="2">
        <v>63</v>
      </c>
      <c r="C676" s="2" t="s">
        <v>5</v>
      </c>
      <c r="D676" s="2">
        <v>100</v>
      </c>
      <c r="E676" s="2"/>
      <c r="F676" s="4" t="str">
        <f>HYPERLINK("./Results/DLO\20190801_1.3.12.2.1107.5.1.4.65253.30000019080420462225600045803_5_512_512_\Osteo_Sarco_1.png","RPT")</f>
        <v>RPT</v>
      </c>
      <c r="G676" s="3">
        <v>63</v>
      </c>
      <c r="H676" s="3"/>
    </row>
    <row r="677" spans="1:8" x14ac:dyDescent="0.3">
      <c r="A677" s="2">
        <v>3492583</v>
      </c>
      <c r="B677" s="2">
        <v>63</v>
      </c>
      <c r="C677" s="2" t="s">
        <v>5</v>
      </c>
      <c r="D677" s="2">
        <v>100</v>
      </c>
      <c r="E677" s="2"/>
      <c r="F677" s="4" t="str">
        <f>HYPERLINK("./Results/DLO\20190801_1.3.12.2.1107.5.1.4.65253.30000019080420462225600045524_3_512_512_\Osteo_Sarco_1.png","RPT")</f>
        <v>RPT</v>
      </c>
      <c r="G677" s="3">
        <v>61</v>
      </c>
      <c r="H677" s="3"/>
    </row>
    <row r="678" spans="1:8" x14ac:dyDescent="0.3">
      <c r="A678" s="2">
        <v>3503810</v>
      </c>
      <c r="B678" s="2">
        <v>52</v>
      </c>
      <c r="C678" s="2" t="s">
        <v>5</v>
      </c>
      <c r="D678" s="2">
        <v>100</v>
      </c>
      <c r="E678" s="2"/>
      <c r="F678" s="4" t="str">
        <f>HYPERLINK("./Results/DLO\20180101_1.2.840.113619.2.94.485650834948.2.8590523.18520592.1_2_512_512_\Osteo_Sarco_1.png","RPT")</f>
        <v>RPT</v>
      </c>
      <c r="G678" s="3">
        <v>149</v>
      </c>
      <c r="H678" s="3"/>
    </row>
    <row r="679" spans="1:8" x14ac:dyDescent="0.3">
      <c r="A679" s="2">
        <v>3505441</v>
      </c>
      <c r="B679" s="2">
        <v>54</v>
      </c>
      <c r="C679" s="2" t="s">
        <v>5</v>
      </c>
      <c r="D679" s="2">
        <v>100</v>
      </c>
      <c r="E679" s="2"/>
      <c r="F679" s="4" t="str">
        <f>HYPERLINK("./Results/DLO\20180101_1.2.840.113619.2.311.129988784274561624190781457741588509831_304_512_512_\Osteo_Sarco_1.png","RPT")</f>
        <v>RPT</v>
      </c>
      <c r="G679" s="3">
        <v>126</v>
      </c>
      <c r="H679" s="3"/>
    </row>
    <row r="680" spans="1:8" x14ac:dyDescent="0.3">
      <c r="A680" s="2">
        <v>3518815</v>
      </c>
      <c r="B680" s="2">
        <v>60</v>
      </c>
      <c r="C680" s="2" t="s">
        <v>6</v>
      </c>
      <c r="D680" s="2">
        <v>100</v>
      </c>
      <c r="E680" s="2"/>
      <c r="F680" s="4" t="str">
        <f>HYPERLINK("./Results/DLO\20200101_1.3.12.2.1107.5.1.4.54310.30000020013022422185900049141_9_512_512_\Osteo_Sarco_1.png","RPT")</f>
        <v>RPT</v>
      </c>
      <c r="G680" s="3">
        <v>106</v>
      </c>
      <c r="H680" s="3"/>
    </row>
    <row r="681" spans="1:8" x14ac:dyDescent="0.3">
      <c r="A681" s="2">
        <v>3518815</v>
      </c>
      <c r="B681" s="2">
        <v>60</v>
      </c>
      <c r="C681" s="2" t="s">
        <v>6</v>
      </c>
      <c r="D681" s="2">
        <v>100</v>
      </c>
      <c r="E681" s="2"/>
      <c r="F681" s="4" t="str">
        <f>HYPERLINK("./Results/DLO\20200101_1.3.12.2.1107.5.1.4.54310.30000020013022422185900048894_7_512_512_\Osteo_Sarco_1.png","RPT")</f>
        <v>RPT</v>
      </c>
      <c r="G681" s="3">
        <v>104</v>
      </c>
      <c r="H681" s="3"/>
    </row>
    <row r="682" spans="1:8" x14ac:dyDescent="0.3">
      <c r="A682" s="2">
        <v>3518815</v>
      </c>
      <c r="B682" s="2">
        <v>60</v>
      </c>
      <c r="C682" s="2" t="s">
        <v>6</v>
      </c>
      <c r="D682" s="2">
        <v>100</v>
      </c>
      <c r="E682" s="2"/>
      <c r="F682" s="4" t="str">
        <f>HYPERLINK("./Results/DLO\20200101_1.3.12.2.1107.5.1.4.54310.30000020013022422185900048440_3_512_512_\Osteo_Sarco_1.png","RPT")</f>
        <v>RPT</v>
      </c>
      <c r="G682" s="3">
        <v>103</v>
      </c>
      <c r="H682" s="3"/>
    </row>
    <row r="683" spans="1:8" x14ac:dyDescent="0.3">
      <c r="A683" s="2">
        <v>3518815</v>
      </c>
      <c r="B683" s="2">
        <v>60</v>
      </c>
      <c r="C683" s="2" t="s">
        <v>6</v>
      </c>
      <c r="D683" s="2">
        <v>100</v>
      </c>
      <c r="E683" s="2"/>
      <c r="F683" s="4" t="str">
        <f>HYPERLINK("./Results/DLO\20200101_1.3.12.2.1107.5.1.4.54310.30000020013022422185900048529_5_512_512_\Osteo_Sarco_1.png","RPT")</f>
        <v>RPT</v>
      </c>
      <c r="G683" s="3">
        <v>100</v>
      </c>
      <c r="H683" s="3"/>
    </row>
    <row r="684" spans="1:8" x14ac:dyDescent="0.3">
      <c r="A684" s="2">
        <v>3522394</v>
      </c>
      <c r="B684" s="2">
        <v>68</v>
      </c>
      <c r="C684" s="2" t="s">
        <v>5</v>
      </c>
      <c r="D684" s="2">
        <v>100</v>
      </c>
      <c r="E684" s="2"/>
      <c r="F684" s="4" t="str">
        <f>HYPERLINK("./Results/DLO\20190601_1.3.46.670589.33.1.63695513433565345800001.5091374326467372059_601_512_512_\Osteo_Sarco_1.png","RPT")</f>
        <v>RPT</v>
      </c>
      <c r="G684" s="3">
        <v>113</v>
      </c>
      <c r="H684" s="3"/>
    </row>
    <row r="685" spans="1:8" x14ac:dyDescent="0.3">
      <c r="A685" s="2">
        <v>3522394</v>
      </c>
      <c r="B685" s="2">
        <v>68</v>
      </c>
      <c r="C685" s="2" t="s">
        <v>5</v>
      </c>
      <c r="D685" s="2">
        <v>100</v>
      </c>
      <c r="E685" s="2"/>
      <c r="F685" s="4" t="str">
        <f>HYPERLINK("./Results/DLO\20190601_1.3.46.670589.33.1.63695513545671757900001.5243809944886399028_701_512_512_\Osteo_Sarco_1.png","RPT")</f>
        <v>RPT</v>
      </c>
      <c r="G685" s="3">
        <v>113</v>
      </c>
      <c r="H685" s="3"/>
    </row>
    <row r="686" spans="1:8" x14ac:dyDescent="0.3">
      <c r="A686" s="2">
        <v>3522394</v>
      </c>
      <c r="B686" s="2">
        <v>68</v>
      </c>
      <c r="C686" s="2" t="s">
        <v>5</v>
      </c>
      <c r="D686" s="2">
        <v>100</v>
      </c>
      <c r="E686" s="2"/>
      <c r="F686" s="4" t="str">
        <f>HYPERLINK("./Results/DLO\20190601_1.3.46.670589.33.1.63695513380274297700001.5647750866162613330_501_512_512_\Osteo_Sarco_1.png","RPT")</f>
        <v>RPT</v>
      </c>
      <c r="G686" s="3">
        <v>109</v>
      </c>
      <c r="H686" s="3"/>
    </row>
    <row r="687" spans="1:8" x14ac:dyDescent="0.3">
      <c r="A687" s="2">
        <v>3522394</v>
      </c>
      <c r="B687" s="2">
        <v>68</v>
      </c>
      <c r="C687" s="2" t="s">
        <v>5</v>
      </c>
      <c r="D687" s="2">
        <v>100</v>
      </c>
      <c r="E687" s="2"/>
      <c r="F687" s="4" t="str">
        <f>HYPERLINK("./Results/DLO\20190601_1.3.46.670589.33.1.63695513301208775400001.4835127059386656975_201_512_512_\Osteo_Sarco_1.png","RPT")</f>
        <v>RPT</v>
      </c>
      <c r="G687" s="3">
        <v>108</v>
      </c>
      <c r="H687" s="3"/>
    </row>
    <row r="688" spans="1:8" x14ac:dyDescent="0.3">
      <c r="A688" s="2">
        <v>3523153</v>
      </c>
      <c r="B688" s="2">
        <v>79</v>
      </c>
      <c r="C688" s="2" t="s">
        <v>6</v>
      </c>
      <c r="D688" s="2">
        <v>100</v>
      </c>
      <c r="E688" s="2"/>
      <c r="F688" s="4" t="str">
        <f>HYPERLINK("./Results/DLO\20200401_1.3.12.2.1107.5.1.4.54310.30000020042022091262500016248_2_512_512_\Osteo_Sarco_1.png","RPT")</f>
        <v>RPT</v>
      </c>
      <c r="G688" s="3">
        <v>72</v>
      </c>
      <c r="H688" s="3"/>
    </row>
    <row r="689" spans="1:8" x14ac:dyDescent="0.3">
      <c r="A689" s="2">
        <v>3524927</v>
      </c>
      <c r="B689" s="2">
        <v>49</v>
      </c>
      <c r="C689" s="2" t="s">
        <v>6</v>
      </c>
      <c r="D689" s="2">
        <v>100</v>
      </c>
      <c r="E689" s="2"/>
      <c r="F689" s="4" t="str">
        <f>HYPERLINK("./Results/DLO\20200301_1.3.12.2.1107.5.1.4.54310.30000020030523132082800006300_9_512_512_\Osteo_Sarco_1.png","RPT")</f>
        <v>RPT</v>
      </c>
      <c r="G689" s="3">
        <v>88</v>
      </c>
      <c r="H689" s="3"/>
    </row>
    <row r="690" spans="1:8" x14ac:dyDescent="0.3">
      <c r="A690" s="2">
        <v>3524927</v>
      </c>
      <c r="B690" s="2">
        <v>49</v>
      </c>
      <c r="C690" s="2" t="s">
        <v>6</v>
      </c>
      <c r="D690" s="2">
        <v>100</v>
      </c>
      <c r="E690" s="2"/>
      <c r="F690" s="4" t="str">
        <f>HYPERLINK("./Results/DLO\20200301_1.3.12.2.1107.5.1.4.54310.30000020030523132082800005718_5_512_512_\Osteo_Sarco_1.png","RPT")</f>
        <v>RPT</v>
      </c>
      <c r="G690" s="3">
        <v>86</v>
      </c>
      <c r="H690" s="3"/>
    </row>
    <row r="691" spans="1:8" x14ac:dyDescent="0.3">
      <c r="A691" s="2">
        <v>3524927</v>
      </c>
      <c r="B691" s="2">
        <v>49</v>
      </c>
      <c r="C691" s="2" t="s">
        <v>6</v>
      </c>
      <c r="D691" s="2">
        <v>100</v>
      </c>
      <c r="E691" s="2"/>
      <c r="F691" s="4" t="str">
        <f>HYPERLINK("./Results/DLO\20200301_1.3.12.2.1107.5.1.4.54310.30000020030523132082800005634_3_512_512_\Osteo_Sarco_1.png","RPT")</f>
        <v>RPT</v>
      </c>
      <c r="G691" s="3">
        <v>85</v>
      </c>
      <c r="H691" s="3"/>
    </row>
    <row r="692" spans="1:8" x14ac:dyDescent="0.3">
      <c r="A692" s="2">
        <v>3524927</v>
      </c>
      <c r="B692" s="2">
        <v>49</v>
      </c>
      <c r="C692" s="2" t="s">
        <v>6</v>
      </c>
      <c r="D692" s="2">
        <v>100</v>
      </c>
      <c r="E692" s="2"/>
      <c r="F692" s="4" t="str">
        <f>HYPERLINK("./Results/DLO\20200301_1.3.12.2.1107.5.1.4.54310.30000020030523132082800006050_7_512_512_\Osteo_Sarco_1.png","RPT")</f>
        <v>RPT</v>
      </c>
      <c r="G692" s="3">
        <v>85</v>
      </c>
      <c r="H692" s="3"/>
    </row>
    <row r="693" spans="1:8" x14ac:dyDescent="0.3">
      <c r="A693" s="2">
        <v>3529642</v>
      </c>
      <c r="B693" s="2">
        <v>63</v>
      </c>
      <c r="C693" s="2" t="s">
        <v>6</v>
      </c>
      <c r="D693" s="2">
        <v>120</v>
      </c>
      <c r="E693" s="2"/>
      <c r="F693" s="4" t="str">
        <f>HYPERLINK("./Results/DLO\20190401_1.3.12.2.1107.5.1.4.54310.30000019040323295310900049656_9_512_512_\Osteo_Sarco_1.png","RPT")</f>
        <v>RPT</v>
      </c>
      <c r="G693" s="3">
        <v>86</v>
      </c>
      <c r="H693" s="3"/>
    </row>
    <row r="694" spans="1:8" x14ac:dyDescent="0.3">
      <c r="A694" s="2">
        <v>3529642</v>
      </c>
      <c r="B694" s="2">
        <v>63</v>
      </c>
      <c r="C694" s="2" t="s">
        <v>6</v>
      </c>
      <c r="D694" s="2">
        <v>120</v>
      </c>
      <c r="E694" s="2"/>
      <c r="F694" s="4" t="str">
        <f>HYPERLINK("./Results/DLO\20190401_1.3.12.2.1107.5.1.4.54310.30000019040323295310900049043_5_512_512_\Osteo_Sarco_1.png","RPT")</f>
        <v>RPT</v>
      </c>
      <c r="G694" s="3">
        <v>85</v>
      </c>
      <c r="H694" s="3"/>
    </row>
    <row r="695" spans="1:8" x14ac:dyDescent="0.3">
      <c r="A695" s="2">
        <v>3529642</v>
      </c>
      <c r="B695" s="2">
        <v>63</v>
      </c>
      <c r="C695" s="2" t="s">
        <v>6</v>
      </c>
      <c r="D695" s="2">
        <v>120</v>
      </c>
      <c r="E695" s="2"/>
      <c r="F695" s="4" t="str">
        <f>HYPERLINK("./Results/DLO\20190401_1.3.12.2.1107.5.1.4.54310.30000019040323295310900049337_7_512_512_\Osteo_Sarco_1.png","RPT")</f>
        <v>RPT</v>
      </c>
      <c r="G695" s="3">
        <v>85</v>
      </c>
      <c r="H695" s="3"/>
    </row>
    <row r="696" spans="1:8" x14ac:dyDescent="0.3">
      <c r="A696" s="2">
        <v>3529642</v>
      </c>
      <c r="B696" s="2">
        <v>63</v>
      </c>
      <c r="C696" s="2" t="s">
        <v>6</v>
      </c>
      <c r="D696" s="2">
        <v>100</v>
      </c>
      <c r="E696" s="2"/>
      <c r="F696" s="4" t="str">
        <f>HYPERLINK("./Results/DLO\20190401_1.3.12.2.1107.5.1.4.54310.30000019040323295310900048969_3_512_512_\Osteo_Sarco_1.png","RPT")</f>
        <v>RPT</v>
      </c>
      <c r="G696" s="3">
        <v>84</v>
      </c>
      <c r="H696" s="3"/>
    </row>
    <row r="697" spans="1:8" x14ac:dyDescent="0.3">
      <c r="A697" s="2">
        <v>3531827</v>
      </c>
      <c r="B697" s="2">
        <v>86</v>
      </c>
      <c r="C697" s="2" t="s">
        <v>5</v>
      </c>
      <c r="D697" s="2">
        <v>100</v>
      </c>
      <c r="E697" s="2"/>
      <c r="F697" s="4" t="str">
        <f>HYPERLINK("./Results/DLO\20181101_1.2.840.113619.2.94.485650834948.2.9199564.20016915.1_3_512_512_\Osteo_Sarco_1.png","RPT")</f>
        <v>RPT</v>
      </c>
      <c r="G697" s="3">
        <v>118</v>
      </c>
      <c r="H697" s="3"/>
    </row>
    <row r="698" spans="1:8" x14ac:dyDescent="0.3">
      <c r="A698" s="2">
        <v>3531827</v>
      </c>
      <c r="B698" s="2">
        <v>86</v>
      </c>
      <c r="C698" s="2" t="s">
        <v>5</v>
      </c>
      <c r="D698" s="2">
        <v>100</v>
      </c>
      <c r="E698" s="2"/>
      <c r="F698" s="4" t="str">
        <f>HYPERLINK("./Results/DLO\20181101_1.3.12.2.1107.5.1.4.65253.30000018111118325192100063459_2_512_512_\Osteo_Sarco_1.png","RPT")</f>
        <v>RPT</v>
      </c>
      <c r="G698" s="3">
        <v>102</v>
      </c>
      <c r="H698" s="3"/>
    </row>
    <row r="699" spans="1:8" x14ac:dyDescent="0.3">
      <c r="A699" s="2">
        <v>3533898</v>
      </c>
      <c r="B699" s="2">
        <v>66</v>
      </c>
      <c r="C699" s="2" t="s">
        <v>5</v>
      </c>
      <c r="D699" s="2">
        <v>140</v>
      </c>
      <c r="E699" s="2"/>
      <c r="F699" s="4" t="str">
        <f>HYPERLINK("./Results/DLO\20180301_1.2.840.113619.2.416.120083285058313146439008115739347447321_304_512_512_\Osteo_Sarco_1.png","RPT")</f>
        <v>RPT</v>
      </c>
      <c r="G699" s="3">
        <v>164</v>
      </c>
      <c r="H699" s="3"/>
    </row>
    <row r="700" spans="1:8" x14ac:dyDescent="0.3">
      <c r="A700" s="2">
        <v>3533898</v>
      </c>
      <c r="B700" s="2">
        <v>66</v>
      </c>
      <c r="C700" s="2" t="s">
        <v>5</v>
      </c>
      <c r="D700" s="2">
        <v>140</v>
      </c>
      <c r="E700" s="2"/>
      <c r="F700" s="4" t="str">
        <f>HYPERLINK("./Results/DLO\20180301_1.2.840.113619.2.416.59722558349894055239900908120272454737_308_512_512_\Osteo_Sarco_1.png","RPT")</f>
        <v>RPT</v>
      </c>
      <c r="G700" s="3">
        <v>164</v>
      </c>
      <c r="H700" s="3"/>
    </row>
    <row r="701" spans="1:8" x14ac:dyDescent="0.3">
      <c r="A701" s="2">
        <v>3533898</v>
      </c>
      <c r="B701" s="2">
        <v>66</v>
      </c>
      <c r="C701" s="2" t="s">
        <v>5</v>
      </c>
      <c r="D701" s="2">
        <v>140</v>
      </c>
      <c r="E701" s="2"/>
      <c r="F701" s="4" t="str">
        <f>HYPERLINK("./Results/DLO\20180301_1.2.840.113619.2.416.334075871548332537872791078474296997448_302_512_512_\Osteo_Sarco_1.png","RPT")</f>
        <v>RPT</v>
      </c>
      <c r="G701" s="3">
        <v>161</v>
      </c>
      <c r="H701" s="3"/>
    </row>
    <row r="702" spans="1:8" x14ac:dyDescent="0.3">
      <c r="A702" s="2">
        <v>3533898</v>
      </c>
      <c r="B702" s="2">
        <v>66</v>
      </c>
      <c r="C702" s="2" t="s">
        <v>5</v>
      </c>
      <c r="D702" s="2">
        <v>140</v>
      </c>
      <c r="E702" s="2"/>
      <c r="F702" s="4" t="str">
        <f>HYPERLINK("./Results/DLO\20180301_1.2.840.113619.2.416.278134230673550149216378301005676584636_2_512_512_\Osteo_Sarco_1.png","RPT")</f>
        <v>RPT</v>
      </c>
      <c r="G702" s="3">
        <v>159</v>
      </c>
      <c r="H702" s="3"/>
    </row>
    <row r="703" spans="1:8" x14ac:dyDescent="0.3">
      <c r="A703" s="2">
        <v>3557507</v>
      </c>
      <c r="B703" s="2">
        <v>64</v>
      </c>
      <c r="C703" s="2" t="s">
        <v>6</v>
      </c>
      <c r="D703" s="2">
        <v>100</v>
      </c>
      <c r="E703" s="2"/>
      <c r="F703" s="4" t="str">
        <f>HYPERLINK("./Results/DLO\20180101_1.2.840.113619.2.416.167818081927203375287689596582164659789_2_512_512_\Osteo_Sarco_1.png","RPT")</f>
        <v>RPT</v>
      </c>
      <c r="G703" s="3">
        <v>119</v>
      </c>
      <c r="H703" s="3"/>
    </row>
    <row r="704" spans="1:8" x14ac:dyDescent="0.3">
      <c r="A704" s="2">
        <v>3573692</v>
      </c>
      <c r="B704" s="2">
        <v>58</v>
      </c>
      <c r="C704" s="2" t="s">
        <v>5</v>
      </c>
      <c r="D704" s="2">
        <v>120</v>
      </c>
      <c r="E704" s="2"/>
      <c r="F704" s="4" t="str">
        <f>HYPERLINK("./Results/DLO\20180201_1.3.12.2.1107.5.1.4.54310.30000018022623140737500024323_5_512_512_\Osteo_Sarco_1.png","RPT")</f>
        <v>RPT</v>
      </c>
      <c r="G704" s="3">
        <v>150</v>
      </c>
      <c r="H704" s="3"/>
    </row>
    <row r="705" spans="1:8" x14ac:dyDescent="0.3">
      <c r="A705" s="2">
        <v>3573692</v>
      </c>
      <c r="B705" s="2">
        <v>58</v>
      </c>
      <c r="C705" s="2" t="s">
        <v>5</v>
      </c>
      <c r="D705" s="2">
        <v>120</v>
      </c>
      <c r="E705" s="2"/>
      <c r="F705" s="4" t="str">
        <f>HYPERLINK("./Results/DLO\20180201_1.3.12.2.1107.5.1.4.54310.30000018022623140737500024966_9_512_512_\Osteo_Sarco_1.png","RPT")</f>
        <v>RPT</v>
      </c>
      <c r="G705" s="3">
        <v>149</v>
      </c>
      <c r="H705" s="3"/>
    </row>
    <row r="706" spans="1:8" x14ac:dyDescent="0.3">
      <c r="A706" s="2">
        <v>3573692</v>
      </c>
      <c r="B706" s="2">
        <v>58</v>
      </c>
      <c r="C706" s="2" t="s">
        <v>5</v>
      </c>
      <c r="D706" s="2">
        <v>120</v>
      </c>
      <c r="E706" s="2"/>
      <c r="F706" s="4" t="str">
        <f>HYPERLINK("./Results/DLO\20180201_1.3.12.2.1107.5.1.4.54310.30000018022623140737500024696_7_512_512_\Osteo_Sarco_1.png","RPT")</f>
        <v>RPT</v>
      </c>
      <c r="G706" s="3">
        <v>148</v>
      </c>
      <c r="H706" s="3"/>
    </row>
    <row r="707" spans="1:8" x14ac:dyDescent="0.3">
      <c r="A707" s="2">
        <v>3573692</v>
      </c>
      <c r="B707" s="2">
        <v>58</v>
      </c>
      <c r="C707" s="2" t="s">
        <v>5</v>
      </c>
      <c r="D707" s="2">
        <v>100</v>
      </c>
      <c r="E707" s="2"/>
      <c r="F707" s="4" t="str">
        <f>HYPERLINK("./Results/DLO\20180201_1.3.12.2.1107.5.1.4.54310.30000018022623140737500024228_3_512_512_\Osteo_Sarco_1.png","RPT")</f>
        <v>RPT</v>
      </c>
      <c r="G707" s="3">
        <v>146</v>
      </c>
      <c r="H707" s="3"/>
    </row>
    <row r="708" spans="1:8" x14ac:dyDescent="0.3">
      <c r="A708" s="2">
        <v>3581450</v>
      </c>
      <c r="B708" s="2">
        <v>68</v>
      </c>
      <c r="C708" s="2" t="s">
        <v>6</v>
      </c>
      <c r="D708" s="2">
        <v>140</v>
      </c>
      <c r="E708" s="2"/>
      <c r="F708" s="4" t="str">
        <f>HYPERLINK("./Results/DLO\20190301_1.2.840.113619.2.416.179995774058926634935648516879461566649_306_512_512_\Osteo_Sarco_1.png","RPT")</f>
        <v>RPT</v>
      </c>
      <c r="G708" s="3">
        <v>122</v>
      </c>
      <c r="H708" s="3"/>
    </row>
    <row r="709" spans="1:8" x14ac:dyDescent="0.3">
      <c r="A709" s="2">
        <v>3581450</v>
      </c>
      <c r="B709" s="2">
        <v>68</v>
      </c>
      <c r="C709" s="2" t="s">
        <v>6</v>
      </c>
      <c r="D709" s="2">
        <v>140</v>
      </c>
      <c r="E709" s="2"/>
      <c r="F709" s="4" t="str">
        <f>HYPERLINK("./Results/DLO\20190301_1.2.840.113619.2.416.37317312123919501862115972426926300282_303_512_512_\Osteo_Sarco_1.png","RPT")</f>
        <v>RPT</v>
      </c>
      <c r="G709" s="3">
        <v>120</v>
      </c>
      <c r="H709" s="3"/>
    </row>
    <row r="710" spans="1:8" x14ac:dyDescent="0.3">
      <c r="A710" s="2">
        <v>3581450</v>
      </c>
      <c r="B710" s="2">
        <v>68</v>
      </c>
      <c r="C710" s="2" t="s">
        <v>6</v>
      </c>
      <c r="D710" s="2">
        <v>140</v>
      </c>
      <c r="E710" s="2"/>
      <c r="F710" s="4" t="str">
        <f>HYPERLINK("./Results/DLO\20190301_1.2.840.113619.2.416.195289938949604583484815296150557563497_301_512_512_\Osteo_Sarco_1.png","RPT")</f>
        <v>RPT</v>
      </c>
      <c r="G710" s="3">
        <v>119</v>
      </c>
      <c r="H710" s="3"/>
    </row>
    <row r="711" spans="1:8" x14ac:dyDescent="0.3">
      <c r="A711" s="2">
        <v>3581450</v>
      </c>
      <c r="B711" s="2">
        <v>68</v>
      </c>
      <c r="C711" s="2" t="s">
        <v>6</v>
      </c>
      <c r="D711" s="2">
        <v>140</v>
      </c>
      <c r="E711" s="2"/>
      <c r="F711" s="4" t="str">
        <f>HYPERLINK("./Results/DLO\20190301_1.2.840.113619.2.416.325940079322340799334104576238819385938_2_512_512_\Osteo_Sarco_1.png","RPT")</f>
        <v>RPT</v>
      </c>
      <c r="G711" s="3">
        <v>116</v>
      </c>
      <c r="H711" s="3"/>
    </row>
    <row r="712" spans="1:8" x14ac:dyDescent="0.3">
      <c r="A712" s="2">
        <v>3585425</v>
      </c>
      <c r="B712" s="2">
        <v>80</v>
      </c>
      <c r="C712" s="2" t="s">
        <v>5</v>
      </c>
      <c r="D712" s="2">
        <v>100</v>
      </c>
      <c r="E712" s="2"/>
      <c r="F712" s="4" t="str">
        <f>HYPERLINK("./Results/DLO\20180101_1.3.12.2.1107.5.1.4.54310.30000018010823145746800001317_2_512_512_\Osteo_Sarco_1.png","RPT")</f>
        <v>RPT</v>
      </c>
      <c r="G712" s="3">
        <v>149</v>
      </c>
      <c r="H712" s="3"/>
    </row>
    <row r="713" spans="1:8" x14ac:dyDescent="0.3">
      <c r="A713" s="2">
        <v>3585485</v>
      </c>
      <c r="B713" s="2">
        <v>58</v>
      </c>
      <c r="C713" s="2" t="s">
        <v>6</v>
      </c>
      <c r="D713" s="2">
        <v>100</v>
      </c>
      <c r="E713" s="2"/>
      <c r="F713" s="4" t="str">
        <f>HYPERLINK("./Results/DLO\20190901_1.2.840.113619.2.416.14852211782325477869458551585700489950_310_512_512_\Osteo_Sarco_1.png","RPT")</f>
        <v>RPT</v>
      </c>
      <c r="G713" s="3">
        <v>118</v>
      </c>
      <c r="H713" s="3"/>
    </row>
    <row r="714" spans="1:8" x14ac:dyDescent="0.3">
      <c r="A714" s="2">
        <v>3593208</v>
      </c>
      <c r="B714" s="2">
        <v>53</v>
      </c>
      <c r="C714" s="2" t="s">
        <v>6</v>
      </c>
      <c r="D714" s="2">
        <v>140</v>
      </c>
      <c r="E714" s="2"/>
      <c r="F714" s="4" t="str">
        <f>HYPERLINK("./Results/DLO\20180301_1.2.840.113619.2.416.199098568601301173958883531689833093820_303_512_512_\Osteo_Sarco_1.png","RPT")</f>
        <v>RPT</v>
      </c>
      <c r="G714" s="3">
        <v>133</v>
      </c>
      <c r="H714" s="3"/>
    </row>
    <row r="715" spans="1:8" x14ac:dyDescent="0.3">
      <c r="A715" s="2">
        <v>3593208</v>
      </c>
      <c r="B715" s="2">
        <v>53</v>
      </c>
      <c r="C715" s="2" t="s">
        <v>6</v>
      </c>
      <c r="D715" s="2">
        <v>140</v>
      </c>
      <c r="E715" s="2"/>
      <c r="F715" s="4" t="str">
        <f>HYPERLINK("./Results/DLO\20180301_1.2.840.113619.2.416.304921002483163310064991029805223236930_309_512_512_\Osteo_Sarco_1.png","RPT")</f>
        <v>RPT</v>
      </c>
      <c r="G715" s="3">
        <v>133</v>
      </c>
      <c r="H715" s="3"/>
    </row>
    <row r="716" spans="1:8" x14ac:dyDescent="0.3">
      <c r="A716" s="2">
        <v>3593208</v>
      </c>
      <c r="B716" s="2">
        <v>53</v>
      </c>
      <c r="C716" s="2" t="s">
        <v>6</v>
      </c>
      <c r="D716" s="2">
        <v>140</v>
      </c>
      <c r="E716" s="2"/>
      <c r="F716" s="4" t="str">
        <f>HYPERLINK("./Results/DLO\20180301_1.2.840.113619.2.416.295092045960783695880797929030510263508_305_512_512_\Osteo_Sarco_1.png","RPT")</f>
        <v>RPT</v>
      </c>
      <c r="G716" s="3">
        <v>132</v>
      </c>
      <c r="H716" s="3"/>
    </row>
    <row r="717" spans="1:8" x14ac:dyDescent="0.3">
      <c r="A717" s="2">
        <v>3593208</v>
      </c>
      <c r="B717" s="2">
        <v>53</v>
      </c>
      <c r="C717" s="2" t="s">
        <v>6</v>
      </c>
      <c r="D717" s="2">
        <v>140</v>
      </c>
      <c r="E717" s="2"/>
      <c r="F717" s="4" t="str">
        <f>HYPERLINK("./Results/DLO\20180301_1.2.840.113619.2.416.129526477852083117033863137800924535307_3_512_512_\Osteo_Sarco_1.png","RPT")</f>
        <v>RPT</v>
      </c>
      <c r="G717" s="3">
        <v>129</v>
      </c>
      <c r="H717" s="3"/>
    </row>
    <row r="718" spans="1:8" x14ac:dyDescent="0.3">
      <c r="A718" s="2">
        <v>3598805</v>
      </c>
      <c r="B718" s="2">
        <v>61</v>
      </c>
      <c r="C718" s="2" t="s">
        <v>5</v>
      </c>
      <c r="D718" s="2">
        <v>120</v>
      </c>
      <c r="E718" s="2"/>
      <c r="F718" s="4" t="str">
        <f>HYPERLINK("./Results/DLO\20180301_1.3.12.2.1107.5.1.4.54310.30000018032123032989000027741_7_512_512_\Osteo_Sarco_1.png","RPT")</f>
        <v>RPT</v>
      </c>
      <c r="G718" s="3">
        <v>170</v>
      </c>
      <c r="H718" s="3"/>
    </row>
    <row r="719" spans="1:8" x14ac:dyDescent="0.3">
      <c r="A719" s="2">
        <v>3598805</v>
      </c>
      <c r="B719" s="2">
        <v>61</v>
      </c>
      <c r="C719" s="2" t="s">
        <v>5</v>
      </c>
      <c r="D719" s="2">
        <v>120</v>
      </c>
      <c r="E719" s="2"/>
      <c r="F719" s="4" t="str">
        <f>HYPERLINK("./Results/DLO\20180301_1.3.12.2.1107.5.1.4.54310.30000018032123032989000028632_9_512_512_\Osteo_Sarco_1.png","RPT")</f>
        <v>RPT</v>
      </c>
      <c r="G719" s="3">
        <v>170</v>
      </c>
      <c r="H719" s="3"/>
    </row>
    <row r="720" spans="1:8" x14ac:dyDescent="0.3">
      <c r="A720" s="2">
        <v>3598805</v>
      </c>
      <c r="B720" s="2">
        <v>61</v>
      </c>
      <c r="C720" s="2" t="s">
        <v>5</v>
      </c>
      <c r="D720" s="2">
        <v>120</v>
      </c>
      <c r="E720" s="2"/>
      <c r="F720" s="4" t="str">
        <f>HYPERLINK("./Results/DLO\20180301_1.3.12.2.1107.5.1.4.54310.30000018032123032989000027271_5_512_512_\Osteo_Sarco_1.png","RPT")</f>
        <v>RPT</v>
      </c>
      <c r="G720" s="3">
        <v>168</v>
      </c>
      <c r="H720" s="3"/>
    </row>
    <row r="721" spans="1:8" x14ac:dyDescent="0.3">
      <c r="A721" s="2">
        <v>3598805</v>
      </c>
      <c r="B721" s="2">
        <v>61</v>
      </c>
      <c r="C721" s="2" t="s">
        <v>5</v>
      </c>
      <c r="D721" s="2">
        <v>100</v>
      </c>
      <c r="E721" s="2"/>
      <c r="F721" s="4" t="str">
        <f>HYPERLINK("./Results/DLO\20180301_1.3.12.2.1107.5.1.4.54310.30000018032123032989000026728_3_512_512_\Osteo_Sarco_1.png","RPT")</f>
        <v>RPT</v>
      </c>
      <c r="G721" s="3">
        <v>165</v>
      </c>
      <c r="H721" s="3"/>
    </row>
    <row r="722" spans="1:8" x14ac:dyDescent="0.3">
      <c r="A722" s="2">
        <v>3609170</v>
      </c>
      <c r="B722" s="2">
        <v>59</v>
      </c>
      <c r="C722" s="2" t="s">
        <v>6</v>
      </c>
      <c r="D722" s="2">
        <v>140</v>
      </c>
      <c r="E722" s="2"/>
      <c r="F722" s="4" t="str">
        <f>HYPERLINK("./Results/DLO\20190201_1.2.840.113619.2.416.72415337680461284206875113237974990334_303_512_512_\Osteo_Sarco_1.png","RPT")</f>
        <v>RPT</v>
      </c>
      <c r="G722" s="3">
        <v>103</v>
      </c>
      <c r="H722" s="3"/>
    </row>
    <row r="723" spans="1:8" x14ac:dyDescent="0.3">
      <c r="A723" s="2">
        <v>3609170</v>
      </c>
      <c r="B723" s="2">
        <v>59</v>
      </c>
      <c r="C723" s="2" t="s">
        <v>6</v>
      </c>
      <c r="D723" s="2">
        <v>140</v>
      </c>
      <c r="E723" s="2"/>
      <c r="F723" s="4" t="str">
        <f>HYPERLINK("./Results/DLO\20190201_1.2.840.113619.2.416.50702156312586025726074682626310922760_306_512_512_\Osteo_Sarco_1.png","RPT")</f>
        <v>RPT</v>
      </c>
      <c r="G723" s="3">
        <v>101</v>
      </c>
      <c r="H723" s="3"/>
    </row>
    <row r="724" spans="1:8" x14ac:dyDescent="0.3">
      <c r="A724" s="2">
        <v>3609170</v>
      </c>
      <c r="B724" s="2">
        <v>59</v>
      </c>
      <c r="C724" s="2" t="s">
        <v>6</v>
      </c>
      <c r="D724" s="2">
        <v>140</v>
      </c>
      <c r="E724" s="2"/>
      <c r="F724" s="4" t="str">
        <f>HYPERLINK("./Results/DLO\20190201_1.2.840.113619.2.416.202653112931495448988141775386781031332_301_512_512_\Osteo_Sarco_1.png","RPT")</f>
        <v>RPT</v>
      </c>
      <c r="G724" s="3">
        <v>98</v>
      </c>
      <c r="H724" s="3"/>
    </row>
    <row r="725" spans="1:8" x14ac:dyDescent="0.3">
      <c r="A725" s="2">
        <v>3609170</v>
      </c>
      <c r="B725" s="2">
        <v>59</v>
      </c>
      <c r="C725" s="2" t="s">
        <v>6</v>
      </c>
      <c r="D725" s="2">
        <v>140</v>
      </c>
      <c r="E725" s="2"/>
      <c r="F725" s="4" t="str">
        <f>HYPERLINK("./Results/DLO\20190201_1.2.840.113619.2.416.37425757682197496236724668063850610205_2_512_512_\Osteo_Sarco_1.png","RPT")</f>
        <v>RPT</v>
      </c>
      <c r="G725" s="3">
        <v>96</v>
      </c>
      <c r="H725" s="3"/>
    </row>
    <row r="726" spans="1:8" x14ac:dyDescent="0.3">
      <c r="A726" s="2">
        <v>3611386</v>
      </c>
      <c r="B726" s="2">
        <v>47</v>
      </c>
      <c r="C726" s="2" t="s">
        <v>6</v>
      </c>
      <c r="D726" s="2">
        <v>100</v>
      </c>
      <c r="E726" s="2"/>
      <c r="F726" s="4" t="str">
        <f>HYPERLINK("./Results/DLO\20180201_1.3.12.2.1107.5.1.4.65253.30000018020421032633900001443_2_512_512_\Osteo_Sarco_1.png","RPT")</f>
        <v>RPT</v>
      </c>
      <c r="G726" s="3">
        <v>88</v>
      </c>
      <c r="H726" s="3"/>
    </row>
    <row r="727" spans="1:8" x14ac:dyDescent="0.3">
      <c r="A727" s="2">
        <v>3623276</v>
      </c>
      <c r="B727" s="2">
        <v>42</v>
      </c>
      <c r="C727" s="2" t="s">
        <v>6</v>
      </c>
      <c r="D727" s="2">
        <v>100</v>
      </c>
      <c r="E727" s="2"/>
      <c r="F727" s="4" t="str">
        <f>HYPERLINK("./Results/DLO\20181001_1.3.46.670589.33.1.63676572372102292900001.4910157579583949397_201_512_512_\Osteo_Sarco_1.png","RPT")</f>
        <v>RPT</v>
      </c>
      <c r="G727" s="3">
        <v>109</v>
      </c>
      <c r="H727" s="3"/>
    </row>
    <row r="728" spans="1:8" x14ac:dyDescent="0.3">
      <c r="A728" s="2">
        <v>3623794</v>
      </c>
      <c r="B728" s="2">
        <v>69</v>
      </c>
      <c r="C728" s="2" t="s">
        <v>6</v>
      </c>
      <c r="D728" s="2">
        <v>100</v>
      </c>
      <c r="E728" s="2"/>
      <c r="F728" s="4" t="str">
        <f>HYPERLINK("./Results/DLO\20180101_1.3.12.2.1107.5.1.4.65253.30000018011520001987000000418_2_512_512_\Osteo_Sarco_1.png","RPT")</f>
        <v>RPT</v>
      </c>
      <c r="G728" s="3">
        <v>100</v>
      </c>
      <c r="H728" s="3"/>
    </row>
    <row r="729" spans="1:8" x14ac:dyDescent="0.3">
      <c r="A729" s="2">
        <v>3625988</v>
      </c>
      <c r="B729" s="2">
        <v>68</v>
      </c>
      <c r="C729" s="2" t="s">
        <v>5</v>
      </c>
      <c r="D729" s="2">
        <v>120</v>
      </c>
      <c r="E729" s="2"/>
      <c r="F729" s="4" t="str">
        <f>HYPERLINK("./Results/DLO\20190301_1.3.12.2.1107.5.1.4.65420.30000019030700555257500003454_7_512_512_\Osteo_Sarco_1.png","RPT")</f>
        <v>RPT</v>
      </c>
      <c r="G729" s="3">
        <v>135</v>
      </c>
      <c r="H729" s="3"/>
    </row>
    <row r="730" spans="1:8" x14ac:dyDescent="0.3">
      <c r="A730" s="2">
        <v>3637462</v>
      </c>
      <c r="B730" s="2">
        <v>36</v>
      </c>
      <c r="C730" s="2" t="s">
        <v>6</v>
      </c>
      <c r="D730" s="2">
        <v>140</v>
      </c>
      <c r="E730" s="2"/>
      <c r="F730" s="4" t="str">
        <f>HYPERLINK("./Results/DLO\20191101_1.2.840.113619.2.416.106661061459241232234015409826408147640_302_512_512_\Osteo_Sarco_1.png","RPT")</f>
        <v>RPT</v>
      </c>
      <c r="G730" s="3">
        <v>100</v>
      </c>
      <c r="H730" s="3"/>
    </row>
    <row r="731" spans="1:8" x14ac:dyDescent="0.3">
      <c r="A731" s="2">
        <v>3637462</v>
      </c>
      <c r="B731" s="2">
        <v>36</v>
      </c>
      <c r="C731" s="2" t="s">
        <v>6</v>
      </c>
      <c r="D731" s="2">
        <v>140</v>
      </c>
      <c r="E731" s="2"/>
      <c r="F731" s="4" t="str">
        <f>HYPERLINK("./Results/DLO\20191101_1.2.840.113619.2.416.226920829056975973365272086271766412583_303_512_512_\Osteo_Sarco_1.png","RPT")</f>
        <v>RPT</v>
      </c>
      <c r="G731" s="3">
        <v>99</v>
      </c>
      <c r="H731" s="3"/>
    </row>
    <row r="732" spans="1:8" x14ac:dyDescent="0.3">
      <c r="A732" s="2">
        <v>3639829</v>
      </c>
      <c r="B732" s="2">
        <v>62</v>
      </c>
      <c r="C732" s="2" t="s">
        <v>6</v>
      </c>
      <c r="D732" s="2">
        <v>120</v>
      </c>
      <c r="E732" s="2"/>
      <c r="F732" s="4" t="str">
        <f>HYPERLINK("./Results/DLO\20190101_1.3.12.2.1107.5.1.4.54310.30000019012223310779600033896_5_512_512_\Osteo_Sarco_1.png","RPT")</f>
        <v>RPT</v>
      </c>
      <c r="G732" s="3">
        <v>101</v>
      </c>
      <c r="H732" s="3"/>
    </row>
    <row r="733" spans="1:8" x14ac:dyDescent="0.3">
      <c r="A733" s="2">
        <v>3639829</v>
      </c>
      <c r="B733" s="2">
        <v>62</v>
      </c>
      <c r="C733" s="2" t="s">
        <v>6</v>
      </c>
      <c r="D733" s="2">
        <v>120</v>
      </c>
      <c r="E733" s="2"/>
      <c r="F733" s="4" t="str">
        <f>HYPERLINK("./Results/DLO\20190101_1.3.12.2.1107.5.1.4.54310.30000019012223310779600034519_9_512_512_\Osteo_Sarco_1.png","RPT")</f>
        <v>RPT</v>
      </c>
      <c r="G733" s="3">
        <v>101</v>
      </c>
      <c r="H733" s="3"/>
    </row>
    <row r="734" spans="1:8" x14ac:dyDescent="0.3">
      <c r="A734" s="2">
        <v>3639829</v>
      </c>
      <c r="B734" s="2">
        <v>62</v>
      </c>
      <c r="C734" s="2" t="s">
        <v>6</v>
      </c>
      <c r="D734" s="2">
        <v>100</v>
      </c>
      <c r="E734" s="2"/>
      <c r="F734" s="4" t="str">
        <f>HYPERLINK("./Results/DLO\20190101_1.3.12.2.1107.5.1.4.54310.30000019012223310779600033804_3_512_512_\Osteo_Sarco_1.png","RPT")</f>
        <v>RPT</v>
      </c>
      <c r="G734" s="3">
        <v>98</v>
      </c>
      <c r="H734" s="3"/>
    </row>
    <row r="735" spans="1:8" x14ac:dyDescent="0.3">
      <c r="A735" s="2">
        <v>3643638</v>
      </c>
      <c r="B735" s="2">
        <v>46</v>
      </c>
      <c r="C735" s="2" t="s">
        <v>5</v>
      </c>
      <c r="D735" s="2">
        <v>100</v>
      </c>
      <c r="E735" s="2"/>
      <c r="F735" s="4" t="str">
        <f>HYPERLINK("./Results/DLO\20181101_1.3.12.2.1107.5.1.4.65253.30000018112619122137500066245_3_512_512_\Osteo_Sarco_1.png","RPT")</f>
        <v>RPT</v>
      </c>
      <c r="G735" s="3">
        <v>178</v>
      </c>
      <c r="H735" s="3"/>
    </row>
    <row r="736" spans="1:8" x14ac:dyDescent="0.3">
      <c r="A736" s="2">
        <v>3643638</v>
      </c>
      <c r="B736" s="2">
        <v>46</v>
      </c>
      <c r="C736" s="2" t="s">
        <v>5</v>
      </c>
      <c r="D736" s="2">
        <v>100</v>
      </c>
      <c r="E736" s="2"/>
      <c r="F736" s="4" t="str">
        <f>HYPERLINK("./Results/DLO\20181101_1.3.12.2.1107.5.1.4.65253.30000018112619122137500066066_2_512_512_\Osteo_Sarco_1.png","RPT")</f>
        <v>RPT</v>
      </c>
      <c r="G736" s="3">
        <v>173</v>
      </c>
      <c r="H736" s="3"/>
    </row>
    <row r="737" spans="1:8" x14ac:dyDescent="0.3">
      <c r="A737" s="2">
        <v>3645507</v>
      </c>
      <c r="B737" s="2">
        <v>55</v>
      </c>
      <c r="C737" s="2" t="s">
        <v>6</v>
      </c>
      <c r="D737" s="2">
        <v>140</v>
      </c>
      <c r="E737" s="2"/>
      <c r="F737" s="4" t="str">
        <f>HYPERLINK("./Results/DLO\20190301_1.2.840.113619.2.416.275085378020103390157088691096453422783_302_512_512_\Osteo_Sarco_1.png","RPT")</f>
        <v>RPT</v>
      </c>
      <c r="G737" s="3">
        <v>120</v>
      </c>
      <c r="H737" s="3"/>
    </row>
    <row r="738" spans="1:8" x14ac:dyDescent="0.3">
      <c r="A738" s="2">
        <v>3645507</v>
      </c>
      <c r="B738" s="2">
        <v>55</v>
      </c>
      <c r="C738" s="2" t="s">
        <v>6</v>
      </c>
      <c r="D738" s="2">
        <v>140</v>
      </c>
      <c r="E738" s="2"/>
      <c r="F738" s="4" t="str">
        <f>HYPERLINK("./Results/DLO\20190301_1.2.840.113619.2.416.331778441418736555689986009632940425678_303_512_512_\Osteo_Sarco_1.png","RPT")</f>
        <v>RPT</v>
      </c>
      <c r="G738" s="3">
        <v>119</v>
      </c>
      <c r="H738" s="3"/>
    </row>
    <row r="739" spans="1:8" x14ac:dyDescent="0.3">
      <c r="A739" s="2">
        <v>3648841</v>
      </c>
      <c r="B739" s="2">
        <v>57</v>
      </c>
      <c r="C739" s="2" t="s">
        <v>5</v>
      </c>
      <c r="D739" s="2">
        <v>100</v>
      </c>
      <c r="E739" s="2"/>
      <c r="F739" s="4" t="str">
        <f>HYPERLINK("./Results/DLO\20200201_1.3.46.670589.33.1.63717179252472902200001.5636752981289577340_201_512_512_\Osteo_Sarco_1.png","RPT")</f>
        <v>RPT</v>
      </c>
      <c r="G739" s="3">
        <v>140</v>
      </c>
      <c r="H739" s="3"/>
    </row>
    <row r="740" spans="1:8" x14ac:dyDescent="0.3">
      <c r="A740" s="2">
        <v>3654626</v>
      </c>
      <c r="B740" s="2">
        <v>72</v>
      </c>
      <c r="C740" s="2" t="s">
        <v>5</v>
      </c>
      <c r="D740" s="2">
        <v>120</v>
      </c>
      <c r="E740" s="2"/>
      <c r="F740" s="4" t="str">
        <f>HYPERLINK("./Results/DLO\20180601_1.3.12.2.1107.5.1.4.54310.30000018060623105240600008385_9_512_512_\Osteo_Sarco_1.png","RPT")</f>
        <v>RPT</v>
      </c>
      <c r="G740" s="3">
        <v>139</v>
      </c>
      <c r="H740" s="3"/>
    </row>
    <row r="741" spans="1:8" x14ac:dyDescent="0.3">
      <c r="A741" s="2">
        <v>3654626</v>
      </c>
      <c r="B741" s="2">
        <v>72</v>
      </c>
      <c r="C741" s="2" t="s">
        <v>5</v>
      </c>
      <c r="D741" s="2">
        <v>120</v>
      </c>
      <c r="E741" s="2"/>
      <c r="F741" s="4" t="str">
        <f>HYPERLINK("./Results/DLO\20180601_1.3.12.2.1107.5.1.4.54310.30000018060623105240600008123_7_512_512_\Osteo_Sarco_1.png","RPT")</f>
        <v>RPT</v>
      </c>
      <c r="G741" s="3">
        <v>137</v>
      </c>
      <c r="H741" s="3"/>
    </row>
    <row r="742" spans="1:8" x14ac:dyDescent="0.3">
      <c r="A742" s="2">
        <v>3654626</v>
      </c>
      <c r="B742" s="2">
        <v>72</v>
      </c>
      <c r="C742" s="2" t="s">
        <v>5</v>
      </c>
      <c r="D742" s="2">
        <v>120</v>
      </c>
      <c r="E742" s="2"/>
      <c r="F742" s="4" t="str">
        <f>HYPERLINK("./Results/DLO\20180601_1.3.12.2.1107.5.1.4.54310.30000018060623105240600007775_5_512_512_\Osteo_Sarco_1.png","RPT")</f>
        <v>RPT</v>
      </c>
      <c r="G742" s="3">
        <v>136</v>
      </c>
      <c r="H742" s="3"/>
    </row>
    <row r="743" spans="1:8" x14ac:dyDescent="0.3">
      <c r="A743" s="2">
        <v>3654626</v>
      </c>
      <c r="B743" s="2">
        <v>72</v>
      </c>
      <c r="C743" s="2" t="s">
        <v>5</v>
      </c>
      <c r="D743" s="2">
        <v>100</v>
      </c>
      <c r="E743" s="2"/>
      <c r="F743" s="4" t="str">
        <f>HYPERLINK("./Results/DLO\20180601_1.3.12.2.1107.5.1.4.54310.30000018060623105240600007687_3_512_512_\Osteo_Sarco_1.png","RPT")</f>
        <v>RPT</v>
      </c>
      <c r="G743" s="3">
        <v>135</v>
      </c>
      <c r="H743" s="3"/>
    </row>
    <row r="744" spans="1:8" x14ac:dyDescent="0.3">
      <c r="A744" s="2">
        <v>3664219</v>
      </c>
      <c r="B744" s="2">
        <v>69</v>
      </c>
      <c r="C744" s="2" t="s">
        <v>5</v>
      </c>
      <c r="D744" s="2">
        <v>100</v>
      </c>
      <c r="E744" s="2"/>
      <c r="F744" s="4" t="str">
        <f>HYPERLINK("./Results/DLO\20190801_1.3.12.2.1107.5.1.4.54310.30000019081522252218700011062_2_512_512_\Osteo_Sarco_1.png","RPT")</f>
        <v>RPT</v>
      </c>
      <c r="G744" s="3">
        <v>138</v>
      </c>
      <c r="H744" s="3"/>
    </row>
    <row r="745" spans="1:8" x14ac:dyDescent="0.3">
      <c r="A745" s="2">
        <v>3667291</v>
      </c>
      <c r="B745" s="2">
        <v>66</v>
      </c>
      <c r="C745" s="2" t="s">
        <v>6</v>
      </c>
      <c r="D745" s="2">
        <v>120</v>
      </c>
      <c r="E745" s="2"/>
      <c r="F745" s="4" t="str">
        <f>HYPERLINK("./Results/DLO\20190301_1.3.12.2.1107.5.1.4.54310.30000019031523462951500000671_9_512_512_\Osteo_Sarco_1.png","RPT")</f>
        <v>RPT</v>
      </c>
      <c r="G745" s="3">
        <v>115</v>
      </c>
      <c r="H745" s="3"/>
    </row>
    <row r="746" spans="1:8" x14ac:dyDescent="0.3">
      <c r="A746" s="2">
        <v>3667291</v>
      </c>
      <c r="B746" s="2">
        <v>66</v>
      </c>
      <c r="C746" s="2" t="s">
        <v>6</v>
      </c>
      <c r="D746" s="2">
        <v>120</v>
      </c>
      <c r="E746" s="2"/>
      <c r="F746" s="4" t="str">
        <f>HYPERLINK("./Results/DLO\20190301_1.3.12.2.1107.5.1.4.54310.30000019031523462951500000085_5_512_512_\Osteo_Sarco_1.png","RPT")</f>
        <v>RPT</v>
      </c>
      <c r="G746" s="3">
        <v>112</v>
      </c>
      <c r="H746" s="3"/>
    </row>
    <row r="747" spans="1:8" x14ac:dyDescent="0.3">
      <c r="A747" s="2">
        <v>3667291</v>
      </c>
      <c r="B747" s="2">
        <v>66</v>
      </c>
      <c r="C747" s="2" t="s">
        <v>6</v>
      </c>
      <c r="D747" s="2">
        <v>120</v>
      </c>
      <c r="E747" s="2"/>
      <c r="F747" s="4" t="str">
        <f>HYPERLINK("./Results/DLO\20190301_1.3.12.2.1107.5.1.4.54310.30000019031523462951500000418_7_512_512_\Osteo_Sarco_1.png","RPT")</f>
        <v>RPT</v>
      </c>
      <c r="G747" s="3">
        <v>111</v>
      </c>
      <c r="H747" s="3"/>
    </row>
    <row r="748" spans="1:8" x14ac:dyDescent="0.3">
      <c r="A748" s="2">
        <v>3667291</v>
      </c>
      <c r="B748" s="2">
        <v>66</v>
      </c>
      <c r="C748" s="2" t="s">
        <v>6</v>
      </c>
      <c r="D748" s="2">
        <v>100</v>
      </c>
      <c r="E748" s="2"/>
      <c r="F748" s="4" t="str">
        <f>HYPERLINK("./Results/DLO\20190301_1.3.12.2.1107.5.1.4.54310.30000019031523462951500000001_3_512_512_\Osteo_Sarco_1.png","RPT")</f>
        <v>RPT</v>
      </c>
      <c r="G748" s="3">
        <v>106</v>
      </c>
      <c r="H748" s="3"/>
    </row>
    <row r="749" spans="1:8" x14ac:dyDescent="0.3">
      <c r="A749" s="2">
        <v>3669270</v>
      </c>
      <c r="B749" s="2">
        <v>49</v>
      </c>
      <c r="C749" s="2" t="s">
        <v>5</v>
      </c>
      <c r="D749" s="2">
        <v>100</v>
      </c>
      <c r="E749" s="2"/>
      <c r="F749" s="4" t="str">
        <f>HYPERLINK("./Results/DLO\20180201_1.3.12.2.1107.5.1.4.54310.30000018020523134789000001979_2_512_512_\Osteo_Sarco_1.png","RPT")</f>
        <v>RPT</v>
      </c>
      <c r="G749" s="3">
        <v>119</v>
      </c>
      <c r="H749" s="3"/>
    </row>
    <row r="750" spans="1:8" x14ac:dyDescent="0.3">
      <c r="A750" s="2">
        <v>3669881</v>
      </c>
      <c r="B750" s="2">
        <v>48</v>
      </c>
      <c r="C750" s="2" t="s">
        <v>6</v>
      </c>
      <c r="D750" s="2">
        <v>100</v>
      </c>
      <c r="E750" s="2"/>
      <c r="F750" s="4" t="str">
        <f>HYPERLINK("./Results/DLO\20190701_1.3.12.2.1107.5.1.4.54310.30000019072521262465600078485_8_512_512_\Osteo_Sarco_1.png","RPT")</f>
        <v>RPT</v>
      </c>
      <c r="G750" s="3">
        <v>122</v>
      </c>
      <c r="H750" s="3"/>
    </row>
    <row r="751" spans="1:8" x14ac:dyDescent="0.3">
      <c r="A751" s="2">
        <v>3673334</v>
      </c>
      <c r="B751" s="2">
        <v>80</v>
      </c>
      <c r="C751" s="2" t="s">
        <v>6</v>
      </c>
      <c r="D751" s="2">
        <v>140</v>
      </c>
      <c r="E751" s="2"/>
      <c r="F751" s="4" t="str">
        <f>HYPERLINK("./Results/DLO\20180301_1.2.840.113619.2.416.152148062711133991418276972621728764486_308_512_512_\Osteo_Sarco_1.png","RPT")</f>
        <v>RPT</v>
      </c>
      <c r="G751" s="3">
        <v>97</v>
      </c>
      <c r="H751" s="3"/>
    </row>
    <row r="752" spans="1:8" x14ac:dyDescent="0.3">
      <c r="A752" s="2">
        <v>3673334</v>
      </c>
      <c r="B752" s="2">
        <v>80</v>
      </c>
      <c r="C752" s="2" t="s">
        <v>6</v>
      </c>
      <c r="D752" s="2">
        <v>140</v>
      </c>
      <c r="E752" s="2"/>
      <c r="F752" s="4" t="str">
        <f>HYPERLINK("./Results/DLO\20180301_1.2.840.113619.2.416.68677916647305901156542926622197596929_2_512_512_\Osteo_Sarco_1.png","RPT")</f>
        <v>RPT</v>
      </c>
      <c r="G752" s="3">
        <v>91</v>
      </c>
      <c r="H752" s="3"/>
    </row>
    <row r="753" spans="1:8" x14ac:dyDescent="0.3">
      <c r="A753" s="2">
        <v>3673334</v>
      </c>
      <c r="B753" s="2">
        <v>80</v>
      </c>
      <c r="C753" s="2" t="s">
        <v>6</v>
      </c>
      <c r="D753" s="2">
        <v>140</v>
      </c>
      <c r="E753" s="2"/>
      <c r="F753" s="4" t="str">
        <f>HYPERLINK("./Results/DLO\20180301_1.2.840.113619.2.416.294850344411060579753389782549711743125_304_512_512_\Osteo_Sarco_1.png","RPT")</f>
        <v>RPT</v>
      </c>
      <c r="G753" s="3">
        <v>47</v>
      </c>
      <c r="H753" s="3"/>
    </row>
    <row r="754" spans="1:8" x14ac:dyDescent="0.3">
      <c r="A754" s="2">
        <v>3673334</v>
      </c>
      <c r="B754" s="2">
        <v>80</v>
      </c>
      <c r="C754" s="2" t="s">
        <v>6</v>
      </c>
      <c r="D754" s="2">
        <v>140</v>
      </c>
      <c r="E754" s="2"/>
      <c r="F754" s="4" t="str">
        <f>HYPERLINK("./Results/DLO\20180301_1.2.840.113619.2.416.125700943566611515043847509388789413200_302_512_512_\Osteo_Sarco_1.png","RPT")</f>
        <v>RPT</v>
      </c>
      <c r="G754" s="3">
        <v>46</v>
      </c>
      <c r="H754" s="3"/>
    </row>
    <row r="755" spans="1:8" x14ac:dyDescent="0.3">
      <c r="A755" s="2">
        <v>3695068</v>
      </c>
      <c r="B755" s="2">
        <v>37</v>
      </c>
      <c r="C755" s="2" t="s">
        <v>6</v>
      </c>
      <c r="D755" s="2">
        <v>100</v>
      </c>
      <c r="E755" s="2"/>
      <c r="F755" s="4" t="str">
        <f>HYPERLINK("./Results/DLO\20181201_1.2.840.113619.2.416.220851316714794289447013323474371988678_304_512_512_\Osteo_Sarco_1.png","RPT")</f>
        <v>RPT</v>
      </c>
      <c r="G755" s="3">
        <v>118</v>
      </c>
      <c r="H755" s="3"/>
    </row>
    <row r="756" spans="1:8" x14ac:dyDescent="0.3">
      <c r="A756" s="2">
        <v>3700767</v>
      </c>
      <c r="B756" s="2">
        <v>70</v>
      </c>
      <c r="C756" s="2" t="s">
        <v>6</v>
      </c>
      <c r="D756" s="2">
        <v>100</v>
      </c>
      <c r="E756" s="2"/>
      <c r="F756" s="4" t="str">
        <f>HYPERLINK("./Results/DLO\20190701_1.3.12.2.1107.5.1.4.54310.30000019070322280493700014227_6_512_512_\Osteo_Sarco_1.png","RPT")</f>
        <v>RPT</v>
      </c>
      <c r="G756" s="3">
        <v>116</v>
      </c>
      <c r="H756" s="3"/>
    </row>
    <row r="757" spans="1:8" x14ac:dyDescent="0.3">
      <c r="A757" s="2">
        <v>3706361</v>
      </c>
      <c r="B757" s="2">
        <v>41</v>
      </c>
      <c r="C757" s="2" t="s">
        <v>6</v>
      </c>
      <c r="D757" s="2">
        <v>100</v>
      </c>
      <c r="E757" s="2"/>
      <c r="F757" s="4" t="str">
        <f>HYPERLINK("./Results/DLO\20191001_1.2.410.100011.172.16.64.21.6370916576267571911.2_2_512_512_\Osteo_Sarco_1.png","RPT")</f>
        <v>RPT</v>
      </c>
      <c r="G757" s="3">
        <v>145</v>
      </c>
      <c r="H757" s="3"/>
    </row>
    <row r="758" spans="1:8" x14ac:dyDescent="0.3">
      <c r="A758" s="2">
        <v>3706361</v>
      </c>
      <c r="B758" s="2">
        <v>41</v>
      </c>
      <c r="C758" s="2" t="s">
        <v>6</v>
      </c>
      <c r="D758" s="2">
        <v>100</v>
      </c>
      <c r="E758" s="2"/>
      <c r="F758" s="4" t="str">
        <f>HYPERLINK("./Results/DLO\20191001_1.2.410.100011.172.16.64.21.6370916576267571911.4_4_512_512_\Osteo_Sarco_1.png","RPT")</f>
        <v>RPT</v>
      </c>
      <c r="G758" s="3">
        <v>143</v>
      </c>
      <c r="H758" s="3"/>
    </row>
    <row r="759" spans="1:8" x14ac:dyDescent="0.3">
      <c r="A759" s="2">
        <v>3706361</v>
      </c>
      <c r="B759" s="2">
        <v>41</v>
      </c>
      <c r="C759" s="2" t="s">
        <v>6</v>
      </c>
      <c r="D759" s="2">
        <v>100</v>
      </c>
      <c r="E759" s="2"/>
      <c r="F759" s="4" t="str">
        <f>HYPERLINK("./Results/DLO\20191001_1.2.410.100011.172.16.64.21.6370916576267571911.3_3_512_512_\Osteo_Sarco_1.png","RPT")</f>
        <v>RPT</v>
      </c>
      <c r="G759" s="3">
        <v>141</v>
      </c>
      <c r="H759" s="3"/>
    </row>
    <row r="760" spans="1:8" x14ac:dyDescent="0.3">
      <c r="A760" s="2">
        <v>3706361</v>
      </c>
      <c r="B760" s="2">
        <v>41</v>
      </c>
      <c r="C760" s="2" t="s">
        <v>6</v>
      </c>
      <c r="D760" s="2">
        <v>100</v>
      </c>
      <c r="E760" s="2"/>
      <c r="F760" s="4" t="str">
        <f>HYPERLINK("./Results/DLO\20191001_1.2.410.100011.172.16.64.21.6370916576267571911.6_6_512_512_\Osteo_Sarco_1.png","RPT")</f>
        <v>RPT</v>
      </c>
      <c r="G760" s="3">
        <v>134</v>
      </c>
      <c r="H760" s="3"/>
    </row>
    <row r="761" spans="1:8" x14ac:dyDescent="0.3">
      <c r="A761" s="2">
        <v>3706921</v>
      </c>
      <c r="B761" s="2">
        <v>52</v>
      </c>
      <c r="C761" s="2" t="s">
        <v>5</v>
      </c>
      <c r="D761" s="2">
        <v>100</v>
      </c>
      <c r="E761" s="2"/>
      <c r="F761" s="4" t="str">
        <f>HYPERLINK("./Results/DLO\20180201_1.2.840.113619.2.94.485650834948.2.8667139.18706207.1_2_512_512_\Osteo_Sarco_1.png","RPT")</f>
        <v>RPT</v>
      </c>
      <c r="G761" s="3">
        <v>157</v>
      </c>
      <c r="H761" s="3"/>
    </row>
    <row r="762" spans="1:8" x14ac:dyDescent="0.3">
      <c r="A762" s="2">
        <v>3719565</v>
      </c>
      <c r="B762" s="2">
        <v>59</v>
      </c>
      <c r="C762" s="2" t="s">
        <v>6</v>
      </c>
      <c r="D762" s="2">
        <v>100</v>
      </c>
      <c r="E762" s="2"/>
      <c r="F762" s="4" t="str">
        <f>HYPERLINK("./Results/DLO\20181001_1.3.46.670589.33.1.63676489474716083000001.5570128932567574970_201_512_512_\Osteo_Sarco_1.png","RPT")</f>
        <v>RPT</v>
      </c>
      <c r="G762" s="3">
        <v>89</v>
      </c>
      <c r="H762" s="3"/>
    </row>
    <row r="763" spans="1:8" x14ac:dyDescent="0.3">
      <c r="A763" s="2">
        <v>3730593</v>
      </c>
      <c r="B763" s="2">
        <v>83</v>
      </c>
      <c r="C763" s="2" t="s">
        <v>5</v>
      </c>
      <c r="D763" s="2">
        <v>140</v>
      </c>
      <c r="E763" s="2"/>
      <c r="F763" s="4" t="str">
        <f>HYPERLINK("./Results/DLO\20190601_1.2.840.113619.2.416.197918800565402674147046131893329704991_306_512_512_\Osteo_Sarco_1.png","RPT")</f>
        <v>RPT</v>
      </c>
      <c r="G763" s="3">
        <v>117</v>
      </c>
      <c r="H763" s="3"/>
    </row>
    <row r="764" spans="1:8" x14ac:dyDescent="0.3">
      <c r="A764" s="2">
        <v>3730593</v>
      </c>
      <c r="B764" s="2">
        <v>83</v>
      </c>
      <c r="C764" s="2" t="s">
        <v>5</v>
      </c>
      <c r="D764" s="2">
        <v>140</v>
      </c>
      <c r="E764" s="2"/>
      <c r="F764" s="4" t="str">
        <f>HYPERLINK("./Results/DLO\20190601_1.2.840.113619.2.416.16987300794021585667103908428633172454_303_512_512_\Osteo_Sarco_1.png","RPT")</f>
        <v>RPT</v>
      </c>
      <c r="G764" s="3">
        <v>116</v>
      </c>
      <c r="H764" s="3"/>
    </row>
    <row r="765" spans="1:8" x14ac:dyDescent="0.3">
      <c r="A765" s="2">
        <v>3730593</v>
      </c>
      <c r="B765" s="2">
        <v>83</v>
      </c>
      <c r="C765" s="2" t="s">
        <v>5</v>
      </c>
      <c r="D765" s="2">
        <v>140</v>
      </c>
      <c r="E765" s="2"/>
      <c r="F765" s="4" t="str">
        <f>HYPERLINK("./Results/DLO\20190601_1.2.840.113619.2.416.159230964708202255249645107445607405880_301_512_512_\Osteo_Sarco_1.png","RPT")</f>
        <v>RPT</v>
      </c>
      <c r="G765" s="3">
        <v>114</v>
      </c>
      <c r="H765" s="3"/>
    </row>
    <row r="766" spans="1:8" x14ac:dyDescent="0.3">
      <c r="A766" s="2">
        <v>3730593</v>
      </c>
      <c r="B766" s="2">
        <v>83</v>
      </c>
      <c r="C766" s="2" t="s">
        <v>5</v>
      </c>
      <c r="D766" s="2">
        <v>140</v>
      </c>
      <c r="E766" s="2"/>
      <c r="F766" s="4" t="str">
        <f>HYPERLINK("./Results/DLO\20190601_1.2.840.113619.2.416.17446777451589628508011142272943496521_2_512_512_\Osteo_Sarco_1.png","RPT")</f>
        <v>RPT</v>
      </c>
      <c r="G766" s="3">
        <v>111</v>
      </c>
      <c r="H766" s="3"/>
    </row>
    <row r="767" spans="1:8" x14ac:dyDescent="0.3">
      <c r="A767" s="2">
        <v>3737623</v>
      </c>
      <c r="B767" s="2">
        <v>63</v>
      </c>
      <c r="C767" s="2" t="s">
        <v>5</v>
      </c>
      <c r="D767" s="2">
        <v>120</v>
      </c>
      <c r="E767" s="2"/>
      <c r="F767" s="4" t="str">
        <f>HYPERLINK("./Results/DLO\20180101_1.3.12.2.1107.5.1.4.54310.30000018010123073556200032113_8_512_512_\Osteo_Sarco_1.png","RPT")</f>
        <v>RPT</v>
      </c>
      <c r="G767" s="3">
        <v>151</v>
      </c>
      <c r="H767" s="3"/>
    </row>
    <row r="768" spans="1:8" x14ac:dyDescent="0.3">
      <c r="A768" s="2">
        <v>3737623</v>
      </c>
      <c r="B768" s="2">
        <v>63</v>
      </c>
      <c r="C768" s="2" t="s">
        <v>5</v>
      </c>
      <c r="D768" s="2">
        <v>120</v>
      </c>
      <c r="E768" s="2"/>
      <c r="F768" s="4" t="str">
        <f>HYPERLINK("./Results/DLO\20180101_1.3.12.2.1107.5.1.4.54310.30000018010123112871800016030_7_512_512_\Osteo_Sarco_1.png","RPT")</f>
        <v>RPT</v>
      </c>
      <c r="G768" s="3">
        <v>151</v>
      </c>
      <c r="H768" s="3"/>
    </row>
    <row r="769" spans="1:8" x14ac:dyDescent="0.3">
      <c r="A769" s="2">
        <v>3737623</v>
      </c>
      <c r="B769" s="2">
        <v>63</v>
      </c>
      <c r="C769" s="2" t="s">
        <v>5</v>
      </c>
      <c r="D769" s="2">
        <v>120</v>
      </c>
      <c r="E769" s="2"/>
      <c r="F769" s="4" t="str">
        <f>HYPERLINK("./Results/DLO\20180101_1.3.12.2.1107.5.1.4.54310.30000018010123073556200031535_5_512_512_\Osteo_Sarco_1.png","RPT")</f>
        <v>RPT</v>
      </c>
      <c r="G769" s="3">
        <v>150</v>
      </c>
      <c r="H769" s="3"/>
    </row>
    <row r="770" spans="1:8" x14ac:dyDescent="0.3">
      <c r="A770" s="2">
        <v>3737623</v>
      </c>
      <c r="B770" s="2">
        <v>63</v>
      </c>
      <c r="C770" s="2" t="s">
        <v>5</v>
      </c>
      <c r="D770" s="2">
        <v>100</v>
      </c>
      <c r="E770" s="2"/>
      <c r="F770" s="4" t="str">
        <f>HYPERLINK("./Results/DLO\20180101_1.3.12.2.1107.5.1.4.54310.30000018010123073556200031451_3_512_512_\Osteo_Sarco_1.png","RPT")</f>
        <v>RPT</v>
      </c>
      <c r="G770" s="3">
        <v>147</v>
      </c>
      <c r="H770" s="3"/>
    </row>
    <row r="771" spans="1:8" x14ac:dyDescent="0.3">
      <c r="A771" s="2">
        <v>3751891</v>
      </c>
      <c r="B771" s="2">
        <v>50</v>
      </c>
      <c r="C771" s="2" t="s">
        <v>6</v>
      </c>
      <c r="D771" s="2">
        <v>100</v>
      </c>
      <c r="E771" s="2"/>
      <c r="F771" s="4" t="str">
        <f>HYPERLINK("./Results/DLO\20190501_1.3.46.670589.33.1.63692818117586791800001.5011847479235483957_201_512_512_\Osteo_Sarco_1.png","RPT")</f>
        <v>RPT</v>
      </c>
      <c r="G771" s="3">
        <v>107</v>
      </c>
      <c r="H771" s="3"/>
    </row>
    <row r="772" spans="1:8" x14ac:dyDescent="0.3">
      <c r="A772" s="2">
        <v>3757780</v>
      </c>
      <c r="B772" s="2">
        <v>56</v>
      </c>
      <c r="C772" s="2" t="s">
        <v>6</v>
      </c>
      <c r="D772" s="2">
        <v>100</v>
      </c>
      <c r="E772" s="2"/>
      <c r="F772" s="4" t="str">
        <f>HYPERLINK("./Results/DLO\20180101_1.3.12.2.1107.5.1.4.54310.30000018010923142259300011944_2_512_512_\Osteo_Sarco_1.png","RPT")</f>
        <v>RPT</v>
      </c>
      <c r="G772" s="3">
        <v>120</v>
      </c>
      <c r="H772" s="3"/>
    </row>
    <row r="773" spans="1:8" x14ac:dyDescent="0.3">
      <c r="A773" s="2">
        <v>3771862</v>
      </c>
      <c r="B773" s="2">
        <v>69</v>
      </c>
      <c r="C773" s="2" t="s">
        <v>6</v>
      </c>
      <c r="D773" s="2">
        <v>140</v>
      </c>
      <c r="E773" s="2"/>
      <c r="F773" s="4" t="str">
        <f>HYPERLINK("./Results/DLO\20180601_1.2.840.113619.2.416.185430464835319547019547253560216932303_302_512_512_\Osteo_Sarco_1.png","RPT")</f>
        <v>RPT</v>
      </c>
      <c r="G773" s="3">
        <v>91</v>
      </c>
      <c r="H773" s="3"/>
    </row>
    <row r="774" spans="1:8" x14ac:dyDescent="0.3">
      <c r="A774" s="2">
        <v>3771862</v>
      </c>
      <c r="B774" s="2">
        <v>69</v>
      </c>
      <c r="C774" s="2" t="s">
        <v>6</v>
      </c>
      <c r="D774" s="2">
        <v>120</v>
      </c>
      <c r="E774" s="2"/>
      <c r="F774" s="4" t="str">
        <f>HYPERLINK("./Results/DLO\20180601_1.2.840.113619.2.416.291564842872266029180788982151338611732_2_512_512_\Osteo_Sarco_1.png","RPT")</f>
        <v>RPT</v>
      </c>
      <c r="G774" s="3">
        <v>91</v>
      </c>
      <c r="H774" s="3"/>
    </row>
    <row r="775" spans="1:8" x14ac:dyDescent="0.3">
      <c r="A775" s="2">
        <v>3774026</v>
      </c>
      <c r="B775" s="2">
        <v>66</v>
      </c>
      <c r="C775" s="2" t="s">
        <v>6</v>
      </c>
      <c r="D775" s="2">
        <v>140</v>
      </c>
      <c r="E775" s="2"/>
      <c r="F775" s="4" t="str">
        <f>HYPERLINK("./Results/DLO\20181101_1.2.840.113619.2.416.180380918587363632441331447183946041204_302_512_512_\Osteo_Sarco_1.png","RPT")</f>
        <v>RPT</v>
      </c>
      <c r="G775" s="3">
        <v>111</v>
      </c>
      <c r="H775" s="3"/>
    </row>
    <row r="776" spans="1:8" x14ac:dyDescent="0.3">
      <c r="A776" s="2">
        <v>3774026</v>
      </c>
      <c r="B776" s="2">
        <v>66</v>
      </c>
      <c r="C776" s="2" t="s">
        <v>6</v>
      </c>
      <c r="D776" s="2">
        <v>120</v>
      </c>
      <c r="E776" s="2"/>
      <c r="F776" s="4" t="str">
        <f>HYPERLINK("./Results/DLO\20181101_1.2.840.113619.2.416.150710206003616225912867060687301472959_2_512_512_\Osteo_Sarco_1.png","RPT")</f>
        <v>RPT</v>
      </c>
      <c r="G776" s="3">
        <v>108</v>
      </c>
      <c r="H776" s="3"/>
    </row>
    <row r="777" spans="1:8" x14ac:dyDescent="0.3">
      <c r="A777" s="2">
        <v>3777924</v>
      </c>
      <c r="B777" s="2">
        <v>59</v>
      </c>
      <c r="C777" s="2" t="s">
        <v>5</v>
      </c>
      <c r="D777" s="2">
        <v>120</v>
      </c>
      <c r="E777" s="2"/>
      <c r="F777" s="4" t="str">
        <f>HYPERLINK("./Results/DLO\20180701_1.2.840.113619.2.416.299529858850006458190400374046479695081_2_512_512_\Osteo_Sarco_1.png","RPT")</f>
        <v>RPT</v>
      </c>
      <c r="G777" s="3">
        <v>141</v>
      </c>
      <c r="H777" s="3"/>
    </row>
    <row r="778" spans="1:8" x14ac:dyDescent="0.3">
      <c r="A778" s="2">
        <v>3788125</v>
      </c>
      <c r="B778" s="2">
        <v>68</v>
      </c>
      <c r="C778" s="2" t="s">
        <v>5</v>
      </c>
      <c r="D778" s="2">
        <v>140</v>
      </c>
      <c r="E778" s="2"/>
      <c r="F778" s="4" t="str">
        <f>HYPERLINK("./Results/DLO\20180301_1.2.840.113619.2.416.324841465212518767120753609687671500415_303_512_512_\Osteo_Sarco_1.png","RPT")</f>
        <v>RPT</v>
      </c>
      <c r="G778" s="3">
        <v>132</v>
      </c>
      <c r="H778" s="3"/>
    </row>
    <row r="779" spans="1:8" x14ac:dyDescent="0.3">
      <c r="A779" s="2">
        <v>3788125</v>
      </c>
      <c r="B779" s="2">
        <v>68</v>
      </c>
      <c r="C779" s="2" t="s">
        <v>5</v>
      </c>
      <c r="D779" s="2">
        <v>140</v>
      </c>
      <c r="E779" s="2"/>
      <c r="F779" s="4" t="str">
        <f>HYPERLINK("./Results/DLO\20180301_1.2.840.113619.2.416.312735786787194110229390986751169234815_2_512_512_\Osteo_Sarco_1.png","RPT")</f>
        <v>RPT</v>
      </c>
      <c r="G779" s="3">
        <v>131</v>
      </c>
      <c r="H779" s="3"/>
    </row>
    <row r="780" spans="1:8" x14ac:dyDescent="0.3">
      <c r="A780" s="2">
        <v>3788953</v>
      </c>
      <c r="B780" s="2">
        <v>63</v>
      </c>
      <c r="C780" s="2" t="s">
        <v>6</v>
      </c>
      <c r="D780" s="2">
        <v>120</v>
      </c>
      <c r="E780" s="2"/>
      <c r="F780" s="4" t="str">
        <f>HYPERLINK("./Results/DLO\20181201_1.3.12.2.1107.5.1.4.54310.30000018121823264617100000771_9_512_512_\Osteo_Sarco_1.png","RPT")</f>
        <v>RPT</v>
      </c>
      <c r="G780" s="3">
        <v>102</v>
      </c>
      <c r="H780" s="3"/>
    </row>
    <row r="781" spans="1:8" x14ac:dyDescent="0.3">
      <c r="A781" s="2">
        <v>3788953</v>
      </c>
      <c r="B781" s="2">
        <v>63</v>
      </c>
      <c r="C781" s="2" t="s">
        <v>6</v>
      </c>
      <c r="D781" s="2">
        <v>100</v>
      </c>
      <c r="E781" s="2"/>
      <c r="F781" s="4" t="str">
        <f>HYPERLINK("./Results/DLO\20181201_1.3.12.2.1107.5.1.4.54310.30000018121823264617100000001_3_512_512_\Osteo_Sarco_1.png","RPT")</f>
        <v>RPT</v>
      </c>
      <c r="G781" s="3">
        <v>100</v>
      </c>
      <c r="H781" s="3"/>
    </row>
    <row r="782" spans="1:8" x14ac:dyDescent="0.3">
      <c r="A782" s="2">
        <v>3788953</v>
      </c>
      <c r="B782" s="2">
        <v>63</v>
      </c>
      <c r="C782" s="2" t="s">
        <v>6</v>
      </c>
      <c r="D782" s="2">
        <v>120</v>
      </c>
      <c r="E782" s="2"/>
      <c r="F782" s="4" t="str">
        <f>HYPERLINK("./Results/DLO\20181201_1.3.12.2.1107.5.1.4.54310.30000018121823264617100000460_7_512_512_\Osteo_Sarco_1.png","RPT")</f>
        <v>RPT</v>
      </c>
      <c r="G782" s="3">
        <v>100</v>
      </c>
      <c r="H782" s="3"/>
    </row>
    <row r="783" spans="1:8" x14ac:dyDescent="0.3">
      <c r="A783" s="2">
        <v>3788953</v>
      </c>
      <c r="B783" s="2">
        <v>63</v>
      </c>
      <c r="C783" s="2" t="s">
        <v>6</v>
      </c>
      <c r="D783" s="2">
        <v>120</v>
      </c>
      <c r="E783" s="2"/>
      <c r="F783" s="4" t="str">
        <f>HYPERLINK("./Results/DLO\20181201_1.3.12.2.1107.5.1.4.54310.30000018121823264617100000086_5_512_512_\Osteo_Sarco_1.png","RPT")</f>
        <v>RPT</v>
      </c>
      <c r="G783" s="3">
        <v>99</v>
      </c>
      <c r="H783" s="3"/>
    </row>
    <row r="784" spans="1:8" x14ac:dyDescent="0.3">
      <c r="A784" s="2">
        <v>3791536</v>
      </c>
      <c r="B784" s="2">
        <v>33</v>
      </c>
      <c r="C784" s="2" t="s">
        <v>5</v>
      </c>
      <c r="D784" s="2">
        <v>120</v>
      </c>
      <c r="E784" s="2"/>
      <c r="F784" s="4" t="str">
        <f>HYPERLINK("./Results/DLO\_1.2.410.100011.172.24.16.183.6365058589638636491.6.6_6_512_512_\Osteo_Sarco_1.png","RPT")</f>
        <v>RPT</v>
      </c>
      <c r="G784" s="3">
        <v>152</v>
      </c>
      <c r="H784" s="3"/>
    </row>
    <row r="785" spans="1:8" x14ac:dyDescent="0.3">
      <c r="A785" s="2">
        <v>3791536</v>
      </c>
      <c r="B785" s="2">
        <v>33</v>
      </c>
      <c r="C785" s="2" t="s">
        <v>5</v>
      </c>
      <c r="D785" s="2">
        <v>120</v>
      </c>
      <c r="E785" s="2"/>
      <c r="F785" s="4" t="str">
        <f>HYPERLINK("./Results/DLO\_1.2.410.100011.172.24.16.183.6365058589638636491.7.7_7_512_512_\Osteo_Sarco_1.png","RPT")</f>
        <v>RPT</v>
      </c>
      <c r="G785" s="3">
        <v>151</v>
      </c>
      <c r="H785" s="3"/>
    </row>
    <row r="786" spans="1:8" x14ac:dyDescent="0.3">
      <c r="A786" s="2">
        <v>3791536</v>
      </c>
      <c r="B786" s="2">
        <v>33</v>
      </c>
      <c r="C786" s="2" t="s">
        <v>5</v>
      </c>
      <c r="D786" s="2">
        <v>120</v>
      </c>
      <c r="E786" s="2"/>
      <c r="F786" s="4" t="str">
        <f>HYPERLINK("./Results/DLO\_1.2.410.100011.172.24.16.183.6365058589638636491.2.2_2_512_512_\Osteo_Sarco_1.png","RPT")</f>
        <v>RPT</v>
      </c>
      <c r="G786" s="3">
        <v>150</v>
      </c>
      <c r="H786" s="3"/>
    </row>
    <row r="787" spans="1:8" x14ac:dyDescent="0.3">
      <c r="A787" s="2">
        <v>3791536</v>
      </c>
      <c r="B787" s="2">
        <v>33</v>
      </c>
      <c r="C787" s="2" t="s">
        <v>5</v>
      </c>
      <c r="D787" s="2">
        <v>120</v>
      </c>
      <c r="E787" s="2"/>
      <c r="F787" s="4" t="str">
        <f>HYPERLINK("./Results/DLO\_1.2.410.100011.172.24.16.183.6365058589638636491.5.5_5_512_512_\Osteo_Sarco_1.png","RPT")</f>
        <v>RPT</v>
      </c>
      <c r="G787" s="3">
        <v>150</v>
      </c>
      <c r="H787" s="3"/>
    </row>
    <row r="788" spans="1:8" x14ac:dyDescent="0.3">
      <c r="A788" s="2">
        <v>3795850</v>
      </c>
      <c r="B788" s="2">
        <v>59</v>
      </c>
      <c r="C788" s="2" t="s">
        <v>6</v>
      </c>
      <c r="D788" s="2">
        <v>100</v>
      </c>
      <c r="E788" s="2"/>
      <c r="F788" s="4" t="str">
        <f>HYPERLINK("./Results/DLO\20190601_1.3.46.670589.33.1.63696105157122293400001.5296152621331369251_601_512_512_\Osteo_Sarco_1.png","RPT")</f>
        <v>RPT</v>
      </c>
      <c r="G788" s="3">
        <v>102</v>
      </c>
      <c r="H788" s="3"/>
    </row>
    <row r="789" spans="1:8" x14ac:dyDescent="0.3">
      <c r="A789" s="2">
        <v>3809068</v>
      </c>
      <c r="B789" s="2">
        <v>37</v>
      </c>
      <c r="C789" s="2" t="s">
        <v>5</v>
      </c>
      <c r="D789" s="2">
        <v>100</v>
      </c>
      <c r="E789" s="2"/>
      <c r="F789" s="4" t="str">
        <f>HYPERLINK("./Results/DLO\20181101_1.3.12.2.1107.5.1.4.54310.30000018112823185235900054209_3_512_512_\Osteo_Sarco_1.png","RPT")</f>
        <v>RPT</v>
      </c>
      <c r="G789" s="3">
        <v>119</v>
      </c>
      <c r="H789" s="3"/>
    </row>
    <row r="790" spans="1:8" x14ac:dyDescent="0.3">
      <c r="A790" s="2">
        <v>3809068</v>
      </c>
      <c r="B790" s="2">
        <v>37</v>
      </c>
      <c r="C790" s="2" t="s">
        <v>5</v>
      </c>
      <c r="D790" s="2">
        <v>100</v>
      </c>
      <c r="E790" s="2"/>
      <c r="F790" s="4" t="str">
        <f>HYPERLINK("./Results/DLO\20181101_1.3.12.2.1107.5.1.4.54310.30000018112823185235900054057_2_512_512_\Osteo_Sarco_1.png","RPT")</f>
        <v>RPT</v>
      </c>
      <c r="G790" s="3">
        <v>118</v>
      </c>
      <c r="H790" s="3"/>
    </row>
    <row r="791" spans="1:8" x14ac:dyDescent="0.3">
      <c r="A791" s="2">
        <v>3830603</v>
      </c>
      <c r="B791" s="2">
        <v>56</v>
      </c>
      <c r="C791" s="2" t="s">
        <v>6</v>
      </c>
      <c r="D791" s="2">
        <v>140</v>
      </c>
      <c r="E791" s="2"/>
      <c r="F791" s="4" t="str">
        <f>HYPERLINK("./Results/DLO\20181001_1.2.840.113619.2.416.313213045166335236962262761754061111950_308_512_512_\Osteo_Sarco_1.png","RPT")</f>
        <v>RPT</v>
      </c>
      <c r="G791" s="3">
        <v>129</v>
      </c>
      <c r="H791" s="3"/>
    </row>
    <row r="792" spans="1:8" x14ac:dyDescent="0.3">
      <c r="A792" s="2">
        <v>3830603</v>
      </c>
      <c r="B792" s="2">
        <v>56</v>
      </c>
      <c r="C792" s="2" t="s">
        <v>6</v>
      </c>
      <c r="D792" s="2">
        <v>140</v>
      </c>
      <c r="E792" s="2"/>
      <c r="F792" s="4" t="str">
        <f>HYPERLINK("./Results/DLO\20181001_1.2.840.113619.2.416.53766982908930484810152966827145810672_305_512_512_\Osteo_Sarco_1.png","RPT")</f>
        <v>RPT</v>
      </c>
      <c r="G792" s="3">
        <v>128</v>
      </c>
      <c r="H792" s="3"/>
    </row>
    <row r="793" spans="1:8" x14ac:dyDescent="0.3">
      <c r="A793" s="2">
        <v>3830603</v>
      </c>
      <c r="B793" s="2">
        <v>56</v>
      </c>
      <c r="C793" s="2" t="s">
        <v>6</v>
      </c>
      <c r="D793" s="2">
        <v>140</v>
      </c>
      <c r="E793" s="2"/>
      <c r="F793" s="4" t="str">
        <f>HYPERLINK("./Results/DLO\20181001_1.2.840.113619.2.416.67713879621935114837994626505169227793_303_512_512_\Osteo_Sarco_1.png","RPT")</f>
        <v>RPT</v>
      </c>
      <c r="G793" s="3">
        <v>128</v>
      </c>
      <c r="H793" s="3"/>
    </row>
    <row r="794" spans="1:8" x14ac:dyDescent="0.3">
      <c r="A794" s="2">
        <v>3830603</v>
      </c>
      <c r="B794" s="2">
        <v>56</v>
      </c>
      <c r="C794" s="2" t="s">
        <v>6</v>
      </c>
      <c r="D794" s="2">
        <v>140</v>
      </c>
      <c r="E794" s="2"/>
      <c r="F794" s="4" t="str">
        <f>HYPERLINK("./Results/DLO\20181001_1.2.840.113619.2.416.160725798516447169482152821617410595231_301_512_512_\Osteo_Sarco_1.png","RPT")</f>
        <v>RPT</v>
      </c>
      <c r="G794" s="3">
        <v>126</v>
      </c>
      <c r="H794" s="3"/>
    </row>
    <row r="795" spans="1:8" x14ac:dyDescent="0.3">
      <c r="A795" s="2">
        <v>3840680</v>
      </c>
      <c r="B795" s="2">
        <v>42</v>
      </c>
      <c r="C795" s="2" t="s">
        <v>6</v>
      </c>
      <c r="D795" s="2">
        <v>100</v>
      </c>
      <c r="E795" s="2"/>
      <c r="F795" s="4" t="str">
        <f>HYPERLINK("./Results/DLO\20190101_1.3.46.670589.33.1.63683920888824281000001.5151920949246974927_301_512_512_\Osteo_Sarco_1.png","RPT")</f>
        <v>RPT</v>
      </c>
      <c r="G795" s="3">
        <v>111</v>
      </c>
      <c r="H795" s="3"/>
    </row>
    <row r="796" spans="1:8" x14ac:dyDescent="0.3">
      <c r="A796" s="2">
        <v>3840680</v>
      </c>
      <c r="B796" s="2">
        <v>42</v>
      </c>
      <c r="C796" s="2" t="s">
        <v>6</v>
      </c>
      <c r="D796" s="2">
        <v>100</v>
      </c>
      <c r="E796" s="2"/>
      <c r="F796" s="4" t="str">
        <f>HYPERLINK("./Results/DLO\20190101_1.3.46.670589.33.1.63683920760857961800001.5501817612133264868_201_512_512_\Osteo_Sarco_1.png","RPT")</f>
        <v>RPT</v>
      </c>
      <c r="G796" s="3">
        <v>110</v>
      </c>
      <c r="H796" s="3"/>
    </row>
    <row r="797" spans="1:8" x14ac:dyDescent="0.3">
      <c r="A797" s="2">
        <v>3845771</v>
      </c>
      <c r="B797" s="2">
        <v>56</v>
      </c>
      <c r="C797" s="2" t="s">
        <v>6</v>
      </c>
      <c r="D797" s="2">
        <v>120</v>
      </c>
      <c r="E797" s="2"/>
      <c r="F797" s="4" t="str">
        <f>HYPERLINK("./Results/DLO\20181101_1.3.12.2.1107.5.1.4.54310.30000018111523274756200006323_7_512_512_\Osteo_Sarco_1.png","RPT")</f>
        <v>RPT</v>
      </c>
      <c r="G797" s="3">
        <v>111</v>
      </c>
      <c r="H797" s="3"/>
    </row>
    <row r="798" spans="1:8" x14ac:dyDescent="0.3">
      <c r="A798" s="2">
        <v>3845771</v>
      </c>
      <c r="B798" s="2">
        <v>56</v>
      </c>
      <c r="C798" s="2" t="s">
        <v>6</v>
      </c>
      <c r="D798" s="2">
        <v>120</v>
      </c>
      <c r="E798" s="2"/>
      <c r="F798" s="4" t="str">
        <f>HYPERLINK("./Results/DLO\20181101_1.3.12.2.1107.5.1.4.54310.30000018111523274756200006614_9_512_512_\Osteo_Sarco_1.png","RPT")</f>
        <v>RPT</v>
      </c>
      <c r="G798" s="3">
        <v>111</v>
      </c>
      <c r="H798" s="3"/>
    </row>
    <row r="799" spans="1:8" x14ac:dyDescent="0.3">
      <c r="A799" s="2">
        <v>3845771</v>
      </c>
      <c r="B799" s="2">
        <v>56</v>
      </c>
      <c r="C799" s="2" t="s">
        <v>6</v>
      </c>
      <c r="D799" s="2">
        <v>120</v>
      </c>
      <c r="E799" s="2"/>
      <c r="F799" s="4" t="str">
        <f>HYPERLINK("./Results/DLO\20181101_1.3.12.2.1107.5.1.4.54310.30000018111523274756200005945_5_512_512_\Osteo_Sarco_1.png","RPT")</f>
        <v>RPT</v>
      </c>
      <c r="G799" s="3">
        <v>109</v>
      </c>
      <c r="H799" s="3"/>
    </row>
    <row r="800" spans="1:8" x14ac:dyDescent="0.3">
      <c r="A800" s="2">
        <v>3845771</v>
      </c>
      <c r="B800" s="2">
        <v>56</v>
      </c>
      <c r="C800" s="2" t="s">
        <v>6</v>
      </c>
      <c r="D800" s="2">
        <v>100</v>
      </c>
      <c r="E800" s="2"/>
      <c r="F800" s="4" t="str">
        <f>HYPERLINK("./Results/DLO\20181101_1.3.12.2.1107.5.1.4.54310.30000018111523274756200005849_3_512_512_\Osteo_Sarco_1.png","RPT")</f>
        <v>RPT</v>
      </c>
      <c r="G800" s="3">
        <v>107</v>
      </c>
      <c r="H800" s="3"/>
    </row>
    <row r="801" spans="1:8" x14ac:dyDescent="0.3">
      <c r="A801" s="2">
        <v>3849175</v>
      </c>
      <c r="B801" s="2">
        <v>77</v>
      </c>
      <c r="C801" s="2" t="s">
        <v>5</v>
      </c>
      <c r="D801" s="2">
        <v>80</v>
      </c>
      <c r="E801" s="2"/>
      <c r="F801" s="4" t="str">
        <f>HYPERLINK("./Results/DLO\20191001_1.2.410.200069.10820110185.1012000.20250826013921066937_931_512_512_\Osteo_Sarco_1.png","RPT")</f>
        <v>RPT</v>
      </c>
      <c r="G801" s="3">
        <v>106</v>
      </c>
      <c r="H801" s="3"/>
    </row>
    <row r="802" spans="1:8" x14ac:dyDescent="0.3">
      <c r="A802" s="2">
        <v>3849175</v>
      </c>
      <c r="B802" s="2">
        <v>77</v>
      </c>
      <c r="C802" s="2" t="s">
        <v>5</v>
      </c>
      <c r="D802" s="2">
        <v>100</v>
      </c>
      <c r="E802" s="2"/>
      <c r="F802" s="4" t="str">
        <f>HYPERLINK("./Results/DLO\20191001_1.3.12.2.1107.5.1.4.65253.30000019101617195865400031186_2_512_512_\Osteo_Sarco_1.png","RPT")</f>
        <v>RPT</v>
      </c>
      <c r="G802" s="3">
        <v>106</v>
      </c>
      <c r="H802" s="3"/>
    </row>
    <row r="803" spans="1:8" x14ac:dyDescent="0.3">
      <c r="A803" s="2">
        <v>3849175</v>
      </c>
      <c r="B803" s="2">
        <v>77</v>
      </c>
      <c r="C803" s="2" t="s">
        <v>5</v>
      </c>
      <c r="D803" s="2">
        <v>80</v>
      </c>
      <c r="E803" s="2"/>
      <c r="F803" s="4" t="str">
        <f>HYPERLINK("./Results/DLO\20191001_1.3.12.2.1107.5.1.4.65253.30000019101617195865400031335_3_512_512_\Osteo_Sarco_1.png","RPT")</f>
        <v>RPT</v>
      </c>
      <c r="G803" s="3">
        <v>106</v>
      </c>
      <c r="H803" s="3"/>
    </row>
    <row r="804" spans="1:8" x14ac:dyDescent="0.3">
      <c r="A804" s="2">
        <v>3849175</v>
      </c>
      <c r="B804" s="2">
        <v>77</v>
      </c>
      <c r="C804" s="2" t="s">
        <v>5</v>
      </c>
      <c r="D804" s="2">
        <v>80</v>
      </c>
      <c r="E804" s="2"/>
      <c r="F804" s="4" t="str">
        <f>HYPERLINK("./Results/DLO\20191001_1.2.410.200069.80820110186.1160115.20250826013902022916_7316_512_512_\Osteo_Sarco_1.png","RPT")</f>
        <v>RPT</v>
      </c>
      <c r="G804" s="3">
        <v>105</v>
      </c>
      <c r="H804" s="3"/>
    </row>
    <row r="805" spans="1:8" x14ac:dyDescent="0.3">
      <c r="A805" s="2">
        <v>3865090</v>
      </c>
      <c r="B805" s="2">
        <v>67</v>
      </c>
      <c r="C805" s="2" t="s">
        <v>6</v>
      </c>
      <c r="D805" s="2">
        <v>120</v>
      </c>
      <c r="E805" s="2"/>
      <c r="F805" s="4" t="str">
        <f>HYPERLINK("./Results/DLO\20180601_1.3.12.2.1107.5.1.4.54310.30000018060423092392100012882_5_512_512_\Osteo_Sarco_1.png","RPT")</f>
        <v>RPT</v>
      </c>
      <c r="G805" s="3">
        <v>115</v>
      </c>
      <c r="H805" s="3"/>
    </row>
    <row r="806" spans="1:8" x14ac:dyDescent="0.3">
      <c r="A806" s="2">
        <v>3865090</v>
      </c>
      <c r="B806" s="2">
        <v>67</v>
      </c>
      <c r="C806" s="2" t="s">
        <v>6</v>
      </c>
      <c r="D806" s="2">
        <v>120</v>
      </c>
      <c r="E806" s="2"/>
      <c r="F806" s="4" t="str">
        <f>HYPERLINK("./Results/DLO\20180601_1.3.12.2.1107.5.1.4.54310.30000018060423092392100013883_9_512_512_\Osteo_Sarco_1.png","RPT")</f>
        <v>RPT</v>
      </c>
      <c r="G806" s="3">
        <v>114</v>
      </c>
      <c r="H806" s="3"/>
    </row>
    <row r="807" spans="1:8" x14ac:dyDescent="0.3">
      <c r="A807" s="2">
        <v>3865090</v>
      </c>
      <c r="B807" s="2">
        <v>67</v>
      </c>
      <c r="C807" s="2" t="s">
        <v>6</v>
      </c>
      <c r="D807" s="2">
        <v>120</v>
      </c>
      <c r="E807" s="2"/>
      <c r="F807" s="4" t="str">
        <f>HYPERLINK("./Results/DLO\20180601_1.3.12.2.1107.5.1.4.54310.30000018060423092392100013267_7_512_512_\Osteo_Sarco_1.png","RPT")</f>
        <v>RPT</v>
      </c>
      <c r="G807" s="3">
        <v>112</v>
      </c>
      <c r="H807" s="3"/>
    </row>
    <row r="808" spans="1:8" x14ac:dyDescent="0.3">
      <c r="A808" s="2">
        <v>3865090</v>
      </c>
      <c r="B808" s="2">
        <v>67</v>
      </c>
      <c r="C808" s="2" t="s">
        <v>6</v>
      </c>
      <c r="D808" s="2">
        <v>100</v>
      </c>
      <c r="E808" s="2"/>
      <c r="F808" s="4" t="str">
        <f>HYPERLINK("./Results/DLO\20180601_1.3.12.2.1107.5.1.4.54310.30000018060423092392100012401_3_512_512_\Osteo_Sarco_1.png","RPT")</f>
        <v>RPT</v>
      </c>
      <c r="G808" s="3">
        <v>110</v>
      </c>
      <c r="H808" s="3"/>
    </row>
    <row r="809" spans="1:8" x14ac:dyDescent="0.3">
      <c r="A809" s="2">
        <v>3867761</v>
      </c>
      <c r="B809" s="2">
        <v>60</v>
      </c>
      <c r="C809" s="2" t="s">
        <v>6</v>
      </c>
      <c r="D809" s="2">
        <v>100</v>
      </c>
      <c r="E809" s="2"/>
      <c r="F809" s="4" t="str">
        <f>HYPERLINK("./Results/DLO\20180801_1.2.840.113619.2.311.144731390659622771008156345057377875546_304_512_512_\Osteo_Sarco_1.png","RPT")</f>
        <v>RPT</v>
      </c>
      <c r="G809" s="3">
        <v>98</v>
      </c>
      <c r="H809" s="3"/>
    </row>
    <row r="810" spans="1:8" x14ac:dyDescent="0.3">
      <c r="A810" s="2">
        <v>3868306</v>
      </c>
      <c r="B810" s="2">
        <v>44</v>
      </c>
      <c r="C810" s="2" t="s">
        <v>5</v>
      </c>
      <c r="D810" s="2">
        <v>100</v>
      </c>
      <c r="E810" s="2"/>
      <c r="F810" s="4" t="str">
        <f>HYPERLINK("./Results/DLO\20180401_1.3.12.2.1107.5.1.4.54310.30000018041823081834300008878_3_512_512_\Osteo_Sarco_1.png","RPT")</f>
        <v>RPT</v>
      </c>
      <c r="G810" s="3">
        <v>159</v>
      </c>
      <c r="H810" s="3"/>
    </row>
    <row r="811" spans="1:8" x14ac:dyDescent="0.3">
      <c r="A811" s="2">
        <v>3868306</v>
      </c>
      <c r="B811" s="2">
        <v>44</v>
      </c>
      <c r="C811" s="2" t="s">
        <v>5</v>
      </c>
      <c r="D811" s="2">
        <v>100</v>
      </c>
      <c r="E811" s="2"/>
      <c r="F811" s="4" t="str">
        <f>HYPERLINK("./Results/DLO\20180401_1.3.12.2.1107.5.1.4.54310.30000018041823081834300008717_2_512_512_\Osteo_Sarco_1.png","RPT")</f>
        <v>RPT</v>
      </c>
      <c r="G811" s="3">
        <v>158</v>
      </c>
      <c r="H811" s="3"/>
    </row>
    <row r="812" spans="1:8" x14ac:dyDescent="0.3">
      <c r="A812" s="2">
        <v>3870246</v>
      </c>
      <c r="B812" s="2">
        <v>62</v>
      </c>
      <c r="C812" s="2" t="s">
        <v>6</v>
      </c>
      <c r="D812" s="2">
        <v>140</v>
      </c>
      <c r="E812" s="2"/>
      <c r="F812" s="4" t="str">
        <f>HYPERLINK("./Results/DLO\20190501_1.2.840.113619.2.416.17457381385047335549129640507196017455_302_512_512_\Osteo_Sarco_1.png","RPT")</f>
        <v>RPT</v>
      </c>
      <c r="G812" s="3">
        <v>112</v>
      </c>
      <c r="H812" s="3"/>
    </row>
    <row r="813" spans="1:8" x14ac:dyDescent="0.3">
      <c r="A813" s="2">
        <v>3870246</v>
      </c>
      <c r="B813" s="2">
        <v>62</v>
      </c>
      <c r="C813" s="2" t="s">
        <v>6</v>
      </c>
      <c r="D813" s="2">
        <v>140</v>
      </c>
      <c r="E813" s="2"/>
      <c r="F813" s="4" t="str">
        <f>HYPERLINK("./Results/DLO\20190501_1.2.840.113619.2.416.303753773789670272795924090649743877889_303_512_512_\Osteo_Sarco_1.png","RPT")</f>
        <v>RPT</v>
      </c>
      <c r="G813" s="3">
        <v>108</v>
      </c>
      <c r="H813" s="3"/>
    </row>
    <row r="814" spans="1:8" x14ac:dyDescent="0.3">
      <c r="A814" s="2">
        <v>3876935</v>
      </c>
      <c r="B814" s="2">
        <v>88</v>
      </c>
      <c r="C814" s="2" t="s">
        <v>5</v>
      </c>
      <c r="D814" s="2">
        <v>100</v>
      </c>
      <c r="E814" s="2"/>
      <c r="F814" s="4" t="str">
        <f>HYPERLINK("./Results/DLO\20180101_1.2.840.113619.2.311.291705938661334106406588733107689546684_304_512_512_\Osteo_Sarco_1.png","RPT")</f>
        <v>RPT</v>
      </c>
      <c r="G814" s="3">
        <v>96</v>
      </c>
      <c r="H814" s="3"/>
    </row>
    <row r="815" spans="1:8" x14ac:dyDescent="0.3">
      <c r="A815" s="2">
        <v>3876935</v>
      </c>
      <c r="B815" s="2">
        <v>90</v>
      </c>
      <c r="C815" s="2" t="s">
        <v>5</v>
      </c>
      <c r="D815" s="2">
        <v>100</v>
      </c>
      <c r="E815" s="2"/>
      <c r="F815" s="4" t="str">
        <f>HYPERLINK("./Results/DLO\20190901_1.3.12.2.1107.5.1.4.65253.30000019092420135070400042791_2_512_512_\Osteo_Sarco_1.png","RPT")</f>
        <v>RPT</v>
      </c>
      <c r="G815" s="3">
        <v>92</v>
      </c>
      <c r="H815" s="3"/>
    </row>
    <row r="816" spans="1:8" x14ac:dyDescent="0.3">
      <c r="A816" s="2">
        <v>3878745</v>
      </c>
      <c r="B816" s="2">
        <v>47</v>
      </c>
      <c r="C816" s="2" t="s">
        <v>6</v>
      </c>
      <c r="D816" s="2">
        <v>100</v>
      </c>
      <c r="E816" s="2"/>
      <c r="F816" s="4" t="str">
        <f>HYPERLINK("./Results/DLO\20190901_1.3.12.2.1107.5.1.4.65253.30000019091819451358900035468_3_512_512_\Osteo_Sarco_1.png","RPT")</f>
        <v>RPT</v>
      </c>
      <c r="G816" s="3">
        <v>102</v>
      </c>
      <c r="H816" s="3"/>
    </row>
    <row r="817" spans="1:8" x14ac:dyDescent="0.3">
      <c r="A817" s="2">
        <v>3878745</v>
      </c>
      <c r="B817" s="2">
        <v>47</v>
      </c>
      <c r="C817" s="2" t="s">
        <v>6</v>
      </c>
      <c r="D817" s="2">
        <v>100</v>
      </c>
      <c r="E817" s="2"/>
      <c r="F817" s="4" t="str">
        <f>HYPERLINK("./Results/DLO\20190901_1.3.12.2.1107.5.1.4.65253.30000019091819451358900035314_2_512_512_\Osteo_Sarco_1.png","RPT")</f>
        <v>RPT</v>
      </c>
      <c r="G817" s="3">
        <v>99</v>
      </c>
      <c r="H817" s="3"/>
    </row>
    <row r="818" spans="1:8" x14ac:dyDescent="0.3">
      <c r="A818" s="2">
        <v>3880041</v>
      </c>
      <c r="B818" s="2">
        <v>71</v>
      </c>
      <c r="C818" s="2" t="s">
        <v>5</v>
      </c>
      <c r="D818" s="2">
        <v>100</v>
      </c>
      <c r="E818" s="2"/>
      <c r="F818" s="4" t="str">
        <f>HYPERLINK("./Results/DLO\20180401_1.2.840.113619.2.311.332815665336625417502743947018547384880_304_512_512_\Osteo_Sarco_1.png","RPT")</f>
        <v>RPT</v>
      </c>
      <c r="G818" s="3">
        <v>135</v>
      </c>
      <c r="H818" s="3"/>
    </row>
    <row r="819" spans="1:8" x14ac:dyDescent="0.3">
      <c r="A819" s="2">
        <v>3894275</v>
      </c>
      <c r="B819" s="2">
        <v>66</v>
      </c>
      <c r="C819" s="2" t="s">
        <v>6</v>
      </c>
      <c r="D819" s="2">
        <v>100</v>
      </c>
      <c r="E819" s="2"/>
      <c r="F819" s="4" t="str">
        <f>HYPERLINK("./Results/DLO\20180301_1.3.12.2.1107.5.1.4.65253.30000018031501281491200000754_2_512_512_\Osteo_Sarco_1.png","RPT")</f>
        <v>RPT</v>
      </c>
      <c r="G819" s="3">
        <v>96</v>
      </c>
      <c r="H819" s="3"/>
    </row>
    <row r="820" spans="1:8" x14ac:dyDescent="0.3">
      <c r="A820" s="2">
        <v>3920674</v>
      </c>
      <c r="B820" s="2">
        <v>57</v>
      </c>
      <c r="C820" s="2" t="s">
        <v>5</v>
      </c>
      <c r="D820" s="2">
        <v>100</v>
      </c>
      <c r="E820" s="2"/>
      <c r="F820" s="4" t="str">
        <f>HYPERLINK("./Results/DLO\20180401_1.3.46.670589.33.1.63658255964933733000001.4875461748427343892_201_512_512_\Osteo_Sarco_1.png","RPT")</f>
        <v>RPT</v>
      </c>
      <c r="G820" s="3">
        <v>157</v>
      </c>
      <c r="H820" s="3"/>
    </row>
    <row r="821" spans="1:8" x14ac:dyDescent="0.3">
      <c r="A821" s="2">
        <v>3922384</v>
      </c>
      <c r="B821" s="2">
        <v>22</v>
      </c>
      <c r="C821" s="2" t="s">
        <v>6</v>
      </c>
      <c r="D821" s="2">
        <v>100</v>
      </c>
      <c r="E821" s="2"/>
      <c r="F821" s="4" t="str">
        <f>HYPERLINK("./Results/DLO\20180201_1.3.12.2.1107.5.1.4.65253.30000018020920272844000010237_3_512_512_\Osteo_Sarco_1.png","RPT")</f>
        <v>RPT</v>
      </c>
      <c r="G821" s="3">
        <v>131</v>
      </c>
      <c r="H821" s="3"/>
    </row>
    <row r="822" spans="1:8" x14ac:dyDescent="0.3">
      <c r="A822" s="2">
        <v>3922384</v>
      </c>
      <c r="B822" s="2">
        <v>22</v>
      </c>
      <c r="C822" s="2" t="s">
        <v>6</v>
      </c>
      <c r="D822" s="2">
        <v>100</v>
      </c>
      <c r="E822" s="2"/>
      <c r="F822" s="4" t="str">
        <f>HYPERLINK("./Results/DLO\20180201_1.3.12.2.1107.5.1.4.65253.30000018020920272844000010070_2_512_512_\Osteo_Sarco_1.png","RPT")</f>
        <v>RPT</v>
      </c>
      <c r="G822" s="3">
        <v>129</v>
      </c>
      <c r="H822" s="3"/>
    </row>
    <row r="823" spans="1:8" x14ac:dyDescent="0.3">
      <c r="A823" s="2">
        <v>3931782</v>
      </c>
      <c r="B823" s="2">
        <v>76</v>
      </c>
      <c r="C823" s="2" t="s">
        <v>5</v>
      </c>
      <c r="D823" s="2">
        <v>140</v>
      </c>
      <c r="E823" s="2"/>
      <c r="F823" s="4" t="str">
        <f>HYPERLINK("./Results/DLO\20180401_1.2.840.113619.2.416.325657555670198192082400522565812015183_3_512_512_\Osteo_Sarco_1.png","RPT")</f>
        <v>RPT</v>
      </c>
      <c r="G823" s="3">
        <v>132</v>
      </c>
      <c r="H823" s="3"/>
    </row>
    <row r="824" spans="1:8" x14ac:dyDescent="0.3">
      <c r="A824" s="2">
        <v>3931782</v>
      </c>
      <c r="B824" s="2">
        <v>76</v>
      </c>
      <c r="C824" s="2" t="s">
        <v>5</v>
      </c>
      <c r="D824" s="2">
        <v>140</v>
      </c>
      <c r="E824" s="2"/>
      <c r="F824" s="4" t="str">
        <f>HYPERLINK("./Results/DLO\20180401_1.2.840.113619.2.416.107495479662791354305234245963001084863_2_512_512_\Osteo_Sarco_1.png","RPT")</f>
        <v>RPT</v>
      </c>
      <c r="G824" s="3">
        <v>127</v>
      </c>
      <c r="H824" s="3"/>
    </row>
    <row r="825" spans="1:8" x14ac:dyDescent="0.3">
      <c r="A825" s="2">
        <v>3940855</v>
      </c>
      <c r="B825" s="2">
        <v>71</v>
      </c>
      <c r="C825" s="2" t="s">
        <v>5</v>
      </c>
      <c r="D825" s="2">
        <v>100</v>
      </c>
      <c r="E825" s="2"/>
      <c r="F825" s="4" t="str">
        <f>HYPERLINK("./Results/DLO\20191101_1.3.12.2.1107.5.1.4.65253.30000019111519431034800125856_2_512_512_\Osteo_Sarco_1.png","RPT")</f>
        <v>RPT</v>
      </c>
      <c r="G825" s="3">
        <v>147</v>
      </c>
      <c r="H825" s="3"/>
    </row>
    <row r="826" spans="1:8" x14ac:dyDescent="0.3">
      <c r="A826" s="2">
        <v>3940855</v>
      </c>
      <c r="B826" s="2">
        <v>71</v>
      </c>
      <c r="C826" s="2" t="s">
        <v>5</v>
      </c>
      <c r="D826" s="2">
        <v>100</v>
      </c>
      <c r="E826" s="2"/>
      <c r="F826" s="4" t="str">
        <f>HYPERLINK("./Results/DLO\20191101_1.3.12.2.1107.5.1.4.65253.30000019111519431034800126976_4_512_512_\Osteo_Sarco_1.png","RPT")</f>
        <v>RPT</v>
      </c>
      <c r="G826" s="3">
        <v>141</v>
      </c>
      <c r="H826" s="3"/>
    </row>
    <row r="827" spans="1:8" x14ac:dyDescent="0.3">
      <c r="A827" s="2">
        <v>3961252</v>
      </c>
      <c r="B827" s="2">
        <v>62</v>
      </c>
      <c r="C827" s="2" t="s">
        <v>6</v>
      </c>
      <c r="D827" s="2">
        <v>100</v>
      </c>
      <c r="E827" s="2"/>
      <c r="F827" s="4" t="str">
        <f>HYPERLINK("./Results/DLO\20180401_1.3.46.670589.33.1.63658612914149523200001.5601493247217734461_301_512_512_\Osteo_Sarco_1.png","RPT")</f>
        <v>RPT</v>
      </c>
      <c r="G827" s="3">
        <v>100</v>
      </c>
      <c r="H827" s="3"/>
    </row>
    <row r="828" spans="1:8" x14ac:dyDescent="0.3">
      <c r="A828" s="2">
        <v>3961252</v>
      </c>
      <c r="B828" s="2">
        <v>62</v>
      </c>
      <c r="C828" s="2" t="s">
        <v>6</v>
      </c>
      <c r="D828" s="2">
        <v>100</v>
      </c>
      <c r="E828" s="2"/>
      <c r="F828" s="4" t="str">
        <f>HYPERLINK("./Results/DLO\20180401_1.3.46.670589.33.1.63658612800817040900001.5197051018147594569_201_512_512_\Osteo_Sarco_1.png","RPT")</f>
        <v>RPT</v>
      </c>
      <c r="G828" s="3">
        <v>98</v>
      </c>
      <c r="H828" s="3"/>
    </row>
    <row r="829" spans="1:8" x14ac:dyDescent="0.3">
      <c r="A829" s="2">
        <v>3967371</v>
      </c>
      <c r="B829" s="2">
        <v>64</v>
      </c>
      <c r="C829" s="2" t="s">
        <v>6</v>
      </c>
      <c r="D829" s="2">
        <v>120</v>
      </c>
      <c r="E829" s="2"/>
      <c r="F829" s="4" t="str">
        <f>HYPERLINK("./Results/DLO\20190201_1.3.12.2.1107.5.1.4.54310.30000019022723310850000026824_7_512_512_\Osteo_Sarco_1.png","RPT")</f>
        <v>RPT</v>
      </c>
      <c r="G829" s="3">
        <v>98</v>
      </c>
      <c r="H829" s="3"/>
    </row>
    <row r="830" spans="1:8" x14ac:dyDescent="0.3">
      <c r="A830" s="2">
        <v>3967371</v>
      </c>
      <c r="B830" s="2">
        <v>64</v>
      </c>
      <c r="C830" s="2" t="s">
        <v>6</v>
      </c>
      <c r="D830" s="2">
        <v>120</v>
      </c>
      <c r="E830" s="2"/>
      <c r="F830" s="4" t="str">
        <f>HYPERLINK("./Results/DLO\20190201_1.3.12.2.1107.5.1.4.54310.30000019022723310850000026491_5_512_512_\Osteo_Sarco_1.png","RPT")</f>
        <v>RPT</v>
      </c>
      <c r="G830" s="3">
        <v>97</v>
      </c>
      <c r="H830" s="3"/>
    </row>
    <row r="831" spans="1:8" x14ac:dyDescent="0.3">
      <c r="A831" s="2">
        <v>3967371</v>
      </c>
      <c r="B831" s="2">
        <v>64</v>
      </c>
      <c r="C831" s="2" t="s">
        <v>6</v>
      </c>
      <c r="D831" s="2">
        <v>120</v>
      </c>
      <c r="E831" s="2"/>
      <c r="F831" s="4" t="str">
        <f>HYPERLINK("./Results/DLO\20190201_1.3.12.2.1107.5.1.4.54310.30000019022723310850000027080_9_512_512_\Osteo_Sarco_1.png","RPT")</f>
        <v>RPT</v>
      </c>
      <c r="G831" s="3">
        <v>97</v>
      </c>
      <c r="H831" s="3"/>
    </row>
    <row r="832" spans="1:8" x14ac:dyDescent="0.3">
      <c r="A832" s="2">
        <v>3967371</v>
      </c>
      <c r="B832" s="2">
        <v>64</v>
      </c>
      <c r="C832" s="2" t="s">
        <v>6</v>
      </c>
      <c r="D832" s="2">
        <v>100</v>
      </c>
      <c r="E832" s="2"/>
      <c r="F832" s="4" t="str">
        <f>HYPERLINK("./Results/DLO\20190201_1.3.12.2.1107.5.1.4.54310.30000019022723310850000026407_3_512_512_\Osteo_Sarco_1.png","RPT")</f>
        <v>RPT</v>
      </c>
      <c r="G832" s="3">
        <v>95</v>
      </c>
      <c r="H832" s="3"/>
    </row>
    <row r="833" spans="1:8" x14ac:dyDescent="0.3">
      <c r="A833" s="2">
        <v>3970497</v>
      </c>
      <c r="B833" s="2">
        <v>78</v>
      </c>
      <c r="C833" s="2" t="s">
        <v>6</v>
      </c>
      <c r="D833" s="2">
        <v>100</v>
      </c>
      <c r="E833" s="2"/>
      <c r="F833" s="4" t="str">
        <f>HYPERLINK("./Results/DLO\20180601_1.3.12.2.1107.5.1.4.65253.30000018060720115985100048881_2_512_512_\Osteo_Sarco_1.png","RPT")</f>
        <v>RPT</v>
      </c>
      <c r="G833" s="3">
        <v>113</v>
      </c>
      <c r="H833" s="3"/>
    </row>
    <row r="834" spans="1:8" x14ac:dyDescent="0.3">
      <c r="A834" s="2">
        <v>3970497</v>
      </c>
      <c r="B834" s="2">
        <v>78</v>
      </c>
      <c r="C834" s="2" t="s">
        <v>6</v>
      </c>
      <c r="D834" s="2">
        <v>100</v>
      </c>
      <c r="E834" s="2"/>
      <c r="F834" s="4" t="str">
        <f>HYPERLINK("./Results/DLO\20180601_1.3.12.2.1107.5.1.4.65253.30000018060720115985100049033_3_512_512_\Osteo_Sarco_1.png","RPT")</f>
        <v>RPT</v>
      </c>
      <c r="G834" s="3">
        <v>101</v>
      </c>
      <c r="H834" s="3"/>
    </row>
    <row r="835" spans="1:8" x14ac:dyDescent="0.3">
      <c r="A835" s="2">
        <v>3971852</v>
      </c>
      <c r="B835" s="2">
        <v>59</v>
      </c>
      <c r="C835" s="2" t="s">
        <v>6</v>
      </c>
      <c r="D835" s="2">
        <v>100</v>
      </c>
      <c r="E835" s="2"/>
      <c r="F835" s="4" t="str">
        <f>HYPERLINK("./Results/DLO\20180101_1.3.12.2.1107.5.1.4.54310.30000018010923092446800033621_7_512_512_\Osteo_Sarco_1.png","RPT")</f>
        <v>RPT</v>
      </c>
      <c r="G835" s="3">
        <v>106</v>
      </c>
      <c r="H835" s="3"/>
    </row>
    <row r="836" spans="1:8" x14ac:dyDescent="0.3">
      <c r="A836" s="2">
        <v>3971852</v>
      </c>
      <c r="B836" s="2">
        <v>59</v>
      </c>
      <c r="C836" s="2" t="s">
        <v>6</v>
      </c>
      <c r="D836" s="2">
        <v>100</v>
      </c>
      <c r="E836" s="2"/>
      <c r="F836" s="4" t="str">
        <f>HYPERLINK("./Results/DLO\20180101_1.3.12.2.1107.5.1.4.54310.30000018010923092446800034080_9_512_512_\Osteo_Sarco_1.png","RPT")</f>
        <v>RPT</v>
      </c>
      <c r="G836" s="3">
        <v>106</v>
      </c>
      <c r="H836" s="3"/>
    </row>
    <row r="837" spans="1:8" x14ac:dyDescent="0.3">
      <c r="A837" s="2">
        <v>3971852</v>
      </c>
      <c r="B837" s="2">
        <v>59</v>
      </c>
      <c r="C837" s="2" t="s">
        <v>6</v>
      </c>
      <c r="D837" s="2">
        <v>100</v>
      </c>
      <c r="E837" s="2"/>
      <c r="F837" s="4" t="str">
        <f>HYPERLINK("./Results/DLO\20180101_1.3.12.2.1107.5.1.4.54310.30000018010923092446800033221_3_512_512_\Osteo_Sarco_1.png","RPT")</f>
        <v>RPT</v>
      </c>
      <c r="G837" s="3">
        <v>105</v>
      </c>
      <c r="H837" s="3"/>
    </row>
    <row r="838" spans="1:8" x14ac:dyDescent="0.3">
      <c r="A838" s="2">
        <v>3971852</v>
      </c>
      <c r="B838" s="2">
        <v>59</v>
      </c>
      <c r="C838" s="2" t="s">
        <v>6</v>
      </c>
      <c r="D838" s="2">
        <v>100</v>
      </c>
      <c r="E838" s="2"/>
      <c r="F838" s="4" t="str">
        <f>HYPERLINK("./Results/DLO\20180101_1.3.12.2.1107.5.1.4.54310.30000018010923092446800033301_5_512_512_\Osteo_Sarco_1.png","RPT")</f>
        <v>RPT</v>
      </c>
      <c r="G838" s="3">
        <v>105</v>
      </c>
      <c r="H838" s="3"/>
    </row>
    <row r="839" spans="1:8" x14ac:dyDescent="0.3">
      <c r="A839" s="2">
        <v>3993164</v>
      </c>
      <c r="B839" s="2">
        <v>74</v>
      </c>
      <c r="C839" s="2" t="s">
        <v>5</v>
      </c>
      <c r="D839" s="2">
        <v>100</v>
      </c>
      <c r="E839" s="2"/>
      <c r="F839" s="4" t="str">
        <f>HYPERLINK("./Results/DLO\20180301_1.3.12.2.1107.5.1.4.54310.30000018032523091828100001024_3_512_512_\Osteo_Sarco_1.png","RPT")</f>
        <v>RPT</v>
      </c>
      <c r="G839" s="3">
        <v>127</v>
      </c>
      <c r="H839" s="3"/>
    </row>
    <row r="840" spans="1:8" x14ac:dyDescent="0.3">
      <c r="A840" s="2">
        <v>3993660</v>
      </c>
      <c r="B840" s="2">
        <v>62</v>
      </c>
      <c r="C840" s="2" t="s">
        <v>6</v>
      </c>
      <c r="D840" s="2">
        <v>100</v>
      </c>
      <c r="E840" s="2"/>
      <c r="F840" s="4" t="str">
        <f>HYPERLINK("./Results/DLO\20190501_1.3.12.2.1107.5.1.4.54310.30000019052021130364000061828_2_512_512_\Osteo_Sarco_1.png","RPT")</f>
        <v>RPT</v>
      </c>
      <c r="G840" s="3">
        <v>110</v>
      </c>
      <c r="H840" s="3"/>
    </row>
    <row r="841" spans="1:8" x14ac:dyDescent="0.3">
      <c r="A841" s="2">
        <v>3996412</v>
      </c>
      <c r="B841" s="2">
        <v>61</v>
      </c>
      <c r="C841" s="2" t="s">
        <v>5</v>
      </c>
      <c r="D841" s="2">
        <v>100</v>
      </c>
      <c r="E841" s="2"/>
      <c r="F841" s="4" t="str">
        <f>HYPERLINK("./Results/DLO\20190701_1.3.12.2.1107.5.1.4.54310.30000019072121195101500021685_9_512_512_\Osteo_Sarco_1.png","RPT")</f>
        <v>RPT</v>
      </c>
      <c r="G841" s="3">
        <v>160</v>
      </c>
      <c r="H841" s="3"/>
    </row>
    <row r="842" spans="1:8" x14ac:dyDescent="0.3">
      <c r="A842" s="2">
        <v>3996412</v>
      </c>
      <c r="B842" s="2">
        <v>61</v>
      </c>
      <c r="C842" s="2" t="s">
        <v>5</v>
      </c>
      <c r="D842" s="2">
        <v>100</v>
      </c>
      <c r="E842" s="2"/>
      <c r="F842" s="4" t="str">
        <f>HYPERLINK("./Results/DLO\20190701_1.3.12.2.1107.5.1.4.54310.30000019072121195101500021075_5_512_512_\Osteo_Sarco_1.png","RPT")</f>
        <v>RPT</v>
      </c>
      <c r="G842" s="3">
        <v>159</v>
      </c>
      <c r="H842" s="3"/>
    </row>
    <row r="843" spans="1:8" x14ac:dyDescent="0.3">
      <c r="A843" s="2">
        <v>3996412</v>
      </c>
      <c r="B843" s="2">
        <v>61</v>
      </c>
      <c r="C843" s="2" t="s">
        <v>5</v>
      </c>
      <c r="D843" s="2">
        <v>100</v>
      </c>
      <c r="E843" s="2"/>
      <c r="F843" s="4" t="str">
        <f>HYPERLINK("./Results/DLO\20190701_1.3.12.2.1107.5.1.4.54310.30000019072121195101500021408_7_512_512_\Osteo_Sarco_1.png","RPT")</f>
        <v>RPT</v>
      </c>
      <c r="G843" s="3">
        <v>159</v>
      </c>
      <c r="H843" s="3"/>
    </row>
    <row r="844" spans="1:8" x14ac:dyDescent="0.3">
      <c r="A844" s="2">
        <v>3996412</v>
      </c>
      <c r="B844" s="2">
        <v>61</v>
      </c>
      <c r="C844" s="2" t="s">
        <v>5</v>
      </c>
      <c r="D844" s="2">
        <v>100</v>
      </c>
      <c r="E844" s="2"/>
      <c r="F844" s="4" t="str">
        <f>HYPERLINK("./Results/DLO\20190701_1.3.12.2.1107.5.1.4.54310.30000019072121195101500020991_3_512_512_\Osteo_Sarco_1.png","RPT")</f>
        <v>RPT</v>
      </c>
      <c r="G844" s="3">
        <v>157</v>
      </c>
      <c r="H844" s="3"/>
    </row>
    <row r="845" spans="1:8" x14ac:dyDescent="0.3">
      <c r="A845" s="2">
        <v>4006060</v>
      </c>
      <c r="B845" s="2">
        <v>53</v>
      </c>
      <c r="C845" s="2" t="s">
        <v>5</v>
      </c>
      <c r="D845" s="2">
        <v>140</v>
      </c>
      <c r="E845" s="2"/>
      <c r="F845" s="4" t="str">
        <f>HYPERLINK("./Results/DLO\20190101_1.2.840.113619.2.416.91040871076413951445315106898537711817_308_512_512_\Osteo_Sarco_1.png","RPT")</f>
        <v>RPT</v>
      </c>
      <c r="G845" s="3">
        <v>112</v>
      </c>
      <c r="H845" s="3"/>
    </row>
    <row r="846" spans="1:8" x14ac:dyDescent="0.3">
      <c r="A846" s="2">
        <v>4006060</v>
      </c>
      <c r="B846" s="2">
        <v>53</v>
      </c>
      <c r="C846" s="2" t="s">
        <v>5</v>
      </c>
      <c r="D846" s="2">
        <v>140</v>
      </c>
      <c r="E846" s="2"/>
      <c r="F846" s="4" t="str">
        <f>HYPERLINK("./Results/DLO\20190101_1.2.840.113619.2.416.41710317673009352778469699834489441212_305_512_512_\Osteo_Sarco_1.png","RPT")</f>
        <v>RPT</v>
      </c>
      <c r="G846" s="3">
        <v>111</v>
      </c>
      <c r="H846" s="3"/>
    </row>
    <row r="847" spans="1:8" x14ac:dyDescent="0.3">
      <c r="A847" s="2">
        <v>4006060</v>
      </c>
      <c r="B847" s="2">
        <v>53</v>
      </c>
      <c r="C847" s="2" t="s">
        <v>5</v>
      </c>
      <c r="D847" s="2">
        <v>140</v>
      </c>
      <c r="E847" s="2"/>
      <c r="F847" s="4" t="str">
        <f>HYPERLINK("./Results/DLO\20190101_1.2.840.113619.2.416.306238736954301062656895681643330525214_303_512_512_\Osteo_Sarco_1.png","RPT")</f>
        <v>RPT</v>
      </c>
      <c r="G847" s="3">
        <v>108</v>
      </c>
      <c r="H847" s="3"/>
    </row>
    <row r="848" spans="1:8" x14ac:dyDescent="0.3">
      <c r="A848" s="2">
        <v>4006060</v>
      </c>
      <c r="B848" s="2">
        <v>53</v>
      </c>
      <c r="C848" s="2" t="s">
        <v>5</v>
      </c>
      <c r="D848" s="2">
        <v>140</v>
      </c>
      <c r="E848" s="2"/>
      <c r="F848" s="4" t="str">
        <f>HYPERLINK("./Results/DLO\20190101_1.2.840.113619.2.416.168223979861492179324522265107629468369_301_512_512_\Osteo_Sarco_1.png","RPT")</f>
        <v>RPT</v>
      </c>
      <c r="G848" s="3">
        <v>107</v>
      </c>
      <c r="H848" s="3"/>
    </row>
    <row r="849" spans="1:8" x14ac:dyDescent="0.3">
      <c r="A849" s="2">
        <v>4008822</v>
      </c>
      <c r="B849" s="2">
        <v>69</v>
      </c>
      <c r="C849" s="2" t="s">
        <v>6</v>
      </c>
      <c r="D849" s="2">
        <v>100</v>
      </c>
      <c r="E849" s="2"/>
      <c r="F849" s="4" t="str">
        <f>HYPERLINK("./Results/DLO\20181101_1.3.12.2.1107.5.1.4.65253.30000018103121235410400049953_3_512_512_\Osteo_Sarco_1.png","RPT")</f>
        <v>RPT</v>
      </c>
      <c r="G849" s="3">
        <v>83</v>
      </c>
      <c r="H849" s="3"/>
    </row>
    <row r="850" spans="1:8" x14ac:dyDescent="0.3">
      <c r="A850" s="2">
        <v>4008822</v>
      </c>
      <c r="B850" s="2">
        <v>69</v>
      </c>
      <c r="C850" s="2" t="s">
        <v>6</v>
      </c>
      <c r="D850" s="2">
        <v>100</v>
      </c>
      <c r="E850" s="2"/>
      <c r="F850" s="4" t="str">
        <f>HYPERLINK("./Results/DLO\20181101_1.3.12.2.1107.5.1.4.65253.30000018103121235410400049809_2_512_512_\Osteo_Sarco_1.png","RPT")</f>
        <v>RPT</v>
      </c>
      <c r="G850" s="3">
        <v>82</v>
      </c>
      <c r="H850" s="3"/>
    </row>
    <row r="851" spans="1:8" x14ac:dyDescent="0.3">
      <c r="A851" s="2">
        <v>4009493</v>
      </c>
      <c r="B851" s="2">
        <v>49</v>
      </c>
      <c r="C851" s="2" t="s">
        <v>5</v>
      </c>
      <c r="D851" s="2">
        <v>100</v>
      </c>
      <c r="E851" s="2"/>
      <c r="F851" s="4" t="str">
        <f>HYPERLINK("./Results/DLO\20200501_1.3.46.670589.33.1.63725994103196966300001.5642967628589923468_201_512_512_\Osteo_Sarco_1.png","RPT")</f>
        <v>RPT</v>
      </c>
      <c r="G851" s="3">
        <v>186</v>
      </c>
      <c r="H851" s="3"/>
    </row>
    <row r="852" spans="1:8" x14ac:dyDescent="0.3">
      <c r="A852" s="2">
        <v>4012068</v>
      </c>
      <c r="B852" s="2">
        <v>47</v>
      </c>
      <c r="C852" s="2" t="s">
        <v>6</v>
      </c>
      <c r="D852" s="2">
        <v>100</v>
      </c>
      <c r="E852" s="2"/>
      <c r="F852" s="4" t="str">
        <f>HYPERLINK("./Results/DLO\20180601_1.2.840.113619.2.416.30244528561925762485613859994038199001_303_512_512_\Osteo_Sarco_1.png","RPT")</f>
        <v>RPT</v>
      </c>
      <c r="G852" s="3">
        <v>98</v>
      </c>
      <c r="H852" s="3"/>
    </row>
    <row r="853" spans="1:8" x14ac:dyDescent="0.3">
      <c r="A853" s="2">
        <v>4019898</v>
      </c>
      <c r="B853" s="2">
        <v>84</v>
      </c>
      <c r="C853" s="2" t="s">
        <v>5</v>
      </c>
      <c r="D853" s="2">
        <v>100</v>
      </c>
      <c r="E853" s="2"/>
      <c r="F853" s="4" t="str">
        <f>HYPERLINK("./Results/DLO\20200501_1.3.12.2.1107.5.1.4.54310.30000020051022522803100003409_2_512_512_\Osteo_Sarco_1.png","RPT")</f>
        <v>RPT</v>
      </c>
      <c r="G853" s="3">
        <v>104</v>
      </c>
      <c r="H853" s="3"/>
    </row>
    <row r="854" spans="1:8" x14ac:dyDescent="0.3">
      <c r="A854" s="2">
        <v>4023338</v>
      </c>
      <c r="B854" s="2">
        <v>64</v>
      </c>
      <c r="C854" s="2" t="s">
        <v>5</v>
      </c>
      <c r="D854" s="2">
        <v>100</v>
      </c>
      <c r="E854" s="2"/>
      <c r="F854" s="4" t="str">
        <f>HYPERLINK("./Results/DLO\20180201_1.2.840.113619.2.416.167316706038892866937238798039988176620_304_512_512_\Osteo_Sarco_1.png","RPT")</f>
        <v>RPT</v>
      </c>
      <c r="G854" s="3">
        <v>172</v>
      </c>
      <c r="H854" s="3"/>
    </row>
    <row r="855" spans="1:8" x14ac:dyDescent="0.3">
      <c r="A855" s="2">
        <v>4023338</v>
      </c>
      <c r="B855" s="2">
        <v>64</v>
      </c>
      <c r="C855" s="2" t="s">
        <v>5</v>
      </c>
      <c r="D855" s="2">
        <v>100</v>
      </c>
      <c r="E855" s="2"/>
      <c r="F855" s="4" t="str">
        <f>HYPERLINK("./Results/DLO\20180201_1.2.840.113619.2.416.210469087082205484342046043571988462010_2_512_512_\Osteo_Sarco_1.png","RPT")</f>
        <v>RPT</v>
      </c>
      <c r="G855" s="3">
        <v>168</v>
      </c>
      <c r="H855" s="3"/>
    </row>
    <row r="856" spans="1:8" x14ac:dyDescent="0.3">
      <c r="A856" s="2">
        <v>4040592</v>
      </c>
      <c r="B856" s="2">
        <v>68</v>
      </c>
      <c r="C856" s="2" t="s">
        <v>5</v>
      </c>
      <c r="D856" s="2">
        <v>100</v>
      </c>
      <c r="E856" s="2"/>
      <c r="F856" s="4" t="str">
        <f>HYPERLINK("./Results/DLO\20180801_1.2.840.113619.2.94.485650834948.2.9026367.19590909.1_2_512_512_\Osteo_Sarco_1.png","RPT")</f>
        <v>RPT</v>
      </c>
      <c r="G856" s="3">
        <v>140</v>
      </c>
      <c r="H856" s="3"/>
    </row>
    <row r="857" spans="1:8" x14ac:dyDescent="0.3">
      <c r="A857" s="2">
        <v>4041185</v>
      </c>
      <c r="B857" s="2">
        <v>38</v>
      </c>
      <c r="C857" s="2" t="s">
        <v>6</v>
      </c>
      <c r="D857" s="2">
        <v>140</v>
      </c>
      <c r="E857" s="2"/>
      <c r="F857" s="4" t="str">
        <f>HYPERLINK("./Results/DLO\20190801_1.2.840.113619.2.416.158510753915469457636484225504137695554_302_512_512_\Osteo_Sarco_1.png","RPT")</f>
        <v>RPT</v>
      </c>
      <c r="G857" s="3">
        <v>104</v>
      </c>
      <c r="H857" s="3"/>
    </row>
    <row r="858" spans="1:8" x14ac:dyDescent="0.3">
      <c r="A858" s="2">
        <v>4041185</v>
      </c>
      <c r="B858" s="2">
        <v>38</v>
      </c>
      <c r="C858" s="2" t="s">
        <v>6</v>
      </c>
      <c r="D858" s="2">
        <v>140</v>
      </c>
      <c r="E858" s="2"/>
      <c r="F858" s="4" t="str">
        <f>HYPERLINK("./Results/DLO\20190801_1.2.840.113619.2.416.189195766318264245141046540573460427784_303_512_512_\Osteo_Sarco_1.png","RPT")</f>
        <v>RPT</v>
      </c>
      <c r="G858" s="3">
        <v>89</v>
      </c>
      <c r="H858" s="3"/>
    </row>
    <row r="859" spans="1:8" x14ac:dyDescent="0.3">
      <c r="A859" s="2">
        <v>4042595</v>
      </c>
      <c r="B859" s="2">
        <v>59</v>
      </c>
      <c r="C859" s="2" t="s">
        <v>6</v>
      </c>
      <c r="D859" s="2">
        <v>100</v>
      </c>
      <c r="E859" s="2"/>
      <c r="F859" s="4" t="str">
        <f>HYPERLINK("./Results/DLO\20200301_1.3.46.670589.33.1.63720900468475952600001.4694249003702506293_201_512_512_\Osteo_Sarco_1.png","RPT")</f>
        <v>RPT</v>
      </c>
      <c r="G859" s="3">
        <v>87</v>
      </c>
      <c r="H859" s="3"/>
    </row>
    <row r="860" spans="1:8" x14ac:dyDescent="0.3">
      <c r="A860" s="2">
        <v>4045467</v>
      </c>
      <c r="B860" s="2">
        <v>67</v>
      </c>
      <c r="C860" s="2" t="s">
        <v>6</v>
      </c>
      <c r="D860" s="2">
        <v>140</v>
      </c>
      <c r="E860" s="2"/>
      <c r="F860" s="4" t="str">
        <f>HYPERLINK("./Results/DLO\20180601_1.2.840.113619.2.416.82790027865367915122296431498772529937_302_512_512_\Osteo_Sarco_1.png","RPT")</f>
        <v>RPT</v>
      </c>
      <c r="G860" s="3">
        <v>154</v>
      </c>
      <c r="H860" s="3"/>
    </row>
    <row r="861" spans="1:8" x14ac:dyDescent="0.3">
      <c r="A861" s="2">
        <v>4045467</v>
      </c>
      <c r="B861" s="2">
        <v>67</v>
      </c>
      <c r="C861" s="2" t="s">
        <v>6</v>
      </c>
      <c r="D861" s="2">
        <v>120</v>
      </c>
      <c r="E861" s="2"/>
      <c r="F861" s="4" t="str">
        <f>HYPERLINK("./Results/DLO\20180601_1.2.840.113619.2.416.84091152508471189437532692286951640851_2_512_512_\Osteo_Sarco_1.png","RPT")</f>
        <v>RPT</v>
      </c>
      <c r="G861" s="3">
        <v>150</v>
      </c>
      <c r="H861" s="3"/>
    </row>
    <row r="862" spans="1:8" x14ac:dyDescent="0.3">
      <c r="A862" s="2">
        <v>4046266</v>
      </c>
      <c r="B862" s="2">
        <v>60</v>
      </c>
      <c r="C862" s="2" t="s">
        <v>6</v>
      </c>
      <c r="D862" s="2">
        <v>100</v>
      </c>
      <c r="E862" s="2"/>
      <c r="F862" s="4" t="str">
        <f>HYPERLINK("./Results/DLO\20180801_1.3.12.2.1107.5.1.4.54310.30000018080623422143700005375_2_512_512_\Osteo_Sarco_1.png","RPT")</f>
        <v>RPT</v>
      </c>
      <c r="G862" s="3">
        <v>99</v>
      </c>
      <c r="H862" s="3"/>
    </row>
    <row r="863" spans="1:8" x14ac:dyDescent="0.3">
      <c r="A863" s="2">
        <v>4048134</v>
      </c>
      <c r="B863" s="2">
        <v>64</v>
      </c>
      <c r="C863" s="2" t="s">
        <v>5</v>
      </c>
      <c r="D863" s="2">
        <v>120</v>
      </c>
      <c r="E863" s="2"/>
      <c r="F863" s="4" t="str">
        <f>HYPERLINK("./Results/DLO\20180501_1.3.12.2.1107.5.1.4.54310.30000018051023125081200082750_5_512_512_\Osteo_Sarco_1.png","RPT")</f>
        <v>RPT</v>
      </c>
      <c r="G863" s="3">
        <v>179</v>
      </c>
      <c r="H863" s="3"/>
    </row>
    <row r="864" spans="1:8" x14ac:dyDescent="0.3">
      <c r="A864" s="2">
        <v>4048134</v>
      </c>
      <c r="B864" s="2">
        <v>64</v>
      </c>
      <c r="C864" s="2" t="s">
        <v>5</v>
      </c>
      <c r="D864" s="2">
        <v>120</v>
      </c>
      <c r="E864" s="2"/>
      <c r="F864" s="4" t="str">
        <f>HYPERLINK("./Results/DLO\20180501_1.3.12.2.1107.5.1.4.54310.30000018051023125081200083167_7_512_512_\Osteo_Sarco_1.png","RPT")</f>
        <v>RPT</v>
      </c>
      <c r="G864" s="3">
        <v>179</v>
      </c>
      <c r="H864" s="3"/>
    </row>
    <row r="865" spans="1:8" x14ac:dyDescent="0.3">
      <c r="A865" s="2">
        <v>4048134</v>
      </c>
      <c r="B865" s="2">
        <v>64</v>
      </c>
      <c r="C865" s="2" t="s">
        <v>5</v>
      </c>
      <c r="D865" s="2">
        <v>120</v>
      </c>
      <c r="E865" s="2"/>
      <c r="F865" s="4" t="str">
        <f>HYPERLINK("./Results/DLO\20180501_1.3.12.2.1107.5.1.4.54310.30000018051023125081200083283_8_512_512_\Osteo_Sarco_1.png","RPT")</f>
        <v>RPT</v>
      </c>
      <c r="G865" s="3">
        <v>179</v>
      </c>
      <c r="H865" s="3"/>
    </row>
    <row r="866" spans="1:8" x14ac:dyDescent="0.3">
      <c r="A866" s="2">
        <v>4048134</v>
      </c>
      <c r="B866" s="2">
        <v>64</v>
      </c>
      <c r="C866" s="2" t="s">
        <v>5</v>
      </c>
      <c r="D866" s="2">
        <v>120</v>
      </c>
      <c r="E866" s="2"/>
      <c r="F866" s="4" t="str">
        <f>HYPERLINK("./Results/DLO\20180501_1.3.12.2.1107.5.1.4.54310.30000018051023125081200083695_11_512_512_\Osteo_Sarco_1.png","RPT")</f>
        <v>RPT</v>
      </c>
      <c r="G866" s="3">
        <v>179</v>
      </c>
      <c r="H866" s="3"/>
    </row>
    <row r="867" spans="1:8" x14ac:dyDescent="0.3">
      <c r="A867" s="2">
        <v>4048134</v>
      </c>
      <c r="B867" s="2">
        <v>64</v>
      </c>
      <c r="C867" s="2" t="s">
        <v>5</v>
      </c>
      <c r="D867" s="2">
        <v>100</v>
      </c>
      <c r="E867" s="2"/>
      <c r="F867" s="4" t="str">
        <f>HYPERLINK("./Results/DLO\20180501_1.3.12.2.1107.5.1.4.54310.30000018051023125081200082643_3_512_512_\Osteo_Sarco_1.png","RPT")</f>
        <v>RPT</v>
      </c>
      <c r="G867" s="3">
        <v>177</v>
      </c>
      <c r="H867" s="3"/>
    </row>
    <row r="868" spans="1:8" x14ac:dyDescent="0.3">
      <c r="A868" s="2">
        <v>4053097</v>
      </c>
      <c r="B868" s="2">
        <v>65</v>
      </c>
      <c r="C868" s="2" t="s">
        <v>6</v>
      </c>
      <c r="D868" s="2">
        <v>100</v>
      </c>
      <c r="E868" s="2"/>
      <c r="F868" s="4" t="str">
        <f>HYPERLINK("./Results/DLO\20190601_1.2.840.113619.2.416.157754438127058901056487180752154836979_310_512_512_\Osteo_Sarco_1.png","RPT")</f>
        <v>RPT</v>
      </c>
      <c r="G868" s="3">
        <v>98</v>
      </c>
      <c r="H868" s="3"/>
    </row>
    <row r="869" spans="1:8" x14ac:dyDescent="0.3">
      <c r="A869" s="2">
        <v>4070955</v>
      </c>
      <c r="B869" s="2">
        <v>79</v>
      </c>
      <c r="C869" s="2" t="s">
        <v>5</v>
      </c>
      <c r="D869" s="2">
        <v>100</v>
      </c>
      <c r="E869" s="2"/>
      <c r="F869" s="4" t="str">
        <f>HYPERLINK("./Results/DLO\20181001_1.3.12.2.1107.5.1.4.65253.30000018103018572732600063661_3_512_512_\Osteo_Sarco_1.png","RPT")</f>
        <v>RPT</v>
      </c>
      <c r="G869" s="3">
        <v>154</v>
      </c>
      <c r="H869" s="3"/>
    </row>
    <row r="870" spans="1:8" x14ac:dyDescent="0.3">
      <c r="A870" s="2">
        <v>4070955</v>
      </c>
      <c r="B870" s="2">
        <v>79</v>
      </c>
      <c r="C870" s="2" t="s">
        <v>5</v>
      </c>
      <c r="D870" s="2">
        <v>100</v>
      </c>
      <c r="E870" s="2"/>
      <c r="F870" s="4" t="str">
        <f>HYPERLINK("./Results/DLO\20181001_1.3.12.2.1107.5.1.4.65253.30000018103018572732600063522_2_512_512_\Osteo_Sarco_1.png","RPT")</f>
        <v>RPT</v>
      </c>
      <c r="G870" s="3">
        <v>140</v>
      </c>
      <c r="H870" s="3"/>
    </row>
    <row r="871" spans="1:8" x14ac:dyDescent="0.3">
      <c r="A871" s="2">
        <v>4100895</v>
      </c>
      <c r="B871" s="2">
        <v>58</v>
      </c>
      <c r="C871" s="2" t="s">
        <v>5</v>
      </c>
      <c r="D871" s="2">
        <v>100</v>
      </c>
      <c r="E871" s="2"/>
      <c r="F871" s="4" t="str">
        <f>HYPERLINK("./Results/DLO\20180801_1.3.12.2.1107.5.1.4.65253.30000018082019264265900058305_3_512_512_\Osteo_Sarco_1.png","RPT")</f>
        <v>RPT</v>
      </c>
      <c r="G871" s="3">
        <v>164</v>
      </c>
      <c r="H871" s="3"/>
    </row>
    <row r="872" spans="1:8" x14ac:dyDescent="0.3">
      <c r="A872" s="2">
        <v>4100895</v>
      </c>
      <c r="B872" s="2">
        <v>58</v>
      </c>
      <c r="C872" s="2" t="s">
        <v>5</v>
      </c>
      <c r="D872" s="2">
        <v>100</v>
      </c>
      <c r="E872" s="2"/>
      <c r="F872" s="4" t="str">
        <f>HYPERLINK("./Results/DLO\20180801_1.3.12.2.1107.5.1.4.65253.30000018082019264265900058142_2_512_512_\Osteo_Sarco_1.png","RPT")</f>
        <v>RPT</v>
      </c>
      <c r="G872" s="3">
        <v>162</v>
      </c>
      <c r="H872" s="3"/>
    </row>
    <row r="873" spans="1:8" x14ac:dyDescent="0.3">
      <c r="A873" s="2">
        <v>4101600</v>
      </c>
      <c r="B873" s="2">
        <v>69</v>
      </c>
      <c r="C873" s="2" t="s">
        <v>6</v>
      </c>
      <c r="D873" s="2">
        <v>100</v>
      </c>
      <c r="E873" s="2"/>
      <c r="F873" s="4" t="str">
        <f>HYPERLINK("./Results/DLO\20181201_1.3.12.2.1107.5.1.4.54310.30000018121323380560900019511_3_512_512_\Osteo_Sarco_1.png","RPT")</f>
        <v>RPT</v>
      </c>
      <c r="G873" s="3">
        <v>141</v>
      </c>
      <c r="H873" s="3"/>
    </row>
    <row r="874" spans="1:8" x14ac:dyDescent="0.3">
      <c r="A874" s="2">
        <v>4101600</v>
      </c>
      <c r="B874" s="2">
        <v>69</v>
      </c>
      <c r="C874" s="2" t="s">
        <v>6</v>
      </c>
      <c r="D874" s="2">
        <v>100</v>
      </c>
      <c r="E874" s="2"/>
      <c r="F874" s="4" t="str">
        <f>HYPERLINK("./Results/DLO\20181201_1.3.12.2.1107.5.1.4.54310.30000018121323380560900019396_2_512_512_\Osteo_Sarco_1.png","RPT")</f>
        <v>RPT</v>
      </c>
      <c r="G874" s="3">
        <v>126</v>
      </c>
      <c r="H874" s="3"/>
    </row>
    <row r="875" spans="1:8" x14ac:dyDescent="0.3">
      <c r="A875" s="2">
        <v>4101608</v>
      </c>
      <c r="B875" s="2">
        <v>64</v>
      </c>
      <c r="C875" s="2" t="s">
        <v>6</v>
      </c>
      <c r="D875" s="2">
        <v>100</v>
      </c>
      <c r="E875" s="2"/>
      <c r="F875" s="4" t="str">
        <f>HYPERLINK("./Results/DLO\20180901_1.3.12.2.1107.5.1.4.54310.30000018091723274276500011965_2_512_512_\Osteo_Sarco_1.png","RPT")</f>
        <v>RPT</v>
      </c>
      <c r="G875" s="3">
        <v>103</v>
      </c>
      <c r="H875" s="3"/>
    </row>
    <row r="876" spans="1:8" x14ac:dyDescent="0.3">
      <c r="A876" s="2">
        <v>4108147</v>
      </c>
      <c r="B876" s="2">
        <v>55</v>
      </c>
      <c r="C876" s="2" t="s">
        <v>5</v>
      </c>
      <c r="D876" s="2">
        <v>100</v>
      </c>
      <c r="E876" s="2"/>
      <c r="F876" s="4" t="str">
        <f>HYPERLINK("./Results/DLO\20191001_1.3.46.670589.33.1.63706987667251951800001.4984285590264864885_201_512_512_\Osteo_Sarco_1.png","RPT")</f>
        <v>RPT</v>
      </c>
      <c r="G876" s="3">
        <v>159</v>
      </c>
      <c r="H876" s="3"/>
    </row>
    <row r="877" spans="1:8" x14ac:dyDescent="0.3">
      <c r="A877" s="2">
        <v>4116560</v>
      </c>
      <c r="B877" s="2">
        <v>57</v>
      </c>
      <c r="C877" s="2" t="s">
        <v>6</v>
      </c>
      <c r="D877" s="2">
        <v>100</v>
      </c>
      <c r="E877" s="2"/>
      <c r="F877" s="4" t="str">
        <f>HYPERLINK("./Results/DLO\20190401_1.2.840.113619.2.311.128882065376023269643487477514982071697_304_512_512_\Osteo_Sarco_1.png","RPT")</f>
        <v>RPT</v>
      </c>
      <c r="G877" s="3">
        <v>85</v>
      </c>
      <c r="H877" s="3"/>
    </row>
    <row r="878" spans="1:8" x14ac:dyDescent="0.3">
      <c r="A878" s="2">
        <v>4135019</v>
      </c>
      <c r="B878" s="2">
        <v>50</v>
      </c>
      <c r="C878" s="2" t="s">
        <v>5</v>
      </c>
      <c r="D878" s="2">
        <v>100</v>
      </c>
      <c r="E878" s="2"/>
      <c r="F878" s="4" t="str">
        <f>HYPERLINK("./Results/DLO\20191201_1.3.46.670589.33.1.63711660158328419200001.5100553247253174950_201_512_512_\Osteo_Sarco_1.png","RPT")</f>
        <v>RPT</v>
      </c>
      <c r="G878" s="3">
        <v>134</v>
      </c>
      <c r="H878" s="3"/>
    </row>
    <row r="879" spans="1:8" x14ac:dyDescent="0.3">
      <c r="A879" s="2">
        <v>4136143</v>
      </c>
      <c r="B879" s="2">
        <v>67</v>
      </c>
      <c r="C879" s="2" t="s">
        <v>6</v>
      </c>
      <c r="D879" s="2">
        <v>140</v>
      </c>
      <c r="E879" s="2"/>
      <c r="F879" s="4" t="str">
        <f>HYPERLINK("./Results/DLO\20190201_1.2.840.113619.2.416.79664422682747388951531814613202130667_306_512_512_\Osteo_Sarco_1.png","RPT")</f>
        <v>RPT</v>
      </c>
      <c r="G879" s="3">
        <v>106</v>
      </c>
      <c r="H879" s="3"/>
    </row>
    <row r="880" spans="1:8" x14ac:dyDescent="0.3">
      <c r="A880" s="2">
        <v>4136143</v>
      </c>
      <c r="B880" s="2">
        <v>67</v>
      </c>
      <c r="C880" s="2" t="s">
        <v>6</v>
      </c>
      <c r="D880" s="2">
        <v>140</v>
      </c>
      <c r="E880" s="2"/>
      <c r="F880" s="4" t="str">
        <f>HYPERLINK("./Results/DLO\20190201_1.2.840.113619.2.416.318319827297567965958202146117719000421_303_512_512_\Osteo_Sarco_1.png","RPT")</f>
        <v>RPT</v>
      </c>
      <c r="G880" s="3">
        <v>104</v>
      </c>
      <c r="H880" s="3"/>
    </row>
    <row r="881" spans="1:8" x14ac:dyDescent="0.3">
      <c r="A881" s="2">
        <v>4136143</v>
      </c>
      <c r="B881" s="2">
        <v>67</v>
      </c>
      <c r="C881" s="2" t="s">
        <v>6</v>
      </c>
      <c r="D881" s="2">
        <v>140</v>
      </c>
      <c r="E881" s="2"/>
      <c r="F881" s="4" t="str">
        <f>HYPERLINK("./Results/DLO\20190201_1.2.840.113619.2.416.10102128963832067575518782655758728296_301_512_512_\Osteo_Sarco_1.png","RPT")</f>
        <v>RPT</v>
      </c>
      <c r="G881" s="3">
        <v>101</v>
      </c>
      <c r="H881" s="3"/>
    </row>
    <row r="882" spans="1:8" x14ac:dyDescent="0.3">
      <c r="A882" s="2">
        <v>4136143</v>
      </c>
      <c r="B882" s="2">
        <v>67</v>
      </c>
      <c r="C882" s="2" t="s">
        <v>6</v>
      </c>
      <c r="D882" s="2">
        <v>140</v>
      </c>
      <c r="E882" s="2"/>
      <c r="F882" s="4" t="str">
        <f>HYPERLINK("./Results/DLO\20190201_1.2.840.113619.2.416.111255599085615204769921524551707420904_2_512_512_\Osteo_Sarco_1.png","RPT")</f>
        <v>RPT</v>
      </c>
      <c r="G882" s="3">
        <v>99</v>
      </c>
      <c r="H882" s="3"/>
    </row>
    <row r="883" spans="1:8" x14ac:dyDescent="0.3">
      <c r="A883" s="2">
        <v>4140146</v>
      </c>
      <c r="B883" s="2">
        <v>71</v>
      </c>
      <c r="C883" s="2" t="s">
        <v>5</v>
      </c>
      <c r="D883" s="2">
        <v>120</v>
      </c>
      <c r="E883" s="2"/>
      <c r="F883" s="4" t="str">
        <f>HYPERLINK("./Results/DLO\20190401_1.3.12.2.1107.5.1.4.54310.30000019041723313521800018947_9_512_512_\Osteo_Sarco_1.png","RPT")</f>
        <v>RPT</v>
      </c>
      <c r="G883" s="3">
        <v>145</v>
      </c>
      <c r="H883" s="3"/>
    </row>
    <row r="884" spans="1:8" x14ac:dyDescent="0.3">
      <c r="A884" s="2">
        <v>4140146</v>
      </c>
      <c r="B884" s="2">
        <v>71</v>
      </c>
      <c r="C884" s="2" t="s">
        <v>5</v>
      </c>
      <c r="D884" s="2">
        <v>120</v>
      </c>
      <c r="E884" s="2"/>
      <c r="F884" s="4" t="str">
        <f>HYPERLINK("./Results/DLO\20190401_1.3.12.2.1107.5.1.4.54310.30000019041723313521800018696_7_512_512_\Osteo_Sarco_1.png","RPT")</f>
        <v>RPT</v>
      </c>
      <c r="G884" s="3">
        <v>142</v>
      </c>
      <c r="H884" s="3"/>
    </row>
    <row r="885" spans="1:8" x14ac:dyDescent="0.3">
      <c r="A885" s="2">
        <v>4140146</v>
      </c>
      <c r="B885" s="2">
        <v>71</v>
      </c>
      <c r="C885" s="2" t="s">
        <v>5</v>
      </c>
      <c r="D885" s="2">
        <v>120</v>
      </c>
      <c r="E885" s="2"/>
      <c r="F885" s="4" t="str">
        <f>HYPERLINK("./Results/DLO\20190401_1.3.12.2.1107.5.1.4.54310.30000019041723313521800018395_5_512_512_\Osteo_Sarco_1.png","RPT")</f>
        <v>RPT</v>
      </c>
      <c r="G885" s="3">
        <v>141</v>
      </c>
      <c r="H885" s="3"/>
    </row>
    <row r="886" spans="1:8" x14ac:dyDescent="0.3">
      <c r="A886" s="2">
        <v>4140146</v>
      </c>
      <c r="B886" s="2">
        <v>71</v>
      </c>
      <c r="C886" s="2" t="s">
        <v>5</v>
      </c>
      <c r="D886" s="2">
        <v>100</v>
      </c>
      <c r="E886" s="2"/>
      <c r="F886" s="4" t="str">
        <f>HYPERLINK("./Results/DLO\20190401_1.3.12.2.1107.5.1.4.54310.30000019041723313521800018319_3_512_512_\Osteo_Sarco_1.png","RPT")</f>
        <v>RPT</v>
      </c>
      <c r="G886" s="3">
        <v>137</v>
      </c>
      <c r="H886" s="3"/>
    </row>
    <row r="887" spans="1:8" x14ac:dyDescent="0.3">
      <c r="A887" s="2">
        <v>4154023</v>
      </c>
      <c r="B887" s="2">
        <v>60</v>
      </c>
      <c r="C887" s="2" t="s">
        <v>6</v>
      </c>
      <c r="D887" s="2">
        <v>100</v>
      </c>
      <c r="E887" s="2"/>
      <c r="F887" s="4" t="str">
        <f>HYPERLINK("./Results/DLO\20181001_1.3.12.2.1107.5.1.4.54310.30000018100722583300000022612_2_512_512_\Osteo_Sarco_1.png","RPT")</f>
        <v>RPT</v>
      </c>
      <c r="G887" s="3">
        <v>113</v>
      </c>
      <c r="H887" s="3"/>
    </row>
    <row r="888" spans="1:8" x14ac:dyDescent="0.3">
      <c r="A888" s="2">
        <v>4170643</v>
      </c>
      <c r="B888" s="2">
        <v>66</v>
      </c>
      <c r="C888" s="2" t="s">
        <v>5</v>
      </c>
      <c r="D888" s="2">
        <v>100</v>
      </c>
      <c r="E888" s="2"/>
      <c r="F888" s="4" t="str">
        <f>HYPERLINK("./Results/DLO\20200401_1.3.12.2.1107.5.1.4.54310.30000020040622271903100022428_9_512_512_\Osteo_Sarco_1.png","RPT")</f>
        <v>RPT</v>
      </c>
      <c r="G888" s="3">
        <v>133</v>
      </c>
      <c r="H888" s="3"/>
    </row>
    <row r="889" spans="1:8" x14ac:dyDescent="0.3">
      <c r="A889" s="2">
        <v>4170643</v>
      </c>
      <c r="B889" s="2">
        <v>66</v>
      </c>
      <c r="C889" s="2" t="s">
        <v>5</v>
      </c>
      <c r="D889" s="2">
        <v>100</v>
      </c>
      <c r="E889" s="2"/>
      <c r="F889" s="4" t="str">
        <f>HYPERLINK("./Results/DLO\20200401_1.3.12.2.1107.5.1.4.54310.30000020040622271903100022174_7_512_512_\Osteo_Sarco_1.png","RPT")</f>
        <v>RPT</v>
      </c>
      <c r="G889" s="3">
        <v>131</v>
      </c>
      <c r="H889" s="3"/>
    </row>
    <row r="890" spans="1:8" x14ac:dyDescent="0.3">
      <c r="A890" s="2">
        <v>4170643</v>
      </c>
      <c r="B890" s="2">
        <v>66</v>
      </c>
      <c r="C890" s="2" t="s">
        <v>5</v>
      </c>
      <c r="D890" s="2">
        <v>100</v>
      </c>
      <c r="E890" s="2"/>
      <c r="F890" s="4" t="str">
        <f>HYPERLINK("./Results/DLO\20200401_1.3.12.2.1107.5.1.4.54310.30000020040622271903100021808_3_512_512_\Osteo_Sarco_1.png","RPT")</f>
        <v>RPT</v>
      </c>
      <c r="G890" s="3">
        <v>130</v>
      </c>
      <c r="H890" s="3"/>
    </row>
    <row r="891" spans="1:8" x14ac:dyDescent="0.3">
      <c r="A891" s="2">
        <v>4170643</v>
      </c>
      <c r="B891" s="2">
        <v>66</v>
      </c>
      <c r="C891" s="2" t="s">
        <v>5</v>
      </c>
      <c r="D891" s="2">
        <v>100</v>
      </c>
      <c r="E891" s="2"/>
      <c r="F891" s="4" t="str">
        <f>HYPERLINK("./Results/DLO\20200401_1.3.12.2.1107.5.1.4.54310.30000020040622271903100021882_5_512_512_\Osteo_Sarco_1.png","RPT")</f>
        <v>RPT</v>
      </c>
      <c r="G891" s="3">
        <v>129</v>
      </c>
      <c r="H891" s="3"/>
    </row>
    <row r="892" spans="1:8" x14ac:dyDescent="0.3">
      <c r="A892" s="2">
        <v>4187486</v>
      </c>
      <c r="B892" s="2">
        <v>72</v>
      </c>
      <c r="C892" s="2" t="s">
        <v>6</v>
      </c>
      <c r="D892" s="2">
        <v>100</v>
      </c>
      <c r="E892" s="2"/>
      <c r="F892" s="4" t="str">
        <f>HYPERLINK("./Results/DLO\20180601_1.3.12.2.1107.5.1.4.54310.30000018062723155698400018139_2_512_512_\Osteo_Sarco_1.png","RPT")</f>
        <v>RPT</v>
      </c>
      <c r="G892" s="3">
        <v>103</v>
      </c>
      <c r="H892" s="3"/>
    </row>
    <row r="893" spans="1:8" x14ac:dyDescent="0.3">
      <c r="A893" s="2">
        <v>4187506</v>
      </c>
      <c r="B893" s="2">
        <v>46</v>
      </c>
      <c r="C893" s="2" t="s">
        <v>6</v>
      </c>
      <c r="D893" s="2">
        <v>100</v>
      </c>
      <c r="E893" s="2"/>
      <c r="F893" s="4" t="str">
        <f>HYPERLINK("./Results/DLO\20180401_1.3.12.2.1107.5.1.4.54310.30000018041223200228100007905_2_512_512_\Osteo_Sarco_1.png","RPT")</f>
        <v>RPT</v>
      </c>
      <c r="G893" s="3">
        <v>117</v>
      </c>
      <c r="H893" s="3"/>
    </row>
    <row r="894" spans="1:8" x14ac:dyDescent="0.3">
      <c r="A894" s="2">
        <v>4189992</v>
      </c>
      <c r="B894" s="2">
        <v>50</v>
      </c>
      <c r="C894" s="2" t="s">
        <v>5</v>
      </c>
      <c r="D894" s="2">
        <v>100</v>
      </c>
      <c r="E894" s="2"/>
      <c r="F894" s="4" t="str">
        <f>HYPERLINK("./Results/DLO\20181101_1.2.840.113619.2.416.245987745083827261419033733475530735031_305_512_512_\Osteo_Sarco_1.png","RPT")</f>
        <v>RPT</v>
      </c>
      <c r="G894" s="3">
        <v>191</v>
      </c>
      <c r="H894" s="3"/>
    </row>
    <row r="895" spans="1:8" x14ac:dyDescent="0.3">
      <c r="A895" s="2">
        <v>4189992</v>
      </c>
      <c r="B895" s="2">
        <v>50</v>
      </c>
      <c r="C895" s="2" t="s">
        <v>5</v>
      </c>
      <c r="D895" s="2">
        <v>100</v>
      </c>
      <c r="E895" s="2"/>
      <c r="F895" s="4" t="str">
        <f>HYPERLINK("./Results/DLO\20181101_1.2.840.113619.2.416.171975500037637545243483333495240831327_301_512_512_\Osteo_Sarco_1.png","RPT")</f>
        <v>RPT</v>
      </c>
      <c r="G895" s="3">
        <v>189</v>
      </c>
      <c r="H895" s="3"/>
    </row>
    <row r="896" spans="1:8" x14ac:dyDescent="0.3">
      <c r="A896" s="2">
        <v>4189992</v>
      </c>
      <c r="B896" s="2">
        <v>50</v>
      </c>
      <c r="C896" s="2" t="s">
        <v>5</v>
      </c>
      <c r="D896" s="2">
        <v>120</v>
      </c>
      <c r="E896" s="2"/>
      <c r="F896" s="4" t="str">
        <f>HYPERLINK("./Results/DLO\20181101_1.2.840.113619.2.416.121878416231453138800830706104548854880_2_512_512_\Osteo_Sarco_1.png","RPT")</f>
        <v>RPT</v>
      </c>
      <c r="G896" s="3">
        <v>187</v>
      </c>
      <c r="H896" s="3"/>
    </row>
    <row r="897" spans="1:8" x14ac:dyDescent="0.3">
      <c r="A897" s="2">
        <v>4189992</v>
      </c>
      <c r="B897" s="2">
        <v>50</v>
      </c>
      <c r="C897" s="2" t="s">
        <v>5</v>
      </c>
      <c r="D897" s="2">
        <v>100</v>
      </c>
      <c r="E897" s="2"/>
      <c r="F897" s="4" t="str">
        <f>HYPERLINK("./Results/DLO\20181101_1.2.840.113619.2.416.177909600152353817168370031584676581041_302_512_512_\Osteo_Sarco_1.png","RPT")</f>
        <v>RPT</v>
      </c>
      <c r="G897" s="3">
        <v>186</v>
      </c>
      <c r="H897" s="3"/>
    </row>
    <row r="898" spans="1:8" x14ac:dyDescent="0.3">
      <c r="A898" s="2">
        <v>4190994</v>
      </c>
      <c r="B898" s="2">
        <v>48</v>
      </c>
      <c r="C898" s="2" t="s">
        <v>6</v>
      </c>
      <c r="D898" s="2">
        <v>100</v>
      </c>
      <c r="E898" s="2"/>
      <c r="F898" s="4" t="str">
        <f>HYPERLINK("./Results/DLO\20180701_1.2.840.113619.2.311.337051686724732317838299329495457708171_303_512_512_\Osteo_Sarco_1.png","RPT")</f>
        <v>RPT</v>
      </c>
      <c r="G898" s="3">
        <v>105</v>
      </c>
      <c r="H898" s="3"/>
    </row>
    <row r="899" spans="1:8" x14ac:dyDescent="0.3">
      <c r="A899" s="2">
        <v>4206349</v>
      </c>
      <c r="B899" s="2">
        <v>52</v>
      </c>
      <c r="C899" s="2" t="s">
        <v>6</v>
      </c>
      <c r="D899" s="2">
        <v>100</v>
      </c>
      <c r="E899" s="2"/>
      <c r="F899" s="4" t="str">
        <f>HYPERLINK("./Results/DLO\20181001_1.3.12.2.1107.5.1.4.54310.30000018102900082162500000838_2_512_512_\Osteo_Sarco_1.png","RPT")</f>
        <v>RPT</v>
      </c>
      <c r="G899" s="3">
        <v>101</v>
      </c>
      <c r="H899" s="3"/>
    </row>
    <row r="900" spans="1:8" x14ac:dyDescent="0.3">
      <c r="A900" s="2">
        <v>4217930</v>
      </c>
      <c r="B900" s="2">
        <v>48</v>
      </c>
      <c r="C900" s="2" t="s">
        <v>6</v>
      </c>
      <c r="D900" s="2">
        <v>100</v>
      </c>
      <c r="E900" s="2"/>
      <c r="F900" s="4" t="str">
        <f>HYPERLINK("./Results/DLO\20191001_1.2.840.113619.2.416.253804380805114223772171644888773872133_310_512_512_\Osteo_Sarco_1.png","RPT")</f>
        <v>RPT</v>
      </c>
      <c r="G900" s="3">
        <v>98</v>
      </c>
      <c r="H900" s="3"/>
    </row>
    <row r="901" spans="1:8" x14ac:dyDescent="0.3">
      <c r="A901" s="2">
        <v>4218368</v>
      </c>
      <c r="B901" s="2">
        <v>61</v>
      </c>
      <c r="C901" s="2" t="s">
        <v>6</v>
      </c>
      <c r="D901" s="2">
        <v>100</v>
      </c>
      <c r="E901" s="2"/>
      <c r="F901" s="4" t="str">
        <f>HYPERLINK("./Results/DLO\20190501_1.3.46.670589.33.1.63694562392638025700001.4811153454665379938_201_512_512_\Osteo_Sarco_1.png","RPT")</f>
        <v>RPT</v>
      </c>
      <c r="G901" s="3">
        <v>95</v>
      </c>
      <c r="H901" s="3"/>
    </row>
    <row r="902" spans="1:8" x14ac:dyDescent="0.3">
      <c r="A902" s="2">
        <v>4219201</v>
      </c>
      <c r="B902" s="2">
        <v>88</v>
      </c>
      <c r="C902" s="2" t="s">
        <v>6</v>
      </c>
      <c r="D902" s="2">
        <v>100</v>
      </c>
      <c r="E902" s="2"/>
      <c r="F902" s="4" t="str">
        <f>HYPERLINK("./Results/DLO\20180801_1.3.12.2.1107.5.1.4.65253.30000018081219302026900042768_2_512_512_\Osteo_Sarco_1.png","RPT")</f>
        <v>RPT</v>
      </c>
      <c r="G902" s="3">
        <v>115</v>
      </c>
      <c r="H902" s="3"/>
    </row>
    <row r="903" spans="1:8" x14ac:dyDescent="0.3">
      <c r="A903" s="2">
        <v>4236756</v>
      </c>
      <c r="B903" s="2">
        <v>34</v>
      </c>
      <c r="C903" s="2" t="s">
        <v>6</v>
      </c>
      <c r="D903" s="2">
        <v>100</v>
      </c>
      <c r="E903" s="2"/>
      <c r="F903" s="4" t="str">
        <f>HYPERLINK("./Results/DLO\20200101_1.3.46.670589.33.1.63715110857915957400001.5157155959232081464_201_512_512_\Osteo_Sarco_1.png","RPT")</f>
        <v>RPT</v>
      </c>
      <c r="G903" s="3">
        <v>114</v>
      </c>
      <c r="H903" s="3"/>
    </row>
    <row r="904" spans="1:8" x14ac:dyDescent="0.3">
      <c r="A904" s="2">
        <v>4237270</v>
      </c>
      <c r="B904" s="2">
        <v>57</v>
      </c>
      <c r="C904" s="2" t="s">
        <v>5</v>
      </c>
      <c r="D904" s="2">
        <v>140</v>
      </c>
      <c r="E904" s="2"/>
      <c r="F904" s="4" t="str">
        <f>HYPERLINK("./Results/DLO\20191201_1.2.840.113619.2.416.71619176731892403412096629704012010121_306_512_512_\Osteo_Sarco_1.png","RPT")</f>
        <v>RPT</v>
      </c>
      <c r="G904" s="3">
        <v>161</v>
      </c>
      <c r="H904" s="3"/>
    </row>
    <row r="905" spans="1:8" x14ac:dyDescent="0.3">
      <c r="A905" s="2">
        <v>4237270</v>
      </c>
      <c r="B905" s="2">
        <v>57</v>
      </c>
      <c r="C905" s="2" t="s">
        <v>5</v>
      </c>
      <c r="D905" s="2">
        <v>140</v>
      </c>
      <c r="E905" s="2"/>
      <c r="F905" s="4" t="str">
        <f>HYPERLINK("./Results/DLO\20191201_1.2.840.113619.2.416.232188792955597511794045409014196632924_301_512_512_\Osteo_Sarco_1.png","RPT")</f>
        <v>RPT</v>
      </c>
      <c r="G905" s="3">
        <v>156</v>
      </c>
      <c r="H905" s="3"/>
    </row>
    <row r="906" spans="1:8" x14ac:dyDescent="0.3">
      <c r="A906" s="2">
        <v>4237270</v>
      </c>
      <c r="B906" s="2">
        <v>57</v>
      </c>
      <c r="C906" s="2" t="s">
        <v>5</v>
      </c>
      <c r="D906" s="2">
        <v>140</v>
      </c>
      <c r="E906" s="2"/>
      <c r="F906" s="4" t="str">
        <f>HYPERLINK("./Results/DLO\20191201_1.2.840.113619.2.416.127756215263011474348172431803619029834_2_512_512_\Osteo_Sarco_1.png","RPT")</f>
        <v>RPT</v>
      </c>
      <c r="G906" s="3">
        <v>155</v>
      </c>
      <c r="H906" s="3"/>
    </row>
    <row r="907" spans="1:8" x14ac:dyDescent="0.3">
      <c r="A907" s="2">
        <v>4237270</v>
      </c>
      <c r="B907" s="2">
        <v>57</v>
      </c>
      <c r="C907" s="2" t="s">
        <v>5</v>
      </c>
      <c r="D907" s="2">
        <v>140</v>
      </c>
      <c r="E907" s="2"/>
      <c r="F907" s="4" t="str">
        <f>HYPERLINK("./Results/DLO\20191201_1.2.840.113619.2.416.107911095821766529658570519915183505330_303_512_512_\Osteo_Sarco_1.png","RPT")</f>
        <v>RPT</v>
      </c>
      <c r="G907" s="3">
        <v>154</v>
      </c>
      <c r="H907" s="3"/>
    </row>
    <row r="908" spans="1:8" x14ac:dyDescent="0.3">
      <c r="A908" s="2">
        <v>4239832</v>
      </c>
      <c r="B908" s="2">
        <v>70</v>
      </c>
      <c r="C908" s="2" t="s">
        <v>6</v>
      </c>
      <c r="D908" s="2">
        <v>140</v>
      </c>
      <c r="E908" s="2"/>
      <c r="F908" s="4" t="str">
        <f>HYPERLINK("./Results/DLO\20181001_1.2.840.113619.2.416.121738016767071857817472254200676541183_305_512_512_\Osteo_Sarco_1.png","RPT")</f>
        <v>RPT</v>
      </c>
      <c r="G908" s="3">
        <v>101</v>
      </c>
      <c r="H908" s="3"/>
    </row>
    <row r="909" spans="1:8" x14ac:dyDescent="0.3">
      <c r="A909" s="2">
        <v>4239832</v>
      </c>
      <c r="B909" s="2">
        <v>70</v>
      </c>
      <c r="C909" s="2" t="s">
        <v>6</v>
      </c>
      <c r="D909" s="2">
        <v>140</v>
      </c>
      <c r="E909" s="2"/>
      <c r="F909" s="4" t="str">
        <f>HYPERLINK("./Results/DLO\20181001_1.2.840.113619.2.416.134440788195352216721624591042574233100_303_512_512_\Osteo_Sarco_1.png","RPT")</f>
        <v>RPT</v>
      </c>
      <c r="G909" s="3">
        <v>99</v>
      </c>
      <c r="H909" s="3"/>
    </row>
    <row r="910" spans="1:8" x14ac:dyDescent="0.3">
      <c r="A910" s="2">
        <v>4239832</v>
      </c>
      <c r="B910" s="2">
        <v>70</v>
      </c>
      <c r="C910" s="2" t="s">
        <v>6</v>
      </c>
      <c r="D910" s="2">
        <v>140</v>
      </c>
      <c r="E910" s="2"/>
      <c r="F910" s="4" t="str">
        <f>HYPERLINK("./Results/DLO\20181001_1.2.840.113619.2.416.252871770019285958459092533144332060269_301_512_512_\Osteo_Sarco_1.png","RPT")</f>
        <v>RPT</v>
      </c>
      <c r="G910" s="3">
        <v>99</v>
      </c>
      <c r="H910" s="3"/>
    </row>
    <row r="911" spans="1:8" x14ac:dyDescent="0.3">
      <c r="A911" s="2">
        <v>4239832</v>
      </c>
      <c r="B911" s="2">
        <v>70</v>
      </c>
      <c r="C911" s="2" t="s">
        <v>6</v>
      </c>
      <c r="D911" s="2">
        <v>140</v>
      </c>
      <c r="E911" s="2"/>
      <c r="F911" s="4" t="str">
        <f>HYPERLINK("./Results/DLO\20181001_1.2.840.113619.2.416.89067621756788018834469322011935720613_308_512_512_\Osteo_Sarco_1.png","RPT")</f>
        <v>RPT</v>
      </c>
      <c r="G911" s="3">
        <v>98</v>
      </c>
      <c r="H911" s="3"/>
    </row>
    <row r="912" spans="1:8" x14ac:dyDescent="0.3">
      <c r="A912" s="2">
        <v>4240869</v>
      </c>
      <c r="B912" s="2">
        <v>37</v>
      </c>
      <c r="C912" s="2" t="s">
        <v>6</v>
      </c>
      <c r="D912" s="2">
        <v>100</v>
      </c>
      <c r="E912" s="2"/>
      <c r="F912" s="4" t="str">
        <f>HYPERLINK("./Results/DLO\20180901_1.3.46.670589.33.1.63672777751609981100001.5533221147710649485_201_512_512_\Osteo_Sarco_1.png","RPT")</f>
        <v>RPT</v>
      </c>
      <c r="G912" s="3">
        <v>99</v>
      </c>
      <c r="H912" s="3"/>
    </row>
    <row r="913" spans="1:8" x14ac:dyDescent="0.3">
      <c r="A913" s="2">
        <v>4265907</v>
      </c>
      <c r="B913" s="2">
        <v>75</v>
      </c>
      <c r="C913" s="2" t="s">
        <v>6</v>
      </c>
      <c r="D913" s="2">
        <v>140</v>
      </c>
      <c r="E913" s="2"/>
      <c r="F913" s="4" t="str">
        <f>HYPERLINK("./Results/DLO\20190501_1.2.840.113619.2.416.116417782796326013916616765365006526576_303_512_512_\Osteo_Sarco_1.png","RPT")</f>
        <v>RPT</v>
      </c>
      <c r="G913" s="3">
        <v>92</v>
      </c>
      <c r="H913" s="3"/>
    </row>
    <row r="914" spans="1:8" x14ac:dyDescent="0.3">
      <c r="A914" s="2">
        <v>4269453</v>
      </c>
      <c r="B914" s="2">
        <v>59</v>
      </c>
      <c r="C914" s="2" t="s">
        <v>5</v>
      </c>
      <c r="D914" s="2">
        <v>100</v>
      </c>
      <c r="E914" s="2"/>
      <c r="F914" s="4" t="str">
        <f>HYPERLINK("./Results/DLO\20180401_1.3.12.2.1107.5.1.4.65253.30000018042420550416800069442_7_512_512_\Osteo_Sarco_1.png","RPT")</f>
        <v>RPT</v>
      </c>
      <c r="G914" s="3">
        <v>118</v>
      </c>
      <c r="H914" s="3"/>
    </row>
    <row r="915" spans="1:8" x14ac:dyDescent="0.3">
      <c r="A915" s="2">
        <v>4269453</v>
      </c>
      <c r="B915" s="2">
        <v>59</v>
      </c>
      <c r="C915" s="2" t="s">
        <v>5</v>
      </c>
      <c r="D915" s="2">
        <v>100</v>
      </c>
      <c r="E915" s="2"/>
      <c r="F915" s="4" t="str">
        <f>HYPERLINK("./Results/DLO\20180401_1.3.12.2.1107.5.1.4.65253.30000018042420550416800069729_9_512_512_\Osteo_Sarco_1.png","RPT")</f>
        <v>RPT</v>
      </c>
      <c r="G915" s="3">
        <v>118</v>
      </c>
      <c r="H915" s="3"/>
    </row>
    <row r="916" spans="1:8" x14ac:dyDescent="0.3">
      <c r="A916" s="2">
        <v>4269453</v>
      </c>
      <c r="B916" s="2">
        <v>59</v>
      </c>
      <c r="C916" s="2" t="s">
        <v>5</v>
      </c>
      <c r="D916" s="2">
        <v>100</v>
      </c>
      <c r="E916" s="2"/>
      <c r="F916" s="4" t="str">
        <f>HYPERLINK("./Results/DLO\20180401_1.3.12.2.1107.5.1.4.65253.30000018042420550416800068950_5_512_512_\Osteo_Sarco_1.png","RPT")</f>
        <v>RPT</v>
      </c>
      <c r="G916" s="3">
        <v>115</v>
      </c>
      <c r="H916" s="3"/>
    </row>
    <row r="917" spans="1:8" x14ac:dyDescent="0.3">
      <c r="A917" s="2">
        <v>4269453</v>
      </c>
      <c r="B917" s="2">
        <v>59</v>
      </c>
      <c r="C917" s="2" t="s">
        <v>5</v>
      </c>
      <c r="D917" s="2">
        <v>100</v>
      </c>
      <c r="E917" s="2"/>
      <c r="F917" s="4" t="str">
        <f>HYPERLINK("./Results/DLO\20180401_1.3.12.2.1107.5.1.4.65253.30000018042420550416800068859_2_512_512_\Osteo_Sarco_1.png","RPT")</f>
        <v>RPT</v>
      </c>
      <c r="G917" s="3">
        <v>113</v>
      </c>
      <c r="H917" s="3"/>
    </row>
    <row r="918" spans="1:8" x14ac:dyDescent="0.3">
      <c r="A918" s="2">
        <v>4273411</v>
      </c>
      <c r="B918" s="2">
        <v>69</v>
      </c>
      <c r="C918" s="2" t="s">
        <v>5</v>
      </c>
      <c r="D918" s="2">
        <v>100</v>
      </c>
      <c r="E918" s="2"/>
      <c r="F918" s="4" t="str">
        <f>HYPERLINK("./Results/DLO\20190701_1.3.12.2.1107.5.1.4.54310.30000019073021381285900057202_7_512_512_\Osteo_Sarco_1.png","RPT")</f>
        <v>RPT</v>
      </c>
      <c r="G918" s="3">
        <v>121</v>
      </c>
      <c r="H918" s="3"/>
    </row>
    <row r="919" spans="1:8" x14ac:dyDescent="0.3">
      <c r="A919" s="2">
        <v>4291924</v>
      </c>
      <c r="B919" s="2">
        <v>83</v>
      </c>
      <c r="C919" s="2" t="s">
        <v>6</v>
      </c>
      <c r="D919" s="2">
        <v>100</v>
      </c>
      <c r="E919" s="2"/>
      <c r="F919" s="4" t="str">
        <f>HYPERLINK("./Results/DLO\20180401_1.3.12.2.1107.5.1.4.65253.30000018042720352388000015552_3_512_512_\Osteo_Sarco_1.png","RPT")</f>
        <v>RPT</v>
      </c>
      <c r="G919" s="3">
        <v>86</v>
      </c>
      <c r="H919" s="3"/>
    </row>
    <row r="920" spans="1:8" x14ac:dyDescent="0.3">
      <c r="A920" s="2">
        <v>4291924</v>
      </c>
      <c r="B920" s="2">
        <v>83</v>
      </c>
      <c r="C920" s="2" t="s">
        <v>6</v>
      </c>
      <c r="D920" s="2">
        <v>100</v>
      </c>
      <c r="E920" s="2"/>
      <c r="F920" s="4" t="str">
        <f>HYPERLINK("./Results/DLO\20180401_1.3.12.2.1107.5.1.4.65253.30000018042720352388000015408_2_512_512_\Osteo_Sarco_1.png","RPT")</f>
        <v>RPT</v>
      </c>
      <c r="G920" s="3">
        <v>83</v>
      </c>
      <c r="H920" s="3"/>
    </row>
    <row r="921" spans="1:8" x14ac:dyDescent="0.3">
      <c r="A921" s="2">
        <v>4295085</v>
      </c>
      <c r="B921" s="2">
        <v>60</v>
      </c>
      <c r="C921" s="2" t="s">
        <v>6</v>
      </c>
      <c r="D921" s="2">
        <v>140</v>
      </c>
      <c r="E921" s="2"/>
      <c r="F921" s="4" t="str">
        <f>HYPERLINK("./Results/DLO\20180801_1.2.840.113619.2.416.127785636294710765502078788305679456597_305_512_512_\Osteo_Sarco_1.png","RPT")</f>
        <v>RPT</v>
      </c>
      <c r="G921" s="3">
        <v>98</v>
      </c>
      <c r="H921" s="3"/>
    </row>
    <row r="922" spans="1:8" x14ac:dyDescent="0.3">
      <c r="A922" s="2">
        <v>4295085</v>
      </c>
      <c r="B922" s="2">
        <v>60</v>
      </c>
      <c r="C922" s="2" t="s">
        <v>6</v>
      </c>
      <c r="D922" s="2">
        <v>140</v>
      </c>
      <c r="E922" s="2"/>
      <c r="F922" s="4" t="str">
        <f>HYPERLINK("./Results/DLO\20180801_1.2.840.113619.2.416.310419745009351768674516759129110235961_303_512_512_\Osteo_Sarco_1.png","RPT")</f>
        <v>RPT</v>
      </c>
      <c r="G922" s="3">
        <v>95</v>
      </c>
      <c r="H922" s="3"/>
    </row>
    <row r="923" spans="1:8" x14ac:dyDescent="0.3">
      <c r="A923" s="2">
        <v>4295085</v>
      </c>
      <c r="B923" s="2">
        <v>60</v>
      </c>
      <c r="C923" s="2" t="s">
        <v>6</v>
      </c>
      <c r="D923" s="2">
        <v>140</v>
      </c>
      <c r="E923" s="2"/>
      <c r="F923" s="4" t="str">
        <f>HYPERLINK("./Results/DLO\20180801_1.2.840.113619.2.416.299077679934004622979769053599689520003_301_512_512_\Osteo_Sarco_1.png","RPT")</f>
        <v>RPT</v>
      </c>
      <c r="G923" s="3">
        <v>89</v>
      </c>
      <c r="H923" s="3"/>
    </row>
    <row r="924" spans="1:8" x14ac:dyDescent="0.3">
      <c r="A924" s="2">
        <v>4295439</v>
      </c>
      <c r="B924" s="2">
        <v>53</v>
      </c>
      <c r="C924" s="2" t="s">
        <v>5</v>
      </c>
      <c r="D924" s="2">
        <v>100</v>
      </c>
      <c r="E924" s="2"/>
      <c r="F924" s="4" t="str">
        <f>HYPERLINK("./Results/DLO\20180501_1.2.840.113619.2.94.485650834948.2.8834423.19118175.1_3_512_512_\Osteo_Sarco_1.png","RPT")</f>
        <v>RPT</v>
      </c>
      <c r="G924" s="3">
        <v>150</v>
      </c>
      <c r="H924" s="3"/>
    </row>
    <row r="925" spans="1:8" x14ac:dyDescent="0.3">
      <c r="A925" s="2">
        <v>4295439</v>
      </c>
      <c r="B925" s="2">
        <v>53</v>
      </c>
      <c r="C925" s="2" t="s">
        <v>5</v>
      </c>
      <c r="D925" s="2">
        <v>100</v>
      </c>
      <c r="E925" s="2"/>
      <c r="F925" s="4" t="str">
        <f>HYPERLINK("./Results/DLO\20180501_1.2.840.113619.2.94.485650834948.2.8834423.19118176.1_4_512_512_\Osteo_Sarco_1.png","RPT")</f>
        <v>RPT</v>
      </c>
      <c r="G925" s="3">
        <v>150</v>
      </c>
      <c r="H925" s="3"/>
    </row>
    <row r="926" spans="1:8" x14ac:dyDescent="0.3">
      <c r="A926" s="2">
        <v>4301491</v>
      </c>
      <c r="B926" s="2">
        <v>68</v>
      </c>
      <c r="C926" s="2" t="s">
        <v>6</v>
      </c>
      <c r="D926" s="2">
        <v>100</v>
      </c>
      <c r="E926" s="2"/>
      <c r="F926" s="4" t="str">
        <f>HYPERLINK("./Results/DLO\20180101_1.3.12.2.1107.5.1.4.54310.30000018012923354459300021439_2_512_512_\Osteo_Sarco_1.png","RPT")</f>
        <v>RPT</v>
      </c>
      <c r="G926" s="3">
        <v>113</v>
      </c>
      <c r="H926" s="3"/>
    </row>
    <row r="927" spans="1:8" x14ac:dyDescent="0.3">
      <c r="A927" s="2">
        <v>4304084</v>
      </c>
      <c r="B927" s="2">
        <v>91</v>
      </c>
      <c r="C927" s="2" t="s">
        <v>6</v>
      </c>
      <c r="D927" s="2">
        <v>100</v>
      </c>
      <c r="E927" s="2"/>
      <c r="F927" s="4" t="str">
        <f>HYPERLINK("./Results/DLO\20180601_1.3.12.2.1107.5.1.4.65253.30000018061820521553400035580_3_512_512_\Osteo_Sarco_1.png","RPT")</f>
        <v>RPT</v>
      </c>
      <c r="G927" s="3">
        <v>65</v>
      </c>
      <c r="H927" s="3"/>
    </row>
    <row r="928" spans="1:8" x14ac:dyDescent="0.3">
      <c r="A928" s="2">
        <v>4304084</v>
      </c>
      <c r="B928" s="2">
        <v>91</v>
      </c>
      <c r="C928" s="2" t="s">
        <v>6</v>
      </c>
      <c r="D928" s="2">
        <v>100</v>
      </c>
      <c r="E928" s="2"/>
      <c r="F928" s="4" t="str">
        <f>HYPERLINK("./Results/DLO\20180601_1.3.12.2.1107.5.1.4.65253.30000018061820521553400035424_2_512_512_\Osteo_Sarco_1.png","RPT")</f>
        <v>RPT</v>
      </c>
      <c r="G928" s="3">
        <v>61</v>
      </c>
      <c r="H928" s="3"/>
    </row>
    <row r="929" spans="1:8" x14ac:dyDescent="0.3">
      <c r="A929" s="2">
        <v>4316543</v>
      </c>
      <c r="B929" s="2">
        <v>73</v>
      </c>
      <c r="C929" s="2" t="s">
        <v>6</v>
      </c>
      <c r="D929" s="2">
        <v>120</v>
      </c>
      <c r="E929" s="2"/>
      <c r="F929" s="4" t="str">
        <f>HYPERLINK("./Results/DLO\20180501_1.3.12.2.1107.5.1.4.54310.30000018052223090782800030292_9_512_512_\Osteo_Sarco_1.png","RPT")</f>
        <v>RPT</v>
      </c>
      <c r="G929" s="3">
        <v>96</v>
      </c>
      <c r="H929" s="3"/>
    </row>
    <row r="930" spans="1:8" x14ac:dyDescent="0.3">
      <c r="A930" s="2">
        <v>4316543</v>
      </c>
      <c r="B930" s="2">
        <v>73</v>
      </c>
      <c r="C930" s="2" t="s">
        <v>6</v>
      </c>
      <c r="D930" s="2">
        <v>120</v>
      </c>
      <c r="E930" s="2"/>
      <c r="F930" s="4" t="str">
        <f>HYPERLINK("./Results/DLO\20180501_1.3.12.2.1107.5.1.4.54310.30000018052223090782800029722_5_512_512_\Osteo_Sarco_1.png","RPT")</f>
        <v>RPT</v>
      </c>
      <c r="G930" s="3">
        <v>95</v>
      </c>
      <c r="H930" s="3"/>
    </row>
    <row r="931" spans="1:8" x14ac:dyDescent="0.3">
      <c r="A931" s="2">
        <v>4316543</v>
      </c>
      <c r="B931" s="2">
        <v>73</v>
      </c>
      <c r="C931" s="2" t="s">
        <v>6</v>
      </c>
      <c r="D931" s="2">
        <v>120</v>
      </c>
      <c r="E931" s="2"/>
      <c r="F931" s="4" t="str">
        <f>HYPERLINK("./Results/DLO\20180501_1.3.12.2.1107.5.1.4.54310.30000018052223090782800030050_7_512_512_\Osteo_Sarco_1.png","RPT")</f>
        <v>RPT</v>
      </c>
      <c r="G931" s="3">
        <v>95</v>
      </c>
      <c r="H931" s="3"/>
    </row>
    <row r="932" spans="1:8" x14ac:dyDescent="0.3">
      <c r="A932" s="2">
        <v>4316543</v>
      </c>
      <c r="B932" s="2">
        <v>73</v>
      </c>
      <c r="C932" s="2" t="s">
        <v>6</v>
      </c>
      <c r="D932" s="2">
        <v>100</v>
      </c>
      <c r="E932" s="2"/>
      <c r="F932" s="4" t="str">
        <f>HYPERLINK("./Results/DLO\20180501_1.3.12.2.1107.5.1.4.54310.30000018052223090782800029638_2_512_512_\Osteo_Sarco_1.png","RPT")</f>
        <v>RPT</v>
      </c>
      <c r="G932" s="3">
        <v>94</v>
      </c>
      <c r="H932" s="3"/>
    </row>
    <row r="933" spans="1:8" x14ac:dyDescent="0.3">
      <c r="A933" s="2">
        <v>4321144</v>
      </c>
      <c r="B933" s="2">
        <v>54</v>
      </c>
      <c r="C933" s="2" t="s">
        <v>5</v>
      </c>
      <c r="D933" s="2">
        <v>100</v>
      </c>
      <c r="E933" s="2"/>
      <c r="F933" s="4" t="str">
        <f>HYPERLINK("./Results/DLO\20190401_1.3.12.2.1107.5.1.4.54310.30000019040923274960900046376_2_512_512_\Osteo_Sarco_1.png","RPT")</f>
        <v>RPT</v>
      </c>
      <c r="G933" s="3">
        <v>118</v>
      </c>
      <c r="H933" s="3"/>
    </row>
    <row r="934" spans="1:8" x14ac:dyDescent="0.3">
      <c r="A934" s="2">
        <v>4328373</v>
      </c>
      <c r="B934" s="2">
        <v>42</v>
      </c>
      <c r="C934" s="2" t="s">
        <v>5</v>
      </c>
      <c r="D934" s="2">
        <v>100</v>
      </c>
      <c r="E934" s="2"/>
      <c r="F934" s="4" t="str">
        <f>HYPERLINK("./Results/DLO\20180901_1.2.840.113619.2.94.485650834948.2.9058698.19672025.1_2_512_512_\Osteo_Sarco_1.png","RPT")</f>
        <v>RPT</v>
      </c>
      <c r="G934" s="3">
        <v>116</v>
      </c>
      <c r="H934" s="3"/>
    </row>
    <row r="935" spans="1:8" x14ac:dyDescent="0.3">
      <c r="A935" s="2">
        <v>4341096</v>
      </c>
      <c r="B935" s="2">
        <v>38</v>
      </c>
      <c r="C935" s="2" t="s">
        <v>6</v>
      </c>
      <c r="D935" s="2">
        <v>100</v>
      </c>
      <c r="E935" s="2"/>
      <c r="F935" s="4" t="str">
        <f>HYPERLINK("./Results/DLO\20190701_1.3.46.670589.33.1.63697745182161632800001.4743750189490868073_201_512_512_\Osteo_Sarco_1.png","RPT")</f>
        <v>RPT</v>
      </c>
      <c r="G935" s="3">
        <v>94</v>
      </c>
      <c r="H935" s="3"/>
    </row>
    <row r="936" spans="1:8" x14ac:dyDescent="0.3">
      <c r="A936" s="2">
        <v>4350566</v>
      </c>
      <c r="B936" s="2">
        <v>54</v>
      </c>
      <c r="C936" s="2" t="s">
        <v>5</v>
      </c>
      <c r="D936" s="2">
        <v>100</v>
      </c>
      <c r="E936" s="2"/>
      <c r="F936" s="4" t="str">
        <f>HYPERLINK("./Results/DLO\20190601_1.3.12.2.1107.5.1.4.54310.30000019062322103253100042415_4_512_512_\Osteo_Sarco_1.png","RPT")</f>
        <v>RPT</v>
      </c>
      <c r="G936" s="3">
        <v>178</v>
      </c>
      <c r="H936" s="3"/>
    </row>
    <row r="937" spans="1:8" x14ac:dyDescent="0.3">
      <c r="A937" s="2">
        <v>4350566</v>
      </c>
      <c r="B937" s="2">
        <v>54</v>
      </c>
      <c r="C937" s="2" t="s">
        <v>5</v>
      </c>
      <c r="D937" s="2">
        <v>100</v>
      </c>
      <c r="E937" s="2"/>
      <c r="F937" s="4" t="str">
        <f>HYPERLINK("./Results/DLO\20190601_1.3.12.2.1107.5.1.4.54310.30000019062322103253100042764_6_512_512_\Osteo_Sarco_1.png","RPT")</f>
        <v>RPT</v>
      </c>
      <c r="G937" s="3">
        <v>178</v>
      </c>
      <c r="H937" s="3"/>
    </row>
    <row r="938" spans="1:8" x14ac:dyDescent="0.3">
      <c r="A938" s="2">
        <v>4358398</v>
      </c>
      <c r="B938" s="2">
        <v>75</v>
      </c>
      <c r="C938" s="2" t="s">
        <v>5</v>
      </c>
      <c r="D938" s="2">
        <v>100</v>
      </c>
      <c r="E938" s="2"/>
      <c r="F938" s="4" t="str">
        <f>HYPERLINK("./Results/DLO\20180101_1.2.840.113619.2.416.252443766225534936625935066523128513428_305_512_512_\Osteo_Sarco_1.png","RPT")</f>
        <v>RPT</v>
      </c>
      <c r="G938" s="3">
        <v>121</v>
      </c>
      <c r="H938" s="3"/>
    </row>
    <row r="939" spans="1:8" x14ac:dyDescent="0.3">
      <c r="A939" s="2">
        <v>4358398</v>
      </c>
      <c r="B939" s="2">
        <v>75</v>
      </c>
      <c r="C939" s="2" t="s">
        <v>5</v>
      </c>
      <c r="D939" s="2">
        <v>100</v>
      </c>
      <c r="E939" s="2"/>
      <c r="F939" s="4" t="str">
        <f>HYPERLINK("./Results/DLO\20180101_1.2.840.113619.2.416.252883009520184418488743049938460618697_302_512_512_\Osteo_Sarco_1.png","RPT")</f>
        <v>RPT</v>
      </c>
      <c r="G939" s="3">
        <v>121</v>
      </c>
      <c r="H939" s="3"/>
    </row>
    <row r="940" spans="1:8" x14ac:dyDescent="0.3">
      <c r="A940" s="2">
        <v>4358398</v>
      </c>
      <c r="B940" s="2">
        <v>75</v>
      </c>
      <c r="C940" s="2" t="s">
        <v>5</v>
      </c>
      <c r="D940" s="2">
        <v>100</v>
      </c>
      <c r="E940" s="2"/>
      <c r="F940" s="4" t="str">
        <f>HYPERLINK("./Results/DLO\20180101_1.2.840.113619.2.416.138045590590267921087699816531018828607_301_512_512_\Osteo_Sarco_1.png","RPT")</f>
        <v>RPT</v>
      </c>
      <c r="G940" s="3">
        <v>120</v>
      </c>
      <c r="H940" s="3"/>
    </row>
    <row r="941" spans="1:8" x14ac:dyDescent="0.3">
      <c r="A941" s="2">
        <v>4358398</v>
      </c>
      <c r="B941" s="2">
        <v>75</v>
      </c>
      <c r="C941" s="2" t="s">
        <v>5</v>
      </c>
      <c r="D941" s="2">
        <v>120</v>
      </c>
      <c r="E941" s="2"/>
      <c r="F941" s="4" t="str">
        <f>HYPERLINK("./Results/DLO\20180101_1.2.840.113619.2.416.118898480999580236433584355777638234824_2_512_512_\Osteo_Sarco_1.png","RPT")</f>
        <v>RPT</v>
      </c>
      <c r="G941" s="3">
        <v>117</v>
      </c>
      <c r="H941" s="3"/>
    </row>
    <row r="942" spans="1:8" x14ac:dyDescent="0.3">
      <c r="A942" s="2">
        <v>4358846</v>
      </c>
      <c r="B942" s="2">
        <v>46</v>
      </c>
      <c r="C942" s="2" t="s">
        <v>6</v>
      </c>
      <c r="D942" s="2">
        <v>100</v>
      </c>
      <c r="E942" s="2"/>
      <c r="F942" s="4" t="str">
        <f>HYPERLINK("./Results/DLO\20180101_1.3.46.670589.33.1.63652814660948866300001.5083582921376546742_201_512_512_\Osteo_Sarco_1.png","RPT")</f>
        <v>RPT</v>
      </c>
      <c r="G942" s="3">
        <v>121</v>
      </c>
      <c r="H942" s="3"/>
    </row>
    <row r="943" spans="1:8" x14ac:dyDescent="0.3">
      <c r="A943" s="2">
        <v>4376769</v>
      </c>
      <c r="B943" s="2">
        <v>39</v>
      </c>
      <c r="C943" s="2" t="s">
        <v>6</v>
      </c>
      <c r="D943" s="2">
        <v>140</v>
      </c>
      <c r="E943" s="2"/>
      <c r="F943" s="4" t="str">
        <f>HYPERLINK("./Results/DLO\20190501_1.2.840.113619.2.416.14585814915288315725313327485809969717_2_512_512_\Osteo_Sarco_1.png","RPT")</f>
        <v>RPT</v>
      </c>
      <c r="G943" s="3">
        <v>130</v>
      </c>
      <c r="H943" s="3"/>
    </row>
    <row r="944" spans="1:8" x14ac:dyDescent="0.3">
      <c r="A944" s="2">
        <v>4376769</v>
      </c>
      <c r="B944" s="2">
        <v>39</v>
      </c>
      <c r="C944" s="2" t="s">
        <v>6</v>
      </c>
      <c r="D944" s="2">
        <v>140</v>
      </c>
      <c r="E944" s="2"/>
      <c r="F944" s="4" t="str">
        <f>HYPERLINK("./Results/DLO\20190501_1.2.840.113619.2.416.222791260928167798073813123303909026529_306_512_512_\Osteo_Sarco_1.png","RPT")</f>
        <v>RPT</v>
      </c>
      <c r="G944" s="3">
        <v>130</v>
      </c>
      <c r="H944" s="3"/>
    </row>
    <row r="945" spans="1:8" x14ac:dyDescent="0.3">
      <c r="A945" s="2">
        <v>4376769</v>
      </c>
      <c r="B945" s="2">
        <v>39</v>
      </c>
      <c r="C945" s="2" t="s">
        <v>6</v>
      </c>
      <c r="D945" s="2">
        <v>140</v>
      </c>
      <c r="E945" s="2"/>
      <c r="F945" s="4" t="str">
        <f>HYPERLINK("./Results/DLO\20190501_1.2.840.113619.2.416.135698969392475315074720887491455427289_303_512_512_\Osteo_Sarco_1.png","RPT")</f>
        <v>RPT</v>
      </c>
      <c r="G945" s="3">
        <v>129</v>
      </c>
      <c r="H945" s="3"/>
    </row>
    <row r="946" spans="1:8" x14ac:dyDescent="0.3">
      <c r="A946" s="2">
        <v>4376769</v>
      </c>
      <c r="B946" s="2">
        <v>39</v>
      </c>
      <c r="C946" s="2" t="s">
        <v>6</v>
      </c>
      <c r="D946" s="2">
        <v>140</v>
      </c>
      <c r="E946" s="2"/>
      <c r="F946" s="4" t="str">
        <f>HYPERLINK("./Results/DLO\20190501_1.2.840.113619.2.416.173278552485736231712196560187726521237_301_512_512_\Osteo_Sarco_1.png","RPT")</f>
        <v>RPT</v>
      </c>
      <c r="G946" s="3">
        <v>128</v>
      </c>
      <c r="H946" s="3"/>
    </row>
    <row r="947" spans="1:8" x14ac:dyDescent="0.3">
      <c r="A947" s="2">
        <v>4381704</v>
      </c>
      <c r="B947" s="2">
        <v>46</v>
      </c>
      <c r="C947" s="2" t="s">
        <v>6</v>
      </c>
      <c r="D947" s="2">
        <v>100</v>
      </c>
      <c r="E947" s="2"/>
      <c r="F947" s="4" t="str">
        <f>HYPERLINK("./Results/DLO\20180301_1.3.12.2.1107.5.1.4.65253.30000018031818085683600039899_3_512_512_\Osteo_Sarco_1.png","RPT")</f>
        <v>RPT</v>
      </c>
      <c r="G947" s="3">
        <v>119</v>
      </c>
      <c r="H947" s="3"/>
    </row>
    <row r="948" spans="1:8" x14ac:dyDescent="0.3">
      <c r="A948" s="2">
        <v>4381704</v>
      </c>
      <c r="B948" s="2">
        <v>46</v>
      </c>
      <c r="C948" s="2" t="s">
        <v>6</v>
      </c>
      <c r="D948" s="2">
        <v>100</v>
      </c>
      <c r="E948" s="2"/>
      <c r="F948" s="4" t="str">
        <f>HYPERLINK("./Results/DLO\20180301_1.3.12.2.1107.5.1.4.65253.30000018031818085683600039763_2_512_512_\Osteo_Sarco_1.png","RPT")</f>
        <v>RPT</v>
      </c>
      <c r="G948" s="3">
        <v>116</v>
      </c>
      <c r="H948" s="3"/>
    </row>
    <row r="949" spans="1:8" x14ac:dyDescent="0.3">
      <c r="A949" s="2">
        <v>4383129</v>
      </c>
      <c r="B949" s="2">
        <v>65</v>
      </c>
      <c r="C949" s="2" t="s">
        <v>5</v>
      </c>
      <c r="D949" s="2">
        <v>140</v>
      </c>
      <c r="E949" s="2"/>
      <c r="F949" s="4" t="str">
        <f>HYPERLINK("./Results/DLO\20181201_1.2.840.113619.2.416.151127861028233806990508426860425792882_308_512_512_\Osteo_Sarco_1.png","RPT")</f>
        <v>RPT</v>
      </c>
      <c r="G949" s="3">
        <v>137</v>
      </c>
      <c r="H949" s="3"/>
    </row>
    <row r="950" spans="1:8" x14ac:dyDescent="0.3">
      <c r="A950" s="2">
        <v>4383129</v>
      </c>
      <c r="B950" s="2">
        <v>65</v>
      </c>
      <c r="C950" s="2" t="s">
        <v>5</v>
      </c>
      <c r="D950" s="2">
        <v>140</v>
      </c>
      <c r="E950" s="2"/>
      <c r="F950" s="4" t="str">
        <f>HYPERLINK("./Results/DLO\20181201_1.2.840.113619.2.416.19064828654238242632119873805940429866_305_512_512_\Osteo_Sarco_1.png","RPT")</f>
        <v>RPT</v>
      </c>
      <c r="G950" s="3">
        <v>137</v>
      </c>
      <c r="H950" s="3"/>
    </row>
    <row r="951" spans="1:8" x14ac:dyDescent="0.3">
      <c r="A951" s="2">
        <v>4383129</v>
      </c>
      <c r="B951" s="2">
        <v>65</v>
      </c>
      <c r="C951" s="2" t="s">
        <v>5</v>
      </c>
      <c r="D951" s="2">
        <v>140</v>
      </c>
      <c r="E951" s="2"/>
      <c r="F951" s="4" t="str">
        <f>HYPERLINK("./Results/DLO\20181201_1.2.840.113619.2.416.54657319368119199109260423512867810716_303_512_512_\Osteo_Sarco_1.png","RPT")</f>
        <v>RPT</v>
      </c>
      <c r="G951" s="3">
        <v>137</v>
      </c>
      <c r="H951" s="3"/>
    </row>
    <row r="952" spans="1:8" x14ac:dyDescent="0.3">
      <c r="A952" s="2">
        <v>4383129</v>
      </c>
      <c r="B952" s="2">
        <v>65</v>
      </c>
      <c r="C952" s="2" t="s">
        <v>5</v>
      </c>
      <c r="D952" s="2">
        <v>140</v>
      </c>
      <c r="E952" s="2"/>
      <c r="F952" s="4" t="str">
        <f>HYPERLINK("./Results/DLO\20181201_1.2.840.113619.2.416.210040596699073788751261668631287674741_301_512_512_\Osteo_Sarco_1.png","RPT")</f>
        <v>RPT</v>
      </c>
      <c r="G952" s="3">
        <v>134</v>
      </c>
      <c r="H952" s="3"/>
    </row>
    <row r="953" spans="1:8" x14ac:dyDescent="0.3">
      <c r="A953" s="2">
        <v>4422460</v>
      </c>
      <c r="B953" s="2">
        <v>49</v>
      </c>
      <c r="C953" s="2" t="s">
        <v>5</v>
      </c>
      <c r="D953" s="2">
        <v>140</v>
      </c>
      <c r="E953" s="2"/>
      <c r="F953" s="4" t="str">
        <f>HYPERLINK("./Results/DLO\20180501_1.2.840.113619.2.416.117495280148991379573404951041835320097_309_512_512_\Osteo_Sarco_1.png","RPT")</f>
        <v>RPT</v>
      </c>
      <c r="G953" s="3">
        <v>149</v>
      </c>
      <c r="H953" s="3"/>
    </row>
    <row r="954" spans="1:8" x14ac:dyDescent="0.3">
      <c r="A954" s="2">
        <v>4422460</v>
      </c>
      <c r="B954" s="2">
        <v>49</v>
      </c>
      <c r="C954" s="2" t="s">
        <v>5</v>
      </c>
      <c r="D954" s="2">
        <v>140</v>
      </c>
      <c r="E954" s="2"/>
      <c r="F954" s="4" t="str">
        <f>HYPERLINK("./Results/DLO\20180501_1.2.840.113619.2.416.192757604004246146315570494400282358528_306_512_512_\Osteo_Sarco_1.png","RPT")</f>
        <v>RPT</v>
      </c>
      <c r="G954" s="3">
        <v>146</v>
      </c>
      <c r="H954" s="3"/>
    </row>
    <row r="955" spans="1:8" x14ac:dyDescent="0.3">
      <c r="A955" s="2">
        <v>4422460</v>
      </c>
      <c r="B955" s="2">
        <v>49</v>
      </c>
      <c r="C955" s="2" t="s">
        <v>5</v>
      </c>
      <c r="D955" s="2">
        <v>140</v>
      </c>
      <c r="E955" s="2"/>
      <c r="F955" s="4" t="str">
        <f>HYPERLINK("./Results/DLO\20180501_1.2.840.113619.2.416.1586918724128262708209329564426064764_303_512_512_\Osteo_Sarco_1.png","RPT")</f>
        <v>RPT</v>
      </c>
      <c r="G955" s="3">
        <v>145</v>
      </c>
      <c r="H955" s="3"/>
    </row>
    <row r="956" spans="1:8" x14ac:dyDescent="0.3">
      <c r="A956" s="2">
        <v>4422460</v>
      </c>
      <c r="B956" s="2">
        <v>49</v>
      </c>
      <c r="C956" s="2" t="s">
        <v>5</v>
      </c>
      <c r="D956" s="2">
        <v>140</v>
      </c>
      <c r="E956" s="2"/>
      <c r="F956" s="4" t="str">
        <f>HYPERLINK("./Results/DLO\20180501_1.2.840.113619.2.416.165695868744702738947120704450550861210_2_512_512_\Osteo_Sarco_1.png","RPT")</f>
        <v>RPT</v>
      </c>
      <c r="G956" s="3">
        <v>144</v>
      </c>
      <c r="H956" s="3"/>
    </row>
    <row r="957" spans="1:8" x14ac:dyDescent="0.3">
      <c r="A957" s="2">
        <v>4426403</v>
      </c>
      <c r="B957" s="2">
        <v>40</v>
      </c>
      <c r="C957" s="2" t="s">
        <v>6</v>
      </c>
      <c r="D957" s="2">
        <v>80</v>
      </c>
      <c r="E957" s="2"/>
      <c r="F957" s="4" t="str">
        <f>HYPERLINK("./Results/DLO\20200601_1.2.840.113619.2.416.73261067969385498550090945189387467036_307_512_512_\Osteo_Sarco_1.png","RPT")</f>
        <v>RPT</v>
      </c>
      <c r="G957" s="3">
        <v>88</v>
      </c>
      <c r="H957" s="3"/>
    </row>
    <row r="958" spans="1:8" x14ac:dyDescent="0.3">
      <c r="A958" s="2">
        <v>4430771</v>
      </c>
      <c r="B958" s="2">
        <v>71</v>
      </c>
      <c r="C958" s="2" t="s">
        <v>6</v>
      </c>
      <c r="D958" s="2">
        <v>100</v>
      </c>
      <c r="E958" s="2"/>
      <c r="F958" s="4" t="str">
        <f>HYPERLINK("./Results/DLO\20200501_1.3.12.2.1107.5.1.4.54310.30000020051323212709300003419_2_512_512_\Osteo_Sarco_1.png","RPT")</f>
        <v>RPT</v>
      </c>
      <c r="G958" s="3">
        <v>93</v>
      </c>
      <c r="H958" s="3"/>
    </row>
    <row r="959" spans="1:8" x14ac:dyDescent="0.3">
      <c r="A959" s="2">
        <v>4431435</v>
      </c>
      <c r="B959" s="2">
        <v>65</v>
      </c>
      <c r="C959" s="2" t="s">
        <v>5</v>
      </c>
      <c r="D959" s="2">
        <v>100</v>
      </c>
      <c r="E959" s="2"/>
      <c r="F959" s="4" t="str">
        <f>HYPERLINK("./Results/DLO\20200201_1.3.12.2.1107.5.1.4.54310.30000020021022515807800000538_2_512_512_\Osteo_Sarco_1.png","RPT")</f>
        <v>RPT</v>
      </c>
      <c r="G959" s="3">
        <v>117</v>
      </c>
      <c r="H959" s="3"/>
    </row>
    <row r="960" spans="1:8" x14ac:dyDescent="0.3">
      <c r="A960" s="2">
        <v>4431730</v>
      </c>
      <c r="B960" s="2">
        <v>48</v>
      </c>
      <c r="C960" s="2" t="s">
        <v>5</v>
      </c>
      <c r="D960" s="2">
        <v>120</v>
      </c>
      <c r="E960" s="2"/>
      <c r="F960" s="4" t="str">
        <f>HYPERLINK("./Results/DLO\20180601_1.3.12.2.1107.5.1.4.54310.30000018060623105240600002030_7_512_512_\Osteo_Sarco_1.png","RPT")</f>
        <v>RPT</v>
      </c>
      <c r="G960" s="3">
        <v>193</v>
      </c>
      <c r="H960" s="3"/>
    </row>
    <row r="961" spans="1:8" x14ac:dyDescent="0.3">
      <c r="A961" s="2">
        <v>4434356</v>
      </c>
      <c r="B961" s="2">
        <v>33</v>
      </c>
      <c r="C961" s="2" t="s">
        <v>5</v>
      </c>
      <c r="D961" s="2">
        <v>100</v>
      </c>
      <c r="E961" s="2"/>
      <c r="F961" s="4" t="str">
        <f>HYPERLINK("./Results/DLO\20181001_1.2.410.100011.172.16.68.201.6367649282576621105.5_5_512_512_\Osteo_Sarco_1.png","RPT")</f>
        <v>RPT</v>
      </c>
      <c r="G961" s="3">
        <v>212</v>
      </c>
      <c r="H961" s="3"/>
    </row>
    <row r="962" spans="1:8" x14ac:dyDescent="0.3">
      <c r="A962" s="2">
        <v>4434356</v>
      </c>
      <c r="B962" s="2">
        <v>33</v>
      </c>
      <c r="C962" s="2" t="s">
        <v>5</v>
      </c>
      <c r="D962" s="2">
        <v>100</v>
      </c>
      <c r="E962" s="2"/>
      <c r="F962" s="4" t="str">
        <f>HYPERLINK("./Results/DLO\20181001_1.2.410.100011.172.16.68.201.6367649282576621105.4_4_512_512_\Osteo_Sarco_1.png","RPT")</f>
        <v>RPT</v>
      </c>
      <c r="G962" s="3">
        <v>211</v>
      </c>
      <c r="H962" s="3"/>
    </row>
    <row r="963" spans="1:8" x14ac:dyDescent="0.3">
      <c r="A963" s="2">
        <v>4434356</v>
      </c>
      <c r="B963" s="2">
        <v>33</v>
      </c>
      <c r="C963" s="2" t="s">
        <v>5</v>
      </c>
      <c r="D963" s="2">
        <v>120</v>
      </c>
      <c r="E963" s="2"/>
      <c r="F963" s="4" t="str">
        <f>HYPERLINK("./Results/DLO\20181001_1.2.410.100011.172.16.68.201.6367649282576621105.3_3_512_512_\Osteo_Sarco_1.png","RPT")</f>
        <v>RPT</v>
      </c>
      <c r="G963" s="3">
        <v>210</v>
      </c>
      <c r="H963" s="3"/>
    </row>
    <row r="964" spans="1:8" x14ac:dyDescent="0.3">
      <c r="A964" s="2">
        <v>4434356</v>
      </c>
      <c r="B964" s="2">
        <v>33</v>
      </c>
      <c r="C964" s="2" t="s">
        <v>5</v>
      </c>
      <c r="D964" s="2">
        <v>100</v>
      </c>
      <c r="E964" s="2"/>
      <c r="F964" s="4" t="str">
        <f>HYPERLINK("./Results/DLO\20181001_1.2.410.100011.172.16.68.201.6367649282576621105.6_6_512_512_\Osteo_Sarco_1.png","RPT")</f>
        <v>RPT</v>
      </c>
      <c r="G964" s="3">
        <v>206</v>
      </c>
      <c r="H964" s="3"/>
    </row>
    <row r="965" spans="1:8" x14ac:dyDescent="0.3">
      <c r="A965" s="2">
        <v>4440616</v>
      </c>
      <c r="B965" s="2">
        <v>62</v>
      </c>
      <c r="C965" s="2" t="s">
        <v>5</v>
      </c>
      <c r="D965" s="2">
        <v>120</v>
      </c>
      <c r="E965" s="2"/>
      <c r="F965" s="4" t="str">
        <f>HYPERLINK("./Results/DLO\20180501_1.3.12.2.1107.5.1.4.54310.30000018051423153218700019905_12_512_512_\Osteo_Sarco_1.png","RPT")</f>
        <v>RPT</v>
      </c>
      <c r="G965" s="3">
        <v>155</v>
      </c>
      <c r="H965" s="3"/>
    </row>
    <row r="966" spans="1:8" x14ac:dyDescent="0.3">
      <c r="A966" s="2">
        <v>4440616</v>
      </c>
      <c r="B966" s="2">
        <v>62</v>
      </c>
      <c r="C966" s="2" t="s">
        <v>5</v>
      </c>
      <c r="D966" s="2">
        <v>100</v>
      </c>
      <c r="E966" s="2"/>
      <c r="F966" s="4" t="str">
        <f>HYPERLINK("./Results/DLO\20180501_1.3.12.2.1107.5.1.4.54310.30000018051423153218700018557_3_512_512_\Osteo_Sarco_1.png","RPT")</f>
        <v>RPT</v>
      </c>
      <c r="G966" s="3">
        <v>151</v>
      </c>
      <c r="H966" s="3"/>
    </row>
    <row r="967" spans="1:8" x14ac:dyDescent="0.3">
      <c r="A967" s="2">
        <v>4440616</v>
      </c>
      <c r="B967" s="2">
        <v>62</v>
      </c>
      <c r="C967" s="2" t="s">
        <v>5</v>
      </c>
      <c r="D967" s="2">
        <v>120</v>
      </c>
      <c r="E967" s="2"/>
      <c r="F967" s="4" t="str">
        <f>HYPERLINK("./Results/DLO\20180501_1.3.12.2.1107.5.1.4.54310.30000018051423153218700018656_5_512_512_\Osteo_Sarco_1.png","RPT")</f>
        <v>RPT</v>
      </c>
      <c r="G967" s="3">
        <v>151</v>
      </c>
      <c r="H967" s="3"/>
    </row>
    <row r="968" spans="1:8" x14ac:dyDescent="0.3">
      <c r="A968" s="2">
        <v>4440616</v>
      </c>
      <c r="B968" s="2">
        <v>62</v>
      </c>
      <c r="C968" s="2" t="s">
        <v>5</v>
      </c>
      <c r="D968" s="2">
        <v>120</v>
      </c>
      <c r="E968" s="2"/>
      <c r="F968" s="4" t="str">
        <f>HYPERLINK("./Results/DLO\20180501_1.3.12.2.1107.5.1.4.54310.30000018051423393509300010811_7_512_512_\Osteo_Sarco_1.png","RPT")</f>
        <v>RPT</v>
      </c>
      <c r="G968" s="3">
        <v>150</v>
      </c>
      <c r="H968" s="3"/>
    </row>
    <row r="969" spans="1:8" x14ac:dyDescent="0.3">
      <c r="A969" s="2">
        <v>4443565</v>
      </c>
      <c r="B969" s="2">
        <v>40</v>
      </c>
      <c r="C969" s="2" t="s">
        <v>6</v>
      </c>
      <c r="D969" s="2">
        <v>100</v>
      </c>
      <c r="E969" s="2"/>
      <c r="F969" s="4" t="str">
        <f>HYPERLINK("./Results/DLO\20180501_1.3.12.2.1107.5.1.4.65253.30000018051520565468900008741_3_512_512_\Osteo_Sarco_1.png","RPT")</f>
        <v>RPT</v>
      </c>
      <c r="G969" s="3">
        <v>99</v>
      </c>
      <c r="H969" s="3"/>
    </row>
    <row r="970" spans="1:8" x14ac:dyDescent="0.3">
      <c r="A970" s="2">
        <v>4443565</v>
      </c>
      <c r="B970" s="2">
        <v>40</v>
      </c>
      <c r="C970" s="2" t="s">
        <v>6</v>
      </c>
      <c r="D970" s="2">
        <v>100</v>
      </c>
      <c r="E970" s="2"/>
      <c r="F970" s="4" t="str">
        <f>HYPERLINK("./Results/DLO\20180501_1.3.12.2.1107.5.1.4.65253.30000018051520565468900008599_2_512_512_\Osteo_Sarco_1.png","RPT")</f>
        <v>RPT</v>
      </c>
      <c r="G970" s="3">
        <v>97</v>
      </c>
      <c r="H970" s="3"/>
    </row>
    <row r="971" spans="1:8" x14ac:dyDescent="0.3">
      <c r="A971" s="2">
        <v>4452225</v>
      </c>
      <c r="B971" s="2">
        <v>74</v>
      </c>
      <c r="C971" s="2" t="s">
        <v>5</v>
      </c>
      <c r="D971" s="2">
        <v>100</v>
      </c>
      <c r="E971" s="2"/>
      <c r="F971" s="4" t="str">
        <f>HYPERLINK("./Results/DLO\20190401_1.3.12.2.1107.5.1.4.54310.30000019041423314437500020952_4_512_512_\Osteo_Sarco_1.png","RPT")</f>
        <v>RPT</v>
      </c>
      <c r="G971" s="3">
        <v>119</v>
      </c>
      <c r="H971" s="3"/>
    </row>
    <row r="972" spans="1:8" x14ac:dyDescent="0.3">
      <c r="A972" s="2">
        <v>4452225</v>
      </c>
      <c r="B972" s="2">
        <v>74</v>
      </c>
      <c r="C972" s="2" t="s">
        <v>5</v>
      </c>
      <c r="D972" s="2">
        <v>100</v>
      </c>
      <c r="E972" s="2"/>
      <c r="F972" s="4" t="str">
        <f>HYPERLINK("./Results/DLO\20190401_1.3.12.2.1107.5.1.4.54310.30000019041423314437500022642_6_512_512_\Osteo_Sarco_1.png","RPT")</f>
        <v>RPT</v>
      </c>
      <c r="G972" s="3">
        <v>119</v>
      </c>
      <c r="H972" s="3"/>
    </row>
    <row r="973" spans="1:8" x14ac:dyDescent="0.3">
      <c r="A973" s="2">
        <v>4460889</v>
      </c>
      <c r="B973" s="2">
        <v>47</v>
      </c>
      <c r="C973" s="2" t="s">
        <v>6</v>
      </c>
      <c r="D973" s="2">
        <v>120</v>
      </c>
      <c r="E973" s="2"/>
      <c r="F973" s="4" t="str">
        <f>HYPERLINK("./Results/DLO\20181101_1.3.12.2.1107.5.1.4.54310.30000018112523321832800020966_7_512_512_\Osteo_Sarco_1.png","RPT")</f>
        <v>RPT</v>
      </c>
      <c r="G973" s="3">
        <v>96</v>
      </c>
      <c r="H973" s="3"/>
    </row>
    <row r="974" spans="1:8" x14ac:dyDescent="0.3">
      <c r="A974" s="2">
        <v>4460889</v>
      </c>
      <c r="B974" s="2">
        <v>47</v>
      </c>
      <c r="C974" s="2" t="s">
        <v>6</v>
      </c>
      <c r="D974" s="2">
        <v>100</v>
      </c>
      <c r="E974" s="2"/>
      <c r="F974" s="4" t="str">
        <f>HYPERLINK("./Results/DLO\20181101_1.3.12.2.1107.5.1.4.54310.30000018112523321832800020517_3_512_512_\Osteo_Sarco_1.png","RPT")</f>
        <v>RPT</v>
      </c>
      <c r="G974" s="3">
        <v>95</v>
      </c>
      <c r="H974" s="3"/>
    </row>
    <row r="975" spans="1:8" x14ac:dyDescent="0.3">
      <c r="A975" s="2">
        <v>4460889</v>
      </c>
      <c r="B975" s="2">
        <v>47</v>
      </c>
      <c r="C975" s="2" t="s">
        <v>6</v>
      </c>
      <c r="D975" s="2">
        <v>120</v>
      </c>
      <c r="E975" s="2"/>
      <c r="F975" s="4" t="str">
        <f>HYPERLINK("./Results/DLO\20181101_1.3.12.2.1107.5.1.4.54310.30000018112523321832800020608_5_512_512_\Osteo_Sarco_1.png","RPT")</f>
        <v>RPT</v>
      </c>
      <c r="G975" s="3">
        <v>95</v>
      </c>
      <c r="H975" s="3"/>
    </row>
    <row r="976" spans="1:8" x14ac:dyDescent="0.3">
      <c r="A976" s="2">
        <v>4460889</v>
      </c>
      <c r="B976" s="2">
        <v>47</v>
      </c>
      <c r="C976" s="2" t="s">
        <v>6</v>
      </c>
      <c r="D976" s="2">
        <v>120</v>
      </c>
      <c r="E976" s="2"/>
      <c r="F976" s="4" t="str">
        <f>HYPERLINK("./Results/DLO\20181101_1.3.12.2.1107.5.1.4.54310.30000018112523321832800021117_8_512_512_\Osteo_Sarco_1.png","RPT")</f>
        <v>RPT</v>
      </c>
      <c r="G976" s="3">
        <v>94</v>
      </c>
      <c r="H976" s="3"/>
    </row>
    <row r="977" spans="1:8" x14ac:dyDescent="0.3">
      <c r="A977" s="2">
        <v>4479852</v>
      </c>
      <c r="B977" s="2">
        <v>72</v>
      </c>
      <c r="C977" s="2" t="s">
        <v>6</v>
      </c>
      <c r="D977" s="2">
        <v>100</v>
      </c>
      <c r="E977" s="2"/>
      <c r="F977" s="4" t="str">
        <f>HYPERLINK("./Results/DLO\20181201_1.3.46.670589.33.1.63679778431899635200001.4641894036049839341_201_512_512_\Osteo_Sarco_1.png","RPT")</f>
        <v>RPT</v>
      </c>
      <c r="G977" s="3">
        <v>110</v>
      </c>
      <c r="H977" s="3"/>
    </row>
    <row r="978" spans="1:8" x14ac:dyDescent="0.3">
      <c r="A978" s="2">
        <v>4486003</v>
      </c>
      <c r="B978" s="2">
        <v>63</v>
      </c>
      <c r="C978" s="2" t="s">
        <v>5</v>
      </c>
      <c r="D978" s="2">
        <v>100</v>
      </c>
      <c r="E978" s="2"/>
      <c r="F978" s="4" t="str">
        <f>HYPERLINK("./Results/DLO\20180601_1.2.840.113619.2.416.56982516287351464992560379961711454375_303_512_512_\Osteo_Sarco_1.png","RPT")</f>
        <v>RPT</v>
      </c>
      <c r="G978" s="3">
        <v>140</v>
      </c>
      <c r="H978" s="3"/>
    </row>
    <row r="979" spans="1:8" x14ac:dyDescent="0.3">
      <c r="A979" s="2">
        <v>4512762</v>
      </c>
      <c r="B979" s="2">
        <v>76</v>
      </c>
      <c r="C979" s="2" t="s">
        <v>6</v>
      </c>
      <c r="D979" s="2">
        <v>120</v>
      </c>
      <c r="E979" s="2"/>
      <c r="F979" s="4" t="str">
        <f>HYPERLINK("./Results/DLO\20190101_1.3.12.2.1107.5.1.4.54310.30000019012223310779600000911_7_512_512_\Osteo_Sarco_1.png","RPT")</f>
        <v>RPT</v>
      </c>
      <c r="G979" s="3">
        <v>104</v>
      </c>
      <c r="H979" s="3"/>
    </row>
    <row r="980" spans="1:8" x14ac:dyDescent="0.3">
      <c r="A980" s="2">
        <v>4512762</v>
      </c>
      <c r="B980" s="2">
        <v>76</v>
      </c>
      <c r="C980" s="2" t="s">
        <v>6</v>
      </c>
      <c r="D980" s="2">
        <v>120</v>
      </c>
      <c r="E980" s="2"/>
      <c r="F980" s="4" t="str">
        <f>HYPERLINK("./Results/DLO\20190101_1.3.12.2.1107.5.1.4.54310.30000019012223310779600001184_9_512_512_\Osteo_Sarco_1.png","RPT")</f>
        <v>RPT</v>
      </c>
      <c r="G980" s="3">
        <v>104</v>
      </c>
      <c r="H980" s="3"/>
    </row>
    <row r="981" spans="1:8" x14ac:dyDescent="0.3">
      <c r="A981" s="2">
        <v>4512762</v>
      </c>
      <c r="B981" s="2">
        <v>76</v>
      </c>
      <c r="C981" s="2" t="s">
        <v>6</v>
      </c>
      <c r="D981" s="2">
        <v>120</v>
      </c>
      <c r="E981" s="2"/>
      <c r="F981" s="4" t="str">
        <f>HYPERLINK("./Results/DLO\20190101_1.3.12.2.1107.5.1.4.54310.30000019012223310779600000549_5_512_512_\Osteo_Sarco_1.png","RPT")</f>
        <v>RPT</v>
      </c>
      <c r="G981" s="3">
        <v>102</v>
      </c>
      <c r="H981" s="3"/>
    </row>
    <row r="982" spans="1:8" x14ac:dyDescent="0.3">
      <c r="A982" s="2">
        <v>4512762</v>
      </c>
      <c r="B982" s="2">
        <v>76</v>
      </c>
      <c r="C982" s="2" t="s">
        <v>6</v>
      </c>
      <c r="D982" s="2">
        <v>100</v>
      </c>
      <c r="E982" s="2"/>
      <c r="F982" s="4" t="str">
        <f>HYPERLINK("./Results/DLO\20190101_1.3.12.2.1107.5.1.4.54310.30000019012223310779600000457_3_512_512_\Osteo_Sarco_1.png","RPT")</f>
        <v>RPT</v>
      </c>
      <c r="G982" s="3">
        <v>101</v>
      </c>
      <c r="H982" s="3"/>
    </row>
    <row r="983" spans="1:8" x14ac:dyDescent="0.3">
      <c r="A983" s="2">
        <v>4514311</v>
      </c>
      <c r="B983" s="2">
        <v>47</v>
      </c>
      <c r="C983" s="2" t="s">
        <v>6</v>
      </c>
      <c r="D983" s="2">
        <v>100</v>
      </c>
      <c r="E983" s="2"/>
      <c r="F983" s="4" t="str">
        <f>HYPERLINK("./Results/DLO\20180701_1.3.12.2.1107.5.1.4.54310.30000018070500061709300004179_2_512_512_\Osteo_Sarco_1.png","RPT")</f>
        <v>RPT</v>
      </c>
      <c r="G983" s="3">
        <v>97</v>
      </c>
      <c r="H983" s="3"/>
    </row>
    <row r="984" spans="1:8" x14ac:dyDescent="0.3">
      <c r="A984" s="2">
        <v>4521660</v>
      </c>
      <c r="B984" s="2">
        <v>63</v>
      </c>
      <c r="C984" s="2" t="s">
        <v>6</v>
      </c>
      <c r="D984" s="2">
        <v>140</v>
      </c>
      <c r="E984" s="2"/>
      <c r="F984" s="4" t="str">
        <f>HYPERLINK("./Results/DLO\20190201_1.2.840.113619.2.416.212686396087153218558218697178314482171_303_512_512_\Osteo_Sarco_1.png","RPT")</f>
        <v>RPT</v>
      </c>
      <c r="G984" s="3">
        <v>103</v>
      </c>
      <c r="H984" s="3"/>
    </row>
    <row r="985" spans="1:8" x14ac:dyDescent="0.3">
      <c r="A985" s="2">
        <v>4521660</v>
      </c>
      <c r="B985" s="2">
        <v>63</v>
      </c>
      <c r="C985" s="2" t="s">
        <v>6</v>
      </c>
      <c r="D985" s="2">
        <v>140</v>
      </c>
      <c r="E985" s="2"/>
      <c r="F985" s="4" t="str">
        <f>HYPERLINK("./Results/DLO\20190201_1.2.840.113619.2.416.131974179317365253165206926312851703147_302_512_512_\Osteo_Sarco_1.png","RPT")</f>
        <v>RPT</v>
      </c>
      <c r="G985" s="3">
        <v>96</v>
      </c>
      <c r="H985" s="3"/>
    </row>
    <row r="986" spans="1:8" x14ac:dyDescent="0.3">
      <c r="A986" s="2">
        <v>4531938</v>
      </c>
      <c r="B986" s="2">
        <v>68</v>
      </c>
      <c r="C986" s="2" t="s">
        <v>5</v>
      </c>
      <c r="D986" s="2">
        <v>100</v>
      </c>
      <c r="E986" s="2"/>
      <c r="F986" s="4" t="str">
        <f>HYPERLINK("./Results/DLO\20190901_1.2.840.113619.2.416.225305611567826511297143229092041129028_311_512_512_\Osteo_Sarco_1.png","RPT")</f>
        <v>RPT</v>
      </c>
      <c r="G986" s="3">
        <v>135</v>
      </c>
      <c r="H986" s="3"/>
    </row>
    <row r="987" spans="1:8" x14ac:dyDescent="0.3">
      <c r="A987" s="2">
        <v>4531938</v>
      </c>
      <c r="B987" s="2">
        <v>68</v>
      </c>
      <c r="C987" s="2" t="s">
        <v>5</v>
      </c>
      <c r="D987" s="2">
        <v>100</v>
      </c>
      <c r="E987" s="2"/>
      <c r="F987" s="4" t="str">
        <f>HYPERLINK("./Results/DLO\20190901_1.2.840.113619.2.416.52194869075334542942366129792907591526_302_512_512_\Osteo_Sarco_1.png","RPT")</f>
        <v>RPT</v>
      </c>
      <c r="G987" s="3">
        <v>132</v>
      </c>
      <c r="H987" s="3"/>
    </row>
    <row r="988" spans="1:8" x14ac:dyDescent="0.3">
      <c r="A988" s="2">
        <v>4545228</v>
      </c>
      <c r="B988" s="2">
        <v>42</v>
      </c>
      <c r="C988" s="2" t="s">
        <v>6</v>
      </c>
      <c r="D988" s="2">
        <v>100</v>
      </c>
      <c r="E988" s="2"/>
      <c r="F988" s="4" t="str">
        <f>HYPERLINK("./Results/DLO\20191001_1.2.840.113619.2.416.236497451308774950351631877419160072404_310_512_512_\Osteo_Sarco_1.png","RPT")</f>
        <v>RPT</v>
      </c>
      <c r="G988" s="3">
        <v>135</v>
      </c>
      <c r="H988" s="3"/>
    </row>
    <row r="989" spans="1:8" x14ac:dyDescent="0.3">
      <c r="A989" s="2">
        <v>4551356</v>
      </c>
      <c r="B989" s="2">
        <v>67</v>
      </c>
      <c r="C989" s="2" t="s">
        <v>6</v>
      </c>
      <c r="D989" s="2">
        <v>100</v>
      </c>
      <c r="E989" s="2"/>
      <c r="F989" s="4" t="str">
        <f>HYPERLINK("./Results/DLO\20190701_1.3.46.670589.33.1.63697574998334601400001.5446666441284663931_201_512_512_\Osteo_Sarco_1.png","RPT")</f>
        <v>RPT</v>
      </c>
      <c r="G989" s="3">
        <v>89</v>
      </c>
      <c r="H989" s="3"/>
    </row>
    <row r="990" spans="1:8" x14ac:dyDescent="0.3">
      <c r="A990" s="2">
        <v>4552181</v>
      </c>
      <c r="B990" s="2">
        <v>39</v>
      </c>
      <c r="C990" s="2" t="s">
        <v>5</v>
      </c>
      <c r="D990" s="2">
        <v>140</v>
      </c>
      <c r="E990" s="2"/>
      <c r="F990" s="4" t="str">
        <f>HYPERLINK("./Results/DLO\20180801_1.2.840.113619.2.416.65174233288975031371033291179887909271_308_512_512_\Osteo_Sarco_1.png","RPT")</f>
        <v>RPT</v>
      </c>
      <c r="G990" s="3">
        <v>178</v>
      </c>
      <c r="H990" s="3"/>
    </row>
    <row r="991" spans="1:8" x14ac:dyDescent="0.3">
      <c r="A991" s="2">
        <v>4552181</v>
      </c>
      <c r="B991" s="2">
        <v>39</v>
      </c>
      <c r="C991" s="2" t="s">
        <v>5</v>
      </c>
      <c r="D991" s="2">
        <v>140</v>
      </c>
      <c r="E991" s="2"/>
      <c r="F991" s="4" t="str">
        <f>HYPERLINK("./Results/DLO\20180801_1.2.840.113619.2.416.98825671812371893618155951884168372950_305_512_512_\Osteo_Sarco_1.png","RPT")</f>
        <v>RPT</v>
      </c>
      <c r="G991" s="3">
        <v>178</v>
      </c>
      <c r="H991" s="3"/>
    </row>
    <row r="992" spans="1:8" x14ac:dyDescent="0.3">
      <c r="A992" s="2">
        <v>4552181</v>
      </c>
      <c r="B992" s="2">
        <v>39</v>
      </c>
      <c r="C992" s="2" t="s">
        <v>5</v>
      </c>
      <c r="D992" s="2">
        <v>140</v>
      </c>
      <c r="E992" s="2"/>
      <c r="F992" s="4" t="str">
        <f>HYPERLINK("./Results/DLO\20180801_1.2.840.113619.2.416.38950222335417536779410064130396485942_301_512_512_\Osteo_Sarco_1.png","RPT")</f>
        <v>RPT</v>
      </c>
      <c r="G992" s="3">
        <v>177</v>
      </c>
      <c r="H992" s="3"/>
    </row>
    <row r="993" spans="1:8" x14ac:dyDescent="0.3">
      <c r="A993" s="2">
        <v>4552181</v>
      </c>
      <c r="B993" s="2">
        <v>39</v>
      </c>
      <c r="C993" s="2" t="s">
        <v>5</v>
      </c>
      <c r="D993" s="2">
        <v>140</v>
      </c>
      <c r="E993" s="2"/>
      <c r="F993" s="4" t="str">
        <f>HYPERLINK("./Results/DLO\20180801_1.2.840.113619.2.416.86732894646000978283534646355539830106_303_512_512_\Osteo_Sarco_1.png","RPT")</f>
        <v>RPT</v>
      </c>
      <c r="G993" s="3">
        <v>174</v>
      </c>
      <c r="H993" s="3"/>
    </row>
    <row r="994" spans="1:8" x14ac:dyDescent="0.3">
      <c r="A994" s="2">
        <v>4565227</v>
      </c>
      <c r="B994" s="2">
        <v>33</v>
      </c>
      <c r="C994" s="2" t="s">
        <v>6</v>
      </c>
      <c r="D994" s="2">
        <v>100</v>
      </c>
      <c r="E994" s="2"/>
      <c r="F994" s="4" t="str">
        <f>HYPERLINK("./Results/DLO\20190401_1.3.12.2.1107.5.1.4.65253.30000019042618513690900039274_3_512_512_\Osteo_Sarco_1.png","RPT")</f>
        <v>RPT</v>
      </c>
      <c r="G994" s="3">
        <v>90</v>
      </c>
      <c r="H994" s="3"/>
    </row>
    <row r="995" spans="1:8" x14ac:dyDescent="0.3">
      <c r="A995" s="2">
        <v>4565227</v>
      </c>
      <c r="B995" s="2">
        <v>33</v>
      </c>
      <c r="C995" s="2" t="s">
        <v>6</v>
      </c>
      <c r="D995" s="2">
        <v>100</v>
      </c>
      <c r="E995" s="2"/>
      <c r="F995" s="4" t="str">
        <f>HYPERLINK("./Results/DLO\20190401_1.3.12.2.1107.5.1.4.65253.30000019042618513690900039128_2_512_512_\Osteo_Sarco_1.png","RPT")</f>
        <v>RPT</v>
      </c>
      <c r="G995" s="3">
        <v>88</v>
      </c>
      <c r="H995" s="3"/>
    </row>
    <row r="996" spans="1:8" x14ac:dyDescent="0.3">
      <c r="A996" s="2">
        <v>4580080</v>
      </c>
      <c r="B996" s="2">
        <v>39</v>
      </c>
      <c r="C996" s="2" t="s">
        <v>6</v>
      </c>
      <c r="D996" s="2">
        <v>140</v>
      </c>
      <c r="E996" s="2"/>
      <c r="F996" s="4" t="str">
        <f>HYPERLINK("./Results/DLO\20181101_1.2.840.113619.2.416.128452916715756237893698209617051321060_308_512_512_\Osteo_Sarco_1.png","RPT")</f>
        <v>RPT</v>
      </c>
      <c r="G996" s="3">
        <v>120</v>
      </c>
      <c r="H996" s="3"/>
    </row>
    <row r="997" spans="1:8" x14ac:dyDescent="0.3">
      <c r="A997" s="2">
        <v>4580080</v>
      </c>
      <c r="B997" s="2">
        <v>39</v>
      </c>
      <c r="C997" s="2" t="s">
        <v>6</v>
      </c>
      <c r="D997" s="2">
        <v>140</v>
      </c>
      <c r="E997" s="2"/>
      <c r="F997" s="4" t="str">
        <f>HYPERLINK("./Results/DLO\20181101_1.2.840.113619.2.416.70470504700130902037662919300182443678_305_512_512_\Osteo_Sarco_1.png","RPT")</f>
        <v>RPT</v>
      </c>
      <c r="G997" s="3">
        <v>118</v>
      </c>
      <c r="H997" s="3"/>
    </row>
    <row r="998" spans="1:8" x14ac:dyDescent="0.3">
      <c r="A998" s="2">
        <v>4580080</v>
      </c>
      <c r="B998" s="2">
        <v>39</v>
      </c>
      <c r="C998" s="2" t="s">
        <v>6</v>
      </c>
      <c r="D998" s="2">
        <v>140</v>
      </c>
      <c r="E998" s="2"/>
      <c r="F998" s="4" t="str">
        <f>HYPERLINK("./Results/DLO\20181101_1.2.840.113619.2.416.176341814730110475189425791986795629046_301_512_512_\Osteo_Sarco_1.png","RPT")</f>
        <v>RPT</v>
      </c>
      <c r="G998" s="3">
        <v>115</v>
      </c>
      <c r="H998" s="3"/>
    </row>
    <row r="999" spans="1:8" x14ac:dyDescent="0.3">
      <c r="A999" s="2">
        <v>4580080</v>
      </c>
      <c r="B999" s="2">
        <v>39</v>
      </c>
      <c r="C999" s="2" t="s">
        <v>6</v>
      </c>
      <c r="D999" s="2">
        <v>140</v>
      </c>
      <c r="E999" s="2"/>
      <c r="F999" s="4" t="str">
        <f>HYPERLINK("./Results/DLO\20181101_1.2.840.113619.2.416.269488745319985283616685976292370776248_303_512_512_\Osteo_Sarco_1.png","RPT")</f>
        <v>RPT</v>
      </c>
      <c r="G999" s="3">
        <v>114</v>
      </c>
      <c r="H999" s="3"/>
    </row>
    <row r="1000" spans="1:8" x14ac:dyDescent="0.3">
      <c r="A1000" s="2">
        <v>4589435</v>
      </c>
      <c r="B1000" s="2">
        <v>71</v>
      </c>
      <c r="C1000" s="2" t="s">
        <v>6</v>
      </c>
      <c r="D1000" s="2">
        <v>100</v>
      </c>
      <c r="E1000" s="2"/>
      <c r="F1000" s="4" t="str">
        <f>HYPERLINK("./Results/DLO\20181001_1.2.840.113619.2.311.339968714793963488570273759994790712575_304_512_512_\Osteo_Sarco_1.png","RPT")</f>
        <v>RPT</v>
      </c>
      <c r="G1000" s="3">
        <v>103</v>
      </c>
      <c r="H1000" s="3"/>
    </row>
    <row r="1001" spans="1:8" x14ac:dyDescent="0.3">
      <c r="A1001" s="2">
        <v>4593574</v>
      </c>
      <c r="B1001" s="2">
        <v>69</v>
      </c>
      <c r="C1001" s="2" t="s">
        <v>5</v>
      </c>
      <c r="D1001" s="2">
        <v>120</v>
      </c>
      <c r="E1001" s="2"/>
      <c r="F1001" s="4" t="str">
        <f>HYPERLINK("./Results/DLO\20190101_1.3.12.2.1107.5.1.4.54310.30000019012123340096800010105_9_512_512_\Osteo_Sarco_1.png","RPT")</f>
        <v>RPT</v>
      </c>
      <c r="G1001" s="3">
        <v>139</v>
      </c>
      <c r="H1001" s="3"/>
    </row>
    <row r="1002" spans="1:8" x14ac:dyDescent="0.3">
      <c r="A1002" s="2">
        <v>4593574</v>
      </c>
      <c r="B1002" s="2">
        <v>69</v>
      </c>
      <c r="C1002" s="2" t="s">
        <v>5</v>
      </c>
      <c r="D1002" s="2">
        <v>120</v>
      </c>
      <c r="E1002" s="2"/>
      <c r="F1002" s="4" t="str">
        <f>HYPERLINK("./Results/DLO\20190101_1.3.12.2.1107.5.1.4.54310.30000019012123340096800009544_5_512_512_\Osteo_Sarco_1.png","RPT")</f>
        <v>RPT</v>
      </c>
      <c r="G1002" s="3">
        <v>138</v>
      </c>
      <c r="H1002" s="3"/>
    </row>
    <row r="1003" spans="1:8" x14ac:dyDescent="0.3">
      <c r="A1003" s="2">
        <v>4593574</v>
      </c>
      <c r="B1003" s="2">
        <v>69</v>
      </c>
      <c r="C1003" s="2" t="s">
        <v>5</v>
      </c>
      <c r="D1003" s="2">
        <v>120</v>
      </c>
      <c r="E1003" s="2"/>
      <c r="F1003" s="4" t="str">
        <f>HYPERLINK("./Results/DLO\20190101_1.3.12.2.1107.5.1.4.54310.30000019012123340096800009877_7_512_512_\Osteo_Sarco_1.png","RPT")</f>
        <v>RPT</v>
      </c>
      <c r="G1003" s="3">
        <v>138</v>
      </c>
      <c r="H1003" s="3"/>
    </row>
    <row r="1004" spans="1:8" x14ac:dyDescent="0.3">
      <c r="A1004" s="2">
        <v>4593574</v>
      </c>
      <c r="B1004" s="2">
        <v>69</v>
      </c>
      <c r="C1004" s="2" t="s">
        <v>5</v>
      </c>
      <c r="D1004" s="2">
        <v>100</v>
      </c>
      <c r="E1004" s="2"/>
      <c r="F1004" s="4" t="str">
        <f>HYPERLINK("./Results/DLO\20190101_1.3.12.2.1107.5.1.4.54310.30000019012123340096800009461_3_512_512_\Osteo_Sarco_1.png","RPT")</f>
        <v>RPT</v>
      </c>
      <c r="G1004" s="3">
        <v>136</v>
      </c>
      <c r="H1004" s="3"/>
    </row>
    <row r="1005" spans="1:8" x14ac:dyDescent="0.3">
      <c r="A1005" s="2">
        <v>4598951</v>
      </c>
      <c r="B1005" s="2">
        <v>58</v>
      </c>
      <c r="C1005" s="2" t="s">
        <v>6</v>
      </c>
      <c r="D1005" s="2">
        <v>100</v>
      </c>
      <c r="E1005" s="2"/>
      <c r="F1005" s="4" t="str">
        <f>HYPERLINK("./Results/DLO\20180901_1.3.46.670589.33.1.63672781139476756000001.4801942015156520284_201_512_512_\Osteo_Sarco_1.png","RPT")</f>
        <v>RPT</v>
      </c>
      <c r="G1005" s="3">
        <v>95</v>
      </c>
      <c r="H1005" s="3"/>
    </row>
    <row r="1006" spans="1:8" x14ac:dyDescent="0.3">
      <c r="A1006" s="2">
        <v>4608389</v>
      </c>
      <c r="B1006" s="2">
        <v>46</v>
      </c>
      <c r="C1006" s="2" t="s">
        <v>6</v>
      </c>
      <c r="D1006" s="2">
        <v>100</v>
      </c>
      <c r="E1006" s="2"/>
      <c r="F1006" s="4" t="str">
        <f>HYPERLINK("./Results/DLO\20181201_1.2.840.113619.2.311.13370137071130050588560953136988392399_304_512_512_\Osteo_Sarco_1.png","RPT")</f>
        <v>RPT</v>
      </c>
      <c r="G1006" s="3">
        <v>127</v>
      </c>
      <c r="H1006" s="3"/>
    </row>
    <row r="1007" spans="1:8" x14ac:dyDescent="0.3">
      <c r="A1007" s="2">
        <v>4618517</v>
      </c>
      <c r="B1007" s="2">
        <v>38</v>
      </c>
      <c r="C1007" s="2" t="s">
        <v>5</v>
      </c>
      <c r="D1007" s="2">
        <v>100</v>
      </c>
      <c r="E1007" s="2"/>
      <c r="F1007" s="4" t="str">
        <f>HYPERLINK("./Results/DLO\20180401_1.3.12.2.1107.5.1.4.65253.30000018040217342943100045411_7_512_512_\Osteo_Sarco_1.png","RPT")</f>
        <v>RPT</v>
      </c>
      <c r="G1007" s="3">
        <v>196</v>
      </c>
      <c r="H1007" s="3"/>
    </row>
    <row r="1008" spans="1:8" x14ac:dyDescent="0.3">
      <c r="A1008" s="2">
        <v>4618517</v>
      </c>
      <c r="B1008" s="2">
        <v>38</v>
      </c>
      <c r="C1008" s="2" t="s">
        <v>5</v>
      </c>
      <c r="D1008" s="2">
        <v>100</v>
      </c>
      <c r="E1008" s="2"/>
      <c r="F1008" s="4" t="str">
        <f>HYPERLINK("./Results/DLO\20180401_1.3.12.2.1107.5.1.4.65253.30000018040217342943100045693_9_512_512_\Osteo_Sarco_1.png","RPT")</f>
        <v>RPT</v>
      </c>
      <c r="G1008" s="3">
        <v>196</v>
      </c>
      <c r="H1008" s="3"/>
    </row>
    <row r="1009" spans="1:8" x14ac:dyDescent="0.3">
      <c r="A1009" s="2">
        <v>4618517</v>
      </c>
      <c r="B1009" s="2">
        <v>38</v>
      </c>
      <c r="C1009" s="2" t="s">
        <v>5</v>
      </c>
      <c r="D1009" s="2">
        <v>100</v>
      </c>
      <c r="E1009" s="2"/>
      <c r="F1009" s="4" t="str">
        <f>HYPERLINK("./Results/DLO\20180401_1.3.12.2.1107.5.1.4.65253.30000018040217342943100044860_5_512_512_\Osteo_Sarco_1.png","RPT")</f>
        <v>RPT</v>
      </c>
      <c r="G1009" s="3">
        <v>194</v>
      </c>
      <c r="H1009" s="3"/>
    </row>
    <row r="1010" spans="1:8" x14ac:dyDescent="0.3">
      <c r="A1010" s="2">
        <v>4618517</v>
      </c>
      <c r="B1010" s="2">
        <v>38</v>
      </c>
      <c r="C1010" s="2" t="s">
        <v>5</v>
      </c>
      <c r="D1010" s="2">
        <v>100</v>
      </c>
      <c r="E1010" s="2"/>
      <c r="F1010" s="4" t="str">
        <f>HYPERLINK("./Results/DLO\20180401_1.3.12.2.1107.5.1.4.65253.30000018040217342943100044755_2_512_512_\Osteo_Sarco_1.png","RPT")</f>
        <v>RPT</v>
      </c>
      <c r="G1010" s="3">
        <v>193</v>
      </c>
      <c r="H1010" s="3"/>
    </row>
    <row r="1011" spans="1:8" x14ac:dyDescent="0.3">
      <c r="A1011" s="2">
        <v>4636602</v>
      </c>
      <c r="B1011" s="2">
        <v>46</v>
      </c>
      <c r="C1011" s="2" t="s">
        <v>6</v>
      </c>
      <c r="D1011" s="2">
        <v>100</v>
      </c>
      <c r="E1011" s="2"/>
      <c r="F1011" s="4" t="str">
        <f>HYPERLINK("./Results/DLO\20180801_1.3.12.2.1107.5.1.4.65253.30000018080619082202800002380_2_512_512_\Osteo_Sarco_1.png","RPT")</f>
        <v>RPT</v>
      </c>
      <c r="G1011" s="3">
        <v>100</v>
      </c>
      <c r="H1011" s="3"/>
    </row>
    <row r="1012" spans="1:8" x14ac:dyDescent="0.3">
      <c r="A1012" s="2">
        <v>4638574</v>
      </c>
      <c r="B1012" s="2">
        <v>39</v>
      </c>
      <c r="C1012" s="2" t="s">
        <v>6</v>
      </c>
      <c r="D1012" s="2">
        <v>120</v>
      </c>
      <c r="E1012" s="2"/>
      <c r="F1012" s="4" t="str">
        <f>HYPERLINK("./Results/DLO\20180801_1.2.410.100011.172.24.80.187.6367045049031325482.4_4_512_512_\Osteo_Sarco_1.png","RPT")</f>
        <v>RPT</v>
      </c>
      <c r="G1012" s="3">
        <v>118</v>
      </c>
      <c r="H1012" s="3"/>
    </row>
    <row r="1013" spans="1:8" x14ac:dyDescent="0.3">
      <c r="A1013" s="2">
        <v>4638574</v>
      </c>
      <c r="B1013" s="2">
        <v>39</v>
      </c>
      <c r="C1013" s="2" t="s">
        <v>6</v>
      </c>
      <c r="D1013" s="2">
        <v>120</v>
      </c>
      <c r="E1013" s="2"/>
      <c r="F1013" s="4" t="str">
        <f>HYPERLINK("./Results/DLO\20180801_1.2.410.100011.172.24.80.187.6367045049031325482.3_3_512_512_\Osteo_Sarco_1.png","RPT")</f>
        <v>RPT</v>
      </c>
      <c r="G1013" s="3">
        <v>117</v>
      </c>
      <c r="H1013" s="3"/>
    </row>
    <row r="1014" spans="1:8" x14ac:dyDescent="0.3">
      <c r="A1014" s="2">
        <v>4638574</v>
      </c>
      <c r="B1014" s="2">
        <v>39</v>
      </c>
      <c r="C1014" s="2" t="s">
        <v>6</v>
      </c>
      <c r="D1014" s="2">
        <v>120</v>
      </c>
      <c r="E1014" s="2"/>
      <c r="F1014" s="4" t="str">
        <f>HYPERLINK("./Results/DLO\20180801_1.2.410.100011.172.24.80.187.6367045049031325482.2_2_512_512_\Osteo_Sarco_1.png","RPT")</f>
        <v>RPT</v>
      </c>
      <c r="G1014" s="3">
        <v>116</v>
      </c>
      <c r="H1014" s="3"/>
    </row>
    <row r="1015" spans="1:8" x14ac:dyDescent="0.3">
      <c r="A1015" s="2">
        <v>4638574</v>
      </c>
      <c r="B1015" s="2">
        <v>39</v>
      </c>
      <c r="C1015" s="2" t="s">
        <v>6</v>
      </c>
      <c r="D1015" s="2">
        <v>120</v>
      </c>
      <c r="E1015" s="2"/>
      <c r="F1015" s="4" t="str">
        <f>HYPERLINK("./Results/DLO\20180801_1.2.410.100011.172.24.80.187.6367045049031325482.6_6_512_512_\Osteo_Sarco_1.png","RPT")</f>
        <v>RPT</v>
      </c>
      <c r="G1015" s="3">
        <v>116</v>
      </c>
      <c r="H1015" s="3"/>
    </row>
    <row r="1016" spans="1:8" x14ac:dyDescent="0.3">
      <c r="A1016" s="2">
        <v>4641371</v>
      </c>
      <c r="B1016" s="2">
        <v>66</v>
      </c>
      <c r="C1016" s="2" t="s">
        <v>5</v>
      </c>
      <c r="D1016" s="2">
        <v>120</v>
      </c>
      <c r="E1016" s="2"/>
      <c r="F1016" s="4" t="str">
        <f>HYPERLINK("./Results/DLO\20180601_1.3.12.2.1107.5.1.4.54310.30000018053123133718700022125_7_512_512_\Osteo_Sarco_1.png","RPT")</f>
        <v>RPT</v>
      </c>
      <c r="G1016" s="3">
        <v>124</v>
      </c>
      <c r="H1016" s="3"/>
    </row>
    <row r="1017" spans="1:8" x14ac:dyDescent="0.3">
      <c r="A1017" s="2">
        <v>4641371</v>
      </c>
      <c r="B1017" s="2">
        <v>66</v>
      </c>
      <c r="C1017" s="2" t="s">
        <v>5</v>
      </c>
      <c r="D1017" s="2">
        <v>120</v>
      </c>
      <c r="E1017" s="2"/>
      <c r="F1017" s="4" t="str">
        <f>HYPERLINK("./Results/DLO\20180601_1.3.12.2.1107.5.1.4.54310.30000018053123133718700021481_5_512_512_\Osteo_Sarco_1.png","RPT")</f>
        <v>RPT</v>
      </c>
      <c r="G1017" s="3">
        <v>123</v>
      </c>
      <c r="H1017" s="3"/>
    </row>
    <row r="1018" spans="1:8" x14ac:dyDescent="0.3">
      <c r="A1018" s="2">
        <v>4641371</v>
      </c>
      <c r="B1018" s="2">
        <v>66</v>
      </c>
      <c r="C1018" s="2" t="s">
        <v>5</v>
      </c>
      <c r="D1018" s="2">
        <v>120</v>
      </c>
      <c r="E1018" s="2"/>
      <c r="F1018" s="4" t="str">
        <f>HYPERLINK("./Results/DLO\20180601_1.3.12.2.1107.5.1.4.54310.30000018053123133718700022419_9_512_512_\Osteo_Sarco_1.png","RPT")</f>
        <v>RPT</v>
      </c>
      <c r="G1018" s="3">
        <v>123</v>
      </c>
      <c r="H1018" s="3"/>
    </row>
    <row r="1019" spans="1:8" x14ac:dyDescent="0.3">
      <c r="A1019" s="2">
        <v>4641371</v>
      </c>
      <c r="B1019" s="2">
        <v>66</v>
      </c>
      <c r="C1019" s="2" t="s">
        <v>5</v>
      </c>
      <c r="D1019" s="2">
        <v>100</v>
      </c>
      <c r="E1019" s="2"/>
      <c r="F1019" s="4" t="str">
        <f>HYPERLINK("./Results/DLO\20180601_1.3.12.2.1107.5.1.4.54310.30000018053123133718700021380_3_512_512_\Osteo_Sarco_1.png","RPT")</f>
        <v>RPT</v>
      </c>
      <c r="G1019" s="3">
        <v>122</v>
      </c>
      <c r="H1019" s="3"/>
    </row>
    <row r="1020" spans="1:8" x14ac:dyDescent="0.3">
      <c r="A1020" s="2">
        <v>4646687</v>
      </c>
      <c r="B1020" s="2">
        <v>76</v>
      </c>
      <c r="C1020" s="2" t="s">
        <v>5</v>
      </c>
      <c r="D1020" s="2">
        <v>100</v>
      </c>
      <c r="E1020" s="2"/>
      <c r="F1020" s="4" t="str">
        <f>HYPERLINK("./Results/DLO\20180601_1.3.12.2.1107.5.1.4.65253.30000018062819202523300004840_4_512_512_\Osteo_Sarco_1.png","RPT")</f>
        <v>RPT</v>
      </c>
      <c r="G1020" s="3">
        <v>139</v>
      </c>
      <c r="H1020" s="3"/>
    </row>
    <row r="1021" spans="1:8" x14ac:dyDescent="0.3">
      <c r="A1021" s="2">
        <v>4651116</v>
      </c>
      <c r="B1021" s="2">
        <v>34</v>
      </c>
      <c r="C1021" s="2" t="s">
        <v>6</v>
      </c>
      <c r="D1021" s="2">
        <v>100</v>
      </c>
      <c r="E1021" s="2"/>
      <c r="F1021" s="4" t="str">
        <f>HYPERLINK("./Results/DLO\20200301_1.3.46.670589.33.1.63719344727287811600001.5019198997414872116_201_512_512_\Osteo_Sarco_1.png","RPT")</f>
        <v>RPT</v>
      </c>
      <c r="G1021" s="3">
        <v>88</v>
      </c>
      <c r="H1021" s="3"/>
    </row>
    <row r="1022" spans="1:8" x14ac:dyDescent="0.3">
      <c r="A1022" s="2">
        <v>4651634</v>
      </c>
      <c r="B1022" s="2">
        <v>51</v>
      </c>
      <c r="C1022" s="2" t="s">
        <v>6</v>
      </c>
      <c r="D1022" s="2">
        <v>100</v>
      </c>
      <c r="E1022" s="2"/>
      <c r="F1022" s="4" t="str">
        <f>HYPERLINK("./Results/DLO\20190501_1.3.12.2.1107.5.1.4.54310.30000019050223332017100056430_2_512_512_\Osteo_Sarco_1.png","RPT")</f>
        <v>RPT</v>
      </c>
      <c r="G1022" s="3">
        <v>105</v>
      </c>
      <c r="H1022" s="3"/>
    </row>
    <row r="1023" spans="1:8" x14ac:dyDescent="0.3">
      <c r="A1023" s="2">
        <v>4652346</v>
      </c>
      <c r="B1023" s="2">
        <v>63</v>
      </c>
      <c r="C1023" s="2" t="s">
        <v>6</v>
      </c>
      <c r="D1023" s="2">
        <v>120</v>
      </c>
      <c r="E1023" s="2"/>
      <c r="F1023" s="4" t="str">
        <f>HYPERLINK("./Results/DLO\20180101_1.2.840.113619.2.416.313403271023924321191440028546403237064_305_512_512_\Osteo_Sarco_1.png","RPT")</f>
        <v>RPT</v>
      </c>
      <c r="G1023" s="3">
        <v>93</v>
      </c>
      <c r="H1023" s="3"/>
    </row>
    <row r="1024" spans="1:8" x14ac:dyDescent="0.3">
      <c r="A1024" s="2">
        <v>4652346</v>
      </c>
      <c r="B1024" s="2">
        <v>63</v>
      </c>
      <c r="C1024" s="2" t="s">
        <v>6</v>
      </c>
      <c r="D1024" s="2">
        <v>140</v>
      </c>
      <c r="E1024" s="2"/>
      <c r="F1024" s="4" t="str">
        <f>HYPERLINK("./Results/DLO\20180101_1.2.840.113619.2.416.126450017574835145561736093277671920877_2_512_512_\Osteo_Sarco_1.png","RPT")</f>
        <v>RPT</v>
      </c>
      <c r="G1024" s="3">
        <v>90</v>
      </c>
      <c r="H1024" s="3"/>
    </row>
    <row r="1025" spans="1:8" x14ac:dyDescent="0.3">
      <c r="A1025" s="2">
        <v>4652346</v>
      </c>
      <c r="B1025" s="2">
        <v>63</v>
      </c>
      <c r="C1025" s="2" t="s">
        <v>6</v>
      </c>
      <c r="D1025" s="2">
        <v>140</v>
      </c>
      <c r="E1025" s="2"/>
      <c r="F1025" s="4" t="str">
        <f>HYPERLINK("./Results/DLO\20180101_1.2.840.113619.2.416.268174943958811121852352773509694994888_310_512_512_\Osteo_Sarco_1.png","RPT")</f>
        <v>RPT</v>
      </c>
      <c r="G1025" s="3">
        <v>90</v>
      </c>
      <c r="H1025" s="3"/>
    </row>
    <row r="1026" spans="1:8" x14ac:dyDescent="0.3">
      <c r="A1026" s="2">
        <v>4660467</v>
      </c>
      <c r="B1026" s="2">
        <v>62</v>
      </c>
      <c r="C1026" s="2" t="s">
        <v>5</v>
      </c>
      <c r="D1026" s="2">
        <v>100</v>
      </c>
      <c r="E1026" s="2"/>
      <c r="F1026" s="4" t="str">
        <f>HYPERLINK("./Results/DLO\20190201_1.3.12.2.1107.5.1.4.54310.30000019021723320575000000705_2_512_512_\Osteo_Sarco_1.png","RPT")</f>
        <v>RPT</v>
      </c>
      <c r="G1026" s="3">
        <v>172</v>
      </c>
      <c r="H1026" s="3"/>
    </row>
    <row r="1027" spans="1:8" x14ac:dyDescent="0.3">
      <c r="A1027" s="2">
        <v>4661458</v>
      </c>
      <c r="B1027" s="2">
        <v>53</v>
      </c>
      <c r="C1027" s="2" t="s">
        <v>5</v>
      </c>
      <c r="D1027" s="2">
        <v>100</v>
      </c>
      <c r="E1027" s="2"/>
      <c r="F1027" s="4" t="str">
        <f>HYPERLINK("./Results/DLO\20180301_1.2.840.113619.2.94.485650834948.2.8676253.18728796.1_2_512_512_\Osteo_Sarco_1.png","RPT")</f>
        <v>RPT</v>
      </c>
      <c r="G1027" s="3">
        <v>138</v>
      </c>
      <c r="H1027" s="3"/>
    </row>
    <row r="1028" spans="1:8" x14ac:dyDescent="0.3">
      <c r="A1028" s="2">
        <v>4670804</v>
      </c>
      <c r="B1028" s="2">
        <v>55</v>
      </c>
      <c r="C1028" s="2" t="s">
        <v>5</v>
      </c>
      <c r="D1028" s="2">
        <v>140</v>
      </c>
      <c r="E1028" s="2"/>
      <c r="F1028" s="4" t="str">
        <f>HYPERLINK("./Results/DLO\20200601_1.2.840.113619.2.416.54708869347626570136652592127117081332_311_512_512_\Osteo_Sarco_1.png","RPT")</f>
        <v>RPT</v>
      </c>
      <c r="G1028" s="3">
        <v>153</v>
      </c>
      <c r="H1028" s="3"/>
    </row>
    <row r="1029" spans="1:8" x14ac:dyDescent="0.3">
      <c r="A1029" s="2">
        <v>4670804</v>
      </c>
      <c r="B1029" s="2">
        <v>55</v>
      </c>
      <c r="C1029" s="2" t="s">
        <v>5</v>
      </c>
      <c r="D1029" s="2">
        <v>140</v>
      </c>
      <c r="E1029" s="2"/>
      <c r="F1029" s="4" t="str">
        <f>HYPERLINK("./Results/DLO\20200601_1.2.840.113619.2.416.46851564840356838082688061058416100926_312_512_512_\Osteo_Sarco_1.png","RPT")</f>
        <v>RPT</v>
      </c>
      <c r="G1029" s="3">
        <v>152</v>
      </c>
      <c r="H1029" s="3"/>
    </row>
    <row r="1030" spans="1:8" x14ac:dyDescent="0.3">
      <c r="A1030" s="2">
        <v>4673903</v>
      </c>
      <c r="B1030" s="2">
        <v>57</v>
      </c>
      <c r="C1030" s="2" t="s">
        <v>6</v>
      </c>
      <c r="D1030" s="2">
        <v>100</v>
      </c>
      <c r="E1030" s="2"/>
      <c r="F1030" s="4" t="str">
        <f>HYPERLINK("./Results/DLO\20191201_1.2.840.113619.2.416.101738630868512168997182727986645694717_310_512_512_\Osteo_Sarco_1.png","RPT")</f>
        <v>RPT</v>
      </c>
      <c r="G1030" s="3">
        <v>100</v>
      </c>
      <c r="H1030" s="3"/>
    </row>
    <row r="1031" spans="1:8" x14ac:dyDescent="0.3">
      <c r="A1031" s="2">
        <v>4681397</v>
      </c>
      <c r="B1031" s="2">
        <v>64</v>
      </c>
      <c r="C1031" s="2" t="s">
        <v>5</v>
      </c>
      <c r="D1031" s="2">
        <v>120</v>
      </c>
      <c r="E1031" s="2"/>
      <c r="F1031" s="4" t="str">
        <f>HYPERLINK("./Results/DLO\20190701_1.3.12.2.1107.5.1.4.54310.30000019070222121175000004314_9_512_512_\Osteo_Sarco_1.png","RPT")</f>
        <v>RPT</v>
      </c>
      <c r="G1031" s="3">
        <v>149</v>
      </c>
      <c r="H1031" s="3"/>
    </row>
    <row r="1032" spans="1:8" x14ac:dyDescent="0.3">
      <c r="A1032" s="2">
        <v>4681397</v>
      </c>
      <c r="B1032" s="2">
        <v>64</v>
      </c>
      <c r="C1032" s="2" t="s">
        <v>5</v>
      </c>
      <c r="D1032" s="2">
        <v>100</v>
      </c>
      <c r="E1032" s="2"/>
      <c r="F1032" s="4" t="str">
        <f>HYPERLINK("./Results/DLO\20190701_1.3.12.2.1107.5.1.4.54310.30000019070222121175000003609_3_512_512_\Osteo_Sarco_1.png","RPT")</f>
        <v>RPT</v>
      </c>
      <c r="G1032" s="3">
        <v>148</v>
      </c>
      <c r="H1032" s="3"/>
    </row>
    <row r="1033" spans="1:8" x14ac:dyDescent="0.3">
      <c r="A1033" s="2">
        <v>4681397</v>
      </c>
      <c r="B1033" s="2">
        <v>64</v>
      </c>
      <c r="C1033" s="2" t="s">
        <v>5</v>
      </c>
      <c r="D1033" s="2">
        <v>120</v>
      </c>
      <c r="E1033" s="2"/>
      <c r="F1033" s="4" t="str">
        <f>HYPERLINK("./Results/DLO\20190701_1.3.12.2.1107.5.1.4.54310.30000019070222121175000004061_7_512_512_\Osteo_Sarco_1.png","RPT")</f>
        <v>RPT</v>
      </c>
      <c r="G1033" s="3">
        <v>148</v>
      </c>
      <c r="H1033" s="3"/>
    </row>
    <row r="1034" spans="1:8" x14ac:dyDescent="0.3">
      <c r="A1034" s="2">
        <v>4681397</v>
      </c>
      <c r="B1034" s="2">
        <v>64</v>
      </c>
      <c r="C1034" s="2" t="s">
        <v>5</v>
      </c>
      <c r="D1034" s="2">
        <v>120</v>
      </c>
      <c r="E1034" s="2"/>
      <c r="F1034" s="4" t="str">
        <f>HYPERLINK("./Results/DLO\20190701_1.3.12.2.1107.5.1.4.54310.30000019070222121175000003700_5_512_512_\Osteo_Sarco_1.png","RPT")</f>
        <v>RPT</v>
      </c>
      <c r="G1034" s="3">
        <v>147</v>
      </c>
      <c r="H1034" s="3"/>
    </row>
    <row r="1035" spans="1:8" x14ac:dyDescent="0.3">
      <c r="A1035" s="2">
        <v>4681481</v>
      </c>
      <c r="B1035" s="2">
        <v>60</v>
      </c>
      <c r="C1035" s="2" t="s">
        <v>6</v>
      </c>
      <c r="D1035" s="2">
        <v>100</v>
      </c>
      <c r="E1035" s="2"/>
      <c r="F1035" s="4" t="str">
        <f>HYPERLINK("./Results/DLO\20180201_1.2.840.113619.2.94.485650834948.2.8673233.18721130.1_2_512_512_\Osteo_Sarco_1.png","RPT")</f>
        <v>RPT</v>
      </c>
      <c r="G1035" s="3">
        <v>135</v>
      </c>
      <c r="H1035" s="3"/>
    </row>
    <row r="1036" spans="1:8" x14ac:dyDescent="0.3">
      <c r="A1036" s="2">
        <v>4688135</v>
      </c>
      <c r="B1036" s="2">
        <v>68</v>
      </c>
      <c r="C1036" s="2" t="s">
        <v>6</v>
      </c>
      <c r="D1036" s="2">
        <v>120</v>
      </c>
      <c r="E1036" s="2"/>
      <c r="F1036" s="4" t="str">
        <f>HYPERLINK("./Results/DLO\20180501_1.3.46.670589.33.1.63661458839764480600001.5672485301044174388_201_512_512_\Osteo_Sarco_1.png","RPT")</f>
        <v>RPT</v>
      </c>
      <c r="G1036" s="3">
        <v>117</v>
      </c>
      <c r="H1036" s="3"/>
    </row>
    <row r="1037" spans="1:8" x14ac:dyDescent="0.3">
      <c r="A1037" s="2">
        <v>4688846</v>
      </c>
      <c r="B1037" s="2">
        <v>57</v>
      </c>
      <c r="C1037" s="2" t="s">
        <v>6</v>
      </c>
      <c r="D1037" s="2">
        <v>100</v>
      </c>
      <c r="E1037" s="2"/>
      <c r="F1037" s="4" t="str">
        <f>HYPERLINK("./Results/DLO\20190501_1.2.840.113619.2.416.285798306634871822182323035429444940085_310_512_512_\Osteo_Sarco_1.png","RPT")</f>
        <v>RPT</v>
      </c>
      <c r="G1037" s="3">
        <v>102</v>
      </c>
      <c r="H1037" s="3"/>
    </row>
    <row r="1038" spans="1:8" x14ac:dyDescent="0.3">
      <c r="A1038" s="2">
        <v>4690766</v>
      </c>
      <c r="B1038" s="2">
        <v>61</v>
      </c>
      <c r="C1038" s="2" t="s">
        <v>6</v>
      </c>
      <c r="D1038" s="2">
        <v>140</v>
      </c>
      <c r="E1038" s="2"/>
      <c r="F1038" s="4" t="str">
        <f>HYPERLINK("./Results/DLO\20190101_1.2.840.113619.2.416.254857428383587469693940522705073841162_301_512_512_\Osteo_Sarco_1.png","RPT")</f>
        <v>RPT</v>
      </c>
      <c r="G1038" s="3">
        <v>86</v>
      </c>
      <c r="H1038" s="3"/>
    </row>
    <row r="1039" spans="1:8" x14ac:dyDescent="0.3">
      <c r="A1039" s="2">
        <v>4690766</v>
      </c>
      <c r="B1039" s="2">
        <v>61</v>
      </c>
      <c r="C1039" s="2" t="s">
        <v>6</v>
      </c>
      <c r="D1039" s="2">
        <v>140</v>
      </c>
      <c r="E1039" s="2"/>
      <c r="F1039" s="4" t="str">
        <f>HYPERLINK("./Results/DLO\20190101_1.2.840.113619.2.416.66517988922804941908678921472598030401_303_512_512_\Osteo_Sarco_1.png","RPT")</f>
        <v>RPT</v>
      </c>
      <c r="G1039" s="3">
        <v>84</v>
      </c>
      <c r="H1039" s="3"/>
    </row>
    <row r="1040" spans="1:8" x14ac:dyDescent="0.3">
      <c r="A1040" s="2">
        <v>4690766</v>
      </c>
      <c r="B1040" s="2">
        <v>61</v>
      </c>
      <c r="C1040" s="2" t="s">
        <v>6</v>
      </c>
      <c r="D1040" s="2">
        <v>140</v>
      </c>
      <c r="E1040" s="2"/>
      <c r="F1040" s="4" t="str">
        <f>HYPERLINK("./Results/DLO\20190101_1.2.840.113619.2.416.143799280934304940121184398389080629166_305_512_512_\Osteo_Sarco_1.png","RPT")</f>
        <v>RPT</v>
      </c>
      <c r="G1040" s="3">
        <v>48</v>
      </c>
      <c r="H1040" s="3"/>
    </row>
    <row r="1041" spans="1:8" x14ac:dyDescent="0.3">
      <c r="A1041" s="2">
        <v>4696788</v>
      </c>
      <c r="B1041" s="2">
        <v>66</v>
      </c>
      <c r="C1041" s="2" t="s">
        <v>6</v>
      </c>
      <c r="D1041" s="2">
        <v>100</v>
      </c>
      <c r="E1041" s="2"/>
      <c r="F1041" s="4" t="str">
        <f>HYPERLINK("./Results/DLO\20191101_1.3.46.670589.33.1.63709165083290443700001.4907982696734198968_201_512_512_\Osteo_Sarco_1.png","RPT")</f>
        <v>RPT</v>
      </c>
      <c r="G1041" s="3">
        <v>110</v>
      </c>
      <c r="H1041" s="3"/>
    </row>
    <row r="1042" spans="1:8" x14ac:dyDescent="0.3">
      <c r="A1042" s="2">
        <v>4703771</v>
      </c>
      <c r="B1042" s="2">
        <v>42</v>
      </c>
      <c r="C1042" s="2" t="s">
        <v>6</v>
      </c>
      <c r="D1042" s="2">
        <v>100</v>
      </c>
      <c r="E1042" s="2"/>
      <c r="F1042" s="4" t="str">
        <f>HYPERLINK("./Results/DLO\20180901_1.3.12.2.1107.5.1.4.65253.30000018090920342184100078191_3_512_512_\Osteo_Sarco_1.png","RPT")</f>
        <v>RPT</v>
      </c>
      <c r="G1042" s="3">
        <v>120</v>
      </c>
      <c r="H1042" s="3"/>
    </row>
    <row r="1043" spans="1:8" x14ac:dyDescent="0.3">
      <c r="A1043" s="2">
        <v>4703771</v>
      </c>
      <c r="B1043" s="2">
        <v>42</v>
      </c>
      <c r="C1043" s="2" t="s">
        <v>6</v>
      </c>
      <c r="D1043" s="2">
        <v>100</v>
      </c>
      <c r="E1043" s="2"/>
      <c r="F1043" s="4" t="str">
        <f>HYPERLINK("./Results/DLO\20180901_1.3.12.2.1107.5.1.4.65253.30000018090920342184100078037_2_512_512_\Osteo_Sarco_1.png","RPT")</f>
        <v>RPT</v>
      </c>
      <c r="G1043" s="3">
        <v>119</v>
      </c>
      <c r="H1043" s="3"/>
    </row>
    <row r="1044" spans="1:8" x14ac:dyDescent="0.3">
      <c r="A1044" s="2">
        <v>4712256</v>
      </c>
      <c r="B1044" s="2">
        <v>81</v>
      </c>
      <c r="C1044" s="2" t="s">
        <v>6</v>
      </c>
      <c r="D1044" s="2">
        <v>100</v>
      </c>
      <c r="E1044" s="2"/>
      <c r="F1044" s="4" t="str">
        <f>HYPERLINK("./Results/DLO\20180801_1.3.12.2.1107.5.1.4.65253.30000018081322344543600003134_3_512_512_\Osteo_Sarco_1.png","RPT")</f>
        <v>RPT</v>
      </c>
      <c r="G1044" s="3">
        <v>99</v>
      </c>
      <c r="H1044" s="3"/>
    </row>
    <row r="1045" spans="1:8" x14ac:dyDescent="0.3">
      <c r="A1045" s="2">
        <v>4712256</v>
      </c>
      <c r="B1045" s="2">
        <v>81</v>
      </c>
      <c r="C1045" s="2" t="s">
        <v>6</v>
      </c>
      <c r="D1045" s="2">
        <v>100</v>
      </c>
      <c r="E1045" s="2"/>
      <c r="F1045" s="4" t="str">
        <f>HYPERLINK("./Results/DLO\20180801_1.3.12.2.1107.5.1.4.65253.30000018081320154583300041580_2_512_512_\Osteo_Sarco_1.png","RPT")</f>
        <v>RPT</v>
      </c>
      <c r="G1045" s="3">
        <v>94</v>
      </c>
      <c r="H1045" s="3"/>
    </row>
    <row r="1046" spans="1:8" x14ac:dyDescent="0.3">
      <c r="A1046" s="2">
        <v>4724827</v>
      </c>
      <c r="B1046" s="2">
        <v>75</v>
      </c>
      <c r="C1046" s="2" t="s">
        <v>5</v>
      </c>
      <c r="D1046" s="2">
        <v>120</v>
      </c>
      <c r="E1046" s="2"/>
      <c r="F1046" s="4" t="str">
        <f>HYPERLINK("./Results/DLO\20200201_1.2.840.113619.2.416.22609441381165538683927675016112648126_2_512_512_\Osteo_Sarco_1.png","RPT")</f>
        <v>RPT</v>
      </c>
      <c r="G1046" s="3">
        <v>169</v>
      </c>
      <c r="H1046" s="3"/>
    </row>
    <row r="1047" spans="1:8" x14ac:dyDescent="0.3">
      <c r="A1047" s="2">
        <v>4724827</v>
      </c>
      <c r="B1047" s="2">
        <v>75</v>
      </c>
      <c r="C1047" s="2" t="s">
        <v>5</v>
      </c>
      <c r="D1047" s="2">
        <v>140</v>
      </c>
      <c r="E1047" s="2"/>
      <c r="F1047" s="4" t="str">
        <f>HYPERLINK("./Results/DLO\20200201_1.2.840.113619.2.416.331623434538579764590604960703364126591_302_512_512_\Osteo_Sarco_1.png","RPT")</f>
        <v>RPT</v>
      </c>
      <c r="G1047" s="3">
        <v>154</v>
      </c>
      <c r="H1047" s="3"/>
    </row>
    <row r="1048" spans="1:8" x14ac:dyDescent="0.3">
      <c r="A1048" s="2">
        <v>4724827</v>
      </c>
      <c r="B1048" s="2">
        <v>75</v>
      </c>
      <c r="C1048" s="2" t="s">
        <v>5</v>
      </c>
      <c r="D1048" s="2">
        <v>140</v>
      </c>
      <c r="E1048" s="2"/>
      <c r="F1048" s="4" t="str">
        <f>HYPERLINK("./Results/DLO\20200201_1.2.410.200069.10820110185.1012000.20250916094551001101_93021_512_512_\Osteo_Sarco_1.png","RPT")</f>
        <v>RPT</v>
      </c>
      <c r="G1048" s="3">
        <v>153</v>
      </c>
      <c r="H1048" s="3"/>
    </row>
    <row r="1049" spans="1:8" x14ac:dyDescent="0.3">
      <c r="A1049" s="2">
        <v>4724827</v>
      </c>
      <c r="B1049" s="2">
        <v>75</v>
      </c>
      <c r="C1049" s="2" t="s">
        <v>5</v>
      </c>
      <c r="D1049" s="2">
        <v>140</v>
      </c>
      <c r="E1049" s="2"/>
      <c r="F1049" s="4" t="str">
        <f>HYPERLINK("./Results/DLO\20200201_1.2.410.200069.80820110186.1160115.20250916094550058963_730216_512_512_\Osteo_Sarco_1.png","RPT")</f>
        <v>RPT</v>
      </c>
      <c r="G1049" s="3">
        <v>141</v>
      </c>
      <c r="H1049" s="3"/>
    </row>
    <row r="1050" spans="1:8" x14ac:dyDescent="0.3">
      <c r="A1050" s="2">
        <v>4730535</v>
      </c>
      <c r="B1050" s="2">
        <v>63</v>
      </c>
      <c r="C1050" s="2" t="s">
        <v>5</v>
      </c>
      <c r="D1050" s="2">
        <v>100</v>
      </c>
      <c r="E1050" s="2"/>
      <c r="F1050" s="4" t="str">
        <f>HYPERLINK("./Results/DLO\20190201_1.2.840.113619.2.311.176828585044251693873277943922055969428_304_512_512_\Osteo_Sarco_1.png","RPT")</f>
        <v>RPT</v>
      </c>
      <c r="G1050" s="3">
        <v>128</v>
      </c>
      <c r="H1050" s="3"/>
    </row>
    <row r="1051" spans="1:8" x14ac:dyDescent="0.3">
      <c r="A1051" s="2">
        <v>4737921</v>
      </c>
      <c r="B1051" s="2">
        <v>39</v>
      </c>
      <c r="C1051" s="2" t="s">
        <v>6</v>
      </c>
      <c r="D1051" s="2">
        <v>100</v>
      </c>
      <c r="E1051" s="2"/>
      <c r="F1051" s="4" t="str">
        <f>HYPERLINK("./Results/DLO\20200501_1.2.840.113619.2.416.32562377199508650589818989492824014545_307_512_512_\Osteo_Sarco_1.png","RPT")</f>
        <v>RPT</v>
      </c>
      <c r="G1051" s="3">
        <v>90</v>
      </c>
      <c r="H1051" s="3"/>
    </row>
    <row r="1052" spans="1:8" x14ac:dyDescent="0.3">
      <c r="A1052" s="2">
        <v>4740159</v>
      </c>
      <c r="B1052" s="2">
        <v>70</v>
      </c>
      <c r="C1052" s="2" t="s">
        <v>6</v>
      </c>
      <c r="D1052" s="2">
        <v>100</v>
      </c>
      <c r="E1052" s="2"/>
      <c r="F1052" s="4" t="str">
        <f>HYPERLINK("./Results/DLO\20180201_1.2.840.113619.2.94.485650834948.2.8642537.18647756.1_3_512_512_\Osteo_Sarco_1.png","RPT")</f>
        <v>RPT</v>
      </c>
      <c r="G1052" s="3">
        <v>65</v>
      </c>
      <c r="H1052" s="3"/>
    </row>
    <row r="1053" spans="1:8" x14ac:dyDescent="0.3">
      <c r="A1053" s="2">
        <v>4740159</v>
      </c>
      <c r="B1053" s="2">
        <v>70</v>
      </c>
      <c r="C1053" s="2" t="s">
        <v>6</v>
      </c>
      <c r="D1053" s="2">
        <v>100</v>
      </c>
      <c r="E1053" s="2"/>
      <c r="F1053" s="4" t="str">
        <f>HYPERLINK("./Results/DLO\20180201_1.3.12.2.1107.5.1.4.65253.30000018021120242291700006549_2_512_512_\Osteo_Sarco_1.png","RPT")</f>
        <v>RPT</v>
      </c>
      <c r="G1053" s="3">
        <v>60</v>
      </c>
      <c r="H1053" s="3"/>
    </row>
    <row r="1054" spans="1:8" x14ac:dyDescent="0.3">
      <c r="A1054" s="2">
        <v>4744656</v>
      </c>
      <c r="B1054" s="2">
        <v>62</v>
      </c>
      <c r="C1054" s="2" t="s">
        <v>5</v>
      </c>
      <c r="D1054" s="2">
        <v>140</v>
      </c>
      <c r="E1054" s="2"/>
      <c r="F1054" s="4" t="str">
        <f>HYPERLINK("./Results/DLO\20181101_1.2.840.113619.2.416.212524884732261017511274589271386923670_303_512_512_\Osteo_Sarco_1.png","RPT")</f>
        <v>RPT</v>
      </c>
      <c r="G1054" s="3">
        <v>125</v>
      </c>
      <c r="H1054" s="3"/>
    </row>
    <row r="1055" spans="1:8" x14ac:dyDescent="0.3">
      <c r="A1055" s="2">
        <v>4744656</v>
      </c>
      <c r="B1055" s="2">
        <v>62</v>
      </c>
      <c r="C1055" s="2" t="s">
        <v>5</v>
      </c>
      <c r="D1055" s="2">
        <v>140</v>
      </c>
      <c r="E1055" s="2"/>
      <c r="F1055" s="4" t="str">
        <f>HYPERLINK("./Results/DLO\20181101_1.2.840.113619.2.416.327021603156689212998398835689305353186_305_512_512_\Osteo_Sarco_1.png","RPT")</f>
        <v>RPT</v>
      </c>
      <c r="G1055" s="3">
        <v>116</v>
      </c>
      <c r="H1055" s="3"/>
    </row>
    <row r="1056" spans="1:8" x14ac:dyDescent="0.3">
      <c r="A1056" s="2">
        <v>4744656</v>
      </c>
      <c r="B1056" s="2">
        <v>62</v>
      </c>
      <c r="C1056" s="2" t="s">
        <v>5</v>
      </c>
      <c r="D1056" s="2">
        <v>140</v>
      </c>
      <c r="E1056" s="2"/>
      <c r="F1056" s="4" t="str">
        <f>HYPERLINK("./Results/DLO\20181101_1.2.840.113619.2.416.131033703858130359904042062804115476987_308_512_512_\Osteo_Sarco_1.png","RPT")</f>
        <v>RPT</v>
      </c>
      <c r="G1056" s="3">
        <v>113</v>
      </c>
      <c r="H1056" s="3"/>
    </row>
    <row r="1057" spans="1:8" x14ac:dyDescent="0.3">
      <c r="A1057" s="2">
        <v>4744656</v>
      </c>
      <c r="B1057" s="2">
        <v>62</v>
      </c>
      <c r="C1057" s="2" t="s">
        <v>5</v>
      </c>
      <c r="D1057" s="2">
        <v>140</v>
      </c>
      <c r="E1057" s="2"/>
      <c r="F1057" s="4" t="str">
        <f>HYPERLINK("./Results/DLO\20181101_1.2.840.113619.2.416.144094451542399102696863387712502838002_301_512_512_\Osteo_Sarco_1.png","RPT")</f>
        <v>RPT</v>
      </c>
      <c r="G1057" s="3">
        <v>112</v>
      </c>
      <c r="H1057" s="3"/>
    </row>
    <row r="1058" spans="1:8" x14ac:dyDescent="0.3">
      <c r="A1058" s="2">
        <v>4744761</v>
      </c>
      <c r="B1058" s="2">
        <v>66</v>
      </c>
      <c r="C1058" s="2" t="s">
        <v>5</v>
      </c>
      <c r="D1058" s="2">
        <v>100</v>
      </c>
      <c r="E1058" s="2"/>
      <c r="F1058" s="4" t="str">
        <f>HYPERLINK("./Results/DLO\20180501_1.3.12.2.1107.5.1.4.54310.30000018052223090782800003705_2_512_512_\Osteo_Sarco_1.png","RPT")</f>
        <v>RPT</v>
      </c>
      <c r="G1058" s="3">
        <v>146</v>
      </c>
      <c r="H1058" s="3"/>
    </row>
    <row r="1059" spans="1:8" x14ac:dyDescent="0.3">
      <c r="A1059" s="2">
        <v>4749602</v>
      </c>
      <c r="B1059" s="2">
        <v>59</v>
      </c>
      <c r="C1059" s="2" t="s">
        <v>5</v>
      </c>
      <c r="D1059" s="2">
        <v>140</v>
      </c>
      <c r="E1059" s="2"/>
      <c r="F1059" s="4" t="str">
        <f>HYPERLINK("./Results/DLO\20180401_1.2.840.113619.2.416.113424564373954844488918759953323790137_305_512_512_\Osteo_Sarco_1.png","RPT")</f>
        <v>RPT</v>
      </c>
      <c r="G1059" s="3">
        <v>166</v>
      </c>
      <c r="H1059" s="3"/>
    </row>
    <row r="1060" spans="1:8" x14ac:dyDescent="0.3">
      <c r="A1060" s="2">
        <v>4749602</v>
      </c>
      <c r="B1060" s="2">
        <v>59</v>
      </c>
      <c r="C1060" s="2" t="s">
        <v>5</v>
      </c>
      <c r="D1060" s="2">
        <v>100</v>
      </c>
      <c r="E1060" s="2"/>
      <c r="F1060" s="4" t="str">
        <f>HYPERLINK("./Results/DLO\20180401_1.2.840.113619.2.416.185883361503008300647445105301978529463_2_512_512_\Osteo_Sarco_1.png","RPT")</f>
        <v>RPT</v>
      </c>
      <c r="G1060" s="3">
        <v>160</v>
      </c>
      <c r="H1060" s="3"/>
    </row>
    <row r="1061" spans="1:8" x14ac:dyDescent="0.3">
      <c r="A1061" s="2">
        <v>4750058</v>
      </c>
      <c r="B1061" s="2">
        <v>61</v>
      </c>
      <c r="C1061" s="2" t="s">
        <v>5</v>
      </c>
      <c r="D1061" s="2">
        <v>140</v>
      </c>
      <c r="E1061" s="2"/>
      <c r="F1061" s="4" t="str">
        <f>HYPERLINK("./Results/DLO\20190701_1.2.840.113619.2.416.294270829518792426181194728509003473055_302_512_512_\Osteo_Sarco_1.png","RPT")</f>
        <v>RPT</v>
      </c>
      <c r="G1061" s="3">
        <v>149</v>
      </c>
      <c r="H1061" s="3"/>
    </row>
    <row r="1062" spans="1:8" x14ac:dyDescent="0.3">
      <c r="A1062" s="2">
        <v>4750058</v>
      </c>
      <c r="B1062" s="2">
        <v>61</v>
      </c>
      <c r="C1062" s="2" t="s">
        <v>5</v>
      </c>
      <c r="D1062" s="2">
        <v>120</v>
      </c>
      <c r="E1062" s="2"/>
      <c r="F1062" s="4" t="str">
        <f>HYPERLINK("./Results/DLO\20190701_1.2.840.113619.2.416.173097704771465889823841725384358121316_2_512_512_\Osteo_Sarco_1.png","RPT")</f>
        <v>RPT</v>
      </c>
      <c r="G1062" s="3">
        <v>147</v>
      </c>
      <c r="H1062" s="3"/>
    </row>
    <row r="1063" spans="1:8" x14ac:dyDescent="0.3">
      <c r="A1063" s="2">
        <v>4762948</v>
      </c>
      <c r="B1063" s="2">
        <v>33</v>
      </c>
      <c r="C1063" s="2" t="s">
        <v>6</v>
      </c>
      <c r="D1063" s="2">
        <v>140</v>
      </c>
      <c r="E1063" s="2"/>
      <c r="F1063" s="4" t="str">
        <f>HYPERLINK("./Results/DLO\20180201_1.2.840.113619.2.416.294343605680163225824474219903014149055_303_512_512_\Osteo_Sarco_1.png","RPT")</f>
        <v>RPT</v>
      </c>
      <c r="G1063" s="3">
        <v>93</v>
      </c>
      <c r="H1063" s="3"/>
    </row>
    <row r="1064" spans="1:8" x14ac:dyDescent="0.3">
      <c r="A1064" s="2">
        <v>4762948</v>
      </c>
      <c r="B1064" s="2">
        <v>33</v>
      </c>
      <c r="C1064" s="2" t="s">
        <v>6</v>
      </c>
      <c r="D1064" s="2">
        <v>140</v>
      </c>
      <c r="E1064" s="2"/>
      <c r="F1064" s="4" t="str">
        <f>HYPERLINK("./Results/DLO\20180201_1.2.840.113619.2.416.298228469789825869491381426957598113128_2_512_512_\Osteo_Sarco_1.png","RPT")</f>
        <v>RPT</v>
      </c>
      <c r="G1064" s="3">
        <v>87</v>
      </c>
      <c r="H1064" s="3"/>
    </row>
    <row r="1065" spans="1:8" x14ac:dyDescent="0.3">
      <c r="A1065" s="2">
        <v>4778316</v>
      </c>
      <c r="B1065" s="2">
        <v>24</v>
      </c>
      <c r="C1065" s="2" t="s">
        <v>5</v>
      </c>
      <c r="D1065" s="2">
        <v>100</v>
      </c>
      <c r="E1065" s="2"/>
      <c r="F1065" s="4" t="str">
        <f>HYPERLINK("./Results/DLO\20180201_1.3.12.2.1107.5.1.4.54310.30000018022000214660900016611_2_512_512_\Osteo_Sarco_1.png","RPT")</f>
        <v>RPT</v>
      </c>
      <c r="G1065" s="3">
        <v>154</v>
      </c>
      <c r="H1065" s="3"/>
    </row>
    <row r="1066" spans="1:8" x14ac:dyDescent="0.3">
      <c r="A1066" s="2">
        <v>4779513</v>
      </c>
      <c r="B1066" s="2">
        <v>75</v>
      </c>
      <c r="C1066" s="2" t="s">
        <v>5</v>
      </c>
      <c r="D1066" s="2">
        <v>140</v>
      </c>
      <c r="E1066" s="2"/>
      <c r="F1066" s="4" t="str">
        <f>HYPERLINK("./Results/DLO\20181101_1.2.840.113619.2.416.43366110178880265104607444445380402491_302_512_512_\Osteo_Sarco_1.png","RPT")</f>
        <v>RPT</v>
      </c>
      <c r="G1066" s="3">
        <v>139</v>
      </c>
      <c r="H1066" s="3"/>
    </row>
    <row r="1067" spans="1:8" x14ac:dyDescent="0.3">
      <c r="A1067" s="2">
        <v>4779513</v>
      </c>
      <c r="B1067" s="2">
        <v>75</v>
      </c>
      <c r="C1067" s="2" t="s">
        <v>5</v>
      </c>
      <c r="D1067" s="2">
        <v>120</v>
      </c>
      <c r="E1067" s="2"/>
      <c r="F1067" s="4" t="str">
        <f>HYPERLINK("./Results/DLO\20181101_1.2.840.113619.2.416.145594121698491495959882107949401297720_2_512_512_\Osteo_Sarco_1.png","RPT")</f>
        <v>RPT</v>
      </c>
      <c r="G1067" s="3">
        <v>134</v>
      </c>
      <c r="H1067" s="3"/>
    </row>
    <row r="1068" spans="1:8" x14ac:dyDescent="0.3">
      <c r="A1068" s="2">
        <v>4779922</v>
      </c>
      <c r="B1068" s="2">
        <v>53</v>
      </c>
      <c r="C1068" s="2" t="s">
        <v>5</v>
      </c>
      <c r="D1068" s="2">
        <v>100</v>
      </c>
      <c r="E1068" s="2"/>
      <c r="F1068" s="4" t="str">
        <f>HYPERLINK("./Results/DLO\20180201_1.3.12.2.1107.5.1.4.54310.30000018020623090128100013854_2_512_512_\Osteo_Sarco_1.png","RPT")</f>
        <v>RPT</v>
      </c>
      <c r="G1068" s="3">
        <v>169</v>
      </c>
      <c r="H1068" s="3"/>
    </row>
    <row r="1069" spans="1:8" x14ac:dyDescent="0.3">
      <c r="A1069" s="2">
        <v>4787996</v>
      </c>
      <c r="B1069" s="2">
        <v>59</v>
      </c>
      <c r="C1069" s="2" t="s">
        <v>5</v>
      </c>
      <c r="D1069" s="2">
        <v>100</v>
      </c>
      <c r="E1069" s="2"/>
      <c r="F1069" s="4" t="str">
        <f>HYPERLINK("./Results/DLO\20181201_1.3.46.670589.33.1.63680898043079040000001.5678615484779548279_301_512_512_\Osteo_Sarco_1.png","RPT")</f>
        <v>RPT</v>
      </c>
      <c r="G1069" s="3">
        <v>140</v>
      </c>
      <c r="H1069" s="3"/>
    </row>
    <row r="1070" spans="1:8" x14ac:dyDescent="0.3">
      <c r="A1070" s="2">
        <v>4787996</v>
      </c>
      <c r="B1070" s="2">
        <v>59</v>
      </c>
      <c r="C1070" s="2" t="s">
        <v>5</v>
      </c>
      <c r="D1070" s="2">
        <v>100</v>
      </c>
      <c r="E1070" s="2"/>
      <c r="F1070" s="4" t="str">
        <f>HYPERLINK("./Results/DLO\20181201_1.3.46.670589.33.1.63680897913285616300001.5455985563772403817_201_512_512_\Osteo_Sarco_1.png","RPT")</f>
        <v>RPT</v>
      </c>
      <c r="G1070" s="3">
        <v>138</v>
      </c>
      <c r="H1070" s="3"/>
    </row>
    <row r="1071" spans="1:8" x14ac:dyDescent="0.3">
      <c r="A1071" s="2">
        <v>4788416</v>
      </c>
      <c r="B1071" s="2">
        <v>65</v>
      </c>
      <c r="C1071" s="2" t="s">
        <v>5</v>
      </c>
      <c r="D1071" s="2">
        <v>100</v>
      </c>
      <c r="E1071" s="2"/>
      <c r="F1071" s="4" t="str">
        <f>HYPERLINK("./Results/DLO\20180401_1.2.840.113619.2.311.271711315977597447570398123531245614491_304_512_512_\Osteo_Sarco_1.png","RPT")</f>
        <v>RPT</v>
      </c>
      <c r="G1071" s="3">
        <v>126</v>
      </c>
      <c r="H1071" s="3"/>
    </row>
    <row r="1072" spans="1:8" x14ac:dyDescent="0.3">
      <c r="A1072" s="2">
        <v>4788416</v>
      </c>
      <c r="B1072" s="2">
        <v>65</v>
      </c>
      <c r="C1072" s="2" t="s">
        <v>5</v>
      </c>
      <c r="D1072" s="2">
        <v>100</v>
      </c>
      <c r="E1072" s="2"/>
      <c r="F1072" s="4" t="str">
        <f>HYPERLINK("./Results/DLO\20180401_1.2.840.113619.2.311.37306506524022263382664494716574048320_2_512_512_\Osteo_Sarco_1.png","RPT")</f>
        <v>RPT</v>
      </c>
      <c r="G1072" s="3">
        <v>125</v>
      </c>
      <c r="H1072" s="3"/>
    </row>
    <row r="1073" spans="1:8" x14ac:dyDescent="0.3">
      <c r="A1073" s="2">
        <v>4790131</v>
      </c>
      <c r="B1073" s="2">
        <v>80</v>
      </c>
      <c r="C1073" s="2" t="s">
        <v>5</v>
      </c>
      <c r="D1073" s="2">
        <v>100</v>
      </c>
      <c r="E1073" s="2"/>
      <c r="F1073" s="4" t="str">
        <f>HYPERLINK("./Results/DLO\20180201_1.2.840.113619.2.416.52271777149507895704758056803725176426_304_512_512_\Osteo_Sarco_1.png","RPT")</f>
        <v>RPT</v>
      </c>
      <c r="G1073" s="3">
        <v>122</v>
      </c>
      <c r="H1073" s="3"/>
    </row>
    <row r="1074" spans="1:8" x14ac:dyDescent="0.3">
      <c r="A1074" s="2">
        <v>4806275</v>
      </c>
      <c r="B1074" s="2">
        <v>34</v>
      </c>
      <c r="C1074" s="2" t="s">
        <v>6</v>
      </c>
      <c r="D1074" s="2">
        <v>100</v>
      </c>
      <c r="E1074" s="2"/>
      <c r="F1074" s="4" t="str">
        <f>HYPERLINK("./Results/DLO\20190801_1.3.12.2.1107.5.1.4.65253.30000019081618225755900003255_3_512_512_\Osteo_Sarco_1.png","RPT")</f>
        <v>RPT</v>
      </c>
      <c r="G1074" s="3">
        <v>168</v>
      </c>
      <c r="H1074" s="3"/>
    </row>
    <row r="1075" spans="1:8" x14ac:dyDescent="0.3">
      <c r="A1075" s="2">
        <v>4806275</v>
      </c>
      <c r="B1075" s="2">
        <v>34</v>
      </c>
      <c r="C1075" s="2" t="s">
        <v>6</v>
      </c>
      <c r="D1075" s="2">
        <v>100</v>
      </c>
      <c r="E1075" s="2"/>
      <c r="F1075" s="4" t="str">
        <f>HYPERLINK("./Results/DLO\20190801_1.3.12.2.1107.5.1.4.65253.30000019081618225755900003084_2_512_512_\Osteo_Sarco_1.png","RPT")</f>
        <v>RPT</v>
      </c>
      <c r="G1075" s="3">
        <v>165</v>
      </c>
      <c r="H1075" s="3"/>
    </row>
    <row r="1076" spans="1:8" x14ac:dyDescent="0.3">
      <c r="A1076" s="2">
        <v>4806372</v>
      </c>
      <c r="B1076" s="2">
        <v>37</v>
      </c>
      <c r="C1076" s="2" t="s">
        <v>6</v>
      </c>
      <c r="D1076" s="2">
        <v>100</v>
      </c>
      <c r="E1076" s="2"/>
      <c r="F1076" s="4" t="str">
        <f>HYPERLINK("./Results/DLO\20180201_1.3.12.2.1107.5.1.4.54310.30000018022000214660900012245_3_512_512_\Osteo_Sarco_1.png","RPT")</f>
        <v>RPT</v>
      </c>
      <c r="G1076" s="3">
        <v>92</v>
      </c>
      <c r="H1076" s="3"/>
    </row>
    <row r="1077" spans="1:8" x14ac:dyDescent="0.3">
      <c r="A1077" s="2">
        <v>4829702</v>
      </c>
      <c r="B1077" s="2">
        <v>67</v>
      </c>
      <c r="C1077" s="2" t="s">
        <v>5</v>
      </c>
      <c r="D1077" s="2">
        <v>100</v>
      </c>
      <c r="E1077" s="2"/>
      <c r="F1077" s="4" t="str">
        <f>HYPERLINK("./Results/DLO\20180501_1.3.46.670589.33.1.63661454134121333300001.5371884850050217737_201_512_512_\Osteo_Sarco_1.png","RPT")</f>
        <v>RPT</v>
      </c>
      <c r="G1077" s="3">
        <v>181</v>
      </c>
      <c r="H1077" s="3"/>
    </row>
    <row r="1078" spans="1:8" x14ac:dyDescent="0.3">
      <c r="A1078" s="2">
        <v>4830421</v>
      </c>
      <c r="B1078" s="2">
        <v>65</v>
      </c>
      <c r="C1078" s="2" t="s">
        <v>5</v>
      </c>
      <c r="D1078" s="2">
        <v>100</v>
      </c>
      <c r="E1078" s="2"/>
      <c r="F1078" s="4" t="str">
        <f>HYPERLINK("./Results/DLO\20190901_1.3.46.670589.33.1.63703100208033451900001.5467015902787981606_701_512_512_\Osteo_Sarco_1.png","RPT")</f>
        <v>RPT</v>
      </c>
      <c r="G1078" s="3">
        <v>137</v>
      </c>
      <c r="H1078" s="3"/>
    </row>
    <row r="1079" spans="1:8" x14ac:dyDescent="0.3">
      <c r="A1079" s="2">
        <v>4830421</v>
      </c>
      <c r="B1079" s="2">
        <v>65</v>
      </c>
      <c r="C1079" s="2" t="s">
        <v>5</v>
      </c>
      <c r="D1079" s="2">
        <v>100</v>
      </c>
      <c r="E1079" s="2"/>
      <c r="F1079" s="4" t="str">
        <f>HYPERLINK("./Results/DLO\20190901_1.3.46.670589.33.1.63703099895325566000001.4622249186319710413_201_512_512_\Osteo_Sarco_1.png","RPT")</f>
        <v>RPT</v>
      </c>
      <c r="G1079" s="3">
        <v>132</v>
      </c>
      <c r="H1079" s="3"/>
    </row>
    <row r="1080" spans="1:8" x14ac:dyDescent="0.3">
      <c r="A1080" s="2">
        <v>4835696</v>
      </c>
      <c r="B1080" s="2">
        <v>58</v>
      </c>
      <c r="C1080" s="2" t="s">
        <v>5</v>
      </c>
      <c r="D1080" s="2">
        <v>140</v>
      </c>
      <c r="E1080" s="2"/>
      <c r="F1080" s="4" t="str">
        <f>HYPERLINK("./Results/DLO\20180301_1.2.840.113619.2.416.318239324630226124162714555163134563094_304_512_512_\Osteo_Sarco_1.png","RPT")</f>
        <v>RPT</v>
      </c>
      <c r="G1080" s="3">
        <v>173</v>
      </c>
      <c r="H1080" s="3"/>
    </row>
    <row r="1081" spans="1:8" x14ac:dyDescent="0.3">
      <c r="A1081" s="2">
        <v>4835696</v>
      </c>
      <c r="B1081" s="2">
        <v>58</v>
      </c>
      <c r="C1081" s="2" t="s">
        <v>5</v>
      </c>
      <c r="D1081" s="2">
        <v>140</v>
      </c>
      <c r="E1081" s="2"/>
      <c r="F1081" s="4" t="str">
        <f>HYPERLINK("./Results/DLO\20180301_1.2.840.113619.2.416.46779528802588654005752192683418355119_308_512_512_\Osteo_Sarco_1.png","RPT")</f>
        <v>RPT</v>
      </c>
      <c r="G1081" s="3">
        <v>173</v>
      </c>
      <c r="H1081" s="3"/>
    </row>
    <row r="1082" spans="1:8" x14ac:dyDescent="0.3">
      <c r="A1082" s="2">
        <v>4835696</v>
      </c>
      <c r="B1082" s="2">
        <v>58</v>
      </c>
      <c r="C1082" s="2" t="s">
        <v>5</v>
      </c>
      <c r="D1082" s="2">
        <v>140</v>
      </c>
      <c r="E1082" s="2"/>
      <c r="F1082" s="4" t="str">
        <f>HYPERLINK("./Results/DLO\20180301_1.2.840.113619.2.416.245723125774297787691294341788462797534_302_512_512_\Osteo_Sarco_1.png","RPT")</f>
        <v>RPT</v>
      </c>
      <c r="G1082" s="3">
        <v>171</v>
      </c>
      <c r="H1082" s="3"/>
    </row>
    <row r="1083" spans="1:8" x14ac:dyDescent="0.3">
      <c r="A1083" s="2">
        <v>4835696</v>
      </c>
      <c r="B1083" s="2">
        <v>58</v>
      </c>
      <c r="C1083" s="2" t="s">
        <v>5</v>
      </c>
      <c r="D1083" s="2">
        <v>140</v>
      </c>
      <c r="E1083" s="2"/>
      <c r="F1083" s="4" t="str">
        <f>HYPERLINK("./Results/DLO\20180301_1.2.840.113619.2.416.261320606540386060153976624761342060816_2_512_512_\Osteo_Sarco_1.png","RPT")</f>
        <v>RPT</v>
      </c>
      <c r="G1083" s="3">
        <v>170</v>
      </c>
      <c r="H1083" s="3"/>
    </row>
    <row r="1084" spans="1:8" x14ac:dyDescent="0.3">
      <c r="A1084" s="2">
        <v>4837712</v>
      </c>
      <c r="B1084" s="2">
        <v>70</v>
      </c>
      <c r="C1084" s="2" t="s">
        <v>6</v>
      </c>
      <c r="D1084" s="2">
        <v>100</v>
      </c>
      <c r="E1084" s="2"/>
      <c r="F1084" s="4" t="str">
        <f>HYPERLINK("./Results/DLO\20181001_1.2.840.113619.2.311.106151623070903728898972185295736483887_304_512_512_\Osteo_Sarco_1.png","RPT")</f>
        <v>RPT</v>
      </c>
      <c r="G1084" s="3">
        <v>86</v>
      </c>
      <c r="H1084" s="3"/>
    </row>
    <row r="1085" spans="1:8" x14ac:dyDescent="0.3">
      <c r="A1085" s="2">
        <v>4857611</v>
      </c>
      <c r="B1085" s="2">
        <v>46</v>
      </c>
      <c r="C1085" s="2" t="s">
        <v>6</v>
      </c>
      <c r="D1085" s="2">
        <v>100</v>
      </c>
      <c r="E1085" s="2"/>
      <c r="F1085" s="4" t="str">
        <f>HYPERLINK("./Results/DLO\20180901_1.3.12.2.1107.5.1.4.65253.30000018091820201604800057727_2_512_512_\Osteo_Sarco_1.png","RPT")</f>
        <v>RPT</v>
      </c>
      <c r="G1085" s="3">
        <v>117</v>
      </c>
      <c r="H1085" s="3"/>
    </row>
    <row r="1086" spans="1:8" x14ac:dyDescent="0.3">
      <c r="A1086" s="2">
        <v>4857611</v>
      </c>
      <c r="B1086" s="2">
        <v>46</v>
      </c>
      <c r="C1086" s="2" t="s">
        <v>6</v>
      </c>
      <c r="D1086" s="2">
        <v>100</v>
      </c>
      <c r="E1086" s="2"/>
      <c r="F1086" s="4" t="str">
        <f>HYPERLINK("./Results/DLO\20180901_1.3.12.2.1107.5.1.4.65253.30000018091820201604800057869_3_512_512_\Osteo_Sarco_1.png","RPT")</f>
        <v>RPT</v>
      </c>
      <c r="G1086" s="3">
        <v>116</v>
      </c>
      <c r="H1086" s="3"/>
    </row>
    <row r="1087" spans="1:8" x14ac:dyDescent="0.3">
      <c r="A1087" s="2">
        <v>4879716</v>
      </c>
      <c r="B1087" s="2">
        <v>54</v>
      </c>
      <c r="C1087" s="2" t="s">
        <v>6</v>
      </c>
      <c r="D1087" s="2">
        <v>90</v>
      </c>
      <c r="E1087" s="2"/>
      <c r="F1087" s="4" t="str">
        <f>HYPERLINK("./Results/DLO\20190501_1.2.410.100011.172.16.64.22.6369420648797915406.10_10_512_512_\Osteo_Sarco_1.png","RPT")</f>
        <v>RPT</v>
      </c>
      <c r="G1087" s="3">
        <v>112</v>
      </c>
      <c r="H1087" s="3"/>
    </row>
    <row r="1088" spans="1:8" x14ac:dyDescent="0.3">
      <c r="A1088" s="2">
        <v>4879716</v>
      </c>
      <c r="B1088" s="2">
        <v>54</v>
      </c>
      <c r="C1088" s="2" t="s">
        <v>6</v>
      </c>
      <c r="D1088" s="2">
        <v>90</v>
      </c>
      <c r="E1088" s="2"/>
      <c r="F1088" s="4" t="str">
        <f>HYPERLINK("./Results/DLO\20190501_1.2.410.100011.172.16.64.22.6369420648797915406.2_2_512_512_\Osteo_Sarco_1.png","RPT")</f>
        <v>RPT</v>
      </c>
      <c r="G1088" s="3">
        <v>108</v>
      </c>
      <c r="H1088" s="3"/>
    </row>
    <row r="1089" spans="1:8" x14ac:dyDescent="0.3">
      <c r="A1089" s="2">
        <v>4879716</v>
      </c>
      <c r="B1089" s="2">
        <v>54</v>
      </c>
      <c r="C1089" s="2" t="s">
        <v>6</v>
      </c>
      <c r="D1089" s="2">
        <v>90</v>
      </c>
      <c r="E1089" s="2"/>
      <c r="F1089" s="4" t="str">
        <f>HYPERLINK("./Results/DLO\20190501_1.2.410.100011.172.16.64.22.6369420648797915406.4_4_512_512_\Osteo_Sarco_1.png","RPT")</f>
        <v>RPT</v>
      </c>
      <c r="G1089" s="3">
        <v>108</v>
      </c>
      <c r="H1089" s="3"/>
    </row>
    <row r="1090" spans="1:8" x14ac:dyDescent="0.3">
      <c r="A1090" s="2">
        <v>4879716</v>
      </c>
      <c r="B1090" s="2">
        <v>54</v>
      </c>
      <c r="C1090" s="2" t="s">
        <v>6</v>
      </c>
      <c r="D1090" s="2">
        <v>90</v>
      </c>
      <c r="E1090" s="2"/>
      <c r="F1090" s="4" t="str">
        <f>HYPERLINK("./Results/DLO\20190501_1.2.410.100011.172.16.64.22.6369420648797915406.13_13_512_512_\Osteo_Sarco_1.png","RPT")</f>
        <v>RPT</v>
      </c>
      <c r="G1090" s="3">
        <v>107</v>
      </c>
      <c r="H1090" s="3"/>
    </row>
    <row r="1091" spans="1:8" x14ac:dyDescent="0.3">
      <c r="A1091" s="2">
        <v>4879716</v>
      </c>
      <c r="B1091" s="2">
        <v>54</v>
      </c>
      <c r="C1091" s="2" t="s">
        <v>6</v>
      </c>
      <c r="D1091" s="2">
        <v>90</v>
      </c>
      <c r="E1091" s="2"/>
      <c r="F1091" s="4" t="str">
        <f>HYPERLINK("./Results/DLO\20190501_1.2.410.100011.172.16.64.22.6369420648797915406.14_14_512_512_\Osteo_Sarco_1.png","RPT")</f>
        <v>RPT</v>
      </c>
      <c r="G1091" s="3">
        <v>107</v>
      </c>
      <c r="H1091" s="3"/>
    </row>
    <row r="1092" spans="1:8" x14ac:dyDescent="0.3">
      <c r="A1092" s="2">
        <v>4879716</v>
      </c>
      <c r="B1092" s="2">
        <v>54</v>
      </c>
      <c r="C1092" s="2" t="s">
        <v>6</v>
      </c>
      <c r="D1092" s="2">
        <v>90</v>
      </c>
      <c r="E1092" s="2"/>
      <c r="F1092" s="4" t="str">
        <f>HYPERLINK("./Results/DLO\20190501_1.2.410.100011.172.16.64.22.6369420648797915406.9_9_512_512_\Osteo_Sarco_1.png","RPT")</f>
        <v>RPT</v>
      </c>
      <c r="G1092" s="3">
        <v>107</v>
      </c>
      <c r="H1092" s="3"/>
    </row>
    <row r="1093" spans="1:8" x14ac:dyDescent="0.3">
      <c r="A1093" s="2">
        <v>4879716</v>
      </c>
      <c r="B1093" s="2">
        <v>54</v>
      </c>
      <c r="C1093" s="2" t="s">
        <v>6</v>
      </c>
      <c r="D1093" s="2">
        <v>90</v>
      </c>
      <c r="E1093" s="2"/>
      <c r="F1093" s="4" t="str">
        <f>HYPERLINK("./Results/DLO\20190501_1.2.410.100011.172.16.64.22.6369420648797915406.12_12_512_512_\Osteo_Sarco_1.png","RPT")</f>
        <v>RPT</v>
      </c>
      <c r="G1093" s="3">
        <v>106</v>
      </c>
      <c r="H1093" s="3"/>
    </row>
    <row r="1094" spans="1:8" x14ac:dyDescent="0.3">
      <c r="A1094" s="2">
        <v>4879716</v>
      </c>
      <c r="B1094" s="2">
        <v>54</v>
      </c>
      <c r="C1094" s="2" t="s">
        <v>6</v>
      </c>
      <c r="D1094" s="2">
        <v>90</v>
      </c>
      <c r="E1094" s="2"/>
      <c r="F1094" s="4" t="str">
        <f>HYPERLINK("./Results/DLO\20190501_1.2.410.100011.172.16.64.22.6369420648797915406.8_8_512_512_\Osteo_Sarco_1.png","RPT")</f>
        <v>RPT</v>
      </c>
      <c r="G1094" s="3">
        <v>105</v>
      </c>
      <c r="H1094" s="3"/>
    </row>
    <row r="1095" spans="1:8" x14ac:dyDescent="0.3">
      <c r="A1095" s="2">
        <v>4879716</v>
      </c>
      <c r="B1095" s="2">
        <v>54</v>
      </c>
      <c r="C1095" s="2" t="s">
        <v>6</v>
      </c>
      <c r="D1095" s="2">
        <v>90</v>
      </c>
      <c r="E1095" s="2"/>
      <c r="F1095" s="4" t="str">
        <f>HYPERLINK("./Results/DLO\20190501_1.2.410.100011.172.16.64.22.6369420648797915406.7_7_512_512_\Osteo_Sarco_1.png","RPT")</f>
        <v>RPT</v>
      </c>
      <c r="G1095" s="3">
        <v>104</v>
      </c>
      <c r="H1095" s="3"/>
    </row>
    <row r="1096" spans="1:8" x14ac:dyDescent="0.3">
      <c r="A1096" s="2">
        <v>4879716</v>
      </c>
      <c r="B1096" s="2">
        <v>54</v>
      </c>
      <c r="C1096" s="2" t="s">
        <v>6</v>
      </c>
      <c r="D1096" s="2">
        <v>90</v>
      </c>
      <c r="E1096" s="2"/>
      <c r="F1096" s="4" t="str">
        <f>HYPERLINK("./Results/DLO\20190501_1.2.410.100011.172.16.64.22.6369420648797915406.11_11_512_512_\Osteo_Sarco_1.png","RPT")</f>
        <v>RPT</v>
      </c>
      <c r="G1096" s="3">
        <v>103</v>
      </c>
      <c r="H1096" s="3"/>
    </row>
    <row r="1097" spans="1:8" x14ac:dyDescent="0.3">
      <c r="A1097" s="2">
        <v>4879716</v>
      </c>
      <c r="B1097" s="2">
        <v>54</v>
      </c>
      <c r="C1097" s="2" t="s">
        <v>6</v>
      </c>
      <c r="D1097" s="2">
        <v>90</v>
      </c>
      <c r="E1097" s="2"/>
      <c r="F1097" s="4" t="str">
        <f>HYPERLINK("./Results/DLO\20190501_1.2.410.100011.172.16.64.22.6369420648797915406.6_6_512_512_\Osteo_Sarco_1.png","RPT")</f>
        <v>RPT</v>
      </c>
      <c r="G1097" s="3">
        <v>102</v>
      </c>
      <c r="H1097" s="3"/>
    </row>
    <row r="1098" spans="1:8" x14ac:dyDescent="0.3">
      <c r="A1098" s="2">
        <v>4887285</v>
      </c>
      <c r="B1098" s="2">
        <v>75</v>
      </c>
      <c r="C1098" s="2" t="s">
        <v>5</v>
      </c>
      <c r="D1098" s="2">
        <v>100</v>
      </c>
      <c r="E1098" s="2"/>
      <c r="F1098" s="4" t="str">
        <f>HYPERLINK("./Results/DLO\20180401_1.3.46.670589.33.1.63660072731916299900001.5564941972707381748_201_512_512_\Osteo_Sarco_1.png","RPT")</f>
        <v>RPT</v>
      </c>
      <c r="G1098" s="3">
        <v>131</v>
      </c>
      <c r="H1098" s="3"/>
    </row>
    <row r="1099" spans="1:8" x14ac:dyDescent="0.3">
      <c r="A1099" s="2">
        <v>4887687</v>
      </c>
      <c r="B1099" s="2">
        <v>45</v>
      </c>
      <c r="C1099" s="2" t="s">
        <v>6</v>
      </c>
      <c r="D1099" s="2">
        <v>100</v>
      </c>
      <c r="E1099" s="2"/>
      <c r="F1099" s="4" t="str">
        <f>HYPERLINK("./Results/DLO\20181101_1.2.840.113619.2.94.485650834948.2.9215815.20056955.1_2_512_512_\Osteo_Sarco_1.png","RPT")</f>
        <v>RPT</v>
      </c>
      <c r="G1099" s="3">
        <v>91</v>
      </c>
      <c r="H1099" s="3"/>
    </row>
    <row r="1100" spans="1:8" x14ac:dyDescent="0.3">
      <c r="A1100" s="2">
        <v>4888180</v>
      </c>
      <c r="B1100" s="2">
        <v>52</v>
      </c>
      <c r="C1100" s="2" t="s">
        <v>6</v>
      </c>
      <c r="D1100" s="2">
        <v>100</v>
      </c>
      <c r="E1100" s="2"/>
      <c r="F1100" s="4" t="str">
        <f>HYPERLINK("./Results/DLO\20180301_1.3.12.2.1107.5.1.4.54310.30000018031123353956200002657_2_512_512_\Osteo_Sarco_1.png","RPT")</f>
        <v>RPT</v>
      </c>
      <c r="G1100" s="3">
        <v>115</v>
      </c>
      <c r="H1100" s="3"/>
    </row>
    <row r="1101" spans="1:8" x14ac:dyDescent="0.3">
      <c r="A1101" s="2">
        <v>4893454</v>
      </c>
      <c r="B1101" s="2">
        <v>48</v>
      </c>
      <c r="C1101" s="2" t="s">
        <v>6</v>
      </c>
      <c r="D1101" s="2">
        <v>100</v>
      </c>
      <c r="E1101" s="2"/>
      <c r="F1101" s="4" t="str">
        <f>HYPERLINK("./Results/DLO\20200101_1.3.12.2.1107.5.1.4.54310.30000020011421271920300014102_3_512_512_\Osteo_Sarco_1.png","RPT")</f>
        <v>RPT</v>
      </c>
      <c r="G1101" s="3">
        <v>120</v>
      </c>
      <c r="H1101" s="3"/>
    </row>
    <row r="1102" spans="1:8" x14ac:dyDescent="0.3">
      <c r="A1102" s="2">
        <v>4897022</v>
      </c>
      <c r="B1102" s="2">
        <v>51</v>
      </c>
      <c r="C1102" s="2" t="s">
        <v>6</v>
      </c>
      <c r="D1102" s="2">
        <v>100</v>
      </c>
      <c r="E1102" s="2"/>
      <c r="F1102" s="4" t="str">
        <f>HYPERLINK("./Results/DLO\20180201_1.3.12.2.1107.5.1.4.54310.30000018020523240767100009754_2_512_512_\Osteo_Sarco_1.png","RPT")</f>
        <v>RPT</v>
      </c>
      <c r="G1102" s="3">
        <v>134</v>
      </c>
      <c r="H1102" s="3"/>
    </row>
    <row r="1103" spans="1:8" x14ac:dyDescent="0.3">
      <c r="A1103" s="2">
        <v>4904754</v>
      </c>
      <c r="B1103" s="2">
        <v>69</v>
      </c>
      <c r="C1103" s="2" t="s">
        <v>5</v>
      </c>
      <c r="D1103" s="2">
        <v>100</v>
      </c>
      <c r="E1103" s="2"/>
      <c r="F1103" s="4" t="str">
        <f>HYPERLINK("./Results/DLO\20180401_1.3.12.2.1107.5.1.4.65253.30000018041121143193700008980_2_512_512_\Osteo_Sarco_1.png","RPT")</f>
        <v>RPT</v>
      </c>
      <c r="G1103" s="3">
        <v>123</v>
      </c>
      <c r="H1103" s="3"/>
    </row>
    <row r="1104" spans="1:8" x14ac:dyDescent="0.3">
      <c r="A1104" s="2">
        <v>4929736</v>
      </c>
      <c r="B1104" s="2">
        <v>63</v>
      </c>
      <c r="C1104" s="2" t="s">
        <v>5</v>
      </c>
      <c r="D1104" s="2">
        <v>100</v>
      </c>
      <c r="E1104" s="2"/>
      <c r="F1104" s="4" t="str">
        <f>HYPERLINK("./Results/DLO\20181001_1.3.12.2.1107.5.1.4.54310.30000018102323155025000060428_2_512_512_\Osteo_Sarco_1.png","RPT")</f>
        <v>RPT</v>
      </c>
      <c r="G1104" s="3">
        <v>138</v>
      </c>
      <c r="H1104" s="3"/>
    </row>
    <row r="1105" spans="1:8" x14ac:dyDescent="0.3">
      <c r="A1105" s="2">
        <v>4936010</v>
      </c>
      <c r="B1105" s="2">
        <v>70</v>
      </c>
      <c r="C1105" s="2" t="s">
        <v>6</v>
      </c>
      <c r="D1105" s="2">
        <v>140</v>
      </c>
      <c r="E1105" s="2"/>
      <c r="F1105" s="4" t="str">
        <f>HYPERLINK("./Results/DLO\20180701_1.2.840.113619.2.416.89981342453495631045274899516072388449_302_512_512_\Osteo_Sarco_1.png","RPT")</f>
        <v>RPT</v>
      </c>
      <c r="G1105" s="3">
        <v>93</v>
      </c>
      <c r="H1105" s="3"/>
    </row>
    <row r="1106" spans="1:8" x14ac:dyDescent="0.3">
      <c r="A1106" s="2">
        <v>4936010</v>
      </c>
      <c r="B1106" s="2">
        <v>70</v>
      </c>
      <c r="C1106" s="2" t="s">
        <v>6</v>
      </c>
      <c r="D1106" s="2">
        <v>120</v>
      </c>
      <c r="E1106" s="2"/>
      <c r="F1106" s="4" t="str">
        <f>HYPERLINK("./Results/DLO\20180701_1.2.840.113619.2.416.116953066588219323944236234280167855492_2_512_512_\Osteo_Sarco_1.png","RPT")</f>
        <v>RPT</v>
      </c>
      <c r="G1106" s="3">
        <v>90</v>
      </c>
      <c r="H1106" s="3"/>
    </row>
    <row r="1107" spans="1:8" x14ac:dyDescent="0.3">
      <c r="A1107" s="2">
        <v>4949442</v>
      </c>
      <c r="B1107" s="2">
        <v>50</v>
      </c>
      <c r="C1107" s="2" t="s">
        <v>5</v>
      </c>
      <c r="D1107" s="2">
        <v>100</v>
      </c>
      <c r="E1107" s="2"/>
      <c r="F1107" s="4" t="str">
        <f>HYPERLINK("./Results/DLO\20180301_1.3.12.2.1107.5.1.4.65253.30000018030122001879200000748_2_512_512_\Osteo_Sarco_1.png","RPT")</f>
        <v>RPT</v>
      </c>
      <c r="G1107" s="3">
        <v>151</v>
      </c>
      <c r="H1107" s="3"/>
    </row>
    <row r="1108" spans="1:8" x14ac:dyDescent="0.3">
      <c r="A1108" s="2">
        <v>4949859</v>
      </c>
      <c r="B1108" s="2">
        <v>72</v>
      </c>
      <c r="C1108" s="2" t="s">
        <v>5</v>
      </c>
      <c r="D1108" s="2">
        <v>100</v>
      </c>
      <c r="E1108" s="2"/>
      <c r="F1108" s="4" t="str">
        <f>HYPERLINK("./Results/DLO\20181101_1.2.840.113619.2.94.485650834948.2.9202646.20024301.1_2_512_512_\Osteo_Sarco_1.png","RPT")</f>
        <v>RPT</v>
      </c>
      <c r="G1108" s="3">
        <v>130</v>
      </c>
      <c r="H1108" s="3"/>
    </row>
    <row r="1109" spans="1:8" x14ac:dyDescent="0.3">
      <c r="A1109" s="2">
        <v>4950012</v>
      </c>
      <c r="B1109" s="2">
        <v>37</v>
      </c>
      <c r="C1109" s="2" t="s">
        <v>5</v>
      </c>
      <c r="D1109" s="2">
        <v>140</v>
      </c>
      <c r="E1109" s="2"/>
      <c r="F1109" s="4" t="str">
        <f>HYPERLINK("./Results/DLO\20180801_1.2.840.113619.2.416.331301856963137068170635497972945668647_301_512_512_\Osteo_Sarco_1.png","RPT")</f>
        <v>RPT</v>
      </c>
      <c r="G1109" s="3">
        <v>159</v>
      </c>
      <c r="H1109" s="3"/>
    </row>
    <row r="1110" spans="1:8" x14ac:dyDescent="0.3">
      <c r="A1110" s="2">
        <v>4950012</v>
      </c>
      <c r="B1110" s="2">
        <v>37</v>
      </c>
      <c r="C1110" s="2" t="s">
        <v>5</v>
      </c>
      <c r="D1110" s="2">
        <v>140</v>
      </c>
      <c r="E1110" s="2"/>
      <c r="F1110" s="4" t="str">
        <f>HYPERLINK("./Results/DLO\20180801_1.2.840.113619.2.416.189289396157873171190582117504352060204_308_512_512_\Osteo_Sarco_1.png","RPT")</f>
        <v>RPT</v>
      </c>
      <c r="G1110" s="3">
        <v>158</v>
      </c>
      <c r="H1110" s="3"/>
    </row>
    <row r="1111" spans="1:8" x14ac:dyDescent="0.3">
      <c r="A1111" s="2">
        <v>4950012</v>
      </c>
      <c r="B1111" s="2">
        <v>37</v>
      </c>
      <c r="C1111" s="2" t="s">
        <v>5</v>
      </c>
      <c r="D1111" s="2">
        <v>140</v>
      </c>
      <c r="E1111" s="2"/>
      <c r="F1111" s="4" t="str">
        <f>HYPERLINK("./Results/DLO\20180801_1.2.840.113619.2.416.187100245189118009391977587196145482579_305_512_512_\Osteo_Sarco_1.png","RPT")</f>
        <v>RPT</v>
      </c>
      <c r="G1111" s="3">
        <v>157</v>
      </c>
      <c r="H1111" s="3"/>
    </row>
    <row r="1112" spans="1:8" x14ac:dyDescent="0.3">
      <c r="A1112" s="2">
        <v>4950012</v>
      </c>
      <c r="B1112" s="2">
        <v>37</v>
      </c>
      <c r="C1112" s="2" t="s">
        <v>5</v>
      </c>
      <c r="D1112" s="2">
        <v>140</v>
      </c>
      <c r="E1112" s="2"/>
      <c r="F1112" s="4" t="str">
        <f>HYPERLINK("./Results/DLO\20180801_1.2.840.113619.2.416.274311211620603859180228955639882108764_303_512_512_\Osteo_Sarco_1.png","RPT")</f>
        <v>RPT</v>
      </c>
      <c r="G1112" s="3">
        <v>156</v>
      </c>
      <c r="H1112" s="3"/>
    </row>
    <row r="1113" spans="1:8" x14ac:dyDescent="0.3">
      <c r="A1113" s="2">
        <v>4967860</v>
      </c>
      <c r="B1113" s="2">
        <v>51</v>
      </c>
      <c r="C1113" s="2" t="s">
        <v>5</v>
      </c>
      <c r="D1113" s="2">
        <v>100</v>
      </c>
      <c r="E1113" s="2"/>
      <c r="F1113" s="4" t="str">
        <f>HYPERLINK("./Results/DLO\20190401_1.3.46.670589.33.1.63689968802532100800001.5082398879820018462_201_512_512_\Osteo_Sarco_1.png","RPT")</f>
        <v>RPT</v>
      </c>
      <c r="G1113" s="3">
        <v>159</v>
      </c>
      <c r="H1113" s="3"/>
    </row>
    <row r="1114" spans="1:8" x14ac:dyDescent="0.3">
      <c r="A1114" s="2">
        <v>4969079</v>
      </c>
      <c r="B1114" s="2">
        <v>60</v>
      </c>
      <c r="C1114" s="2" t="s">
        <v>6</v>
      </c>
      <c r="D1114" s="2">
        <v>100</v>
      </c>
      <c r="E1114" s="2"/>
      <c r="F1114" s="4" t="str">
        <f>HYPERLINK("./Results/DLO\20180601_1.2.840.113619.2.311.133918581337682042899742154119373063386_303_512_512_\Osteo_Sarco_1.png","RPT")</f>
        <v>RPT</v>
      </c>
      <c r="G1114" s="3">
        <v>132</v>
      </c>
      <c r="H1114" s="3"/>
    </row>
    <row r="1115" spans="1:8" x14ac:dyDescent="0.3">
      <c r="A1115" s="2">
        <v>4972972</v>
      </c>
      <c r="B1115" s="2">
        <v>72</v>
      </c>
      <c r="C1115" s="2" t="s">
        <v>5</v>
      </c>
      <c r="D1115" s="2">
        <v>100</v>
      </c>
      <c r="E1115" s="2"/>
      <c r="F1115" s="4" t="str">
        <f>HYPERLINK("./Results/DLO\20190101_1.3.46.670589.33.1.63684289575267232400001.4828406098115656685_201_512_512_\Osteo_Sarco_1.png","RPT")</f>
        <v>RPT</v>
      </c>
      <c r="G1115" s="3">
        <v>150</v>
      </c>
      <c r="H1115" s="3"/>
    </row>
    <row r="1116" spans="1:8" x14ac:dyDescent="0.3">
      <c r="A1116" s="2">
        <v>4972972</v>
      </c>
      <c r="B1116" s="2">
        <v>72</v>
      </c>
      <c r="C1116" s="2" t="s">
        <v>5</v>
      </c>
      <c r="D1116" s="2">
        <v>100</v>
      </c>
      <c r="E1116" s="2"/>
      <c r="F1116" s="4" t="str">
        <f>HYPERLINK("./Results/DLO\20190101_1.3.46.670589.33.1.63684289738891591100001.5270206487033196905_601_512_512_\Osteo_Sarco_1.png","RPT")</f>
        <v>RPT</v>
      </c>
      <c r="G1116" s="3">
        <v>150</v>
      </c>
      <c r="H1116" s="3"/>
    </row>
    <row r="1117" spans="1:8" x14ac:dyDescent="0.3">
      <c r="A1117" s="2">
        <v>4972972</v>
      </c>
      <c r="B1117" s="2">
        <v>72</v>
      </c>
      <c r="C1117" s="2" t="s">
        <v>5</v>
      </c>
      <c r="D1117" s="2">
        <v>100</v>
      </c>
      <c r="E1117" s="2"/>
      <c r="F1117" s="4" t="str">
        <f>HYPERLINK("./Results/DLO\20190101_1.3.46.670589.33.1.63684289679818212300001.5626618411261559641_501_512_512_\Osteo_Sarco_1.png","RPT")</f>
        <v>RPT</v>
      </c>
      <c r="G1117" s="3">
        <v>149</v>
      </c>
      <c r="H1117" s="3"/>
    </row>
    <row r="1118" spans="1:8" x14ac:dyDescent="0.3">
      <c r="A1118" s="2">
        <v>4972972</v>
      </c>
      <c r="B1118" s="2">
        <v>72</v>
      </c>
      <c r="C1118" s="2" t="s">
        <v>5</v>
      </c>
      <c r="D1118" s="2">
        <v>100</v>
      </c>
      <c r="E1118" s="2"/>
      <c r="F1118" s="4" t="str">
        <f>HYPERLINK("./Results/DLO\20190101_1.3.46.670589.33.1.63684289735410392000002.5448314313011867036_701_512_512_\Osteo_Sarco_1.png","RPT")</f>
        <v>RPT</v>
      </c>
      <c r="G1118" s="3">
        <v>148</v>
      </c>
      <c r="H1118" s="3"/>
    </row>
    <row r="1119" spans="1:8" x14ac:dyDescent="0.3">
      <c r="A1119" s="2">
        <v>4987191</v>
      </c>
      <c r="B1119" s="2">
        <v>65</v>
      </c>
      <c r="C1119" s="2" t="s">
        <v>5</v>
      </c>
      <c r="D1119" s="2">
        <v>120</v>
      </c>
      <c r="E1119" s="2"/>
      <c r="F1119" s="4" t="str">
        <f>HYPERLINK("./Results/DLO\20190501_1.3.12.2.1107.5.1.4.54310.30000019053020160098400048879_5_512_512_\Osteo_Sarco_1.png","RPT")</f>
        <v>RPT</v>
      </c>
      <c r="G1119" s="3">
        <v>168</v>
      </c>
      <c r="H1119" s="3"/>
    </row>
    <row r="1120" spans="1:8" x14ac:dyDescent="0.3">
      <c r="A1120" s="2">
        <v>4987191</v>
      </c>
      <c r="B1120" s="2">
        <v>65</v>
      </c>
      <c r="C1120" s="2" t="s">
        <v>5</v>
      </c>
      <c r="D1120" s="2">
        <v>120</v>
      </c>
      <c r="E1120" s="2"/>
      <c r="F1120" s="4" t="str">
        <f>HYPERLINK("./Results/DLO\20190501_1.3.12.2.1107.5.1.4.54310.30000019053020160098400049606_9_512_512_\Osteo_Sarco_1.png","RPT")</f>
        <v>RPT</v>
      </c>
      <c r="G1120" s="3">
        <v>168</v>
      </c>
      <c r="H1120" s="3"/>
    </row>
    <row r="1121" spans="1:8" x14ac:dyDescent="0.3">
      <c r="A1121" s="2">
        <v>4987191</v>
      </c>
      <c r="B1121" s="2">
        <v>65</v>
      </c>
      <c r="C1121" s="2" t="s">
        <v>5</v>
      </c>
      <c r="D1121" s="2">
        <v>120</v>
      </c>
      <c r="E1121" s="2"/>
      <c r="F1121" s="4" t="str">
        <f>HYPERLINK("./Results/DLO\20190501_1.3.12.2.1107.5.1.4.54310.30000019053020160098400049295_7_512_512_\Osteo_Sarco_1.png","RPT")</f>
        <v>RPT</v>
      </c>
      <c r="G1121" s="3">
        <v>167</v>
      </c>
      <c r="H1121" s="3"/>
    </row>
    <row r="1122" spans="1:8" x14ac:dyDescent="0.3">
      <c r="A1122" s="2">
        <v>4987191</v>
      </c>
      <c r="B1122" s="2">
        <v>65</v>
      </c>
      <c r="C1122" s="2" t="s">
        <v>5</v>
      </c>
      <c r="D1122" s="2">
        <v>100</v>
      </c>
      <c r="E1122" s="2"/>
      <c r="F1122" s="4" t="str">
        <f>HYPERLINK("./Results/DLO\20190501_1.3.12.2.1107.5.1.4.54310.30000019053020160098400048774_3_512_512_\Osteo_Sarco_1.png","RPT")</f>
        <v>RPT</v>
      </c>
      <c r="G1122" s="3">
        <v>165</v>
      </c>
      <c r="H1122" s="3"/>
    </row>
    <row r="1123" spans="1:8" x14ac:dyDescent="0.3">
      <c r="A1123" s="2">
        <v>4991416</v>
      </c>
      <c r="B1123" s="2">
        <v>69</v>
      </c>
      <c r="C1123" s="2" t="s">
        <v>6</v>
      </c>
      <c r="D1123" s="2">
        <v>120</v>
      </c>
      <c r="E1123" s="2"/>
      <c r="F1123" s="4" t="str">
        <f>HYPERLINK("./Results/DLO\20180601_1.2.410.100011.172.24.16.219.6366621300288940761.3.4_4_512_512_\Osteo_Sarco_1.png","RPT")</f>
        <v>RPT</v>
      </c>
      <c r="G1123" s="3">
        <v>87</v>
      </c>
      <c r="H1123" s="3"/>
    </row>
    <row r="1124" spans="1:8" x14ac:dyDescent="0.3">
      <c r="A1124" s="2">
        <v>4991416</v>
      </c>
      <c r="B1124" s="2">
        <v>69</v>
      </c>
      <c r="C1124" s="2" t="s">
        <v>6</v>
      </c>
      <c r="D1124" s="2">
        <v>120</v>
      </c>
      <c r="E1124" s="2"/>
      <c r="F1124" s="4" t="str">
        <f>HYPERLINK("./Results/DLO\20180601_1.2.410.100011.172.24.16.219.6366621300288940761.2.2_2_512_512_\Osteo_Sarco_1.png","RPT")</f>
        <v>RPT</v>
      </c>
      <c r="G1124" s="3">
        <v>76</v>
      </c>
      <c r="H1124" s="3"/>
    </row>
    <row r="1125" spans="1:8" x14ac:dyDescent="0.3">
      <c r="A1125" s="2">
        <v>4992081</v>
      </c>
      <c r="B1125" s="2">
        <v>57</v>
      </c>
      <c r="C1125" s="2" t="s">
        <v>6</v>
      </c>
      <c r="D1125" s="2">
        <v>140</v>
      </c>
      <c r="E1125" s="2"/>
      <c r="F1125" s="4" t="str">
        <f>HYPERLINK("./Results/DLO\20180501_1.2.840.113619.2.416.281816692990050209888884110319692503105_308_512_512_\Osteo_Sarco_1.png","RPT")</f>
        <v>RPT</v>
      </c>
      <c r="G1125" s="3">
        <v>111</v>
      </c>
      <c r="H1125" s="3"/>
    </row>
    <row r="1126" spans="1:8" x14ac:dyDescent="0.3">
      <c r="A1126" s="2">
        <v>4992081</v>
      </c>
      <c r="B1126" s="2">
        <v>57</v>
      </c>
      <c r="C1126" s="2" t="s">
        <v>6</v>
      </c>
      <c r="D1126" s="2">
        <v>140</v>
      </c>
      <c r="E1126" s="2"/>
      <c r="F1126" s="4" t="str">
        <f>HYPERLINK("./Results/DLO\20180501_1.2.840.113619.2.416.269518037883974631178858578019747595264_305_512_512_\Osteo_Sarco_1.png","RPT")</f>
        <v>RPT</v>
      </c>
      <c r="G1126" s="3">
        <v>110</v>
      </c>
      <c r="H1126" s="3"/>
    </row>
    <row r="1127" spans="1:8" x14ac:dyDescent="0.3">
      <c r="A1127" s="2">
        <v>4992081</v>
      </c>
      <c r="B1127" s="2">
        <v>57</v>
      </c>
      <c r="C1127" s="2" t="s">
        <v>6</v>
      </c>
      <c r="D1127" s="2">
        <v>140</v>
      </c>
      <c r="E1127" s="2"/>
      <c r="F1127" s="4" t="str">
        <f>HYPERLINK("./Results/DLO\20180501_1.2.840.113619.2.416.309348658628206486653727255158350500905_303_512_512_\Osteo_Sarco_1.png","RPT")</f>
        <v>RPT</v>
      </c>
      <c r="G1127" s="3">
        <v>107</v>
      </c>
      <c r="H1127" s="3"/>
    </row>
    <row r="1128" spans="1:8" x14ac:dyDescent="0.3">
      <c r="A1128" s="2">
        <v>4992081</v>
      </c>
      <c r="B1128" s="2">
        <v>57</v>
      </c>
      <c r="C1128" s="2" t="s">
        <v>6</v>
      </c>
      <c r="D1128" s="2">
        <v>140</v>
      </c>
      <c r="E1128" s="2"/>
      <c r="F1128" s="4" t="str">
        <f>HYPERLINK("./Results/DLO\20180501_1.2.840.113619.2.416.197777365722264936881569111679597283992_301_512_512_\Osteo_Sarco_1.png","RPT")</f>
        <v>RPT</v>
      </c>
      <c r="G1128" s="3">
        <v>104</v>
      </c>
      <c r="H1128" s="3"/>
    </row>
    <row r="1129" spans="1:8" x14ac:dyDescent="0.3">
      <c r="A1129" s="2">
        <v>4992797</v>
      </c>
      <c r="B1129" s="2">
        <v>59</v>
      </c>
      <c r="C1129" s="2" t="s">
        <v>6</v>
      </c>
      <c r="D1129" s="2">
        <v>100</v>
      </c>
      <c r="E1129" s="2"/>
      <c r="F1129" s="4" t="str">
        <f>HYPERLINK("./Results/DLO\20190601_1.3.12.2.1107.5.1.4.54310.30000019062522114878100006254_2_512_512_\Osteo_Sarco_1.png","RPT")</f>
        <v>RPT</v>
      </c>
      <c r="G1129" s="3">
        <v>115</v>
      </c>
      <c r="H1129" s="3"/>
    </row>
    <row r="1130" spans="1:8" x14ac:dyDescent="0.3">
      <c r="A1130" s="2">
        <v>4993929</v>
      </c>
      <c r="B1130" s="2">
        <v>35</v>
      </c>
      <c r="C1130" s="2" t="s">
        <v>6</v>
      </c>
      <c r="D1130" s="2">
        <v>100</v>
      </c>
      <c r="E1130" s="2"/>
      <c r="F1130" s="4" t="str">
        <f>HYPERLINK("./Results/DLO\20180701_1.3.12.2.1107.5.1.4.65253.30000018071221203865800000000_2_512_512_\Osteo_Sarco_1.png","RPT")</f>
        <v>RPT</v>
      </c>
      <c r="G1130" s="3">
        <v>98</v>
      </c>
      <c r="H1130" s="3"/>
    </row>
    <row r="1131" spans="1:8" x14ac:dyDescent="0.3">
      <c r="A1131" s="2">
        <v>4993929</v>
      </c>
      <c r="B1131" s="2">
        <v>35</v>
      </c>
      <c r="C1131" s="2" t="s">
        <v>6</v>
      </c>
      <c r="D1131" s="2">
        <v>100</v>
      </c>
      <c r="E1131" s="2"/>
      <c r="F1131" s="4" t="str">
        <f>HYPERLINK("./Results/DLO\20180701_1.3.12.2.1107.5.1.4.65253.30000018071221203865800000161_3_512_512_\Osteo_Sarco_1.png","RPT")</f>
        <v>RPT</v>
      </c>
      <c r="G1131" s="3">
        <v>97</v>
      </c>
      <c r="H1131" s="3"/>
    </row>
    <row r="1132" spans="1:8" x14ac:dyDescent="0.3">
      <c r="A1132" s="2">
        <v>5000923</v>
      </c>
      <c r="B1132" s="2">
        <v>48</v>
      </c>
      <c r="C1132" s="2" t="s">
        <v>5</v>
      </c>
      <c r="D1132" s="2">
        <v>100</v>
      </c>
      <c r="E1132" s="2"/>
      <c r="F1132" s="4" t="str">
        <f>HYPERLINK("./Results/DLO\20190801_1.3.12.2.1107.5.1.4.54310.30000019080723041839000009703_4_512_512_\Osteo_Sarco_1.png","RPT")</f>
        <v>RPT</v>
      </c>
      <c r="G1132" s="3">
        <v>167</v>
      </c>
      <c r="H1132" s="3"/>
    </row>
    <row r="1133" spans="1:8" x14ac:dyDescent="0.3">
      <c r="A1133" s="2">
        <v>5010031</v>
      </c>
      <c r="B1133" s="2">
        <v>61</v>
      </c>
      <c r="C1133" s="2" t="s">
        <v>6</v>
      </c>
      <c r="D1133" s="2">
        <v>100</v>
      </c>
      <c r="E1133" s="2"/>
      <c r="F1133" s="4" t="str">
        <f>HYPERLINK("./Results/DLO\20190201_1.3.12.2.1107.5.1.4.54310.30000019022223473932800002350_2_512_512_\Osteo_Sarco_1.png","RPT")</f>
        <v>RPT</v>
      </c>
      <c r="G1133" s="3">
        <v>120</v>
      </c>
      <c r="H1133" s="3"/>
    </row>
    <row r="1134" spans="1:8" x14ac:dyDescent="0.3">
      <c r="A1134" s="2">
        <v>5010031</v>
      </c>
      <c r="B1134" s="2">
        <v>61</v>
      </c>
      <c r="C1134" s="2" t="s">
        <v>6</v>
      </c>
      <c r="D1134" s="2">
        <v>100</v>
      </c>
      <c r="E1134" s="2"/>
      <c r="F1134" s="4" t="str">
        <f>HYPERLINK("./Results/DLO\20180701_1.3.12.2.1107.5.1.4.65253.30000018070519484028700087964_3_512_512_\Osteo_Sarco_1.png","RPT")</f>
        <v>RPT</v>
      </c>
      <c r="G1134" s="3">
        <v>114</v>
      </c>
      <c r="H1134" s="3"/>
    </row>
    <row r="1135" spans="1:8" x14ac:dyDescent="0.3">
      <c r="A1135" s="2">
        <v>5010031</v>
      </c>
      <c r="B1135" s="2">
        <v>61</v>
      </c>
      <c r="C1135" s="2" t="s">
        <v>6</v>
      </c>
      <c r="D1135" s="2">
        <v>100</v>
      </c>
      <c r="E1135" s="2"/>
      <c r="F1135" s="4" t="str">
        <f>HYPERLINK("./Results/DLO\20180701_1.3.12.2.1107.5.1.4.65253.30000018070519484028700087805_2_512_512_\Osteo_Sarco_1.png","RPT")</f>
        <v>RPT</v>
      </c>
      <c r="G1135" s="3">
        <v>113</v>
      </c>
      <c r="H1135" s="3"/>
    </row>
    <row r="1136" spans="1:8" x14ac:dyDescent="0.3">
      <c r="A1136" s="2">
        <v>5011276</v>
      </c>
      <c r="B1136" s="2">
        <v>48</v>
      </c>
      <c r="C1136" s="2" t="s">
        <v>6</v>
      </c>
      <c r="D1136" s="2">
        <v>100</v>
      </c>
      <c r="E1136" s="2"/>
      <c r="F1136" s="4" t="str">
        <f>HYPERLINK("./Results/DLO\20180701_1.3.12.2.1107.5.1.4.54310.30000018070300074559300002506_2_512_512_\Osteo_Sarco_1.png","RPT")</f>
        <v>RPT</v>
      </c>
      <c r="G1136" s="3">
        <v>91</v>
      </c>
      <c r="H1136" s="3"/>
    </row>
    <row r="1137" spans="1:8" x14ac:dyDescent="0.3">
      <c r="A1137" s="2">
        <v>5012296</v>
      </c>
      <c r="B1137" s="2">
        <v>76</v>
      </c>
      <c r="C1137" s="2" t="s">
        <v>5</v>
      </c>
      <c r="D1137" s="2">
        <v>140</v>
      </c>
      <c r="E1137" s="2"/>
      <c r="F1137" s="4" t="str">
        <f>HYPERLINK("./Results/DLO\20190701_1.2.840.113619.2.416.295055636782097787416600527974505521088_303_512_512_\Osteo_Sarco_1.png","RPT")</f>
        <v>RPT</v>
      </c>
      <c r="G1137" s="3">
        <v>127</v>
      </c>
      <c r="H1137" s="3"/>
    </row>
    <row r="1138" spans="1:8" x14ac:dyDescent="0.3">
      <c r="A1138" s="2">
        <v>5012296</v>
      </c>
      <c r="B1138" s="2">
        <v>76</v>
      </c>
      <c r="C1138" s="2" t="s">
        <v>5</v>
      </c>
      <c r="D1138" s="2">
        <v>140</v>
      </c>
      <c r="E1138" s="2"/>
      <c r="F1138" s="4" t="str">
        <f>HYPERLINK("./Results/DLO\20190701_1.2.840.113619.2.416.211854829256777449993983694399141547299_302_512_512_\Osteo_Sarco_1.png","RPT")</f>
        <v>RPT</v>
      </c>
      <c r="G1138" s="3">
        <v>125</v>
      </c>
      <c r="H1138" s="3"/>
    </row>
    <row r="1139" spans="1:8" x14ac:dyDescent="0.3">
      <c r="A1139" s="2">
        <v>5014338</v>
      </c>
      <c r="B1139" s="2">
        <v>56</v>
      </c>
      <c r="C1139" s="2" t="s">
        <v>6</v>
      </c>
      <c r="D1139" s="2">
        <v>100</v>
      </c>
      <c r="E1139" s="2"/>
      <c r="F1139" s="4" t="str">
        <f>HYPERLINK("./Results/DLO\20180701_1.3.12.2.1107.5.1.4.54310.30000018072500113304600006953_2_512_512_\Osteo_Sarco_1.png","RPT")</f>
        <v>RPT</v>
      </c>
      <c r="G1139" s="3">
        <v>121</v>
      </c>
      <c r="H1139" s="3"/>
    </row>
    <row r="1140" spans="1:8" x14ac:dyDescent="0.3">
      <c r="A1140" s="2">
        <v>5019783</v>
      </c>
      <c r="B1140" s="2">
        <v>63</v>
      </c>
      <c r="C1140" s="2" t="s">
        <v>6</v>
      </c>
      <c r="D1140" s="2">
        <v>100</v>
      </c>
      <c r="E1140" s="2"/>
      <c r="F1140" s="4" t="str">
        <f>HYPERLINK("./Results/DLO\20180101_1.2.840.113619.2.416.140214452324076969287780194021563096382_2_512_512_\Osteo_Sarco_1.png","RPT")</f>
        <v>RPT</v>
      </c>
      <c r="G1140" s="3">
        <v>100</v>
      </c>
      <c r="H1140" s="3"/>
    </row>
    <row r="1141" spans="1:8" x14ac:dyDescent="0.3">
      <c r="A1141" s="2">
        <v>5020065</v>
      </c>
      <c r="B1141" s="2">
        <v>43</v>
      </c>
      <c r="C1141" s="2" t="s">
        <v>6</v>
      </c>
      <c r="D1141" s="2">
        <v>100</v>
      </c>
      <c r="E1141" s="2"/>
      <c r="F1141" s="4" t="str">
        <f>HYPERLINK("./Results/DLO\20180601_1.3.12.2.1107.5.1.4.54310.30000018061900181645300007540_2_512_512_\Osteo_Sarco_1.png","RPT")</f>
        <v>RPT</v>
      </c>
      <c r="G1141" s="3">
        <v>104</v>
      </c>
      <c r="H1141" s="3"/>
    </row>
    <row r="1142" spans="1:8" x14ac:dyDescent="0.3">
      <c r="A1142" s="2">
        <v>5020290</v>
      </c>
      <c r="B1142" s="2">
        <v>34</v>
      </c>
      <c r="C1142" s="2" t="s">
        <v>5</v>
      </c>
      <c r="D1142" s="2">
        <v>100</v>
      </c>
      <c r="E1142" s="2"/>
      <c r="F1142" s="4" t="str">
        <f>HYPERLINK("./Results/DLO\20180401_1.2.840.113619.2.94.485650834948.2.8782833.18992868.1_3_512_512_\Osteo_Sarco_1.png","RPT")</f>
        <v>RPT</v>
      </c>
      <c r="G1142" s="3">
        <v>194</v>
      </c>
      <c r="H1142" s="3"/>
    </row>
    <row r="1143" spans="1:8" x14ac:dyDescent="0.3">
      <c r="A1143" s="2">
        <v>5020290</v>
      </c>
      <c r="B1143" s="2">
        <v>34</v>
      </c>
      <c r="C1143" s="2" t="s">
        <v>5</v>
      </c>
      <c r="D1143" s="2">
        <v>100</v>
      </c>
      <c r="E1143" s="2"/>
      <c r="F1143" s="4" t="str">
        <f>HYPERLINK("./Results/DLO\20180401_1.3.12.2.1107.5.1.4.54310.30000018042223285812500046898_2_512_512_\Osteo_Sarco_1.png","RPT")</f>
        <v>RPT</v>
      </c>
      <c r="G1143" s="3">
        <v>194</v>
      </c>
      <c r="H1143" s="3"/>
    </row>
    <row r="1144" spans="1:8" x14ac:dyDescent="0.3">
      <c r="A1144" s="2">
        <v>5020379</v>
      </c>
      <c r="B1144" s="2">
        <v>42</v>
      </c>
      <c r="C1144" s="2" t="s">
        <v>5</v>
      </c>
      <c r="D1144" s="2">
        <v>100</v>
      </c>
      <c r="E1144" s="2"/>
      <c r="F1144" s="4" t="str">
        <f>HYPERLINK("./Results/DLO\20180101_1.3.12.2.1107.5.1.4.65253.30000018011219540099800007793_2_512_512_\Osteo_Sarco_1.png","RPT")</f>
        <v>RPT</v>
      </c>
      <c r="G1144" s="3">
        <v>167</v>
      </c>
      <c r="H1144" s="3"/>
    </row>
    <row r="1145" spans="1:8" x14ac:dyDescent="0.3">
      <c r="A1145" s="2">
        <v>5020404</v>
      </c>
      <c r="B1145" s="2">
        <v>49</v>
      </c>
      <c r="C1145" s="2" t="s">
        <v>5</v>
      </c>
      <c r="D1145" s="2">
        <v>100</v>
      </c>
      <c r="E1145" s="2"/>
      <c r="F1145" s="4" t="str">
        <f>HYPERLINK("./Results/DLO\20180601_1.3.46.670589.33.1.63663964040469056700001.5385973552367785818_201_512_512_\Osteo_Sarco_1.png","RPT")</f>
        <v>RPT</v>
      </c>
      <c r="G1145" s="3">
        <v>218</v>
      </c>
      <c r="H1145" s="3"/>
    </row>
    <row r="1146" spans="1:8" x14ac:dyDescent="0.3">
      <c r="A1146" s="2">
        <v>5020621</v>
      </c>
      <c r="B1146" s="2">
        <v>58</v>
      </c>
      <c r="C1146" s="2" t="s">
        <v>6</v>
      </c>
      <c r="D1146" s="2">
        <v>100</v>
      </c>
      <c r="E1146" s="2"/>
      <c r="F1146" s="4" t="str">
        <f>HYPERLINK("./Results/DLO\20180401_1.3.12.2.1107.5.1.4.54310.30000018042623035920300035018_2_512_512_\Osteo_Sarco_1.png","RPT")</f>
        <v>RPT</v>
      </c>
      <c r="G1146" s="3">
        <v>110</v>
      </c>
      <c r="H1146" s="3"/>
    </row>
    <row r="1147" spans="1:8" x14ac:dyDescent="0.3">
      <c r="A1147" s="2">
        <v>5020837</v>
      </c>
      <c r="B1147" s="2">
        <v>66</v>
      </c>
      <c r="C1147" s="2" t="s">
        <v>5</v>
      </c>
      <c r="D1147" s="2">
        <v>100</v>
      </c>
      <c r="E1147" s="2"/>
      <c r="F1147" s="4" t="str">
        <f>HYPERLINK("./Results/DLO\20190901_1.3.12.2.1107.5.1.4.54310.30000019091521212910900015936_2_512_512_\Osteo_Sarco_1.png","RPT")</f>
        <v>RPT</v>
      </c>
      <c r="G1147" s="3">
        <v>138</v>
      </c>
      <c r="H1147" s="3"/>
    </row>
    <row r="1148" spans="1:8" x14ac:dyDescent="0.3">
      <c r="A1148" s="2">
        <v>5020837</v>
      </c>
      <c r="B1148" s="2">
        <v>66</v>
      </c>
      <c r="C1148" s="2" t="s">
        <v>5</v>
      </c>
      <c r="D1148" s="2">
        <v>100</v>
      </c>
      <c r="E1148" s="2"/>
      <c r="F1148" s="4" t="str">
        <f>HYPERLINK("./Results/DLO\20190901_1.3.12.2.1107.5.1.4.54310.30000019091521212910900016954_8_512_512_\Osteo_Sarco_1.png","RPT")</f>
        <v>RPT</v>
      </c>
      <c r="G1148" s="3">
        <v>138</v>
      </c>
      <c r="H1148" s="3"/>
    </row>
    <row r="1149" spans="1:8" x14ac:dyDescent="0.3">
      <c r="A1149" s="2">
        <v>5020931</v>
      </c>
      <c r="B1149" s="2">
        <v>57</v>
      </c>
      <c r="C1149" s="2" t="s">
        <v>6</v>
      </c>
      <c r="D1149" s="2">
        <v>100</v>
      </c>
      <c r="E1149" s="2"/>
      <c r="F1149" s="4" t="str">
        <f>HYPERLINK("./Results/DLO\20181101_1.2.840.113619.2.416.211499439491267007709180581376486837092_304_512_512_\Osteo_Sarco_1.png","RPT")</f>
        <v>RPT</v>
      </c>
      <c r="G1149" s="3">
        <v>135</v>
      </c>
      <c r="H1149" s="3"/>
    </row>
    <row r="1150" spans="1:8" x14ac:dyDescent="0.3">
      <c r="A1150" s="2">
        <v>5021059</v>
      </c>
      <c r="B1150" s="2">
        <v>57</v>
      </c>
      <c r="C1150" s="2" t="s">
        <v>6</v>
      </c>
      <c r="D1150" s="2">
        <v>120</v>
      </c>
      <c r="E1150" s="2"/>
      <c r="F1150" s="4" t="str">
        <f>HYPERLINK("./Results/DLO\20180601_1.2.840.113619.2.416.99303790785291712061338895090266410580_2_512_512_\Osteo_Sarco_1.png","RPT")</f>
        <v>RPT</v>
      </c>
      <c r="G1150" s="3">
        <v>118</v>
      </c>
      <c r="H1150" s="3"/>
    </row>
    <row r="1151" spans="1:8" x14ac:dyDescent="0.3">
      <c r="A1151" s="2">
        <v>5021059</v>
      </c>
      <c r="B1151" s="2">
        <v>57</v>
      </c>
      <c r="C1151" s="2" t="s">
        <v>6</v>
      </c>
      <c r="D1151" s="2">
        <v>140</v>
      </c>
      <c r="E1151" s="2"/>
      <c r="F1151" s="4" t="str">
        <f>HYPERLINK("./Results/DLO\20180601_1.2.840.113619.2.416.237523546396769484736242309868322218322_302_512_512_\Osteo_Sarco_1.png","RPT")</f>
        <v>RPT</v>
      </c>
      <c r="G1151" s="3">
        <v>115</v>
      </c>
      <c r="H1151" s="3"/>
    </row>
    <row r="1152" spans="1:8" x14ac:dyDescent="0.3">
      <c r="A1152" s="2">
        <v>5021061</v>
      </c>
      <c r="B1152" s="2">
        <v>71</v>
      </c>
      <c r="C1152" s="2" t="s">
        <v>6</v>
      </c>
      <c r="D1152" s="2">
        <v>100</v>
      </c>
      <c r="E1152" s="2"/>
      <c r="F1152" s="4" t="str">
        <f>HYPERLINK("./Results/DLO\20191201_1.3.12.2.1107.5.1.4.54310.30000019120222244193700047949_9_512_512_\Osteo_Sarco_1.png","RPT")</f>
        <v>RPT</v>
      </c>
      <c r="G1152" s="3">
        <v>105</v>
      </c>
      <c r="H1152" s="3"/>
    </row>
    <row r="1153" spans="1:8" x14ac:dyDescent="0.3">
      <c r="A1153" s="2">
        <v>5021061</v>
      </c>
      <c r="B1153" s="2">
        <v>71</v>
      </c>
      <c r="C1153" s="2" t="s">
        <v>6</v>
      </c>
      <c r="D1153" s="2">
        <v>100</v>
      </c>
      <c r="E1153" s="2"/>
      <c r="F1153" s="4" t="str">
        <f>HYPERLINK("./Results/DLO\20191201_1.3.12.2.1107.5.1.4.54310.30000019120222244193700047342_5_512_512_\Osteo_Sarco_1.png","RPT")</f>
        <v>RPT</v>
      </c>
      <c r="G1153" s="3">
        <v>104</v>
      </c>
      <c r="H1153" s="3"/>
    </row>
    <row r="1154" spans="1:8" x14ac:dyDescent="0.3">
      <c r="A1154" s="2">
        <v>5021061</v>
      </c>
      <c r="B1154" s="2">
        <v>71</v>
      </c>
      <c r="C1154" s="2" t="s">
        <v>6</v>
      </c>
      <c r="D1154" s="2">
        <v>100</v>
      </c>
      <c r="E1154" s="2"/>
      <c r="F1154" s="4" t="str">
        <f>HYPERLINK("./Results/DLO\20191201_1.3.12.2.1107.5.1.4.54310.30000019120222244193700047276_3_512_512_\Osteo_Sarco_1.png","RPT")</f>
        <v>RPT</v>
      </c>
      <c r="G1154" s="3">
        <v>103</v>
      </c>
      <c r="H1154" s="3"/>
    </row>
    <row r="1155" spans="1:8" x14ac:dyDescent="0.3">
      <c r="A1155" s="2">
        <v>5021061</v>
      </c>
      <c r="B1155" s="2">
        <v>71</v>
      </c>
      <c r="C1155" s="2" t="s">
        <v>6</v>
      </c>
      <c r="D1155" s="2">
        <v>100</v>
      </c>
      <c r="E1155" s="2"/>
      <c r="F1155" s="4" t="str">
        <f>HYPERLINK("./Results/DLO\20191201_1.3.12.2.1107.5.1.4.54310.30000019120222244193700047603_7_512_512_\Osteo_Sarco_1.png","RPT")</f>
        <v>RPT</v>
      </c>
      <c r="G1155" s="3">
        <v>4</v>
      </c>
      <c r="H1155" s="3"/>
    </row>
    <row r="1156" spans="1:8" x14ac:dyDescent="0.3">
      <c r="A1156" s="2">
        <v>5021356</v>
      </c>
      <c r="B1156" s="2">
        <v>76</v>
      </c>
      <c r="C1156" s="2" t="s">
        <v>5</v>
      </c>
      <c r="D1156" s="2">
        <v>100</v>
      </c>
      <c r="E1156" s="2"/>
      <c r="F1156" s="4" t="str">
        <f>HYPERLINK("./Results/DLO\20181201_1.3.12.2.1107.5.1.4.54310.30000018121223170937500000984_2_512_512_\Osteo_Sarco_1.png","RPT")</f>
        <v>RPT</v>
      </c>
      <c r="G1156" s="3">
        <v>123</v>
      </c>
      <c r="H1156" s="3"/>
    </row>
    <row r="1157" spans="1:8" x14ac:dyDescent="0.3">
      <c r="A1157" s="2">
        <v>5021394</v>
      </c>
      <c r="B1157" s="2">
        <v>43</v>
      </c>
      <c r="C1157" s="2" t="s">
        <v>6</v>
      </c>
      <c r="D1157" s="2">
        <v>100</v>
      </c>
      <c r="E1157" s="2"/>
      <c r="F1157" s="4" t="str">
        <f>HYPERLINK("./Results/DLO\20191001_1.3.12.2.1107.5.1.4.65253.30000019100321095746700063713_2_512_512_\Osteo_Sarco_1.png","RPT")</f>
        <v>RPT</v>
      </c>
      <c r="G1157" s="3">
        <v>31</v>
      </c>
      <c r="H1157" s="3"/>
    </row>
    <row r="1158" spans="1:8" x14ac:dyDescent="0.3">
      <c r="A1158" s="2">
        <v>5021409</v>
      </c>
      <c r="B1158" s="2">
        <v>80</v>
      </c>
      <c r="C1158" s="2" t="s">
        <v>5</v>
      </c>
      <c r="D1158" s="2">
        <v>120</v>
      </c>
      <c r="E1158" s="2"/>
      <c r="F1158" s="4" t="str">
        <f>HYPERLINK("./Results/DLO\20200501_1.2.840.113619.2.416.310743933050753485406707486072337999280_302_512_512_\Osteo_Sarco_1.png","RPT")</f>
        <v>RPT</v>
      </c>
      <c r="G1158" s="3">
        <v>138</v>
      </c>
      <c r="H1158" s="3"/>
    </row>
    <row r="1159" spans="1:8" x14ac:dyDescent="0.3">
      <c r="A1159" s="2">
        <v>5021409</v>
      </c>
      <c r="B1159" s="2">
        <v>80</v>
      </c>
      <c r="C1159" s="2" t="s">
        <v>5</v>
      </c>
      <c r="D1159" s="2">
        <v>140</v>
      </c>
      <c r="E1159" s="2"/>
      <c r="F1159" s="4" t="str">
        <f>HYPERLINK("./Results/DLO\20200501_1.2.410.200069.10820110185.1012000.20250920172854034965_93091_512_512_\Osteo_Sarco_1.png","RPT")</f>
        <v>RPT</v>
      </c>
      <c r="G1159" s="3">
        <v>123</v>
      </c>
      <c r="H1159" s="3"/>
    </row>
    <row r="1160" spans="1:8" x14ac:dyDescent="0.3">
      <c r="A1160" s="2">
        <v>5021409</v>
      </c>
      <c r="B1160" s="2">
        <v>80</v>
      </c>
      <c r="C1160" s="2" t="s">
        <v>5</v>
      </c>
      <c r="D1160" s="2">
        <v>140</v>
      </c>
      <c r="E1160" s="2"/>
      <c r="F1160" s="4" t="str">
        <f>HYPERLINK("./Results/DLO\20200501_1.2.840.113619.2.416.274877387781892868846239204863226627532_309_512_512_\Osteo_Sarco_1.png","RPT")</f>
        <v>RPT</v>
      </c>
      <c r="G1160" s="3">
        <v>123</v>
      </c>
      <c r="H1160" s="3"/>
    </row>
    <row r="1161" spans="1:8" x14ac:dyDescent="0.3">
      <c r="A1161" s="2">
        <v>5021514</v>
      </c>
      <c r="B1161" s="2">
        <v>75</v>
      </c>
      <c r="C1161" s="2" t="s">
        <v>5</v>
      </c>
      <c r="D1161" s="2">
        <v>100</v>
      </c>
      <c r="E1161" s="2"/>
      <c r="F1161" s="4" t="str">
        <f>HYPERLINK("./Results/DLO\20180301_1.2.840.113619.2.94.485650834948.2.8710301.18811290.1_2_512_512_\Osteo_Sarco_1.png","RPT")</f>
        <v>RPT</v>
      </c>
      <c r="G1161" s="3">
        <v>154</v>
      </c>
      <c r="H1161" s="3"/>
    </row>
    <row r="1162" spans="1:8" x14ac:dyDescent="0.3">
      <c r="A1162" s="2">
        <v>5021522</v>
      </c>
      <c r="B1162" s="2">
        <v>29</v>
      </c>
      <c r="C1162" s="2" t="s">
        <v>5</v>
      </c>
      <c r="D1162" s="2">
        <v>100</v>
      </c>
      <c r="E1162" s="2"/>
      <c r="F1162" s="4" t="str">
        <f>HYPERLINK("./Results/DLO\20180801_1.3.12.2.1107.5.1.4.65253.30000018081918425213000039530_3_512_512_\Osteo_Sarco_1.png","RPT")</f>
        <v>RPT</v>
      </c>
      <c r="G1162" s="3">
        <v>0</v>
      </c>
      <c r="H1162" s="3"/>
    </row>
    <row r="1163" spans="1:8" x14ac:dyDescent="0.3">
      <c r="A1163" s="2">
        <v>5021777</v>
      </c>
      <c r="B1163" s="2">
        <v>82</v>
      </c>
      <c r="C1163" s="2" t="s">
        <v>5</v>
      </c>
      <c r="D1163" s="2">
        <v>100</v>
      </c>
      <c r="E1163" s="2"/>
      <c r="F1163" s="4" t="str">
        <f>HYPERLINK("./Results/DLO\20190501_1.3.12.2.1107.5.1.4.54310.30000019050821334617100001280_2_512_512_\Osteo_Sarco_1.png","RPT")</f>
        <v>RPT</v>
      </c>
      <c r="G1163" s="3">
        <v>123</v>
      </c>
      <c r="H1163" s="3"/>
    </row>
    <row r="1164" spans="1:8" x14ac:dyDescent="0.3">
      <c r="A1164" s="2">
        <v>5021943</v>
      </c>
      <c r="B1164" s="2">
        <v>47</v>
      </c>
      <c r="C1164" s="2" t="s">
        <v>6</v>
      </c>
      <c r="D1164" s="2">
        <v>100</v>
      </c>
      <c r="E1164" s="2"/>
      <c r="F1164" s="4" t="str">
        <f>HYPERLINK("./Results/DLO\20190101_1.2.840.113619.2.311.138749350682931649135617009852595967613_304_512_512_\Osteo_Sarco_1.png","RPT")</f>
        <v>RPT</v>
      </c>
      <c r="G1164" s="3">
        <v>94</v>
      </c>
      <c r="H1164" s="3"/>
    </row>
    <row r="1165" spans="1:8" x14ac:dyDescent="0.3">
      <c r="A1165" s="2">
        <v>5022194</v>
      </c>
      <c r="B1165" s="2">
        <v>72</v>
      </c>
      <c r="C1165" s="2" t="s">
        <v>6</v>
      </c>
      <c r="D1165" s="2">
        <v>100</v>
      </c>
      <c r="E1165" s="2"/>
      <c r="F1165" s="4" t="str">
        <f>HYPERLINK("./Results/DLO\20190801_1.3.46.670589.33.1.63700773959423045400001.4755149272344593140_201_512_512_\Osteo_Sarco_1.png","RPT")</f>
        <v>RPT</v>
      </c>
      <c r="G1165" s="3">
        <v>120</v>
      </c>
      <c r="H1165" s="3"/>
    </row>
    <row r="1166" spans="1:8" x14ac:dyDescent="0.3">
      <c r="A1166" s="2">
        <v>5022246</v>
      </c>
      <c r="B1166" s="2">
        <v>43</v>
      </c>
      <c r="C1166" s="2" t="s">
        <v>6</v>
      </c>
      <c r="D1166" s="2">
        <v>100</v>
      </c>
      <c r="E1166" s="2"/>
      <c r="F1166" s="4" t="str">
        <f>HYPERLINK("./Results/DLO\20181001_1.2.840.113619.2.416.250295535513106221195250628267890552252_304_512_512_\Osteo_Sarco_1.png","RPT")</f>
        <v>RPT</v>
      </c>
      <c r="G1166" s="3">
        <v>113</v>
      </c>
      <c r="H1166" s="3"/>
    </row>
    <row r="1167" spans="1:8" x14ac:dyDescent="0.3">
      <c r="A1167" s="2">
        <v>5022247</v>
      </c>
      <c r="B1167" s="2">
        <v>39</v>
      </c>
      <c r="C1167" s="2" t="s">
        <v>6</v>
      </c>
      <c r="D1167" s="2">
        <v>100</v>
      </c>
      <c r="E1167" s="2"/>
      <c r="F1167" s="4" t="str">
        <f>HYPERLINK("./Results/DLO\20180301_1.3.12.2.1107.5.1.4.54310.30000018031323122990600006465_2_512_512_\Osteo_Sarco_1.png","RPT")</f>
        <v>RPT</v>
      </c>
      <c r="G1167" s="3">
        <v>104</v>
      </c>
      <c r="H1167" s="3"/>
    </row>
    <row r="1168" spans="1:8" x14ac:dyDescent="0.3">
      <c r="A1168" s="2">
        <v>5022316</v>
      </c>
      <c r="B1168" s="2">
        <v>43</v>
      </c>
      <c r="C1168" s="2" t="s">
        <v>6</v>
      </c>
      <c r="D1168" s="2">
        <v>100</v>
      </c>
      <c r="E1168" s="2"/>
      <c r="F1168" s="4" t="str">
        <f>HYPERLINK("./Results/DLO\20180701_1.2.840.113619.2.94.485650834948.2.8974439.19461135.1_2_512_512_\Osteo_Sarco_1.png","RPT")</f>
        <v>RPT</v>
      </c>
      <c r="G1168" s="3">
        <v>96</v>
      </c>
      <c r="H1168" s="3"/>
    </row>
    <row r="1169" spans="1:8" x14ac:dyDescent="0.3">
      <c r="A1169" s="2">
        <v>5022329</v>
      </c>
      <c r="B1169" s="2">
        <v>73</v>
      </c>
      <c r="C1169" s="2" t="s">
        <v>5</v>
      </c>
      <c r="D1169" s="2">
        <v>100</v>
      </c>
      <c r="E1169" s="2"/>
      <c r="F1169" s="4" t="str">
        <f>HYPERLINK("./Results/DLO\20180501_1.3.12.2.1107.5.1.4.54310.30000018051023125081200008082_4_512_512_\Osteo_Sarco_1.png","RPT")</f>
        <v>RPT</v>
      </c>
      <c r="G1169" s="3">
        <v>174</v>
      </c>
      <c r="H1169" s="3"/>
    </row>
    <row r="1170" spans="1:8" x14ac:dyDescent="0.3">
      <c r="A1170" s="2">
        <v>5022329</v>
      </c>
      <c r="B1170" s="2">
        <v>73</v>
      </c>
      <c r="C1170" s="2" t="s">
        <v>5</v>
      </c>
      <c r="D1170" s="2">
        <v>100</v>
      </c>
      <c r="E1170" s="2"/>
      <c r="F1170" s="4" t="str">
        <f>HYPERLINK("./Results/DLO\20180501_1.3.12.2.1107.5.1.4.54310.30000018051023125081200010214_6_512_512_\Osteo_Sarco_1.png","RPT")</f>
        <v>RPT</v>
      </c>
      <c r="G1170" s="3">
        <v>174</v>
      </c>
      <c r="H1170" s="3"/>
    </row>
    <row r="1171" spans="1:8" x14ac:dyDescent="0.3">
      <c r="A1171" s="2">
        <v>5022329</v>
      </c>
      <c r="B1171" s="2">
        <v>73</v>
      </c>
      <c r="C1171" s="2" t="s">
        <v>5</v>
      </c>
      <c r="D1171" s="2">
        <v>100</v>
      </c>
      <c r="E1171" s="2"/>
      <c r="F1171" s="4" t="str">
        <f>HYPERLINK("./Results/DLO\20180501_1.2.410.200069.80820110082.1130114.20250420110621079468_7413_512_512_\Osteo_Sarco_1.png","RPT")</f>
        <v>RPT</v>
      </c>
      <c r="G1171" s="3">
        <v>173</v>
      </c>
      <c r="H1171" s="3"/>
    </row>
    <row r="1172" spans="1:8" x14ac:dyDescent="0.3">
      <c r="A1172" s="2">
        <v>5022467</v>
      </c>
      <c r="B1172" s="2">
        <v>76</v>
      </c>
      <c r="C1172" s="2" t="s">
        <v>5</v>
      </c>
      <c r="D1172" s="2">
        <v>100</v>
      </c>
      <c r="E1172" s="2"/>
      <c r="F1172" s="4" t="str">
        <f>HYPERLINK("./Results/DLO\20190601_1.3.12.2.1107.5.1.4.54310.30000019061022370023400050777_6_512_512_\Osteo_Sarco_1.png","RPT")</f>
        <v>RPT</v>
      </c>
      <c r="G1172" s="3">
        <v>108</v>
      </c>
      <c r="H1172" s="3"/>
    </row>
    <row r="1173" spans="1:8" x14ac:dyDescent="0.3">
      <c r="A1173" s="2">
        <v>5022511</v>
      </c>
      <c r="B1173" s="2">
        <v>65</v>
      </c>
      <c r="C1173" s="2" t="s">
        <v>6</v>
      </c>
      <c r="D1173" s="2">
        <v>100</v>
      </c>
      <c r="E1173" s="2"/>
      <c r="F1173" s="4" t="str">
        <f>HYPERLINK("./Results/DLO\20180501_1.2.840.113619.2.311.271113021956068627703543587579902210870_304_512_512_\Osteo_Sarco_1.png","RPT")</f>
        <v>RPT</v>
      </c>
      <c r="G1173" s="3">
        <v>104</v>
      </c>
      <c r="H1173" s="3"/>
    </row>
    <row r="1174" spans="1:8" x14ac:dyDescent="0.3">
      <c r="A1174" s="2">
        <v>5022688</v>
      </c>
      <c r="B1174" s="2">
        <v>73</v>
      </c>
      <c r="C1174" s="2" t="s">
        <v>5</v>
      </c>
      <c r="D1174" s="2">
        <v>100</v>
      </c>
      <c r="E1174" s="2"/>
      <c r="F1174" s="4" t="str">
        <f>HYPERLINK("./Results/DLO\20180801_1.2.840.113619.2.311.38554280483013388122658541833592983706_304_512_512_\Osteo_Sarco_1.png","RPT")</f>
        <v>RPT</v>
      </c>
      <c r="G1174" s="3">
        <v>141</v>
      </c>
      <c r="H1174" s="3"/>
    </row>
    <row r="1175" spans="1:8" x14ac:dyDescent="0.3">
      <c r="A1175" s="2">
        <v>5022729</v>
      </c>
      <c r="B1175" s="2">
        <v>52</v>
      </c>
      <c r="C1175" s="2" t="s">
        <v>5</v>
      </c>
      <c r="D1175" s="2">
        <v>100</v>
      </c>
      <c r="E1175" s="2"/>
      <c r="F1175" s="4" t="str">
        <f>HYPERLINK("./Results/DLO\20180401_1.3.12.2.1107.5.1.4.65253.30000018042420550416800019201_2_512_512_\Osteo_Sarco_1.png","RPT")</f>
        <v>RPT</v>
      </c>
      <c r="G1175" s="3">
        <v>203</v>
      </c>
      <c r="H1175" s="3"/>
    </row>
    <row r="1176" spans="1:8" x14ac:dyDescent="0.3">
      <c r="A1176" s="2">
        <v>5022756</v>
      </c>
      <c r="B1176" s="2">
        <v>78</v>
      </c>
      <c r="C1176" s="2" t="s">
        <v>5</v>
      </c>
      <c r="D1176" s="2">
        <v>100</v>
      </c>
      <c r="E1176" s="2"/>
      <c r="F1176" s="4" t="str">
        <f>HYPERLINK("./Results/DLO\20180901_1.3.12.2.1107.5.1.4.54310.30000018090323110353100005471_2_512_512_\Osteo_Sarco_1.png","RPT")</f>
        <v>RPT</v>
      </c>
      <c r="G1176" s="3">
        <v>142</v>
      </c>
      <c r="H1176" s="3"/>
    </row>
    <row r="1177" spans="1:8" x14ac:dyDescent="0.3">
      <c r="A1177" s="2">
        <v>5022767</v>
      </c>
      <c r="B1177" s="2">
        <v>52</v>
      </c>
      <c r="C1177" s="2" t="s">
        <v>6</v>
      </c>
      <c r="D1177" s="2">
        <v>100</v>
      </c>
      <c r="E1177" s="2"/>
      <c r="F1177" s="4" t="str">
        <f>HYPERLINK("./Results/DLO\20190101_1.2.840.113619.2.416.121423501463331843407639050235051452237_304_512_512_\Osteo_Sarco_1.png","RPT")</f>
        <v>RPT</v>
      </c>
      <c r="G1177" s="3">
        <v>128</v>
      </c>
      <c r="H1177" s="3"/>
    </row>
    <row r="1178" spans="1:8" x14ac:dyDescent="0.3">
      <c r="A1178" s="2">
        <v>5022785</v>
      </c>
      <c r="B1178" s="2">
        <v>47</v>
      </c>
      <c r="C1178" s="2" t="s">
        <v>6</v>
      </c>
      <c r="D1178" s="2">
        <v>100</v>
      </c>
      <c r="E1178" s="2"/>
      <c r="F1178" s="4" t="str">
        <f>HYPERLINK("./Results/DLO\20181001_1.2.840.113619.2.94.485650834948.2.9120960.19820160.1_2_512_512_\Osteo_Sarco_1.png","RPT")</f>
        <v>RPT</v>
      </c>
      <c r="G1178" s="3">
        <v>94</v>
      </c>
      <c r="H1178" s="3"/>
    </row>
    <row r="1179" spans="1:8" x14ac:dyDescent="0.3">
      <c r="A1179" s="2">
        <v>5022827</v>
      </c>
      <c r="B1179" s="2">
        <v>73</v>
      </c>
      <c r="C1179" s="2" t="s">
        <v>5</v>
      </c>
      <c r="D1179" s="2">
        <v>100</v>
      </c>
      <c r="E1179" s="2"/>
      <c r="F1179" s="4" t="str">
        <f>HYPERLINK("./Results/DLO\20180101_1.2.840.113619.2.416.157467580491403427102337892340158777830_302_512_512_\Osteo_Sarco_1.png","RPT")</f>
        <v>RPT</v>
      </c>
      <c r="G1179" s="3">
        <v>130</v>
      </c>
      <c r="H1179" s="3"/>
    </row>
    <row r="1180" spans="1:8" x14ac:dyDescent="0.3">
      <c r="A1180" s="2">
        <v>5022827</v>
      </c>
      <c r="B1180" s="2">
        <v>73</v>
      </c>
      <c r="C1180" s="2" t="s">
        <v>5</v>
      </c>
      <c r="D1180" s="2">
        <v>100</v>
      </c>
      <c r="E1180" s="2"/>
      <c r="F1180" s="4" t="str">
        <f>HYPERLINK("./Results/DLO\20180101_1.2.840.113619.2.416.35355343125517784056837273848684812836_305_512_512_\Osteo_Sarco_1.png","RPT")</f>
        <v>RPT</v>
      </c>
      <c r="G1180" s="3">
        <v>123</v>
      </c>
      <c r="H1180" s="3"/>
    </row>
    <row r="1181" spans="1:8" x14ac:dyDescent="0.3">
      <c r="A1181" s="2">
        <v>5022827</v>
      </c>
      <c r="B1181" s="2">
        <v>73</v>
      </c>
      <c r="C1181" s="2" t="s">
        <v>5</v>
      </c>
      <c r="D1181" s="2">
        <v>100</v>
      </c>
      <c r="E1181" s="2"/>
      <c r="F1181" s="4" t="str">
        <f>HYPERLINK("./Results/DLO\20180101_1.2.840.113619.2.416.141693915725622232674221928128895133768_301_512_512_\Osteo_Sarco_1.png","RPT")</f>
        <v>RPT</v>
      </c>
      <c r="G1181" s="3">
        <v>120</v>
      </c>
      <c r="H1181" s="3"/>
    </row>
    <row r="1182" spans="1:8" x14ac:dyDescent="0.3">
      <c r="A1182" s="2">
        <v>5022935</v>
      </c>
      <c r="B1182" s="2">
        <v>54</v>
      </c>
      <c r="C1182" s="2" t="s">
        <v>6</v>
      </c>
      <c r="D1182" s="2">
        <v>100</v>
      </c>
      <c r="E1182" s="2"/>
      <c r="F1182" s="4" t="str">
        <f>HYPERLINK("./Results/DLO\20191201_1.2.840.113619.2.416.311521595830104165190266916593628799023_310_512_512_\Osteo_Sarco_1.png","RPT")</f>
        <v>RPT</v>
      </c>
      <c r="G1182" s="3">
        <v>100</v>
      </c>
      <c r="H1182" s="3"/>
    </row>
    <row r="1183" spans="1:8" x14ac:dyDescent="0.3">
      <c r="A1183" s="2">
        <v>5023110</v>
      </c>
      <c r="B1183" s="2">
        <v>62</v>
      </c>
      <c r="C1183" s="2" t="s">
        <v>6</v>
      </c>
      <c r="D1183" s="2">
        <v>100</v>
      </c>
      <c r="E1183" s="2"/>
      <c r="F1183" s="4" t="str">
        <f>HYPERLINK("./Results/DLO\20180401_1.2.840.113619.2.311.57463088585648069160740303072040725528_303_512_512_\Osteo_Sarco_1.png","RPT")</f>
        <v>RPT</v>
      </c>
      <c r="G1183" s="3">
        <v>116</v>
      </c>
      <c r="H1183" s="3"/>
    </row>
    <row r="1184" spans="1:8" x14ac:dyDescent="0.3">
      <c r="A1184" s="2">
        <v>5023116</v>
      </c>
      <c r="B1184" s="2">
        <v>77</v>
      </c>
      <c r="C1184" s="2" t="s">
        <v>5</v>
      </c>
      <c r="D1184" s="2">
        <v>100</v>
      </c>
      <c r="E1184" s="2"/>
      <c r="F1184" s="4" t="str">
        <f>HYPERLINK("./Results/DLO\20181201_1.2.840.113619.2.94.485650834948.2.9264133.20175534.1_3_512_512_\Osteo_Sarco_1.png","RPT")</f>
        <v>RPT</v>
      </c>
      <c r="G1184" s="3">
        <v>150</v>
      </c>
      <c r="H1184" s="3"/>
    </row>
    <row r="1185" spans="1:8" x14ac:dyDescent="0.3">
      <c r="A1185" s="2">
        <v>5023116</v>
      </c>
      <c r="B1185" s="2">
        <v>77</v>
      </c>
      <c r="C1185" s="2" t="s">
        <v>5</v>
      </c>
      <c r="D1185" s="2">
        <v>100</v>
      </c>
      <c r="E1185" s="2"/>
      <c r="F1185" s="4" t="str">
        <f>HYPERLINK("./Results/DLO\20181201_1.3.12.2.1107.5.1.4.54310.30000018121023224425000040326_2_512_512_\Osteo_Sarco_1.png","RPT")</f>
        <v>RPT</v>
      </c>
      <c r="G1185" s="3">
        <v>147</v>
      </c>
      <c r="H1185" s="3"/>
    </row>
    <row r="1186" spans="1:8" x14ac:dyDescent="0.3">
      <c r="A1186" s="2">
        <v>5023209</v>
      </c>
      <c r="B1186" s="2">
        <v>80</v>
      </c>
      <c r="C1186" s="2" t="s">
        <v>6</v>
      </c>
      <c r="D1186" s="2">
        <v>100</v>
      </c>
      <c r="E1186" s="2"/>
      <c r="F1186" s="4" t="str">
        <f>HYPERLINK("./Results/DLO\20190601_1.3.12.2.1107.5.1.4.54310.30000019062322103253100048119_2_512_512_\Osteo_Sarco_1.png","RPT")</f>
        <v>RPT</v>
      </c>
      <c r="G1186" s="3">
        <v>73</v>
      </c>
      <c r="H1186" s="3"/>
    </row>
    <row r="1187" spans="1:8" x14ac:dyDescent="0.3">
      <c r="A1187" s="2">
        <v>5023314</v>
      </c>
      <c r="B1187" s="2">
        <v>57</v>
      </c>
      <c r="C1187" s="2" t="s">
        <v>6</v>
      </c>
      <c r="D1187" s="2">
        <v>100</v>
      </c>
      <c r="E1187" s="2"/>
      <c r="F1187" s="4" t="str">
        <f>HYPERLINK("./Results/DLO\20180301_1.2.840.113619.2.94.485650834948.2.8734066.18869954.1_2_512_512_\Osteo_Sarco_1.png","RPT")</f>
        <v>RPT</v>
      </c>
      <c r="G1187" s="3">
        <v>111</v>
      </c>
      <c r="H1187" s="3"/>
    </row>
    <row r="1188" spans="1:8" x14ac:dyDescent="0.3">
      <c r="A1188" s="2">
        <v>5023331</v>
      </c>
      <c r="B1188" s="2">
        <v>44</v>
      </c>
      <c r="C1188" s="2" t="s">
        <v>5</v>
      </c>
      <c r="D1188" s="2">
        <v>100</v>
      </c>
      <c r="E1188" s="2"/>
      <c r="F1188" s="4" t="str">
        <f>HYPERLINK("./Results/DLO\20190201_1.3.12.2.1107.5.1.4.65253.30000019021320240819400036489_3_512_512_\Osteo_Sarco_1.png","RPT")</f>
        <v>RPT</v>
      </c>
      <c r="G1188" s="3">
        <v>169</v>
      </c>
      <c r="H1188" s="3"/>
    </row>
    <row r="1189" spans="1:8" x14ac:dyDescent="0.3">
      <c r="A1189" s="2">
        <v>5023331</v>
      </c>
      <c r="B1189" s="2">
        <v>44</v>
      </c>
      <c r="C1189" s="2" t="s">
        <v>5</v>
      </c>
      <c r="D1189" s="2">
        <v>100</v>
      </c>
      <c r="E1189" s="2"/>
      <c r="F1189" s="4" t="str">
        <f>HYPERLINK("./Results/DLO\20190201_1.3.12.2.1107.5.1.4.65253.30000019021320240819400036292_2_512_512_\Osteo_Sarco_1.png","RPT")</f>
        <v>RPT</v>
      </c>
      <c r="G1189" s="3">
        <v>166</v>
      </c>
      <c r="H1189" s="3"/>
    </row>
    <row r="1190" spans="1:8" x14ac:dyDescent="0.3">
      <c r="A1190" s="2">
        <v>5023482</v>
      </c>
      <c r="B1190" s="2">
        <v>40</v>
      </c>
      <c r="C1190" s="2" t="s">
        <v>6</v>
      </c>
      <c r="D1190" s="2">
        <v>100</v>
      </c>
      <c r="E1190" s="2"/>
      <c r="F1190" s="4" t="str">
        <f>HYPERLINK("./Results/DLO\20181201_1.2.840.113619.2.94.485650834948.2.9255849.20155412.1_304_512_512_\Osteo_Sarco_1.png","RPT")</f>
        <v>RPT</v>
      </c>
      <c r="G1190" s="3">
        <v>93</v>
      </c>
      <c r="H1190" s="3"/>
    </row>
    <row r="1191" spans="1:8" x14ac:dyDescent="0.3">
      <c r="A1191" s="2">
        <v>5023526</v>
      </c>
      <c r="B1191" s="2">
        <v>61</v>
      </c>
      <c r="C1191" s="2" t="s">
        <v>5</v>
      </c>
      <c r="D1191" s="2">
        <v>100</v>
      </c>
      <c r="E1191" s="2"/>
      <c r="F1191" s="4" t="str">
        <f>HYPERLINK("./Results/DLO\20180201_1.2.840.113619.2.311.284361135597320667535134895009926008942_304_512_512_\Osteo_Sarco_1.png","RPT")</f>
        <v>RPT</v>
      </c>
      <c r="G1191" s="3">
        <v>147</v>
      </c>
      <c r="H1191" s="3"/>
    </row>
    <row r="1192" spans="1:8" x14ac:dyDescent="0.3">
      <c r="A1192" s="2">
        <v>5023901</v>
      </c>
      <c r="B1192" s="2">
        <v>42</v>
      </c>
      <c r="C1192" s="2" t="s">
        <v>6</v>
      </c>
      <c r="D1192" s="2">
        <v>100</v>
      </c>
      <c r="E1192" s="2"/>
      <c r="F1192" s="4" t="str">
        <f>HYPERLINK("./Results/DLO\20190201_1.3.12.2.1107.5.1.4.54310.30000019022423353610900003034_2_512_512_\Osteo_Sarco_1.png","RPT")</f>
        <v>RPT</v>
      </c>
      <c r="G1192" s="3">
        <v>85</v>
      </c>
      <c r="H1192" s="3"/>
    </row>
    <row r="1193" spans="1:8" x14ac:dyDescent="0.3">
      <c r="A1193" s="2">
        <v>5023910</v>
      </c>
      <c r="B1193" s="2">
        <v>59</v>
      </c>
      <c r="C1193" s="2" t="s">
        <v>5</v>
      </c>
      <c r="D1193" s="2">
        <v>100</v>
      </c>
      <c r="E1193" s="2"/>
      <c r="F1193" s="4" t="str">
        <f>HYPERLINK("./Results/DLO\20181201_1.3.46.670589.33.1.63680809166380914400001.5059061118865523852_201_512_512_\Osteo_Sarco_1.png","RPT")</f>
        <v>RPT</v>
      </c>
      <c r="G1193" s="3">
        <v>172</v>
      </c>
      <c r="H1193" s="3"/>
    </row>
    <row r="1194" spans="1:8" x14ac:dyDescent="0.3">
      <c r="A1194" s="2">
        <v>5024399</v>
      </c>
      <c r="B1194" s="2">
        <v>61</v>
      </c>
      <c r="C1194" s="2" t="s">
        <v>5</v>
      </c>
      <c r="D1194" s="2">
        <v>100</v>
      </c>
      <c r="E1194" s="2"/>
      <c r="F1194" s="4" t="str">
        <f>HYPERLINK("./Results/DLO\20180101_1.2.840.113619.2.94.485650834948.2.8603152.18551144.1_2_512_512_\Osteo_Sarco_1.png","RPT")</f>
        <v>RPT</v>
      </c>
      <c r="G1194" s="3">
        <v>145</v>
      </c>
      <c r="H1194" s="3"/>
    </row>
    <row r="1195" spans="1:8" x14ac:dyDescent="0.3">
      <c r="A1195" s="2">
        <v>5024581</v>
      </c>
      <c r="B1195" s="2">
        <v>63</v>
      </c>
      <c r="C1195" s="2" t="s">
        <v>6</v>
      </c>
      <c r="D1195" s="2">
        <v>120</v>
      </c>
      <c r="E1195" s="2"/>
      <c r="F1195" s="4" t="str">
        <f>HYPERLINK("./Results/DLO\20190301_1.3.46.670589.33.1.63688155955843232200001.5379778279010979092_601_512_512_\Osteo_Sarco_1.png","RPT")</f>
        <v>RPT</v>
      </c>
      <c r="G1195" s="3">
        <v>119</v>
      </c>
      <c r="H1195" s="3"/>
    </row>
    <row r="1196" spans="1:8" x14ac:dyDescent="0.3">
      <c r="A1196" s="2">
        <v>5024821</v>
      </c>
      <c r="B1196" s="2">
        <v>66</v>
      </c>
      <c r="C1196" s="2" t="s">
        <v>6</v>
      </c>
      <c r="D1196" s="2">
        <v>100</v>
      </c>
      <c r="E1196" s="2"/>
      <c r="F1196" s="4" t="str">
        <f>HYPERLINK("./Results/DLO\20181201_1.2.840.113619.2.416.165842334552648956713140646092288168656_304_512_512_\Osteo_Sarco_1.png","RPT")</f>
        <v>RPT</v>
      </c>
      <c r="G1196" s="3">
        <v>123</v>
      </c>
      <c r="H1196" s="3"/>
    </row>
    <row r="1197" spans="1:8" x14ac:dyDescent="0.3">
      <c r="A1197" s="2">
        <v>5024837</v>
      </c>
      <c r="B1197" s="2">
        <v>85</v>
      </c>
      <c r="C1197" s="2" t="s">
        <v>5</v>
      </c>
      <c r="D1197" s="2">
        <v>140</v>
      </c>
      <c r="E1197" s="2"/>
      <c r="F1197" s="4" t="str">
        <f>HYPERLINK("./Results/DLO\20200101_1.2.840.113619.2.416.2512010184390169910037933562023899890_302_512_512_\Osteo_Sarco_1.png","RPT")</f>
        <v>RPT</v>
      </c>
      <c r="G1197" s="3">
        <v>90</v>
      </c>
      <c r="H1197" s="3"/>
    </row>
    <row r="1198" spans="1:8" x14ac:dyDescent="0.3">
      <c r="A1198" s="2">
        <v>5024837</v>
      </c>
      <c r="B1198" s="2">
        <v>85</v>
      </c>
      <c r="C1198" s="2" t="s">
        <v>5</v>
      </c>
      <c r="D1198" s="2">
        <v>140</v>
      </c>
      <c r="E1198" s="2"/>
      <c r="F1198" s="4" t="str">
        <f>HYPERLINK("./Results/DLO\20200101_1.2.840.113619.2.416.329603319922428898276283767716093816198_303_512_512_\Osteo_Sarco_1.png","RPT")</f>
        <v>RPT</v>
      </c>
      <c r="G1198" s="3">
        <v>77</v>
      </c>
      <c r="H1198" s="3"/>
    </row>
    <row r="1199" spans="1:8" x14ac:dyDescent="0.3">
      <c r="A1199" s="2">
        <v>5024921</v>
      </c>
      <c r="B1199" s="2">
        <v>61</v>
      </c>
      <c r="C1199" s="2" t="s">
        <v>5</v>
      </c>
      <c r="D1199" s="2">
        <v>100</v>
      </c>
      <c r="E1199" s="2"/>
      <c r="F1199" s="4" t="str">
        <f>HYPERLINK("./Results/DLO\20190201_1.2.840.113619.2.416.173115557273546936261478558676010532583_301_512_512_\Osteo_Sarco_1.png","RPT")</f>
        <v>RPT</v>
      </c>
      <c r="G1199" s="3">
        <v>194</v>
      </c>
      <c r="H1199" s="3"/>
    </row>
    <row r="1200" spans="1:8" x14ac:dyDescent="0.3">
      <c r="A1200" s="2">
        <v>5024998</v>
      </c>
      <c r="B1200" s="2">
        <v>81</v>
      </c>
      <c r="C1200" s="2" t="s">
        <v>5</v>
      </c>
      <c r="D1200" s="2">
        <v>100</v>
      </c>
      <c r="E1200" s="2"/>
      <c r="F1200" s="4" t="str">
        <f>HYPERLINK("./Results/DLO\20200601_1.3.46.670589.33.1.63727375003720744900001.5194852647031464990_201_512_512_\Osteo_Sarco_1.png","RPT")</f>
        <v>RPT</v>
      </c>
      <c r="G1200" s="3">
        <v>129</v>
      </c>
      <c r="H1200" s="3"/>
    </row>
    <row r="1201" spans="1:8" x14ac:dyDescent="0.3">
      <c r="A1201" s="2">
        <v>5025402</v>
      </c>
      <c r="B1201" s="2">
        <v>50</v>
      </c>
      <c r="C1201" s="2" t="s">
        <v>6</v>
      </c>
      <c r="D1201" s="2">
        <v>100</v>
      </c>
      <c r="E1201" s="2"/>
      <c r="F1201" s="4" t="str">
        <f>HYPERLINK("./Results/DLO\20190601_1.3.12.2.1107.5.1.4.54310.30000019061821272012500066253_6_512_512_\Osteo_Sarco_1.png","RPT")</f>
        <v>RPT</v>
      </c>
      <c r="G1201" s="3">
        <v>104</v>
      </c>
      <c r="H1201" s="3"/>
    </row>
    <row r="1202" spans="1:8" x14ac:dyDescent="0.3">
      <c r="A1202" s="2">
        <v>5025472</v>
      </c>
      <c r="B1202" s="2">
        <v>71</v>
      </c>
      <c r="C1202" s="2" t="s">
        <v>5</v>
      </c>
      <c r="D1202" s="2">
        <v>100</v>
      </c>
      <c r="E1202" s="2"/>
      <c r="F1202" s="4" t="str">
        <f>HYPERLINK("./Results/DLO\20190301_1.3.46.670589.33.1.63688156403785853000001.4920919614580405203_201_512_512_\Osteo_Sarco_1.png","RPT")</f>
        <v>RPT</v>
      </c>
      <c r="G1202" s="3">
        <v>140</v>
      </c>
      <c r="H1202" s="3"/>
    </row>
    <row r="1203" spans="1:8" x14ac:dyDescent="0.3">
      <c r="A1203" s="2">
        <v>5025780</v>
      </c>
      <c r="B1203" s="2">
        <v>65</v>
      </c>
      <c r="C1203" s="2" t="s">
        <v>6</v>
      </c>
      <c r="D1203" s="2">
        <v>100</v>
      </c>
      <c r="E1203" s="2"/>
      <c r="F1203" s="4" t="str">
        <f>HYPERLINK("./Results/DLO\20180401_1.3.12.2.1107.5.1.4.54310.30000018041023080612500005767_2_512_512_\Osteo_Sarco_1.png","RPT")</f>
        <v>RPT</v>
      </c>
      <c r="G1203" s="3">
        <v>89</v>
      </c>
      <c r="H1203" s="3"/>
    </row>
    <row r="1204" spans="1:8" x14ac:dyDescent="0.3">
      <c r="A1204" s="2">
        <v>5025808</v>
      </c>
      <c r="B1204" s="2">
        <v>71</v>
      </c>
      <c r="C1204" s="2" t="s">
        <v>5</v>
      </c>
      <c r="D1204" s="2">
        <v>100</v>
      </c>
      <c r="E1204" s="2"/>
      <c r="F1204" s="4" t="str">
        <f>HYPERLINK("./Results/DLO\20191001_1.3.12.2.1107.5.1.4.54310.30000019102122323492100020007_2_512_512_\Osteo_Sarco_1.png","RPT")</f>
        <v>RPT</v>
      </c>
      <c r="G1204" s="3">
        <v>139</v>
      </c>
      <c r="H1204" s="3"/>
    </row>
    <row r="1205" spans="1:8" x14ac:dyDescent="0.3">
      <c r="A1205" s="2">
        <v>5025808</v>
      </c>
      <c r="B1205" s="2">
        <v>71</v>
      </c>
      <c r="C1205" s="2" t="s">
        <v>5</v>
      </c>
      <c r="D1205" s="2">
        <v>100</v>
      </c>
      <c r="E1205" s="2"/>
      <c r="F1205" s="4" t="str">
        <f>HYPERLINK("./Results/DLO\20191001_1.3.12.2.1107.5.1.4.54310.30000019102122323492100020170_3_512_512_\Osteo_Sarco_1.png","RPT")</f>
        <v>RPT</v>
      </c>
      <c r="G1205" s="3">
        <v>139</v>
      </c>
      <c r="H1205" s="3"/>
    </row>
    <row r="1206" spans="1:8" x14ac:dyDescent="0.3">
      <c r="A1206" s="2">
        <v>5025954</v>
      </c>
      <c r="B1206" s="2">
        <v>23</v>
      </c>
      <c r="C1206" s="2" t="s">
        <v>5</v>
      </c>
      <c r="D1206" s="2">
        <v>100</v>
      </c>
      <c r="E1206" s="2"/>
      <c r="F1206" s="4" t="str">
        <f>HYPERLINK("./Results/DLO\20181101_1.3.12.2.1107.5.1.4.54310.30000018112823185235900058176_2_512_512_\Osteo_Sarco_1.png","RPT")</f>
        <v>RPT</v>
      </c>
      <c r="G1206" s="3">
        <v>101</v>
      </c>
      <c r="H1206" s="3"/>
    </row>
    <row r="1207" spans="1:8" x14ac:dyDescent="0.3">
      <c r="A1207" s="2">
        <v>5026088</v>
      </c>
      <c r="B1207" s="2">
        <v>63</v>
      </c>
      <c r="C1207" s="2" t="s">
        <v>6</v>
      </c>
      <c r="D1207" s="2">
        <v>100</v>
      </c>
      <c r="E1207" s="2"/>
      <c r="F1207" s="4" t="str">
        <f>HYPERLINK("./Results/DLO\20180701_1.3.12.2.1107.5.1.4.54310.30000018071100583907800003891_2_512_512_\Osteo_Sarco_1.png","RPT")</f>
        <v>RPT</v>
      </c>
      <c r="G1207" s="3">
        <v>108</v>
      </c>
      <c r="H1207" s="3"/>
    </row>
    <row r="1208" spans="1:8" x14ac:dyDescent="0.3">
      <c r="A1208" s="2">
        <v>5026272</v>
      </c>
      <c r="B1208" s="2">
        <v>89</v>
      </c>
      <c r="C1208" s="2" t="s">
        <v>5</v>
      </c>
      <c r="D1208" s="2">
        <v>100</v>
      </c>
      <c r="E1208" s="2"/>
      <c r="F1208" s="4" t="str">
        <f>HYPERLINK("./Results/DLO\20190601_1.3.12.2.1107.5.1.4.65253.30000019061021122786800040717_6_512_512_\Osteo_Sarco_1.png","RPT")</f>
        <v>RPT</v>
      </c>
      <c r="G1208" s="3">
        <v>137</v>
      </c>
      <c r="H1208" s="3"/>
    </row>
    <row r="1209" spans="1:8" x14ac:dyDescent="0.3">
      <c r="A1209" s="2">
        <v>5026705</v>
      </c>
      <c r="B1209" s="2">
        <v>55</v>
      </c>
      <c r="C1209" s="2" t="s">
        <v>6</v>
      </c>
      <c r="D1209" s="2">
        <v>100</v>
      </c>
      <c r="E1209" s="2"/>
      <c r="F1209" s="4" t="str">
        <f>HYPERLINK("./Results/DLO\20180701_1.3.12.2.1107.5.1.4.54310.30000018071123383703100003740_2_512_512_\Osteo_Sarco_1.png","RPT")</f>
        <v>RPT</v>
      </c>
      <c r="G1209" s="3">
        <v>85</v>
      </c>
      <c r="H1209" s="3"/>
    </row>
    <row r="1210" spans="1:8" x14ac:dyDescent="0.3">
      <c r="A1210" s="2">
        <v>5026769</v>
      </c>
      <c r="B1210" s="2">
        <v>65</v>
      </c>
      <c r="C1210" s="2" t="s">
        <v>6</v>
      </c>
      <c r="D1210" s="2">
        <v>100</v>
      </c>
      <c r="E1210" s="2"/>
      <c r="F1210" s="4" t="str">
        <f>HYPERLINK("./Results/DLO\20180401_1.3.12.2.1107.5.1.4.54310.30000018042723395856200009359_3_512_512_\Osteo_Sarco_1.png","RPT")</f>
        <v>RPT</v>
      </c>
      <c r="G1210" s="3">
        <v>114</v>
      </c>
      <c r="H1210" s="3"/>
    </row>
    <row r="1211" spans="1:8" x14ac:dyDescent="0.3">
      <c r="A1211" s="2">
        <v>5026769</v>
      </c>
      <c r="B1211" s="2">
        <v>65</v>
      </c>
      <c r="C1211" s="2" t="s">
        <v>6</v>
      </c>
      <c r="D1211" s="2">
        <v>120</v>
      </c>
      <c r="E1211" s="2"/>
      <c r="F1211" s="4" t="str">
        <f>HYPERLINK("./Results/DLO\20180401_1.3.12.2.1107.5.1.4.54310.30000018042723395856200009447_5_512_512_\Osteo_Sarco_1.png","RPT")</f>
        <v>RPT</v>
      </c>
      <c r="G1211" s="3">
        <v>114</v>
      </c>
      <c r="H1211" s="3"/>
    </row>
    <row r="1212" spans="1:8" x14ac:dyDescent="0.3">
      <c r="A1212" s="2">
        <v>5026769</v>
      </c>
      <c r="B1212" s="2">
        <v>65</v>
      </c>
      <c r="C1212" s="2" t="s">
        <v>6</v>
      </c>
      <c r="D1212" s="2">
        <v>120</v>
      </c>
      <c r="E1212" s="2"/>
      <c r="F1212" s="4" t="str">
        <f>HYPERLINK("./Results/DLO\20180401_1.3.12.2.1107.5.1.4.54310.30000018042723395856200010161_9_512_512_\Osteo_Sarco_1.png","RPT")</f>
        <v>RPT</v>
      </c>
      <c r="G1212" s="3">
        <v>114</v>
      </c>
      <c r="H1212" s="3"/>
    </row>
    <row r="1213" spans="1:8" x14ac:dyDescent="0.3">
      <c r="A1213" s="2">
        <v>5026769</v>
      </c>
      <c r="B1213" s="2">
        <v>65</v>
      </c>
      <c r="C1213" s="2" t="s">
        <v>6</v>
      </c>
      <c r="D1213" s="2">
        <v>120</v>
      </c>
      <c r="E1213" s="2"/>
      <c r="F1213" s="4" t="str">
        <f>HYPERLINK("./Results/DLO\20180401_1.3.12.2.1107.5.1.4.54310.30000018042723395856200009838_7_512_512_\Osteo_Sarco_1.png","RPT")</f>
        <v>RPT</v>
      </c>
      <c r="G1213" s="3">
        <v>111</v>
      </c>
      <c r="H1213" s="3"/>
    </row>
    <row r="1214" spans="1:8" x14ac:dyDescent="0.3">
      <c r="A1214" s="2">
        <v>5026889</v>
      </c>
      <c r="B1214" s="2">
        <v>23</v>
      </c>
      <c r="C1214" s="2" t="s">
        <v>5</v>
      </c>
      <c r="D1214" s="2">
        <v>100</v>
      </c>
      <c r="E1214" s="2"/>
      <c r="F1214" s="4" t="str">
        <f>HYPERLINK("./Results/DLO\20181101_1.3.12.2.1107.5.1.4.65253.30000018111919131622800003063_3_512_512_\Osteo_Sarco_1.png","RPT")</f>
        <v>RPT</v>
      </c>
      <c r="G1214" s="3">
        <v>16</v>
      </c>
      <c r="H1214" s="3"/>
    </row>
    <row r="1215" spans="1:8" x14ac:dyDescent="0.3">
      <c r="A1215" s="2">
        <v>5026889</v>
      </c>
      <c r="B1215" s="2">
        <v>23</v>
      </c>
      <c r="C1215" s="2" t="s">
        <v>5</v>
      </c>
      <c r="D1215" s="2">
        <v>120</v>
      </c>
      <c r="E1215" s="2"/>
      <c r="F1215" s="4" t="str">
        <f>HYPERLINK("./Results/DLO\20181101_1.3.12.2.1107.5.1.4.65253.30000018111919075754800040683_2_512_512_\Osteo_Sarco_1.png","RPT")</f>
        <v>RPT</v>
      </c>
      <c r="G1215" s="3">
        <v>14</v>
      </c>
      <c r="H1215" s="3"/>
    </row>
    <row r="1216" spans="1:8" x14ac:dyDescent="0.3">
      <c r="A1216" s="2">
        <v>5027124</v>
      </c>
      <c r="B1216" s="2">
        <v>61</v>
      </c>
      <c r="C1216" s="2" t="s">
        <v>5</v>
      </c>
      <c r="D1216" s="2">
        <v>100</v>
      </c>
      <c r="E1216" s="2"/>
      <c r="F1216" s="4" t="str">
        <f>HYPERLINK("./Results/DLO\20180201_1.3.12.2.1107.5.1.4.54310.30000018020823251125000001918_2_512_512_\Osteo_Sarco_1.png","RPT")</f>
        <v>RPT</v>
      </c>
      <c r="G1216" s="3">
        <v>198</v>
      </c>
      <c r="H1216" s="3"/>
    </row>
    <row r="1217" spans="1:8" x14ac:dyDescent="0.3">
      <c r="A1217" s="2">
        <v>5027420</v>
      </c>
      <c r="B1217" s="2">
        <v>52</v>
      </c>
      <c r="C1217" s="2" t="s">
        <v>6</v>
      </c>
      <c r="D1217" s="2">
        <v>100</v>
      </c>
      <c r="E1217" s="2"/>
      <c r="F1217" s="4" t="str">
        <f>HYPERLINK("./Results/DLO\20180501_1.2.840.113619.2.416.124692626739468111304626481795745061679_303_512_512_\Osteo_Sarco_1.png","RPT")</f>
        <v>RPT</v>
      </c>
      <c r="G1217" s="3">
        <v>112</v>
      </c>
      <c r="H1217" s="3"/>
    </row>
    <row r="1218" spans="1:8" x14ac:dyDescent="0.3">
      <c r="A1218" s="2">
        <v>5027448</v>
      </c>
      <c r="B1218" s="2">
        <v>64</v>
      </c>
      <c r="C1218" s="2" t="s">
        <v>6</v>
      </c>
      <c r="D1218" s="2">
        <v>100</v>
      </c>
      <c r="E1218" s="2"/>
      <c r="F1218" s="4" t="str">
        <f>HYPERLINK("./Results/DLO\20181101_1.2.840.113619.2.311.47898682616850284632299010045638110481_304_512_512_\Osteo_Sarco_1.png","RPT")</f>
        <v>RPT</v>
      </c>
      <c r="G1218" s="3">
        <v>123</v>
      </c>
      <c r="H1218" s="3"/>
    </row>
    <row r="1219" spans="1:8" x14ac:dyDescent="0.3">
      <c r="A1219" s="2">
        <v>5027476</v>
      </c>
      <c r="B1219" s="2">
        <v>69</v>
      </c>
      <c r="C1219" s="2" t="s">
        <v>5</v>
      </c>
      <c r="D1219" s="2">
        <v>100</v>
      </c>
      <c r="E1219" s="2"/>
      <c r="F1219" s="4" t="str">
        <f>HYPERLINK("./Results/DLO\20180701_1.3.12.2.1107.5.1.4.65253.30000018070121035264000062071_2_512_512_\Osteo_Sarco_1.png","RPT")</f>
        <v>RPT</v>
      </c>
      <c r="G1219" s="3">
        <v>163</v>
      </c>
      <c r="H1219" s="3"/>
    </row>
    <row r="1220" spans="1:8" x14ac:dyDescent="0.3">
      <c r="A1220" s="2">
        <v>5027496</v>
      </c>
      <c r="B1220" s="2">
        <v>58</v>
      </c>
      <c r="C1220" s="2" t="s">
        <v>6</v>
      </c>
      <c r="D1220" s="2">
        <v>100</v>
      </c>
      <c r="E1220" s="2"/>
      <c r="F1220" s="4" t="str">
        <f>HYPERLINK("./Results/DLO\20180501_1.2.840.113619.2.311.332186189087386552602880072760527298633_304_512_512_\Osteo_Sarco_1.png","RPT")</f>
        <v>RPT</v>
      </c>
      <c r="G1220" s="3">
        <v>93</v>
      </c>
      <c r="H1220" s="3"/>
    </row>
    <row r="1221" spans="1:8" x14ac:dyDescent="0.3">
      <c r="A1221" s="2">
        <v>5027594</v>
      </c>
      <c r="B1221" s="2">
        <v>65</v>
      </c>
      <c r="C1221" s="2" t="s">
        <v>6</v>
      </c>
      <c r="D1221" s="2">
        <v>100</v>
      </c>
      <c r="E1221" s="2"/>
      <c r="F1221" s="4" t="str">
        <f>HYPERLINK("./Results/DLO\20180101_1.2.840.113619.2.94.485650834948.2.8573485.18478242.1_2_512_512_\Osteo_Sarco_1.png","RPT")</f>
        <v>RPT</v>
      </c>
      <c r="G1221" s="3">
        <v>86</v>
      </c>
      <c r="H1221" s="3"/>
    </row>
    <row r="1222" spans="1:8" x14ac:dyDescent="0.3">
      <c r="A1222" s="2">
        <v>5027676</v>
      </c>
      <c r="B1222" s="2">
        <v>66</v>
      </c>
      <c r="C1222" s="2" t="s">
        <v>5</v>
      </c>
      <c r="D1222" s="2">
        <v>140</v>
      </c>
      <c r="E1222" s="2"/>
      <c r="F1222" s="4" t="str">
        <f>HYPERLINK("./Results/DLO\20180801_1.2.840.113619.2.416.172776030207379126773330800508804427456_302_512_512_\Osteo_Sarco_1.png","RPT")</f>
        <v>RPT</v>
      </c>
      <c r="G1222" s="3">
        <v>149</v>
      </c>
      <c r="H1222" s="3"/>
    </row>
    <row r="1223" spans="1:8" x14ac:dyDescent="0.3">
      <c r="A1223" s="2">
        <v>5027676</v>
      </c>
      <c r="B1223" s="2">
        <v>66</v>
      </c>
      <c r="C1223" s="2" t="s">
        <v>5</v>
      </c>
      <c r="D1223" s="2">
        <v>140</v>
      </c>
      <c r="E1223" s="2"/>
      <c r="F1223" s="4" t="str">
        <f>HYPERLINK("./Results/DLO\20180801_1.2.840.113619.2.416.7610503132827868230668026790345361320_303_512_512_\Osteo_Sarco_1.png","RPT")</f>
        <v>RPT</v>
      </c>
      <c r="G1223" s="3">
        <v>138</v>
      </c>
      <c r="H1223" s="3"/>
    </row>
    <row r="1224" spans="1:8" x14ac:dyDescent="0.3">
      <c r="A1224" s="2">
        <v>5027690</v>
      </c>
      <c r="B1224" s="2">
        <v>66</v>
      </c>
      <c r="C1224" s="2" t="s">
        <v>5</v>
      </c>
      <c r="D1224" s="2">
        <v>100</v>
      </c>
      <c r="E1224" s="2"/>
      <c r="F1224" s="4" t="str">
        <f>HYPERLINK("./Results/DLO\20190201_1.2.840.113619.2.311.209856016570805583132519547062979688533_304_512_512_\Osteo_Sarco_1.png","RPT")</f>
        <v>RPT</v>
      </c>
      <c r="G1224" s="3">
        <v>162</v>
      </c>
      <c r="H1224" s="3"/>
    </row>
    <row r="1225" spans="1:8" x14ac:dyDescent="0.3">
      <c r="A1225" s="2">
        <v>5027690</v>
      </c>
      <c r="B1225" s="2">
        <v>65</v>
      </c>
      <c r="C1225" s="2" t="s">
        <v>5</v>
      </c>
      <c r="D1225" s="2">
        <v>100</v>
      </c>
      <c r="E1225" s="2"/>
      <c r="F1225" s="4" t="str">
        <f>HYPERLINK("./Results/DLO\20180101_1.3.12.2.1107.5.1.4.54310.30000018012423312620300007387_2_512_512_\Osteo_Sarco_1.png","RPT")</f>
        <v>RPT</v>
      </c>
      <c r="G1225" s="3">
        <v>155</v>
      </c>
      <c r="H1225" s="3"/>
    </row>
    <row r="1226" spans="1:8" x14ac:dyDescent="0.3">
      <c r="A1226" s="2">
        <v>5028139</v>
      </c>
      <c r="B1226" s="2">
        <v>81</v>
      </c>
      <c r="C1226" s="2" t="s">
        <v>6</v>
      </c>
      <c r="D1226" s="2">
        <v>140</v>
      </c>
      <c r="E1226" s="2"/>
      <c r="F1226" s="4" t="str">
        <f>HYPERLINK("./Results/DLO\20190701_1.2.840.113619.2.416.18092543347934006053440979560512049239_305_512_512_\Osteo_Sarco_1.png","RPT")</f>
        <v>RPT</v>
      </c>
      <c r="G1226" s="3">
        <v>107</v>
      </c>
      <c r="H1226" s="3"/>
    </row>
    <row r="1227" spans="1:8" x14ac:dyDescent="0.3">
      <c r="A1227" s="2">
        <v>5028139</v>
      </c>
      <c r="B1227" s="2">
        <v>81</v>
      </c>
      <c r="C1227" s="2" t="s">
        <v>6</v>
      </c>
      <c r="D1227" s="2">
        <v>140</v>
      </c>
      <c r="E1227" s="2"/>
      <c r="F1227" s="4" t="str">
        <f>HYPERLINK("./Results/DLO\20190701_1.2.840.113619.2.416.184840748862795229129811347988596508772_302_512_512_\Osteo_Sarco_1.png","RPT")</f>
        <v>RPT</v>
      </c>
      <c r="G1227" s="3">
        <v>106</v>
      </c>
      <c r="H1227" s="3"/>
    </row>
    <row r="1228" spans="1:8" x14ac:dyDescent="0.3">
      <c r="A1228" s="2">
        <v>5028139</v>
      </c>
      <c r="B1228" s="2">
        <v>81</v>
      </c>
      <c r="C1228" s="2" t="s">
        <v>6</v>
      </c>
      <c r="D1228" s="2">
        <v>120</v>
      </c>
      <c r="E1228" s="2"/>
      <c r="F1228" s="4" t="str">
        <f>HYPERLINK("./Results/DLO\20190701_1.2.840.113619.2.416.126187860411618161898445454922847540311_2_512_512_\Osteo_Sarco_1.png","RPT")</f>
        <v>RPT</v>
      </c>
      <c r="G1228" s="3">
        <v>100</v>
      </c>
      <c r="H1228" s="3"/>
    </row>
    <row r="1229" spans="1:8" x14ac:dyDescent="0.3">
      <c r="A1229" s="2">
        <v>5028171</v>
      </c>
      <c r="B1229" s="2">
        <v>78</v>
      </c>
      <c r="C1229" s="2" t="s">
        <v>6</v>
      </c>
      <c r="D1229" s="2">
        <v>100</v>
      </c>
      <c r="E1229" s="2"/>
      <c r="F1229" s="4" t="str">
        <f>HYPERLINK("./Results/DLO\20190101_1.3.12.2.1107.5.1.4.65253.30000019012022133518900001455_2_512_512_\Osteo_Sarco_1.png","RPT")</f>
        <v>RPT</v>
      </c>
      <c r="G1229" s="3">
        <v>106</v>
      </c>
      <c r="H1229" s="3"/>
    </row>
    <row r="1230" spans="1:8" x14ac:dyDescent="0.3">
      <c r="A1230" s="2">
        <v>5028202</v>
      </c>
      <c r="B1230" s="2">
        <v>51</v>
      </c>
      <c r="C1230" s="2" t="s">
        <v>6</v>
      </c>
      <c r="D1230" s="2">
        <v>100</v>
      </c>
      <c r="E1230" s="2"/>
      <c r="F1230" s="4" t="str">
        <f>HYPERLINK("./Results/DLO\20181101_1.2.840.113619.2.416.34065769565107964680180675044568977716_304_512_512_\Osteo_Sarco_1.png","RPT")</f>
        <v>RPT</v>
      </c>
      <c r="G1230" s="3">
        <v>103</v>
      </c>
      <c r="H1230" s="3"/>
    </row>
    <row r="1231" spans="1:8" x14ac:dyDescent="0.3">
      <c r="A1231" s="2">
        <v>5028346</v>
      </c>
      <c r="B1231" s="2">
        <v>42</v>
      </c>
      <c r="C1231" s="2" t="s">
        <v>6</v>
      </c>
      <c r="D1231" s="2">
        <v>100</v>
      </c>
      <c r="E1231" s="2"/>
      <c r="F1231" s="4" t="str">
        <f>HYPERLINK("./Results/DLO\20180301_1.2.840.113619.2.94.485650834948.2.8680603.18739227.1_2_512_512_\Osteo_Sarco_1.png","RPT")</f>
        <v>RPT</v>
      </c>
      <c r="G1231" s="3">
        <v>104</v>
      </c>
      <c r="H1231" s="3"/>
    </row>
    <row r="1232" spans="1:8" x14ac:dyDescent="0.3">
      <c r="A1232" s="2">
        <v>5028366</v>
      </c>
      <c r="B1232" s="2">
        <v>18</v>
      </c>
      <c r="C1232" s="2" t="s">
        <v>6</v>
      </c>
      <c r="D1232" s="2">
        <v>100</v>
      </c>
      <c r="E1232" s="2"/>
      <c r="F1232" s="4" t="str">
        <f>HYPERLINK("./Results/DLO\20190801_1.3.12.2.1107.5.1.4.65253.30000019080821094770100124577_2_512_512_\Osteo_Sarco_1.png","RPT")</f>
        <v>RPT</v>
      </c>
      <c r="G1232" s="3">
        <v>139</v>
      </c>
      <c r="H1232" s="3"/>
    </row>
    <row r="1233" spans="1:8" x14ac:dyDescent="0.3">
      <c r="A1233" s="2">
        <v>5028366</v>
      </c>
      <c r="B1233" s="2">
        <v>18</v>
      </c>
      <c r="C1233" s="2" t="s">
        <v>6</v>
      </c>
      <c r="D1233" s="2">
        <v>100</v>
      </c>
      <c r="E1233" s="2"/>
      <c r="F1233" s="4" t="str">
        <f>HYPERLINK("./Results/DLO\20190801_1.3.12.2.1107.5.1.4.65253.30000019080821094770100124757_3_512_512_\Osteo_Sarco_1.png","RPT")</f>
        <v>RPT</v>
      </c>
      <c r="G1233" s="3">
        <v>139</v>
      </c>
      <c r="H1233" s="3"/>
    </row>
    <row r="1234" spans="1:8" x14ac:dyDescent="0.3">
      <c r="A1234" s="2">
        <v>5028408</v>
      </c>
      <c r="B1234" s="2">
        <v>66</v>
      </c>
      <c r="C1234" s="2" t="s">
        <v>6</v>
      </c>
      <c r="D1234" s="2">
        <v>100</v>
      </c>
      <c r="E1234" s="2"/>
      <c r="F1234" s="4" t="str">
        <f>HYPERLINK("./Results/DLO\20180601_1.2.840.113619.2.416.239452496526436264430299001448428591834_304_512_512_\Osteo_Sarco_1.png","RPT")</f>
        <v>RPT</v>
      </c>
      <c r="G1234" s="3">
        <v>82</v>
      </c>
      <c r="H1234" s="3"/>
    </row>
    <row r="1235" spans="1:8" x14ac:dyDescent="0.3">
      <c r="A1235" s="2">
        <v>5028529</v>
      </c>
      <c r="B1235" s="2">
        <v>66</v>
      </c>
      <c r="C1235" s="2" t="s">
        <v>6</v>
      </c>
      <c r="D1235" s="2">
        <v>100</v>
      </c>
      <c r="E1235" s="2"/>
      <c r="F1235" s="4" t="str">
        <f>HYPERLINK("./Results/DLO\20190101_1.2.840.113619.2.94.485650834948.2.9373728.20451376.1_2_512_512_\Osteo_Sarco_1.png","RPT")</f>
        <v>RPT</v>
      </c>
      <c r="G1235" s="3">
        <v>146</v>
      </c>
      <c r="H1235" s="3"/>
    </row>
    <row r="1236" spans="1:8" x14ac:dyDescent="0.3">
      <c r="A1236" s="2">
        <v>5028632</v>
      </c>
      <c r="B1236" s="2">
        <v>61</v>
      </c>
      <c r="C1236" s="2" t="s">
        <v>6</v>
      </c>
      <c r="D1236" s="2">
        <v>120</v>
      </c>
      <c r="E1236" s="2"/>
      <c r="F1236" s="4" t="str">
        <f>HYPERLINK("./Results/DLO\20190401_1.3.12.2.1107.5.1.4.54310.30000019040323295310900033926_7_512_512_\Osteo_Sarco_1.png","RPT")</f>
        <v>RPT</v>
      </c>
      <c r="G1236" s="3">
        <v>122</v>
      </c>
      <c r="H1236" s="3"/>
    </row>
    <row r="1237" spans="1:8" x14ac:dyDescent="0.3">
      <c r="A1237" s="2">
        <v>5028632</v>
      </c>
      <c r="B1237" s="2">
        <v>61</v>
      </c>
      <c r="C1237" s="2" t="s">
        <v>6</v>
      </c>
      <c r="D1237" s="2">
        <v>120</v>
      </c>
      <c r="E1237" s="2"/>
      <c r="F1237" s="4" t="str">
        <f>HYPERLINK("./Results/DLO\20190401_1.3.12.2.1107.5.1.4.54310.30000019040323295310900034216_9_512_512_\Osteo_Sarco_1.png","RPT")</f>
        <v>RPT</v>
      </c>
      <c r="G1237" s="3">
        <v>121</v>
      </c>
      <c r="H1237" s="3"/>
    </row>
    <row r="1238" spans="1:8" x14ac:dyDescent="0.3">
      <c r="A1238" s="2">
        <v>5028632</v>
      </c>
      <c r="B1238" s="2">
        <v>61</v>
      </c>
      <c r="C1238" s="2" t="s">
        <v>6</v>
      </c>
      <c r="D1238" s="2">
        <v>120</v>
      </c>
      <c r="E1238" s="2"/>
      <c r="F1238" s="4" t="str">
        <f>HYPERLINK("./Results/DLO\20190401_1.3.12.2.1107.5.1.4.54310.30000019040323295310900033501_5_512_512_\Osteo_Sarco_1.png","RPT")</f>
        <v>RPT</v>
      </c>
      <c r="G1238" s="3">
        <v>120</v>
      </c>
      <c r="H1238" s="3"/>
    </row>
    <row r="1239" spans="1:8" x14ac:dyDescent="0.3">
      <c r="A1239" s="2">
        <v>5028632</v>
      </c>
      <c r="B1239" s="2">
        <v>61</v>
      </c>
      <c r="C1239" s="2" t="s">
        <v>6</v>
      </c>
      <c r="D1239" s="2">
        <v>100</v>
      </c>
      <c r="E1239" s="2"/>
      <c r="F1239" s="4" t="str">
        <f>HYPERLINK("./Results/DLO\20190401_1.3.12.2.1107.5.1.4.54310.30000019040323295310900033395_3_512_512_\Osteo_Sarco_1.png","RPT")</f>
        <v>RPT</v>
      </c>
      <c r="G1239" s="3">
        <v>119</v>
      </c>
      <c r="H1239" s="3"/>
    </row>
    <row r="1240" spans="1:8" x14ac:dyDescent="0.3">
      <c r="A1240" s="2">
        <v>5028658</v>
      </c>
      <c r="B1240" s="2">
        <v>67</v>
      </c>
      <c r="C1240" s="2" t="s">
        <v>5</v>
      </c>
      <c r="D1240" s="2">
        <v>100</v>
      </c>
      <c r="E1240" s="2"/>
      <c r="F1240" s="4" t="str">
        <f>HYPERLINK("./Results/DLO\20190401_1.2.840.113619.2.311.153747178972017314982671730865279334172_304_512_512_\Osteo_Sarco_1.png","RPT")</f>
        <v>RPT</v>
      </c>
      <c r="G1240" s="3">
        <v>147</v>
      </c>
      <c r="H1240" s="3"/>
    </row>
    <row r="1241" spans="1:8" x14ac:dyDescent="0.3">
      <c r="A1241" s="2">
        <v>5028658</v>
      </c>
      <c r="B1241" s="2">
        <v>67</v>
      </c>
      <c r="C1241" s="2" t="s">
        <v>5</v>
      </c>
      <c r="D1241" s="2">
        <v>100</v>
      </c>
      <c r="E1241" s="2"/>
      <c r="F1241" s="4" t="str">
        <f>HYPERLINK("./Results/DLO\20190401_1.2.840.113619.2.311.175268147669672622420680242319822346968_2_512_512_\Osteo_Sarco_1.png","RPT")</f>
        <v>RPT</v>
      </c>
      <c r="G1241" s="3">
        <v>143</v>
      </c>
      <c r="H1241" s="3"/>
    </row>
    <row r="1242" spans="1:8" x14ac:dyDescent="0.3">
      <c r="A1242" s="2">
        <v>5028890</v>
      </c>
      <c r="B1242" s="2">
        <v>61</v>
      </c>
      <c r="C1242" s="2" t="s">
        <v>5</v>
      </c>
      <c r="D1242" s="2">
        <v>140</v>
      </c>
      <c r="E1242" s="2"/>
      <c r="F1242" s="4" t="str">
        <f>HYPERLINK("./Results/DLO\20190201_1.2.840.113619.2.416.85440478902354111885579286950424553787_303_512_512_\Osteo_Sarco_1.png","RPT")</f>
        <v>RPT</v>
      </c>
      <c r="G1242" s="3">
        <v>169</v>
      </c>
      <c r="H1242" s="3"/>
    </row>
    <row r="1243" spans="1:8" x14ac:dyDescent="0.3">
      <c r="A1243" s="2">
        <v>5028890</v>
      </c>
      <c r="B1243" s="2">
        <v>61</v>
      </c>
      <c r="C1243" s="2" t="s">
        <v>5</v>
      </c>
      <c r="D1243" s="2">
        <v>140</v>
      </c>
      <c r="E1243" s="2"/>
      <c r="F1243" s="4" t="str">
        <f>HYPERLINK("./Results/DLO\20190201_1.2.840.113619.2.416.115390963778363887885907151025170777784_302_512_512_\Osteo_Sarco_1.png","RPT")</f>
        <v>RPT</v>
      </c>
      <c r="G1243" s="3">
        <v>167</v>
      </c>
      <c r="H1243" s="3"/>
    </row>
    <row r="1244" spans="1:8" x14ac:dyDescent="0.3">
      <c r="A1244" s="2">
        <v>5029097</v>
      </c>
      <c r="B1244" s="2">
        <v>61</v>
      </c>
      <c r="C1244" s="2" t="s">
        <v>6</v>
      </c>
      <c r="D1244" s="2">
        <v>100</v>
      </c>
      <c r="E1244" s="2"/>
      <c r="F1244" s="4" t="str">
        <f>HYPERLINK("./Results/DLO\20181001_1.3.12.2.1107.5.1.4.54310.30000018101023215771800002535_7_512_512_\Osteo_Sarco_1.png","RPT")</f>
        <v>RPT</v>
      </c>
      <c r="G1244" s="3">
        <v>135</v>
      </c>
      <c r="H1244" s="3"/>
    </row>
    <row r="1245" spans="1:8" x14ac:dyDescent="0.3">
      <c r="A1245" s="2">
        <v>5029097</v>
      </c>
      <c r="B1245" s="2">
        <v>61</v>
      </c>
      <c r="C1245" s="2" t="s">
        <v>6</v>
      </c>
      <c r="D1245" s="2">
        <v>100</v>
      </c>
      <c r="E1245" s="2"/>
      <c r="F1245" s="4" t="str">
        <f>HYPERLINK("./Results/DLO\20181001_1.3.12.2.1107.5.1.4.54310.30000018101023215771800002183_5_512_512_\Osteo_Sarco_1.png","RPT")</f>
        <v>RPT</v>
      </c>
      <c r="G1245" s="3">
        <v>134</v>
      </c>
      <c r="H1245" s="3"/>
    </row>
    <row r="1246" spans="1:8" x14ac:dyDescent="0.3">
      <c r="A1246" s="2">
        <v>5029097</v>
      </c>
      <c r="B1246" s="2">
        <v>61</v>
      </c>
      <c r="C1246" s="2" t="s">
        <v>6</v>
      </c>
      <c r="D1246" s="2">
        <v>100</v>
      </c>
      <c r="E1246" s="2"/>
      <c r="F1246" s="4" t="str">
        <f>HYPERLINK("./Results/DLO\20181001_1.3.12.2.1107.5.1.4.54310.30000018101023215771800002093_3_512_512_\Osteo_Sarco_1.png","RPT")</f>
        <v>RPT</v>
      </c>
      <c r="G1246" s="3">
        <v>133</v>
      </c>
      <c r="H1246" s="3"/>
    </row>
    <row r="1247" spans="1:8" x14ac:dyDescent="0.3">
      <c r="A1247" s="2">
        <v>5029097</v>
      </c>
      <c r="B1247" s="2">
        <v>61</v>
      </c>
      <c r="C1247" s="2" t="s">
        <v>6</v>
      </c>
      <c r="D1247" s="2">
        <v>100</v>
      </c>
      <c r="E1247" s="2"/>
      <c r="F1247" s="4" t="str">
        <f>HYPERLINK("./Results/DLO\20181001_1.3.12.2.1107.5.1.4.54310.30000018101023215771800002696_8_512_512_\Osteo_Sarco_1.png","RPT")</f>
        <v>RPT</v>
      </c>
      <c r="G1247" s="3">
        <v>131</v>
      </c>
      <c r="H1247" s="3"/>
    </row>
    <row r="1248" spans="1:8" x14ac:dyDescent="0.3">
      <c r="A1248" s="2">
        <v>5029114</v>
      </c>
      <c r="B1248" s="2">
        <v>81</v>
      </c>
      <c r="C1248" s="2" t="s">
        <v>6</v>
      </c>
      <c r="D1248" s="2">
        <v>120</v>
      </c>
      <c r="E1248" s="2"/>
      <c r="F1248" s="4" t="str">
        <f>HYPERLINK("./Results/DLO\20190201_1.2.840.113619.2.416.339805592447850260327693418966949716523_2_512_512_\Osteo_Sarco_1.png","RPT")</f>
        <v>RPT</v>
      </c>
      <c r="G1248" s="3">
        <v>100</v>
      </c>
      <c r="H1248" s="3"/>
    </row>
    <row r="1249" spans="1:8" x14ac:dyDescent="0.3">
      <c r="A1249" s="2">
        <v>5029114</v>
      </c>
      <c r="B1249" s="2">
        <v>81</v>
      </c>
      <c r="C1249" s="2" t="s">
        <v>6</v>
      </c>
      <c r="D1249" s="2">
        <v>140</v>
      </c>
      <c r="E1249" s="2"/>
      <c r="F1249" s="4" t="str">
        <f>HYPERLINK("./Results/DLO\20190201_1.2.840.113619.2.416.323160698463473504267472359135893740022_302_512_512_\Osteo_Sarco_1.png","RPT")</f>
        <v>RPT</v>
      </c>
      <c r="G1249" s="3">
        <v>87</v>
      </c>
      <c r="H1249" s="3"/>
    </row>
    <row r="1250" spans="1:8" x14ac:dyDescent="0.3">
      <c r="A1250" s="2">
        <v>5029208</v>
      </c>
      <c r="B1250" s="2">
        <v>58</v>
      </c>
      <c r="C1250" s="2" t="s">
        <v>6</v>
      </c>
      <c r="D1250" s="2">
        <v>100</v>
      </c>
      <c r="E1250" s="2"/>
      <c r="F1250" s="4" t="str">
        <f>HYPERLINK("./Results/DLO\20190401_1.2.840.113619.2.311.163656565099751939903456777616832754443_304_512_512_\Osteo_Sarco_1.png","RPT")</f>
        <v>RPT</v>
      </c>
      <c r="G1250" s="3">
        <v>138</v>
      </c>
      <c r="H1250" s="3"/>
    </row>
    <row r="1251" spans="1:8" x14ac:dyDescent="0.3">
      <c r="A1251" s="2">
        <v>5029604</v>
      </c>
      <c r="B1251" s="2">
        <v>46</v>
      </c>
      <c r="C1251" s="2" t="s">
        <v>6</v>
      </c>
      <c r="D1251" s="2">
        <v>100</v>
      </c>
      <c r="E1251" s="2"/>
      <c r="F1251" s="4" t="str">
        <f>HYPERLINK("./Results/DLO\20180201_1.2.840.113619.2.311.253130731215852022183007814808392083244_304_512_512_\Osteo_Sarco_1.png","RPT")</f>
        <v>RPT</v>
      </c>
      <c r="G1251" s="3">
        <v>114</v>
      </c>
      <c r="H1251" s="3"/>
    </row>
    <row r="1252" spans="1:8" x14ac:dyDescent="0.3">
      <c r="A1252" s="2">
        <v>5029874</v>
      </c>
      <c r="B1252" s="2">
        <v>62</v>
      </c>
      <c r="C1252" s="2" t="s">
        <v>5</v>
      </c>
      <c r="D1252" s="2">
        <v>100</v>
      </c>
      <c r="E1252" s="2"/>
      <c r="F1252" s="4" t="str">
        <f>HYPERLINK("./Results/DLO\20180701_1.3.12.2.1107.5.1.4.54310.30000018070823153654600027934_2_512_512_\Osteo_Sarco_1.png","RPT")</f>
        <v>RPT</v>
      </c>
      <c r="G1252" s="3">
        <v>161</v>
      </c>
      <c r="H1252" s="3"/>
    </row>
    <row r="1253" spans="1:8" x14ac:dyDescent="0.3">
      <c r="A1253" s="2">
        <v>5029874</v>
      </c>
      <c r="B1253" s="2">
        <v>62</v>
      </c>
      <c r="C1253" s="2" t="s">
        <v>5</v>
      </c>
      <c r="D1253" s="2">
        <v>100</v>
      </c>
      <c r="E1253" s="2"/>
      <c r="F1253" s="4" t="str">
        <f>HYPERLINK("./Results/DLO\20180701_1.3.12.2.1107.5.1.4.54310.30000018070823321646800011591_3_512_512_\Osteo_Sarco_1.png","RPT")</f>
        <v>RPT</v>
      </c>
      <c r="G1253" s="3">
        <v>160</v>
      </c>
      <c r="H1253" s="3"/>
    </row>
    <row r="1254" spans="1:8" x14ac:dyDescent="0.3">
      <c r="A1254" s="2">
        <v>5035048</v>
      </c>
      <c r="B1254" s="2">
        <v>80</v>
      </c>
      <c r="C1254" s="2" t="s">
        <v>6</v>
      </c>
      <c r="D1254" s="2">
        <v>100</v>
      </c>
      <c r="E1254" s="2"/>
      <c r="F1254" s="4" t="str">
        <f>HYPERLINK("./Results/DLO\20180301_1.3.12.2.1107.5.1.4.65253.30000018031217230778000043357_3_512_512_\Osteo_Sarco_1.png","RPT")</f>
        <v>RPT</v>
      </c>
      <c r="G1254" s="3">
        <v>96</v>
      </c>
      <c r="H1254" s="3"/>
    </row>
    <row r="1255" spans="1:8" x14ac:dyDescent="0.3">
      <c r="A1255" s="2">
        <v>5035048</v>
      </c>
      <c r="B1255" s="2">
        <v>80</v>
      </c>
      <c r="C1255" s="2" t="s">
        <v>6</v>
      </c>
      <c r="D1255" s="2">
        <v>100</v>
      </c>
      <c r="E1255" s="2"/>
      <c r="F1255" s="4" t="str">
        <f>HYPERLINK("./Results/DLO\20180301_1.3.12.2.1107.5.1.4.65253.30000018031217230778000043195_2_512_512_\Osteo_Sarco_1.png","RPT")</f>
        <v>RPT</v>
      </c>
      <c r="G1255" s="3">
        <v>93</v>
      </c>
      <c r="H1255" s="3"/>
    </row>
    <row r="1256" spans="1:8" x14ac:dyDescent="0.3">
      <c r="A1256" s="2">
        <v>5044817</v>
      </c>
      <c r="B1256" s="2">
        <v>44</v>
      </c>
      <c r="C1256" s="2" t="s">
        <v>5</v>
      </c>
      <c r="D1256" s="2">
        <v>100</v>
      </c>
      <c r="E1256" s="2"/>
      <c r="F1256" s="4" t="str">
        <f>HYPERLINK("./Results/DLO\20180501_1.3.46.670589.33.1.63663356255006798500001.5055123477556050400_201_512_512_\Osteo_Sarco_1.png","RPT")</f>
        <v>RPT</v>
      </c>
      <c r="G1256" s="3">
        <v>149</v>
      </c>
      <c r="H1256" s="3"/>
    </row>
    <row r="1257" spans="1:8" x14ac:dyDescent="0.3">
      <c r="A1257" s="2">
        <v>5050160</v>
      </c>
      <c r="B1257" s="2">
        <v>58</v>
      </c>
      <c r="C1257" s="2" t="s">
        <v>5</v>
      </c>
      <c r="D1257" s="2">
        <v>140</v>
      </c>
      <c r="E1257" s="2"/>
      <c r="F1257" s="4" t="str">
        <f>HYPERLINK("./Results/DLO\20190201_1.2.840.113619.2.416.165339380428193613193024709647235644433_302_512_512_\Osteo_Sarco_1.png","RPT")</f>
        <v>RPT</v>
      </c>
      <c r="G1257" s="3">
        <v>129</v>
      </c>
      <c r="H1257" s="3"/>
    </row>
    <row r="1258" spans="1:8" x14ac:dyDescent="0.3">
      <c r="A1258" s="2">
        <v>5050160</v>
      </c>
      <c r="B1258" s="2">
        <v>58</v>
      </c>
      <c r="C1258" s="2" t="s">
        <v>5</v>
      </c>
      <c r="D1258" s="2">
        <v>120</v>
      </c>
      <c r="E1258" s="2"/>
      <c r="F1258" s="4" t="str">
        <f>HYPERLINK("./Results/DLO\20190201_1.2.840.113619.2.416.319640480268241895918474619134445891840_2_512_512_\Osteo_Sarco_1.png","RPT")</f>
        <v>RPT</v>
      </c>
      <c r="G1258" s="3">
        <v>127</v>
      </c>
      <c r="H1258" s="3"/>
    </row>
    <row r="1259" spans="1:8" x14ac:dyDescent="0.3">
      <c r="A1259" s="2">
        <v>5050546</v>
      </c>
      <c r="B1259" s="2">
        <v>70</v>
      </c>
      <c r="C1259" s="2" t="s">
        <v>6</v>
      </c>
      <c r="D1259" s="2">
        <v>100</v>
      </c>
      <c r="E1259" s="2"/>
      <c r="F1259" s="4" t="str">
        <f>HYPERLINK("./Results/DLO\20190401_1.3.12.2.1107.5.1.4.65253.30000019041920290275200033087_3_512_512_\Osteo_Sarco_1.png","RPT")</f>
        <v>RPT</v>
      </c>
      <c r="G1259" s="3">
        <v>117</v>
      </c>
      <c r="H1259" s="3"/>
    </row>
    <row r="1260" spans="1:8" x14ac:dyDescent="0.3">
      <c r="A1260" s="2">
        <v>5050546</v>
      </c>
      <c r="B1260" s="2">
        <v>70</v>
      </c>
      <c r="C1260" s="2" t="s">
        <v>6</v>
      </c>
      <c r="D1260" s="2">
        <v>100</v>
      </c>
      <c r="E1260" s="2"/>
      <c r="F1260" s="4" t="str">
        <f>HYPERLINK("./Results/DLO\20190401_1.3.12.2.1107.5.1.4.65253.30000019041920290275200032908_2_512_512_\Osteo_Sarco_1.png","RPT")</f>
        <v>RPT</v>
      </c>
      <c r="G1260" s="3">
        <v>116</v>
      </c>
      <c r="H1260" s="3"/>
    </row>
    <row r="1261" spans="1:8" x14ac:dyDescent="0.3">
      <c r="A1261" s="2">
        <v>5051051</v>
      </c>
      <c r="B1261" s="2">
        <v>63</v>
      </c>
      <c r="C1261" s="2" t="s">
        <v>6</v>
      </c>
      <c r="D1261" s="2">
        <v>100</v>
      </c>
      <c r="E1261" s="2"/>
      <c r="F1261" s="4" t="str">
        <f>HYPERLINK("./Results/DLO\20180801_1.3.12.2.1107.5.1.4.54310.30000018082923354242100017600_2_512_512_\Osteo_Sarco_1.png","RPT")</f>
        <v>RPT</v>
      </c>
      <c r="G1261" s="3">
        <v>75</v>
      </c>
      <c r="H1261" s="3"/>
    </row>
    <row r="1262" spans="1:8" x14ac:dyDescent="0.3">
      <c r="A1262" s="2">
        <v>5052428</v>
      </c>
      <c r="B1262" s="2">
        <v>76</v>
      </c>
      <c r="C1262" s="2" t="s">
        <v>5</v>
      </c>
      <c r="D1262" s="2">
        <v>140</v>
      </c>
      <c r="E1262" s="2"/>
      <c r="F1262" s="4" t="str">
        <f>HYPERLINK("./Results/DLO\20181101_1.2.840.113619.2.416.323007719696439224087159814524747880459_302_512_512_\Osteo_Sarco_1.png","RPT")</f>
        <v>RPT</v>
      </c>
      <c r="G1262" s="3">
        <v>150</v>
      </c>
      <c r="H1262" s="3"/>
    </row>
    <row r="1263" spans="1:8" x14ac:dyDescent="0.3">
      <c r="A1263" s="2">
        <v>5052428</v>
      </c>
      <c r="B1263" s="2">
        <v>76</v>
      </c>
      <c r="C1263" s="2" t="s">
        <v>5</v>
      </c>
      <c r="D1263" s="2">
        <v>140</v>
      </c>
      <c r="E1263" s="2"/>
      <c r="F1263" s="4" t="str">
        <f>HYPERLINK("./Results/DLO\20181101_1.2.840.113619.2.416.252490506064983808454350027157100466482_303_512_512_\Osteo_Sarco_1.png","RPT")</f>
        <v>RPT</v>
      </c>
      <c r="G1263" s="3">
        <v>147</v>
      </c>
      <c r="H1263" s="3"/>
    </row>
    <row r="1264" spans="1:8" x14ac:dyDescent="0.3">
      <c r="A1264" s="2">
        <v>5052986</v>
      </c>
      <c r="B1264" s="2">
        <v>76</v>
      </c>
      <c r="C1264" s="2" t="s">
        <v>5</v>
      </c>
      <c r="D1264" s="2">
        <v>100</v>
      </c>
      <c r="E1264" s="2"/>
      <c r="F1264" s="4" t="str">
        <f>HYPERLINK("./Results/DLO\20180201_1.3.12.2.1107.5.1.4.65253.30000018021321121032000011986_3_512_512_\Osteo_Sarco_1.png","RPT")</f>
        <v>RPT</v>
      </c>
      <c r="G1264" s="3">
        <v>142</v>
      </c>
      <c r="H1264" s="3"/>
    </row>
    <row r="1265" spans="1:8" x14ac:dyDescent="0.3">
      <c r="A1265" s="2">
        <v>5052986</v>
      </c>
      <c r="B1265" s="2">
        <v>76</v>
      </c>
      <c r="C1265" s="2" t="s">
        <v>5</v>
      </c>
      <c r="D1265" s="2">
        <v>100</v>
      </c>
      <c r="E1265" s="2"/>
      <c r="F1265" s="4" t="str">
        <f>HYPERLINK("./Results/DLO\20180201_1.3.12.2.1107.5.1.4.65253.30000018021401161327500000322_8_512_512_\Osteo_Sarco_1.png","RPT")</f>
        <v>RPT</v>
      </c>
      <c r="G1265" s="3">
        <v>137</v>
      </c>
      <c r="H1265" s="3"/>
    </row>
    <row r="1266" spans="1:8" x14ac:dyDescent="0.3">
      <c r="A1266" s="2">
        <v>5059092</v>
      </c>
      <c r="B1266" s="2">
        <v>87</v>
      </c>
      <c r="C1266" s="2" t="s">
        <v>6</v>
      </c>
      <c r="D1266" s="2">
        <v>100</v>
      </c>
      <c r="E1266" s="2"/>
      <c r="F1266" s="4" t="str">
        <f>HYPERLINK("./Results/DLO\20200501_1.3.12.2.1107.5.1.4.65253.30000020051020482806800069503_3_512_512_\Osteo_Sarco_1.png","RPT")</f>
        <v>RPT</v>
      </c>
      <c r="G1266" s="3">
        <v>92</v>
      </c>
      <c r="H1266" s="3"/>
    </row>
    <row r="1267" spans="1:8" x14ac:dyDescent="0.3">
      <c r="A1267" s="2">
        <v>5059092</v>
      </c>
      <c r="B1267" s="2">
        <v>87</v>
      </c>
      <c r="C1267" s="2" t="s">
        <v>6</v>
      </c>
      <c r="D1267" s="2">
        <v>100</v>
      </c>
      <c r="E1267" s="2"/>
      <c r="F1267" s="4" t="str">
        <f>HYPERLINK("./Results/DLO\20200501_1.3.12.2.1107.5.1.4.65253.30000020051020482806800068798_2_512_512_\Osteo_Sarco_1.png","RPT")</f>
        <v>RPT</v>
      </c>
      <c r="G1267" s="3">
        <v>80</v>
      </c>
      <c r="H1267" s="3"/>
    </row>
    <row r="1268" spans="1:8" x14ac:dyDescent="0.3">
      <c r="A1268" s="2">
        <v>5062104</v>
      </c>
      <c r="B1268" s="2">
        <v>58</v>
      </c>
      <c r="C1268" s="2" t="s">
        <v>6</v>
      </c>
      <c r="D1268" s="2">
        <v>100</v>
      </c>
      <c r="E1268" s="2"/>
      <c r="F1268" s="4" t="str">
        <f>HYPERLINK("./Results/DLO\20180501_1.3.12.2.1107.5.1.4.65253.30000018052821115411400033494_3_512_512_\Osteo_Sarco_1.png","RPT")</f>
        <v>RPT</v>
      </c>
      <c r="G1268" s="3">
        <v>98</v>
      </c>
      <c r="H1268" s="3"/>
    </row>
    <row r="1269" spans="1:8" x14ac:dyDescent="0.3">
      <c r="A1269" s="2">
        <v>5062104</v>
      </c>
      <c r="B1269" s="2">
        <v>58</v>
      </c>
      <c r="C1269" s="2" t="s">
        <v>6</v>
      </c>
      <c r="D1269" s="2">
        <v>100</v>
      </c>
      <c r="E1269" s="2"/>
      <c r="F1269" s="4" t="str">
        <f>HYPERLINK("./Results/DLO\20180501_1.3.12.2.1107.5.1.4.65253.30000018052821115411400033360_2_512_512_\Osteo_Sarco_1.png","RPT")</f>
        <v>RPT</v>
      </c>
      <c r="G1269" s="3">
        <v>97</v>
      </c>
      <c r="H1269" s="3"/>
    </row>
    <row r="1270" spans="1:8" x14ac:dyDescent="0.3">
      <c r="A1270" s="2">
        <v>5067888</v>
      </c>
      <c r="B1270" s="2">
        <v>51</v>
      </c>
      <c r="C1270" s="2" t="s">
        <v>6</v>
      </c>
      <c r="D1270" s="2">
        <v>100</v>
      </c>
      <c r="E1270" s="2"/>
      <c r="F1270" s="4" t="str">
        <f>HYPERLINK("./Results/DLO\20200601_1.3.46.670589.33.1.63727903776490551700001.5205247087337898446_201_512_512_\Osteo_Sarco_1.png","RPT")</f>
        <v>RPT</v>
      </c>
      <c r="G1270" s="3">
        <v>109</v>
      </c>
      <c r="H1270" s="3"/>
    </row>
    <row r="1271" spans="1:8" x14ac:dyDescent="0.3">
      <c r="A1271" s="2">
        <v>5068711</v>
      </c>
      <c r="B1271" s="2">
        <v>60</v>
      </c>
      <c r="C1271" s="2" t="s">
        <v>6</v>
      </c>
      <c r="D1271" s="2">
        <v>100</v>
      </c>
      <c r="E1271" s="2"/>
      <c r="F1271" s="4" t="str">
        <f>HYPERLINK("./Results/DLO\20181001_1.3.12.2.1107.5.1.4.54310.30000018102823274178100033637_6_512_512_\Osteo_Sarco_1.png","RPT")</f>
        <v>RPT</v>
      </c>
      <c r="G1271" s="3">
        <v>95</v>
      </c>
      <c r="H1271" s="3"/>
    </row>
    <row r="1272" spans="1:8" x14ac:dyDescent="0.3">
      <c r="A1272" s="2">
        <v>5068711</v>
      </c>
      <c r="B1272" s="2">
        <v>60</v>
      </c>
      <c r="C1272" s="2" t="s">
        <v>6</v>
      </c>
      <c r="D1272" s="2">
        <v>100</v>
      </c>
      <c r="E1272" s="2"/>
      <c r="F1272" s="4" t="str">
        <f>HYPERLINK("./Results/DLO\20181001_1.3.12.2.1107.5.1.4.54310.30000018102823274178100033241_4_512_512_\Osteo_Sarco_1.png","RPT")</f>
        <v>RPT</v>
      </c>
      <c r="G1272" s="3">
        <v>94</v>
      </c>
      <c r="H1272" s="3"/>
    </row>
    <row r="1273" spans="1:8" x14ac:dyDescent="0.3">
      <c r="A1273" s="2">
        <v>5076709</v>
      </c>
      <c r="B1273" s="2">
        <v>68</v>
      </c>
      <c r="C1273" s="2" t="s">
        <v>5</v>
      </c>
      <c r="D1273" s="2">
        <v>100</v>
      </c>
      <c r="E1273" s="2"/>
      <c r="F1273" s="4" t="str">
        <f>HYPERLINK("./Results/DLO\20190901_1.3.12.2.1107.5.1.4.54310.30000019092421123476500046395_3_512_512_\Osteo_Sarco_1.png","RPT")</f>
        <v>RPT</v>
      </c>
      <c r="G1273" s="3">
        <v>152</v>
      </c>
      <c r="H1273" s="3"/>
    </row>
    <row r="1274" spans="1:8" x14ac:dyDescent="0.3">
      <c r="A1274" s="2">
        <v>5076709</v>
      </c>
      <c r="B1274" s="2">
        <v>68</v>
      </c>
      <c r="C1274" s="2" t="s">
        <v>5</v>
      </c>
      <c r="D1274" s="2">
        <v>100</v>
      </c>
      <c r="E1274" s="2"/>
      <c r="F1274" s="4" t="str">
        <f>HYPERLINK("./Results/DLO\20190901_1.3.12.2.1107.5.1.4.54310.30000019092421123476500046252_2_512_512_\Osteo_Sarco_1.png","RPT")</f>
        <v>RPT</v>
      </c>
      <c r="G1274" s="3">
        <v>145</v>
      </c>
      <c r="H1274" s="3"/>
    </row>
    <row r="1275" spans="1:8" x14ac:dyDescent="0.3">
      <c r="A1275" s="2">
        <v>5081344</v>
      </c>
      <c r="B1275" s="2">
        <v>58</v>
      </c>
      <c r="C1275" s="2" t="s">
        <v>5</v>
      </c>
      <c r="D1275" s="2">
        <v>100</v>
      </c>
      <c r="E1275" s="2"/>
      <c r="F1275" s="4" t="str">
        <f>HYPERLINK("./Results/DLO\20180701_1.3.12.2.1107.5.1.4.54310.30000018070523140267100006034_2_512_512_\Osteo_Sarco_1.png","RPT")</f>
        <v>RPT</v>
      </c>
      <c r="G1275" s="3">
        <v>172</v>
      </c>
      <c r="H1275" s="3"/>
    </row>
    <row r="1276" spans="1:8" x14ac:dyDescent="0.3">
      <c r="A1276" s="2">
        <v>5084524</v>
      </c>
      <c r="B1276" s="2">
        <v>66</v>
      </c>
      <c r="C1276" s="2" t="s">
        <v>5</v>
      </c>
      <c r="D1276" s="2">
        <v>120</v>
      </c>
      <c r="E1276" s="2"/>
      <c r="F1276" s="4" t="str">
        <f>HYPERLINK("./Results/DLO\20180601_1.2.410.100011.172.16.64.21.6369783614066764557.3_3_512_512_\Osteo_Sarco_1.png","RPT")</f>
        <v>RPT</v>
      </c>
      <c r="G1276" s="3">
        <v>160</v>
      </c>
      <c r="H1276" s="3"/>
    </row>
    <row r="1277" spans="1:8" x14ac:dyDescent="0.3">
      <c r="A1277" s="2">
        <v>5084524</v>
      </c>
      <c r="B1277" s="2">
        <v>66</v>
      </c>
      <c r="C1277" s="2" t="s">
        <v>5</v>
      </c>
      <c r="D1277" s="2">
        <v>120</v>
      </c>
      <c r="E1277" s="2"/>
      <c r="F1277" s="4" t="str">
        <f>HYPERLINK("./Results/DLO\20180601_1.2.410.100011.172.16.64.21.6369783614066764557.4_4_512_512_\Osteo_Sarco_1.png","RPT")</f>
        <v>RPT</v>
      </c>
      <c r="G1277" s="3">
        <v>160</v>
      </c>
      <c r="H1277" s="3"/>
    </row>
    <row r="1278" spans="1:8" x14ac:dyDescent="0.3">
      <c r="A1278" s="2">
        <v>5084524</v>
      </c>
      <c r="B1278" s="2">
        <v>66</v>
      </c>
      <c r="C1278" s="2" t="s">
        <v>5</v>
      </c>
      <c r="D1278" s="2">
        <v>120</v>
      </c>
      <c r="E1278" s="2"/>
      <c r="F1278" s="4" t="str">
        <f>HYPERLINK("./Results/DLO\20180601_1.2.410.100011.172.16.64.21.6369783614066764557.7_7_512_512_\Osteo_Sarco_1.png","RPT")</f>
        <v>RPT</v>
      </c>
      <c r="G1278" s="3">
        <v>160</v>
      </c>
      <c r="H1278" s="3"/>
    </row>
    <row r="1279" spans="1:8" x14ac:dyDescent="0.3">
      <c r="A1279" s="2">
        <v>5084524</v>
      </c>
      <c r="B1279" s="2">
        <v>66</v>
      </c>
      <c r="C1279" s="2" t="s">
        <v>5</v>
      </c>
      <c r="D1279" s="2">
        <v>120</v>
      </c>
      <c r="E1279" s="2"/>
      <c r="F1279" s="4" t="str">
        <f>HYPERLINK("./Results/DLO\20180601_1.2.410.100011.172.16.64.21.6369783614066764557.2_2_512_512_\Osteo_Sarco_1.png","RPT")</f>
        <v>RPT</v>
      </c>
      <c r="G1279" s="3">
        <v>156</v>
      </c>
      <c r="H1279" s="3"/>
    </row>
    <row r="1280" spans="1:8" x14ac:dyDescent="0.3">
      <c r="A1280" s="2">
        <v>5086939</v>
      </c>
      <c r="B1280" s="2">
        <v>63</v>
      </c>
      <c r="C1280" s="2" t="s">
        <v>6</v>
      </c>
      <c r="D1280" s="2">
        <v>100</v>
      </c>
      <c r="E1280" s="2"/>
      <c r="F1280" s="4" t="str">
        <f>HYPERLINK("./Results/DLO\20181101_1.3.12.2.1107.5.1.4.65253.30000018111519212941400012286_2_512_512_\Osteo_Sarco_1.png","RPT")</f>
        <v>RPT</v>
      </c>
      <c r="G1280" s="3">
        <v>80</v>
      </c>
      <c r="H1280" s="3"/>
    </row>
    <row r="1281" spans="1:8" x14ac:dyDescent="0.3">
      <c r="A1281" s="2">
        <v>5088325</v>
      </c>
      <c r="B1281" s="2">
        <v>79</v>
      </c>
      <c r="C1281" s="2" t="s">
        <v>5</v>
      </c>
      <c r="D1281" s="2">
        <v>100</v>
      </c>
      <c r="E1281" s="2"/>
      <c r="F1281" s="4" t="str">
        <f>HYPERLINK("./Results/DLO\20190601_1.3.12.2.1107.5.1.4.54310.30000019061222141478100055577_2_512_512_\Osteo_Sarco_1.png","RPT")</f>
        <v>RPT</v>
      </c>
      <c r="G1281" s="3">
        <v>126</v>
      </c>
      <c r="H1281" s="3"/>
    </row>
    <row r="1282" spans="1:8" x14ac:dyDescent="0.3">
      <c r="A1282" s="2">
        <v>5091080</v>
      </c>
      <c r="B1282" s="2">
        <v>79</v>
      </c>
      <c r="C1282" s="2" t="s">
        <v>5</v>
      </c>
      <c r="D1282" s="2">
        <v>140</v>
      </c>
      <c r="E1282" s="2"/>
      <c r="F1282" s="4" t="str">
        <f>HYPERLINK("./Results/DLO\20190201_1.2.840.113619.2.416.216013824122895045773170436447303889005_306_512_512_\Osteo_Sarco_1.png","RPT")</f>
        <v>RPT</v>
      </c>
      <c r="G1282" s="3">
        <v>100</v>
      </c>
      <c r="H1282" s="3"/>
    </row>
    <row r="1283" spans="1:8" x14ac:dyDescent="0.3">
      <c r="A1283" s="2">
        <v>5091080</v>
      </c>
      <c r="B1283" s="2">
        <v>79</v>
      </c>
      <c r="C1283" s="2" t="s">
        <v>5</v>
      </c>
      <c r="D1283" s="2">
        <v>140</v>
      </c>
      <c r="E1283" s="2"/>
      <c r="F1283" s="4" t="str">
        <f>HYPERLINK("./Results/DLO\20190201_1.2.840.113619.2.416.177404702014523972038262712168752355942_307_512_512_\Osteo_Sarco_1.png","RPT")</f>
        <v>RPT</v>
      </c>
      <c r="G1283" s="3">
        <v>99</v>
      </c>
      <c r="H1283" s="3"/>
    </row>
    <row r="1284" spans="1:8" x14ac:dyDescent="0.3">
      <c r="A1284" s="2">
        <v>5094410</v>
      </c>
      <c r="B1284" s="2">
        <v>55</v>
      </c>
      <c r="C1284" s="2" t="s">
        <v>5</v>
      </c>
      <c r="D1284" s="2">
        <v>120</v>
      </c>
      <c r="E1284" s="2"/>
      <c r="F1284" s="4" t="str">
        <f>HYPERLINK("./Results/DLO\20180901_1.3.12.2.1107.5.1.4.54310.30000018091023182362500030439_9_512_512_\Osteo_Sarco_1.png","RPT")</f>
        <v>RPT</v>
      </c>
      <c r="G1284" s="3">
        <v>141</v>
      </c>
      <c r="H1284" s="3"/>
    </row>
    <row r="1285" spans="1:8" x14ac:dyDescent="0.3">
      <c r="A1285" s="2">
        <v>5094410</v>
      </c>
      <c r="B1285" s="2">
        <v>55</v>
      </c>
      <c r="C1285" s="2" t="s">
        <v>5</v>
      </c>
      <c r="D1285" s="2">
        <v>120</v>
      </c>
      <c r="E1285" s="2"/>
      <c r="F1285" s="4" t="str">
        <f>HYPERLINK("./Results/DLO\20180901_1.3.12.2.1107.5.1.4.54310.30000018091023182362500030159_7_512_512_\Osteo_Sarco_1.png","RPT")</f>
        <v>RPT</v>
      </c>
      <c r="G1285" s="3">
        <v>140</v>
      </c>
      <c r="H1285" s="3"/>
    </row>
    <row r="1286" spans="1:8" x14ac:dyDescent="0.3">
      <c r="A1286" s="2">
        <v>5094410</v>
      </c>
      <c r="B1286" s="2">
        <v>55</v>
      </c>
      <c r="C1286" s="2" t="s">
        <v>5</v>
      </c>
      <c r="D1286" s="2">
        <v>100</v>
      </c>
      <c r="E1286" s="2"/>
      <c r="F1286" s="4" t="str">
        <f>HYPERLINK("./Results/DLO\20180901_1.3.12.2.1107.5.1.4.54310.30000018091023182362500029731_3_512_512_\Osteo_Sarco_1.png","RPT")</f>
        <v>RPT</v>
      </c>
      <c r="G1286" s="3">
        <v>123</v>
      </c>
      <c r="H1286" s="3"/>
    </row>
    <row r="1287" spans="1:8" x14ac:dyDescent="0.3">
      <c r="A1287" s="2">
        <v>5094410</v>
      </c>
      <c r="B1287" s="2">
        <v>55</v>
      </c>
      <c r="C1287" s="2" t="s">
        <v>5</v>
      </c>
      <c r="D1287" s="2">
        <v>120</v>
      </c>
      <c r="E1287" s="2"/>
      <c r="F1287" s="4" t="str">
        <f>HYPERLINK("./Results/DLO\20180901_1.3.12.2.1107.5.1.4.54310.30000018091023182362500029817_5_512_512_\Osteo_Sarco_1.png","RPT")</f>
        <v>RPT</v>
      </c>
      <c r="G1287" s="3">
        <v>123</v>
      </c>
      <c r="H1287" s="3"/>
    </row>
    <row r="1288" spans="1:8" x14ac:dyDescent="0.3">
      <c r="A1288" s="2">
        <v>5095942</v>
      </c>
      <c r="B1288" s="2">
        <v>77</v>
      </c>
      <c r="C1288" s="2" t="s">
        <v>6</v>
      </c>
      <c r="D1288" s="2">
        <v>140</v>
      </c>
      <c r="E1288" s="2"/>
      <c r="F1288" s="4" t="str">
        <f>HYPERLINK("./Results/DLO\20180301_1.2.840.113619.2.416.325519928750286930899470098152355932212_3_512_512_\Osteo_Sarco_1.png","RPT")</f>
        <v>RPT</v>
      </c>
      <c r="G1288" s="3">
        <v>119</v>
      </c>
      <c r="H1288" s="3"/>
    </row>
    <row r="1289" spans="1:8" x14ac:dyDescent="0.3">
      <c r="A1289" s="2">
        <v>5095942</v>
      </c>
      <c r="B1289" s="2">
        <v>77</v>
      </c>
      <c r="C1289" s="2" t="s">
        <v>6</v>
      </c>
      <c r="D1289" s="2">
        <v>140</v>
      </c>
      <c r="E1289" s="2"/>
      <c r="F1289" s="4" t="str">
        <f>HYPERLINK("./Results/DLO\20180301_1.2.840.113619.2.416.49957886477611503803481505798171828393_2_512_512_\Osteo_Sarco_1.png","RPT")</f>
        <v>RPT</v>
      </c>
      <c r="G1289" s="3">
        <v>118</v>
      </c>
      <c r="H1289" s="3"/>
    </row>
    <row r="1290" spans="1:8" x14ac:dyDescent="0.3">
      <c r="A1290" s="2">
        <v>5108850</v>
      </c>
      <c r="B1290" s="2">
        <v>83</v>
      </c>
      <c r="C1290" s="2" t="s">
        <v>6</v>
      </c>
      <c r="D1290" s="2">
        <v>100</v>
      </c>
      <c r="E1290" s="2"/>
      <c r="F1290" s="4" t="str">
        <f>HYPERLINK("./Results/DLO\20181001_1.3.12.2.1107.5.1.4.65253.30000018100320583328000050595_2_512_512_\Osteo_Sarco_1.png","RPT")</f>
        <v>RPT</v>
      </c>
      <c r="G1290" s="3">
        <v>96</v>
      </c>
      <c r="H1290" s="3"/>
    </row>
    <row r="1291" spans="1:8" x14ac:dyDescent="0.3">
      <c r="A1291" s="2">
        <v>5111032</v>
      </c>
      <c r="B1291" s="2">
        <v>71</v>
      </c>
      <c r="C1291" s="2" t="s">
        <v>5</v>
      </c>
      <c r="D1291" s="2">
        <v>120</v>
      </c>
      <c r="E1291" s="2"/>
      <c r="F1291" s="4" t="str">
        <f>HYPERLINK("./Results/DLO\20190501_1.2.840.113619.2.416.200867358437550101758789846560988018005_2_512_512_\Osteo_Sarco_1.png","RPT")</f>
        <v>RPT</v>
      </c>
      <c r="G1291" s="3">
        <v>139</v>
      </c>
      <c r="H1291" s="3"/>
    </row>
    <row r="1292" spans="1:8" x14ac:dyDescent="0.3">
      <c r="A1292" s="2">
        <v>5111032</v>
      </c>
      <c r="B1292" s="2">
        <v>71</v>
      </c>
      <c r="C1292" s="2" t="s">
        <v>5</v>
      </c>
      <c r="D1292" s="2">
        <v>140</v>
      </c>
      <c r="E1292" s="2"/>
      <c r="F1292" s="4" t="str">
        <f>HYPERLINK("./Results/DLO\20190501_1.2.410.200069.10820110185.1012000.20250823235909089928_93021_512_512_\Osteo_Sarco_1.png","RPT")</f>
        <v>RPT</v>
      </c>
      <c r="G1292" s="3">
        <v>129</v>
      </c>
      <c r="H1292" s="3"/>
    </row>
    <row r="1293" spans="1:8" x14ac:dyDescent="0.3">
      <c r="A1293" s="2">
        <v>5111032</v>
      </c>
      <c r="B1293" s="2">
        <v>71</v>
      </c>
      <c r="C1293" s="2" t="s">
        <v>5</v>
      </c>
      <c r="D1293" s="2">
        <v>140</v>
      </c>
      <c r="E1293" s="2"/>
      <c r="F1293" s="4" t="str">
        <f>HYPERLINK("./Results/DLO\20190501_1.2.840.113619.2.416.338684909932353610844048631712332022930_302_512_512_\Osteo_Sarco_1.png","RPT")</f>
        <v>RPT</v>
      </c>
      <c r="G1293" s="3">
        <v>129</v>
      </c>
      <c r="H1293" s="3"/>
    </row>
    <row r="1294" spans="1:8" x14ac:dyDescent="0.3">
      <c r="A1294" s="2">
        <v>5111032</v>
      </c>
      <c r="B1294" s="2">
        <v>71</v>
      </c>
      <c r="C1294" s="2" t="s">
        <v>5</v>
      </c>
      <c r="D1294" s="2">
        <v>140</v>
      </c>
      <c r="E1294" s="2"/>
      <c r="F1294" s="4" t="str">
        <f>HYPERLINK("./Results/DLO\20190501_1.2.410.200069.80820110186.1160115.20250823235917027282_730216_512_512_\Osteo_Sarco_1.png","RPT")</f>
        <v>RPT</v>
      </c>
      <c r="G1294" s="3">
        <v>127</v>
      </c>
      <c r="H1294" s="3"/>
    </row>
    <row r="1295" spans="1:8" x14ac:dyDescent="0.3">
      <c r="A1295" s="2">
        <v>5111602</v>
      </c>
      <c r="B1295" s="2">
        <v>62</v>
      </c>
      <c r="C1295" s="2" t="s">
        <v>6</v>
      </c>
      <c r="D1295" s="2">
        <v>100</v>
      </c>
      <c r="E1295" s="2"/>
      <c r="F1295" s="4" t="str">
        <f>HYPERLINK("./Results/DLO\20180301_1.3.12.2.1107.5.1.4.54310.30000018031823122465600002189_2_512_512_\Osteo_Sarco_1.png","RPT")</f>
        <v>RPT</v>
      </c>
      <c r="G1295" s="3">
        <v>128</v>
      </c>
      <c r="H1295" s="3"/>
    </row>
    <row r="1296" spans="1:8" x14ac:dyDescent="0.3">
      <c r="A1296" s="2">
        <v>5113232</v>
      </c>
      <c r="B1296" s="2">
        <v>72</v>
      </c>
      <c r="C1296" s="2" t="s">
        <v>6</v>
      </c>
      <c r="D1296" s="2">
        <v>100</v>
      </c>
      <c r="E1296" s="2"/>
      <c r="F1296" s="4" t="str">
        <f>HYPERLINK("./Results/DLO\20180401_1.3.12.2.1107.5.1.4.54310.30000018040423123057800056200_3_512_512_\Osteo_Sarco_1.png","RPT")</f>
        <v>RPT</v>
      </c>
      <c r="G1296" s="3">
        <v>95</v>
      </c>
      <c r="H1296" s="3"/>
    </row>
    <row r="1297" spans="1:8" x14ac:dyDescent="0.3">
      <c r="A1297" s="2">
        <v>5113232</v>
      </c>
      <c r="B1297" s="2">
        <v>72</v>
      </c>
      <c r="C1297" s="2" t="s">
        <v>6</v>
      </c>
      <c r="D1297" s="2">
        <v>120</v>
      </c>
      <c r="E1297" s="2"/>
      <c r="F1297" s="4" t="str">
        <f>HYPERLINK("./Results/DLO\20180401_1.3.12.2.1107.5.1.4.54310.30000018040423123057800056589_7_512_512_\Osteo_Sarco_1.png","RPT")</f>
        <v>RPT</v>
      </c>
      <c r="G1297" s="3">
        <v>87</v>
      </c>
      <c r="H1297" s="3"/>
    </row>
    <row r="1298" spans="1:8" x14ac:dyDescent="0.3">
      <c r="A1298" s="2">
        <v>5113232</v>
      </c>
      <c r="B1298" s="2">
        <v>72</v>
      </c>
      <c r="C1298" s="2" t="s">
        <v>6</v>
      </c>
      <c r="D1298" s="2">
        <v>120</v>
      </c>
      <c r="E1298" s="2"/>
      <c r="F1298" s="4" t="str">
        <f>HYPERLINK("./Results/DLO\20180401_1.3.12.2.1107.5.1.4.54310.30000018040423123057800056827_9_512_512_\Osteo_Sarco_1.png","RPT")</f>
        <v>RPT</v>
      </c>
      <c r="G1298" s="3">
        <v>86</v>
      </c>
      <c r="H1298" s="3"/>
    </row>
    <row r="1299" spans="1:8" x14ac:dyDescent="0.3">
      <c r="A1299" s="2">
        <v>5116531</v>
      </c>
      <c r="B1299" s="2">
        <v>61</v>
      </c>
      <c r="C1299" s="2" t="s">
        <v>6</v>
      </c>
      <c r="D1299" s="2">
        <v>100</v>
      </c>
      <c r="E1299" s="2"/>
      <c r="F1299" s="4" t="str">
        <f>HYPERLINK("./Results/DLO\20200501_1.3.46.670589.33.1.63725569159084257300001.5625522302172715930_301_512_512_\Osteo_Sarco_1.png","RPT")</f>
        <v>RPT</v>
      </c>
      <c r="G1299" s="3">
        <v>96</v>
      </c>
      <c r="H1299" s="3"/>
    </row>
    <row r="1300" spans="1:8" x14ac:dyDescent="0.3">
      <c r="A1300" s="2">
        <v>5116531</v>
      </c>
      <c r="B1300" s="2">
        <v>61</v>
      </c>
      <c r="C1300" s="2" t="s">
        <v>6</v>
      </c>
      <c r="D1300" s="2">
        <v>100</v>
      </c>
      <c r="E1300" s="2"/>
      <c r="F1300" s="4" t="str">
        <f>HYPERLINK("./Results/DLO\20200501_1.3.46.670589.33.1.63725569056052364200001.4781798020740391096_201_512_512_\Osteo_Sarco_1.png","RPT")</f>
        <v>RPT</v>
      </c>
      <c r="G1300" s="3">
        <v>91</v>
      </c>
      <c r="H1300" s="3"/>
    </row>
    <row r="1301" spans="1:8" x14ac:dyDescent="0.3">
      <c r="A1301" s="2">
        <v>5121596</v>
      </c>
      <c r="B1301" s="2">
        <v>67</v>
      </c>
      <c r="C1301" s="2" t="s">
        <v>5</v>
      </c>
      <c r="D1301" s="2">
        <v>100</v>
      </c>
      <c r="E1301" s="2"/>
      <c r="F1301" s="4" t="str">
        <f>HYPERLINK("./Results/DLO\20180801_1.3.12.2.1107.5.1.4.54310.30000018081923063898400030511_4_512_512_\Osteo_Sarco_1.png","RPT")</f>
        <v>RPT</v>
      </c>
      <c r="G1301" s="3">
        <v>181</v>
      </c>
      <c r="H1301" s="3"/>
    </row>
    <row r="1302" spans="1:8" x14ac:dyDescent="0.3">
      <c r="A1302" s="2">
        <v>5121596</v>
      </c>
      <c r="B1302" s="2">
        <v>67</v>
      </c>
      <c r="C1302" s="2" t="s">
        <v>5</v>
      </c>
      <c r="D1302" s="2">
        <v>100</v>
      </c>
      <c r="E1302" s="2"/>
      <c r="F1302" s="4" t="str">
        <f>HYPERLINK("./Results/DLO\20180801_1.3.12.2.1107.5.1.4.54310.30000018081923063898400033722_6_512_512_\Osteo_Sarco_1.png","RPT")</f>
        <v>RPT</v>
      </c>
      <c r="G1302" s="3">
        <v>171</v>
      </c>
      <c r="H1302" s="3"/>
    </row>
    <row r="1303" spans="1:8" x14ac:dyDescent="0.3">
      <c r="A1303" s="2">
        <v>5131525</v>
      </c>
      <c r="B1303" s="2">
        <v>57</v>
      </c>
      <c r="C1303" s="2" t="s">
        <v>5</v>
      </c>
      <c r="D1303" s="2">
        <v>100</v>
      </c>
      <c r="E1303" s="2"/>
      <c r="F1303" s="4" t="str">
        <f>HYPERLINK("./Results/DLO\20180201_1.3.46.670589.33.1.63653677776656403800001.5385845534513995745_301_512_512_\Osteo_Sarco_1.png","RPT")</f>
        <v>RPT</v>
      </c>
      <c r="G1303" s="3">
        <v>165</v>
      </c>
      <c r="H1303" s="3"/>
    </row>
    <row r="1304" spans="1:8" x14ac:dyDescent="0.3">
      <c r="A1304" s="2">
        <v>5131525</v>
      </c>
      <c r="B1304" s="2">
        <v>57</v>
      </c>
      <c r="C1304" s="2" t="s">
        <v>5</v>
      </c>
      <c r="D1304" s="2">
        <v>100</v>
      </c>
      <c r="E1304" s="2"/>
      <c r="F1304" s="4" t="str">
        <f>HYPERLINK("./Results/DLO\20180201_1.3.46.670589.33.1.63653677652528304100001.5517351163593947148_201_512_512_\Osteo_Sarco_1.png","RPT")</f>
        <v>RPT</v>
      </c>
      <c r="G1304" s="3">
        <v>163</v>
      </c>
      <c r="H1304" s="3"/>
    </row>
    <row r="1305" spans="1:8" x14ac:dyDescent="0.3">
      <c r="A1305" s="2">
        <v>5131631</v>
      </c>
      <c r="B1305" s="2">
        <v>62</v>
      </c>
      <c r="C1305" s="2" t="s">
        <v>6</v>
      </c>
      <c r="D1305" s="2">
        <v>100</v>
      </c>
      <c r="E1305" s="2"/>
      <c r="F1305" s="4" t="str">
        <f>HYPERLINK("./Results/DLO\20181001_1.3.12.2.1107.5.1.4.54310.30000018100323223954600015916_2_512_512_\Osteo_Sarco_1.png","RPT")</f>
        <v>RPT</v>
      </c>
      <c r="G1305" s="3">
        <v>87</v>
      </c>
      <c r="H1305" s="3"/>
    </row>
    <row r="1306" spans="1:8" x14ac:dyDescent="0.3">
      <c r="A1306" s="2">
        <v>5138913</v>
      </c>
      <c r="B1306" s="2">
        <v>81</v>
      </c>
      <c r="C1306" s="2" t="s">
        <v>6</v>
      </c>
      <c r="D1306" s="2">
        <v>100</v>
      </c>
      <c r="E1306" s="2"/>
      <c r="F1306" s="4" t="str">
        <f>HYPERLINK("./Results/DLO\20181101_1.3.12.2.1107.5.1.4.65253.30000018112720194887000014545_7_512_512_\Osteo_Sarco_1.png","RPT")</f>
        <v>RPT</v>
      </c>
      <c r="G1306" s="3">
        <v>100</v>
      </c>
      <c r="H1306" s="3"/>
    </row>
    <row r="1307" spans="1:8" x14ac:dyDescent="0.3">
      <c r="A1307" s="2">
        <v>5138913</v>
      </c>
      <c r="B1307" s="2">
        <v>81</v>
      </c>
      <c r="C1307" s="2" t="s">
        <v>6</v>
      </c>
      <c r="D1307" s="2">
        <v>100</v>
      </c>
      <c r="E1307" s="2"/>
      <c r="F1307" s="4" t="str">
        <f>HYPERLINK("./Results/DLO\20181101_1.3.12.2.1107.5.1.4.65253.30000018112720194887000014784_9_512_512_\Osteo_Sarco_1.png","RPT")</f>
        <v>RPT</v>
      </c>
      <c r="G1307" s="3">
        <v>99</v>
      </c>
      <c r="H1307" s="3"/>
    </row>
    <row r="1308" spans="1:8" x14ac:dyDescent="0.3">
      <c r="A1308" s="2">
        <v>5138913</v>
      </c>
      <c r="B1308" s="2">
        <v>81</v>
      </c>
      <c r="C1308" s="2" t="s">
        <v>6</v>
      </c>
      <c r="D1308" s="2">
        <v>100</v>
      </c>
      <c r="E1308" s="2"/>
      <c r="F1308" s="4" t="str">
        <f>HYPERLINK("./Results/DLO\20181101_1.3.12.2.1107.5.1.4.65253.30000018112720194887000014170_5_512_512_\Osteo_Sarco_1.png","RPT")</f>
        <v>RPT</v>
      </c>
      <c r="G1308" s="3">
        <v>98</v>
      </c>
      <c r="H1308" s="3"/>
    </row>
    <row r="1309" spans="1:8" x14ac:dyDescent="0.3">
      <c r="A1309" s="2">
        <v>5139514</v>
      </c>
      <c r="B1309" s="2">
        <v>59</v>
      </c>
      <c r="C1309" s="2" t="s">
        <v>6</v>
      </c>
      <c r="D1309" s="2">
        <v>100</v>
      </c>
      <c r="E1309" s="2"/>
      <c r="F1309" s="4" t="str">
        <f>HYPERLINK("./Results/DLO\20181201_1.3.12.2.1107.5.1.4.65253.30000018122519362635700029693_2_512_512_\Osteo_Sarco_1.png","RPT")</f>
        <v>RPT</v>
      </c>
      <c r="G1309" s="3">
        <v>135</v>
      </c>
      <c r="H1309" s="3"/>
    </row>
    <row r="1310" spans="1:8" x14ac:dyDescent="0.3">
      <c r="A1310" s="2">
        <v>5142357</v>
      </c>
      <c r="B1310" s="2">
        <v>62</v>
      </c>
      <c r="C1310" s="2" t="s">
        <v>6</v>
      </c>
      <c r="D1310" s="2">
        <v>120</v>
      </c>
      <c r="E1310" s="2"/>
      <c r="F1310" s="4" t="str">
        <f>HYPERLINK("./Results/DLO\20190301_1.3.12.2.1107.5.1.4.54310.30000019032523301885900003679_9_512_512_\Osteo_Sarco_1.png","RPT")</f>
        <v>RPT</v>
      </c>
      <c r="G1310" s="3">
        <v>112</v>
      </c>
      <c r="H1310" s="3"/>
    </row>
    <row r="1311" spans="1:8" x14ac:dyDescent="0.3">
      <c r="A1311" s="2">
        <v>5142357</v>
      </c>
      <c r="B1311" s="2">
        <v>62</v>
      </c>
      <c r="C1311" s="2" t="s">
        <v>6</v>
      </c>
      <c r="D1311" s="2">
        <v>120</v>
      </c>
      <c r="E1311" s="2"/>
      <c r="F1311" s="4" t="str">
        <f>HYPERLINK("./Results/DLO\20190301_1.3.12.2.1107.5.1.4.54310.30000019032523301885900003048_5_512_512_\Osteo_Sarco_1.png","RPT")</f>
        <v>RPT</v>
      </c>
      <c r="G1311" s="3">
        <v>111</v>
      </c>
      <c r="H1311" s="3"/>
    </row>
    <row r="1312" spans="1:8" x14ac:dyDescent="0.3">
      <c r="A1312" s="2">
        <v>5142357</v>
      </c>
      <c r="B1312" s="2">
        <v>62</v>
      </c>
      <c r="C1312" s="2" t="s">
        <v>6</v>
      </c>
      <c r="D1312" s="2">
        <v>120</v>
      </c>
      <c r="E1312" s="2"/>
      <c r="F1312" s="4" t="str">
        <f>HYPERLINK("./Results/DLO\20190301_1.3.12.2.1107.5.1.4.54310.30000019032523301885900003414_7_512_512_\Osteo_Sarco_1.png","RPT")</f>
        <v>RPT</v>
      </c>
      <c r="G1312" s="3">
        <v>111</v>
      </c>
      <c r="H1312" s="3"/>
    </row>
    <row r="1313" spans="1:8" x14ac:dyDescent="0.3">
      <c r="A1313" s="2">
        <v>5142357</v>
      </c>
      <c r="B1313" s="2">
        <v>62</v>
      </c>
      <c r="C1313" s="2" t="s">
        <v>6</v>
      </c>
      <c r="D1313" s="2">
        <v>100</v>
      </c>
      <c r="E1313" s="2"/>
      <c r="F1313" s="4" t="str">
        <f>HYPERLINK("./Results/DLO\20190301_1.3.12.2.1107.5.1.4.54310.30000019032523301885900002956_3_512_512_\Osteo_Sarco_1.png","RPT")</f>
        <v>RPT</v>
      </c>
      <c r="G1313" s="3">
        <v>110</v>
      </c>
      <c r="H1313" s="3"/>
    </row>
    <row r="1314" spans="1:8" x14ac:dyDescent="0.3">
      <c r="A1314" s="2">
        <v>5142813</v>
      </c>
      <c r="B1314" s="2">
        <v>63</v>
      </c>
      <c r="C1314" s="2" t="s">
        <v>5</v>
      </c>
      <c r="D1314" s="2">
        <v>120</v>
      </c>
      <c r="E1314" s="2"/>
      <c r="F1314" s="4" t="str">
        <f>HYPERLINK("./Results/DLO\20180801_1.2.840.113619.2.94.485650834948.2.8990804.19502905.1_2_512_512_\Osteo_Sarco_1.png","RPT")</f>
        <v>RPT</v>
      </c>
      <c r="G1314" s="3">
        <v>138</v>
      </c>
      <c r="H1314" s="3"/>
    </row>
    <row r="1315" spans="1:8" x14ac:dyDescent="0.3">
      <c r="A1315" s="2">
        <v>5142895</v>
      </c>
      <c r="B1315" s="2">
        <v>81</v>
      </c>
      <c r="C1315" s="2" t="s">
        <v>6</v>
      </c>
      <c r="D1315" s="2">
        <v>100</v>
      </c>
      <c r="E1315" s="2"/>
      <c r="F1315" s="4" t="str">
        <f>HYPERLINK("./Results/DLO\20181101_1.3.12.2.1107.5.1.4.65253.30000018110319230337000066809_9_512_512_\Osteo_Sarco_1.png","RPT")</f>
        <v>RPT</v>
      </c>
      <c r="G1315" s="3">
        <v>73</v>
      </c>
      <c r="H1315" s="3"/>
    </row>
    <row r="1316" spans="1:8" x14ac:dyDescent="0.3">
      <c r="A1316" s="2">
        <v>5142895</v>
      </c>
      <c r="B1316" s="2">
        <v>81</v>
      </c>
      <c r="C1316" s="2" t="s">
        <v>6</v>
      </c>
      <c r="D1316" s="2">
        <v>100</v>
      </c>
      <c r="E1316" s="2"/>
      <c r="F1316" s="4" t="str">
        <f>HYPERLINK("./Results/DLO\20181101_1.3.12.2.1107.5.1.4.65253.30000018110400365192100004509_2_512_512_\Osteo_Sarco_1.png","RPT")</f>
        <v>RPT</v>
      </c>
      <c r="G1316" s="3">
        <v>64</v>
      </c>
      <c r="H1316" s="3"/>
    </row>
    <row r="1317" spans="1:8" x14ac:dyDescent="0.3">
      <c r="A1317" s="2">
        <v>5143661</v>
      </c>
      <c r="B1317" s="2">
        <v>73</v>
      </c>
      <c r="C1317" s="2" t="s">
        <v>5</v>
      </c>
      <c r="D1317" s="2">
        <v>140</v>
      </c>
      <c r="E1317" s="2"/>
      <c r="F1317" s="4" t="str">
        <f>HYPERLINK("./Results/DLO\20181001_1.2.840.113619.2.416.280387348042981328467038805639251950822_302_512_512_\Osteo_Sarco_1.png","RPT")</f>
        <v>RPT</v>
      </c>
      <c r="G1317" s="3">
        <v>117</v>
      </c>
      <c r="H1317" s="3"/>
    </row>
    <row r="1318" spans="1:8" x14ac:dyDescent="0.3">
      <c r="A1318" s="2">
        <v>5143661</v>
      </c>
      <c r="B1318" s="2">
        <v>73</v>
      </c>
      <c r="C1318" s="2" t="s">
        <v>5</v>
      </c>
      <c r="D1318" s="2">
        <v>120</v>
      </c>
      <c r="E1318" s="2"/>
      <c r="F1318" s="4" t="str">
        <f>HYPERLINK("./Results/DLO\20181001_1.2.840.113619.2.416.313318272255095578903819446600838609272_2_512_512_\Osteo_Sarco_1.png","RPT")</f>
        <v>RPT</v>
      </c>
      <c r="G1318" s="3">
        <v>115</v>
      </c>
      <c r="H1318" s="3"/>
    </row>
    <row r="1319" spans="1:8" x14ac:dyDescent="0.3">
      <c r="A1319" s="2">
        <v>5150101</v>
      </c>
      <c r="B1319" s="2">
        <v>56</v>
      </c>
      <c r="C1319" s="2" t="s">
        <v>6</v>
      </c>
      <c r="D1319" s="2">
        <v>100</v>
      </c>
      <c r="E1319" s="2"/>
      <c r="F1319" s="4" t="str">
        <f>HYPERLINK("./Results/DLO\20181201_1.2.840.113619.2.311.277302025558323392721221567776533597076_304_512_512_\Osteo_Sarco_1.png","RPT")</f>
        <v>RPT</v>
      </c>
      <c r="G1319" s="3">
        <v>102</v>
      </c>
      <c r="H1319" s="3"/>
    </row>
    <row r="1320" spans="1:8" x14ac:dyDescent="0.3">
      <c r="A1320" s="2">
        <v>5158026</v>
      </c>
      <c r="B1320" s="2">
        <v>61</v>
      </c>
      <c r="C1320" s="2" t="s">
        <v>5</v>
      </c>
      <c r="D1320" s="2">
        <v>100</v>
      </c>
      <c r="E1320" s="2"/>
      <c r="F1320" s="4" t="str">
        <f>HYPERLINK("./Results/DLO\20190901_1.3.12.2.1107.5.1.4.65253.30000019091621022448300077648_3_512_512_\Osteo_Sarco_1.png","RPT")</f>
        <v>RPT</v>
      </c>
      <c r="G1320" s="3">
        <v>176</v>
      </c>
      <c r="H1320" s="3"/>
    </row>
    <row r="1321" spans="1:8" x14ac:dyDescent="0.3">
      <c r="A1321" s="2">
        <v>5158026</v>
      </c>
      <c r="B1321" s="2">
        <v>61</v>
      </c>
      <c r="C1321" s="2" t="s">
        <v>5</v>
      </c>
      <c r="D1321" s="2">
        <v>100</v>
      </c>
      <c r="E1321" s="2"/>
      <c r="F1321" s="4" t="str">
        <f>HYPERLINK("./Results/DLO\20190901_1.3.12.2.1107.5.1.4.65253.30000019091621022448300077475_2_512_512_\Osteo_Sarco_1.png","RPT")</f>
        <v>RPT</v>
      </c>
      <c r="G1321" s="3">
        <v>174</v>
      </c>
      <c r="H1321" s="3"/>
    </row>
    <row r="1322" spans="1:8" x14ac:dyDescent="0.3">
      <c r="A1322" s="2">
        <v>5158796</v>
      </c>
      <c r="B1322" s="2">
        <v>48</v>
      </c>
      <c r="C1322" s="2" t="s">
        <v>6</v>
      </c>
      <c r="D1322" s="2">
        <v>100</v>
      </c>
      <c r="E1322" s="2"/>
      <c r="F1322" s="4" t="str">
        <f>HYPERLINK("./Results/DLO\20180401_1.2.840.113619.2.311.216925137507996477325177123145385037224_304_512_512_\Osteo_Sarco_1.png","RPT")</f>
        <v>RPT</v>
      </c>
      <c r="G1322" s="3">
        <v>99</v>
      </c>
      <c r="H1322" s="3"/>
    </row>
    <row r="1323" spans="1:8" x14ac:dyDescent="0.3">
      <c r="A1323" s="2">
        <v>5162501</v>
      </c>
      <c r="B1323" s="2">
        <v>60</v>
      </c>
      <c r="C1323" s="2" t="s">
        <v>6</v>
      </c>
      <c r="D1323" s="2">
        <v>100</v>
      </c>
      <c r="E1323" s="2"/>
      <c r="F1323" s="4" t="str">
        <f>HYPERLINK("./Results/DLO\20180201_1.3.12.2.1107.5.1.4.65253.30000018020521402596100063845_2_512_512_\Osteo_Sarco_1.png","RPT")</f>
        <v>RPT</v>
      </c>
      <c r="G1323" s="3">
        <v>97</v>
      </c>
      <c r="H1323" s="3"/>
    </row>
    <row r="1324" spans="1:8" x14ac:dyDescent="0.3">
      <c r="A1324" s="2">
        <v>5162501</v>
      </c>
      <c r="B1324" s="2">
        <v>60</v>
      </c>
      <c r="C1324" s="2" t="s">
        <v>6</v>
      </c>
      <c r="D1324" s="2">
        <v>100</v>
      </c>
      <c r="E1324" s="2"/>
      <c r="F1324" s="4" t="str">
        <f>HYPERLINK("./Results/DLO\20180201_1.3.12.2.1107.5.1.4.65253.30000018020521561162500006350_3_512_512_\Osteo_Sarco_1.png","RPT")</f>
        <v>RPT</v>
      </c>
      <c r="G1324" s="3">
        <v>96</v>
      </c>
      <c r="H1324" s="3"/>
    </row>
    <row r="1325" spans="1:8" x14ac:dyDescent="0.3">
      <c r="A1325" s="2">
        <v>5168281</v>
      </c>
      <c r="B1325" s="2">
        <v>68</v>
      </c>
      <c r="C1325" s="2" t="s">
        <v>6</v>
      </c>
      <c r="D1325" s="2">
        <v>120</v>
      </c>
      <c r="E1325" s="2"/>
      <c r="F1325" s="4" t="str">
        <f>HYPERLINK("./Results/DLO\20180301_1.3.12.2.1107.5.1.4.54310.30000018030123102523400023154_9_512_512_\Osteo_Sarco_1.png","RPT")</f>
        <v>RPT</v>
      </c>
      <c r="G1325" s="3">
        <v>83</v>
      </c>
      <c r="H1325" s="3"/>
    </row>
    <row r="1326" spans="1:8" x14ac:dyDescent="0.3">
      <c r="A1326" s="2">
        <v>5168281</v>
      </c>
      <c r="B1326" s="2">
        <v>68</v>
      </c>
      <c r="C1326" s="2" t="s">
        <v>6</v>
      </c>
      <c r="D1326" s="2">
        <v>120</v>
      </c>
      <c r="E1326" s="2"/>
      <c r="F1326" s="4" t="str">
        <f>HYPERLINK("./Results/DLO\20180301_1.3.12.2.1107.5.1.4.54310.30000018030123102523400022896_7_512_512_\Osteo_Sarco_1.png","RPT")</f>
        <v>RPT</v>
      </c>
      <c r="G1326" s="3">
        <v>82</v>
      </c>
      <c r="H1326" s="3"/>
    </row>
    <row r="1327" spans="1:8" x14ac:dyDescent="0.3">
      <c r="A1327" s="2">
        <v>5168281</v>
      </c>
      <c r="B1327" s="2">
        <v>68</v>
      </c>
      <c r="C1327" s="2" t="s">
        <v>6</v>
      </c>
      <c r="D1327" s="2">
        <v>120</v>
      </c>
      <c r="E1327" s="2"/>
      <c r="F1327" s="4" t="str">
        <f>HYPERLINK("./Results/DLO\20180301_1.3.12.2.1107.5.1.4.54310.30000018030123102523400022538_5_512_512_\Osteo_Sarco_1.png","RPT")</f>
        <v>RPT</v>
      </c>
      <c r="G1327" s="3">
        <v>80</v>
      </c>
      <c r="H1327" s="3"/>
    </row>
    <row r="1328" spans="1:8" x14ac:dyDescent="0.3">
      <c r="A1328" s="2">
        <v>5168281</v>
      </c>
      <c r="B1328" s="2">
        <v>68</v>
      </c>
      <c r="C1328" s="2" t="s">
        <v>6</v>
      </c>
      <c r="D1328" s="2">
        <v>100</v>
      </c>
      <c r="E1328" s="2"/>
      <c r="F1328" s="4" t="str">
        <f>HYPERLINK("./Results/DLO\20180301_1.3.12.2.1107.5.1.4.54310.30000018030123102523400022446_3_512_512_\Osteo_Sarco_1.png","RPT")</f>
        <v>RPT</v>
      </c>
      <c r="G1328" s="3">
        <v>79</v>
      </c>
      <c r="H1328" s="3"/>
    </row>
    <row r="1329" spans="1:8" x14ac:dyDescent="0.3">
      <c r="A1329" s="2">
        <v>5169511</v>
      </c>
      <c r="B1329" s="2">
        <v>78</v>
      </c>
      <c r="C1329" s="2" t="s">
        <v>5</v>
      </c>
      <c r="D1329" s="2">
        <v>100</v>
      </c>
      <c r="E1329" s="2"/>
      <c r="F1329" s="4" t="str">
        <f>HYPERLINK("./Results/DLO\20180601_1.3.12.2.1107.5.1.4.65253.30000018060620205455600061540_2_512_512_\Osteo_Sarco_1.png","RPT")</f>
        <v>RPT</v>
      </c>
      <c r="G1329" s="3">
        <v>94</v>
      </c>
      <c r="H1329" s="3"/>
    </row>
    <row r="1330" spans="1:8" x14ac:dyDescent="0.3">
      <c r="A1330" s="2">
        <v>5169511</v>
      </c>
      <c r="B1330" s="2">
        <v>78</v>
      </c>
      <c r="C1330" s="2" t="s">
        <v>5</v>
      </c>
      <c r="D1330" s="2">
        <v>100</v>
      </c>
      <c r="E1330" s="2"/>
      <c r="F1330" s="4" t="str">
        <f>HYPERLINK("./Results/DLO\20180601_1.3.12.2.1107.5.1.4.65253.30000018060620205455600061679_3_512_512_\Osteo_Sarco_1.png","RPT")</f>
        <v>RPT</v>
      </c>
      <c r="G1330" s="3">
        <v>93</v>
      </c>
      <c r="H1330" s="3"/>
    </row>
    <row r="1331" spans="1:8" x14ac:dyDescent="0.3">
      <c r="A1331" s="2">
        <v>5171351</v>
      </c>
      <c r="B1331" s="2">
        <v>62</v>
      </c>
      <c r="C1331" s="2" t="s">
        <v>6</v>
      </c>
      <c r="D1331" s="2">
        <v>100</v>
      </c>
      <c r="E1331" s="2"/>
      <c r="F1331" s="4" t="str">
        <f>HYPERLINK("./Results/DLO\20190201_1.3.12.2.1107.5.1.4.65253.30000019021419584686600031524_2_512_512_\Osteo_Sarco_1.png","RPT")</f>
        <v>RPT</v>
      </c>
      <c r="G1331" s="3">
        <v>89</v>
      </c>
      <c r="H1331" s="3"/>
    </row>
    <row r="1332" spans="1:8" x14ac:dyDescent="0.3">
      <c r="A1332" s="2">
        <v>5177782</v>
      </c>
      <c r="B1332" s="2">
        <v>76</v>
      </c>
      <c r="C1332" s="2" t="s">
        <v>6</v>
      </c>
      <c r="D1332" s="2">
        <v>100</v>
      </c>
      <c r="E1332" s="2"/>
      <c r="F1332" s="4" t="str">
        <f>HYPERLINK("./Results/DLO\20190501_1.3.46.670589.33.1.63692926835035536300001.5202341148563530060_601_512_512_\Osteo_Sarco_1.png","RPT")</f>
        <v>RPT</v>
      </c>
      <c r="G1332" s="3">
        <v>118</v>
      </c>
      <c r="H1332" s="3"/>
    </row>
    <row r="1333" spans="1:8" x14ac:dyDescent="0.3">
      <c r="A1333" s="2">
        <v>5177782</v>
      </c>
      <c r="B1333" s="2">
        <v>76</v>
      </c>
      <c r="C1333" s="2" t="s">
        <v>6</v>
      </c>
      <c r="D1333" s="2">
        <v>100</v>
      </c>
      <c r="E1333" s="2"/>
      <c r="F1333" s="4" t="str">
        <f>HYPERLINK("./Results/DLO\20190501_1.3.46.670589.33.1.63692926668675021000001.4690990540733023597_201_512_512_\Osteo_Sarco_1.png","RPT")</f>
        <v>RPT</v>
      </c>
      <c r="G1333" s="3">
        <v>116</v>
      </c>
      <c r="H1333" s="3"/>
    </row>
    <row r="1334" spans="1:8" x14ac:dyDescent="0.3">
      <c r="A1334" s="2">
        <v>5177990</v>
      </c>
      <c r="B1334" s="2">
        <v>34</v>
      </c>
      <c r="C1334" s="2" t="s">
        <v>5</v>
      </c>
      <c r="D1334" s="2">
        <v>100</v>
      </c>
      <c r="E1334" s="2"/>
      <c r="F1334" s="4" t="str">
        <f>HYPERLINK("./Results/DLO\20181001_1.3.12.2.1107.5.1.4.54310.30000018102223082700000042645_3_512_512_\Osteo_Sarco_1.png","RPT")</f>
        <v>RPT</v>
      </c>
      <c r="G1334" s="3">
        <v>182</v>
      </c>
      <c r="H1334" s="3"/>
    </row>
    <row r="1335" spans="1:8" x14ac:dyDescent="0.3">
      <c r="A1335" s="2">
        <v>5177990</v>
      </c>
      <c r="B1335" s="2">
        <v>34</v>
      </c>
      <c r="C1335" s="2" t="s">
        <v>5</v>
      </c>
      <c r="D1335" s="2">
        <v>100</v>
      </c>
      <c r="E1335" s="2"/>
      <c r="F1335" s="4" t="str">
        <f>HYPERLINK("./Results/DLO\20181001_1.3.12.2.1107.5.1.4.54310.30000018102223082700000042473_2_512_512_\Osteo_Sarco_1.png","RPT")</f>
        <v>RPT</v>
      </c>
      <c r="G1335" s="3">
        <v>181</v>
      </c>
      <c r="H1335" s="3"/>
    </row>
    <row r="1336" spans="1:8" x14ac:dyDescent="0.3">
      <c r="A1336" s="2">
        <v>5191860</v>
      </c>
      <c r="B1336" s="2">
        <v>61</v>
      </c>
      <c r="C1336" s="2" t="s">
        <v>6</v>
      </c>
      <c r="D1336" s="2">
        <v>100</v>
      </c>
      <c r="E1336" s="2"/>
      <c r="F1336" s="4" t="str">
        <f>HYPERLINK("./Results/DLO\20200201_1.2.840.113619.2.416.78233471538649871174653582994245861097_310_512_512_\Osteo_Sarco_1.png","RPT")</f>
        <v>RPT</v>
      </c>
      <c r="G1336" s="3">
        <v>104</v>
      </c>
      <c r="H1336" s="3"/>
    </row>
    <row r="1337" spans="1:8" x14ac:dyDescent="0.3">
      <c r="A1337" s="2">
        <v>5193001</v>
      </c>
      <c r="B1337" s="2">
        <v>58</v>
      </c>
      <c r="C1337" s="2" t="s">
        <v>5</v>
      </c>
      <c r="D1337" s="2">
        <v>100</v>
      </c>
      <c r="E1337" s="2"/>
      <c r="F1337" s="4" t="str">
        <f>HYPERLINK("./Results/DLO\20200101_1.2.410.100011.172.16.68.114.6371512474547706241.3_3_512_512_\Osteo_Sarco_1.png","RPT")</f>
        <v>RPT</v>
      </c>
      <c r="G1337" s="3">
        <v>184</v>
      </c>
      <c r="H1337" s="3"/>
    </row>
    <row r="1338" spans="1:8" x14ac:dyDescent="0.3">
      <c r="A1338" s="2">
        <v>5193001</v>
      </c>
      <c r="B1338" s="2">
        <v>58</v>
      </c>
      <c r="C1338" s="2" t="s">
        <v>5</v>
      </c>
      <c r="D1338" s="2">
        <v>100</v>
      </c>
      <c r="E1338" s="2"/>
      <c r="F1338" s="4" t="str">
        <f>HYPERLINK("./Results/DLO\20200101_1.2.410.100011.172.16.68.114.6371512474547706241.6_6_512_512_\Osteo_Sarco_1.png","RPT")</f>
        <v>RPT</v>
      </c>
      <c r="G1338" s="3">
        <v>177</v>
      </c>
      <c r="H1338" s="3"/>
    </row>
    <row r="1339" spans="1:8" x14ac:dyDescent="0.3">
      <c r="A1339" s="2">
        <v>5193001</v>
      </c>
      <c r="B1339" s="2">
        <v>58</v>
      </c>
      <c r="C1339" s="2" t="s">
        <v>5</v>
      </c>
      <c r="D1339" s="2">
        <v>100</v>
      </c>
      <c r="E1339" s="2"/>
      <c r="F1339" s="4" t="str">
        <f>HYPERLINK("./Results/DLO\20200101_1.2.410.100011.172.16.68.114.6371512474547706241.2_2_512_512_\Osteo_Sarco_1.png","RPT")</f>
        <v>RPT</v>
      </c>
      <c r="G1339" s="3">
        <v>176</v>
      </c>
      <c r="H1339" s="3"/>
    </row>
    <row r="1340" spans="1:8" x14ac:dyDescent="0.3">
      <c r="A1340" s="2">
        <v>5193001</v>
      </c>
      <c r="B1340" s="2">
        <v>58</v>
      </c>
      <c r="C1340" s="2" t="s">
        <v>5</v>
      </c>
      <c r="D1340" s="2">
        <v>100</v>
      </c>
      <c r="E1340" s="2"/>
      <c r="F1340" s="4" t="str">
        <f>HYPERLINK("./Results/DLO\20200101_1.2.410.100011.172.16.68.114.6371512474547706241.8_8_512_512_\Osteo_Sarco_1.png","RPT")</f>
        <v>RPT</v>
      </c>
      <c r="G1340" s="3">
        <v>173</v>
      </c>
      <c r="H1340" s="3"/>
    </row>
    <row r="1341" spans="1:8" x14ac:dyDescent="0.3">
      <c r="A1341" s="2">
        <v>5193831</v>
      </c>
      <c r="B1341" s="2">
        <v>63</v>
      </c>
      <c r="C1341" s="2" t="s">
        <v>6</v>
      </c>
      <c r="D1341" s="2">
        <v>100</v>
      </c>
      <c r="E1341" s="2"/>
      <c r="F1341" s="4" t="str">
        <f>HYPERLINK("./Results/DLO\20180401_1.3.46.670589.33.1.63658956696541751300001.5644887033988533569_201_512_512_\Osteo_Sarco_1.png","RPT")</f>
        <v>RPT</v>
      </c>
      <c r="G1341" s="3">
        <v>93</v>
      </c>
      <c r="H1341" s="3"/>
    </row>
    <row r="1342" spans="1:8" x14ac:dyDescent="0.3">
      <c r="A1342" s="2">
        <v>5200529</v>
      </c>
      <c r="B1342" s="2">
        <v>70</v>
      </c>
      <c r="C1342" s="2" t="s">
        <v>6</v>
      </c>
      <c r="D1342" s="2">
        <v>100</v>
      </c>
      <c r="E1342" s="2"/>
      <c r="F1342" s="4" t="str">
        <f>HYPERLINK("./Results/DLO\20180701_1.2.840.113619.2.311.293637229565030878823533414550022550290_304_512_512_\Osteo_Sarco_1.png","RPT")</f>
        <v>RPT</v>
      </c>
      <c r="G1342" s="3">
        <v>104</v>
      </c>
      <c r="H1342" s="3"/>
    </row>
    <row r="1343" spans="1:8" x14ac:dyDescent="0.3">
      <c r="A1343" s="2">
        <v>5202232</v>
      </c>
      <c r="B1343" s="2">
        <v>73</v>
      </c>
      <c r="C1343" s="2" t="s">
        <v>6</v>
      </c>
      <c r="D1343" s="2">
        <v>100</v>
      </c>
      <c r="E1343" s="2"/>
      <c r="F1343" s="4" t="str">
        <f>HYPERLINK("./Results/DLO\20200301_1.3.12.2.1107.5.1.4.54310.30000020032221101504600015323_2_512_512_\Osteo_Sarco_1.png","RPT")</f>
        <v>RPT</v>
      </c>
      <c r="G1343" s="3">
        <v>101</v>
      </c>
      <c r="H1343" s="3"/>
    </row>
    <row r="1344" spans="1:8" x14ac:dyDescent="0.3">
      <c r="A1344" s="2">
        <v>5203638</v>
      </c>
      <c r="B1344" s="2">
        <v>59</v>
      </c>
      <c r="C1344" s="2" t="s">
        <v>6</v>
      </c>
      <c r="D1344" s="2">
        <v>100</v>
      </c>
      <c r="E1344" s="2"/>
      <c r="F1344" s="4" t="str">
        <f>HYPERLINK("./Results/DLO\20180501_1.2.840.113619.2.311.264192054861343587389442421870784130557_306_512_512_\Osteo_Sarco_1.png","RPT")</f>
        <v>RPT</v>
      </c>
      <c r="G1344" s="3">
        <v>121</v>
      </c>
      <c r="H1344" s="3"/>
    </row>
    <row r="1345" spans="1:8" x14ac:dyDescent="0.3">
      <c r="A1345" s="2">
        <v>5208114</v>
      </c>
      <c r="B1345" s="2">
        <v>80</v>
      </c>
      <c r="C1345" s="2" t="s">
        <v>6</v>
      </c>
      <c r="D1345" s="2">
        <v>100</v>
      </c>
      <c r="E1345" s="2"/>
      <c r="F1345" s="4" t="str">
        <f>HYPERLINK("./Results/DLO\20180301_1.3.12.2.1107.5.1.4.65253.30000018030417255907500113774_2_512_512_\Osteo_Sarco_1.png","RPT")</f>
        <v>RPT</v>
      </c>
      <c r="G1345" s="3">
        <v>105</v>
      </c>
      <c r="H1345" s="3"/>
    </row>
    <row r="1346" spans="1:8" x14ac:dyDescent="0.3">
      <c r="A1346" s="2">
        <v>5216965</v>
      </c>
      <c r="B1346" s="2">
        <v>53</v>
      </c>
      <c r="C1346" s="2" t="s">
        <v>6</v>
      </c>
      <c r="D1346" s="2">
        <v>100</v>
      </c>
      <c r="E1346" s="2"/>
      <c r="F1346" s="4" t="str">
        <f>HYPERLINK("./Results/DLO\20180301_1.3.12.2.1107.5.1.4.65253.30000018032017385746600056200_2_512_512_\Osteo_Sarco_1.png","RPT")</f>
        <v>RPT</v>
      </c>
      <c r="G1346" s="3">
        <v>107</v>
      </c>
      <c r="H1346" s="3"/>
    </row>
    <row r="1347" spans="1:8" x14ac:dyDescent="0.3">
      <c r="A1347" s="2">
        <v>5220865</v>
      </c>
      <c r="B1347" s="2">
        <v>80</v>
      </c>
      <c r="C1347" s="2" t="s">
        <v>6</v>
      </c>
      <c r="D1347" s="2">
        <v>140</v>
      </c>
      <c r="E1347" s="2"/>
      <c r="F1347" s="4" t="str">
        <f>HYPERLINK("./Results/DLO\20190801_1.2.840.113619.2.416.192144653638840344623303066848325545238_310_512_512_\Osteo_Sarco_1.png","RPT")</f>
        <v>RPT</v>
      </c>
      <c r="G1347" s="3">
        <v>67</v>
      </c>
      <c r="H1347" s="3"/>
    </row>
    <row r="1348" spans="1:8" x14ac:dyDescent="0.3">
      <c r="A1348" s="2">
        <v>5220865</v>
      </c>
      <c r="B1348" s="2">
        <v>80</v>
      </c>
      <c r="C1348" s="2" t="s">
        <v>6</v>
      </c>
      <c r="D1348" s="2">
        <v>140</v>
      </c>
      <c r="E1348" s="2"/>
      <c r="F1348" s="4" t="str">
        <f>HYPERLINK("./Results/DLO\20190801_1.2.840.113619.2.416.57734965065083338769769908486729870600_307_512_512_\Osteo_Sarco_1.png","RPT")</f>
        <v>RPT</v>
      </c>
      <c r="G1348" s="3">
        <v>57</v>
      </c>
      <c r="H1348" s="3"/>
    </row>
    <row r="1349" spans="1:8" x14ac:dyDescent="0.3">
      <c r="A1349" s="2">
        <v>5226958</v>
      </c>
      <c r="B1349" s="2">
        <v>57</v>
      </c>
      <c r="C1349" s="2" t="s">
        <v>5</v>
      </c>
      <c r="D1349" s="2">
        <v>100</v>
      </c>
      <c r="E1349" s="2"/>
      <c r="F1349" s="4" t="str">
        <f>HYPERLINK("./Results/DLO\20181201_1.3.46.670589.33.1.63679429472469600000001.5370005735733794665_201_512_512_\Osteo_Sarco_1.png","RPT")</f>
        <v>RPT</v>
      </c>
      <c r="G1349" s="3">
        <v>160</v>
      </c>
      <c r="H1349" s="3"/>
    </row>
    <row r="1350" spans="1:8" x14ac:dyDescent="0.3">
      <c r="A1350" s="2">
        <v>5236593</v>
      </c>
      <c r="B1350" s="2">
        <v>67</v>
      </c>
      <c r="C1350" s="2" t="s">
        <v>6</v>
      </c>
      <c r="D1350" s="2">
        <v>100</v>
      </c>
      <c r="E1350" s="2"/>
      <c r="F1350" s="4" t="str">
        <f>HYPERLINK("./Results/DLO\20180101_1.3.12.2.1107.5.1.4.54310.30000018012423090118700012554_4_512_512_\Osteo_Sarco_1.png","RPT")</f>
        <v>RPT</v>
      </c>
      <c r="G1350" s="3">
        <v>99</v>
      </c>
      <c r="H1350" s="3"/>
    </row>
    <row r="1351" spans="1:8" x14ac:dyDescent="0.3">
      <c r="A1351" s="2">
        <v>5237486</v>
      </c>
      <c r="B1351" s="2">
        <v>71</v>
      </c>
      <c r="C1351" s="2" t="s">
        <v>5</v>
      </c>
      <c r="D1351" s="2">
        <v>140</v>
      </c>
      <c r="E1351" s="2"/>
      <c r="F1351" s="4" t="str">
        <f>HYPERLINK("./Results/DLO\20180801_1.2.840.113619.2.416.215053802547999700763710257115504673318_303_512_512_\Osteo_Sarco_1.png","RPT")</f>
        <v>RPT</v>
      </c>
      <c r="G1351" s="3">
        <v>203</v>
      </c>
      <c r="H1351" s="3"/>
    </row>
    <row r="1352" spans="1:8" x14ac:dyDescent="0.3">
      <c r="A1352" s="2">
        <v>5237486</v>
      </c>
      <c r="B1352" s="2">
        <v>71</v>
      </c>
      <c r="C1352" s="2" t="s">
        <v>5</v>
      </c>
      <c r="D1352" s="2">
        <v>140</v>
      </c>
      <c r="E1352" s="2"/>
      <c r="F1352" s="4" t="str">
        <f>HYPERLINK("./Results/DLO\20180801_1.2.840.113619.2.416.328076331830034490352460962273188164699_302_512_512_\Osteo_Sarco_1.png","RPT")</f>
        <v>RPT</v>
      </c>
      <c r="G1352" s="3">
        <v>201</v>
      </c>
      <c r="H1352" s="3"/>
    </row>
    <row r="1353" spans="1:8" x14ac:dyDescent="0.3">
      <c r="A1353" s="2">
        <v>5238008</v>
      </c>
      <c r="B1353" s="2">
        <v>62</v>
      </c>
      <c r="C1353" s="2" t="s">
        <v>6</v>
      </c>
      <c r="D1353" s="2">
        <v>140</v>
      </c>
      <c r="E1353" s="2"/>
      <c r="F1353" s="4" t="str">
        <f>HYPERLINK("./Results/DLO\20181001_1.2.840.113619.2.416.49068990731571685857144001033051158967_302_512_512_\Osteo_Sarco_1.png","RPT")</f>
        <v>RPT</v>
      </c>
      <c r="G1353" s="3">
        <v>101</v>
      </c>
      <c r="H1353" s="3"/>
    </row>
    <row r="1354" spans="1:8" x14ac:dyDescent="0.3">
      <c r="A1354" s="2">
        <v>5238008</v>
      </c>
      <c r="B1354" s="2">
        <v>62</v>
      </c>
      <c r="C1354" s="2" t="s">
        <v>6</v>
      </c>
      <c r="D1354" s="2">
        <v>120</v>
      </c>
      <c r="E1354" s="2"/>
      <c r="F1354" s="4" t="str">
        <f>HYPERLINK("./Results/DLO\20181001_1.2.840.113619.2.416.292728048657908563396821618962042701580_2_512_512_\Osteo_Sarco_1.png","RPT")</f>
        <v>RPT</v>
      </c>
      <c r="G1354" s="3">
        <v>97</v>
      </c>
      <c r="H1354" s="3"/>
    </row>
    <row r="1355" spans="1:8" x14ac:dyDescent="0.3">
      <c r="A1355" s="2">
        <v>5238351</v>
      </c>
      <c r="B1355" s="2">
        <v>56</v>
      </c>
      <c r="C1355" s="2" t="s">
        <v>6</v>
      </c>
      <c r="D1355" s="2">
        <v>100</v>
      </c>
      <c r="E1355" s="2"/>
      <c r="F1355" s="4" t="str">
        <f>HYPERLINK("./Results/DLO\20190301_1.3.46.670589.33.1.63687917544138842400001.5224685863797922034_701_512_512_\Osteo_Sarco_1.png","RPT")</f>
        <v>RPT</v>
      </c>
      <c r="G1355" s="3">
        <v>122</v>
      </c>
      <c r="H1355" s="3"/>
    </row>
    <row r="1356" spans="1:8" x14ac:dyDescent="0.3">
      <c r="A1356" s="2">
        <v>5238351</v>
      </c>
      <c r="B1356" s="2">
        <v>56</v>
      </c>
      <c r="C1356" s="2" t="s">
        <v>6</v>
      </c>
      <c r="D1356" s="2">
        <v>100</v>
      </c>
      <c r="E1356" s="2"/>
      <c r="F1356" s="4" t="str">
        <f>HYPERLINK("./Results/DLO\20190301_1.3.46.670589.33.1.63687917449301418000001.5716913080127390972_601_512_512_\Osteo_Sarco_1.png","RPT")</f>
        <v>RPT</v>
      </c>
      <c r="G1356" s="3">
        <v>121</v>
      </c>
      <c r="H1356" s="3"/>
    </row>
    <row r="1357" spans="1:8" x14ac:dyDescent="0.3">
      <c r="A1357" s="2">
        <v>5238351</v>
      </c>
      <c r="B1357" s="2">
        <v>56</v>
      </c>
      <c r="C1357" s="2" t="s">
        <v>6</v>
      </c>
      <c r="D1357" s="2">
        <v>100</v>
      </c>
      <c r="E1357" s="2"/>
      <c r="F1357" s="4" t="str">
        <f>HYPERLINK("./Results/DLO\20190301_1.3.46.670589.33.1.63687917282237862500001.4663795874294158257_201_512_512_\Osteo_Sarco_1.png","RPT")</f>
        <v>RPT</v>
      </c>
      <c r="G1357" s="3">
        <v>120</v>
      </c>
      <c r="H1357" s="3"/>
    </row>
    <row r="1358" spans="1:8" x14ac:dyDescent="0.3">
      <c r="A1358" s="2">
        <v>5238351</v>
      </c>
      <c r="B1358" s="2">
        <v>56</v>
      </c>
      <c r="C1358" s="2" t="s">
        <v>6</v>
      </c>
      <c r="D1358" s="2">
        <v>100</v>
      </c>
      <c r="E1358" s="2"/>
      <c r="F1358" s="4" t="str">
        <f>HYPERLINK("./Results/DLO\20190301_1.3.46.670589.33.1.63687917405935937600001.5472926122633059143_501_512_512_\Osteo_Sarco_1.png","RPT")</f>
        <v>RPT</v>
      </c>
      <c r="G1358" s="3">
        <v>120</v>
      </c>
      <c r="H1358" s="3"/>
    </row>
    <row r="1359" spans="1:8" x14ac:dyDescent="0.3">
      <c r="A1359" s="2">
        <v>5240861</v>
      </c>
      <c r="B1359" s="2">
        <v>63</v>
      </c>
      <c r="C1359" s="2" t="s">
        <v>6</v>
      </c>
      <c r="D1359" s="2">
        <v>100</v>
      </c>
      <c r="E1359" s="2"/>
      <c r="F1359" s="4" t="str">
        <f>HYPERLINK("./Results/DLO\20190301_1.3.46.670589.33.1.63687288102246590700001.4776319597885277823_201_512_512_\Osteo_Sarco_1.png","RPT")</f>
        <v>RPT</v>
      </c>
      <c r="G1359" s="3">
        <v>93</v>
      </c>
      <c r="H1359" s="3"/>
    </row>
    <row r="1360" spans="1:8" x14ac:dyDescent="0.3">
      <c r="A1360" s="2">
        <v>5242623</v>
      </c>
      <c r="B1360" s="2">
        <v>41</v>
      </c>
      <c r="C1360" s="2" t="s">
        <v>5</v>
      </c>
      <c r="D1360" s="2">
        <v>100</v>
      </c>
      <c r="E1360" s="2"/>
      <c r="F1360" s="4" t="str">
        <f>HYPERLINK("./Results/DLO\20181101_1.2.840.113619.2.94.485650834948.2.9190697.19994645.1_2_512_512_\Osteo_Sarco_1.png","RPT")</f>
        <v>RPT</v>
      </c>
      <c r="G1360" s="3">
        <v>148</v>
      </c>
      <c r="H1360" s="3"/>
    </row>
    <row r="1361" spans="1:8" x14ac:dyDescent="0.3">
      <c r="A1361" s="2">
        <v>5242718</v>
      </c>
      <c r="B1361" s="2">
        <v>76</v>
      </c>
      <c r="C1361" s="2" t="s">
        <v>5</v>
      </c>
      <c r="D1361" s="2">
        <v>100</v>
      </c>
      <c r="E1361" s="2"/>
      <c r="F1361" s="4" t="str">
        <f>HYPERLINK("./Results/DLO\20180701_1.2.840.113619.2.416.50702681124306030379445885982537133000_302_512_512_\Osteo_Sarco_1.png","RPT")</f>
        <v>RPT</v>
      </c>
      <c r="G1361" s="3">
        <v>144</v>
      </c>
      <c r="H1361" s="3"/>
    </row>
    <row r="1362" spans="1:8" x14ac:dyDescent="0.3">
      <c r="A1362" s="2">
        <v>5242718</v>
      </c>
      <c r="B1362" s="2">
        <v>76</v>
      </c>
      <c r="C1362" s="2" t="s">
        <v>5</v>
      </c>
      <c r="D1362" s="2">
        <v>100</v>
      </c>
      <c r="E1362" s="2"/>
      <c r="F1362" s="4" t="str">
        <f>HYPERLINK("./Results/DLO\20180701_1.2.840.113619.2.416.318349980888175046052071015441522281950_301_512_512_\Osteo_Sarco_1.png","RPT")</f>
        <v>RPT</v>
      </c>
      <c r="G1362" s="3">
        <v>142</v>
      </c>
      <c r="H1362" s="3"/>
    </row>
    <row r="1363" spans="1:8" x14ac:dyDescent="0.3">
      <c r="A1363" s="2">
        <v>5244929</v>
      </c>
      <c r="B1363" s="2">
        <v>49</v>
      </c>
      <c r="C1363" s="2" t="s">
        <v>6</v>
      </c>
      <c r="D1363" s="2">
        <v>100</v>
      </c>
      <c r="E1363" s="2"/>
      <c r="F1363" s="4" t="str">
        <f>HYPERLINK("./Results/DLO\20180501_1.2.840.113619.2.311.205774286425428710491359833954585364175_303_512_512_\Osteo_Sarco_1.png","RPT")</f>
        <v>RPT</v>
      </c>
      <c r="G1363" s="3">
        <v>104</v>
      </c>
      <c r="H1363" s="3"/>
    </row>
    <row r="1364" spans="1:8" x14ac:dyDescent="0.3">
      <c r="A1364" s="2">
        <v>5248719</v>
      </c>
      <c r="B1364" s="2">
        <v>45</v>
      </c>
      <c r="C1364" s="2" t="s">
        <v>5</v>
      </c>
      <c r="D1364" s="2">
        <v>100</v>
      </c>
      <c r="E1364" s="2"/>
      <c r="F1364" s="4" t="str">
        <f>HYPERLINK("./Results/DLO\20200501_1.3.12.2.1107.5.1.4.54310.30000020051422075267100022420_9_512_512_\Osteo_Sarco_1.png","RPT")</f>
        <v>RPT</v>
      </c>
      <c r="G1364" s="3">
        <v>142</v>
      </c>
      <c r="H1364" s="3"/>
    </row>
    <row r="1365" spans="1:8" x14ac:dyDescent="0.3">
      <c r="A1365" s="2">
        <v>5248719</v>
      </c>
      <c r="B1365" s="2">
        <v>45</v>
      </c>
      <c r="C1365" s="2" t="s">
        <v>5</v>
      </c>
      <c r="D1365" s="2">
        <v>100</v>
      </c>
      <c r="E1365" s="2"/>
      <c r="F1365" s="4" t="str">
        <f>HYPERLINK("./Results/DLO\20200501_1.3.12.2.1107.5.1.4.54310.30000020051422075267100021644_3_512_512_\Osteo_Sarco_1.png","RPT")</f>
        <v>RPT</v>
      </c>
      <c r="G1365" s="3">
        <v>141</v>
      </c>
      <c r="H1365" s="3"/>
    </row>
    <row r="1366" spans="1:8" x14ac:dyDescent="0.3">
      <c r="A1366" s="2">
        <v>5248719</v>
      </c>
      <c r="B1366" s="2">
        <v>45</v>
      </c>
      <c r="C1366" s="2" t="s">
        <v>5</v>
      </c>
      <c r="D1366" s="2">
        <v>100</v>
      </c>
      <c r="E1366" s="2"/>
      <c r="F1366" s="4" t="str">
        <f>HYPERLINK("./Results/DLO\20200501_1.3.12.2.1107.5.1.4.54310.30000020051422075267100022124_7_512_512_\Osteo_Sarco_1.png","RPT")</f>
        <v>RPT</v>
      </c>
      <c r="G1366" s="3">
        <v>141</v>
      </c>
      <c r="H1366" s="3"/>
    </row>
    <row r="1367" spans="1:8" x14ac:dyDescent="0.3">
      <c r="A1367" s="2">
        <v>5248719</v>
      </c>
      <c r="B1367" s="2">
        <v>45</v>
      </c>
      <c r="C1367" s="2" t="s">
        <v>5</v>
      </c>
      <c r="D1367" s="2">
        <v>100</v>
      </c>
      <c r="E1367" s="2"/>
      <c r="F1367" s="4" t="str">
        <f>HYPERLINK("./Results/DLO\20200501_1.3.12.2.1107.5.1.4.54310.30000020051422075267100021739_5_512_512_\Osteo_Sarco_1.png","RPT")</f>
        <v>RPT</v>
      </c>
      <c r="G1367" s="3">
        <v>140</v>
      </c>
      <c r="H1367" s="3"/>
    </row>
    <row r="1368" spans="1:8" x14ac:dyDescent="0.3">
      <c r="A1368" s="2">
        <v>5250765</v>
      </c>
      <c r="B1368" s="2">
        <v>63</v>
      </c>
      <c r="C1368" s="2" t="s">
        <v>6</v>
      </c>
      <c r="D1368" s="2">
        <v>100</v>
      </c>
      <c r="E1368" s="2"/>
      <c r="F1368" s="4" t="str">
        <f>HYPERLINK("./Results/DLO\20200301_1.2.840.113619.2.416.95600333001732210999748279221329692132_307_512_512_\Osteo_Sarco_1.png","RPT")</f>
        <v>RPT</v>
      </c>
      <c r="G1368" s="3">
        <v>112</v>
      </c>
      <c r="H1368" s="3"/>
    </row>
    <row r="1369" spans="1:8" x14ac:dyDescent="0.3">
      <c r="A1369" s="2">
        <v>5252693</v>
      </c>
      <c r="B1369" s="2">
        <v>59</v>
      </c>
      <c r="C1369" s="2" t="s">
        <v>5</v>
      </c>
      <c r="D1369" s="2">
        <v>100</v>
      </c>
      <c r="E1369" s="2"/>
      <c r="F1369" s="4" t="str">
        <f>HYPERLINK("./Results/DLO\20200601_1.3.46.670589.33.1.63727299097339068600001.4860432240383022419_201_512_512_\Osteo_Sarco_1.png","RPT")</f>
        <v>RPT</v>
      </c>
      <c r="G1369" s="3">
        <v>153</v>
      </c>
      <c r="H1369" s="3"/>
    </row>
    <row r="1370" spans="1:8" x14ac:dyDescent="0.3">
      <c r="A1370" s="2">
        <v>5252693</v>
      </c>
      <c r="B1370" s="2">
        <v>59</v>
      </c>
      <c r="C1370" s="2" t="s">
        <v>5</v>
      </c>
      <c r="D1370" s="2">
        <v>100</v>
      </c>
      <c r="E1370" s="2"/>
      <c r="F1370" s="4" t="str">
        <f>HYPERLINK("./Results/DLO\20200601_1.3.46.670589.33.1.63727299134801211300001.4884463995433057719_301_512_512_\Osteo_Sarco_1.png","RPT")</f>
        <v>RPT</v>
      </c>
      <c r="G1370" s="3">
        <v>153</v>
      </c>
      <c r="H1370" s="3"/>
    </row>
    <row r="1371" spans="1:8" x14ac:dyDescent="0.3">
      <c r="A1371" s="2">
        <v>5253702</v>
      </c>
      <c r="B1371" s="2">
        <v>66</v>
      </c>
      <c r="C1371" s="2" t="s">
        <v>5</v>
      </c>
      <c r="D1371" s="2">
        <v>100</v>
      </c>
      <c r="E1371" s="2"/>
      <c r="F1371" s="4" t="str">
        <f>HYPERLINK("./Results/DLO\20180201_1.2.840.113619.2.311.140153554238661793924725868696225691547_304_512_512_\Osteo_Sarco_1.png","RPT")</f>
        <v>RPT</v>
      </c>
      <c r="G1371" s="3">
        <v>70</v>
      </c>
      <c r="H1371" s="3"/>
    </row>
    <row r="1372" spans="1:8" x14ac:dyDescent="0.3">
      <c r="A1372" s="2">
        <v>5255906</v>
      </c>
      <c r="B1372" s="2">
        <v>38</v>
      </c>
      <c r="C1372" s="2" t="s">
        <v>6</v>
      </c>
      <c r="D1372" s="2">
        <v>100</v>
      </c>
      <c r="E1372" s="2"/>
      <c r="F1372" s="4" t="str">
        <f>HYPERLINK("./Results/DLO\20200301_1.3.46.670589.33.1.63720210421776606000001.5111595564426887177_201_512_512_\Osteo_Sarco_1.png","RPT")</f>
        <v>RPT</v>
      </c>
      <c r="G1372" s="3">
        <v>107</v>
      </c>
      <c r="H1372" s="3"/>
    </row>
    <row r="1373" spans="1:8" x14ac:dyDescent="0.3">
      <c r="A1373" s="2">
        <v>5256817</v>
      </c>
      <c r="B1373" s="2">
        <v>49</v>
      </c>
      <c r="C1373" s="2" t="s">
        <v>6</v>
      </c>
      <c r="D1373" s="2">
        <v>100</v>
      </c>
      <c r="E1373" s="2"/>
      <c r="F1373" s="4" t="str">
        <f>HYPERLINK("./Results/DLO\20180201_1.3.12.2.1107.5.1.4.54310.30000018020823251125000005200_2_512_512_\Osteo_Sarco_1.png","RPT")</f>
        <v>RPT</v>
      </c>
      <c r="G1373" s="3">
        <v>87</v>
      </c>
      <c r="H1373" s="3"/>
    </row>
    <row r="1374" spans="1:8" x14ac:dyDescent="0.3">
      <c r="A1374" s="2">
        <v>5257154</v>
      </c>
      <c r="B1374" s="2">
        <v>67</v>
      </c>
      <c r="C1374" s="2" t="s">
        <v>5</v>
      </c>
      <c r="D1374" s="2">
        <v>100</v>
      </c>
      <c r="E1374" s="2"/>
      <c r="F1374" s="4" t="str">
        <f>HYPERLINK("./Results/DLO\20180201_1.3.46.670589.33.1.63655060308702963100001.4645436660090006232_601_512_512_\Osteo_Sarco_1.png","RPT")</f>
        <v>RPT</v>
      </c>
      <c r="G1374" s="3">
        <v>151</v>
      </c>
      <c r="H1374" s="3"/>
    </row>
    <row r="1375" spans="1:8" x14ac:dyDescent="0.3">
      <c r="A1375" s="2">
        <v>5259980</v>
      </c>
      <c r="B1375" s="2">
        <v>44</v>
      </c>
      <c r="C1375" s="2" t="s">
        <v>6</v>
      </c>
      <c r="D1375" s="2">
        <v>100</v>
      </c>
      <c r="E1375" s="2"/>
      <c r="F1375" s="4" t="str">
        <f>HYPERLINK("./Results/DLO\20190201_1.2.840.113619.2.311.249179943005235583844010677748003840771_304_512_512_\Osteo_Sarco_1.png","RPT")</f>
        <v>RPT</v>
      </c>
      <c r="G1375" s="3">
        <v>108</v>
      </c>
      <c r="H1375" s="3"/>
    </row>
    <row r="1376" spans="1:8" x14ac:dyDescent="0.3">
      <c r="A1376" s="2">
        <v>5260892</v>
      </c>
      <c r="B1376" s="2">
        <v>73</v>
      </c>
      <c r="C1376" s="2" t="s">
        <v>5</v>
      </c>
      <c r="D1376" s="2">
        <v>100</v>
      </c>
      <c r="E1376" s="2"/>
      <c r="F1376" s="4" t="str">
        <f>HYPERLINK("./Results/DLO\20180501_1.2.840.113619.2.94.485650834948.2.8804919.19045618.1_2_512_512_\Osteo_Sarco_1.png","RPT")</f>
        <v>RPT</v>
      </c>
      <c r="G1376" s="3">
        <v>153</v>
      </c>
      <c r="H1376" s="3"/>
    </row>
    <row r="1377" spans="1:8" x14ac:dyDescent="0.3">
      <c r="A1377" s="2">
        <v>5263493</v>
      </c>
      <c r="B1377" s="2">
        <v>52</v>
      </c>
      <c r="C1377" s="2" t="s">
        <v>5</v>
      </c>
      <c r="D1377" s="2">
        <v>100</v>
      </c>
      <c r="E1377" s="2"/>
      <c r="F1377" s="4" t="str">
        <f>HYPERLINK("./Results/DLO\20180901_1.3.46.670589.33.1.63671648898726655700001.5656746704967012479_201_512_512_\Osteo_Sarco_1.png","RPT")</f>
        <v>RPT</v>
      </c>
      <c r="G1377" s="3">
        <v>159</v>
      </c>
      <c r="H1377" s="3"/>
    </row>
    <row r="1378" spans="1:8" x14ac:dyDescent="0.3">
      <c r="A1378" s="2">
        <v>5264302</v>
      </c>
      <c r="B1378" s="2">
        <v>69</v>
      </c>
      <c r="C1378" s="2" t="s">
        <v>5</v>
      </c>
      <c r="D1378" s="2">
        <v>100</v>
      </c>
      <c r="E1378" s="2"/>
      <c r="F1378" s="4" t="str">
        <f>HYPERLINK("./Results/DLO\20190901_1.3.12.2.1107.5.1.4.65253.30000019092618364563400051480_7_512_512_\Osteo_Sarco_1.png","RPT")</f>
        <v>RPT</v>
      </c>
      <c r="G1378" s="3">
        <v>154</v>
      </c>
      <c r="H1378" s="3"/>
    </row>
    <row r="1379" spans="1:8" x14ac:dyDescent="0.3">
      <c r="A1379" s="2">
        <v>5264302</v>
      </c>
      <c r="B1379" s="2">
        <v>69</v>
      </c>
      <c r="C1379" s="2" t="s">
        <v>5</v>
      </c>
      <c r="D1379" s="2">
        <v>100</v>
      </c>
      <c r="E1379" s="2"/>
      <c r="F1379" s="4" t="str">
        <f>HYPERLINK("./Results/DLO\20190901_1.3.12.2.1107.5.1.4.65253.30000019092618364563400050504_2_512_512_\Osteo_Sarco_1.png","RPT")</f>
        <v>RPT</v>
      </c>
      <c r="G1379" s="3">
        <v>153</v>
      </c>
      <c r="H1379" s="3"/>
    </row>
    <row r="1380" spans="1:8" x14ac:dyDescent="0.3">
      <c r="A1380" s="2">
        <v>5264302</v>
      </c>
      <c r="B1380" s="2">
        <v>69</v>
      </c>
      <c r="C1380" s="2" t="s">
        <v>5</v>
      </c>
      <c r="D1380" s="2">
        <v>100</v>
      </c>
      <c r="E1380" s="2"/>
      <c r="F1380" s="4" t="str">
        <f>HYPERLINK("./Results/DLO\20190901_1.3.12.2.1107.5.1.4.65253.30000019092618364563400050700_5_512_512_\Osteo_Sarco_1.png","RPT")</f>
        <v>RPT</v>
      </c>
      <c r="G1380" s="3">
        <v>153</v>
      </c>
      <c r="H1380" s="3"/>
    </row>
    <row r="1381" spans="1:8" x14ac:dyDescent="0.3">
      <c r="A1381" s="2">
        <v>5266746</v>
      </c>
      <c r="B1381" s="2">
        <v>70</v>
      </c>
      <c r="C1381" s="2" t="s">
        <v>6</v>
      </c>
      <c r="D1381" s="2">
        <v>100</v>
      </c>
      <c r="E1381" s="2"/>
      <c r="F1381" s="4" t="str">
        <f>HYPERLINK("./Results/DLO\20180301_1.3.12.2.1107.5.1.4.54310.30000018031300121125000018824_2_512_512_\Osteo_Sarco_1.png","RPT")</f>
        <v>RPT</v>
      </c>
      <c r="G1381" s="3">
        <v>110</v>
      </c>
      <c r="H1381" s="3"/>
    </row>
    <row r="1382" spans="1:8" x14ac:dyDescent="0.3">
      <c r="A1382" s="2">
        <v>5267212</v>
      </c>
      <c r="B1382" s="2">
        <v>64</v>
      </c>
      <c r="C1382" s="2" t="s">
        <v>5</v>
      </c>
      <c r="D1382" s="2">
        <v>120</v>
      </c>
      <c r="E1382" s="2"/>
      <c r="F1382" s="4" t="str">
        <f>HYPERLINK("./Results/DLO\20181201_1.2.410.100011.172.16.64.21.6371225578890548603.3_3_512_512_\Osteo_Sarco_1.png","RPT")</f>
        <v>RPT</v>
      </c>
      <c r="G1382" s="3">
        <v>122</v>
      </c>
      <c r="H1382" s="3"/>
    </row>
    <row r="1383" spans="1:8" x14ac:dyDescent="0.3">
      <c r="A1383" s="2">
        <v>5267212</v>
      </c>
      <c r="B1383" s="2">
        <v>64</v>
      </c>
      <c r="C1383" s="2" t="s">
        <v>5</v>
      </c>
      <c r="D1383" s="2">
        <v>120</v>
      </c>
      <c r="E1383" s="2"/>
      <c r="F1383" s="4" t="str">
        <f>HYPERLINK("./Results/DLO\20181201_1.2.410.100011.172.16.64.21.6371225578890548603.4_4_512_512_\Osteo_Sarco_1.png","RPT")</f>
        <v>RPT</v>
      </c>
      <c r="G1383" s="3">
        <v>121</v>
      </c>
      <c r="H1383" s="3"/>
    </row>
    <row r="1384" spans="1:8" x14ac:dyDescent="0.3">
      <c r="A1384" s="2">
        <v>5267212</v>
      </c>
      <c r="B1384" s="2">
        <v>64</v>
      </c>
      <c r="C1384" s="2" t="s">
        <v>5</v>
      </c>
      <c r="D1384" s="2">
        <v>120</v>
      </c>
      <c r="E1384" s="2"/>
      <c r="F1384" s="4" t="str">
        <f>HYPERLINK("./Results/DLO\20181201_1.2.410.100011.172.16.64.21.6371225578890548603.5_5_512_512_\Osteo_Sarco_1.png","RPT")</f>
        <v>RPT</v>
      </c>
      <c r="G1384" s="3">
        <v>121</v>
      </c>
      <c r="H1384" s="3"/>
    </row>
    <row r="1385" spans="1:8" x14ac:dyDescent="0.3">
      <c r="A1385" s="2">
        <v>5267212</v>
      </c>
      <c r="B1385" s="2">
        <v>64</v>
      </c>
      <c r="C1385" s="2" t="s">
        <v>5</v>
      </c>
      <c r="D1385" s="2">
        <v>120</v>
      </c>
      <c r="E1385" s="2"/>
      <c r="F1385" s="4" t="str">
        <f>HYPERLINK("./Results/DLO\20181201_1.2.410.100011.172.16.64.21.6371225578890548603.2_2_512_512_\Osteo_Sarco_1.png","RPT")</f>
        <v>RPT</v>
      </c>
      <c r="G1385" s="3">
        <v>118</v>
      </c>
      <c r="H1385" s="3"/>
    </row>
    <row r="1386" spans="1:8" x14ac:dyDescent="0.3">
      <c r="A1386" s="2">
        <v>5267498</v>
      </c>
      <c r="B1386" s="2">
        <v>57</v>
      </c>
      <c r="C1386" s="2" t="s">
        <v>5</v>
      </c>
      <c r="D1386" s="2">
        <v>140</v>
      </c>
      <c r="E1386" s="2"/>
      <c r="F1386" s="4" t="str">
        <f>HYPERLINK("./Results/DLO\20190801_1.2.840.113619.2.416.112714152853457127629705010228276440707_303_512_512_\Osteo_Sarco_1.png","RPT")</f>
        <v>RPT</v>
      </c>
      <c r="G1386" s="3">
        <v>150</v>
      </c>
      <c r="H1386" s="3"/>
    </row>
    <row r="1387" spans="1:8" x14ac:dyDescent="0.3">
      <c r="A1387" s="2">
        <v>5267498</v>
      </c>
      <c r="B1387" s="2">
        <v>57</v>
      </c>
      <c r="C1387" s="2" t="s">
        <v>5</v>
      </c>
      <c r="D1387" s="2">
        <v>140</v>
      </c>
      <c r="E1387" s="2"/>
      <c r="F1387" s="4" t="str">
        <f>HYPERLINK("./Results/DLO\20190801_1.2.840.113619.2.416.103463176329848828941101665365494027783_301_512_512_\Osteo_Sarco_1.png","RPT")</f>
        <v>RPT</v>
      </c>
      <c r="G1387" s="3">
        <v>142</v>
      </c>
      <c r="H1387" s="3"/>
    </row>
    <row r="1388" spans="1:8" x14ac:dyDescent="0.3">
      <c r="A1388" s="2">
        <v>5267498</v>
      </c>
      <c r="B1388" s="2">
        <v>57</v>
      </c>
      <c r="C1388" s="2" t="s">
        <v>5</v>
      </c>
      <c r="D1388" s="2">
        <v>140</v>
      </c>
      <c r="E1388" s="2"/>
      <c r="F1388" s="4" t="str">
        <f>HYPERLINK("./Results/DLO\20190801_1.2.840.113619.2.416.290697520477487317289639639297686755045_2_512_512_\Osteo_Sarco_1.png","RPT")</f>
        <v>RPT</v>
      </c>
      <c r="G1388" s="3">
        <v>142</v>
      </c>
      <c r="H1388" s="3"/>
    </row>
    <row r="1389" spans="1:8" x14ac:dyDescent="0.3">
      <c r="A1389" s="2">
        <v>5267498</v>
      </c>
      <c r="B1389" s="2">
        <v>57</v>
      </c>
      <c r="C1389" s="2" t="s">
        <v>5</v>
      </c>
      <c r="D1389" s="2">
        <v>140</v>
      </c>
      <c r="E1389" s="2"/>
      <c r="F1389" s="4" t="str">
        <f>HYPERLINK("./Results/DLO\20190801_1.2.840.113619.2.416.69637744498152822484458965747107208392_306_512_512_\Osteo_Sarco_1.png","RPT")</f>
        <v>RPT</v>
      </c>
      <c r="G1389" s="3">
        <v>141</v>
      </c>
      <c r="H1389" s="3"/>
    </row>
    <row r="1390" spans="1:8" x14ac:dyDescent="0.3">
      <c r="A1390" s="2">
        <v>5270148</v>
      </c>
      <c r="B1390" s="2">
        <v>53</v>
      </c>
      <c r="C1390" s="2" t="s">
        <v>6</v>
      </c>
      <c r="D1390" s="2">
        <v>100</v>
      </c>
      <c r="E1390" s="2"/>
      <c r="F1390" s="4" t="str">
        <f>HYPERLINK("./Results/DLO\20190901_1.3.12.2.1107.5.1.4.54310.30000019092521214467100057401_7_512_512_\Osteo_Sarco_1.png","RPT")</f>
        <v>RPT</v>
      </c>
      <c r="G1390" s="3">
        <v>83</v>
      </c>
      <c r="H1390" s="3"/>
    </row>
    <row r="1391" spans="1:8" x14ac:dyDescent="0.3">
      <c r="A1391" s="2">
        <v>5277111</v>
      </c>
      <c r="B1391" s="2">
        <v>75</v>
      </c>
      <c r="C1391" s="2" t="s">
        <v>5</v>
      </c>
      <c r="D1391" s="2">
        <v>120</v>
      </c>
      <c r="E1391" s="2"/>
      <c r="F1391" s="4" t="str">
        <f>HYPERLINK("./Results/DLO\20190101_1.2.410.100011.172.24.16.221.6368461118196011971.2_2_512_512_\Osteo_Sarco_1.png","RPT")</f>
        <v>RPT</v>
      </c>
      <c r="G1391" s="3">
        <v>139</v>
      </c>
      <c r="H1391" s="3"/>
    </row>
    <row r="1392" spans="1:8" x14ac:dyDescent="0.3">
      <c r="A1392" s="2">
        <v>5277111</v>
      </c>
      <c r="B1392" s="2">
        <v>75</v>
      </c>
      <c r="C1392" s="2" t="s">
        <v>5</v>
      </c>
      <c r="D1392" s="2">
        <v>120</v>
      </c>
      <c r="E1392" s="2"/>
      <c r="F1392" s="4" t="str">
        <f>HYPERLINK("./Results/DLO\20190101_1.2.410.100011.172.24.16.221.6368461118196011971.4_4_512_512_\Osteo_Sarco_1.png","RPT")</f>
        <v>RPT</v>
      </c>
      <c r="G1392" s="3">
        <v>136</v>
      </c>
      <c r="H1392" s="3"/>
    </row>
    <row r="1393" spans="1:8" x14ac:dyDescent="0.3">
      <c r="A1393" s="2">
        <v>5277111</v>
      </c>
      <c r="B1393" s="2">
        <v>75</v>
      </c>
      <c r="C1393" s="2" t="s">
        <v>5</v>
      </c>
      <c r="D1393" s="2">
        <v>120</v>
      </c>
      <c r="E1393" s="2"/>
      <c r="F1393" s="4" t="str">
        <f>HYPERLINK("./Results/DLO\20190101_1.2.410.100011.172.24.16.221.6368461118196011971.3_3_512_512_\Osteo_Sarco_1.png","RPT")</f>
        <v>RPT</v>
      </c>
      <c r="G1393" s="3">
        <v>135</v>
      </c>
      <c r="H1393" s="3"/>
    </row>
    <row r="1394" spans="1:8" x14ac:dyDescent="0.3">
      <c r="A1394" s="2">
        <v>5277111</v>
      </c>
      <c r="B1394" s="2">
        <v>75</v>
      </c>
      <c r="C1394" s="2" t="s">
        <v>5</v>
      </c>
      <c r="D1394" s="2">
        <v>120</v>
      </c>
      <c r="E1394" s="2"/>
      <c r="F1394" s="4" t="str">
        <f>HYPERLINK("./Results/DLO\20190101_1.2.410.100011.172.24.16.221.6368461118196011971.5_5_512_512_\Osteo_Sarco_1.png","RPT")</f>
        <v>RPT</v>
      </c>
      <c r="G1394" s="3">
        <v>135</v>
      </c>
      <c r="H1394" s="3"/>
    </row>
    <row r="1395" spans="1:8" x14ac:dyDescent="0.3">
      <c r="A1395" s="2">
        <v>5280595</v>
      </c>
      <c r="B1395" s="2">
        <v>72</v>
      </c>
      <c r="C1395" s="2" t="s">
        <v>6</v>
      </c>
      <c r="D1395" s="2">
        <v>100</v>
      </c>
      <c r="E1395" s="2"/>
      <c r="F1395" s="4" t="str">
        <f>HYPERLINK("./Results/DLO\20181001_1.2.840.113619.2.94.485650834948.2.9114798.19804605.1_2_512_512_\Osteo_Sarco_1.png","RPT")</f>
        <v>RPT</v>
      </c>
      <c r="G1395" s="3">
        <v>102</v>
      </c>
      <c r="H1395" s="3"/>
    </row>
    <row r="1396" spans="1:8" x14ac:dyDescent="0.3">
      <c r="A1396" s="2">
        <v>5287602</v>
      </c>
      <c r="B1396" s="2">
        <v>72</v>
      </c>
      <c r="C1396" s="2" t="s">
        <v>5</v>
      </c>
      <c r="D1396" s="2">
        <v>100</v>
      </c>
      <c r="E1396" s="2"/>
      <c r="F1396" s="4" t="str">
        <f>HYPERLINK("./Results/DLO\20190501_1.3.12.2.1107.5.1.4.54310.30000019052722543898400045462_3_512_512_\Osteo_Sarco_1.png","RPT")</f>
        <v>RPT</v>
      </c>
      <c r="G1396" s="3">
        <v>150</v>
      </c>
      <c r="H1396" s="3"/>
    </row>
    <row r="1397" spans="1:8" x14ac:dyDescent="0.3">
      <c r="A1397" s="2">
        <v>5287602</v>
      </c>
      <c r="B1397" s="2">
        <v>72</v>
      </c>
      <c r="C1397" s="2" t="s">
        <v>5</v>
      </c>
      <c r="D1397" s="2">
        <v>100</v>
      </c>
      <c r="E1397" s="2"/>
      <c r="F1397" s="4" t="str">
        <f>HYPERLINK("./Results/DLO\20190501_1.3.12.2.1107.5.1.4.54310.30000019052722543898400045315_2_512_512_\Osteo_Sarco_1.png","RPT")</f>
        <v>RPT</v>
      </c>
      <c r="G1397" s="3">
        <v>148</v>
      </c>
      <c r="H1397" s="3"/>
    </row>
    <row r="1398" spans="1:8" x14ac:dyDescent="0.3">
      <c r="A1398" s="2">
        <v>5300471</v>
      </c>
      <c r="B1398" s="2">
        <v>52</v>
      </c>
      <c r="C1398" s="2" t="s">
        <v>6</v>
      </c>
      <c r="D1398" s="2">
        <v>140</v>
      </c>
      <c r="E1398" s="2"/>
      <c r="F1398" s="4" t="str">
        <f>HYPERLINK("./Results/DLO\20191201_1.2.840.113619.2.416.65165019035325565690961933549924716362_303_512_512_\Osteo_Sarco_1.png","RPT")</f>
        <v>RPT</v>
      </c>
      <c r="G1398" s="3">
        <v>94</v>
      </c>
      <c r="H1398" s="3"/>
    </row>
    <row r="1399" spans="1:8" x14ac:dyDescent="0.3">
      <c r="A1399" s="2">
        <v>5300471</v>
      </c>
      <c r="B1399" s="2">
        <v>52</v>
      </c>
      <c r="C1399" s="2" t="s">
        <v>6</v>
      </c>
      <c r="D1399" s="2">
        <v>140</v>
      </c>
      <c r="E1399" s="2"/>
      <c r="F1399" s="4" t="str">
        <f>HYPERLINK("./Results/DLO\20191201_1.2.840.113619.2.416.81463507709231314074276034800581152367_302_512_512_\Osteo_Sarco_1.png","RPT")</f>
        <v>RPT</v>
      </c>
      <c r="G1399" s="3">
        <v>93</v>
      </c>
      <c r="H1399" s="3"/>
    </row>
    <row r="1400" spans="1:8" x14ac:dyDescent="0.3">
      <c r="A1400" s="2">
        <v>5305852</v>
      </c>
      <c r="B1400" s="2">
        <v>67</v>
      </c>
      <c r="C1400" s="2" t="s">
        <v>6</v>
      </c>
      <c r="D1400" s="2">
        <v>100</v>
      </c>
      <c r="E1400" s="2"/>
      <c r="F1400" s="4" t="str">
        <f>HYPERLINK("./Results/DLO\20181201_1.3.12.2.1107.5.1.4.65253.30000018120319331952300019116_3_512_512_\Osteo_Sarco_1.png","RPT")</f>
        <v>RPT</v>
      </c>
      <c r="G1400" s="3">
        <v>89</v>
      </c>
      <c r="H1400" s="3"/>
    </row>
    <row r="1401" spans="1:8" x14ac:dyDescent="0.3">
      <c r="A1401" s="2">
        <v>5305852</v>
      </c>
      <c r="B1401" s="2">
        <v>67</v>
      </c>
      <c r="C1401" s="2" t="s">
        <v>6</v>
      </c>
      <c r="D1401" s="2">
        <v>100</v>
      </c>
      <c r="E1401" s="2"/>
      <c r="F1401" s="4" t="str">
        <f>HYPERLINK("./Results/DLO\20181201_1.3.12.2.1107.5.1.4.65253.30000018120319331952300018973_2_512_512_\Osteo_Sarco_1.png","RPT")</f>
        <v>RPT</v>
      </c>
      <c r="G1401" s="3">
        <v>86</v>
      </c>
      <c r="H1401" s="3"/>
    </row>
    <row r="1402" spans="1:8" x14ac:dyDescent="0.3">
      <c r="A1402" s="2">
        <v>5307068</v>
      </c>
      <c r="B1402" s="2">
        <v>64</v>
      </c>
      <c r="C1402" s="2" t="s">
        <v>6</v>
      </c>
      <c r="D1402" s="2">
        <v>100</v>
      </c>
      <c r="E1402" s="2"/>
      <c r="F1402" s="4" t="str">
        <f>HYPERLINK("./Results/DLO\20181201_1.3.12.2.1107.5.1.4.65253.30000018122320161194500066927_3_512_512_\Osteo_Sarco_1.png","RPT")</f>
        <v>RPT</v>
      </c>
      <c r="G1402" s="3">
        <v>102</v>
      </c>
      <c r="H1402" s="3"/>
    </row>
    <row r="1403" spans="1:8" x14ac:dyDescent="0.3">
      <c r="A1403" s="2">
        <v>5307068</v>
      </c>
      <c r="B1403" s="2">
        <v>64</v>
      </c>
      <c r="C1403" s="2" t="s">
        <v>6</v>
      </c>
      <c r="D1403" s="2">
        <v>100</v>
      </c>
      <c r="E1403" s="2"/>
      <c r="F1403" s="4" t="str">
        <f>HYPERLINK("./Results/DLO\20181201_1.3.12.2.1107.5.1.4.65253.30000018122320161194500066754_2_512_512_\Osteo_Sarco_1.png","RPT")</f>
        <v>RPT</v>
      </c>
      <c r="G1403" s="3">
        <v>98</v>
      </c>
      <c r="H1403" s="3"/>
    </row>
    <row r="1404" spans="1:8" x14ac:dyDescent="0.3">
      <c r="A1404" s="2">
        <v>5314572</v>
      </c>
      <c r="B1404" s="2">
        <v>51</v>
      </c>
      <c r="C1404" s="2" t="s">
        <v>6</v>
      </c>
      <c r="D1404" s="2">
        <v>100</v>
      </c>
      <c r="E1404" s="2"/>
      <c r="F1404" s="4" t="str">
        <f>HYPERLINK("./Results/DLO\20180301_1.2.840.113619.2.311.115067870657889128079127404698116750946_304_512_512_\Osteo_Sarco_1.png","RPT")</f>
        <v>RPT</v>
      </c>
      <c r="G1404" s="3">
        <v>106</v>
      </c>
      <c r="H1404" s="3"/>
    </row>
    <row r="1405" spans="1:8" x14ac:dyDescent="0.3">
      <c r="A1405" s="2">
        <v>5318231</v>
      </c>
      <c r="B1405" s="2">
        <v>71</v>
      </c>
      <c r="C1405" s="2" t="s">
        <v>6</v>
      </c>
      <c r="D1405" s="2">
        <v>120</v>
      </c>
      <c r="E1405" s="2"/>
      <c r="F1405" s="4" t="str">
        <f>HYPERLINK("./Results/DLO\20190301_1.2.840.113619.2.416.183560027501689687495221304406305608192_2_512_512_\Osteo_Sarco_1.png","RPT")</f>
        <v>RPT</v>
      </c>
      <c r="G1405" s="3">
        <v>98</v>
      </c>
      <c r="H1405" s="3"/>
    </row>
    <row r="1406" spans="1:8" x14ac:dyDescent="0.3">
      <c r="A1406" s="2">
        <v>5318231</v>
      </c>
      <c r="B1406" s="2">
        <v>71</v>
      </c>
      <c r="C1406" s="2" t="s">
        <v>6</v>
      </c>
      <c r="D1406" s="2">
        <v>140</v>
      </c>
      <c r="E1406" s="2"/>
      <c r="F1406" s="4" t="str">
        <f>HYPERLINK("./Results/DLO\20190301_1.2.840.113619.2.416.5146192609537748022171255655209094693_302_512_512_\Osteo_Sarco_1.png","RPT")</f>
        <v>RPT</v>
      </c>
      <c r="G1406" s="3">
        <v>93</v>
      </c>
      <c r="H1406" s="3"/>
    </row>
    <row r="1407" spans="1:8" x14ac:dyDescent="0.3">
      <c r="A1407" s="2">
        <v>5324170</v>
      </c>
      <c r="B1407" s="2">
        <v>59</v>
      </c>
      <c r="C1407" s="2" t="s">
        <v>6</v>
      </c>
      <c r="D1407" s="2">
        <v>100</v>
      </c>
      <c r="E1407" s="2"/>
      <c r="F1407" s="4" t="str">
        <f>HYPERLINK("./Results/DLO\20190501_1.2.840.113619.2.416.210043271202124802820373258883619238686_310_512_512_\Osteo_Sarco_1.png","RPT")</f>
        <v>RPT</v>
      </c>
      <c r="G1407" s="3">
        <v>95</v>
      </c>
      <c r="H1407" s="3"/>
    </row>
    <row r="1408" spans="1:8" x14ac:dyDescent="0.3">
      <c r="A1408" s="2">
        <v>5327197</v>
      </c>
      <c r="B1408" s="2">
        <v>57</v>
      </c>
      <c r="C1408" s="2" t="s">
        <v>5</v>
      </c>
      <c r="D1408" s="2">
        <v>140</v>
      </c>
      <c r="E1408" s="2"/>
      <c r="F1408" s="4" t="str">
        <f>HYPERLINK("./Results/DLO\20180801_1.2.840.113619.2.416.100963322828394295031285017630762383158_303_512_512_\Osteo_Sarco_1.png","RPT")</f>
        <v>RPT</v>
      </c>
      <c r="G1408" s="3">
        <v>146</v>
      </c>
      <c r="H1408" s="3"/>
    </row>
    <row r="1409" spans="1:8" x14ac:dyDescent="0.3">
      <c r="A1409" s="2">
        <v>5327197</v>
      </c>
      <c r="B1409" s="2">
        <v>57</v>
      </c>
      <c r="C1409" s="2" t="s">
        <v>5</v>
      </c>
      <c r="D1409" s="2">
        <v>140</v>
      </c>
      <c r="E1409" s="2"/>
      <c r="F1409" s="4" t="str">
        <f>HYPERLINK("./Results/DLO\20180801_1.2.840.113619.2.416.318839489616820461916913153940945639429_302_512_512_\Osteo_Sarco_1.png","RPT")</f>
        <v>RPT</v>
      </c>
      <c r="G1409" s="3">
        <v>141</v>
      </c>
      <c r="H1409" s="3"/>
    </row>
    <row r="1410" spans="1:8" x14ac:dyDescent="0.3">
      <c r="A1410" s="2">
        <v>5333239</v>
      </c>
      <c r="B1410" s="2">
        <v>78</v>
      </c>
      <c r="C1410" s="2" t="s">
        <v>6</v>
      </c>
      <c r="D1410" s="2">
        <v>100</v>
      </c>
      <c r="E1410" s="2"/>
      <c r="F1410" s="4" t="str">
        <f>HYPERLINK("./Results/DLO\20190901_1.3.12.2.1107.5.1.4.65253.30000019092317151984300068505_3_512_512_\Osteo_Sarco_1.png","RPT")</f>
        <v>RPT</v>
      </c>
      <c r="G1410" s="3">
        <v>85</v>
      </c>
      <c r="H1410" s="3"/>
    </row>
    <row r="1411" spans="1:8" x14ac:dyDescent="0.3">
      <c r="A1411" s="2">
        <v>5333239</v>
      </c>
      <c r="B1411" s="2">
        <v>78</v>
      </c>
      <c r="C1411" s="2" t="s">
        <v>6</v>
      </c>
      <c r="D1411" s="2">
        <v>100</v>
      </c>
      <c r="E1411" s="2"/>
      <c r="F1411" s="4" t="str">
        <f>HYPERLINK("./Results/DLO\20190901_1.3.12.2.1107.5.1.4.65253.30000019092317151984300068234_2_512_512_\Osteo_Sarco_1.png","RPT")</f>
        <v>RPT</v>
      </c>
      <c r="G1411" s="3">
        <v>83</v>
      </c>
      <c r="H1411" s="3"/>
    </row>
    <row r="1412" spans="1:8" x14ac:dyDescent="0.3">
      <c r="A1412" s="2">
        <v>5334907</v>
      </c>
      <c r="B1412" s="2">
        <v>70</v>
      </c>
      <c r="C1412" s="2" t="s">
        <v>5</v>
      </c>
      <c r="D1412" s="2">
        <v>100</v>
      </c>
      <c r="E1412" s="2"/>
      <c r="F1412" s="4" t="str">
        <f>HYPERLINK("./Results/DLO\20191101_1.3.12.2.1107.5.1.4.54310.30000019110422140768700000606_6_512_512_\Osteo_Sarco_1.png","RPT")</f>
        <v>RPT</v>
      </c>
      <c r="G1412" s="3">
        <v>126</v>
      </c>
      <c r="H1412" s="3"/>
    </row>
    <row r="1413" spans="1:8" x14ac:dyDescent="0.3">
      <c r="A1413" s="2">
        <v>5342850</v>
      </c>
      <c r="B1413" s="2">
        <v>65</v>
      </c>
      <c r="C1413" s="2" t="s">
        <v>6</v>
      </c>
      <c r="D1413" s="2">
        <v>100</v>
      </c>
      <c r="E1413" s="2"/>
      <c r="F1413" s="4" t="str">
        <f>HYPERLINK("./Results/DLO\20190201_1.3.46.670589.33.1.63686353690527710600001.5235982689043348977_201_512_512_\Osteo_Sarco_1.png","RPT")</f>
        <v>RPT</v>
      </c>
      <c r="G1413" s="3">
        <v>94</v>
      </c>
      <c r="H1413" s="3"/>
    </row>
    <row r="1414" spans="1:8" x14ac:dyDescent="0.3">
      <c r="A1414" s="2">
        <v>5343075</v>
      </c>
      <c r="B1414" s="2">
        <v>82</v>
      </c>
      <c r="C1414" s="2" t="s">
        <v>5</v>
      </c>
      <c r="D1414" s="2">
        <v>100</v>
      </c>
      <c r="E1414" s="2"/>
      <c r="F1414" s="4" t="str">
        <f>HYPERLINK("./Results/DLO\20180301_1.3.12.2.1107.5.1.4.54310.30000018032823073635900038208_3_512_512_\Osteo_Sarco_1.png","RPT")</f>
        <v>RPT</v>
      </c>
      <c r="G1414" s="3">
        <v>104</v>
      </c>
      <c r="H1414" s="3"/>
    </row>
    <row r="1415" spans="1:8" x14ac:dyDescent="0.3">
      <c r="A1415" s="2">
        <v>5343075</v>
      </c>
      <c r="B1415" s="2">
        <v>82</v>
      </c>
      <c r="C1415" s="2" t="s">
        <v>5</v>
      </c>
      <c r="D1415" s="2">
        <v>100</v>
      </c>
      <c r="E1415" s="2"/>
      <c r="F1415" s="4" t="str">
        <f>HYPERLINK("./Results/DLO\20180301_1.3.12.2.1107.5.1.4.54310.30000018032823073635900038065_2_512_512_\Osteo_Sarco_1.png","RPT")</f>
        <v>RPT</v>
      </c>
      <c r="G1415" s="3">
        <v>87</v>
      </c>
      <c r="H1415" s="3"/>
    </row>
    <row r="1416" spans="1:8" x14ac:dyDescent="0.3">
      <c r="A1416" s="2">
        <v>5344947</v>
      </c>
      <c r="B1416" s="2">
        <v>61</v>
      </c>
      <c r="C1416" s="2" t="s">
        <v>5</v>
      </c>
      <c r="D1416" s="2">
        <v>100</v>
      </c>
      <c r="E1416" s="2"/>
      <c r="F1416" s="4" t="str">
        <f>HYPERLINK("./Results/DLO\20190101_1.3.46.670589.33.1.63682882885696511300001.4863384387079461244_201_512_512_\Osteo_Sarco_1.png","RPT")</f>
        <v>RPT</v>
      </c>
      <c r="G1416" s="3">
        <v>188</v>
      </c>
      <c r="H1416" s="3"/>
    </row>
    <row r="1417" spans="1:8" x14ac:dyDescent="0.3">
      <c r="A1417" s="2">
        <v>5344947</v>
      </c>
      <c r="B1417" s="2">
        <v>61</v>
      </c>
      <c r="C1417" s="2" t="s">
        <v>5</v>
      </c>
      <c r="D1417" s="2">
        <v>100</v>
      </c>
      <c r="E1417" s="2"/>
      <c r="F1417" s="4" t="str">
        <f>HYPERLINK("./Results/DLO\20190101_1.3.46.670589.33.1.63682883007155458300001.4813772839266402813_301_512_512_\Osteo_Sarco_1.png","RPT")</f>
        <v>RPT</v>
      </c>
      <c r="G1417" s="3">
        <v>188</v>
      </c>
      <c r="H1417" s="3"/>
    </row>
    <row r="1418" spans="1:8" x14ac:dyDescent="0.3">
      <c r="A1418" s="2">
        <v>5347938</v>
      </c>
      <c r="B1418" s="2">
        <v>68</v>
      </c>
      <c r="C1418" s="2" t="s">
        <v>5</v>
      </c>
      <c r="D1418" s="2">
        <v>140</v>
      </c>
      <c r="E1418" s="2"/>
      <c r="F1418" s="4" t="str">
        <f>HYPERLINK("./Results/DLO\20180501_1.2.840.113619.2.416.217827862775733702648494691538503713324_303_512_512_\Osteo_Sarco_1.png","RPT")</f>
        <v>RPT</v>
      </c>
      <c r="G1418" s="3">
        <v>144</v>
      </c>
      <c r="H1418" s="3"/>
    </row>
    <row r="1419" spans="1:8" x14ac:dyDescent="0.3">
      <c r="A1419" s="2">
        <v>5347938</v>
      </c>
      <c r="B1419" s="2">
        <v>68</v>
      </c>
      <c r="C1419" s="2" t="s">
        <v>5</v>
      </c>
      <c r="D1419" s="2">
        <v>140</v>
      </c>
      <c r="E1419" s="2"/>
      <c r="F1419" s="4" t="str">
        <f>HYPERLINK("./Results/DLO\20180501_1.2.840.113619.2.416.53684332134553653547508193332554537595_2_512_512_\Osteo_Sarco_1.png","RPT")</f>
        <v>RPT</v>
      </c>
      <c r="G1419" s="3">
        <v>142</v>
      </c>
      <c r="H1419" s="3"/>
    </row>
    <row r="1420" spans="1:8" x14ac:dyDescent="0.3">
      <c r="A1420" s="2">
        <v>5357005</v>
      </c>
      <c r="B1420" s="2">
        <v>59</v>
      </c>
      <c r="C1420" s="2" t="s">
        <v>6</v>
      </c>
      <c r="D1420" s="2">
        <v>100</v>
      </c>
      <c r="E1420" s="2"/>
      <c r="F1420" s="4" t="str">
        <f>HYPERLINK("./Results/DLO\20180201_1.2.840.113619.2.94.485650834948.2.8655257.18677389.1_2_512_512_\Osteo_Sarco_1.png","RPT")</f>
        <v>RPT</v>
      </c>
      <c r="G1420" s="3">
        <v>103</v>
      </c>
      <c r="H1420" s="3"/>
    </row>
    <row r="1421" spans="1:8" x14ac:dyDescent="0.3">
      <c r="A1421" s="2">
        <v>5360460</v>
      </c>
      <c r="B1421" s="2">
        <v>58</v>
      </c>
      <c r="C1421" s="2" t="s">
        <v>5</v>
      </c>
      <c r="D1421" s="2">
        <v>100</v>
      </c>
      <c r="E1421" s="2"/>
      <c r="F1421" s="4" t="str">
        <f>HYPERLINK("./Results/DLO\20180701_1.3.46.670589.33.1.63666467236443949600001.5199541809372042070_201_512_512_\Osteo_Sarco_1.png","RPT")</f>
        <v>RPT</v>
      </c>
      <c r="G1421" s="3">
        <v>120</v>
      </c>
      <c r="H1421" s="3"/>
    </row>
    <row r="1422" spans="1:8" x14ac:dyDescent="0.3">
      <c r="A1422" s="2">
        <v>5360460</v>
      </c>
      <c r="B1422" s="2">
        <v>58</v>
      </c>
      <c r="C1422" s="2" t="s">
        <v>5</v>
      </c>
      <c r="D1422" s="2">
        <v>100</v>
      </c>
      <c r="E1422" s="2"/>
      <c r="F1422" s="4" t="str">
        <f>HYPERLINK("./Results/DLO\20180701_1.3.46.670589.33.1.63666467351828549200001.5222483228686862995_301_512_512_\Osteo_Sarco_1.png","RPT")</f>
        <v>RPT</v>
      </c>
      <c r="G1422" s="3">
        <v>120</v>
      </c>
      <c r="H1422" s="3"/>
    </row>
    <row r="1423" spans="1:8" x14ac:dyDescent="0.3">
      <c r="A1423" s="2">
        <v>5360671</v>
      </c>
      <c r="B1423" s="2">
        <v>72</v>
      </c>
      <c r="C1423" s="2" t="s">
        <v>5</v>
      </c>
      <c r="D1423" s="2">
        <v>100</v>
      </c>
      <c r="E1423" s="2"/>
      <c r="F1423" s="4" t="str">
        <f>HYPERLINK("./Results/DLO\20181101_1.2.840.113619.2.94.485650834948.2.9239674.20115816.1_2_512_512_\Osteo_Sarco_1.png","RPT")</f>
        <v>RPT</v>
      </c>
      <c r="G1423" s="3">
        <v>156</v>
      </c>
      <c r="H1423" s="3"/>
    </row>
    <row r="1424" spans="1:8" x14ac:dyDescent="0.3">
      <c r="A1424" s="2">
        <v>5365307</v>
      </c>
      <c r="B1424" s="2">
        <v>70</v>
      </c>
      <c r="C1424" s="2" t="s">
        <v>5</v>
      </c>
      <c r="D1424" s="2">
        <v>100</v>
      </c>
      <c r="E1424" s="2"/>
      <c r="F1424" s="4" t="str">
        <f>HYPERLINK("./Results/DLO\20191101_1.3.12.2.1107.5.1.4.54310.30000019111421210187500007103_2_512_512_\Osteo_Sarco_1.png","RPT")</f>
        <v>RPT</v>
      </c>
      <c r="G1424" s="3">
        <v>100</v>
      </c>
      <c r="H1424" s="3"/>
    </row>
    <row r="1425" spans="1:8" x14ac:dyDescent="0.3">
      <c r="A1425" s="2">
        <v>5365307</v>
      </c>
      <c r="B1425" s="2">
        <v>70</v>
      </c>
      <c r="C1425" s="2" t="s">
        <v>5</v>
      </c>
      <c r="D1425" s="2">
        <v>100</v>
      </c>
      <c r="E1425" s="2"/>
      <c r="F1425" s="4" t="str">
        <f>HYPERLINK("./Results/DLO\20191101_1.3.12.2.1107.5.1.4.54310.30000019111421210187500007255_3_512_512_\Osteo_Sarco_1.png","RPT")</f>
        <v>RPT</v>
      </c>
      <c r="G1425" s="3">
        <v>98</v>
      </c>
      <c r="H1425" s="3"/>
    </row>
    <row r="1426" spans="1:8" x14ac:dyDescent="0.3">
      <c r="A1426" s="2">
        <v>5366541</v>
      </c>
      <c r="B1426" s="2">
        <v>61</v>
      </c>
      <c r="C1426" s="2" t="s">
        <v>6</v>
      </c>
      <c r="D1426" s="2">
        <v>100</v>
      </c>
      <c r="E1426" s="2"/>
      <c r="F1426" s="4" t="str">
        <f>HYPERLINK("./Results/DLO\20200401_1.2.840.113619.2.416.336905442527249691658035809950614817490_310_512_512_\Osteo_Sarco_1.png","RPT")</f>
        <v>RPT</v>
      </c>
      <c r="G1426" s="3">
        <v>112</v>
      </c>
      <c r="H1426" s="3"/>
    </row>
    <row r="1427" spans="1:8" x14ac:dyDescent="0.3">
      <c r="A1427" s="2">
        <v>5373625</v>
      </c>
      <c r="B1427" s="2">
        <v>47</v>
      </c>
      <c r="C1427" s="2" t="s">
        <v>6</v>
      </c>
      <c r="D1427" s="2">
        <v>140</v>
      </c>
      <c r="E1427" s="2"/>
      <c r="F1427" s="4" t="str">
        <f>HYPERLINK("./Results/DLO\20181201_1.2.840.113619.2.416.174093194981286534814184587902163987453_302_512_512_\Osteo_Sarco_1.png","RPT")</f>
        <v>RPT</v>
      </c>
      <c r="G1427" s="3">
        <v>98</v>
      </c>
      <c r="H1427" s="3"/>
    </row>
    <row r="1428" spans="1:8" x14ac:dyDescent="0.3">
      <c r="A1428" s="2">
        <v>5373625</v>
      </c>
      <c r="B1428" s="2">
        <v>47</v>
      </c>
      <c r="C1428" s="2" t="s">
        <v>6</v>
      </c>
      <c r="D1428" s="2">
        <v>140</v>
      </c>
      <c r="E1428" s="2"/>
      <c r="F1428" s="4" t="str">
        <f>HYPERLINK("./Results/DLO\20181201_1.2.840.113619.2.416.273362043294581601526015190133100921979_303_512_512_\Osteo_Sarco_1.png","RPT")</f>
        <v>RPT</v>
      </c>
      <c r="G1428" s="3">
        <v>96</v>
      </c>
      <c r="H1428" s="3"/>
    </row>
    <row r="1429" spans="1:8" x14ac:dyDescent="0.3">
      <c r="A1429" s="2">
        <v>5383177</v>
      </c>
      <c r="B1429" s="2">
        <v>56</v>
      </c>
      <c r="C1429" s="2" t="s">
        <v>5</v>
      </c>
      <c r="D1429" s="2">
        <v>100</v>
      </c>
      <c r="E1429" s="2"/>
      <c r="F1429" s="4" t="str">
        <f>HYPERLINK("./Results/DLO\20200401_1.3.12.2.1107.5.1.4.65253.30000020041020013508100013703_3_512_512_\Osteo_Sarco_1.png","RPT")</f>
        <v>RPT</v>
      </c>
      <c r="G1429" s="3">
        <v>163</v>
      </c>
      <c r="H1429" s="3"/>
    </row>
    <row r="1430" spans="1:8" x14ac:dyDescent="0.3">
      <c r="A1430" s="2">
        <v>5383177</v>
      </c>
      <c r="B1430" s="2">
        <v>56</v>
      </c>
      <c r="C1430" s="2" t="s">
        <v>5</v>
      </c>
      <c r="D1430" s="2">
        <v>100</v>
      </c>
      <c r="E1430" s="2"/>
      <c r="F1430" s="4" t="str">
        <f>HYPERLINK("./Results/DLO\20200401_1.3.12.2.1107.5.1.4.65253.30000020041020013508100013497_2_512_512_\Osteo_Sarco_1.png","RPT")</f>
        <v>RPT</v>
      </c>
      <c r="G1430" s="3">
        <v>152</v>
      </c>
      <c r="H1430" s="3"/>
    </row>
    <row r="1431" spans="1:8" x14ac:dyDescent="0.3">
      <c r="A1431" s="2">
        <v>5383376</v>
      </c>
      <c r="B1431" s="2">
        <v>73</v>
      </c>
      <c r="C1431" s="2" t="s">
        <v>6</v>
      </c>
      <c r="D1431" s="2">
        <v>140</v>
      </c>
      <c r="E1431" s="2"/>
      <c r="F1431" s="4" t="str">
        <f>HYPERLINK("./Results/DLO\20191201_1.2.840.113619.2.416.28645597868012470807635894167115424380_302_512_512_\Osteo_Sarco_1.png","RPT")</f>
        <v>RPT</v>
      </c>
      <c r="G1431" s="3">
        <v>128</v>
      </c>
      <c r="H1431" s="3"/>
    </row>
    <row r="1432" spans="1:8" x14ac:dyDescent="0.3">
      <c r="A1432" s="2">
        <v>5383376</v>
      </c>
      <c r="B1432" s="2">
        <v>73</v>
      </c>
      <c r="C1432" s="2" t="s">
        <v>6</v>
      </c>
      <c r="D1432" s="2">
        <v>120</v>
      </c>
      <c r="E1432" s="2"/>
      <c r="F1432" s="4" t="str">
        <f>HYPERLINK("./Results/DLO\20191201_1.2.840.113619.2.416.153577805422434751267405071863092207109_2_512_512_\Osteo_Sarco_1.png","RPT")</f>
        <v>RPT</v>
      </c>
      <c r="G1432" s="3">
        <v>125</v>
      </c>
      <c r="H1432" s="3"/>
    </row>
    <row r="1433" spans="1:8" x14ac:dyDescent="0.3">
      <c r="A1433" s="2">
        <v>5388890</v>
      </c>
      <c r="B1433" s="2">
        <v>56</v>
      </c>
      <c r="C1433" s="2" t="s">
        <v>6</v>
      </c>
      <c r="D1433" s="2">
        <v>100</v>
      </c>
      <c r="E1433" s="2"/>
      <c r="F1433" s="4" t="str">
        <f>HYPERLINK("./Results/DLO\20190401_1.3.46.670589.33.1.63690570798702234600001.5612693976593100803_201_512_512_\Osteo_Sarco_1.png","RPT")</f>
        <v>RPT</v>
      </c>
      <c r="G1433" s="3">
        <v>94</v>
      </c>
      <c r="H1433" s="3"/>
    </row>
    <row r="1434" spans="1:8" x14ac:dyDescent="0.3">
      <c r="A1434" s="2">
        <v>5394483</v>
      </c>
      <c r="B1434" s="2">
        <v>66</v>
      </c>
      <c r="C1434" s="2" t="s">
        <v>6</v>
      </c>
      <c r="D1434" s="2">
        <v>100</v>
      </c>
      <c r="E1434" s="2"/>
      <c r="F1434" s="4" t="str">
        <f>HYPERLINK("./Results/DLO\20191001_1.2.840.113619.2.416.239167574522727094177485946241085638810_310_512_512_\Osteo_Sarco_1.png","RPT")</f>
        <v>RPT</v>
      </c>
      <c r="G1434" s="3">
        <v>90</v>
      </c>
      <c r="H1434" s="3"/>
    </row>
    <row r="1435" spans="1:8" x14ac:dyDescent="0.3">
      <c r="A1435" s="2">
        <v>5400145</v>
      </c>
      <c r="B1435" s="2">
        <v>60</v>
      </c>
      <c r="C1435" s="2" t="s">
        <v>5</v>
      </c>
      <c r="D1435" s="2">
        <v>140</v>
      </c>
      <c r="E1435" s="2"/>
      <c r="F1435" s="4" t="str">
        <f>HYPERLINK("./Results/DLO\20190401_1.2.840.113619.2.416.42397049846478460606537073131787865805_303_512_512_\Osteo_Sarco_1.png","RPT")</f>
        <v>RPT</v>
      </c>
      <c r="G1435" s="3">
        <v>173</v>
      </c>
      <c r="H1435" s="3"/>
    </row>
    <row r="1436" spans="1:8" x14ac:dyDescent="0.3">
      <c r="A1436" s="2">
        <v>5400145</v>
      </c>
      <c r="B1436" s="2">
        <v>60</v>
      </c>
      <c r="C1436" s="2" t="s">
        <v>5</v>
      </c>
      <c r="D1436" s="2">
        <v>140</v>
      </c>
      <c r="E1436" s="2"/>
      <c r="F1436" s="4" t="str">
        <f>HYPERLINK("./Results/DLO\20190401_1.2.840.113619.2.416.179162772907390484526855857512876520104_302_512_512_\Osteo_Sarco_1.png","RPT")</f>
        <v>RPT</v>
      </c>
      <c r="G1436" s="3">
        <v>170</v>
      </c>
      <c r="H1436" s="3"/>
    </row>
    <row r="1437" spans="1:8" x14ac:dyDescent="0.3">
      <c r="A1437" s="2">
        <v>5400196</v>
      </c>
      <c r="B1437" s="2">
        <v>56</v>
      </c>
      <c r="C1437" s="2" t="s">
        <v>5</v>
      </c>
      <c r="D1437" s="2">
        <v>140</v>
      </c>
      <c r="E1437" s="2"/>
      <c r="F1437" s="4" t="str">
        <f>HYPERLINK("./Results/DLO\20180501_1.2.840.113619.2.416.317657634025004021001225382840970416236_5_512_512_\Osteo_Sarco_1.png","RPT")</f>
        <v>RPT</v>
      </c>
      <c r="G1437" s="3">
        <v>157</v>
      </c>
      <c r="H1437" s="3"/>
    </row>
    <row r="1438" spans="1:8" x14ac:dyDescent="0.3">
      <c r="A1438" s="2">
        <v>5400196</v>
      </c>
      <c r="B1438" s="2">
        <v>56</v>
      </c>
      <c r="C1438" s="2" t="s">
        <v>5</v>
      </c>
      <c r="D1438" s="2">
        <v>120</v>
      </c>
      <c r="E1438" s="2"/>
      <c r="F1438" s="4" t="str">
        <f>HYPERLINK("./Results/DLO\20180501_1.2.840.113619.2.416.82982697626074880939214434087402628886_4_512_512_\Osteo_Sarco_1.png","RPT")</f>
        <v>RPT</v>
      </c>
      <c r="G1438" s="3">
        <v>153</v>
      </c>
      <c r="H1438" s="3"/>
    </row>
    <row r="1439" spans="1:8" x14ac:dyDescent="0.3">
      <c r="A1439" s="2">
        <v>5400427</v>
      </c>
      <c r="B1439" s="2">
        <v>60</v>
      </c>
      <c r="C1439" s="2" t="s">
        <v>5</v>
      </c>
      <c r="D1439" s="2">
        <v>100</v>
      </c>
      <c r="E1439" s="2"/>
      <c r="F1439" s="4" t="str">
        <f>HYPERLINK("./Results/DLO\20180101_1.3.12.2.1107.5.1.4.54310.30000018013023115745300002186_3_512_512_\Osteo_Sarco_1.png","RPT")</f>
        <v>RPT</v>
      </c>
      <c r="G1439" s="3">
        <v>149</v>
      </c>
      <c r="H1439" s="3"/>
    </row>
    <row r="1440" spans="1:8" x14ac:dyDescent="0.3">
      <c r="A1440" s="2">
        <v>5400427</v>
      </c>
      <c r="B1440" s="2">
        <v>60</v>
      </c>
      <c r="C1440" s="2" t="s">
        <v>5</v>
      </c>
      <c r="D1440" s="2">
        <v>100</v>
      </c>
      <c r="E1440" s="2"/>
      <c r="F1440" s="4" t="str">
        <f>HYPERLINK("./Results/DLO\20180101_1.3.12.2.1107.5.1.4.54310.30000018013023115745300002271_5_512_512_\Osteo_Sarco_1.png","RPT")</f>
        <v>RPT</v>
      </c>
      <c r="G1440" s="3">
        <v>149</v>
      </c>
      <c r="H1440" s="3"/>
    </row>
    <row r="1441" spans="1:8" x14ac:dyDescent="0.3">
      <c r="A1441" s="2">
        <v>5400427</v>
      </c>
      <c r="B1441" s="2">
        <v>60</v>
      </c>
      <c r="C1441" s="2" t="s">
        <v>5</v>
      </c>
      <c r="D1441" s="2">
        <v>100</v>
      </c>
      <c r="E1441" s="2"/>
      <c r="F1441" s="4" t="str">
        <f>HYPERLINK("./Results/DLO\20180101_1.3.12.2.1107.5.1.4.54310.30000018013023115745300002604_7_512_512_\Osteo_Sarco_1.png","RPT")</f>
        <v>RPT</v>
      </c>
      <c r="G1441" s="3">
        <v>148</v>
      </c>
      <c r="H1441" s="3"/>
    </row>
    <row r="1442" spans="1:8" x14ac:dyDescent="0.3">
      <c r="A1442" s="2">
        <v>5400427</v>
      </c>
      <c r="B1442" s="2">
        <v>60</v>
      </c>
      <c r="C1442" s="2" t="s">
        <v>5</v>
      </c>
      <c r="D1442" s="2">
        <v>100</v>
      </c>
      <c r="E1442" s="2"/>
      <c r="F1442" s="4" t="str">
        <f>HYPERLINK("./Results/DLO\20180101_1.3.12.2.1107.5.1.4.54310.30000018013023115745300002996_9_512_512_\Osteo_Sarco_1.png","RPT")</f>
        <v>RPT</v>
      </c>
      <c r="G1442" s="3">
        <v>148</v>
      </c>
      <c r="H1442" s="3"/>
    </row>
    <row r="1443" spans="1:8" x14ac:dyDescent="0.3">
      <c r="A1443" s="2">
        <v>5405233</v>
      </c>
      <c r="B1443" s="2">
        <v>58</v>
      </c>
      <c r="C1443" s="2" t="s">
        <v>5</v>
      </c>
      <c r="D1443" s="2">
        <v>100</v>
      </c>
      <c r="E1443" s="2"/>
      <c r="F1443" s="4" t="str">
        <f>HYPERLINK("./Results/DLO\20190401_1.3.12.2.1107.5.1.4.65253.30000019041520001469200058763_2_512_512_\Osteo_Sarco_1.png","RPT")</f>
        <v>RPT</v>
      </c>
      <c r="G1443" s="3">
        <v>154</v>
      </c>
      <c r="H1443" s="3"/>
    </row>
    <row r="1444" spans="1:8" x14ac:dyDescent="0.3">
      <c r="A1444" s="2">
        <v>5405423</v>
      </c>
      <c r="B1444" s="2">
        <v>87</v>
      </c>
      <c r="C1444" s="2" t="s">
        <v>6</v>
      </c>
      <c r="D1444" s="2">
        <v>100</v>
      </c>
      <c r="E1444" s="2"/>
      <c r="F1444" s="4" t="str">
        <f>HYPERLINK("./Results/DLO\20180101_1.3.12.2.1107.5.1.4.54310.30000018011423091487500019075_2_512_512_\Osteo_Sarco_1.png","RPT")</f>
        <v>RPT</v>
      </c>
      <c r="G1444" s="3">
        <v>88</v>
      </c>
      <c r="H1444" s="3"/>
    </row>
    <row r="1445" spans="1:8" x14ac:dyDescent="0.3">
      <c r="A1445" s="2">
        <v>5411733</v>
      </c>
      <c r="B1445" s="2">
        <v>58</v>
      </c>
      <c r="C1445" s="2" t="s">
        <v>6</v>
      </c>
      <c r="D1445" s="2">
        <v>140</v>
      </c>
      <c r="E1445" s="2"/>
      <c r="F1445" s="4" t="str">
        <f>HYPERLINK("./Results/DLO\20181201_1.2.840.113619.2.416.131744153889539064917395644136131307858_305_512_512_\Osteo_Sarco_1.png","RPT")</f>
        <v>RPT</v>
      </c>
      <c r="G1445" s="3">
        <v>125</v>
      </c>
      <c r="H1445" s="3"/>
    </row>
    <row r="1446" spans="1:8" x14ac:dyDescent="0.3">
      <c r="A1446" s="2">
        <v>5411733</v>
      </c>
      <c r="B1446" s="2">
        <v>58</v>
      </c>
      <c r="C1446" s="2" t="s">
        <v>6</v>
      </c>
      <c r="D1446" s="2">
        <v>140</v>
      </c>
      <c r="E1446" s="2"/>
      <c r="F1446" s="4" t="str">
        <f>HYPERLINK("./Results/DLO\20181201_1.2.840.113619.2.416.334890930069986132749194885318190741086_308_512_512_\Osteo_Sarco_1.png","RPT")</f>
        <v>RPT</v>
      </c>
      <c r="G1446" s="3">
        <v>120</v>
      </c>
      <c r="H1446" s="3"/>
    </row>
    <row r="1447" spans="1:8" x14ac:dyDescent="0.3">
      <c r="A1447" s="2">
        <v>5411733</v>
      </c>
      <c r="B1447" s="2">
        <v>58</v>
      </c>
      <c r="C1447" s="2" t="s">
        <v>6</v>
      </c>
      <c r="D1447" s="2">
        <v>140</v>
      </c>
      <c r="E1447" s="2"/>
      <c r="F1447" s="4" t="str">
        <f>HYPERLINK("./Results/DLO\20181201_1.2.840.113619.2.416.230888523377277274215054162076912419285_301_512_512_\Osteo_Sarco_1.png","RPT")</f>
        <v>RPT</v>
      </c>
      <c r="G1447" s="3">
        <v>116</v>
      </c>
      <c r="H1447" s="3"/>
    </row>
    <row r="1448" spans="1:8" x14ac:dyDescent="0.3">
      <c r="A1448" s="2">
        <v>5411733</v>
      </c>
      <c r="B1448" s="2">
        <v>58</v>
      </c>
      <c r="C1448" s="2" t="s">
        <v>6</v>
      </c>
      <c r="D1448" s="2">
        <v>140</v>
      </c>
      <c r="E1448" s="2"/>
      <c r="F1448" s="4" t="str">
        <f>HYPERLINK("./Results/DLO\20181201_1.2.840.113619.2.416.92526445393959048140455618921081467605_303_512_512_\Osteo_Sarco_1.png","RPT")</f>
        <v>RPT</v>
      </c>
      <c r="G1448" s="3">
        <v>116</v>
      </c>
      <c r="H1448" s="3"/>
    </row>
    <row r="1449" spans="1:8" x14ac:dyDescent="0.3">
      <c r="A1449" s="2">
        <v>5432554</v>
      </c>
      <c r="B1449" s="2">
        <v>59</v>
      </c>
      <c r="C1449" s="2" t="s">
        <v>6</v>
      </c>
      <c r="D1449" s="2">
        <v>100</v>
      </c>
      <c r="E1449" s="2"/>
      <c r="F1449" s="4" t="str">
        <f>HYPERLINK("./Results/DLO\20190601_1.3.46.670589.33.1.63696983217397101500001.5476908798405839048_301_512_512_\Osteo_Sarco_1.png","RPT")</f>
        <v>RPT</v>
      </c>
      <c r="G1449" s="3">
        <v>96</v>
      </c>
      <c r="H1449" s="3"/>
    </row>
    <row r="1450" spans="1:8" x14ac:dyDescent="0.3">
      <c r="A1450" s="2">
        <v>5435964</v>
      </c>
      <c r="B1450" s="2">
        <v>50</v>
      </c>
      <c r="C1450" s="2" t="s">
        <v>6</v>
      </c>
      <c r="D1450" s="2">
        <v>100</v>
      </c>
      <c r="E1450" s="2"/>
      <c r="F1450" s="4" t="str">
        <f>HYPERLINK("./Results/DLO\20180501_1.3.12.2.1107.5.1.4.54310.30000018053023524556200007235_2_512_512_\Osteo_Sarco_1.png","RPT")</f>
        <v>RPT</v>
      </c>
      <c r="G1450" s="3">
        <v>113</v>
      </c>
      <c r="H1450" s="3"/>
    </row>
    <row r="1451" spans="1:8" x14ac:dyDescent="0.3">
      <c r="A1451" s="2">
        <v>5441878</v>
      </c>
      <c r="B1451" s="2">
        <v>79</v>
      </c>
      <c r="C1451" s="2" t="s">
        <v>5</v>
      </c>
      <c r="D1451" s="2">
        <v>100</v>
      </c>
      <c r="E1451" s="2"/>
      <c r="F1451" s="4" t="str">
        <f>HYPERLINK("./Results/DLO\20190401_1.2.840.113619.2.311.160628100987296227937906322309849059045_303_512_512_\Osteo_Sarco_1.png","RPT")</f>
        <v>RPT</v>
      </c>
      <c r="G1451" s="3">
        <v>157</v>
      </c>
      <c r="H1451" s="3"/>
    </row>
    <row r="1452" spans="1:8" x14ac:dyDescent="0.3">
      <c r="A1452" s="2">
        <v>5441878</v>
      </c>
      <c r="B1452" s="2">
        <v>79</v>
      </c>
      <c r="C1452" s="2" t="s">
        <v>5</v>
      </c>
      <c r="D1452" s="2">
        <v>100</v>
      </c>
      <c r="E1452" s="2"/>
      <c r="F1452" s="4" t="str">
        <f>HYPERLINK("./Results/DLO\20190401_1.2.840.113619.2.311.286937726817803787484213265112037145672_2_512_512_\Osteo_Sarco_1.png","RPT")</f>
        <v>RPT</v>
      </c>
      <c r="G1452" s="3">
        <v>157</v>
      </c>
      <c r="H1452" s="3"/>
    </row>
    <row r="1453" spans="1:8" x14ac:dyDescent="0.3">
      <c r="A1453" s="2">
        <v>5446398</v>
      </c>
      <c r="B1453" s="2">
        <v>70</v>
      </c>
      <c r="C1453" s="2" t="s">
        <v>5</v>
      </c>
      <c r="D1453" s="2">
        <v>140</v>
      </c>
      <c r="E1453" s="2"/>
      <c r="F1453" s="4" t="str">
        <f>HYPERLINK("./Results/DLO\20180701_1.2.840.113619.2.416.246789812891954823759148130273919891418_308_512_512_\Osteo_Sarco_1.png","RPT")</f>
        <v>RPT</v>
      </c>
      <c r="G1453" s="3">
        <v>168</v>
      </c>
      <c r="H1453" s="3"/>
    </row>
    <row r="1454" spans="1:8" x14ac:dyDescent="0.3">
      <c r="A1454" s="2">
        <v>5446398</v>
      </c>
      <c r="B1454" s="2">
        <v>70</v>
      </c>
      <c r="C1454" s="2" t="s">
        <v>5</v>
      </c>
      <c r="D1454" s="2">
        <v>140</v>
      </c>
      <c r="E1454" s="2"/>
      <c r="F1454" s="4" t="str">
        <f>HYPERLINK("./Results/DLO\20180701_1.2.840.113619.2.416.71550719540345987645644086958722003673_301_512_512_\Osteo_Sarco_1.png","RPT")</f>
        <v>RPT</v>
      </c>
      <c r="G1454" s="3">
        <v>164</v>
      </c>
      <c r="H1454" s="3"/>
    </row>
    <row r="1455" spans="1:8" x14ac:dyDescent="0.3">
      <c r="A1455" s="2">
        <v>5446398</v>
      </c>
      <c r="B1455" s="2">
        <v>70</v>
      </c>
      <c r="C1455" s="2" t="s">
        <v>5</v>
      </c>
      <c r="D1455" s="2">
        <v>140</v>
      </c>
      <c r="E1455" s="2"/>
      <c r="F1455" s="4" t="str">
        <f>HYPERLINK("./Results/DLO\20180701_1.2.840.113619.2.416.314005858891581867201018117369716027071_305_512_512_\Osteo_Sarco_1.png","RPT")</f>
        <v>RPT</v>
      </c>
      <c r="G1455" s="3">
        <v>151</v>
      </c>
      <c r="H1455" s="3"/>
    </row>
    <row r="1456" spans="1:8" x14ac:dyDescent="0.3">
      <c r="A1456" s="2">
        <v>5448211</v>
      </c>
      <c r="B1456" s="2">
        <v>77</v>
      </c>
      <c r="C1456" s="2" t="s">
        <v>6</v>
      </c>
      <c r="D1456" s="2">
        <v>80</v>
      </c>
      <c r="E1456" s="2"/>
      <c r="F1456" s="4" t="str">
        <f>HYPERLINK("./Results/DLO\20180201_1.2.410.200069.10820110185.1012000.20250820080525040922_931_512_512_\Osteo_Sarco_1.png","RPT")</f>
        <v>RPT</v>
      </c>
      <c r="G1456" s="3">
        <v>99</v>
      </c>
      <c r="H1456" s="3"/>
    </row>
    <row r="1457" spans="1:8" x14ac:dyDescent="0.3">
      <c r="A1457" s="2">
        <v>5448211</v>
      </c>
      <c r="B1457" s="2">
        <v>77</v>
      </c>
      <c r="C1457" s="2" t="s">
        <v>6</v>
      </c>
      <c r="D1457" s="2">
        <v>80</v>
      </c>
      <c r="E1457" s="2"/>
      <c r="F1457" s="4" t="str">
        <f>HYPERLINK("./Results/DLO\20180201_1.2.410.200069.80820110186.1160115.20250820080543034815_7316_512_512_\Osteo_Sarco_1.png","RPT")</f>
        <v>RPT</v>
      </c>
      <c r="G1457" s="3">
        <v>99</v>
      </c>
      <c r="H1457" s="3"/>
    </row>
    <row r="1458" spans="1:8" x14ac:dyDescent="0.3">
      <c r="A1458" s="2">
        <v>5448211</v>
      </c>
      <c r="B1458" s="2">
        <v>77</v>
      </c>
      <c r="C1458" s="2" t="s">
        <v>6</v>
      </c>
      <c r="D1458" s="2">
        <v>100</v>
      </c>
      <c r="E1458" s="2"/>
      <c r="F1458" s="4" t="str">
        <f>HYPERLINK("./Results/DLO\20180201_1.3.12.2.1107.5.1.4.65253.30000018020920272844000002319_2_512_512_\Osteo_Sarco_1.png","RPT")</f>
        <v>RPT</v>
      </c>
      <c r="G1458" s="3">
        <v>99</v>
      </c>
      <c r="H1458" s="3"/>
    </row>
    <row r="1459" spans="1:8" x14ac:dyDescent="0.3">
      <c r="A1459" s="2">
        <v>5448211</v>
      </c>
      <c r="B1459" s="2">
        <v>77</v>
      </c>
      <c r="C1459" s="2" t="s">
        <v>6</v>
      </c>
      <c r="D1459" s="2">
        <v>80</v>
      </c>
      <c r="E1459" s="2"/>
      <c r="F1459" s="4" t="str">
        <f>HYPERLINK("./Results/DLO\20180201_1.3.12.2.1107.5.1.4.65253.30000018020920272844000002486_3_512_512_\Osteo_Sarco_1.png","RPT")</f>
        <v>RPT</v>
      </c>
      <c r="G1459" s="3">
        <v>99</v>
      </c>
      <c r="H1459" s="3"/>
    </row>
    <row r="1460" spans="1:8" x14ac:dyDescent="0.3">
      <c r="A1460" s="2">
        <v>5449277</v>
      </c>
      <c r="B1460" s="2">
        <v>48</v>
      </c>
      <c r="C1460" s="2" t="s">
        <v>6</v>
      </c>
      <c r="D1460" s="2">
        <v>100</v>
      </c>
      <c r="E1460" s="2"/>
      <c r="F1460" s="4" t="str">
        <f>HYPERLINK("./Results/DLO\20190201_1.3.46.670589.33.1.63686944509884278300001.5496912160714132807_201_512_512_\Osteo_Sarco_1.png","RPT")</f>
        <v>RPT</v>
      </c>
      <c r="G1460" s="3">
        <v>105</v>
      </c>
      <c r="H1460" s="3"/>
    </row>
    <row r="1461" spans="1:8" x14ac:dyDescent="0.3">
      <c r="A1461" s="2">
        <v>5450902</v>
      </c>
      <c r="B1461" s="2">
        <v>75</v>
      </c>
      <c r="C1461" s="2" t="s">
        <v>5</v>
      </c>
      <c r="D1461" s="2">
        <v>140</v>
      </c>
      <c r="E1461" s="2"/>
      <c r="F1461" s="4" t="str">
        <f>HYPERLINK("./Results/DLO\20180101_1.2.840.113619.2.416.153634095510414806778138829125507614220_2_512_512_\Osteo_Sarco_1.png","RPT")</f>
        <v>RPT</v>
      </c>
      <c r="G1461" s="3">
        <v>173</v>
      </c>
      <c r="H1461" s="3"/>
    </row>
    <row r="1462" spans="1:8" x14ac:dyDescent="0.3">
      <c r="A1462" s="2">
        <v>5452306</v>
      </c>
      <c r="B1462" s="2">
        <v>69</v>
      </c>
      <c r="C1462" s="2" t="s">
        <v>5</v>
      </c>
      <c r="D1462" s="2">
        <v>100</v>
      </c>
      <c r="E1462" s="2"/>
      <c r="F1462" s="4" t="str">
        <f>HYPERLINK("./Results/DLO\20180101_1.3.12.2.1107.5.1.4.65253.30000018011120330774800049996_2_512_512_\Osteo_Sarco_1.png","RPT")</f>
        <v>RPT</v>
      </c>
      <c r="G1462" s="3">
        <v>98</v>
      </c>
      <c r="H1462" s="3"/>
    </row>
    <row r="1463" spans="1:8" x14ac:dyDescent="0.3">
      <c r="A1463" s="2">
        <v>5453080</v>
      </c>
      <c r="B1463" s="2">
        <v>77</v>
      </c>
      <c r="C1463" s="2" t="s">
        <v>5</v>
      </c>
      <c r="D1463" s="2">
        <v>140</v>
      </c>
      <c r="E1463" s="2"/>
      <c r="F1463" s="4" t="str">
        <f>HYPERLINK("./Results/DLO\20190801_1.2.840.113619.2.416.118288186238743274793021343153216809646_303_512_512_\Osteo_Sarco_1.png","RPT")</f>
        <v>RPT</v>
      </c>
      <c r="G1463" s="3">
        <v>128</v>
      </c>
      <c r="H1463" s="3"/>
    </row>
    <row r="1464" spans="1:8" x14ac:dyDescent="0.3">
      <c r="A1464" s="2">
        <v>5453080</v>
      </c>
      <c r="B1464" s="2">
        <v>77</v>
      </c>
      <c r="C1464" s="2" t="s">
        <v>5</v>
      </c>
      <c r="D1464" s="2">
        <v>140</v>
      </c>
      <c r="E1464" s="2"/>
      <c r="F1464" s="4" t="str">
        <f>HYPERLINK("./Results/DLO\20190801_1.2.840.113619.2.416.183411058855534280880170057758768918060_302_512_512_\Osteo_Sarco_1.png","RPT")</f>
        <v>RPT</v>
      </c>
      <c r="G1464" s="3">
        <v>125</v>
      </c>
      <c r="H1464" s="3"/>
    </row>
    <row r="1465" spans="1:8" x14ac:dyDescent="0.3">
      <c r="A1465" s="2">
        <v>5453255</v>
      </c>
      <c r="B1465" s="2">
        <v>46</v>
      </c>
      <c r="C1465" s="2" t="s">
        <v>6</v>
      </c>
      <c r="D1465" s="2">
        <v>120</v>
      </c>
      <c r="E1465" s="2"/>
      <c r="F1465" s="4" t="str">
        <f>HYPERLINK("./Results/DLO\20181201_1.3.12.2.1107.5.1.4.65253.30000018120222042451200003692_2_512_512_\Osteo_Sarco_1.png","RPT")</f>
        <v>RPT</v>
      </c>
      <c r="G1465" s="3">
        <v>190</v>
      </c>
      <c r="H1465" s="3"/>
    </row>
    <row r="1466" spans="1:8" x14ac:dyDescent="0.3">
      <c r="A1466" s="2">
        <v>5463208</v>
      </c>
      <c r="B1466" s="2">
        <v>69</v>
      </c>
      <c r="C1466" s="2" t="s">
        <v>6</v>
      </c>
      <c r="D1466" s="2">
        <v>100</v>
      </c>
      <c r="E1466" s="2"/>
      <c r="F1466" s="4" t="str">
        <f>HYPERLINK("./Results/DLO\20181001_1.3.12.2.1107.5.1.4.54310.30000018102823274178100030605_2_512_512_\Osteo_Sarco_1.png","RPT")</f>
        <v>RPT</v>
      </c>
      <c r="G1466" s="3">
        <v>115</v>
      </c>
      <c r="H1466" s="3"/>
    </row>
    <row r="1467" spans="1:8" x14ac:dyDescent="0.3">
      <c r="A1467" s="2">
        <v>5470558</v>
      </c>
      <c r="B1467" s="2">
        <v>69</v>
      </c>
      <c r="C1467" s="2" t="s">
        <v>6</v>
      </c>
      <c r="D1467" s="2">
        <v>100</v>
      </c>
      <c r="E1467" s="2"/>
      <c r="F1467" s="4" t="str">
        <f>HYPERLINK("./Results/DLO\20180501_1.3.12.2.1107.5.1.4.65253.30000018050819363785800029152_3_512_512_\Osteo_Sarco_1.png","RPT")</f>
        <v>RPT</v>
      </c>
      <c r="G1467" s="3">
        <v>125</v>
      </c>
      <c r="H1467" s="3"/>
    </row>
    <row r="1468" spans="1:8" x14ac:dyDescent="0.3">
      <c r="A1468" s="2">
        <v>5470558</v>
      </c>
      <c r="B1468" s="2">
        <v>69</v>
      </c>
      <c r="C1468" s="2" t="s">
        <v>6</v>
      </c>
      <c r="D1468" s="2">
        <v>100</v>
      </c>
      <c r="E1468" s="2"/>
      <c r="F1468" s="4" t="str">
        <f>HYPERLINK("./Results/DLO\20180501_1.3.12.2.1107.5.1.4.65253.30000018050819363785800029008_2_512_512_\Osteo_Sarco_1.png","RPT")</f>
        <v>RPT</v>
      </c>
      <c r="G1468" s="3">
        <v>122</v>
      </c>
      <c r="H1468" s="3"/>
    </row>
    <row r="1469" spans="1:8" x14ac:dyDescent="0.3">
      <c r="A1469" s="2">
        <v>5473171</v>
      </c>
      <c r="B1469" s="2">
        <v>80</v>
      </c>
      <c r="C1469" s="2" t="s">
        <v>6</v>
      </c>
      <c r="D1469" s="2">
        <v>140</v>
      </c>
      <c r="E1469" s="2"/>
      <c r="F1469" s="4" t="str">
        <f>HYPERLINK("./Results/DLO\20181101_1.2.840.113619.2.416.166968372403344181284936552881524502373_302_512_512_\Osteo_Sarco_1.png","RPT")</f>
        <v>RPT</v>
      </c>
      <c r="G1469" s="3">
        <v>107</v>
      </c>
      <c r="H1469" s="3"/>
    </row>
    <row r="1470" spans="1:8" x14ac:dyDescent="0.3">
      <c r="A1470" s="2">
        <v>5473171</v>
      </c>
      <c r="B1470" s="2">
        <v>80</v>
      </c>
      <c r="C1470" s="2" t="s">
        <v>6</v>
      </c>
      <c r="D1470" s="2">
        <v>120</v>
      </c>
      <c r="E1470" s="2"/>
      <c r="F1470" s="4" t="str">
        <f>HYPERLINK("./Results/DLO\20181101_1.2.840.113619.2.416.248561583639255859424408974722985545020_3_512_512_\Osteo_Sarco_1.png","RPT")</f>
        <v>RPT</v>
      </c>
      <c r="G1470" s="3">
        <v>96</v>
      </c>
      <c r="H1470" s="3"/>
    </row>
    <row r="1471" spans="1:8" x14ac:dyDescent="0.3">
      <c r="A1471" s="2">
        <v>5480416</v>
      </c>
      <c r="B1471" s="2">
        <v>86</v>
      </c>
      <c r="C1471" s="2" t="s">
        <v>6</v>
      </c>
      <c r="D1471" s="2">
        <v>140</v>
      </c>
      <c r="E1471" s="2"/>
      <c r="F1471" s="4" t="str">
        <f>HYPERLINK("./Results/DLO\20181001_1.2.840.113619.2.416.1464532259507746704448351103571097473_302_512_512_\Osteo_Sarco_1.png","RPT")</f>
        <v>RPT</v>
      </c>
      <c r="G1471" s="3">
        <v>105</v>
      </c>
      <c r="H1471" s="3"/>
    </row>
    <row r="1472" spans="1:8" x14ac:dyDescent="0.3">
      <c r="A1472" s="2">
        <v>5480416</v>
      </c>
      <c r="B1472" s="2">
        <v>86</v>
      </c>
      <c r="C1472" s="2" t="s">
        <v>6</v>
      </c>
      <c r="D1472" s="2">
        <v>120</v>
      </c>
      <c r="E1472" s="2"/>
      <c r="F1472" s="4" t="str">
        <f>HYPERLINK("./Results/DLO\20181001_1.2.840.113619.2.416.132473916097941051030940552622802844433_2_512_512_\Osteo_Sarco_1.png","RPT")</f>
        <v>RPT</v>
      </c>
      <c r="G1472" s="3">
        <v>90</v>
      </c>
      <c r="H1472" s="3"/>
    </row>
    <row r="1473" spans="1:8" x14ac:dyDescent="0.3">
      <c r="A1473" s="2">
        <v>5481149</v>
      </c>
      <c r="B1473" s="2">
        <v>58</v>
      </c>
      <c r="C1473" s="2" t="s">
        <v>5</v>
      </c>
      <c r="D1473" s="2">
        <v>100</v>
      </c>
      <c r="E1473" s="2"/>
      <c r="F1473" s="4" t="str">
        <f>HYPERLINK("./Results/DLO\20180801_1.3.12.2.1107.5.1.4.65253.30000018081621120209200024087_2_512_512_\Osteo_Sarco_1.png","RPT")</f>
        <v>RPT</v>
      </c>
      <c r="G1473" s="3">
        <v>170</v>
      </c>
      <c r="H1473" s="3"/>
    </row>
    <row r="1474" spans="1:8" x14ac:dyDescent="0.3">
      <c r="A1474" s="2">
        <v>5481149</v>
      </c>
      <c r="B1474" s="2">
        <v>58</v>
      </c>
      <c r="C1474" s="2" t="s">
        <v>5</v>
      </c>
      <c r="D1474" s="2">
        <v>100</v>
      </c>
      <c r="E1474" s="2"/>
      <c r="F1474" s="4" t="str">
        <f>HYPERLINK("./Results/DLO\20180801_1.3.12.2.1107.5.1.4.65253.30000018081621120209200024257_3_512_512_\Osteo_Sarco_1.png","RPT")</f>
        <v>RPT</v>
      </c>
      <c r="G1474" s="3">
        <v>168</v>
      </c>
      <c r="H1474" s="3"/>
    </row>
    <row r="1475" spans="1:8" x14ac:dyDescent="0.3">
      <c r="A1475" s="2">
        <v>5482800</v>
      </c>
      <c r="B1475" s="2">
        <v>48</v>
      </c>
      <c r="C1475" s="2" t="s">
        <v>6</v>
      </c>
      <c r="D1475" s="2">
        <v>100</v>
      </c>
      <c r="E1475" s="2"/>
      <c r="F1475" s="4" t="str">
        <f>HYPERLINK("./Results/DLO\20180101_1.3.12.2.1107.5.1.4.54310.30000018012823132665600011099_2_512_512_\Osteo_Sarco_1.png","RPT")</f>
        <v>RPT</v>
      </c>
      <c r="G1475" s="3">
        <v>141</v>
      </c>
      <c r="H1475" s="3"/>
    </row>
    <row r="1476" spans="1:8" x14ac:dyDescent="0.3">
      <c r="A1476" s="2">
        <v>5484235</v>
      </c>
      <c r="B1476" s="2">
        <v>67</v>
      </c>
      <c r="C1476" s="2" t="s">
        <v>6</v>
      </c>
      <c r="D1476" s="2">
        <v>100</v>
      </c>
      <c r="E1476" s="2"/>
      <c r="F1476" s="4" t="str">
        <f>HYPERLINK("./Results/DLO\20181201_1.3.46.670589.33.1.63681500115693411800001.4948518002026561601_201_512_512_\Osteo_Sarco_1.png","RPT")</f>
        <v>RPT</v>
      </c>
      <c r="G1476" s="3">
        <v>118</v>
      </c>
      <c r="H1476" s="3"/>
    </row>
    <row r="1477" spans="1:8" x14ac:dyDescent="0.3">
      <c r="A1477" s="2">
        <v>5486710</v>
      </c>
      <c r="B1477" s="2">
        <v>70</v>
      </c>
      <c r="C1477" s="2" t="s">
        <v>5</v>
      </c>
      <c r="D1477" s="2">
        <v>120</v>
      </c>
      <c r="E1477" s="2"/>
      <c r="F1477" s="4" t="str">
        <f>HYPERLINK("./Results/DLO\20200301_1.2.840.113619.2.416.114485267625719889014344784982362363321_2_512_512_\Osteo_Sarco_1.png","RPT")</f>
        <v>RPT</v>
      </c>
      <c r="G1477" s="3">
        <v>168</v>
      </c>
      <c r="H1477" s="3"/>
    </row>
    <row r="1478" spans="1:8" x14ac:dyDescent="0.3">
      <c r="A1478" s="2">
        <v>5486710</v>
      </c>
      <c r="B1478" s="2">
        <v>70</v>
      </c>
      <c r="C1478" s="2" t="s">
        <v>5</v>
      </c>
      <c r="D1478" s="2">
        <v>140</v>
      </c>
      <c r="E1478" s="2"/>
      <c r="F1478" s="4" t="str">
        <f>HYPERLINK("./Results/DLO\20200301_1.2.840.113619.2.416.44635883444936657296998470044498247962_302_512_512_\Osteo_Sarco_1.png","RPT")</f>
        <v>RPT</v>
      </c>
      <c r="G1478" s="3">
        <v>156</v>
      </c>
      <c r="H1478" s="3"/>
    </row>
    <row r="1479" spans="1:8" x14ac:dyDescent="0.3">
      <c r="A1479" s="2">
        <v>5497783</v>
      </c>
      <c r="B1479" s="2">
        <v>82</v>
      </c>
      <c r="C1479" s="2" t="s">
        <v>6</v>
      </c>
      <c r="D1479" s="2">
        <v>140</v>
      </c>
      <c r="E1479" s="2"/>
      <c r="F1479" s="4" t="str">
        <f>HYPERLINK("./Results/DLO\20191101_1.2.840.113619.2.311.209921178675106656449375385618262627131_307_512_512_\Osteo_Sarco_1.png","RPT")</f>
        <v>RPT</v>
      </c>
      <c r="G1479" s="3">
        <v>131</v>
      </c>
      <c r="H1479" s="3"/>
    </row>
    <row r="1480" spans="1:8" x14ac:dyDescent="0.3">
      <c r="A1480" s="2">
        <v>5497783</v>
      </c>
      <c r="B1480" s="2">
        <v>82</v>
      </c>
      <c r="C1480" s="2" t="s">
        <v>6</v>
      </c>
      <c r="D1480" s="2">
        <v>140</v>
      </c>
      <c r="E1480" s="2"/>
      <c r="F1480" s="4" t="str">
        <f>HYPERLINK("./Results/DLO\20191101_1.2.840.113619.2.311.137802200863165129681324248243120299851_306_512_512_\Osteo_Sarco_1.png","RPT")</f>
        <v>RPT</v>
      </c>
      <c r="G1480" s="3">
        <v>130</v>
      </c>
      <c r="H1480" s="3"/>
    </row>
    <row r="1481" spans="1:8" x14ac:dyDescent="0.3">
      <c r="A1481" s="2">
        <v>5506522</v>
      </c>
      <c r="B1481" s="2">
        <v>62</v>
      </c>
      <c r="C1481" s="2" t="s">
        <v>6</v>
      </c>
      <c r="D1481" s="2">
        <v>100</v>
      </c>
      <c r="E1481" s="2"/>
      <c r="F1481" s="4" t="str">
        <f>HYPERLINK("./Results/DLO\20180701_1.3.12.2.1107.5.1.4.54310.30000018071123231618700010614_2_512_512_\Osteo_Sarco_1.png","RPT")</f>
        <v>RPT</v>
      </c>
      <c r="G1481" s="3">
        <v>107</v>
      </c>
      <c r="H1481" s="3"/>
    </row>
    <row r="1482" spans="1:8" x14ac:dyDescent="0.3">
      <c r="A1482" s="2">
        <v>5509757</v>
      </c>
      <c r="B1482" s="2">
        <v>68</v>
      </c>
      <c r="C1482" s="2" t="s">
        <v>5</v>
      </c>
      <c r="D1482" s="2">
        <v>100</v>
      </c>
      <c r="E1482" s="2"/>
      <c r="F1482" s="4" t="str">
        <f>HYPERLINK("./Results/DLO\20190701_1.3.12.2.1107.5.1.4.65253.30000019072118114898500042830_3_512_512_\Osteo_Sarco_1.png","RPT")</f>
        <v>RPT</v>
      </c>
      <c r="G1482" s="3">
        <v>132</v>
      </c>
      <c r="H1482" s="3"/>
    </row>
    <row r="1483" spans="1:8" x14ac:dyDescent="0.3">
      <c r="A1483" s="2">
        <v>5509757</v>
      </c>
      <c r="B1483" s="2">
        <v>68</v>
      </c>
      <c r="C1483" s="2" t="s">
        <v>5</v>
      </c>
      <c r="D1483" s="2">
        <v>100</v>
      </c>
      <c r="E1483" s="2"/>
      <c r="F1483" s="4" t="str">
        <f>HYPERLINK("./Results/DLO\20190701_1.3.12.2.1107.5.1.4.65253.30000019072118114898500042662_2_512_512_\Osteo_Sarco_1.png","RPT")</f>
        <v>RPT</v>
      </c>
      <c r="G1483" s="3">
        <v>131</v>
      </c>
      <c r="H1483" s="3"/>
    </row>
    <row r="1484" spans="1:8" x14ac:dyDescent="0.3">
      <c r="A1484" s="2">
        <v>5509970</v>
      </c>
      <c r="B1484" s="2">
        <v>66</v>
      </c>
      <c r="C1484" s="2" t="s">
        <v>6</v>
      </c>
      <c r="D1484" s="2">
        <v>100</v>
      </c>
      <c r="E1484" s="2"/>
      <c r="F1484" s="4" t="str">
        <f>HYPERLINK("./Results/DLO\20190801_1.3.12.2.1107.5.1.4.65253.30000019082918300811400039535_3_512_512_\Osteo_Sarco_1.png","RPT")</f>
        <v>RPT</v>
      </c>
      <c r="G1484" s="3">
        <v>93</v>
      </c>
      <c r="H1484" s="3"/>
    </row>
    <row r="1485" spans="1:8" x14ac:dyDescent="0.3">
      <c r="A1485" s="2">
        <v>5509970</v>
      </c>
      <c r="B1485" s="2">
        <v>66</v>
      </c>
      <c r="C1485" s="2" t="s">
        <v>6</v>
      </c>
      <c r="D1485" s="2">
        <v>100</v>
      </c>
      <c r="E1485" s="2"/>
      <c r="F1485" s="4" t="str">
        <f>HYPERLINK("./Results/DLO\20190801_1.3.12.2.1107.5.1.4.65253.30000019082918300811400038937_2_512_512_\Osteo_Sarco_1.png","RPT")</f>
        <v>RPT</v>
      </c>
      <c r="G1485" s="3">
        <v>92</v>
      </c>
      <c r="H1485" s="3"/>
    </row>
    <row r="1486" spans="1:8" x14ac:dyDescent="0.3">
      <c r="A1486" s="2">
        <v>5512384</v>
      </c>
      <c r="B1486" s="2">
        <v>51</v>
      </c>
      <c r="C1486" s="2" t="s">
        <v>5</v>
      </c>
      <c r="D1486" s="2">
        <v>100</v>
      </c>
      <c r="E1486" s="2"/>
      <c r="F1486" s="4" t="str">
        <f>HYPERLINK("./Results/DLO\20190601_1.3.12.2.1107.5.1.4.54310.30000019060921293893700037217_2_512_512_\Osteo_Sarco_1.png","RPT")</f>
        <v>RPT</v>
      </c>
      <c r="G1486" s="3">
        <v>165</v>
      </c>
      <c r="H1486" s="3"/>
    </row>
    <row r="1487" spans="1:8" x14ac:dyDescent="0.3">
      <c r="A1487" s="2">
        <v>5514392</v>
      </c>
      <c r="B1487" s="2">
        <v>46</v>
      </c>
      <c r="C1487" s="2" t="s">
        <v>6</v>
      </c>
      <c r="D1487" s="2">
        <v>100</v>
      </c>
      <c r="E1487" s="2"/>
      <c r="F1487" s="4" t="str">
        <f>HYPERLINK("./Results/DLO\20190901_1.3.46.670589.33.1.63703272508775964200001.4646191461343754137_201_512_512_\Osteo_Sarco_1.png","RPT")</f>
        <v>RPT</v>
      </c>
      <c r="G1487" s="3">
        <v>98</v>
      </c>
      <c r="H1487" s="3"/>
    </row>
    <row r="1488" spans="1:8" x14ac:dyDescent="0.3">
      <c r="A1488" s="2">
        <v>5517453</v>
      </c>
      <c r="B1488" s="2">
        <v>41</v>
      </c>
      <c r="C1488" s="2" t="s">
        <v>6</v>
      </c>
      <c r="D1488" s="2">
        <v>100</v>
      </c>
      <c r="E1488" s="2"/>
      <c r="F1488" s="4" t="str">
        <f>HYPERLINK("./Results/DLO\20190101_1.2.410.100011.172.24.16.217.6368341431705244083.2_2_512_512_\Osteo_Sarco_1.png","RPT")</f>
        <v>RPT</v>
      </c>
      <c r="G1488" s="3">
        <v>110</v>
      </c>
      <c r="H1488" s="3"/>
    </row>
    <row r="1489" spans="1:8" x14ac:dyDescent="0.3">
      <c r="A1489" s="2">
        <v>5517453</v>
      </c>
      <c r="B1489" s="2">
        <v>41</v>
      </c>
      <c r="C1489" s="2" t="s">
        <v>6</v>
      </c>
      <c r="D1489" s="2">
        <v>100</v>
      </c>
      <c r="E1489" s="2"/>
      <c r="F1489" s="4" t="str">
        <f>HYPERLINK("./Results/DLO\20190101_1.2.410.100011.172.24.16.217.6368341431705244083.3_3_512_512_\Osteo_Sarco_1.png","RPT")</f>
        <v>RPT</v>
      </c>
      <c r="G1489" s="3">
        <v>110</v>
      </c>
      <c r="H1489" s="3"/>
    </row>
    <row r="1490" spans="1:8" x14ac:dyDescent="0.3">
      <c r="A1490" s="2">
        <v>5519640</v>
      </c>
      <c r="B1490" s="2">
        <v>64</v>
      </c>
      <c r="C1490" s="2" t="s">
        <v>6</v>
      </c>
      <c r="D1490" s="2">
        <v>100</v>
      </c>
      <c r="E1490" s="2"/>
      <c r="F1490" s="4" t="str">
        <f>HYPERLINK("./Results/DLO\20190301_1.3.46.670589.33.1.63687656192617953800001.5025062421972071759_701_512_512_\Osteo_Sarco_1.png","RPT")</f>
        <v>RPT</v>
      </c>
      <c r="G1490" s="3">
        <v>101</v>
      </c>
      <c r="H1490" s="3"/>
    </row>
    <row r="1491" spans="1:8" x14ac:dyDescent="0.3">
      <c r="A1491" s="2">
        <v>5519640</v>
      </c>
      <c r="B1491" s="2">
        <v>64</v>
      </c>
      <c r="C1491" s="2" t="s">
        <v>6</v>
      </c>
      <c r="D1491" s="2">
        <v>100</v>
      </c>
      <c r="E1491" s="2"/>
      <c r="F1491" s="4" t="str">
        <f>HYPERLINK("./Results/DLO\20190301_1.3.46.670589.33.1.63687656021543168900001.5546357078641968778_501_512_512_\Osteo_Sarco_1.png","RPT")</f>
        <v>RPT</v>
      </c>
      <c r="G1491" s="3">
        <v>100</v>
      </c>
      <c r="H1491" s="3"/>
    </row>
    <row r="1492" spans="1:8" x14ac:dyDescent="0.3">
      <c r="A1492" s="2">
        <v>5519640</v>
      </c>
      <c r="B1492" s="2">
        <v>64</v>
      </c>
      <c r="C1492" s="2" t="s">
        <v>6</v>
      </c>
      <c r="D1492" s="2">
        <v>100</v>
      </c>
      <c r="E1492" s="2"/>
      <c r="F1492" s="4" t="str">
        <f>HYPERLINK("./Results/DLO\20190301_1.3.46.670589.33.1.63687656076553315300001.5192303813348767080_601_512_512_\Osteo_Sarco_1.png","RPT")</f>
        <v>RPT</v>
      </c>
      <c r="G1492" s="3">
        <v>100</v>
      </c>
      <c r="H1492" s="3"/>
    </row>
    <row r="1493" spans="1:8" x14ac:dyDescent="0.3">
      <c r="A1493" s="2">
        <v>5519640</v>
      </c>
      <c r="B1493" s="2">
        <v>64</v>
      </c>
      <c r="C1493" s="2" t="s">
        <v>6</v>
      </c>
      <c r="D1493" s="2">
        <v>100</v>
      </c>
      <c r="E1493" s="2"/>
      <c r="F1493" s="4" t="str">
        <f>HYPERLINK("./Results/DLO\20190301_1.3.46.670589.33.1.63687655938569423000001.5478208300622006872_201_512_512_\Osteo_Sarco_1.png","RPT")</f>
        <v>RPT</v>
      </c>
      <c r="G1493" s="3">
        <v>97</v>
      </c>
      <c r="H1493" s="3"/>
    </row>
    <row r="1494" spans="1:8" x14ac:dyDescent="0.3">
      <c r="A1494" s="2">
        <v>5520454</v>
      </c>
      <c r="B1494" s="2">
        <v>57</v>
      </c>
      <c r="C1494" s="2" t="s">
        <v>6</v>
      </c>
      <c r="D1494" s="2">
        <v>100</v>
      </c>
      <c r="E1494" s="2"/>
      <c r="F1494" s="4" t="str">
        <f>HYPERLINK("./Results/DLO\20180501_1.3.12.2.1107.5.1.4.54310.30000018051323243418700013061_2_512_512_\Osteo_Sarco_1.png","RPT")</f>
        <v>RPT</v>
      </c>
      <c r="G1494" s="3">
        <v>100</v>
      </c>
      <c r="H1494" s="3"/>
    </row>
    <row r="1495" spans="1:8" x14ac:dyDescent="0.3">
      <c r="A1495" s="2">
        <v>5522042</v>
      </c>
      <c r="B1495" s="2">
        <v>53</v>
      </c>
      <c r="C1495" s="2" t="s">
        <v>5</v>
      </c>
      <c r="D1495" s="2">
        <v>140</v>
      </c>
      <c r="E1495" s="2"/>
      <c r="F1495" s="4" t="str">
        <f>HYPERLINK("./Results/DLO\20181101_1.2.840.113619.2.416.45400322209680440020872601006068727475_308_512_512_\Osteo_Sarco_1.png","RPT")</f>
        <v>RPT</v>
      </c>
      <c r="G1495" s="3">
        <v>181</v>
      </c>
      <c r="H1495" s="3"/>
    </row>
    <row r="1496" spans="1:8" x14ac:dyDescent="0.3">
      <c r="A1496" s="2">
        <v>5522042</v>
      </c>
      <c r="B1496" s="2">
        <v>53</v>
      </c>
      <c r="C1496" s="2" t="s">
        <v>5</v>
      </c>
      <c r="D1496" s="2">
        <v>140</v>
      </c>
      <c r="E1496" s="2"/>
      <c r="F1496" s="4" t="str">
        <f>HYPERLINK("./Results/DLO\20181101_1.2.840.113619.2.416.291705074135450460910175979977122371502_301_512_512_\Osteo_Sarco_1.png","RPT")</f>
        <v>RPT</v>
      </c>
      <c r="G1496" s="3">
        <v>180</v>
      </c>
      <c r="H1496" s="3"/>
    </row>
    <row r="1497" spans="1:8" x14ac:dyDescent="0.3">
      <c r="A1497" s="2">
        <v>5522042</v>
      </c>
      <c r="B1497" s="2">
        <v>53</v>
      </c>
      <c r="C1497" s="2" t="s">
        <v>5</v>
      </c>
      <c r="D1497" s="2">
        <v>140</v>
      </c>
      <c r="E1497" s="2"/>
      <c r="F1497" s="4" t="str">
        <f>HYPERLINK("./Results/DLO\20181101_1.2.840.113619.2.416.339232216079799141729839335235283682956_303_512_512_\Osteo_Sarco_1.png","RPT")</f>
        <v>RPT</v>
      </c>
      <c r="G1497" s="3">
        <v>179</v>
      </c>
      <c r="H1497" s="3"/>
    </row>
    <row r="1498" spans="1:8" x14ac:dyDescent="0.3">
      <c r="A1498" s="2">
        <v>5522042</v>
      </c>
      <c r="B1498" s="2">
        <v>53</v>
      </c>
      <c r="C1498" s="2" t="s">
        <v>5</v>
      </c>
      <c r="D1498" s="2">
        <v>140</v>
      </c>
      <c r="E1498" s="2"/>
      <c r="F1498" s="4" t="str">
        <f>HYPERLINK("./Results/DLO\20181101_1.2.840.113619.2.416.11793232719511890348350830935580766067_305_512_512_\Osteo_Sarco_1.png","RPT")</f>
        <v>RPT</v>
      </c>
      <c r="G1498" s="3">
        <v>178</v>
      </c>
      <c r="H1498" s="3"/>
    </row>
    <row r="1499" spans="1:8" x14ac:dyDescent="0.3">
      <c r="A1499" s="2">
        <v>5522515</v>
      </c>
      <c r="B1499" s="2">
        <v>65</v>
      </c>
      <c r="C1499" s="2" t="s">
        <v>6</v>
      </c>
      <c r="D1499" s="2">
        <v>100</v>
      </c>
      <c r="E1499" s="2"/>
      <c r="F1499" s="4" t="str">
        <f>HYPERLINK("./Results/DLO\20180101_1.2.840.113619.2.311.25756708768632386100385548214433197972_304_512_512_\Osteo_Sarco_1.png","RPT")</f>
        <v>RPT</v>
      </c>
      <c r="G1499" s="3">
        <v>97</v>
      </c>
      <c r="H1499" s="3"/>
    </row>
    <row r="1500" spans="1:8" x14ac:dyDescent="0.3">
      <c r="A1500" s="2">
        <v>5525974</v>
      </c>
      <c r="B1500" s="2">
        <v>58</v>
      </c>
      <c r="C1500" s="2" t="s">
        <v>6</v>
      </c>
      <c r="D1500" s="2">
        <v>120</v>
      </c>
      <c r="E1500" s="2"/>
      <c r="F1500" s="4" t="str">
        <f>HYPERLINK("./Results/DLO\20190301_1.2.410.100011.172.16.68.201.6369059208044341124.3_3_512_512_\Osteo_Sarco_1.png","RPT")</f>
        <v>RPT</v>
      </c>
      <c r="G1500" s="3">
        <v>99</v>
      </c>
      <c r="H1500" s="3"/>
    </row>
    <row r="1501" spans="1:8" x14ac:dyDescent="0.3">
      <c r="A1501" s="2">
        <v>5526468</v>
      </c>
      <c r="B1501" s="2">
        <v>68</v>
      </c>
      <c r="C1501" s="2" t="s">
        <v>5</v>
      </c>
      <c r="D1501" s="2">
        <v>120</v>
      </c>
      <c r="E1501" s="2"/>
      <c r="F1501" s="4" t="str">
        <f>HYPERLINK("./Results/DLO\20190101_1.2.410.100011.172.16.68.202.6368624702249992081.2.3_3_512_512_\Osteo_Sarco_1.png","RPT")</f>
        <v>RPT</v>
      </c>
      <c r="G1501" s="3">
        <v>128</v>
      </c>
      <c r="H1501" s="3"/>
    </row>
    <row r="1502" spans="1:8" x14ac:dyDescent="0.3">
      <c r="A1502" s="2">
        <v>5526468</v>
      </c>
      <c r="B1502" s="2">
        <v>68</v>
      </c>
      <c r="C1502" s="2" t="s">
        <v>5</v>
      </c>
      <c r="D1502" s="2">
        <v>120</v>
      </c>
      <c r="E1502" s="2"/>
      <c r="F1502" s="4" t="str">
        <f>HYPERLINK("./Results/DLO\20190101_1.2.410.100011.172.16.68.202.6368624702249992081.1.2_2_512_512_\Osteo_Sarco_1.png","RPT")</f>
        <v>RPT</v>
      </c>
      <c r="G1502" s="3">
        <v>126</v>
      </c>
      <c r="H1502" s="3"/>
    </row>
    <row r="1503" spans="1:8" x14ac:dyDescent="0.3">
      <c r="A1503" s="2">
        <v>5528589</v>
      </c>
      <c r="B1503" s="2">
        <v>55</v>
      </c>
      <c r="C1503" s="2" t="s">
        <v>6</v>
      </c>
      <c r="D1503" s="2">
        <v>100</v>
      </c>
      <c r="E1503" s="2"/>
      <c r="F1503" s="4" t="str">
        <f>HYPERLINK("./Results/DLO\20181201_1.2.840.113619.2.416.132888273300966102763919001268387392496_304_512_512_\Osteo_Sarco_1.png","RPT")</f>
        <v>RPT</v>
      </c>
      <c r="G1503" s="3">
        <v>93</v>
      </c>
      <c r="H1503" s="3"/>
    </row>
    <row r="1504" spans="1:8" x14ac:dyDescent="0.3">
      <c r="A1504" s="2">
        <v>5531308</v>
      </c>
      <c r="B1504" s="2">
        <v>62</v>
      </c>
      <c r="C1504" s="2" t="s">
        <v>6</v>
      </c>
      <c r="D1504" s="2">
        <v>100</v>
      </c>
      <c r="E1504" s="2"/>
      <c r="F1504" s="4" t="str">
        <f>HYPERLINK("./Results/DLO\20191001_1.3.12.2.1107.5.1.4.54310.30000019102021060200000039147_10_512_512_\Osteo_Sarco_1.png","RPT")</f>
        <v>RPT</v>
      </c>
      <c r="G1504" s="3">
        <v>85</v>
      </c>
      <c r="H1504" s="3"/>
    </row>
    <row r="1505" spans="1:8" x14ac:dyDescent="0.3">
      <c r="A1505" s="2">
        <v>5531860</v>
      </c>
      <c r="B1505" s="2">
        <v>58</v>
      </c>
      <c r="C1505" s="2" t="s">
        <v>5</v>
      </c>
      <c r="D1505" s="2">
        <v>120</v>
      </c>
      <c r="E1505" s="2"/>
      <c r="F1505" s="4" t="str">
        <f>HYPERLINK("./Results/DLO\20181101_1.2.410.100011.172.16.68.202.6367735020526331651.5.8_8_512_512_\Osteo_Sarco_1.png","RPT")</f>
        <v>RPT</v>
      </c>
      <c r="G1505" s="3">
        <v>162</v>
      </c>
      <c r="H1505" s="3"/>
    </row>
    <row r="1506" spans="1:8" x14ac:dyDescent="0.3">
      <c r="A1506" s="2">
        <v>5531860</v>
      </c>
      <c r="B1506" s="2">
        <v>58</v>
      </c>
      <c r="C1506" s="2" t="s">
        <v>5</v>
      </c>
      <c r="D1506" s="2">
        <v>120</v>
      </c>
      <c r="E1506" s="2"/>
      <c r="F1506" s="4" t="str">
        <f>HYPERLINK("./Results/DLO\20181101_1.2.410.100011.172.16.68.202.6367735020526331651.7.10_10_512_512_\Osteo_Sarco_1.png","RPT")</f>
        <v>RPT</v>
      </c>
      <c r="G1506" s="3">
        <v>160</v>
      </c>
      <c r="H1506" s="3"/>
    </row>
    <row r="1507" spans="1:8" x14ac:dyDescent="0.3">
      <c r="A1507" s="2">
        <v>5531860</v>
      </c>
      <c r="B1507" s="2">
        <v>58</v>
      </c>
      <c r="C1507" s="2" t="s">
        <v>5</v>
      </c>
      <c r="D1507" s="2">
        <v>120</v>
      </c>
      <c r="E1507" s="2"/>
      <c r="F1507" s="4" t="str">
        <f>HYPERLINK("./Results/DLO\20181101_1.2.410.100011.172.16.68.202.6367735020526331651.3.4_4_512_512_\Osteo_Sarco_1.png","RPT")</f>
        <v>RPT</v>
      </c>
      <c r="G1507" s="3">
        <v>158</v>
      </c>
      <c r="H1507" s="3"/>
    </row>
    <row r="1508" spans="1:8" x14ac:dyDescent="0.3">
      <c r="A1508" s="2">
        <v>5531860</v>
      </c>
      <c r="B1508" s="2">
        <v>58</v>
      </c>
      <c r="C1508" s="2" t="s">
        <v>5</v>
      </c>
      <c r="D1508" s="2">
        <v>120</v>
      </c>
      <c r="E1508" s="2"/>
      <c r="F1508" s="4" t="str">
        <f>HYPERLINK("./Results/DLO\20181101_1.2.410.100011.172.16.68.202.6367735020526331651.4.7_7_512_512_\Osteo_Sarco_1.png","RPT")</f>
        <v>RPT</v>
      </c>
      <c r="G1508" s="3">
        <v>134</v>
      </c>
      <c r="H1508" s="3"/>
    </row>
    <row r="1509" spans="1:8" x14ac:dyDescent="0.3">
      <c r="A1509" s="2">
        <v>5534355</v>
      </c>
      <c r="B1509" s="2">
        <v>74</v>
      </c>
      <c r="C1509" s="2" t="s">
        <v>5</v>
      </c>
      <c r="D1509" s="2">
        <v>140</v>
      </c>
      <c r="E1509" s="2"/>
      <c r="F1509" s="4" t="str">
        <f>HYPERLINK("./Results/DLO\20191201_1.2.840.113619.2.416.112358453993873289880112493649008432900_308_512_512_\Osteo_Sarco_1.png","RPT")</f>
        <v>RPT</v>
      </c>
      <c r="G1509" s="3">
        <v>139</v>
      </c>
      <c r="H1509" s="3"/>
    </row>
    <row r="1510" spans="1:8" x14ac:dyDescent="0.3">
      <c r="A1510" s="2">
        <v>5534355</v>
      </c>
      <c r="B1510" s="2">
        <v>74</v>
      </c>
      <c r="C1510" s="2" t="s">
        <v>5</v>
      </c>
      <c r="D1510" s="2">
        <v>120</v>
      </c>
      <c r="E1510" s="2"/>
      <c r="F1510" s="4" t="str">
        <f>HYPERLINK("./Results/DLO\20191201_1.2.840.113619.2.416.307013396181369148931873587211501517455_306_512_512_\Osteo_Sarco_1.png","RPT")</f>
        <v>RPT</v>
      </c>
      <c r="G1510" s="3">
        <v>136</v>
      </c>
      <c r="H1510" s="3"/>
    </row>
    <row r="1511" spans="1:8" x14ac:dyDescent="0.3">
      <c r="A1511" s="2">
        <v>5543083</v>
      </c>
      <c r="B1511" s="2">
        <v>71</v>
      </c>
      <c r="C1511" s="2" t="s">
        <v>6</v>
      </c>
      <c r="D1511" s="2">
        <v>100</v>
      </c>
      <c r="E1511" s="2"/>
      <c r="F1511" s="4" t="str">
        <f>HYPERLINK("./Results/DLO\20181101_1.2.840.113619.2.94.485650834948.2.9222339.20072880.1_2_512_512_\Osteo_Sarco_1.png","RPT")</f>
        <v>RPT</v>
      </c>
      <c r="G1511" s="3">
        <v>102</v>
      </c>
      <c r="H1511" s="3"/>
    </row>
    <row r="1512" spans="1:8" x14ac:dyDescent="0.3">
      <c r="A1512" s="2">
        <v>5548802</v>
      </c>
      <c r="B1512" s="2">
        <v>54</v>
      </c>
      <c r="C1512" s="2" t="s">
        <v>5</v>
      </c>
      <c r="D1512" s="2">
        <v>100</v>
      </c>
      <c r="E1512" s="2"/>
      <c r="F1512" s="4" t="str">
        <f>HYPERLINK("./Results/DLO\20181001_1.3.12.2.1107.5.1.4.65253.30000018102919262576400061683_7_512_512_\Osteo_Sarco_1.png","RPT")</f>
        <v>RPT</v>
      </c>
      <c r="G1512" s="3">
        <v>139</v>
      </c>
      <c r="H1512" s="3"/>
    </row>
    <row r="1513" spans="1:8" x14ac:dyDescent="0.3">
      <c r="A1513" s="2">
        <v>5548802</v>
      </c>
      <c r="B1513" s="2">
        <v>54</v>
      </c>
      <c r="C1513" s="2" t="s">
        <v>5</v>
      </c>
      <c r="D1513" s="2">
        <v>100</v>
      </c>
      <c r="E1513" s="2"/>
      <c r="F1513" s="4" t="str">
        <f>HYPERLINK("./Results/DLO\20181001_1.3.12.2.1107.5.1.4.65253.30000018102919262576400062251_9_512_512_\Osteo_Sarco_1.png","RPT")</f>
        <v>RPT</v>
      </c>
      <c r="G1513" s="3">
        <v>130</v>
      </c>
      <c r="H1513" s="3"/>
    </row>
    <row r="1514" spans="1:8" x14ac:dyDescent="0.3">
      <c r="A1514" s="2">
        <v>5548802</v>
      </c>
      <c r="B1514" s="2">
        <v>54</v>
      </c>
      <c r="C1514" s="2" t="s">
        <v>5</v>
      </c>
      <c r="D1514" s="2">
        <v>100</v>
      </c>
      <c r="E1514" s="2"/>
      <c r="F1514" s="4" t="str">
        <f>HYPERLINK("./Results/DLO\20181001_1.3.12.2.1107.5.1.4.65253.30000018102919262576400061018_5_512_512_\Osteo_Sarco_1.png","RPT")</f>
        <v>RPT</v>
      </c>
      <c r="G1514" s="3">
        <v>126</v>
      </c>
      <c r="H1514" s="3"/>
    </row>
    <row r="1515" spans="1:8" x14ac:dyDescent="0.3">
      <c r="A1515" s="2">
        <v>5548802</v>
      </c>
      <c r="B1515" s="2">
        <v>54</v>
      </c>
      <c r="C1515" s="2" t="s">
        <v>5</v>
      </c>
      <c r="D1515" s="2">
        <v>100</v>
      </c>
      <c r="E1515" s="2"/>
      <c r="F1515" s="4" t="str">
        <f>HYPERLINK("./Results/DLO\20181001_1.3.12.2.1107.5.1.4.65253.30000018102919262576400060254_3_512_512_\Osteo_Sarco_1.png","RPT")</f>
        <v>RPT</v>
      </c>
      <c r="G1515" s="3">
        <v>123</v>
      </c>
      <c r="H1515" s="3"/>
    </row>
    <row r="1516" spans="1:8" x14ac:dyDescent="0.3">
      <c r="A1516" s="2">
        <v>5548883</v>
      </c>
      <c r="B1516" s="2">
        <v>75</v>
      </c>
      <c r="C1516" s="2" t="s">
        <v>6</v>
      </c>
      <c r="D1516" s="2">
        <v>100</v>
      </c>
      <c r="E1516" s="2"/>
      <c r="F1516" s="4" t="str">
        <f>HYPERLINK("./Results/DLO\20180201_1.2.840.113619.2.416.166248639203962835165404835407816155129_304_512_512_\Osteo_Sarco_1.png","RPT")</f>
        <v>RPT</v>
      </c>
      <c r="G1516" s="3">
        <v>91</v>
      </c>
      <c r="H1516" s="3"/>
    </row>
    <row r="1517" spans="1:8" x14ac:dyDescent="0.3">
      <c r="A1517" s="2">
        <v>5549412</v>
      </c>
      <c r="B1517" s="2">
        <v>71</v>
      </c>
      <c r="C1517" s="2" t="s">
        <v>5</v>
      </c>
      <c r="D1517" s="2">
        <v>120</v>
      </c>
      <c r="E1517" s="2"/>
      <c r="F1517" s="4" t="str">
        <f>HYPERLINK("./Results/DLO\20180501_1.3.12.2.1107.5.1.4.54310.30000018051723083226500028607_7_512_512_\Osteo_Sarco_1.png","RPT")</f>
        <v>RPT</v>
      </c>
      <c r="G1517" s="3">
        <v>197</v>
      </c>
      <c r="H1517" s="3"/>
    </row>
    <row r="1518" spans="1:8" x14ac:dyDescent="0.3">
      <c r="A1518" s="2">
        <v>5549412</v>
      </c>
      <c r="B1518" s="2">
        <v>71</v>
      </c>
      <c r="C1518" s="2" t="s">
        <v>5</v>
      </c>
      <c r="D1518" s="2">
        <v>120</v>
      </c>
      <c r="E1518" s="2"/>
      <c r="F1518" s="4" t="str">
        <f>HYPERLINK("./Results/DLO\20180501_1.3.12.2.1107.5.1.4.54310.30000018051723083226500027905_5_512_512_\Osteo_Sarco_1.png","RPT")</f>
        <v>RPT</v>
      </c>
      <c r="G1518" s="3">
        <v>196</v>
      </c>
      <c r="H1518" s="3"/>
    </row>
    <row r="1519" spans="1:8" x14ac:dyDescent="0.3">
      <c r="A1519" s="2">
        <v>5549412</v>
      </c>
      <c r="B1519" s="2">
        <v>71</v>
      </c>
      <c r="C1519" s="2" t="s">
        <v>5</v>
      </c>
      <c r="D1519" s="2">
        <v>120</v>
      </c>
      <c r="E1519" s="2"/>
      <c r="F1519" s="4" t="str">
        <f>HYPERLINK("./Results/DLO\20180501_1.3.12.2.1107.5.1.4.54310.30000018051723083226500027730_3_512_512_\Osteo_Sarco_1.png","RPT")</f>
        <v>RPT</v>
      </c>
      <c r="G1519" s="3">
        <v>195</v>
      </c>
      <c r="H1519" s="3"/>
    </row>
    <row r="1520" spans="1:8" x14ac:dyDescent="0.3">
      <c r="A1520" s="2">
        <v>5550778</v>
      </c>
      <c r="B1520" s="2">
        <v>41</v>
      </c>
      <c r="C1520" s="2" t="s">
        <v>6</v>
      </c>
      <c r="D1520" s="2">
        <v>100</v>
      </c>
      <c r="E1520" s="2"/>
      <c r="F1520" s="4" t="str">
        <f>HYPERLINK("./Results/DLO\20190301_1.2.840.113619.2.311.188466879986843631755387488376641927349_304_512_512_\Osteo_Sarco_1.png","RPT")</f>
        <v>RPT</v>
      </c>
      <c r="G1520" s="3">
        <v>118</v>
      </c>
      <c r="H1520" s="3"/>
    </row>
    <row r="1521" spans="1:8" x14ac:dyDescent="0.3">
      <c r="A1521" s="2">
        <v>5552894</v>
      </c>
      <c r="B1521" s="2">
        <v>72</v>
      </c>
      <c r="C1521" s="2" t="s">
        <v>6</v>
      </c>
      <c r="D1521" s="2">
        <v>100</v>
      </c>
      <c r="E1521" s="2"/>
      <c r="F1521" s="4" t="str">
        <f>HYPERLINK("./Results/DLO\20180601_1.2.840.113619.2.94.485650834948.2.8902960.19286451.1_2_512_512_\Osteo_Sarco_1.png","RPT")</f>
        <v>RPT</v>
      </c>
      <c r="G1521" s="3">
        <v>98</v>
      </c>
      <c r="H1521" s="3"/>
    </row>
    <row r="1522" spans="1:8" x14ac:dyDescent="0.3">
      <c r="A1522" s="2">
        <v>5553660</v>
      </c>
      <c r="B1522" s="2">
        <v>60</v>
      </c>
      <c r="C1522" s="2" t="s">
        <v>5</v>
      </c>
      <c r="D1522" s="2">
        <v>100</v>
      </c>
      <c r="E1522" s="2"/>
      <c r="F1522" s="4" t="str">
        <f>HYPERLINK("./Results/DLO\20181001_1.3.12.2.1107.5.1.4.54310.30000018100123342643700057403_2_512_512_\Osteo_Sarco_1.png","RPT")</f>
        <v>RPT</v>
      </c>
      <c r="G1522" s="3">
        <v>171</v>
      </c>
      <c r="H1522" s="3"/>
    </row>
    <row r="1523" spans="1:8" x14ac:dyDescent="0.3">
      <c r="A1523" s="2">
        <v>5554323</v>
      </c>
      <c r="B1523" s="2">
        <v>55</v>
      </c>
      <c r="C1523" s="2" t="s">
        <v>6</v>
      </c>
      <c r="D1523" s="2">
        <v>100</v>
      </c>
      <c r="E1523" s="2"/>
      <c r="F1523" s="4" t="str">
        <f>HYPERLINK("./Results/DLO\20181201_1.3.12.2.1107.5.1.4.65253.30000018122918373693900044706_2_512_512_\Osteo_Sarco_1.png","RPT")</f>
        <v>RPT</v>
      </c>
      <c r="G1523" s="3">
        <v>91</v>
      </c>
      <c r="H1523" s="3"/>
    </row>
    <row r="1524" spans="1:8" x14ac:dyDescent="0.3">
      <c r="A1524" s="2">
        <v>5558875</v>
      </c>
      <c r="B1524" s="2">
        <v>77</v>
      </c>
      <c r="C1524" s="2" t="s">
        <v>6</v>
      </c>
      <c r="D1524" s="2">
        <v>100</v>
      </c>
      <c r="E1524" s="2"/>
      <c r="F1524" s="4" t="str">
        <f>HYPERLINK("./Results/DLO\20180701_1.2.840.113619.2.311.155849126115524109894745708726937873298_304_512_512_\Osteo_Sarco_1.png","RPT")</f>
        <v>RPT</v>
      </c>
      <c r="G1524" s="3">
        <v>103</v>
      </c>
      <c r="H1524" s="3"/>
    </row>
    <row r="1525" spans="1:8" x14ac:dyDescent="0.3">
      <c r="A1525" s="2">
        <v>5564419</v>
      </c>
      <c r="B1525" s="2">
        <v>61</v>
      </c>
      <c r="C1525" s="2" t="s">
        <v>6</v>
      </c>
      <c r="D1525" s="2">
        <v>100</v>
      </c>
      <c r="E1525" s="2"/>
      <c r="F1525" s="4" t="str">
        <f>HYPERLINK("./Results/DLO\20180401_1.3.46.670589.33.1.63658956344049589900001.5746710344174920777_601_512_512_\Osteo_Sarco_1.png","RPT")</f>
        <v>RPT</v>
      </c>
      <c r="G1525" s="3">
        <v>113</v>
      </c>
      <c r="H1525" s="3"/>
    </row>
    <row r="1526" spans="1:8" x14ac:dyDescent="0.3">
      <c r="A1526" s="2">
        <v>5565803</v>
      </c>
      <c r="B1526" s="2">
        <v>76</v>
      </c>
      <c r="C1526" s="2" t="s">
        <v>5</v>
      </c>
      <c r="D1526" s="2">
        <v>100</v>
      </c>
      <c r="E1526" s="2"/>
      <c r="F1526" s="4" t="str">
        <f>HYPERLINK("./Results/DLO\20181101_1.2.840.113619.2.416.203512826515279926961805790190610586324_301_512_512_\Osteo_Sarco_1.png","RPT")</f>
        <v>RPT</v>
      </c>
      <c r="G1526" s="3">
        <v>132</v>
      </c>
      <c r="H1526" s="3"/>
    </row>
    <row r="1527" spans="1:8" x14ac:dyDescent="0.3">
      <c r="A1527" s="2">
        <v>5565803</v>
      </c>
      <c r="B1527" s="2">
        <v>76</v>
      </c>
      <c r="C1527" s="2" t="s">
        <v>5</v>
      </c>
      <c r="D1527" s="2">
        <v>100</v>
      </c>
      <c r="E1527" s="2"/>
      <c r="F1527" s="4" t="str">
        <f>HYPERLINK("./Results/DLO\20181101_1.2.840.113619.2.416.296336301592499214722029082889487001288_302_512_512_\Osteo_Sarco_1.png","RPT")</f>
        <v>RPT</v>
      </c>
      <c r="G1527" s="3">
        <v>123</v>
      </c>
      <c r="H1527" s="3"/>
    </row>
    <row r="1528" spans="1:8" x14ac:dyDescent="0.3">
      <c r="A1528" s="2">
        <v>5571395</v>
      </c>
      <c r="B1528" s="2">
        <v>68</v>
      </c>
      <c r="C1528" s="2" t="s">
        <v>6</v>
      </c>
      <c r="D1528" s="2">
        <v>100</v>
      </c>
      <c r="E1528" s="2"/>
      <c r="F1528" s="4" t="str">
        <f>HYPERLINK("./Results/DLO\20181201_1.3.12.2.1107.5.1.4.65253.30000018120919480151100050130_2_512_512_\Osteo_Sarco_1.png","RPT")</f>
        <v>RPT</v>
      </c>
      <c r="G1528" s="3">
        <v>72</v>
      </c>
      <c r="H1528" s="3"/>
    </row>
    <row r="1529" spans="1:8" x14ac:dyDescent="0.3">
      <c r="A1529" s="2">
        <v>5572259</v>
      </c>
      <c r="B1529" s="2">
        <v>54</v>
      </c>
      <c r="C1529" s="2" t="s">
        <v>6</v>
      </c>
      <c r="D1529" s="2">
        <v>100</v>
      </c>
      <c r="E1529" s="2"/>
      <c r="F1529" s="4" t="str">
        <f>HYPERLINK("./Results/DLO\20180101_1.3.12.2.1107.5.1.4.54310.30000018013023115745300044073_2_512_512_\Osteo_Sarco_1.png","RPT")</f>
        <v>RPT</v>
      </c>
      <c r="G1529" s="3">
        <v>104</v>
      </c>
      <c r="H1529" s="3"/>
    </row>
    <row r="1530" spans="1:8" x14ac:dyDescent="0.3">
      <c r="A1530" s="2">
        <v>5574614</v>
      </c>
      <c r="B1530" s="2">
        <v>47</v>
      </c>
      <c r="C1530" s="2" t="s">
        <v>6</v>
      </c>
      <c r="D1530" s="2">
        <v>100</v>
      </c>
      <c r="E1530" s="2"/>
      <c r="F1530" s="4" t="str">
        <f>HYPERLINK("./Results/DLO\20191101_1.3.12.2.1107.5.1.4.54310.30000019111021234665600019513_2_512_512_\Osteo_Sarco_1.png","RPT")</f>
        <v>RPT</v>
      </c>
      <c r="G1530" s="3">
        <v>113</v>
      </c>
      <c r="H1530" s="3"/>
    </row>
    <row r="1531" spans="1:8" x14ac:dyDescent="0.3">
      <c r="A1531" s="2">
        <v>5580240</v>
      </c>
      <c r="B1531" s="2">
        <v>41</v>
      </c>
      <c r="C1531" s="2" t="s">
        <v>6</v>
      </c>
      <c r="D1531" s="2">
        <v>100</v>
      </c>
      <c r="E1531" s="2"/>
      <c r="F1531" s="4" t="str">
        <f>HYPERLINK("./Results/DLO\20181101_1.2.840.113619.2.94.485650834948.2.9209293.20040620.1_2_512_512_\Osteo_Sarco_1.png","RPT")</f>
        <v>RPT</v>
      </c>
      <c r="G1531" s="3">
        <v>130</v>
      </c>
      <c r="H1531" s="3"/>
    </row>
    <row r="1532" spans="1:8" x14ac:dyDescent="0.3">
      <c r="A1532" s="2">
        <v>5583950</v>
      </c>
      <c r="B1532" s="2">
        <v>63</v>
      </c>
      <c r="C1532" s="2" t="s">
        <v>6</v>
      </c>
      <c r="D1532" s="2">
        <v>100</v>
      </c>
      <c r="E1532" s="2"/>
      <c r="F1532" s="4" t="str">
        <f>HYPERLINK("./Results/DLO\20190401_1.3.12.2.1107.5.1.4.54310.30000019040423312360900041617_3_512_512_\Osteo_Sarco_1.png","RPT")</f>
        <v>RPT</v>
      </c>
      <c r="G1532" s="3">
        <v>98</v>
      </c>
      <c r="H1532" s="3"/>
    </row>
    <row r="1533" spans="1:8" x14ac:dyDescent="0.3">
      <c r="A1533" s="2">
        <v>5583950</v>
      </c>
      <c r="B1533" s="2">
        <v>63</v>
      </c>
      <c r="C1533" s="2" t="s">
        <v>6</v>
      </c>
      <c r="D1533" s="2">
        <v>100</v>
      </c>
      <c r="E1533" s="2"/>
      <c r="F1533" s="4" t="str">
        <f>HYPERLINK("./Results/DLO\20190401_1.3.12.2.1107.5.1.4.54310.30000019040423312360900041459_2_512_512_\Osteo_Sarco_1.png","RPT")</f>
        <v>RPT</v>
      </c>
      <c r="G1533" s="3">
        <v>97</v>
      </c>
      <c r="H1533" s="3"/>
    </row>
    <row r="1534" spans="1:8" x14ac:dyDescent="0.3">
      <c r="A1534" s="2">
        <v>5586222</v>
      </c>
      <c r="B1534" s="2">
        <v>61</v>
      </c>
      <c r="C1534" s="2" t="s">
        <v>6</v>
      </c>
      <c r="D1534" s="2">
        <v>100</v>
      </c>
      <c r="E1534" s="2"/>
      <c r="F1534" s="4" t="str">
        <f>HYPERLINK("./Results/DLO\20180901_1.2.840.113619.2.311.122240098346109616880847048489128966075_304_512_512_\Osteo_Sarco_1.png","RPT")</f>
        <v>RPT</v>
      </c>
      <c r="G1534" s="3">
        <v>121</v>
      </c>
      <c r="H1534" s="3"/>
    </row>
    <row r="1535" spans="1:8" x14ac:dyDescent="0.3">
      <c r="A1535" s="2">
        <v>5586517</v>
      </c>
      <c r="B1535" s="2">
        <v>61</v>
      </c>
      <c r="C1535" s="2" t="s">
        <v>6</v>
      </c>
      <c r="D1535" s="2">
        <v>100</v>
      </c>
      <c r="E1535" s="2"/>
      <c r="F1535" s="4" t="str">
        <f>HYPERLINK("./Results/DLO\20180201_1.3.12.2.1107.5.1.4.54310.30000018020823081534300026882_3_512_512_\Osteo_Sarco_1.png","RPT")</f>
        <v>RPT</v>
      </c>
      <c r="G1535" s="3">
        <v>97</v>
      </c>
      <c r="H1535" s="3"/>
    </row>
    <row r="1536" spans="1:8" x14ac:dyDescent="0.3">
      <c r="A1536" s="2">
        <v>5586517</v>
      </c>
      <c r="B1536" s="2">
        <v>61</v>
      </c>
      <c r="C1536" s="2" t="s">
        <v>6</v>
      </c>
      <c r="D1536" s="2">
        <v>100</v>
      </c>
      <c r="E1536" s="2"/>
      <c r="F1536" s="4" t="str">
        <f>HYPERLINK("./Results/DLO\20180201_1.3.12.2.1107.5.1.4.54310.30000018020823081534300026719_2_512_512_\Osteo_Sarco_1.png","RPT")</f>
        <v>RPT</v>
      </c>
      <c r="G1536" s="3">
        <v>95</v>
      </c>
      <c r="H1536" s="3"/>
    </row>
    <row r="1537" spans="1:8" x14ac:dyDescent="0.3">
      <c r="A1537" s="2">
        <v>5586991</v>
      </c>
      <c r="B1537" s="2">
        <v>61</v>
      </c>
      <c r="C1537" s="2" t="s">
        <v>6</v>
      </c>
      <c r="D1537" s="2">
        <v>100</v>
      </c>
      <c r="E1537" s="2"/>
      <c r="F1537" s="4" t="str">
        <f>HYPERLINK("./Results/DLO\20181201_1.3.12.2.1107.5.1.4.54310.30000018122323150262500001757_2_512_512_\Osteo_Sarco_1.png","RPT")</f>
        <v>RPT</v>
      </c>
      <c r="G1537" s="3">
        <v>108</v>
      </c>
      <c r="H1537" s="3"/>
    </row>
    <row r="1538" spans="1:8" x14ac:dyDescent="0.3">
      <c r="A1538" s="2">
        <v>5589398</v>
      </c>
      <c r="B1538" s="2">
        <v>56</v>
      </c>
      <c r="C1538" s="2" t="s">
        <v>6</v>
      </c>
      <c r="D1538" s="2">
        <v>100</v>
      </c>
      <c r="E1538" s="2"/>
      <c r="F1538" s="4" t="str">
        <f>HYPERLINK("./Results/DLO\20180701_1.2.840.113619.2.311.164499591707594864847619874690899855524_303_512_512_\Osteo_Sarco_1.png","RPT")</f>
        <v>RPT</v>
      </c>
      <c r="G1538" s="3">
        <v>95</v>
      </c>
      <c r="H1538" s="3"/>
    </row>
    <row r="1539" spans="1:8" x14ac:dyDescent="0.3">
      <c r="A1539" s="2">
        <v>5590445</v>
      </c>
      <c r="B1539" s="2">
        <v>62</v>
      </c>
      <c r="C1539" s="2" t="s">
        <v>6</v>
      </c>
      <c r="D1539" s="2">
        <v>100</v>
      </c>
      <c r="E1539" s="2"/>
      <c r="F1539" s="4" t="str">
        <f>HYPERLINK("./Results/DLO\20180401_1.3.46.670589.33.1.63659212688247639300001.5367098466310288591_201_512_512_\Osteo_Sarco_1.png","RPT")</f>
        <v>RPT</v>
      </c>
      <c r="G1539" s="3">
        <v>114</v>
      </c>
      <c r="H1539" s="3"/>
    </row>
    <row r="1540" spans="1:8" x14ac:dyDescent="0.3">
      <c r="A1540" s="2">
        <v>5591614</v>
      </c>
      <c r="B1540" s="2">
        <v>65</v>
      </c>
      <c r="C1540" s="2" t="s">
        <v>6</v>
      </c>
      <c r="D1540" s="2">
        <v>140</v>
      </c>
      <c r="E1540" s="2"/>
      <c r="F1540" s="4" t="str">
        <f>HYPERLINK("./Results/DLO\20180501_1.2.840.113619.2.416.268880490530649605065126861599988431717_309_512_512_\Osteo_Sarco_1.png","RPT")</f>
        <v>RPT</v>
      </c>
      <c r="G1540" s="3">
        <v>119</v>
      </c>
      <c r="H1540" s="3"/>
    </row>
    <row r="1541" spans="1:8" x14ac:dyDescent="0.3">
      <c r="A1541" s="2">
        <v>5591614</v>
      </c>
      <c r="B1541" s="2">
        <v>65</v>
      </c>
      <c r="C1541" s="2" t="s">
        <v>6</v>
      </c>
      <c r="D1541" s="2">
        <v>140</v>
      </c>
      <c r="E1541" s="2"/>
      <c r="F1541" s="4" t="str">
        <f>HYPERLINK("./Results/DLO\20180501_1.2.840.113619.2.416.174424206199190819648139421357658628969_306_512_512_\Osteo_Sarco_1.png","RPT")</f>
        <v>RPT</v>
      </c>
      <c r="G1541" s="3">
        <v>118</v>
      </c>
      <c r="H1541" s="3"/>
    </row>
    <row r="1542" spans="1:8" x14ac:dyDescent="0.3">
      <c r="A1542" s="2">
        <v>5591614</v>
      </c>
      <c r="B1542" s="2">
        <v>65</v>
      </c>
      <c r="C1542" s="2" t="s">
        <v>6</v>
      </c>
      <c r="D1542" s="2">
        <v>140</v>
      </c>
      <c r="E1542" s="2"/>
      <c r="F1542" s="4" t="str">
        <f>HYPERLINK("./Results/DLO\20180501_1.2.840.113619.2.416.295778819639991061307660881846626121517_2_512_512_\Osteo_Sarco_1.png","RPT")</f>
        <v>RPT</v>
      </c>
      <c r="G1542" s="3">
        <v>118</v>
      </c>
      <c r="H1542" s="3"/>
    </row>
    <row r="1543" spans="1:8" x14ac:dyDescent="0.3">
      <c r="A1543" s="2">
        <v>5591614</v>
      </c>
      <c r="B1543" s="2">
        <v>65</v>
      </c>
      <c r="C1543" s="2" t="s">
        <v>6</v>
      </c>
      <c r="D1543" s="2">
        <v>140</v>
      </c>
      <c r="E1543" s="2"/>
      <c r="F1543" s="4" t="str">
        <f>HYPERLINK("./Results/DLO\20180501_1.2.840.113619.2.416.299764611375371724298189606874015143358_303_512_512_\Osteo_Sarco_1.png","RPT")</f>
        <v>RPT</v>
      </c>
      <c r="G1543" s="3">
        <v>117</v>
      </c>
      <c r="H1543" s="3"/>
    </row>
    <row r="1544" spans="1:8" x14ac:dyDescent="0.3">
      <c r="A1544" s="2">
        <v>5596508</v>
      </c>
      <c r="B1544" s="2">
        <v>81</v>
      </c>
      <c r="C1544" s="2" t="s">
        <v>6</v>
      </c>
      <c r="D1544" s="2">
        <v>100</v>
      </c>
      <c r="E1544" s="2"/>
      <c r="F1544" s="4" t="str">
        <f>HYPERLINK("./Results/DLO\20190601_1.3.12.2.1107.5.1.4.65253.30000019060419442871400031156_7_512_512_\Osteo_Sarco_1.png","RPT")</f>
        <v>RPT</v>
      </c>
      <c r="G1544" s="3">
        <v>99</v>
      </c>
      <c r="H1544" s="3"/>
    </row>
    <row r="1545" spans="1:8" x14ac:dyDescent="0.3">
      <c r="A1545" s="2">
        <v>5596508</v>
      </c>
      <c r="B1545" s="2">
        <v>81</v>
      </c>
      <c r="C1545" s="2" t="s">
        <v>6</v>
      </c>
      <c r="D1545" s="2">
        <v>100</v>
      </c>
      <c r="E1545" s="2"/>
      <c r="F1545" s="4" t="str">
        <f>HYPERLINK("./Results/DLO\20190601_1.3.12.2.1107.5.1.4.65253.30000019060419442871400031302_8_512_512_\Osteo_Sarco_1.png","RPT")</f>
        <v>RPT</v>
      </c>
      <c r="G1545" s="3">
        <v>99</v>
      </c>
      <c r="H1545" s="3"/>
    </row>
    <row r="1546" spans="1:8" x14ac:dyDescent="0.3">
      <c r="A1546" s="2">
        <v>5596508</v>
      </c>
      <c r="B1546" s="2">
        <v>81</v>
      </c>
      <c r="C1546" s="2" t="s">
        <v>6</v>
      </c>
      <c r="D1546" s="2">
        <v>100</v>
      </c>
      <c r="E1546" s="2"/>
      <c r="F1546" s="4" t="str">
        <f>HYPERLINK("./Results/DLO\20190601_1.3.12.2.1107.5.1.4.65253.30000019060419442871400030388_5_512_512_\Osteo_Sarco_1.png","RPT")</f>
        <v>RPT</v>
      </c>
      <c r="G1546" s="3">
        <v>98</v>
      </c>
      <c r="H1546" s="3"/>
    </row>
    <row r="1547" spans="1:8" x14ac:dyDescent="0.3">
      <c r="A1547" s="2">
        <v>5596508</v>
      </c>
      <c r="B1547" s="2">
        <v>81</v>
      </c>
      <c r="C1547" s="2" t="s">
        <v>6</v>
      </c>
      <c r="D1547" s="2">
        <v>100</v>
      </c>
      <c r="E1547" s="2"/>
      <c r="F1547" s="4" t="str">
        <f>HYPERLINK("./Results/DLO\20190601_1.3.12.2.1107.5.1.4.65253.30000019060419442871400030242_2_512_512_\Osteo_Sarco_1.png","RPT")</f>
        <v>RPT</v>
      </c>
      <c r="G1547" s="3">
        <v>95</v>
      </c>
      <c r="H1547" s="3"/>
    </row>
    <row r="1548" spans="1:8" x14ac:dyDescent="0.3">
      <c r="A1548" s="2">
        <v>5596538</v>
      </c>
      <c r="B1548" s="2">
        <v>73</v>
      </c>
      <c r="C1548" s="2" t="s">
        <v>5</v>
      </c>
      <c r="D1548" s="2">
        <v>100</v>
      </c>
      <c r="E1548" s="2"/>
      <c r="F1548" s="4" t="str">
        <f>HYPERLINK("./Results/DLO\20180401_1.3.12.2.1107.5.1.4.54310.30000018040223110885900024418_3_512_512_\Osteo_Sarco_1.png","RPT")</f>
        <v>RPT</v>
      </c>
      <c r="G1548" s="3">
        <v>228</v>
      </c>
      <c r="H1548" s="3"/>
    </row>
    <row r="1549" spans="1:8" x14ac:dyDescent="0.3">
      <c r="A1549" s="2">
        <v>5596538</v>
      </c>
      <c r="B1549" s="2">
        <v>73</v>
      </c>
      <c r="C1549" s="2" t="s">
        <v>5</v>
      </c>
      <c r="D1549" s="2">
        <v>100</v>
      </c>
      <c r="E1549" s="2"/>
      <c r="F1549" s="4" t="str">
        <f>HYPERLINK("./Results/DLO\20180401_1.3.12.2.1107.5.1.4.54310.30000018040223110885900024268_2_512_512_\Osteo_Sarco_1.png","RPT")</f>
        <v>RPT</v>
      </c>
      <c r="G1549" s="3">
        <v>220</v>
      </c>
      <c r="H1549" s="3"/>
    </row>
    <row r="1550" spans="1:8" x14ac:dyDescent="0.3">
      <c r="A1550" s="2">
        <v>5597076</v>
      </c>
      <c r="B1550" s="2">
        <v>60</v>
      </c>
      <c r="C1550" s="2" t="s">
        <v>6</v>
      </c>
      <c r="D1550" s="2">
        <v>100</v>
      </c>
      <c r="E1550" s="2"/>
      <c r="F1550" s="4" t="str">
        <f>HYPERLINK("./Results/DLO\20180601_1.3.12.2.1107.5.1.4.54310.30000018062023242529600009134_3_512_512_\Osteo_Sarco_1.png","RPT")</f>
        <v>RPT</v>
      </c>
      <c r="G1550" s="3">
        <v>103</v>
      </c>
      <c r="H1550" s="3"/>
    </row>
    <row r="1551" spans="1:8" x14ac:dyDescent="0.3">
      <c r="A1551" s="2">
        <v>5597076</v>
      </c>
      <c r="B1551" s="2">
        <v>60</v>
      </c>
      <c r="C1551" s="2" t="s">
        <v>6</v>
      </c>
      <c r="D1551" s="2">
        <v>100</v>
      </c>
      <c r="E1551" s="2"/>
      <c r="F1551" s="4" t="str">
        <f>HYPERLINK("./Results/DLO\20180601_1.3.12.2.1107.5.1.4.54310.30000018062023242529600008977_2_512_512_\Osteo_Sarco_1.png","RPT")</f>
        <v>RPT</v>
      </c>
      <c r="G1551" s="3">
        <v>99</v>
      </c>
      <c r="H1551" s="3"/>
    </row>
    <row r="1552" spans="1:8" x14ac:dyDescent="0.3">
      <c r="A1552" s="2">
        <v>5600073</v>
      </c>
      <c r="B1552" s="2">
        <v>65</v>
      </c>
      <c r="C1552" s="2" t="s">
        <v>6</v>
      </c>
      <c r="D1552" s="2">
        <v>100</v>
      </c>
      <c r="E1552" s="2"/>
      <c r="F1552" s="4" t="str">
        <f>HYPERLINK("./Results/DLO\20180501_1.2.840.113619.2.311.178163184454965333239721844413542412348_304_512_512_\Osteo_Sarco_1.png","RPT")</f>
        <v>RPT</v>
      </c>
      <c r="G1552" s="3">
        <v>78</v>
      </c>
      <c r="H1552" s="3"/>
    </row>
    <row r="1553" spans="1:8" x14ac:dyDescent="0.3">
      <c r="A1553" s="2">
        <v>5600475</v>
      </c>
      <c r="B1553" s="2">
        <v>60</v>
      </c>
      <c r="C1553" s="2" t="s">
        <v>5</v>
      </c>
      <c r="D1553" s="2">
        <v>120</v>
      </c>
      <c r="E1553" s="2"/>
      <c r="F1553" s="4" t="str">
        <f>HYPERLINK("./Results/DLO\20191201_1.2.840.113619.2.416.141078301637702136263176472705149443295_2_512_512_\Osteo_Sarco_1.png","RPT")</f>
        <v>RPT</v>
      </c>
      <c r="G1553" s="3">
        <v>150</v>
      </c>
      <c r="H1553" s="3"/>
    </row>
    <row r="1554" spans="1:8" x14ac:dyDescent="0.3">
      <c r="A1554" s="2">
        <v>5600856</v>
      </c>
      <c r="B1554" s="2">
        <v>62</v>
      </c>
      <c r="C1554" s="2" t="s">
        <v>6</v>
      </c>
      <c r="D1554" s="2">
        <v>100</v>
      </c>
      <c r="E1554" s="2"/>
      <c r="F1554" s="4" t="str">
        <f>HYPERLINK("./Results/DLO\20190901_1.3.12.2.1107.5.1.4.54310.30000019092221440764000007911_7_512_512_\Osteo_Sarco_1.png","RPT")</f>
        <v>RPT</v>
      </c>
      <c r="G1554" s="3">
        <v>120</v>
      </c>
      <c r="H1554" s="3"/>
    </row>
    <row r="1555" spans="1:8" x14ac:dyDescent="0.3">
      <c r="A1555" s="2">
        <v>5601185</v>
      </c>
      <c r="B1555" s="2">
        <v>64</v>
      </c>
      <c r="C1555" s="2" t="s">
        <v>5</v>
      </c>
      <c r="D1555" s="2">
        <v>100</v>
      </c>
      <c r="E1555" s="2"/>
      <c r="F1555" s="4" t="str">
        <f>HYPERLINK("./Results/DLO\20190201_1.3.12.2.1107.5.1.4.65253.30000019022420505630900073672_2_512_512_\Osteo_Sarco_1.png","RPT")</f>
        <v>RPT</v>
      </c>
      <c r="G1555" s="3">
        <v>109</v>
      </c>
      <c r="H1555" s="3"/>
    </row>
    <row r="1556" spans="1:8" x14ac:dyDescent="0.3">
      <c r="A1556" s="2">
        <v>5602553</v>
      </c>
      <c r="B1556" s="2">
        <v>51</v>
      </c>
      <c r="C1556" s="2" t="s">
        <v>5</v>
      </c>
      <c r="D1556" s="2">
        <v>100</v>
      </c>
      <c r="E1556" s="2"/>
      <c r="F1556" s="4" t="str">
        <f>HYPERLINK("./Results/DLO\20190701_1.3.12.2.1107.5.1.4.65253.30000019070919015935800093246_3_512_512_\Osteo_Sarco_1.png","RPT")</f>
        <v>RPT</v>
      </c>
      <c r="G1556" s="3">
        <v>168</v>
      </c>
      <c r="H1556" s="3"/>
    </row>
    <row r="1557" spans="1:8" x14ac:dyDescent="0.3">
      <c r="A1557" s="2">
        <v>5602553</v>
      </c>
      <c r="B1557" s="2">
        <v>51</v>
      </c>
      <c r="C1557" s="2" t="s">
        <v>5</v>
      </c>
      <c r="D1557" s="2">
        <v>100</v>
      </c>
      <c r="E1557" s="2"/>
      <c r="F1557" s="4" t="str">
        <f>HYPERLINK("./Results/DLO\20190701_1.3.12.2.1107.5.1.4.65253.30000019070919015935800093066_2_512_512_\Osteo_Sarco_1.png","RPT")</f>
        <v>RPT</v>
      </c>
      <c r="G1557" s="3">
        <v>165</v>
      </c>
      <c r="H1557" s="3"/>
    </row>
    <row r="1558" spans="1:8" x14ac:dyDescent="0.3">
      <c r="A1558" s="2">
        <v>5604588</v>
      </c>
      <c r="B1558" s="2">
        <v>63</v>
      </c>
      <c r="C1558" s="2" t="s">
        <v>5</v>
      </c>
      <c r="D1558" s="2">
        <v>140</v>
      </c>
      <c r="E1558" s="2"/>
      <c r="F1558" s="4" t="str">
        <f>HYPERLINK("./Results/DLO\20180201_1.2.840.113619.2.416.239249486298028304244944973731001000036_304_512_512_\Osteo_Sarco_1.png","RPT")</f>
        <v>RPT</v>
      </c>
      <c r="G1558" s="3">
        <v>143</v>
      </c>
      <c r="H1558" s="3"/>
    </row>
    <row r="1559" spans="1:8" x14ac:dyDescent="0.3">
      <c r="A1559" s="2">
        <v>5604588</v>
      </c>
      <c r="B1559" s="2">
        <v>63</v>
      </c>
      <c r="C1559" s="2" t="s">
        <v>5</v>
      </c>
      <c r="D1559" s="2">
        <v>140</v>
      </c>
      <c r="E1559" s="2"/>
      <c r="F1559" s="4" t="str">
        <f>HYPERLINK("./Results/DLO\20180201_1.2.840.113619.2.416.270277434843079239824074537978422210028_308_512_512_\Osteo_Sarco_1.png","RPT")</f>
        <v>RPT</v>
      </c>
      <c r="G1559" s="3">
        <v>143</v>
      </c>
      <c r="H1559" s="3"/>
    </row>
    <row r="1560" spans="1:8" x14ac:dyDescent="0.3">
      <c r="A1560" s="2">
        <v>5604588</v>
      </c>
      <c r="B1560" s="2">
        <v>63</v>
      </c>
      <c r="C1560" s="2" t="s">
        <v>5</v>
      </c>
      <c r="D1560" s="2">
        <v>140</v>
      </c>
      <c r="E1560" s="2"/>
      <c r="F1560" s="4" t="str">
        <f>HYPERLINK("./Results/DLO\20180201_1.2.840.113619.2.416.234972554816703007139741053043555543232_302_512_512_\Osteo_Sarco_1.png","RPT")</f>
        <v>RPT</v>
      </c>
      <c r="G1560" s="3">
        <v>142</v>
      </c>
      <c r="H1560" s="3"/>
    </row>
    <row r="1561" spans="1:8" x14ac:dyDescent="0.3">
      <c r="A1561" s="2">
        <v>5604588</v>
      </c>
      <c r="B1561" s="2">
        <v>63</v>
      </c>
      <c r="C1561" s="2" t="s">
        <v>5</v>
      </c>
      <c r="D1561" s="2">
        <v>140</v>
      </c>
      <c r="E1561" s="2"/>
      <c r="F1561" s="4" t="str">
        <f>HYPERLINK("./Results/DLO\20180201_1.2.840.113619.2.416.271960875740578166985621170056576243170_2_512_512_\Osteo_Sarco_1.png","RPT")</f>
        <v>RPT</v>
      </c>
      <c r="G1561" s="3">
        <v>141</v>
      </c>
      <c r="H1561" s="3"/>
    </row>
    <row r="1562" spans="1:8" x14ac:dyDescent="0.3">
      <c r="A1562" s="2">
        <v>5604740</v>
      </c>
      <c r="B1562" s="2">
        <v>58</v>
      </c>
      <c r="C1562" s="2" t="s">
        <v>5</v>
      </c>
      <c r="D1562" s="2">
        <v>100</v>
      </c>
      <c r="E1562" s="2"/>
      <c r="F1562" s="4" t="str">
        <f>HYPERLINK("./Results/DLO\20180501_1.2.410.100011.172.16.68.201.6366328081434927551.8_8_512_512_\Osteo_Sarco_1.png","RPT")</f>
        <v>RPT</v>
      </c>
      <c r="G1562" s="3">
        <v>154</v>
      </c>
      <c r="H1562" s="3"/>
    </row>
    <row r="1563" spans="1:8" x14ac:dyDescent="0.3">
      <c r="A1563" s="2">
        <v>5604740</v>
      </c>
      <c r="B1563" s="2">
        <v>58</v>
      </c>
      <c r="C1563" s="2" t="s">
        <v>5</v>
      </c>
      <c r="D1563" s="2">
        <v>100</v>
      </c>
      <c r="E1563" s="2"/>
      <c r="F1563" s="4" t="str">
        <f>HYPERLINK("./Results/DLO\20180501_1.2.410.100011.172.16.68.201.6366328081434927551.6_6_512_512_\Osteo_Sarco_1.png","RPT")</f>
        <v>RPT</v>
      </c>
      <c r="G1563" s="3">
        <v>152</v>
      </c>
      <c r="H1563" s="3"/>
    </row>
    <row r="1564" spans="1:8" x14ac:dyDescent="0.3">
      <c r="A1564" s="2">
        <v>5604740</v>
      </c>
      <c r="B1564" s="2">
        <v>58</v>
      </c>
      <c r="C1564" s="2" t="s">
        <v>5</v>
      </c>
      <c r="D1564" s="2">
        <v>100</v>
      </c>
      <c r="E1564" s="2"/>
      <c r="F1564" s="4" t="str">
        <f>HYPERLINK("./Results/DLO\20180501_1.2.410.100011.172.16.68.201.6366328081434927551.2_2_512_512_\Osteo_Sarco_1.png","RPT")</f>
        <v>RPT</v>
      </c>
      <c r="G1564" s="3">
        <v>150</v>
      </c>
      <c r="H1564" s="3"/>
    </row>
    <row r="1565" spans="1:8" x14ac:dyDescent="0.3">
      <c r="A1565" s="2">
        <v>5605727</v>
      </c>
      <c r="B1565" s="2">
        <v>66</v>
      </c>
      <c r="C1565" s="2" t="s">
        <v>5</v>
      </c>
      <c r="D1565" s="2">
        <v>100</v>
      </c>
      <c r="E1565" s="2"/>
      <c r="F1565" s="4" t="str">
        <f>HYPERLINK("./Results/DLO\20191201_1.3.12.2.1107.5.1.4.54310.30000019120222244193700010569_2_512_512_\Osteo_Sarco_1.png","RPT")</f>
        <v>RPT</v>
      </c>
      <c r="G1565" s="3">
        <v>161</v>
      </c>
      <c r="H1565" s="3"/>
    </row>
    <row r="1566" spans="1:8" x14ac:dyDescent="0.3">
      <c r="A1566" s="2">
        <v>5606783</v>
      </c>
      <c r="B1566" s="2">
        <v>55</v>
      </c>
      <c r="C1566" s="2" t="s">
        <v>5</v>
      </c>
      <c r="D1566" s="2">
        <v>100</v>
      </c>
      <c r="E1566" s="2"/>
      <c r="F1566" s="4" t="str">
        <f>HYPERLINK("./Results/DLO\20180501_1.3.12.2.1107.5.1.4.65253.30000018051617441060800046965_7_512_512_\Osteo_Sarco_1.png","RPT")</f>
        <v>RPT</v>
      </c>
      <c r="G1566" s="3">
        <v>136</v>
      </c>
      <c r="H1566" s="3"/>
    </row>
    <row r="1567" spans="1:8" x14ac:dyDescent="0.3">
      <c r="A1567" s="2">
        <v>5606783</v>
      </c>
      <c r="B1567" s="2">
        <v>55</v>
      </c>
      <c r="C1567" s="2" t="s">
        <v>5</v>
      </c>
      <c r="D1567" s="2">
        <v>100</v>
      </c>
      <c r="E1567" s="2"/>
      <c r="F1567" s="4" t="str">
        <f>HYPERLINK("./Results/DLO\20180501_1.3.12.2.1107.5.1.4.65253.30000018051617441060800046112_2_512_512_\Osteo_Sarco_1.png","RPT")</f>
        <v>RPT</v>
      </c>
      <c r="G1567" s="3">
        <v>135</v>
      </c>
      <c r="H1567" s="3"/>
    </row>
    <row r="1568" spans="1:8" x14ac:dyDescent="0.3">
      <c r="A1568" s="2">
        <v>5606783</v>
      </c>
      <c r="B1568" s="2">
        <v>55</v>
      </c>
      <c r="C1568" s="2" t="s">
        <v>5</v>
      </c>
      <c r="D1568" s="2">
        <v>100</v>
      </c>
      <c r="E1568" s="2"/>
      <c r="F1568" s="4" t="str">
        <f>HYPERLINK("./Results/DLO\20180501_1.3.12.2.1107.5.1.4.65253.30000018051617441060800046283_5_512_512_\Osteo_Sarco_1.png","RPT")</f>
        <v>RPT</v>
      </c>
      <c r="G1568" s="3">
        <v>135</v>
      </c>
      <c r="H1568" s="3"/>
    </row>
    <row r="1569" spans="1:8" x14ac:dyDescent="0.3">
      <c r="A1569" s="2">
        <v>5609491</v>
      </c>
      <c r="B1569" s="2">
        <v>20</v>
      </c>
      <c r="C1569" s="2" t="s">
        <v>5</v>
      </c>
      <c r="D1569" s="2">
        <v>100</v>
      </c>
      <c r="E1569" s="2"/>
      <c r="F1569" s="4" t="str">
        <f>HYPERLINK("./Results/DLO\20180901_1.2.840.113619.2.311.138147613750949266470335228288290552590_304_512_512_\Osteo_Sarco_1.png","RPT")</f>
        <v>RPT</v>
      </c>
      <c r="G1569" s="3">
        <v>155</v>
      </c>
      <c r="H1569" s="3"/>
    </row>
    <row r="1570" spans="1:8" x14ac:dyDescent="0.3">
      <c r="A1570" s="2">
        <v>5617402</v>
      </c>
      <c r="B1570" s="2">
        <v>55</v>
      </c>
      <c r="C1570" s="2" t="s">
        <v>5</v>
      </c>
      <c r="D1570" s="2">
        <v>140</v>
      </c>
      <c r="E1570" s="2"/>
      <c r="F1570" s="4" t="str">
        <f>HYPERLINK("./Results/DLO\20180301_1.2.840.113619.2.416.112521372219785369676482380501154463032_303_512_512_\Osteo_Sarco_1.png","RPT")</f>
        <v>RPT</v>
      </c>
      <c r="G1570" s="3">
        <v>185</v>
      </c>
      <c r="H1570" s="3"/>
    </row>
    <row r="1571" spans="1:8" x14ac:dyDescent="0.3">
      <c r="A1571" s="2">
        <v>5617402</v>
      </c>
      <c r="B1571" s="2">
        <v>55</v>
      </c>
      <c r="C1571" s="2" t="s">
        <v>5</v>
      </c>
      <c r="D1571" s="2">
        <v>140</v>
      </c>
      <c r="E1571" s="2"/>
      <c r="F1571" s="4" t="str">
        <f>HYPERLINK("./Results/DLO\20180301_1.2.840.113619.2.416.18260817281982635978718192430244376597_2_512_512_\Osteo_Sarco_1.png","RPT")</f>
        <v>RPT</v>
      </c>
      <c r="G1571" s="3">
        <v>185</v>
      </c>
      <c r="H1571" s="3"/>
    </row>
    <row r="1572" spans="1:8" x14ac:dyDescent="0.3">
      <c r="A1572" s="2">
        <v>5617631</v>
      </c>
      <c r="B1572" s="2">
        <v>62</v>
      </c>
      <c r="C1572" s="2" t="s">
        <v>5</v>
      </c>
      <c r="D1572" s="2">
        <v>140</v>
      </c>
      <c r="E1572" s="2"/>
      <c r="F1572" s="4" t="str">
        <f>HYPERLINK("./Results/DLO\20180201_1.2.840.113619.2.416.161986562136133862446918603187256792786_3_512_512_\Osteo_Sarco_1.png","RPT")</f>
        <v>RPT</v>
      </c>
      <c r="G1572" s="3">
        <v>150</v>
      </c>
      <c r="H1572" s="3"/>
    </row>
    <row r="1573" spans="1:8" x14ac:dyDescent="0.3">
      <c r="A1573" s="2">
        <v>5617631</v>
      </c>
      <c r="B1573" s="2">
        <v>62</v>
      </c>
      <c r="C1573" s="2" t="s">
        <v>5</v>
      </c>
      <c r="D1573" s="2">
        <v>140</v>
      </c>
      <c r="E1573" s="2"/>
      <c r="F1573" s="4" t="str">
        <f>HYPERLINK("./Results/DLO\20180201_1.2.840.113619.2.416.295662528912673180932517438302001220823_2_512_512_\Osteo_Sarco_1.png","RPT")</f>
        <v>RPT</v>
      </c>
      <c r="G1573" s="3">
        <v>150</v>
      </c>
      <c r="H1573" s="3"/>
    </row>
    <row r="1574" spans="1:8" x14ac:dyDescent="0.3">
      <c r="A1574" s="2">
        <v>5618028</v>
      </c>
      <c r="B1574" s="2">
        <v>68</v>
      </c>
      <c r="C1574" s="2" t="s">
        <v>5</v>
      </c>
      <c r="D1574" s="2">
        <v>100</v>
      </c>
      <c r="E1574" s="2"/>
      <c r="F1574" s="4" t="str">
        <f>HYPERLINK("./Results/DLO\20190301_1.3.12.2.1107.5.1.4.54310.30000019032423082598400001499_2_512_512_\Osteo_Sarco_1.png","RPT")</f>
        <v>RPT</v>
      </c>
      <c r="G1574" s="3">
        <v>119</v>
      </c>
      <c r="H1574" s="3"/>
    </row>
    <row r="1575" spans="1:8" x14ac:dyDescent="0.3">
      <c r="A1575" s="2">
        <v>5619766</v>
      </c>
      <c r="B1575" s="2">
        <v>81</v>
      </c>
      <c r="C1575" s="2" t="s">
        <v>5</v>
      </c>
      <c r="D1575" s="2">
        <v>100</v>
      </c>
      <c r="E1575" s="2"/>
      <c r="F1575" s="4" t="str">
        <f>HYPERLINK("./Results/DLO\20190701_1.2.410.100011.172.24.16.220.6371164996448080291.3_3_512_512_\Osteo_Sarco_1.png","RPT")</f>
        <v>RPT</v>
      </c>
      <c r="G1575" s="3">
        <v>179</v>
      </c>
      <c r="H1575" s="3"/>
    </row>
    <row r="1576" spans="1:8" x14ac:dyDescent="0.3">
      <c r="A1576" s="2">
        <v>5619766</v>
      </c>
      <c r="B1576" s="2">
        <v>81</v>
      </c>
      <c r="C1576" s="2" t="s">
        <v>5</v>
      </c>
      <c r="D1576" s="2">
        <v>100</v>
      </c>
      <c r="E1576" s="2"/>
      <c r="F1576" s="4" t="str">
        <f>HYPERLINK("./Results/DLO\20190701_1.2.410.100011.172.24.16.220.6371164996448080291.1_1_512_512_\Osteo_Sarco_1.png","RPT")</f>
        <v>RPT</v>
      </c>
      <c r="G1576" s="3">
        <v>176</v>
      </c>
      <c r="H1576" s="3"/>
    </row>
    <row r="1577" spans="1:8" x14ac:dyDescent="0.3">
      <c r="A1577" s="2">
        <v>5620325</v>
      </c>
      <c r="B1577" s="2">
        <v>70</v>
      </c>
      <c r="C1577" s="2" t="s">
        <v>6</v>
      </c>
      <c r="D1577" s="2">
        <v>100</v>
      </c>
      <c r="E1577" s="2"/>
      <c r="F1577" s="4" t="str">
        <f>HYPERLINK("./Results/DLO\20190401_1.3.12.2.1107.5.1.4.54310.30000019040823311228100020638_2_512_512_\Osteo_Sarco_1.png","RPT")</f>
        <v>RPT</v>
      </c>
      <c r="G1577" s="3">
        <v>107</v>
      </c>
      <c r="H1577" s="3"/>
    </row>
    <row r="1578" spans="1:8" x14ac:dyDescent="0.3">
      <c r="A1578" s="2">
        <v>5624518</v>
      </c>
      <c r="B1578" s="2">
        <v>59</v>
      </c>
      <c r="C1578" s="2" t="s">
        <v>5</v>
      </c>
      <c r="D1578" s="2">
        <v>120</v>
      </c>
      <c r="E1578" s="2"/>
      <c r="F1578" s="4" t="str">
        <f>HYPERLINK("./Results/DLO\20180701_1.3.12.2.1107.5.1.4.54310.30000018070923133301500010251_8_512_512_\Osteo_Sarco_1.png","RPT")</f>
        <v>RPT</v>
      </c>
      <c r="G1578" s="3">
        <v>140</v>
      </c>
      <c r="H1578" s="3"/>
    </row>
    <row r="1579" spans="1:8" x14ac:dyDescent="0.3">
      <c r="A1579" s="2">
        <v>5624518</v>
      </c>
      <c r="B1579" s="2">
        <v>59</v>
      </c>
      <c r="C1579" s="2" t="s">
        <v>5</v>
      </c>
      <c r="D1579" s="2">
        <v>120</v>
      </c>
      <c r="E1579" s="2"/>
      <c r="F1579" s="4" t="str">
        <f>HYPERLINK("./Results/DLO\20180701_1.3.12.2.1107.5.1.4.54310.30000018070923133301500009782_5_512_512_\Osteo_Sarco_1.png","RPT")</f>
        <v>RPT</v>
      </c>
      <c r="G1579" s="3">
        <v>139</v>
      </c>
      <c r="H1579" s="3"/>
    </row>
    <row r="1580" spans="1:8" x14ac:dyDescent="0.3">
      <c r="A1580" s="2">
        <v>5624518</v>
      </c>
      <c r="B1580" s="2">
        <v>59</v>
      </c>
      <c r="C1580" s="2" t="s">
        <v>5</v>
      </c>
      <c r="D1580" s="2">
        <v>120</v>
      </c>
      <c r="E1580" s="2"/>
      <c r="F1580" s="4" t="str">
        <f>HYPERLINK("./Results/DLO\20180701_1.3.12.2.1107.5.1.4.54310.30000018070923133301500010094_7_512_512_\Osteo_Sarco_1.png","RPT")</f>
        <v>RPT</v>
      </c>
      <c r="G1580" s="3">
        <v>138</v>
      </c>
      <c r="H1580" s="3"/>
    </row>
    <row r="1581" spans="1:8" x14ac:dyDescent="0.3">
      <c r="A1581" s="2">
        <v>5624518</v>
      </c>
      <c r="B1581" s="2">
        <v>59</v>
      </c>
      <c r="C1581" s="2" t="s">
        <v>5</v>
      </c>
      <c r="D1581" s="2">
        <v>100</v>
      </c>
      <c r="E1581" s="2"/>
      <c r="F1581" s="4" t="str">
        <f>HYPERLINK("./Results/DLO\20180701_1.3.12.2.1107.5.1.4.54310.30000018070923133301500009702_3_512_512_\Osteo_Sarco_1.png","RPT")</f>
        <v>RPT</v>
      </c>
      <c r="G1581" s="3">
        <v>136</v>
      </c>
      <c r="H1581" s="3"/>
    </row>
    <row r="1582" spans="1:8" x14ac:dyDescent="0.3">
      <c r="A1582" s="2">
        <v>5624678</v>
      </c>
      <c r="B1582" s="2">
        <v>66</v>
      </c>
      <c r="C1582" s="2" t="s">
        <v>5</v>
      </c>
      <c r="D1582" s="2">
        <v>100</v>
      </c>
      <c r="E1582" s="2"/>
      <c r="F1582" s="4" t="str">
        <f>HYPERLINK("./Results/DLO\20180401_1.3.12.2.1107.5.1.4.54310.30000018041023080612500018031_2_512_512_\Osteo_Sarco_1.png","RPT")</f>
        <v>RPT</v>
      </c>
      <c r="G1582" s="3">
        <v>109</v>
      </c>
      <c r="H1582" s="3"/>
    </row>
    <row r="1583" spans="1:8" x14ac:dyDescent="0.3">
      <c r="A1583" s="2">
        <v>5625094</v>
      </c>
      <c r="B1583" s="2">
        <v>76</v>
      </c>
      <c r="C1583" s="2" t="s">
        <v>5</v>
      </c>
      <c r="D1583" s="2">
        <v>140</v>
      </c>
      <c r="E1583" s="2"/>
      <c r="F1583" s="4" t="str">
        <f>HYPERLINK("./Results/DLO\20181001_1.2.840.113619.2.416.258402550306663299561612238625907234720_302_512_512_\Osteo_Sarco_1.png","RPT")</f>
        <v>RPT</v>
      </c>
      <c r="G1583" s="3">
        <v>140</v>
      </c>
      <c r="H1583" s="3"/>
    </row>
    <row r="1584" spans="1:8" x14ac:dyDescent="0.3">
      <c r="A1584" s="2">
        <v>5625094</v>
      </c>
      <c r="B1584" s="2">
        <v>76</v>
      </c>
      <c r="C1584" s="2" t="s">
        <v>5</v>
      </c>
      <c r="D1584" s="2">
        <v>140</v>
      </c>
      <c r="E1584" s="2"/>
      <c r="F1584" s="4" t="str">
        <f>HYPERLINK("./Results/DLO\20181001_1.2.840.113619.2.416.319959737404577452900407641327625276629_303_512_512_\Osteo_Sarco_1.png","RPT")</f>
        <v>RPT</v>
      </c>
      <c r="G1584" s="3">
        <v>140</v>
      </c>
      <c r="H1584" s="3"/>
    </row>
    <row r="1585" spans="1:8" x14ac:dyDescent="0.3">
      <c r="A1585" s="2">
        <v>5625574</v>
      </c>
      <c r="B1585" s="2">
        <v>67</v>
      </c>
      <c r="C1585" s="2" t="s">
        <v>5</v>
      </c>
      <c r="D1585" s="2">
        <v>100</v>
      </c>
      <c r="E1585" s="2"/>
      <c r="F1585" s="4" t="str">
        <f>HYPERLINK("./Results/DLO\20190901_1.3.12.2.1107.5.1.4.65253.30000019092020275833200017796_6_512_512_\Osteo_Sarco_1.png","RPT")</f>
        <v>RPT</v>
      </c>
      <c r="G1585" s="3">
        <v>155</v>
      </c>
      <c r="H1585" s="3"/>
    </row>
    <row r="1586" spans="1:8" x14ac:dyDescent="0.3">
      <c r="A1586" s="2">
        <v>5625574</v>
      </c>
      <c r="B1586" s="2">
        <v>67</v>
      </c>
      <c r="C1586" s="2" t="s">
        <v>5</v>
      </c>
      <c r="D1586" s="2">
        <v>100</v>
      </c>
      <c r="E1586" s="2"/>
      <c r="F1586" s="4" t="str">
        <f>HYPERLINK("./Results/DLO\20190901_1.3.12.2.1107.5.1.4.65253.30000019092020275833200016183_4_512_512_\Osteo_Sarco_1.png","RPT")</f>
        <v>RPT</v>
      </c>
      <c r="G1586" s="3">
        <v>153</v>
      </c>
      <c r="H1586" s="3"/>
    </row>
    <row r="1587" spans="1:8" x14ac:dyDescent="0.3">
      <c r="A1587" s="2">
        <v>5629010</v>
      </c>
      <c r="B1587" s="2">
        <v>83</v>
      </c>
      <c r="C1587" s="2" t="s">
        <v>5</v>
      </c>
      <c r="D1587" s="2">
        <v>120</v>
      </c>
      <c r="E1587" s="2"/>
      <c r="F1587" s="4" t="str">
        <f>HYPERLINK("./Results/DLO\20190701_1.2.840.113619.2.416.310887776328404521241358177156713967450_302_512_512_\Osteo_Sarco_1.png","RPT")</f>
        <v>RPT</v>
      </c>
      <c r="G1587" s="3">
        <v>117</v>
      </c>
      <c r="H1587" s="3"/>
    </row>
    <row r="1588" spans="1:8" x14ac:dyDescent="0.3">
      <c r="A1588" s="2">
        <v>5629010</v>
      </c>
      <c r="B1588" s="2">
        <v>83</v>
      </c>
      <c r="C1588" s="2" t="s">
        <v>5</v>
      </c>
      <c r="D1588" s="2">
        <v>140</v>
      </c>
      <c r="E1588" s="2"/>
      <c r="F1588" s="4" t="str">
        <f>HYPERLINK("./Results/DLO\20190701_1.2.840.113619.2.416.44279531898650763724839223245607013506_309_512_512_\Osteo_Sarco_1.png","RPT")</f>
        <v>RPT</v>
      </c>
      <c r="G1588" s="3">
        <v>108</v>
      </c>
      <c r="H1588" s="3"/>
    </row>
    <row r="1589" spans="1:8" x14ac:dyDescent="0.3">
      <c r="A1589" s="2">
        <v>5629010</v>
      </c>
      <c r="B1589" s="2">
        <v>83</v>
      </c>
      <c r="C1589" s="2" t="s">
        <v>5</v>
      </c>
      <c r="D1589" s="2">
        <v>140</v>
      </c>
      <c r="E1589" s="2"/>
      <c r="F1589" s="4" t="str">
        <f>HYPERLINK("./Results/DLO\20190701_1.2.410.200069.10820110185.1012000.20250826012533086095_93091_512_512_\Osteo_Sarco_1.png","RPT")</f>
        <v>RPT</v>
      </c>
      <c r="G1589" s="3">
        <v>95</v>
      </c>
      <c r="H1589" s="3"/>
    </row>
    <row r="1590" spans="1:8" x14ac:dyDescent="0.3">
      <c r="A1590" s="2">
        <v>5629010</v>
      </c>
      <c r="B1590" s="2">
        <v>83</v>
      </c>
      <c r="C1590" s="2" t="s">
        <v>5</v>
      </c>
      <c r="D1590" s="2">
        <v>140</v>
      </c>
      <c r="E1590" s="2"/>
      <c r="F1590" s="4" t="str">
        <f>HYPERLINK("./Results/DLO\20190701_1.2.410.200069.80820110186.1160115.20250826012547001541_730916_512_512_\Osteo_Sarco_1.png","RPT")</f>
        <v>RPT</v>
      </c>
      <c r="G1590" s="3">
        <v>79</v>
      </c>
      <c r="H1590" s="3"/>
    </row>
    <row r="1591" spans="1:8" x14ac:dyDescent="0.3">
      <c r="A1591" s="2">
        <v>5629083</v>
      </c>
      <c r="B1591" s="2">
        <v>84</v>
      </c>
      <c r="C1591" s="2" t="s">
        <v>5</v>
      </c>
      <c r="D1591" s="2">
        <v>100</v>
      </c>
      <c r="E1591" s="2"/>
      <c r="F1591" s="4" t="str">
        <f>HYPERLINK("./Results/DLO\20181001_1.3.12.2.1107.5.1.4.54310.30000018101823515412500009646_3_512_512_\Osteo_Sarco_1.png","RPT")</f>
        <v>RPT</v>
      </c>
      <c r="G1591" s="3">
        <v>141</v>
      </c>
      <c r="H1591" s="3"/>
    </row>
    <row r="1592" spans="1:8" x14ac:dyDescent="0.3">
      <c r="A1592" s="2">
        <v>5629083</v>
      </c>
      <c r="B1592" s="2">
        <v>84</v>
      </c>
      <c r="C1592" s="2" t="s">
        <v>5</v>
      </c>
      <c r="D1592" s="2">
        <v>100</v>
      </c>
      <c r="E1592" s="2"/>
      <c r="F1592" s="4" t="str">
        <f>HYPERLINK("./Results/DLO\20181001_1.3.12.2.1107.5.1.4.54310.30000018101823125084300025468_2_512_512_\Osteo_Sarco_1.png","RPT")</f>
        <v>RPT</v>
      </c>
      <c r="G1592" s="3">
        <v>139</v>
      </c>
      <c r="H1592" s="3"/>
    </row>
    <row r="1593" spans="1:8" x14ac:dyDescent="0.3">
      <c r="A1593" s="2">
        <v>5630554</v>
      </c>
      <c r="B1593" s="2">
        <v>66</v>
      </c>
      <c r="C1593" s="2" t="s">
        <v>5</v>
      </c>
      <c r="D1593" s="2">
        <v>100</v>
      </c>
      <c r="E1593" s="2"/>
      <c r="F1593" s="4" t="str">
        <f>HYPERLINK("./Results/DLO\20180801_1.3.46.670589.33.1.63668798551313056100001.5434622251624006548_301_512_512_\Osteo_Sarco_1.png","RPT")</f>
        <v>RPT</v>
      </c>
      <c r="G1593" s="3">
        <v>130</v>
      </c>
      <c r="H1593" s="3"/>
    </row>
    <row r="1594" spans="1:8" x14ac:dyDescent="0.3">
      <c r="A1594" s="2">
        <v>5630554</v>
      </c>
      <c r="B1594" s="2">
        <v>66</v>
      </c>
      <c r="C1594" s="2" t="s">
        <v>5</v>
      </c>
      <c r="D1594" s="2">
        <v>100</v>
      </c>
      <c r="E1594" s="2"/>
      <c r="F1594" s="4" t="str">
        <f>HYPERLINK("./Results/DLO\20180801_1.3.46.670589.33.1.63668798435862452700001.5541412081777347536_201_512_512_\Osteo_Sarco_1.png","RPT")</f>
        <v>RPT</v>
      </c>
      <c r="G1594" s="3">
        <v>126</v>
      </c>
      <c r="H1594" s="3"/>
    </row>
    <row r="1595" spans="1:8" x14ac:dyDescent="0.3">
      <c r="A1595" s="2">
        <v>5631735</v>
      </c>
      <c r="B1595" s="2">
        <v>58</v>
      </c>
      <c r="C1595" s="2" t="s">
        <v>6</v>
      </c>
      <c r="D1595" s="2">
        <v>100</v>
      </c>
      <c r="E1595" s="2"/>
      <c r="F1595" s="4" t="str">
        <f>HYPERLINK("./Results/DLO\20180801_1.2.840.113619.2.94.485650834948.2.9029683.19598861.1_2_512_512_\Osteo_Sarco_1.png","RPT")</f>
        <v>RPT</v>
      </c>
      <c r="G1595" s="3">
        <v>100</v>
      </c>
      <c r="H1595" s="3"/>
    </row>
    <row r="1596" spans="1:8" x14ac:dyDescent="0.3">
      <c r="A1596" s="2">
        <v>5631994</v>
      </c>
      <c r="B1596" s="2">
        <v>69</v>
      </c>
      <c r="C1596" s="2" t="s">
        <v>5</v>
      </c>
      <c r="D1596" s="2">
        <v>100</v>
      </c>
      <c r="E1596" s="2"/>
      <c r="F1596" s="4" t="str">
        <f>HYPERLINK("./Results/DLO\20191201_1.3.12.2.1107.5.1.4.54310.30000019120522423939000008585_3_512_512_\Osteo_Sarco_1.png","RPT")</f>
        <v>RPT</v>
      </c>
      <c r="G1596" s="3">
        <v>167</v>
      </c>
      <c r="H1596" s="3"/>
    </row>
    <row r="1597" spans="1:8" x14ac:dyDescent="0.3">
      <c r="A1597" s="2">
        <v>5631994</v>
      </c>
      <c r="B1597" s="2">
        <v>69</v>
      </c>
      <c r="C1597" s="2" t="s">
        <v>5</v>
      </c>
      <c r="D1597" s="2">
        <v>100</v>
      </c>
      <c r="E1597" s="2"/>
      <c r="F1597" s="4" t="str">
        <f>HYPERLINK("./Results/DLO\20191201_1.3.12.2.1107.5.1.4.54310.30000019120522423939000008876_5_512_512_\Osteo_Sarco_1.png","RPT")</f>
        <v>RPT</v>
      </c>
      <c r="G1597" s="3">
        <v>163</v>
      </c>
      <c r="H1597" s="3"/>
    </row>
    <row r="1598" spans="1:8" x14ac:dyDescent="0.3">
      <c r="A1598" s="2">
        <v>5634011</v>
      </c>
      <c r="B1598" s="2">
        <v>64</v>
      </c>
      <c r="C1598" s="2" t="s">
        <v>6</v>
      </c>
      <c r="D1598" s="2">
        <v>100</v>
      </c>
      <c r="E1598" s="2"/>
      <c r="F1598" s="4" t="str">
        <f>HYPERLINK("./Results/DLO\20200401_1.2.840.113619.2.416.244831784358837831770421943556086280645_307_512_512_\Osteo_Sarco_1.png","RPT")</f>
        <v>RPT</v>
      </c>
      <c r="G1598" s="3">
        <v>117</v>
      </c>
      <c r="H1598" s="3"/>
    </row>
    <row r="1599" spans="1:8" x14ac:dyDescent="0.3">
      <c r="A1599" s="2">
        <v>5637199</v>
      </c>
      <c r="B1599" s="2">
        <v>86</v>
      </c>
      <c r="C1599" s="2" t="s">
        <v>6</v>
      </c>
      <c r="D1599" s="2">
        <v>100</v>
      </c>
      <c r="E1599" s="2"/>
      <c r="F1599" s="4" t="str">
        <f>HYPERLINK("./Results/DLO\20180101_1.3.12.2.1107.5.1.4.65253.30000018011817521172800012429_3_512_512_\Osteo_Sarco_1.png","RPT")</f>
        <v>RPT</v>
      </c>
      <c r="G1599" s="3">
        <v>96</v>
      </c>
      <c r="H1599" s="3"/>
    </row>
    <row r="1600" spans="1:8" x14ac:dyDescent="0.3">
      <c r="A1600" s="2">
        <v>5637199</v>
      </c>
      <c r="B1600" s="2">
        <v>86</v>
      </c>
      <c r="C1600" s="2" t="s">
        <v>6</v>
      </c>
      <c r="D1600" s="2">
        <v>100</v>
      </c>
      <c r="E1600" s="2"/>
      <c r="F1600" s="4" t="str">
        <f>HYPERLINK("./Results/DLO\20180101_1.3.12.2.1107.5.1.4.65253.30000018011817521172800012294_2_512_512_\Osteo_Sarco_1.png","RPT")</f>
        <v>RPT</v>
      </c>
      <c r="G1600" s="3">
        <v>94</v>
      </c>
      <c r="H1600" s="3"/>
    </row>
    <row r="1601" spans="1:8" x14ac:dyDescent="0.3">
      <c r="A1601" s="2">
        <v>5639011</v>
      </c>
      <c r="B1601" s="2">
        <v>51</v>
      </c>
      <c r="C1601" s="2" t="s">
        <v>6</v>
      </c>
      <c r="D1601" s="2">
        <v>100</v>
      </c>
      <c r="E1601" s="2"/>
      <c r="F1601" s="4" t="str">
        <f>HYPERLINK("./Results/DLO\20191101_1.3.12.2.1107.5.1.4.65253.30000019110219590736000080075_3_512_512_\Osteo_Sarco_1.png","RPT")</f>
        <v>RPT</v>
      </c>
      <c r="G1601" s="3">
        <v>130</v>
      </c>
      <c r="H1601" s="3"/>
    </row>
    <row r="1602" spans="1:8" x14ac:dyDescent="0.3">
      <c r="A1602" s="2">
        <v>5639011</v>
      </c>
      <c r="B1602" s="2">
        <v>51</v>
      </c>
      <c r="C1602" s="2" t="s">
        <v>6</v>
      </c>
      <c r="D1602" s="2">
        <v>100</v>
      </c>
      <c r="E1602" s="2"/>
      <c r="F1602" s="4" t="str">
        <f>HYPERLINK("./Results/DLO\20191101_1.3.12.2.1107.5.1.4.65253.30000019110219590736000079908_2_512_512_\Osteo_Sarco_1.png","RPT")</f>
        <v>RPT</v>
      </c>
      <c r="G1602" s="3">
        <v>126</v>
      </c>
      <c r="H1602" s="3"/>
    </row>
    <row r="1603" spans="1:8" x14ac:dyDescent="0.3">
      <c r="A1603" s="2">
        <v>5639536</v>
      </c>
      <c r="B1603" s="2">
        <v>55</v>
      </c>
      <c r="C1603" s="2" t="s">
        <v>5</v>
      </c>
      <c r="D1603" s="2">
        <v>100</v>
      </c>
      <c r="E1603" s="2"/>
      <c r="F1603" s="4" t="str">
        <f>HYPERLINK("./Results/DLO\20180401_1.2.840.113619.2.416.79859334860696513822291161316130186686_302_512_512_\Osteo_Sarco_1.png","RPT")</f>
        <v>RPT</v>
      </c>
      <c r="G1603" s="3">
        <v>147</v>
      </c>
      <c r="H1603" s="3"/>
    </row>
    <row r="1604" spans="1:8" x14ac:dyDescent="0.3">
      <c r="A1604" s="2">
        <v>5639536</v>
      </c>
      <c r="B1604" s="2">
        <v>55</v>
      </c>
      <c r="C1604" s="2" t="s">
        <v>5</v>
      </c>
      <c r="D1604" s="2">
        <v>100</v>
      </c>
      <c r="E1604" s="2"/>
      <c r="F1604" s="4" t="str">
        <f>HYPERLINK("./Results/DLO\20180401_1.2.840.113619.2.416.252422636975321879098811493749889896111_301_512_512_\Osteo_Sarco_1.png","RPT")</f>
        <v>RPT</v>
      </c>
      <c r="G1604" s="3">
        <v>145</v>
      </c>
      <c r="H1604" s="3"/>
    </row>
    <row r="1605" spans="1:8" x14ac:dyDescent="0.3">
      <c r="A1605" s="2">
        <v>5642002</v>
      </c>
      <c r="B1605" s="2">
        <v>60</v>
      </c>
      <c r="C1605" s="2" t="s">
        <v>6</v>
      </c>
      <c r="D1605" s="2">
        <v>100</v>
      </c>
      <c r="E1605" s="2"/>
      <c r="F1605" s="4" t="str">
        <f>HYPERLINK("./Results/DLO\20180401_1.2.840.113619.2.416.247734809164555291394089994184761525104_304_512_512_\Osteo_Sarco_1.png","RPT")</f>
        <v>RPT</v>
      </c>
      <c r="G1605" s="3">
        <v>137</v>
      </c>
      <c r="H1605" s="3"/>
    </row>
    <row r="1606" spans="1:8" x14ac:dyDescent="0.3">
      <c r="A1606" s="2">
        <v>5642762</v>
      </c>
      <c r="B1606" s="2">
        <v>72</v>
      </c>
      <c r="C1606" s="2" t="s">
        <v>5</v>
      </c>
      <c r="D1606" s="2">
        <v>100</v>
      </c>
      <c r="E1606" s="2"/>
      <c r="F1606" s="4" t="str">
        <f>HYPERLINK("./Results/DLO\20200201_1.3.12.2.1107.5.1.4.65253.30000020020921082969400050994_7_512_512_\Osteo_Sarco_1.png","RPT")</f>
        <v>RPT</v>
      </c>
      <c r="G1606" s="3">
        <v>174</v>
      </c>
      <c r="H1606" s="3"/>
    </row>
    <row r="1607" spans="1:8" x14ac:dyDescent="0.3">
      <c r="A1607" s="2">
        <v>5642762</v>
      </c>
      <c r="B1607" s="2">
        <v>72</v>
      </c>
      <c r="C1607" s="2" t="s">
        <v>5</v>
      </c>
      <c r="D1607" s="2">
        <v>100</v>
      </c>
      <c r="E1607" s="2"/>
      <c r="F1607" s="4" t="str">
        <f>HYPERLINK("./Results/DLO\20200201_1.3.12.2.1107.5.1.4.65253.30000020020921082969400049488_2_512_512_\Osteo_Sarco_1.png","RPT")</f>
        <v>RPT</v>
      </c>
      <c r="G1607" s="3">
        <v>173</v>
      </c>
      <c r="H1607" s="3"/>
    </row>
    <row r="1608" spans="1:8" x14ac:dyDescent="0.3">
      <c r="A1608" s="2">
        <v>5642762</v>
      </c>
      <c r="B1608" s="2">
        <v>72</v>
      </c>
      <c r="C1608" s="2" t="s">
        <v>5</v>
      </c>
      <c r="D1608" s="2">
        <v>100</v>
      </c>
      <c r="E1608" s="2"/>
      <c r="F1608" s="4" t="str">
        <f>HYPERLINK("./Results/DLO\20200201_1.3.12.2.1107.5.1.4.65253.30000020020921082969400049669_5_512_512_\Osteo_Sarco_1.png","RPT")</f>
        <v>RPT</v>
      </c>
      <c r="G1608" s="3">
        <v>173</v>
      </c>
      <c r="H1608" s="3"/>
    </row>
    <row r="1609" spans="1:8" x14ac:dyDescent="0.3">
      <c r="A1609" s="2">
        <v>5645020</v>
      </c>
      <c r="B1609" s="2">
        <v>72</v>
      </c>
      <c r="C1609" s="2" t="s">
        <v>6</v>
      </c>
      <c r="D1609" s="2">
        <v>100</v>
      </c>
      <c r="E1609" s="2"/>
      <c r="F1609" s="4" t="str">
        <f>HYPERLINK("./Results/DLO\20181101_1.2.840.113619.2.416.304194011585526094378018862657098265114_302_512_512_\Osteo_Sarco_1.png","RPT")</f>
        <v>RPT</v>
      </c>
      <c r="G1609" s="3">
        <v>99</v>
      </c>
      <c r="H1609" s="3"/>
    </row>
    <row r="1610" spans="1:8" x14ac:dyDescent="0.3">
      <c r="A1610" s="2">
        <v>5645020</v>
      </c>
      <c r="B1610" s="2">
        <v>72</v>
      </c>
      <c r="C1610" s="2" t="s">
        <v>6</v>
      </c>
      <c r="D1610" s="2">
        <v>100</v>
      </c>
      <c r="E1610" s="2"/>
      <c r="F1610" s="4" t="str">
        <f>HYPERLINK("./Results/DLO\20181101_1.2.840.113619.2.416.50207175848243095440013335394269227765_301_512_512_\Osteo_Sarco_1.png","RPT")</f>
        <v>RPT</v>
      </c>
      <c r="G1610" s="3">
        <v>93</v>
      </c>
      <c r="H1610" s="3"/>
    </row>
    <row r="1611" spans="1:8" x14ac:dyDescent="0.3">
      <c r="A1611" s="2">
        <v>5651763</v>
      </c>
      <c r="B1611" s="2">
        <v>74</v>
      </c>
      <c r="C1611" s="2" t="s">
        <v>5</v>
      </c>
      <c r="D1611" s="2">
        <v>100</v>
      </c>
      <c r="E1611" s="2"/>
      <c r="F1611" s="4" t="str">
        <f>HYPERLINK("./Results/DLO\20190301_1.3.46.670589.33.1.63687918583719303000001.4800872639945479769_601_512_512_\Osteo_Sarco_1.png","RPT")</f>
        <v>RPT</v>
      </c>
      <c r="G1611" s="3">
        <v>153</v>
      </c>
      <c r="H1611" s="3"/>
    </row>
    <row r="1612" spans="1:8" x14ac:dyDescent="0.3">
      <c r="A1612" s="2">
        <v>5651763</v>
      </c>
      <c r="B1612" s="2">
        <v>74</v>
      </c>
      <c r="C1612" s="2" t="s">
        <v>5</v>
      </c>
      <c r="D1612" s="2">
        <v>100</v>
      </c>
      <c r="E1612" s="2"/>
      <c r="F1612" s="4" t="str">
        <f>HYPERLINK("./Results/DLO\20190301_1.3.46.670589.33.1.63687918670198249300001.4671934293797696703_701_512_512_\Osteo_Sarco_1.png","RPT")</f>
        <v>RPT</v>
      </c>
      <c r="G1612" s="3">
        <v>151</v>
      </c>
      <c r="H1612" s="3"/>
    </row>
    <row r="1613" spans="1:8" x14ac:dyDescent="0.3">
      <c r="A1613" s="2">
        <v>5651763</v>
      </c>
      <c r="B1613" s="2">
        <v>74</v>
      </c>
      <c r="C1613" s="2" t="s">
        <v>5</v>
      </c>
      <c r="D1613" s="2">
        <v>100</v>
      </c>
      <c r="E1613" s="2"/>
      <c r="F1613" s="4" t="str">
        <f>HYPERLINK("./Results/DLO\20190301_1.3.46.670589.33.1.63687918526123008600001.4970565159491501329_501_512_512_\Osteo_Sarco_1.png","RPT")</f>
        <v>RPT</v>
      </c>
      <c r="G1613" s="3">
        <v>150</v>
      </c>
      <c r="H1613" s="3"/>
    </row>
    <row r="1614" spans="1:8" x14ac:dyDescent="0.3">
      <c r="A1614" s="2">
        <v>5651763</v>
      </c>
      <c r="B1614" s="2">
        <v>74</v>
      </c>
      <c r="C1614" s="2" t="s">
        <v>5</v>
      </c>
      <c r="D1614" s="2">
        <v>100</v>
      </c>
      <c r="E1614" s="2"/>
      <c r="F1614" s="4" t="str">
        <f>HYPERLINK("./Results/DLO\20190301_1.3.46.670589.33.1.63687918527146067200001.5108936877755789988_201_512_512_\Osteo_Sarco_1.png","RPT")</f>
        <v>RPT</v>
      </c>
      <c r="G1614" s="3">
        <v>149</v>
      </c>
      <c r="H1614" s="3"/>
    </row>
    <row r="1615" spans="1:8" x14ac:dyDescent="0.3">
      <c r="A1615" s="2">
        <v>5652005</v>
      </c>
      <c r="B1615" s="2">
        <v>52</v>
      </c>
      <c r="C1615" s="2" t="s">
        <v>6</v>
      </c>
      <c r="D1615" s="2">
        <v>100</v>
      </c>
      <c r="E1615" s="2"/>
      <c r="F1615" s="4" t="str">
        <f>HYPERLINK("./Results/DLO\20190501_1.3.46.670589.33.1.63692908471151182200001.5495537553229645772_201_512_512_\Osteo_Sarco_1.png","RPT")</f>
        <v>RPT</v>
      </c>
      <c r="G1615" s="3">
        <v>93</v>
      </c>
      <c r="H1615" s="3"/>
    </row>
    <row r="1616" spans="1:8" x14ac:dyDescent="0.3">
      <c r="A1616" s="2">
        <v>5653425</v>
      </c>
      <c r="B1616" s="2">
        <v>69</v>
      </c>
      <c r="C1616" s="2" t="s">
        <v>6</v>
      </c>
      <c r="D1616" s="2">
        <v>100</v>
      </c>
      <c r="E1616" s="2"/>
      <c r="F1616" s="4" t="str">
        <f>HYPERLINK("./Results/DLO\20180401_1.3.12.2.1107.5.1.4.54310.30000018040923092617100007606_10_512_512_\Osteo_Sarco_1.png","RPT")</f>
        <v>RPT</v>
      </c>
      <c r="G1616" s="3">
        <v>116</v>
      </c>
      <c r="H1616" s="3"/>
    </row>
    <row r="1617" spans="1:8" x14ac:dyDescent="0.3">
      <c r="A1617" s="2">
        <v>5653425</v>
      </c>
      <c r="B1617" s="2">
        <v>69</v>
      </c>
      <c r="C1617" s="2" t="s">
        <v>6</v>
      </c>
      <c r="D1617" s="2">
        <v>100</v>
      </c>
      <c r="E1617" s="2"/>
      <c r="F1617" s="4" t="str">
        <f>HYPERLINK("./Results/DLO\20180401_1.3.12.2.1107.5.1.4.54310.30000018040923092617100007339_8_512_512_\Osteo_Sarco_1.png","RPT")</f>
        <v>RPT</v>
      </c>
      <c r="G1617" s="3">
        <v>114</v>
      </c>
      <c r="H1617" s="3"/>
    </row>
    <row r="1618" spans="1:8" x14ac:dyDescent="0.3">
      <c r="A1618" s="2">
        <v>5653425</v>
      </c>
      <c r="B1618" s="2">
        <v>69</v>
      </c>
      <c r="C1618" s="2" t="s">
        <v>6</v>
      </c>
      <c r="D1618" s="2">
        <v>100</v>
      </c>
      <c r="E1618" s="2"/>
      <c r="F1618" s="4" t="str">
        <f>HYPERLINK("./Results/DLO\20180401_1.3.12.2.1107.5.1.4.54310.30000018040923092617100006868_5_512_512_\Osteo_Sarco_1.png","RPT")</f>
        <v>RPT</v>
      </c>
      <c r="G1618" s="3">
        <v>113</v>
      </c>
      <c r="H1618" s="3"/>
    </row>
    <row r="1619" spans="1:8" x14ac:dyDescent="0.3">
      <c r="A1619" s="2">
        <v>5653425</v>
      </c>
      <c r="B1619" s="2">
        <v>69</v>
      </c>
      <c r="C1619" s="2" t="s">
        <v>6</v>
      </c>
      <c r="D1619" s="2">
        <v>100</v>
      </c>
      <c r="E1619" s="2"/>
      <c r="F1619" s="4" t="str">
        <f>HYPERLINK("./Results/DLO\20180401_1.3.12.2.1107.5.1.4.54310.30000018040923092617100006959_6_512_512_\Osteo_Sarco_1.png","RPT")</f>
        <v>RPT</v>
      </c>
      <c r="G1619" s="3">
        <v>113</v>
      </c>
      <c r="H1619" s="3"/>
    </row>
    <row r="1620" spans="1:8" x14ac:dyDescent="0.3">
      <c r="A1620" s="2">
        <v>5654358</v>
      </c>
      <c r="B1620" s="2">
        <v>55</v>
      </c>
      <c r="C1620" s="2" t="s">
        <v>5</v>
      </c>
      <c r="D1620" s="2">
        <v>140</v>
      </c>
      <c r="E1620" s="2"/>
      <c r="F1620" s="4" t="str">
        <f>HYPERLINK("./Results/DLO\20190501_1.2.840.113619.2.416.68294617550481822583170079280756433370_301_512_512_\Osteo_Sarco_1.png","RPT")</f>
        <v>RPT</v>
      </c>
      <c r="G1620" s="3">
        <v>124</v>
      </c>
      <c r="H1620" s="3"/>
    </row>
    <row r="1621" spans="1:8" x14ac:dyDescent="0.3">
      <c r="A1621" s="2">
        <v>5654854</v>
      </c>
      <c r="B1621" s="2">
        <v>76</v>
      </c>
      <c r="C1621" s="2" t="s">
        <v>6</v>
      </c>
      <c r="D1621" s="2">
        <v>140</v>
      </c>
      <c r="E1621" s="2"/>
      <c r="F1621" s="4" t="str">
        <f>HYPERLINK("./Results/DLO\20190401_1.2.840.113619.2.416.21381904758006453566517000085307558142_302_512_512_\Osteo_Sarco_1.png","RPT")</f>
        <v>RPT</v>
      </c>
      <c r="G1621" s="3">
        <v>85</v>
      </c>
      <c r="H1621" s="3"/>
    </row>
    <row r="1622" spans="1:8" x14ac:dyDescent="0.3">
      <c r="A1622" s="2">
        <v>5654854</v>
      </c>
      <c r="B1622" s="2">
        <v>76</v>
      </c>
      <c r="C1622" s="2" t="s">
        <v>6</v>
      </c>
      <c r="D1622" s="2">
        <v>140</v>
      </c>
      <c r="E1622" s="2"/>
      <c r="F1622" s="4" t="str">
        <f>HYPERLINK("./Results/DLO\20190401_1.2.840.113619.2.416.186722202472407208407374200133287451151_303_512_512_\Osteo_Sarco_1.png","RPT")</f>
        <v>RPT</v>
      </c>
      <c r="G1622" s="3">
        <v>79</v>
      </c>
      <c r="H1622" s="3"/>
    </row>
    <row r="1623" spans="1:8" x14ac:dyDescent="0.3">
      <c r="A1623" s="2">
        <v>5656754</v>
      </c>
      <c r="B1623" s="2">
        <v>55</v>
      </c>
      <c r="C1623" s="2" t="s">
        <v>6</v>
      </c>
      <c r="D1623" s="2">
        <v>100</v>
      </c>
      <c r="E1623" s="2"/>
      <c r="F1623" s="4" t="str">
        <f>HYPERLINK("./Results/DLO\20181201_1.3.46.670589.33.1.63680032346092826300001.4669803608228358361_201_512_512_\Osteo_Sarco_1.png","RPT")</f>
        <v>RPT</v>
      </c>
      <c r="G1623" s="3">
        <v>98</v>
      </c>
      <c r="H1623" s="3"/>
    </row>
    <row r="1624" spans="1:8" x14ac:dyDescent="0.3">
      <c r="A1624" s="2">
        <v>5656768</v>
      </c>
      <c r="B1624" s="2">
        <v>74</v>
      </c>
      <c r="C1624" s="2" t="s">
        <v>6</v>
      </c>
      <c r="D1624" s="2">
        <v>100</v>
      </c>
      <c r="E1624" s="2"/>
      <c r="F1624" s="4" t="str">
        <f>HYPERLINK("./Results/DLO\20180901_1.2.840.113619.2.416.255317225101276697541686643158994048324_304_512_512_\Osteo_Sarco_1.png","RPT")</f>
        <v>RPT</v>
      </c>
      <c r="G1624" s="3">
        <v>123</v>
      </c>
      <c r="H1624" s="3"/>
    </row>
    <row r="1625" spans="1:8" x14ac:dyDescent="0.3">
      <c r="A1625" s="2">
        <v>5656768</v>
      </c>
      <c r="B1625" s="2">
        <v>74</v>
      </c>
      <c r="C1625" s="2" t="s">
        <v>6</v>
      </c>
      <c r="D1625" s="2">
        <v>100</v>
      </c>
      <c r="E1625" s="2"/>
      <c r="F1625" s="4" t="str">
        <f>HYPERLINK("./Results/DLO\20180901_1.2.840.113619.2.416.136399769297756980383939241248645481788_2_512_512_\Osteo_Sarco_1.png","RPT")</f>
        <v>RPT</v>
      </c>
      <c r="G1625" s="3">
        <v>122</v>
      </c>
      <c r="H1625" s="3"/>
    </row>
    <row r="1626" spans="1:8" x14ac:dyDescent="0.3">
      <c r="A1626" s="2">
        <v>5657695</v>
      </c>
      <c r="B1626" s="2">
        <v>62</v>
      </c>
      <c r="C1626" s="2" t="s">
        <v>5</v>
      </c>
      <c r="D1626" s="2">
        <v>100</v>
      </c>
      <c r="E1626" s="2"/>
      <c r="F1626" s="4" t="str">
        <f>HYPERLINK("./Results/DLO\20190901_1.3.12.2.1107.5.1.4.65253.30000019092317151984300108459_4_512_512_\Osteo_Sarco_1.png","RPT")</f>
        <v>RPT</v>
      </c>
      <c r="G1626" s="3">
        <v>172</v>
      </c>
      <c r="H1626" s="3"/>
    </row>
    <row r="1627" spans="1:8" x14ac:dyDescent="0.3">
      <c r="A1627" s="2">
        <v>5657695</v>
      </c>
      <c r="B1627" s="2">
        <v>62</v>
      </c>
      <c r="C1627" s="2" t="s">
        <v>5</v>
      </c>
      <c r="D1627" s="2">
        <v>100</v>
      </c>
      <c r="E1627" s="2"/>
      <c r="F1627" s="4" t="str">
        <f>HYPERLINK("./Results/DLO\20190901_1.3.12.2.1107.5.1.4.65253.30000019092317151984300108998_6_512_512_\Osteo_Sarco_1.png","RPT")</f>
        <v>RPT</v>
      </c>
      <c r="G1627" s="3">
        <v>172</v>
      </c>
      <c r="H1627" s="3"/>
    </row>
    <row r="1628" spans="1:8" x14ac:dyDescent="0.3">
      <c r="A1628" s="2">
        <v>5659396</v>
      </c>
      <c r="B1628" s="2">
        <v>72</v>
      </c>
      <c r="C1628" s="2" t="s">
        <v>6</v>
      </c>
      <c r="D1628" s="2">
        <v>100</v>
      </c>
      <c r="E1628" s="2"/>
      <c r="F1628" s="4" t="str">
        <f>HYPERLINK("./Results/DLO\20180501_1.3.12.2.1107.5.1.4.54310.30000018051423153218700043661_2_512_512_\Osteo_Sarco_1.png","RPT")</f>
        <v>RPT</v>
      </c>
      <c r="G1628" s="3">
        <v>73</v>
      </c>
      <c r="H1628" s="3"/>
    </row>
    <row r="1629" spans="1:8" x14ac:dyDescent="0.3">
      <c r="A1629" s="2">
        <v>5659396</v>
      </c>
      <c r="B1629" s="2">
        <v>72</v>
      </c>
      <c r="C1629" s="2" t="s">
        <v>6</v>
      </c>
      <c r="D1629" s="2">
        <v>100</v>
      </c>
      <c r="E1629" s="2"/>
      <c r="F1629" s="4" t="str">
        <f>HYPERLINK("./Results/DLO\20180501_1.3.12.2.1107.5.1.4.54310.30000018051423153218700043813_3_512_512_\Osteo_Sarco_1.png","RPT")</f>
        <v>RPT</v>
      </c>
      <c r="G1629" s="3">
        <v>73</v>
      </c>
      <c r="H1629" s="3"/>
    </row>
    <row r="1630" spans="1:8" x14ac:dyDescent="0.3">
      <c r="A1630" s="2">
        <v>5660543</v>
      </c>
      <c r="B1630" s="2">
        <v>62</v>
      </c>
      <c r="C1630" s="2" t="s">
        <v>5</v>
      </c>
      <c r="D1630" s="2">
        <v>100</v>
      </c>
      <c r="E1630" s="2"/>
      <c r="F1630" s="4" t="str">
        <f>HYPERLINK("./Results/DLO\20190101_1.3.46.670589.33.1.63682800812189152500001.5364620945307897902_501_512_512_\Osteo_Sarco_1.png","RPT")</f>
        <v>RPT</v>
      </c>
      <c r="G1630" s="3">
        <v>160</v>
      </c>
      <c r="H1630" s="3"/>
    </row>
    <row r="1631" spans="1:8" x14ac:dyDescent="0.3">
      <c r="A1631" s="2">
        <v>5660543</v>
      </c>
      <c r="B1631" s="2">
        <v>62</v>
      </c>
      <c r="C1631" s="2" t="s">
        <v>5</v>
      </c>
      <c r="D1631" s="2">
        <v>100</v>
      </c>
      <c r="E1631" s="2"/>
      <c r="F1631" s="4" t="str">
        <f>HYPERLINK("./Results/DLO\20190101_1.3.46.670589.33.1.63682800966137957900001.5069142821636024525_801_512_512_\Osteo_Sarco_1.png","RPT")</f>
        <v>RPT</v>
      </c>
      <c r="G1631" s="3">
        <v>159</v>
      </c>
      <c r="H1631" s="3"/>
    </row>
    <row r="1632" spans="1:8" x14ac:dyDescent="0.3">
      <c r="A1632" s="2">
        <v>5660543</v>
      </c>
      <c r="B1632" s="2">
        <v>62</v>
      </c>
      <c r="C1632" s="2" t="s">
        <v>5</v>
      </c>
      <c r="D1632" s="2">
        <v>100</v>
      </c>
      <c r="E1632" s="2"/>
      <c r="F1632" s="4" t="str">
        <f>HYPERLINK("./Results/DLO\20190101_1.3.46.670589.33.1.63682800705925074600001.5141243575745036806_201_512_512_\Osteo_Sarco_1.png","RPT")</f>
        <v>RPT</v>
      </c>
      <c r="G1632" s="3">
        <v>158</v>
      </c>
      <c r="H1632" s="3"/>
    </row>
    <row r="1633" spans="1:8" x14ac:dyDescent="0.3">
      <c r="A1633" s="2">
        <v>5660543</v>
      </c>
      <c r="B1633" s="2">
        <v>62</v>
      </c>
      <c r="C1633" s="2" t="s">
        <v>5</v>
      </c>
      <c r="D1633" s="2">
        <v>100</v>
      </c>
      <c r="E1633" s="2"/>
      <c r="F1633" s="4" t="str">
        <f>HYPERLINK("./Results/DLO\20190101_1.3.46.670589.33.1.63682800874269703300001.4612475223014868662_601_512_512_\Osteo_Sarco_1.png","RPT")</f>
        <v>RPT</v>
      </c>
      <c r="G1633" s="3">
        <v>157</v>
      </c>
      <c r="H1633" s="3"/>
    </row>
    <row r="1634" spans="1:8" x14ac:dyDescent="0.3">
      <c r="A1634" s="2">
        <v>5660595</v>
      </c>
      <c r="B1634" s="2">
        <v>68</v>
      </c>
      <c r="C1634" s="2" t="s">
        <v>5</v>
      </c>
      <c r="D1634" s="2">
        <v>100</v>
      </c>
      <c r="E1634" s="2"/>
      <c r="F1634" s="4" t="str">
        <f>HYPERLINK("./Results/DLO\20190101_1.3.46.670589.33.1.63683668571173651000001.4801454442323783550_201_512_512_\Osteo_Sarco_1.png","RPT")</f>
        <v>RPT</v>
      </c>
      <c r="G1634" s="3">
        <v>139</v>
      </c>
      <c r="H1634" s="3"/>
    </row>
    <row r="1635" spans="1:8" x14ac:dyDescent="0.3">
      <c r="A1635" s="2">
        <v>5660791</v>
      </c>
      <c r="B1635" s="2">
        <v>59</v>
      </c>
      <c r="C1635" s="2" t="s">
        <v>6</v>
      </c>
      <c r="D1635" s="2">
        <v>100</v>
      </c>
      <c r="E1635" s="2"/>
      <c r="F1635" s="4" t="str">
        <f>HYPERLINK("./Results/DLO\20190501_1.3.12.2.1107.5.1.4.54310.30000019052021130364000016291_2_512_512_\Osteo_Sarco_1.png","RPT")</f>
        <v>RPT</v>
      </c>
      <c r="G1635" s="3">
        <v>90</v>
      </c>
      <c r="H1635" s="3"/>
    </row>
    <row r="1636" spans="1:8" x14ac:dyDescent="0.3">
      <c r="A1636" s="2">
        <v>5660791</v>
      </c>
      <c r="B1636" s="2">
        <v>59</v>
      </c>
      <c r="C1636" s="2" t="s">
        <v>6</v>
      </c>
      <c r="D1636" s="2">
        <v>100</v>
      </c>
      <c r="E1636" s="2"/>
      <c r="F1636" s="4" t="str">
        <f>HYPERLINK("./Results/DLO\20190501_1.3.12.2.1107.5.1.4.54310.30000019052021130364000016440_3_512_512_\Osteo_Sarco_1.png","RPT")</f>
        <v>RPT</v>
      </c>
      <c r="G1636" s="3">
        <v>90</v>
      </c>
      <c r="H1636" s="3"/>
    </row>
    <row r="1637" spans="1:8" x14ac:dyDescent="0.3">
      <c r="A1637" s="2">
        <v>5660807</v>
      </c>
      <c r="B1637" s="2">
        <v>53</v>
      </c>
      <c r="C1637" s="2" t="s">
        <v>5</v>
      </c>
      <c r="D1637" s="2">
        <v>100</v>
      </c>
      <c r="E1637" s="2"/>
      <c r="F1637" s="4" t="str">
        <f>HYPERLINK("./Results/DLO\20180701_1.3.12.2.1107.5.1.4.54310.30000018070923233553100000110_2_512_512_\Osteo_Sarco_1.png","RPT")</f>
        <v>RPT</v>
      </c>
      <c r="G1637" s="3">
        <v>129</v>
      </c>
      <c r="H1637" s="3"/>
    </row>
    <row r="1638" spans="1:8" x14ac:dyDescent="0.3">
      <c r="A1638" s="2">
        <v>5663611</v>
      </c>
      <c r="B1638" s="2">
        <v>60</v>
      </c>
      <c r="C1638" s="2" t="s">
        <v>6</v>
      </c>
      <c r="D1638" s="2">
        <v>100</v>
      </c>
      <c r="E1638" s="2"/>
      <c r="F1638" s="4" t="str">
        <f>HYPERLINK("./Results/DLO\20191001_1.3.46.670589.33.1.63706747798844531500001.5390231935040310183_401_512_512_\Osteo_Sarco_1.png","RPT")</f>
        <v>RPT</v>
      </c>
      <c r="G1638" s="3">
        <v>103</v>
      </c>
      <c r="H1638" s="3"/>
    </row>
    <row r="1639" spans="1:8" x14ac:dyDescent="0.3">
      <c r="A1639" s="2">
        <v>5663611</v>
      </c>
      <c r="B1639" s="2">
        <v>60</v>
      </c>
      <c r="C1639" s="2" t="s">
        <v>6</v>
      </c>
      <c r="D1639" s="2">
        <v>100</v>
      </c>
      <c r="E1639" s="2"/>
      <c r="F1639" s="4" t="str">
        <f>HYPERLINK("./Results/DLO\20191001_1.3.46.670589.33.1.63706747708256350200001.4945649390006429961_301_512_512_\Osteo_Sarco_1.png","RPT")</f>
        <v>RPT</v>
      </c>
      <c r="G1639" s="3">
        <v>101</v>
      </c>
      <c r="H1639" s="3"/>
    </row>
    <row r="1640" spans="1:8" x14ac:dyDescent="0.3">
      <c r="A1640" s="2">
        <v>5663611</v>
      </c>
      <c r="B1640" s="2">
        <v>60</v>
      </c>
      <c r="C1640" s="2" t="s">
        <v>6</v>
      </c>
      <c r="D1640" s="2">
        <v>100</v>
      </c>
      <c r="E1640" s="2"/>
      <c r="F1640" s="4" t="str">
        <f>HYPERLINK("./Results/DLO\20191001_1.3.46.670589.33.1.63706747565463182900001.5674270024508557134_201_512_512_\Osteo_Sarco_1.png","RPT")</f>
        <v>RPT</v>
      </c>
      <c r="G1640" s="3">
        <v>96</v>
      </c>
      <c r="H1640" s="3"/>
    </row>
    <row r="1641" spans="1:8" x14ac:dyDescent="0.3">
      <c r="A1641" s="2">
        <v>5664059</v>
      </c>
      <c r="B1641" s="2">
        <v>71</v>
      </c>
      <c r="C1641" s="2" t="s">
        <v>5</v>
      </c>
      <c r="D1641" s="2">
        <v>100</v>
      </c>
      <c r="E1641" s="2"/>
      <c r="F1641" s="4" t="str">
        <f>HYPERLINK("./Results/DLO\20180301_1.2.840.113619.2.311.88489969943629310807362901932786397231_303_512_512_\Osteo_Sarco_1.png","RPT")</f>
        <v>RPT</v>
      </c>
      <c r="G1641" s="3">
        <v>113</v>
      </c>
      <c r="H1641" s="3"/>
    </row>
    <row r="1642" spans="1:8" x14ac:dyDescent="0.3">
      <c r="A1642" s="2">
        <v>5664059</v>
      </c>
      <c r="B1642" s="2">
        <v>71</v>
      </c>
      <c r="C1642" s="2" t="s">
        <v>5</v>
      </c>
      <c r="D1642" s="2">
        <v>100</v>
      </c>
      <c r="E1642" s="2"/>
      <c r="F1642" s="4" t="str">
        <f>HYPERLINK("./Results/DLO\20180301_1.2.840.113619.2.311.10082742672200402137598027215649793261_2_512_512_\Osteo_Sarco_1.png","RPT")</f>
        <v>RPT</v>
      </c>
      <c r="G1642" s="3">
        <v>110</v>
      </c>
      <c r="H1642" s="3"/>
    </row>
    <row r="1643" spans="1:8" x14ac:dyDescent="0.3">
      <c r="A1643" s="2">
        <v>5666640</v>
      </c>
      <c r="B1643" s="2">
        <v>58</v>
      </c>
      <c r="C1643" s="2" t="s">
        <v>6</v>
      </c>
      <c r="D1643" s="2">
        <v>100</v>
      </c>
      <c r="E1643" s="2"/>
      <c r="F1643" s="4" t="str">
        <f>HYPERLINK("./Results/DLO\20180101_1.3.12.2.1107.5.1.4.65253.30000018010221080404900004567_3_512_512_\Osteo_Sarco_1.png","RPT")</f>
        <v>RPT</v>
      </c>
      <c r="G1643" s="3">
        <v>107</v>
      </c>
      <c r="H1643" s="3"/>
    </row>
    <row r="1644" spans="1:8" x14ac:dyDescent="0.3">
      <c r="A1644" s="2">
        <v>5666640</v>
      </c>
      <c r="B1644" s="2">
        <v>58</v>
      </c>
      <c r="C1644" s="2" t="s">
        <v>6</v>
      </c>
      <c r="D1644" s="2">
        <v>100</v>
      </c>
      <c r="E1644" s="2"/>
      <c r="F1644" s="4" t="str">
        <f>HYPERLINK("./Results/DLO\20180101_1.3.12.2.1107.5.1.4.65253.30000018010221080404900004423_2_512_512_\Osteo_Sarco_1.png","RPT")</f>
        <v>RPT</v>
      </c>
      <c r="G1644" s="3">
        <v>104</v>
      </c>
      <c r="H1644" s="3"/>
    </row>
    <row r="1645" spans="1:8" x14ac:dyDescent="0.3">
      <c r="A1645" s="2">
        <v>5668961</v>
      </c>
      <c r="B1645" s="2">
        <v>54</v>
      </c>
      <c r="C1645" s="2" t="s">
        <v>6</v>
      </c>
      <c r="D1645" s="2">
        <v>140</v>
      </c>
      <c r="E1645" s="2"/>
      <c r="F1645" s="4" t="str">
        <f>HYPERLINK("./Results/DLO\20180601_1.2.840.113619.2.416.199660708667196604081500677762080466597_303_512_512_\Osteo_Sarco_1.png","RPT")</f>
        <v>RPT</v>
      </c>
      <c r="G1645" s="3">
        <v>101</v>
      </c>
      <c r="H1645" s="3"/>
    </row>
    <row r="1646" spans="1:8" x14ac:dyDescent="0.3">
      <c r="A1646" s="2">
        <v>5668961</v>
      </c>
      <c r="B1646" s="2">
        <v>54</v>
      </c>
      <c r="C1646" s="2" t="s">
        <v>6</v>
      </c>
      <c r="D1646" s="2">
        <v>140</v>
      </c>
      <c r="E1646" s="2"/>
      <c r="F1646" s="4" t="str">
        <f>HYPERLINK("./Results/DLO\20180601_1.2.840.113619.2.416.141197397433495722871540125144167656463_302_512_512_\Osteo_Sarco_1.png","RPT")</f>
        <v>RPT</v>
      </c>
      <c r="G1646" s="3">
        <v>100</v>
      </c>
      <c r="H1646" s="3"/>
    </row>
    <row r="1647" spans="1:8" x14ac:dyDescent="0.3">
      <c r="A1647" s="2">
        <v>5672891</v>
      </c>
      <c r="B1647" s="2">
        <v>47</v>
      </c>
      <c r="C1647" s="2" t="s">
        <v>6</v>
      </c>
      <c r="D1647" s="2">
        <v>100</v>
      </c>
      <c r="E1647" s="2"/>
      <c r="F1647" s="4" t="str">
        <f>HYPERLINK("./Results/DLO\20200401_1.3.12.2.1107.5.1.4.54310.30000020042022091262500052307_2_512_512_\Osteo_Sarco_1.png","RPT")</f>
        <v>RPT</v>
      </c>
      <c r="G1647" s="3">
        <v>103</v>
      </c>
      <c r="H1647" s="3"/>
    </row>
    <row r="1648" spans="1:8" x14ac:dyDescent="0.3">
      <c r="A1648" s="2">
        <v>5674393</v>
      </c>
      <c r="B1648" s="2">
        <v>66</v>
      </c>
      <c r="C1648" s="2" t="s">
        <v>6</v>
      </c>
      <c r="D1648" s="2">
        <v>100</v>
      </c>
      <c r="E1648" s="2"/>
      <c r="F1648" s="4" t="str">
        <f>HYPERLINK("./Results/DLO\20180301_1.3.12.2.1107.5.1.4.54310.30000018030623290892100000465_2_512_512_\Osteo_Sarco_1.png","RPT")</f>
        <v>RPT</v>
      </c>
      <c r="G1648" s="3">
        <v>99</v>
      </c>
      <c r="H1648" s="3"/>
    </row>
    <row r="1649" spans="1:8" x14ac:dyDescent="0.3">
      <c r="A1649" s="2">
        <v>5674632</v>
      </c>
      <c r="B1649" s="2">
        <v>78</v>
      </c>
      <c r="C1649" s="2" t="s">
        <v>5</v>
      </c>
      <c r="D1649" s="2">
        <v>100</v>
      </c>
      <c r="E1649" s="2"/>
      <c r="F1649" s="4" t="str">
        <f>HYPERLINK("./Results/DLO\20190901_1.3.12.2.1107.5.1.4.65253.30000019092020275833200035192_3_512_512_\Osteo_Sarco_1.png","RPT")</f>
        <v>RPT</v>
      </c>
      <c r="G1649" s="3">
        <v>105</v>
      </c>
      <c r="H1649" s="3"/>
    </row>
    <row r="1650" spans="1:8" x14ac:dyDescent="0.3">
      <c r="A1650" s="2">
        <v>5674632</v>
      </c>
      <c r="B1650" s="2">
        <v>78</v>
      </c>
      <c r="C1650" s="2" t="s">
        <v>5</v>
      </c>
      <c r="D1650" s="2">
        <v>100</v>
      </c>
      <c r="E1650" s="2"/>
      <c r="F1650" s="4" t="str">
        <f>HYPERLINK("./Results/DLO\20190901_1.3.12.2.1107.5.1.4.65253.30000019092020275833200034325_2_512_512_\Osteo_Sarco_1.png","RPT")</f>
        <v>RPT</v>
      </c>
      <c r="G1650" s="3">
        <v>103</v>
      </c>
      <c r="H1650" s="3"/>
    </row>
    <row r="1651" spans="1:8" x14ac:dyDescent="0.3">
      <c r="A1651" s="2">
        <v>5676496</v>
      </c>
      <c r="B1651" s="2">
        <v>73</v>
      </c>
      <c r="C1651" s="2" t="s">
        <v>6</v>
      </c>
      <c r="D1651" s="2">
        <v>100</v>
      </c>
      <c r="E1651" s="2"/>
      <c r="F1651" s="4" t="str">
        <f>HYPERLINK("./Results/DLO\20200301_1.2.840.113619.2.416.271825025962137194551833047034998851668_310_512_512_\Osteo_Sarco_1.png","RPT")</f>
        <v>RPT</v>
      </c>
      <c r="G1651" s="3">
        <v>105</v>
      </c>
      <c r="H1651" s="3"/>
    </row>
    <row r="1652" spans="1:8" x14ac:dyDescent="0.3">
      <c r="A1652" s="2">
        <v>5685204</v>
      </c>
      <c r="B1652" s="2">
        <v>64</v>
      </c>
      <c r="C1652" s="2" t="s">
        <v>6</v>
      </c>
      <c r="D1652" s="2">
        <v>100</v>
      </c>
      <c r="E1652" s="2"/>
      <c r="F1652" s="4" t="str">
        <f>HYPERLINK("./Results/DLO\20181001_1.3.46.670589.33.1.63674770262911133100001.4618877171822503796_601_512_512_\Osteo_Sarco_1.png","RPT")</f>
        <v>RPT</v>
      </c>
      <c r="G1652" s="3">
        <v>88</v>
      </c>
      <c r="H1652" s="3"/>
    </row>
    <row r="1653" spans="1:8" x14ac:dyDescent="0.3">
      <c r="A1653" s="2">
        <v>5686834</v>
      </c>
      <c r="B1653" s="2">
        <v>70</v>
      </c>
      <c r="C1653" s="2" t="s">
        <v>5</v>
      </c>
      <c r="D1653" s="2">
        <v>100</v>
      </c>
      <c r="E1653" s="2"/>
      <c r="F1653" s="4" t="str">
        <f>HYPERLINK("./Results/DLO\20180501_1.3.12.2.1107.5.1.4.65253.30000018052921170848500047253_2_512_512_\Osteo_Sarco_1.png","RPT")</f>
        <v>RPT</v>
      </c>
      <c r="G1653" s="3">
        <v>142</v>
      </c>
      <c r="H1653" s="3"/>
    </row>
    <row r="1654" spans="1:8" x14ac:dyDescent="0.3">
      <c r="A1654" s="2">
        <v>5686834</v>
      </c>
      <c r="B1654" s="2">
        <v>70</v>
      </c>
      <c r="C1654" s="2" t="s">
        <v>5</v>
      </c>
      <c r="D1654" s="2">
        <v>100</v>
      </c>
      <c r="E1654" s="2"/>
      <c r="F1654" s="4" t="str">
        <f>HYPERLINK("./Results/DLO\20180501_1.3.12.2.1107.5.1.4.65253.30000018052922105125000005100_3_512_512_\Osteo_Sarco_1.png","RPT")</f>
        <v>RPT</v>
      </c>
      <c r="G1654" s="3">
        <v>142</v>
      </c>
      <c r="H1654" s="3"/>
    </row>
    <row r="1655" spans="1:8" x14ac:dyDescent="0.3">
      <c r="A1655" s="2">
        <v>5688455</v>
      </c>
      <c r="B1655" s="2">
        <v>81</v>
      </c>
      <c r="C1655" s="2" t="s">
        <v>5</v>
      </c>
      <c r="D1655" s="2">
        <v>120</v>
      </c>
      <c r="E1655" s="2"/>
      <c r="F1655" s="4" t="str">
        <f>HYPERLINK("./Results/DLO\20180101_1.3.12.2.1107.5.1.4.54310.30000018010823111673400017630_9_512_512_\Osteo_Sarco_1.png","RPT")</f>
        <v>RPT</v>
      </c>
      <c r="G1655" s="3">
        <v>124</v>
      </c>
      <c r="H1655" s="3"/>
    </row>
    <row r="1656" spans="1:8" x14ac:dyDescent="0.3">
      <c r="A1656" s="2">
        <v>5688455</v>
      </c>
      <c r="B1656" s="2">
        <v>81</v>
      </c>
      <c r="C1656" s="2" t="s">
        <v>5</v>
      </c>
      <c r="D1656" s="2">
        <v>120</v>
      </c>
      <c r="E1656" s="2"/>
      <c r="F1656" s="4" t="str">
        <f>HYPERLINK("./Results/DLO\20180101_1.3.12.2.1107.5.1.4.54310.30000018010823111673400017357_7_512_512_\Osteo_Sarco_1.png","RPT")</f>
        <v>RPT</v>
      </c>
      <c r="G1656" s="3">
        <v>123</v>
      </c>
      <c r="H1656" s="3"/>
    </row>
    <row r="1657" spans="1:8" x14ac:dyDescent="0.3">
      <c r="A1657" s="2">
        <v>5688455</v>
      </c>
      <c r="B1657" s="2">
        <v>81</v>
      </c>
      <c r="C1657" s="2" t="s">
        <v>5</v>
      </c>
      <c r="D1657" s="2">
        <v>120</v>
      </c>
      <c r="E1657" s="2"/>
      <c r="F1657" s="4" t="str">
        <f>HYPERLINK("./Results/DLO\20180101_1.3.12.2.1107.5.1.4.54310.30000018010823111673400017049_5_512_512_\Osteo_Sarco_1.png","RPT")</f>
        <v>RPT</v>
      </c>
      <c r="G1657" s="3">
        <v>122</v>
      </c>
      <c r="H1657" s="3"/>
    </row>
    <row r="1658" spans="1:8" x14ac:dyDescent="0.3">
      <c r="A1658" s="2">
        <v>5688455</v>
      </c>
      <c r="B1658" s="2">
        <v>81</v>
      </c>
      <c r="C1658" s="2" t="s">
        <v>5</v>
      </c>
      <c r="D1658" s="2">
        <v>100</v>
      </c>
      <c r="E1658" s="2"/>
      <c r="F1658" s="4" t="str">
        <f>HYPERLINK("./Results/DLO\20180101_1.3.12.2.1107.5.1.4.54310.30000018010823111673400016973_4_512_512_\Osteo_Sarco_1.png","RPT")</f>
        <v>RPT</v>
      </c>
      <c r="G1658" s="3">
        <v>119</v>
      </c>
      <c r="H1658" s="3"/>
    </row>
    <row r="1659" spans="1:8" x14ac:dyDescent="0.3">
      <c r="A1659" s="2">
        <v>5688780</v>
      </c>
      <c r="B1659" s="2">
        <v>68</v>
      </c>
      <c r="C1659" s="2" t="s">
        <v>6</v>
      </c>
      <c r="D1659" s="2">
        <v>100</v>
      </c>
      <c r="E1659" s="2"/>
      <c r="F1659" s="4" t="str">
        <f>HYPERLINK("./Results/DLO\20180601_1.2.410.100011.172.16.64.21.6371156806915472033.2_2_512_512_\Osteo_Sarco_1.png","RPT")</f>
        <v>RPT</v>
      </c>
      <c r="G1659" s="3">
        <v>72</v>
      </c>
      <c r="H1659" s="3"/>
    </row>
    <row r="1660" spans="1:8" x14ac:dyDescent="0.3">
      <c r="A1660" s="2">
        <v>5688780</v>
      </c>
      <c r="B1660" s="2">
        <v>68</v>
      </c>
      <c r="C1660" s="2" t="s">
        <v>6</v>
      </c>
      <c r="D1660" s="2">
        <v>100</v>
      </c>
      <c r="E1660" s="2"/>
      <c r="F1660" s="4" t="str">
        <f>HYPERLINK("./Results/DLO\20180601_1.2.410.100011.172.16.64.21.6371156806915472033.1_1_512_512_\Osteo_Sarco_1.png","RPT")</f>
        <v>RPT</v>
      </c>
      <c r="G1660" s="3">
        <v>70</v>
      </c>
      <c r="H1660" s="3"/>
    </row>
    <row r="1661" spans="1:8" x14ac:dyDescent="0.3">
      <c r="A1661" s="2">
        <v>5688780</v>
      </c>
      <c r="B1661" s="2">
        <v>68</v>
      </c>
      <c r="C1661" s="2" t="s">
        <v>6</v>
      </c>
      <c r="D1661" s="2">
        <v>100</v>
      </c>
      <c r="E1661" s="2"/>
      <c r="F1661" s="4" t="str">
        <f>HYPERLINK("./Results/DLO\20180601_1.2.410.100011.172.16.64.21.6371156806915472033.3_3_512_512_\Osteo_Sarco_1.png","RPT")</f>
        <v>RPT</v>
      </c>
      <c r="G1661" s="3">
        <v>69</v>
      </c>
      <c r="H1661" s="3"/>
    </row>
    <row r="1662" spans="1:8" x14ac:dyDescent="0.3">
      <c r="A1662" s="2">
        <v>5689466</v>
      </c>
      <c r="B1662" s="2">
        <v>48</v>
      </c>
      <c r="C1662" s="2" t="s">
        <v>6</v>
      </c>
      <c r="D1662" s="2">
        <v>100</v>
      </c>
      <c r="E1662" s="2"/>
      <c r="F1662" s="4" t="str">
        <f>HYPERLINK("./Results/DLO\20190801_1.3.12.2.1107.5.1.4.54310.30000019082722430853100062963_2_512_512_\Osteo_Sarco_1.png","RPT")</f>
        <v>RPT</v>
      </c>
      <c r="G1662" s="3">
        <v>131</v>
      </c>
      <c r="H1662" s="3"/>
    </row>
    <row r="1663" spans="1:8" x14ac:dyDescent="0.3">
      <c r="A1663" s="2">
        <v>5690482</v>
      </c>
      <c r="B1663" s="2">
        <v>71</v>
      </c>
      <c r="C1663" s="2" t="s">
        <v>6</v>
      </c>
      <c r="D1663" s="2">
        <v>100</v>
      </c>
      <c r="E1663" s="2"/>
      <c r="F1663" s="4" t="str">
        <f>HYPERLINK("./Results/DLO\20181101_1.3.12.2.1107.5.1.4.54310.30000018110623281529600007328_2_512_512_\Osteo_Sarco_1.png","RPT")</f>
        <v>RPT</v>
      </c>
      <c r="G1663" s="3">
        <v>100</v>
      </c>
      <c r="H1663" s="3"/>
    </row>
    <row r="1664" spans="1:8" x14ac:dyDescent="0.3">
      <c r="A1664" s="2">
        <v>5697818</v>
      </c>
      <c r="B1664" s="2">
        <v>61</v>
      </c>
      <c r="C1664" s="2" t="s">
        <v>5</v>
      </c>
      <c r="D1664" s="2">
        <v>100</v>
      </c>
      <c r="E1664" s="2"/>
      <c r="F1664" s="4" t="str">
        <f>HYPERLINK("./Results/DLO\20181101_1.3.46.670589.33.1.63678992429305160800001.4692219219500057745_201_512_512_\Osteo_Sarco_1.png","RPT")</f>
        <v>RPT</v>
      </c>
      <c r="G1664" s="3">
        <v>144</v>
      </c>
      <c r="H1664" s="3"/>
    </row>
    <row r="1665" spans="1:8" x14ac:dyDescent="0.3">
      <c r="A1665" s="2">
        <v>5699761</v>
      </c>
      <c r="B1665" s="2">
        <v>61</v>
      </c>
      <c r="C1665" s="2" t="s">
        <v>6</v>
      </c>
      <c r="D1665" s="2">
        <v>140</v>
      </c>
      <c r="E1665" s="2"/>
      <c r="F1665" s="4" t="str">
        <f>HYPERLINK("./Results/DLO\20191001_1.2.840.113619.2.416.254515870718473684090116145643663131082_306_512_512_\Osteo_Sarco_1.png","RPT")</f>
        <v>RPT</v>
      </c>
      <c r="G1665" s="3">
        <v>110</v>
      </c>
      <c r="H1665" s="3"/>
    </row>
    <row r="1666" spans="1:8" x14ac:dyDescent="0.3">
      <c r="A1666" s="2">
        <v>5699761</v>
      </c>
      <c r="B1666" s="2">
        <v>61</v>
      </c>
      <c r="C1666" s="2" t="s">
        <v>6</v>
      </c>
      <c r="D1666" s="2">
        <v>140</v>
      </c>
      <c r="E1666" s="2"/>
      <c r="F1666" s="4" t="str">
        <f>HYPERLINK("./Results/DLO\20191001_1.2.840.113619.2.416.244670987327222858072381610066832574241_303_512_512_\Osteo_Sarco_1.png","RPT")</f>
        <v>RPT</v>
      </c>
      <c r="G1666" s="3">
        <v>103</v>
      </c>
      <c r="H1666" s="3"/>
    </row>
    <row r="1667" spans="1:8" x14ac:dyDescent="0.3">
      <c r="A1667" s="2">
        <v>5699761</v>
      </c>
      <c r="B1667" s="2">
        <v>61</v>
      </c>
      <c r="C1667" s="2" t="s">
        <v>6</v>
      </c>
      <c r="D1667" s="2">
        <v>140</v>
      </c>
      <c r="E1667" s="2"/>
      <c r="F1667" s="4" t="str">
        <f>HYPERLINK("./Results/DLO\20191001_1.2.840.113619.2.416.304189703335184048390055530264940055184_301_512_512_\Osteo_Sarco_1.png","RPT")</f>
        <v>RPT</v>
      </c>
      <c r="G1667" s="3">
        <v>102</v>
      </c>
      <c r="H1667" s="3"/>
    </row>
    <row r="1668" spans="1:8" x14ac:dyDescent="0.3">
      <c r="A1668" s="2">
        <v>5699761</v>
      </c>
      <c r="B1668" s="2">
        <v>61</v>
      </c>
      <c r="C1668" s="2" t="s">
        <v>6</v>
      </c>
      <c r="D1668" s="2">
        <v>140</v>
      </c>
      <c r="E1668" s="2"/>
      <c r="F1668" s="4" t="str">
        <f>HYPERLINK("./Results/DLO\20191001_1.2.840.113619.2.416.127156848292842970315507813448098291274_2_512_512_\Osteo_Sarco_1.png","RPT")</f>
        <v>RPT</v>
      </c>
      <c r="G1668" s="3">
        <v>101</v>
      </c>
      <c r="H1668" s="3"/>
    </row>
    <row r="1669" spans="1:8" x14ac:dyDescent="0.3">
      <c r="A1669" s="2">
        <v>5700228</v>
      </c>
      <c r="B1669" s="2">
        <v>62</v>
      </c>
      <c r="C1669" s="2" t="s">
        <v>6</v>
      </c>
      <c r="D1669" s="2">
        <v>100</v>
      </c>
      <c r="E1669" s="2"/>
      <c r="F1669" s="4" t="str">
        <f>HYPERLINK("./Results/DLO\20180401_1.3.12.2.1107.5.1.4.54310.30000018041123090860900044709_2_512_512_\Osteo_Sarco_1.png","RPT")</f>
        <v>RPT</v>
      </c>
      <c r="G1669" s="3">
        <v>91</v>
      </c>
      <c r="H1669" s="3"/>
    </row>
    <row r="1670" spans="1:8" x14ac:dyDescent="0.3">
      <c r="A1670" s="2">
        <v>5702464</v>
      </c>
      <c r="B1670" s="2">
        <v>53</v>
      </c>
      <c r="C1670" s="2" t="s">
        <v>5</v>
      </c>
      <c r="D1670" s="2">
        <v>100</v>
      </c>
      <c r="E1670" s="2"/>
      <c r="F1670" s="4" t="str">
        <f>HYPERLINK("./Results/DLO\20190501_1.3.46.670589.33.1.63694462855767739300001.4759285879944046505_601_512_512_\Osteo_Sarco_1.png","RPT")</f>
        <v>RPT</v>
      </c>
      <c r="G1670" s="3">
        <v>137</v>
      </c>
      <c r="H1670" s="3"/>
    </row>
    <row r="1671" spans="1:8" x14ac:dyDescent="0.3">
      <c r="A1671" s="2">
        <v>5703569</v>
      </c>
      <c r="B1671" s="2">
        <v>66</v>
      </c>
      <c r="C1671" s="2" t="s">
        <v>6</v>
      </c>
      <c r="D1671" s="2">
        <v>100</v>
      </c>
      <c r="E1671" s="2"/>
      <c r="F1671" s="4" t="str">
        <f>HYPERLINK("./Results/DLO\20190101_1.2.840.113619.2.311.226382789470519353840476473261389261910_304_512_512_\Osteo_Sarco_1.png","RPT")</f>
        <v>RPT</v>
      </c>
      <c r="G1671" s="3">
        <v>82</v>
      </c>
      <c r="H1671" s="3"/>
    </row>
    <row r="1672" spans="1:8" x14ac:dyDescent="0.3">
      <c r="A1672" s="2">
        <v>5705372</v>
      </c>
      <c r="B1672" s="2">
        <v>67</v>
      </c>
      <c r="C1672" s="2" t="s">
        <v>6</v>
      </c>
      <c r="D1672" s="2">
        <v>100</v>
      </c>
      <c r="E1672" s="2"/>
      <c r="F1672" s="4" t="str">
        <f>HYPERLINK("./Results/DLO\20180901_1.3.12.2.1107.5.1.4.65253.30000018092821044478800047266_3_512_512_\Osteo_Sarco_1.png","RPT")</f>
        <v>RPT</v>
      </c>
      <c r="G1672" s="3">
        <v>98</v>
      </c>
      <c r="H1672" s="3"/>
    </row>
    <row r="1673" spans="1:8" x14ac:dyDescent="0.3">
      <c r="A1673" s="2">
        <v>5705372</v>
      </c>
      <c r="B1673" s="2">
        <v>67</v>
      </c>
      <c r="C1673" s="2" t="s">
        <v>6</v>
      </c>
      <c r="D1673" s="2">
        <v>100</v>
      </c>
      <c r="E1673" s="2"/>
      <c r="F1673" s="4" t="str">
        <f>HYPERLINK("./Results/DLO\20180901_1.3.12.2.1107.5.1.4.65253.30000018092821044478800047126_2_512_512_\Osteo_Sarco_1.png","RPT")</f>
        <v>RPT</v>
      </c>
      <c r="G1673" s="3">
        <v>95</v>
      </c>
      <c r="H1673" s="3"/>
    </row>
    <row r="1674" spans="1:8" x14ac:dyDescent="0.3">
      <c r="A1674" s="2">
        <v>5705745</v>
      </c>
      <c r="B1674" s="2">
        <v>66</v>
      </c>
      <c r="C1674" s="2" t="s">
        <v>6</v>
      </c>
      <c r="D1674" s="2">
        <v>100</v>
      </c>
      <c r="E1674" s="2"/>
      <c r="F1674" s="4" t="str">
        <f>HYPERLINK("./Results/DLO\20180401_1.3.12.2.1107.5.1.4.54310.30000018042323110564000005024_2_512_512_\Osteo_Sarco_1.png","RPT")</f>
        <v>RPT</v>
      </c>
      <c r="G1674" s="3">
        <v>94</v>
      </c>
      <c r="H1674" s="3"/>
    </row>
    <row r="1675" spans="1:8" x14ac:dyDescent="0.3">
      <c r="A1675" s="2">
        <v>5706950</v>
      </c>
      <c r="B1675" s="2">
        <v>57</v>
      </c>
      <c r="C1675" s="2" t="s">
        <v>5</v>
      </c>
      <c r="D1675" s="2">
        <v>100</v>
      </c>
      <c r="E1675" s="2"/>
      <c r="F1675" s="4" t="str">
        <f>HYPERLINK("./Results/DLO\20181001_1.3.46.670589.33.1.63676486925806293700001.4614842550719194004_201_512_512_\Osteo_Sarco_1.png","RPT")</f>
        <v>RPT</v>
      </c>
      <c r="G1675" s="3">
        <v>149</v>
      </c>
      <c r="H1675" s="3"/>
    </row>
    <row r="1676" spans="1:8" x14ac:dyDescent="0.3">
      <c r="A1676" s="2">
        <v>5711938</v>
      </c>
      <c r="B1676" s="2">
        <v>84</v>
      </c>
      <c r="C1676" s="2" t="s">
        <v>6</v>
      </c>
      <c r="D1676" s="2">
        <v>100</v>
      </c>
      <c r="E1676" s="2"/>
      <c r="F1676" s="4" t="str">
        <f>HYPERLINK("./Results/DLO\20190101_1.3.12.2.1107.5.1.4.65253.30000019012022133518900003723_3_512_512_\Osteo_Sarco_1.png","RPT")</f>
        <v>RPT</v>
      </c>
      <c r="G1676" s="3">
        <v>111</v>
      </c>
      <c r="H1676" s="3"/>
    </row>
    <row r="1677" spans="1:8" x14ac:dyDescent="0.3">
      <c r="A1677" s="2">
        <v>5711938</v>
      </c>
      <c r="B1677" s="2">
        <v>84</v>
      </c>
      <c r="C1677" s="2" t="s">
        <v>6</v>
      </c>
      <c r="D1677" s="2">
        <v>100</v>
      </c>
      <c r="E1677" s="2"/>
      <c r="F1677" s="4" t="str">
        <f>HYPERLINK("./Results/DLO\20190101_1.3.12.2.1107.5.1.4.65253.30000019012019405677600069461_2_512_512_\Osteo_Sarco_1.png","RPT")</f>
        <v>RPT</v>
      </c>
      <c r="G1677" s="3">
        <v>102</v>
      </c>
      <c r="H1677" s="3"/>
    </row>
    <row r="1678" spans="1:8" x14ac:dyDescent="0.3">
      <c r="A1678" s="2">
        <v>5711938</v>
      </c>
      <c r="B1678" s="2">
        <v>84</v>
      </c>
      <c r="C1678" s="2" t="s">
        <v>6</v>
      </c>
      <c r="D1678" s="2">
        <v>100</v>
      </c>
      <c r="E1678" s="2"/>
      <c r="F1678" s="4" t="str">
        <f>HYPERLINK("./Results/DLO\20180701_1.3.12.2.1107.5.1.4.65253.30000018072119501879800043113_2_512_512_\Osteo_Sarco_1.png","RPT")</f>
        <v>RPT</v>
      </c>
      <c r="G1678" s="3">
        <v>97</v>
      </c>
      <c r="H1678" s="3"/>
    </row>
    <row r="1679" spans="1:8" x14ac:dyDescent="0.3">
      <c r="A1679" s="2">
        <v>5714328</v>
      </c>
      <c r="B1679" s="2">
        <v>82</v>
      </c>
      <c r="C1679" s="2" t="s">
        <v>5</v>
      </c>
      <c r="D1679" s="2">
        <v>100</v>
      </c>
      <c r="E1679" s="2"/>
      <c r="F1679" s="4" t="str">
        <f>HYPERLINK("./Results/DLO\20191201_1.3.12.2.1107.5.1.4.65253.30000019121021080330100095921_3_512_512_\Osteo_Sarco_1.png","RPT")</f>
        <v>RPT</v>
      </c>
      <c r="G1679" s="3">
        <v>146</v>
      </c>
      <c r="H1679" s="3"/>
    </row>
    <row r="1680" spans="1:8" x14ac:dyDescent="0.3">
      <c r="A1680" s="2">
        <v>5714328</v>
      </c>
      <c r="B1680" s="2">
        <v>82</v>
      </c>
      <c r="C1680" s="2" t="s">
        <v>5</v>
      </c>
      <c r="D1680" s="2">
        <v>100</v>
      </c>
      <c r="E1680" s="2"/>
      <c r="F1680" s="4" t="str">
        <f>HYPERLINK("./Results/DLO\20191201_1.3.12.2.1107.5.1.4.65253.30000019121021080330100095587_2_512_512_\Osteo_Sarco_1.png","RPT")</f>
        <v>RPT</v>
      </c>
      <c r="G1680" s="3">
        <v>145</v>
      </c>
      <c r="H1680" s="3"/>
    </row>
    <row r="1681" spans="1:8" x14ac:dyDescent="0.3">
      <c r="A1681" s="2">
        <v>5716171</v>
      </c>
      <c r="B1681" s="2">
        <v>65</v>
      </c>
      <c r="C1681" s="2" t="s">
        <v>6</v>
      </c>
      <c r="D1681" s="2">
        <v>100</v>
      </c>
      <c r="E1681" s="2"/>
      <c r="F1681" s="4" t="str">
        <f>HYPERLINK("./Results/DLO\20191101_1.2.840.113619.2.416.189293471084043930114326237681208494035_310_512_512_\Osteo_Sarco_1.png","RPT")</f>
        <v>RPT</v>
      </c>
      <c r="G1681" s="3">
        <v>92</v>
      </c>
      <c r="H1681" s="3"/>
    </row>
    <row r="1682" spans="1:8" x14ac:dyDescent="0.3">
      <c r="A1682" s="2">
        <v>5722860</v>
      </c>
      <c r="B1682" s="2">
        <v>80</v>
      </c>
      <c r="C1682" s="2" t="s">
        <v>5</v>
      </c>
      <c r="D1682" s="2">
        <v>100</v>
      </c>
      <c r="E1682" s="2"/>
      <c r="F1682" s="4" t="str">
        <f>HYPERLINK("./Results/DLO\20180901_1.2.840.113619.2.311.279552252626696162645614990672460968796_304_512_512_\Osteo_Sarco_1.png","RPT")</f>
        <v>RPT</v>
      </c>
      <c r="G1682" s="3">
        <v>126</v>
      </c>
      <c r="H1682" s="3"/>
    </row>
    <row r="1683" spans="1:8" x14ac:dyDescent="0.3">
      <c r="A1683" s="2">
        <v>5723155</v>
      </c>
      <c r="B1683" s="2">
        <v>65</v>
      </c>
      <c r="C1683" s="2" t="s">
        <v>6</v>
      </c>
      <c r="D1683" s="2">
        <v>100</v>
      </c>
      <c r="E1683" s="2"/>
      <c r="F1683" s="4" t="str">
        <f>HYPERLINK("./Results/DLO\20180801_1.3.46.670589.33.1.63669490273916970400001.5364659182771128693_201_512_512_\Osteo_Sarco_1.png","RPT")</f>
        <v>RPT</v>
      </c>
      <c r="G1683" s="3">
        <v>107</v>
      </c>
      <c r="H1683" s="3"/>
    </row>
    <row r="1684" spans="1:8" x14ac:dyDescent="0.3">
      <c r="A1684" s="2">
        <v>5727873</v>
      </c>
      <c r="B1684" s="2">
        <v>74</v>
      </c>
      <c r="C1684" s="2" t="s">
        <v>5</v>
      </c>
      <c r="D1684" s="2">
        <v>100</v>
      </c>
      <c r="E1684" s="2"/>
      <c r="F1684" s="4" t="str">
        <f>HYPERLINK("./Results/DLO\20181101_1.3.12.2.1107.5.1.4.65253.30000018112119412174900008084_3_512_512_\Osteo_Sarco_1.png","RPT")</f>
        <v>RPT</v>
      </c>
      <c r="G1684" s="3">
        <v>142</v>
      </c>
      <c r="H1684" s="3"/>
    </row>
    <row r="1685" spans="1:8" x14ac:dyDescent="0.3">
      <c r="A1685" s="2">
        <v>5727873</v>
      </c>
      <c r="B1685" s="2">
        <v>74</v>
      </c>
      <c r="C1685" s="2" t="s">
        <v>5</v>
      </c>
      <c r="D1685" s="2">
        <v>100</v>
      </c>
      <c r="E1685" s="2"/>
      <c r="F1685" s="4" t="str">
        <f>HYPERLINK("./Results/DLO\20181101_1.3.12.2.1107.5.1.4.65253.30000018112119412174900007934_2_512_512_\Osteo_Sarco_1.png","RPT")</f>
        <v>RPT</v>
      </c>
      <c r="G1685" s="3">
        <v>138</v>
      </c>
      <c r="H1685" s="3"/>
    </row>
    <row r="1686" spans="1:8" x14ac:dyDescent="0.3">
      <c r="A1686" s="2">
        <v>5730942</v>
      </c>
      <c r="B1686" s="2">
        <v>66</v>
      </c>
      <c r="C1686" s="2" t="s">
        <v>5</v>
      </c>
      <c r="D1686" s="2">
        <v>100</v>
      </c>
      <c r="E1686" s="2"/>
      <c r="F1686" s="4" t="str">
        <f>HYPERLINK("./Results/DLO\20190101_1.2.840.113619.2.311.7990823656808726515366221352532719773_303_512_512_\Osteo_Sarco_1.png","RPT")</f>
        <v>RPT</v>
      </c>
      <c r="G1686" s="3">
        <v>124</v>
      </c>
      <c r="H1686" s="3"/>
    </row>
    <row r="1687" spans="1:8" x14ac:dyDescent="0.3">
      <c r="A1687" s="2">
        <v>5735661</v>
      </c>
      <c r="B1687" s="2">
        <v>52</v>
      </c>
      <c r="C1687" s="2" t="s">
        <v>6</v>
      </c>
      <c r="D1687" s="2">
        <v>100</v>
      </c>
      <c r="E1687" s="2"/>
      <c r="F1687" s="4" t="str">
        <f>HYPERLINK("./Results/DLO\20180701_1.3.46.670589.33.1.63666732051118482600001.5743793060019199338_201_512_512_\Osteo_Sarco_1.png","RPT")</f>
        <v>RPT</v>
      </c>
      <c r="G1687" s="3">
        <v>112</v>
      </c>
      <c r="H1687" s="3"/>
    </row>
    <row r="1688" spans="1:8" x14ac:dyDescent="0.3">
      <c r="A1688" s="2">
        <v>5739830</v>
      </c>
      <c r="B1688" s="2">
        <v>38</v>
      </c>
      <c r="C1688" s="2" t="s">
        <v>6</v>
      </c>
      <c r="D1688" s="2">
        <v>100</v>
      </c>
      <c r="E1688" s="2"/>
      <c r="F1688" s="4" t="str">
        <f>HYPERLINK("./Results/DLO\20181101_1.3.12.2.1107.5.1.4.54310.30000018110623281529600009752_2_512_512_\Osteo_Sarco_1.png","RPT")</f>
        <v>RPT</v>
      </c>
      <c r="G1688" s="3">
        <v>84</v>
      </c>
      <c r="H1688" s="3"/>
    </row>
    <row r="1689" spans="1:8" x14ac:dyDescent="0.3">
      <c r="A1689" s="2">
        <v>5742672</v>
      </c>
      <c r="B1689" s="2">
        <v>64</v>
      </c>
      <c r="C1689" s="2" t="s">
        <v>6</v>
      </c>
      <c r="D1689" s="2">
        <v>100</v>
      </c>
      <c r="E1689" s="2"/>
      <c r="F1689" s="4" t="str">
        <f>HYPERLINK("./Results/DLO\20190801_1.2.840.113619.2.416.20484738338683021397500534413619422496_312_512_512_\Osteo_Sarco_1.png","RPT")</f>
        <v>RPT</v>
      </c>
      <c r="G1689" s="3">
        <v>116</v>
      </c>
      <c r="H1689" s="3"/>
    </row>
    <row r="1690" spans="1:8" x14ac:dyDescent="0.3">
      <c r="A1690" s="2">
        <v>5744656</v>
      </c>
      <c r="B1690" s="2">
        <v>57</v>
      </c>
      <c r="C1690" s="2" t="s">
        <v>5</v>
      </c>
      <c r="D1690" s="2">
        <v>100</v>
      </c>
      <c r="E1690" s="2"/>
      <c r="F1690" s="4" t="str">
        <f>HYPERLINK("./Results/DLO\20190501_1.3.12.2.1107.5.1.4.54310.30000019052621325350000024198_6_512_512_\Osteo_Sarco_1.png","RPT")</f>
        <v>RPT</v>
      </c>
      <c r="G1690" s="3">
        <v>141</v>
      </c>
      <c r="H1690" s="3"/>
    </row>
    <row r="1691" spans="1:8" x14ac:dyDescent="0.3">
      <c r="A1691" s="2">
        <v>5746425</v>
      </c>
      <c r="B1691" s="2">
        <v>70</v>
      </c>
      <c r="C1691" s="2" t="s">
        <v>6</v>
      </c>
      <c r="D1691" s="2">
        <v>100</v>
      </c>
      <c r="E1691" s="2"/>
      <c r="F1691" s="4" t="str">
        <f>HYPERLINK("./Results/DLO\20190201_1.2.840.113619.2.311.91670896944153389999196651187416161183_304_512_512_\Osteo_Sarco_1.png","RPT")</f>
        <v>RPT</v>
      </c>
      <c r="G1691" s="3">
        <v>110</v>
      </c>
      <c r="H1691" s="3"/>
    </row>
    <row r="1692" spans="1:8" x14ac:dyDescent="0.3">
      <c r="A1692" s="2">
        <v>5746540</v>
      </c>
      <c r="B1692" s="2">
        <v>69</v>
      </c>
      <c r="C1692" s="2" t="s">
        <v>5</v>
      </c>
      <c r="D1692" s="2">
        <v>100</v>
      </c>
      <c r="E1692" s="2"/>
      <c r="F1692" s="4" t="str">
        <f>HYPERLINK("./Results/DLO\20180701_1.3.12.2.1107.5.1.4.54310.30000018071523080648400005444_9_512_512_\Osteo_Sarco_1.png","RPT")</f>
        <v>RPT</v>
      </c>
      <c r="G1692" s="3">
        <v>146</v>
      </c>
      <c r="H1692" s="3"/>
    </row>
    <row r="1693" spans="1:8" x14ac:dyDescent="0.3">
      <c r="A1693" s="2">
        <v>5746540</v>
      </c>
      <c r="B1693" s="2">
        <v>69</v>
      </c>
      <c r="C1693" s="2" t="s">
        <v>5</v>
      </c>
      <c r="D1693" s="2">
        <v>100</v>
      </c>
      <c r="E1693" s="2"/>
      <c r="F1693" s="4" t="str">
        <f>HYPERLINK("./Results/DLO\20180701_1.3.12.2.1107.5.1.4.54310.30000018071523080648400004883_5_512_512_\Osteo_Sarco_1.png","RPT")</f>
        <v>RPT</v>
      </c>
      <c r="G1693" s="3">
        <v>144</v>
      </c>
      <c r="H1693" s="3"/>
    </row>
    <row r="1694" spans="1:8" x14ac:dyDescent="0.3">
      <c r="A1694" s="2">
        <v>5746540</v>
      </c>
      <c r="B1694" s="2">
        <v>69</v>
      </c>
      <c r="C1694" s="2" t="s">
        <v>5</v>
      </c>
      <c r="D1694" s="2">
        <v>100</v>
      </c>
      <c r="E1694" s="2"/>
      <c r="F1694" s="4" t="str">
        <f>HYPERLINK("./Results/DLO\20180701_1.3.12.2.1107.5.1.4.54310.30000018071523080648400005185_7_512_512_\Osteo_Sarco_1.png","RPT")</f>
        <v>RPT</v>
      </c>
      <c r="G1694" s="3">
        <v>143</v>
      </c>
      <c r="H1694" s="3"/>
    </row>
    <row r="1695" spans="1:8" x14ac:dyDescent="0.3">
      <c r="A1695" s="2">
        <v>5746540</v>
      </c>
      <c r="B1695" s="2">
        <v>69</v>
      </c>
      <c r="C1695" s="2" t="s">
        <v>5</v>
      </c>
      <c r="D1695" s="2">
        <v>100</v>
      </c>
      <c r="E1695" s="2"/>
      <c r="F1695" s="4" t="str">
        <f>HYPERLINK("./Results/DLO\20180701_1.3.12.2.1107.5.1.4.54310.30000018071523080648400004807_3_512_512_\Osteo_Sarco_1.png","RPT")</f>
        <v>RPT</v>
      </c>
      <c r="G1695" s="3">
        <v>142</v>
      </c>
      <c r="H1695" s="3"/>
    </row>
    <row r="1696" spans="1:8" x14ac:dyDescent="0.3">
      <c r="A1696" s="2">
        <v>5752927</v>
      </c>
      <c r="B1696" s="2">
        <v>57</v>
      </c>
      <c r="C1696" s="2" t="s">
        <v>6</v>
      </c>
      <c r="D1696" s="2">
        <v>100</v>
      </c>
      <c r="E1696" s="2"/>
      <c r="F1696" s="4" t="str">
        <f>HYPERLINK("./Results/DLO\20180401_1.3.12.2.1107.5.1.4.54310.30000018042423043556200008931_2_512_512_\Osteo_Sarco_1.png","RPT")</f>
        <v>RPT</v>
      </c>
      <c r="G1696" s="3">
        <v>86</v>
      </c>
      <c r="H1696" s="3"/>
    </row>
    <row r="1697" spans="1:8" x14ac:dyDescent="0.3">
      <c r="A1697" s="2">
        <v>5754546</v>
      </c>
      <c r="B1697" s="2">
        <v>66</v>
      </c>
      <c r="C1697" s="2" t="s">
        <v>6</v>
      </c>
      <c r="D1697" s="2">
        <v>100</v>
      </c>
      <c r="E1697" s="2"/>
      <c r="F1697" s="4" t="str">
        <f>HYPERLINK("./Results/DLO\20181201_1.2.840.113619.2.311.101949840581752160689929547188242178732_304_512_512_\Osteo_Sarco_1.png","RPT")</f>
        <v>RPT</v>
      </c>
      <c r="G1697" s="3">
        <v>112</v>
      </c>
      <c r="H1697" s="3"/>
    </row>
    <row r="1698" spans="1:8" x14ac:dyDescent="0.3">
      <c r="A1698" s="2">
        <v>5754546</v>
      </c>
      <c r="B1698" s="2">
        <v>66</v>
      </c>
      <c r="C1698" s="2" t="s">
        <v>6</v>
      </c>
      <c r="D1698" s="2">
        <v>100</v>
      </c>
      <c r="E1698" s="2"/>
      <c r="F1698" s="4" t="str">
        <f>HYPERLINK("./Results/DLO\20181201_1.2.840.113619.2.311.306356239874016523689850994089172424417_2_512_512_\Osteo_Sarco_1.png","RPT")</f>
        <v>RPT</v>
      </c>
      <c r="G1698" s="3">
        <v>107</v>
      </c>
      <c r="H1698" s="3"/>
    </row>
    <row r="1699" spans="1:8" x14ac:dyDescent="0.3">
      <c r="A1699" s="2">
        <v>5755469</v>
      </c>
      <c r="B1699" s="2">
        <v>57</v>
      </c>
      <c r="C1699" s="2" t="s">
        <v>6</v>
      </c>
      <c r="D1699" s="2">
        <v>140</v>
      </c>
      <c r="E1699" s="2"/>
      <c r="F1699" s="4" t="str">
        <f>HYPERLINK("./Results/DLO\20190701_1.2.840.113619.2.416.39213497842282787269197026000984655235_302_512_512_\Osteo_Sarco_1.png","RPT")</f>
        <v>RPT</v>
      </c>
      <c r="G1699" s="3">
        <v>139</v>
      </c>
      <c r="H1699" s="3"/>
    </row>
    <row r="1700" spans="1:8" x14ac:dyDescent="0.3">
      <c r="A1700" s="2">
        <v>5755469</v>
      </c>
      <c r="B1700" s="2">
        <v>57</v>
      </c>
      <c r="C1700" s="2" t="s">
        <v>6</v>
      </c>
      <c r="D1700" s="2">
        <v>120</v>
      </c>
      <c r="E1700" s="2"/>
      <c r="F1700" s="4" t="str">
        <f>HYPERLINK("./Results/DLO\20190701_1.2.840.113619.2.416.35481025023227095676231146936988602217_2_512_512_\Osteo_Sarco_1.png","RPT")</f>
        <v>RPT</v>
      </c>
      <c r="G1700" s="3">
        <v>138</v>
      </c>
      <c r="H1700" s="3"/>
    </row>
    <row r="1701" spans="1:8" x14ac:dyDescent="0.3">
      <c r="A1701" s="2">
        <v>5758067</v>
      </c>
      <c r="B1701" s="2">
        <v>69</v>
      </c>
      <c r="C1701" s="2" t="s">
        <v>5</v>
      </c>
      <c r="D1701" s="2">
        <v>100</v>
      </c>
      <c r="E1701" s="2"/>
      <c r="F1701" s="4" t="str">
        <f>HYPERLINK("./Results/DLO\20190601_1.2.840.113619.2.416.19099562276260990481820919457543127296_302_512_512_\Osteo_Sarco_1.png","RPT")</f>
        <v>RPT</v>
      </c>
      <c r="G1701" s="3">
        <v>195</v>
      </c>
      <c r="H1701" s="3"/>
    </row>
    <row r="1702" spans="1:8" x14ac:dyDescent="0.3">
      <c r="A1702" s="2">
        <v>5758067</v>
      </c>
      <c r="B1702" s="2">
        <v>69</v>
      </c>
      <c r="C1702" s="2" t="s">
        <v>5</v>
      </c>
      <c r="D1702" s="2">
        <v>100</v>
      </c>
      <c r="E1702" s="2"/>
      <c r="F1702" s="4" t="str">
        <f>HYPERLINK("./Results/DLO\20190601_1.2.840.113619.2.416.264738058683707158733281621632960057860_305_512_512_\Osteo_Sarco_1.png","RPT")</f>
        <v>RPT</v>
      </c>
      <c r="G1702" s="3">
        <v>179</v>
      </c>
      <c r="H1702" s="3"/>
    </row>
    <row r="1703" spans="1:8" x14ac:dyDescent="0.3">
      <c r="A1703" s="2">
        <v>5760710</v>
      </c>
      <c r="B1703" s="2">
        <v>54</v>
      </c>
      <c r="C1703" s="2" t="s">
        <v>6</v>
      </c>
      <c r="D1703" s="2">
        <v>140</v>
      </c>
      <c r="E1703" s="2"/>
      <c r="F1703" s="4" t="str">
        <f>HYPERLINK("./Results/DLO\20190501_1.2.840.113619.2.416.193634687188224312049112778516739563999_303_512_512_\Osteo_Sarco_1.png","RPT")</f>
        <v>RPT</v>
      </c>
      <c r="G1703" s="3">
        <v>116</v>
      </c>
      <c r="H1703" s="3"/>
    </row>
    <row r="1704" spans="1:8" x14ac:dyDescent="0.3">
      <c r="A1704" s="2">
        <v>5760710</v>
      </c>
      <c r="B1704" s="2">
        <v>54</v>
      </c>
      <c r="C1704" s="2" t="s">
        <v>6</v>
      </c>
      <c r="D1704" s="2">
        <v>140</v>
      </c>
      <c r="E1704" s="2"/>
      <c r="F1704" s="4" t="str">
        <f>HYPERLINK("./Results/DLO\20190501_1.2.840.113619.2.416.163837646121730567925380833850588517723_302_512_512_\Osteo_Sarco_1.png","RPT")</f>
        <v>RPT</v>
      </c>
      <c r="G1704" s="3">
        <v>114</v>
      </c>
      <c r="H1704" s="3"/>
    </row>
    <row r="1705" spans="1:8" x14ac:dyDescent="0.3">
      <c r="A1705" s="2">
        <v>5764905</v>
      </c>
      <c r="B1705" s="2">
        <v>58</v>
      </c>
      <c r="C1705" s="2" t="s">
        <v>5</v>
      </c>
      <c r="D1705" s="2">
        <v>100</v>
      </c>
      <c r="E1705" s="2"/>
      <c r="F1705" s="4" t="str">
        <f>HYPERLINK("./Results/DLO\20180601_1.3.12.2.1107.5.1.4.54310.30000018060723034957800030770_2_512_512_\Osteo_Sarco_1.png","RPT")</f>
        <v>RPT</v>
      </c>
      <c r="G1705" s="3">
        <v>146</v>
      </c>
      <c r="H1705" s="3"/>
    </row>
    <row r="1706" spans="1:8" x14ac:dyDescent="0.3">
      <c r="A1706" s="2">
        <v>5766144</v>
      </c>
      <c r="B1706" s="2">
        <v>75</v>
      </c>
      <c r="C1706" s="2" t="s">
        <v>6</v>
      </c>
      <c r="D1706" s="2">
        <v>100</v>
      </c>
      <c r="E1706" s="2"/>
      <c r="F1706" s="4" t="str">
        <f>HYPERLINK("./Results/DLO\20180301_1.2.840.113619.2.94.485650834948.2.8703275.18794459.1_2_512_512_\Osteo_Sarco_1.png","RPT")</f>
        <v>RPT</v>
      </c>
      <c r="G1706" s="3">
        <v>93</v>
      </c>
      <c r="H1706" s="3"/>
    </row>
    <row r="1707" spans="1:8" x14ac:dyDescent="0.3">
      <c r="A1707" s="2">
        <v>5768375</v>
      </c>
      <c r="B1707" s="2">
        <v>48</v>
      </c>
      <c r="C1707" s="2" t="s">
        <v>6</v>
      </c>
      <c r="D1707" s="2">
        <v>100</v>
      </c>
      <c r="E1707" s="2"/>
      <c r="F1707" s="4" t="str">
        <f>HYPERLINK("./Results/DLO\20181101_1.2.840.113619.2.94.485650834948.2.9203759.20026785.1_2_512_512_\Osteo_Sarco_1.png","RPT")</f>
        <v>RPT</v>
      </c>
      <c r="G1707" s="3">
        <v>120</v>
      </c>
      <c r="H1707" s="3"/>
    </row>
    <row r="1708" spans="1:8" x14ac:dyDescent="0.3">
      <c r="A1708" s="2">
        <v>5769899</v>
      </c>
      <c r="B1708" s="2">
        <v>69</v>
      </c>
      <c r="C1708" s="2" t="s">
        <v>5</v>
      </c>
      <c r="D1708" s="2">
        <v>120</v>
      </c>
      <c r="E1708" s="2"/>
      <c r="F1708" s="4" t="str">
        <f>HYPERLINK("./Results/DLO\20190301_1.2.410.100011.172.24.16.217.6368851161971924031.4_4_512_512_\Osteo_Sarco_1.png","RPT")</f>
        <v>RPT</v>
      </c>
      <c r="G1708" s="3">
        <v>152</v>
      </c>
      <c r="H1708" s="3"/>
    </row>
    <row r="1709" spans="1:8" x14ac:dyDescent="0.3">
      <c r="A1709" s="2">
        <v>5769899</v>
      </c>
      <c r="B1709" s="2">
        <v>69</v>
      </c>
      <c r="C1709" s="2" t="s">
        <v>5</v>
      </c>
      <c r="D1709" s="2">
        <v>120</v>
      </c>
      <c r="E1709" s="2"/>
      <c r="F1709" s="4" t="str">
        <f>HYPERLINK("./Results/DLO\20190301_1.2.410.100011.172.24.16.217.6368851161971924031.2_2_512_512_\Osteo_Sarco_1.png","RPT")</f>
        <v>RPT</v>
      </c>
      <c r="G1709" s="3">
        <v>149</v>
      </c>
      <c r="H1709" s="3"/>
    </row>
    <row r="1710" spans="1:8" x14ac:dyDescent="0.3">
      <c r="A1710" s="2">
        <v>5772707</v>
      </c>
      <c r="B1710" s="2">
        <v>67</v>
      </c>
      <c r="C1710" s="2" t="s">
        <v>6</v>
      </c>
      <c r="D1710" s="2">
        <v>100</v>
      </c>
      <c r="E1710" s="2"/>
      <c r="F1710" s="4" t="str">
        <f>HYPERLINK("./Results/DLO\20191001_1.3.12.2.1107.5.1.4.54310.30000019100721194125000024518_7_512_512_\Osteo_Sarco_1.png","RPT")</f>
        <v>RPT</v>
      </c>
      <c r="G1710" s="3">
        <v>100</v>
      </c>
      <c r="H1710" s="3"/>
    </row>
    <row r="1711" spans="1:8" x14ac:dyDescent="0.3">
      <c r="A1711" s="2">
        <v>5775612</v>
      </c>
      <c r="B1711" s="2">
        <v>52</v>
      </c>
      <c r="C1711" s="2" t="s">
        <v>6</v>
      </c>
      <c r="D1711" s="2">
        <v>100</v>
      </c>
      <c r="E1711" s="2"/>
      <c r="F1711" s="4" t="str">
        <f>HYPERLINK("./Results/DLO\20181001_1.2.840.113619.2.416.292812070256175310756078924615645454170_303_512_512_\Osteo_Sarco_1.png","RPT")</f>
        <v>RPT</v>
      </c>
      <c r="G1711" s="3">
        <v>95</v>
      </c>
      <c r="H1711" s="3"/>
    </row>
    <row r="1712" spans="1:8" x14ac:dyDescent="0.3">
      <c r="A1712" s="2">
        <v>5781715</v>
      </c>
      <c r="B1712" s="2">
        <v>69</v>
      </c>
      <c r="C1712" s="2" t="s">
        <v>6</v>
      </c>
      <c r="D1712" s="2">
        <v>100</v>
      </c>
      <c r="E1712" s="2"/>
      <c r="F1712" s="4" t="str">
        <f>HYPERLINK("./Results/DLO\20180301_1.2.840.113619.2.311.124905906165194135210597018755892040295_305_512_512_\Osteo_Sarco_1.png","RPT")</f>
        <v>RPT</v>
      </c>
      <c r="G1712" s="3">
        <v>105</v>
      </c>
      <c r="H1712" s="3"/>
    </row>
    <row r="1713" spans="1:8" x14ac:dyDescent="0.3">
      <c r="A1713" s="2">
        <v>5791732</v>
      </c>
      <c r="B1713" s="2">
        <v>47</v>
      </c>
      <c r="C1713" s="2" t="s">
        <v>5</v>
      </c>
      <c r="D1713" s="2">
        <v>140</v>
      </c>
      <c r="E1713" s="2"/>
      <c r="F1713" s="4" t="str">
        <f>HYPERLINK("./Results/DLO\20180301_1.2.840.113619.2.416.103304428623487967299063460176725385813_2_512_512_\Osteo_Sarco_1.png","RPT")</f>
        <v>RPT</v>
      </c>
      <c r="G1713" s="3">
        <v>167</v>
      </c>
      <c r="H1713" s="3"/>
    </row>
    <row r="1714" spans="1:8" x14ac:dyDescent="0.3">
      <c r="A1714" s="2">
        <v>5791732</v>
      </c>
      <c r="B1714" s="2">
        <v>47</v>
      </c>
      <c r="C1714" s="2" t="s">
        <v>5</v>
      </c>
      <c r="D1714" s="2">
        <v>140</v>
      </c>
      <c r="E1714" s="2"/>
      <c r="F1714" s="4" t="str">
        <f>HYPERLINK("./Results/DLO\20180301_1.2.840.113619.2.416.132923059831469009419789187318931443227_303_512_512_\Osteo_Sarco_1.png","RPT")</f>
        <v>RPT</v>
      </c>
      <c r="G1714" s="3">
        <v>167</v>
      </c>
      <c r="H1714" s="3"/>
    </row>
    <row r="1715" spans="1:8" x14ac:dyDescent="0.3">
      <c r="A1715" s="2">
        <v>5792322</v>
      </c>
      <c r="B1715" s="2">
        <v>60</v>
      </c>
      <c r="C1715" s="2" t="s">
        <v>6</v>
      </c>
      <c r="D1715" s="2">
        <v>100</v>
      </c>
      <c r="E1715" s="2"/>
      <c r="F1715" s="4" t="str">
        <f>HYPERLINK("./Results/DLO\20181101_1.2.840.113619.2.94.485650834948.2.9220351.20068281.1_2_512_512_\Osteo_Sarco_1.png","RPT")</f>
        <v>RPT</v>
      </c>
      <c r="G1715" s="3">
        <v>94</v>
      </c>
      <c r="H1715" s="3"/>
    </row>
    <row r="1716" spans="1:8" x14ac:dyDescent="0.3">
      <c r="A1716" s="2">
        <v>5792651</v>
      </c>
      <c r="B1716" s="2">
        <v>55</v>
      </c>
      <c r="C1716" s="2" t="s">
        <v>5</v>
      </c>
      <c r="D1716" s="2">
        <v>100</v>
      </c>
      <c r="E1716" s="2"/>
      <c r="F1716" s="4" t="str">
        <f>HYPERLINK("./Results/DLO\20180601_1.3.46.670589.33.1.63665776419776169400001.4668358974717394725_201_512_512_\Osteo_Sarco_1.png","RPT")</f>
        <v>RPT</v>
      </c>
      <c r="G1716" s="3">
        <v>153</v>
      </c>
      <c r="H1716" s="3"/>
    </row>
    <row r="1717" spans="1:8" x14ac:dyDescent="0.3">
      <c r="A1717" s="2">
        <v>5793211</v>
      </c>
      <c r="B1717" s="2">
        <v>58</v>
      </c>
      <c r="C1717" s="2" t="s">
        <v>6</v>
      </c>
      <c r="D1717" s="2">
        <v>100</v>
      </c>
      <c r="E1717" s="2"/>
      <c r="F1717" s="4" t="str">
        <f>HYPERLINK("./Results/DLO\20191101_1.3.12.2.1107.5.1.4.54310.30000019110321144820300082917_7_512_512_\Osteo_Sarco_1.png","RPT")</f>
        <v>RPT</v>
      </c>
      <c r="G1717" s="3">
        <v>112</v>
      </c>
      <c r="H1717" s="3"/>
    </row>
    <row r="1718" spans="1:8" x14ac:dyDescent="0.3">
      <c r="A1718" s="2">
        <v>5795687</v>
      </c>
      <c r="B1718" s="2">
        <v>48</v>
      </c>
      <c r="C1718" s="2" t="s">
        <v>6</v>
      </c>
      <c r="D1718" s="2">
        <v>100</v>
      </c>
      <c r="E1718" s="2"/>
      <c r="F1718" s="4" t="str">
        <f>HYPERLINK("./Results/DLO\20180801_1.2.840.113619.2.94.485650834948.2.9048696.19647619.1_2_512_512_\Osteo_Sarco_1.png","RPT")</f>
        <v>RPT</v>
      </c>
      <c r="G1718" s="3">
        <v>117</v>
      </c>
      <c r="H1718" s="3"/>
    </row>
    <row r="1719" spans="1:8" x14ac:dyDescent="0.3">
      <c r="A1719" s="2">
        <v>5799799</v>
      </c>
      <c r="B1719" s="2">
        <v>51</v>
      </c>
      <c r="C1719" s="2" t="s">
        <v>6</v>
      </c>
      <c r="D1719" s="2">
        <v>100</v>
      </c>
      <c r="E1719" s="2"/>
      <c r="F1719" s="4" t="str">
        <f>HYPERLINK("./Results/DLO\20190801_1.3.12.2.1107.5.1.4.54310.30000019082722430853100063954_7_512_512_\Osteo_Sarco_1.png","RPT")</f>
        <v>RPT</v>
      </c>
      <c r="G1719" s="3">
        <v>106</v>
      </c>
      <c r="H1719" s="3"/>
    </row>
    <row r="1720" spans="1:8" x14ac:dyDescent="0.3">
      <c r="A1720" s="2">
        <v>5800841</v>
      </c>
      <c r="B1720" s="2">
        <v>63</v>
      </c>
      <c r="C1720" s="2" t="s">
        <v>6</v>
      </c>
      <c r="D1720" s="2">
        <v>100</v>
      </c>
      <c r="E1720" s="2"/>
      <c r="F1720" s="4" t="str">
        <f>HYPERLINK("./Results/DLO\20180301_1.2.840.113619.2.416.118226959588253105653124724468761463593_304_512_512_\Osteo_Sarco_1.png","RPT")</f>
        <v>RPT</v>
      </c>
      <c r="G1720" s="3">
        <v>98</v>
      </c>
      <c r="H1720" s="3"/>
    </row>
    <row r="1721" spans="1:8" x14ac:dyDescent="0.3">
      <c r="A1721" s="2">
        <v>5801315</v>
      </c>
      <c r="B1721" s="2">
        <v>78</v>
      </c>
      <c r="C1721" s="2" t="s">
        <v>6</v>
      </c>
      <c r="D1721" s="2">
        <v>100</v>
      </c>
      <c r="E1721" s="2"/>
      <c r="F1721" s="4" t="str">
        <f>HYPERLINK("./Results/DLO\20200601_1.3.12.2.1107.5.1.4.65253.30000020062019122712500081709_3_512_512_\Osteo_Sarco_1.png","RPT")</f>
        <v>RPT</v>
      </c>
      <c r="G1721" s="3">
        <v>85</v>
      </c>
      <c r="H1721" s="3"/>
    </row>
    <row r="1722" spans="1:8" x14ac:dyDescent="0.3">
      <c r="A1722" s="2">
        <v>5801315</v>
      </c>
      <c r="B1722" s="2">
        <v>78</v>
      </c>
      <c r="C1722" s="2" t="s">
        <v>6</v>
      </c>
      <c r="D1722" s="2">
        <v>100</v>
      </c>
      <c r="E1722" s="2"/>
      <c r="F1722" s="4" t="str">
        <f>HYPERLINK("./Results/DLO\20200601_1.3.12.2.1107.5.1.4.65253.30000020062019122712500080876_2_512_512_\Osteo_Sarco_1.png","RPT")</f>
        <v>RPT</v>
      </c>
      <c r="G1722" s="3">
        <v>77</v>
      </c>
      <c r="H1722" s="3"/>
    </row>
    <row r="1723" spans="1:8" x14ac:dyDescent="0.3">
      <c r="A1723" s="2">
        <v>5804076</v>
      </c>
      <c r="B1723" s="2">
        <v>63</v>
      </c>
      <c r="C1723" s="2" t="s">
        <v>6</v>
      </c>
      <c r="D1723" s="2">
        <v>100</v>
      </c>
      <c r="E1723" s="2"/>
      <c r="F1723" s="4" t="str">
        <f>HYPERLINK("./Results/DLO\20190101_1.2.840.113619.2.94.485650834948.2.9349613.20389800.1_2_512_512_\Osteo_Sarco_1.png","RPT")</f>
        <v>RPT</v>
      </c>
      <c r="G1723" s="3">
        <v>109</v>
      </c>
      <c r="H1723" s="3"/>
    </row>
    <row r="1724" spans="1:8" x14ac:dyDescent="0.3">
      <c r="A1724" s="2">
        <v>5804935</v>
      </c>
      <c r="B1724" s="2">
        <v>72</v>
      </c>
      <c r="C1724" s="2" t="s">
        <v>6</v>
      </c>
      <c r="D1724" s="2">
        <v>100</v>
      </c>
      <c r="E1724" s="2"/>
      <c r="F1724" s="4" t="str">
        <f>HYPERLINK("./Results/DLO\20190501_1.3.46.670589.33.1.63694111785475686500001.4888831504625242592_201_512_512_\Osteo_Sarco_1.png","RPT")</f>
        <v>RPT</v>
      </c>
      <c r="G1724" s="3">
        <v>96</v>
      </c>
      <c r="H1724" s="3"/>
    </row>
    <row r="1725" spans="1:8" x14ac:dyDescent="0.3">
      <c r="A1725" s="2">
        <v>5805773</v>
      </c>
      <c r="B1725" s="2">
        <v>67</v>
      </c>
      <c r="C1725" s="2" t="s">
        <v>6</v>
      </c>
      <c r="D1725" s="2">
        <v>100</v>
      </c>
      <c r="E1725" s="2"/>
      <c r="F1725" s="4" t="str">
        <f>HYPERLINK("./Results/DLO\20181101_1.2.840.113619.2.311.248521916460164517786700158751471377420_304_512_512_\Osteo_Sarco_1.png","RPT")</f>
        <v>RPT</v>
      </c>
      <c r="G1725" s="3">
        <v>99</v>
      </c>
      <c r="H1725" s="3"/>
    </row>
    <row r="1726" spans="1:8" x14ac:dyDescent="0.3">
      <c r="A1726" s="2">
        <v>5808327</v>
      </c>
      <c r="B1726" s="2">
        <v>68</v>
      </c>
      <c r="C1726" s="2" t="s">
        <v>6</v>
      </c>
      <c r="D1726" s="2">
        <v>120</v>
      </c>
      <c r="E1726" s="2"/>
      <c r="F1726" s="4" t="str">
        <f>HYPERLINK("./Results/DLO\20180801_1.2.840.113619.2.416.81676077069690964723543891882953350474_2_512_512_\Osteo_Sarco_1.png","RPT")</f>
        <v>RPT</v>
      </c>
      <c r="G1726" s="3">
        <v>100</v>
      </c>
      <c r="H1726" s="3"/>
    </row>
    <row r="1727" spans="1:8" x14ac:dyDescent="0.3">
      <c r="A1727" s="2">
        <v>5808327</v>
      </c>
      <c r="B1727" s="2">
        <v>68</v>
      </c>
      <c r="C1727" s="2" t="s">
        <v>6</v>
      </c>
      <c r="D1727" s="2">
        <v>140</v>
      </c>
      <c r="E1727" s="2"/>
      <c r="F1727" s="4" t="str">
        <f>HYPERLINK("./Results/DLO\20180801_1.2.840.113619.2.416.242766746737915032696581416029057596813_302_512_512_\Osteo_Sarco_1.png","RPT")</f>
        <v>RPT</v>
      </c>
      <c r="G1727" s="3">
        <v>99</v>
      </c>
      <c r="H1727" s="3"/>
    </row>
    <row r="1728" spans="1:8" x14ac:dyDescent="0.3">
      <c r="A1728" s="2">
        <v>5811921</v>
      </c>
      <c r="B1728" s="2">
        <v>54</v>
      </c>
      <c r="C1728" s="2" t="s">
        <v>5</v>
      </c>
      <c r="D1728" s="2">
        <v>100</v>
      </c>
      <c r="E1728" s="2"/>
      <c r="F1728" s="4" t="str">
        <f>HYPERLINK("./Results/DLO\20190201_1.3.46.670589.33.1.63686778422756063100001.4616745120551517690_201_512_512_\Osteo_Sarco_1.png","RPT")</f>
        <v>RPT</v>
      </c>
      <c r="G1728" s="3">
        <v>174</v>
      </c>
      <c r="H1728" s="3"/>
    </row>
    <row r="1729" spans="1:8" x14ac:dyDescent="0.3">
      <c r="A1729" s="2">
        <v>5812589</v>
      </c>
      <c r="B1729" s="2">
        <v>51</v>
      </c>
      <c r="C1729" s="2" t="s">
        <v>6</v>
      </c>
      <c r="D1729" s="2">
        <v>100</v>
      </c>
      <c r="E1729" s="2"/>
      <c r="F1729" s="4" t="str">
        <f>HYPERLINK("./Results/DLO\20180201_1.3.12.2.1107.5.1.4.54310.30000018013123112864000020355_2_512_512_\Osteo_Sarco_1.png","RPT")</f>
        <v>RPT</v>
      </c>
      <c r="G1729" s="3">
        <v>87</v>
      </c>
      <c r="H1729" s="3"/>
    </row>
    <row r="1730" spans="1:8" x14ac:dyDescent="0.3">
      <c r="A1730" s="2">
        <v>5814359</v>
      </c>
      <c r="B1730" s="2">
        <v>53</v>
      </c>
      <c r="C1730" s="2" t="s">
        <v>6</v>
      </c>
      <c r="D1730" s="2">
        <v>100</v>
      </c>
      <c r="E1730" s="2"/>
      <c r="F1730" s="4" t="str">
        <f>HYPERLINK("./Results/DLO\20190801_1.3.46.670589.33.1.63700336639420973400001.5700297685829235297_201_512_512_\Osteo_Sarco_1.png","RPT")</f>
        <v>RPT</v>
      </c>
      <c r="G1730" s="3">
        <v>98</v>
      </c>
      <c r="H1730" s="3"/>
    </row>
    <row r="1731" spans="1:8" x14ac:dyDescent="0.3">
      <c r="A1731" s="2">
        <v>5814700</v>
      </c>
      <c r="B1731" s="2">
        <v>62</v>
      </c>
      <c r="C1731" s="2" t="s">
        <v>6</v>
      </c>
      <c r="D1731" s="2">
        <v>100</v>
      </c>
      <c r="E1731" s="2"/>
      <c r="F1731" s="4" t="str">
        <f>HYPERLINK("./Results/DLO\20180701_1.3.12.2.1107.5.1.4.65253.30000018071916364286400045930_3_512_512_\Osteo_Sarco_1.png","RPT")</f>
        <v>RPT</v>
      </c>
      <c r="G1731" s="3">
        <v>106</v>
      </c>
      <c r="H1731" s="3"/>
    </row>
    <row r="1732" spans="1:8" x14ac:dyDescent="0.3">
      <c r="A1732" s="2">
        <v>5814700</v>
      </c>
      <c r="B1732" s="2">
        <v>62</v>
      </c>
      <c r="C1732" s="2" t="s">
        <v>6</v>
      </c>
      <c r="D1732" s="2">
        <v>100</v>
      </c>
      <c r="E1732" s="2"/>
      <c r="F1732" s="4" t="str">
        <f>HYPERLINK("./Results/DLO\20180701_1.3.12.2.1107.5.1.4.65253.30000018071916364286400045781_2_512_512_\Osteo_Sarco_1.png","RPT")</f>
        <v>RPT</v>
      </c>
      <c r="G1732" s="3">
        <v>104</v>
      </c>
      <c r="H1732" s="3"/>
    </row>
    <row r="1733" spans="1:8" x14ac:dyDescent="0.3">
      <c r="A1733" s="2">
        <v>5814714</v>
      </c>
      <c r="B1733" s="2">
        <v>71</v>
      </c>
      <c r="C1733" s="2" t="s">
        <v>5</v>
      </c>
      <c r="D1733" s="2">
        <v>100</v>
      </c>
      <c r="E1733" s="2"/>
      <c r="F1733" s="4" t="str">
        <f>HYPERLINK("./Results/DLO\20180701_1.3.12.2.1107.5.1.4.65253.30000018070320313535300030041_2_512_512_\Osteo_Sarco_1.png","RPT")</f>
        <v>RPT</v>
      </c>
      <c r="G1733" s="3">
        <v>141</v>
      </c>
      <c r="H1733" s="3"/>
    </row>
    <row r="1734" spans="1:8" x14ac:dyDescent="0.3">
      <c r="A1734" s="2">
        <v>5816492</v>
      </c>
      <c r="B1734" s="2">
        <v>44</v>
      </c>
      <c r="C1734" s="2" t="s">
        <v>6</v>
      </c>
      <c r="D1734" s="2">
        <v>100</v>
      </c>
      <c r="E1734" s="2"/>
      <c r="F1734" s="4" t="str">
        <f>HYPERLINK("./Results/DLO\20190501_1.3.12.2.1107.5.1.4.65253.30000019052819441403100023076_2_512_512_\Osteo_Sarco_1.png","RPT")</f>
        <v>RPT</v>
      </c>
      <c r="G1734" s="3">
        <v>92</v>
      </c>
      <c r="H1734" s="3"/>
    </row>
    <row r="1735" spans="1:8" x14ac:dyDescent="0.3">
      <c r="A1735" s="2">
        <v>5818336</v>
      </c>
      <c r="B1735" s="2">
        <v>65</v>
      </c>
      <c r="C1735" s="2" t="s">
        <v>5</v>
      </c>
      <c r="D1735" s="2">
        <v>100</v>
      </c>
      <c r="E1735" s="2"/>
      <c r="F1735" s="4" t="str">
        <f>HYPERLINK("./Results/DLO\20180301_1.3.12.2.1107.5.1.4.65253.30000018032521013524600038452_2_512_512_\Osteo_Sarco_1.png","RPT")</f>
        <v>RPT</v>
      </c>
      <c r="G1735" s="3">
        <v>143</v>
      </c>
      <c r="H1735" s="3"/>
    </row>
    <row r="1736" spans="1:8" x14ac:dyDescent="0.3">
      <c r="A1736" s="2">
        <v>5819959</v>
      </c>
      <c r="B1736" s="2">
        <v>69</v>
      </c>
      <c r="C1736" s="2" t="s">
        <v>6</v>
      </c>
      <c r="D1736" s="2">
        <v>100</v>
      </c>
      <c r="E1736" s="2"/>
      <c r="F1736" s="4" t="str">
        <f>HYPERLINK("./Results/DLO\20180901_1.3.12.2.1107.5.1.4.54310.30000018091023324887500003980_2_512_512_\Osteo_Sarco_1.png","RPT")</f>
        <v>RPT</v>
      </c>
      <c r="G1736" s="3">
        <v>97</v>
      </c>
      <c r="H1736" s="3"/>
    </row>
    <row r="1737" spans="1:8" x14ac:dyDescent="0.3">
      <c r="A1737" s="2">
        <v>5822238</v>
      </c>
      <c r="B1737" s="2">
        <v>43</v>
      </c>
      <c r="C1737" s="2" t="s">
        <v>6</v>
      </c>
      <c r="D1737" s="2">
        <v>100</v>
      </c>
      <c r="E1737" s="2"/>
      <c r="F1737" s="4" t="str">
        <f>HYPERLINK("./Results/DLO\20180901_1.3.12.2.1107.5.1.4.54310.30000018090223262171800011567_2_512_512_\Osteo_Sarco_1.png","RPT")</f>
        <v>RPT</v>
      </c>
      <c r="G1737" s="3">
        <v>114</v>
      </c>
      <c r="H1737" s="3"/>
    </row>
    <row r="1738" spans="1:8" x14ac:dyDescent="0.3">
      <c r="A1738" s="2">
        <v>5823733</v>
      </c>
      <c r="B1738" s="2">
        <v>67</v>
      </c>
      <c r="C1738" s="2" t="s">
        <v>5</v>
      </c>
      <c r="D1738" s="2">
        <v>100</v>
      </c>
      <c r="E1738" s="2"/>
      <c r="F1738" s="4" t="str">
        <f>HYPERLINK("./Results/DLO\20190401_1.3.46.670589.33.1.63689988235503603200001.5062572023342178995_301_512_512_\Osteo_Sarco_1.png","RPT")</f>
        <v>RPT</v>
      </c>
      <c r="G1738" s="3">
        <v>179</v>
      </c>
      <c r="H1738" s="3"/>
    </row>
    <row r="1739" spans="1:8" x14ac:dyDescent="0.3">
      <c r="A1739" s="2">
        <v>5823733</v>
      </c>
      <c r="B1739" s="2">
        <v>67</v>
      </c>
      <c r="C1739" s="2" t="s">
        <v>5</v>
      </c>
      <c r="D1739" s="2">
        <v>100</v>
      </c>
      <c r="E1739" s="2"/>
      <c r="F1739" s="4" t="str">
        <f>HYPERLINK("./Results/DLO\20190401_1.3.46.670589.33.1.63689988337388430700001.5167637867338251606_401_512_512_\Osteo_Sarco_1.png","RPT")</f>
        <v>RPT</v>
      </c>
      <c r="G1739" s="3">
        <v>179</v>
      </c>
      <c r="H1739" s="3"/>
    </row>
    <row r="1740" spans="1:8" x14ac:dyDescent="0.3">
      <c r="A1740" s="2">
        <v>5823733</v>
      </c>
      <c r="B1740" s="2">
        <v>67</v>
      </c>
      <c r="C1740" s="2" t="s">
        <v>5</v>
      </c>
      <c r="D1740" s="2">
        <v>100</v>
      </c>
      <c r="E1740" s="2"/>
      <c r="F1740" s="4" t="str">
        <f>HYPERLINK("./Results/DLO\20190401_1.3.46.670589.33.1.63689988101028911700001.4976408416331922324_201_512_512_\Osteo_Sarco_1.png","RPT")</f>
        <v>RPT</v>
      </c>
      <c r="G1740" s="3">
        <v>177</v>
      </c>
      <c r="H1740" s="3"/>
    </row>
    <row r="1741" spans="1:8" x14ac:dyDescent="0.3">
      <c r="A1741" s="2">
        <v>5824236</v>
      </c>
      <c r="B1741" s="2">
        <v>63</v>
      </c>
      <c r="C1741" s="2" t="s">
        <v>5</v>
      </c>
      <c r="D1741" s="2">
        <v>100</v>
      </c>
      <c r="E1741" s="2"/>
      <c r="F1741" s="4" t="str">
        <f>HYPERLINK("./Results/DLO\20180701_1.3.12.2.1107.5.1.4.65253.30000018070220044347800024001_3_512_512_\Osteo_Sarco_1.png","RPT")</f>
        <v>RPT</v>
      </c>
      <c r="G1741" s="3">
        <v>127</v>
      </c>
      <c r="H1741" s="3"/>
    </row>
    <row r="1742" spans="1:8" x14ac:dyDescent="0.3">
      <c r="A1742" s="2">
        <v>5824236</v>
      </c>
      <c r="B1742" s="2">
        <v>63</v>
      </c>
      <c r="C1742" s="2" t="s">
        <v>5</v>
      </c>
      <c r="D1742" s="2">
        <v>100</v>
      </c>
      <c r="E1742" s="2"/>
      <c r="F1742" s="4" t="str">
        <f>HYPERLINK("./Results/DLO\20180701_1.3.12.2.1107.5.1.4.65253.30000018070220044347800023847_2_512_512_\Osteo_Sarco_1.png","RPT")</f>
        <v>RPT</v>
      </c>
      <c r="G1742" s="3">
        <v>123</v>
      </c>
      <c r="H1742" s="3"/>
    </row>
    <row r="1743" spans="1:8" x14ac:dyDescent="0.3">
      <c r="A1743" s="2">
        <v>5824638</v>
      </c>
      <c r="B1743" s="2">
        <v>54</v>
      </c>
      <c r="C1743" s="2" t="s">
        <v>5</v>
      </c>
      <c r="D1743" s="2">
        <v>100</v>
      </c>
      <c r="E1743" s="2"/>
      <c r="F1743" s="4" t="str">
        <f>HYPERLINK("./Results/DLO\20190501_1.3.46.670589.33.1.63694888955928442500001.5595314161877506495_201_512_512_\Osteo_Sarco_1.png","RPT")</f>
        <v>RPT</v>
      </c>
      <c r="G1743" s="3">
        <v>156</v>
      </c>
      <c r="H1743" s="3"/>
    </row>
    <row r="1744" spans="1:8" x14ac:dyDescent="0.3">
      <c r="A1744" s="2">
        <v>5824650</v>
      </c>
      <c r="B1744" s="2">
        <v>55</v>
      </c>
      <c r="C1744" s="2" t="s">
        <v>6</v>
      </c>
      <c r="D1744" s="2">
        <v>100</v>
      </c>
      <c r="E1744" s="2"/>
      <c r="F1744" s="4" t="str">
        <f>HYPERLINK("./Results/DLO\20190801_1.3.12.2.1107.5.1.4.65253.30000019081419583491200001988_8_512_512_\Osteo_Sarco_1.png","RPT")</f>
        <v>RPT</v>
      </c>
      <c r="G1744" s="3">
        <v>107</v>
      </c>
      <c r="H1744" s="3"/>
    </row>
    <row r="1745" spans="1:8" x14ac:dyDescent="0.3">
      <c r="A1745" s="2">
        <v>5824650</v>
      </c>
      <c r="B1745" s="2">
        <v>55</v>
      </c>
      <c r="C1745" s="2" t="s">
        <v>6</v>
      </c>
      <c r="D1745" s="2">
        <v>100</v>
      </c>
      <c r="E1745" s="2"/>
      <c r="F1745" s="4" t="str">
        <f>HYPERLINK("./Results/DLO\20190801_1.3.12.2.1107.5.1.4.65253.30000019081419583491200000499_5_512_512_\Osteo_Sarco_1.png","RPT")</f>
        <v>RPT</v>
      </c>
      <c r="G1745" s="3">
        <v>106</v>
      </c>
      <c r="H1745" s="3"/>
    </row>
    <row r="1746" spans="1:8" x14ac:dyDescent="0.3">
      <c r="A1746" s="2">
        <v>5824650</v>
      </c>
      <c r="B1746" s="2">
        <v>55</v>
      </c>
      <c r="C1746" s="2" t="s">
        <v>6</v>
      </c>
      <c r="D1746" s="2">
        <v>100</v>
      </c>
      <c r="E1746" s="2"/>
      <c r="F1746" s="4" t="str">
        <f>HYPERLINK("./Results/DLO\20190801_1.3.12.2.1107.5.1.4.65253.30000019081419583491200001110_7_512_512_\Osteo_Sarco_1.png","RPT")</f>
        <v>RPT</v>
      </c>
      <c r="G1746" s="3">
        <v>106</v>
      </c>
      <c r="H1746" s="3"/>
    </row>
    <row r="1747" spans="1:8" x14ac:dyDescent="0.3">
      <c r="A1747" s="2">
        <v>5824650</v>
      </c>
      <c r="B1747" s="2">
        <v>55</v>
      </c>
      <c r="C1747" s="2" t="s">
        <v>6</v>
      </c>
      <c r="D1747" s="2">
        <v>100</v>
      </c>
      <c r="E1747" s="2"/>
      <c r="F1747" s="4" t="str">
        <f>HYPERLINK("./Results/DLO\20190801_1.3.12.2.1107.5.1.4.65253.30000019081419583491200000404_2_512_512_\Osteo_Sarco_1.png","RPT")</f>
        <v>RPT</v>
      </c>
      <c r="G1747" s="3">
        <v>105</v>
      </c>
      <c r="H1747" s="3"/>
    </row>
    <row r="1748" spans="1:8" x14ac:dyDescent="0.3">
      <c r="A1748" s="2">
        <v>5824691</v>
      </c>
      <c r="B1748" s="2">
        <v>70</v>
      </c>
      <c r="C1748" s="2" t="s">
        <v>6</v>
      </c>
      <c r="D1748" s="2">
        <v>100</v>
      </c>
      <c r="E1748" s="2"/>
      <c r="F1748" s="4" t="str">
        <f>HYPERLINK("./Results/DLO\20190801_1.3.46.670589.33.1.63701372980789609300001.5052972479635638783_201_512_512_\Osteo_Sarco_1.png","RPT")</f>
        <v>RPT</v>
      </c>
      <c r="G1748" s="3">
        <v>91</v>
      </c>
      <c r="H1748" s="3"/>
    </row>
    <row r="1749" spans="1:8" x14ac:dyDescent="0.3">
      <c r="A1749" s="2">
        <v>5826150</v>
      </c>
      <c r="B1749" s="2">
        <v>63</v>
      </c>
      <c r="C1749" s="2" t="s">
        <v>5</v>
      </c>
      <c r="D1749" s="2">
        <v>100</v>
      </c>
      <c r="E1749" s="2"/>
      <c r="F1749" s="4" t="str">
        <f>HYPERLINK("./Results/DLO\20200501_1.3.46.670589.33.1.63726169454981708200001.5580302612523345548_201_512_512_\Osteo_Sarco_1.png","RPT")</f>
        <v>RPT</v>
      </c>
      <c r="G1749" s="3">
        <v>134</v>
      </c>
      <c r="H1749" s="3"/>
    </row>
    <row r="1750" spans="1:8" x14ac:dyDescent="0.3">
      <c r="A1750" s="2">
        <v>5829409</v>
      </c>
      <c r="B1750" s="2">
        <v>50</v>
      </c>
      <c r="C1750" s="2" t="s">
        <v>6</v>
      </c>
      <c r="D1750" s="2">
        <v>100</v>
      </c>
      <c r="E1750" s="2"/>
      <c r="F1750" s="4" t="str">
        <f>HYPERLINK("./Results/DLO\20190701_1.3.46.670589.33.1.63699642093987767500001.5196831061707034136_201_512_512_\Osteo_Sarco_1.png","RPT")</f>
        <v>RPT</v>
      </c>
      <c r="G1750" s="3">
        <v>94</v>
      </c>
      <c r="H1750" s="3"/>
    </row>
    <row r="1751" spans="1:8" x14ac:dyDescent="0.3">
      <c r="A1751" s="2">
        <v>5831818</v>
      </c>
      <c r="B1751" s="2">
        <v>48</v>
      </c>
      <c r="C1751" s="2" t="s">
        <v>5</v>
      </c>
      <c r="D1751" s="2">
        <v>100</v>
      </c>
      <c r="E1751" s="2"/>
      <c r="F1751" s="4" t="str">
        <f>HYPERLINK("./Results/DLO\20180101_1.3.46.670589.33.1.63651688682557586200001.5524230549698153133_201_512_512_\Osteo_Sarco_1.png","RPT")</f>
        <v>RPT</v>
      </c>
      <c r="G1751" s="3">
        <v>155</v>
      </c>
      <c r="H1751" s="3"/>
    </row>
    <row r="1752" spans="1:8" x14ac:dyDescent="0.3">
      <c r="A1752" s="2">
        <v>5833204</v>
      </c>
      <c r="B1752" s="2">
        <v>63</v>
      </c>
      <c r="C1752" s="2" t="s">
        <v>5</v>
      </c>
      <c r="D1752" s="2">
        <v>100</v>
      </c>
      <c r="E1752" s="2"/>
      <c r="F1752" s="4" t="str">
        <f>HYPERLINK("./Results/DLO\20180501_1.2.840.113619.2.311.4692435422433793178902746247251271309_303_512_512_\Osteo_Sarco_1.png","RPT")</f>
        <v>RPT</v>
      </c>
      <c r="G1752" s="3">
        <v>152</v>
      </c>
      <c r="H1752" s="3"/>
    </row>
    <row r="1753" spans="1:8" x14ac:dyDescent="0.3">
      <c r="A1753" s="2">
        <v>5834775</v>
      </c>
      <c r="B1753" s="2">
        <v>67</v>
      </c>
      <c r="C1753" s="2" t="s">
        <v>5</v>
      </c>
      <c r="D1753" s="2">
        <v>120</v>
      </c>
      <c r="E1753" s="2"/>
      <c r="F1753" s="4" t="str">
        <f>HYPERLINK("./Results/DLO\20180501_1.2.840.113619.2.332.3.777984.74.1527201179.867.3153920_4_512_512_\Osteo_Sarco_1.png","RPT")</f>
        <v>RPT</v>
      </c>
      <c r="G1753" s="3">
        <v>164</v>
      </c>
      <c r="H1753" s="3"/>
    </row>
    <row r="1754" spans="1:8" x14ac:dyDescent="0.3">
      <c r="A1754" s="2">
        <v>5834775</v>
      </c>
      <c r="B1754" s="2">
        <v>67</v>
      </c>
      <c r="C1754" s="2" t="s">
        <v>5</v>
      </c>
      <c r="D1754" s="2">
        <v>120</v>
      </c>
      <c r="E1754" s="2"/>
      <c r="F1754" s="4" t="str">
        <f>HYPERLINK("./Results/DLO\20180501_1.2.840.113619.2.332.3.777984.74.1527201179.766_2_512_512_\Osteo_Sarco_1.png","RPT")</f>
        <v>RPT</v>
      </c>
      <c r="G1754" s="3">
        <v>163</v>
      </c>
      <c r="H1754" s="3"/>
    </row>
    <row r="1755" spans="1:8" x14ac:dyDescent="0.3">
      <c r="A1755" s="2">
        <v>5834775</v>
      </c>
      <c r="B1755" s="2">
        <v>67</v>
      </c>
      <c r="C1755" s="2" t="s">
        <v>5</v>
      </c>
      <c r="D1755" s="2">
        <v>120</v>
      </c>
      <c r="E1755" s="2"/>
      <c r="F1755" s="4" t="str">
        <f>HYPERLINK("./Results/DLO\20180501_1.2.840.113619.2.332.3.777984.74.1527201179.867.3149824_3_512_512_\Osteo_Sarco_1.png","RPT")</f>
        <v>RPT</v>
      </c>
      <c r="G1755" s="3">
        <v>162</v>
      </c>
      <c r="H1755" s="3"/>
    </row>
    <row r="1756" spans="1:8" x14ac:dyDescent="0.3">
      <c r="A1756" s="2">
        <v>5834775</v>
      </c>
      <c r="B1756" s="2">
        <v>67</v>
      </c>
      <c r="C1756" s="2" t="s">
        <v>5</v>
      </c>
      <c r="D1756" s="2">
        <v>120</v>
      </c>
      <c r="E1756" s="2"/>
      <c r="F1756" s="4" t="str">
        <f>HYPERLINK("./Results/DLO\20180501_1.2.840.113619.2.332.3.777984.74.1527201179.867.3158016_5_512_512_\Osteo_Sarco_1.png","RPT")</f>
        <v>RPT</v>
      </c>
      <c r="G1756" s="3">
        <v>162</v>
      </c>
      <c r="H1756" s="3"/>
    </row>
    <row r="1757" spans="1:8" x14ac:dyDescent="0.3">
      <c r="A1757" s="2">
        <v>5835198</v>
      </c>
      <c r="B1757" s="2">
        <v>70</v>
      </c>
      <c r="C1757" s="2" t="s">
        <v>6</v>
      </c>
      <c r="D1757" s="2">
        <v>140</v>
      </c>
      <c r="E1757" s="2"/>
      <c r="F1757" s="4" t="str">
        <f>HYPERLINK("./Results/DLO\20190801_1.2.840.113619.2.416.35012458022582919504501247261115001610_302_512_512_\Osteo_Sarco_1.png","RPT")</f>
        <v>RPT</v>
      </c>
      <c r="G1757" s="3">
        <v>111</v>
      </c>
      <c r="H1757" s="3"/>
    </row>
    <row r="1758" spans="1:8" x14ac:dyDescent="0.3">
      <c r="A1758" s="2">
        <v>5835198</v>
      </c>
      <c r="B1758" s="2">
        <v>70</v>
      </c>
      <c r="C1758" s="2" t="s">
        <v>6</v>
      </c>
      <c r="D1758" s="2">
        <v>120</v>
      </c>
      <c r="E1758" s="2"/>
      <c r="F1758" s="4" t="str">
        <f>HYPERLINK("./Results/DLO\20190801_1.2.840.113619.2.416.147908375616872974777740951847172643073_2_512_512_\Osteo_Sarco_1.png","RPT")</f>
        <v>RPT</v>
      </c>
      <c r="G1758" s="3">
        <v>108</v>
      </c>
      <c r="H1758" s="3"/>
    </row>
    <row r="1759" spans="1:8" x14ac:dyDescent="0.3">
      <c r="A1759" s="2">
        <v>5835682</v>
      </c>
      <c r="B1759" s="2">
        <v>45</v>
      </c>
      <c r="C1759" s="2" t="s">
        <v>6</v>
      </c>
      <c r="D1759" s="2">
        <v>100</v>
      </c>
      <c r="E1759" s="2"/>
      <c r="F1759" s="4" t="str">
        <f>HYPERLINK("./Results/DLO\20180501_1.2.840.113619.2.311.113916069892555171909266573913539461725_305_512_512_\Osteo_Sarco_1.png","RPT")</f>
        <v>RPT</v>
      </c>
      <c r="G1759" s="3">
        <v>128</v>
      </c>
      <c r="H1759" s="3"/>
    </row>
    <row r="1760" spans="1:8" x14ac:dyDescent="0.3">
      <c r="A1760" s="2">
        <v>5836681</v>
      </c>
      <c r="B1760" s="2">
        <v>59</v>
      </c>
      <c r="C1760" s="2" t="s">
        <v>5</v>
      </c>
      <c r="D1760" s="2">
        <v>140</v>
      </c>
      <c r="E1760" s="2"/>
      <c r="F1760" s="4" t="str">
        <f>HYPERLINK("./Results/DLO\20180501_1.2.840.113619.2.416.130085461890888031907134218919714296876_308_512_512_\Osteo_Sarco_1.png","RPT")</f>
        <v>RPT</v>
      </c>
      <c r="G1760" s="3">
        <v>133</v>
      </c>
      <c r="H1760" s="3"/>
    </row>
    <row r="1761" spans="1:8" x14ac:dyDescent="0.3">
      <c r="A1761" s="2">
        <v>5836681</v>
      </c>
      <c r="B1761" s="2">
        <v>59</v>
      </c>
      <c r="C1761" s="2" t="s">
        <v>5</v>
      </c>
      <c r="D1761" s="2">
        <v>140</v>
      </c>
      <c r="E1761" s="2"/>
      <c r="F1761" s="4" t="str">
        <f>HYPERLINK("./Results/DLO\20180501_1.2.840.113619.2.416.146141455785437373827831889213362094791_304_512_512_\Osteo_Sarco_1.png","RPT")</f>
        <v>RPT</v>
      </c>
      <c r="G1761" s="3">
        <v>130</v>
      </c>
      <c r="H1761" s="3"/>
    </row>
    <row r="1762" spans="1:8" x14ac:dyDescent="0.3">
      <c r="A1762" s="2">
        <v>5836681</v>
      </c>
      <c r="B1762" s="2">
        <v>59</v>
      </c>
      <c r="C1762" s="2" t="s">
        <v>5</v>
      </c>
      <c r="D1762" s="2">
        <v>140</v>
      </c>
      <c r="E1762" s="2"/>
      <c r="F1762" s="4" t="str">
        <f>HYPERLINK("./Results/DLO\20180501_1.2.840.113619.2.416.167902936812132798594517497351693213515_2_512_512_\Osteo_Sarco_1.png","RPT")</f>
        <v>RPT</v>
      </c>
      <c r="G1762" s="3">
        <v>130</v>
      </c>
      <c r="H1762" s="3"/>
    </row>
    <row r="1763" spans="1:8" x14ac:dyDescent="0.3">
      <c r="A1763" s="2">
        <v>5836681</v>
      </c>
      <c r="B1763" s="2">
        <v>59</v>
      </c>
      <c r="C1763" s="2" t="s">
        <v>5</v>
      </c>
      <c r="D1763" s="2">
        <v>140</v>
      </c>
      <c r="E1763" s="2"/>
      <c r="F1763" s="4" t="str">
        <f>HYPERLINK("./Results/DLO\20180501_1.2.840.113619.2.416.273346325403409244057222754449830567005_302_512_512_\Osteo_Sarco_1.png","RPT")</f>
        <v>RPT</v>
      </c>
      <c r="G1763" s="3">
        <v>130</v>
      </c>
      <c r="H1763" s="3"/>
    </row>
    <row r="1764" spans="1:8" x14ac:dyDescent="0.3">
      <c r="A1764" s="2">
        <v>5838744</v>
      </c>
      <c r="B1764" s="2">
        <v>52</v>
      </c>
      <c r="C1764" s="2" t="s">
        <v>6</v>
      </c>
      <c r="D1764" s="2">
        <v>100</v>
      </c>
      <c r="E1764" s="2"/>
      <c r="F1764" s="4" t="str">
        <f>HYPERLINK("./Results/DLO\20190201_1.2.840.113619.2.311.164589533639480055917961799998748224273_304_512_512_\Osteo_Sarco_1.png","RPT")</f>
        <v>RPT</v>
      </c>
      <c r="G1764" s="3">
        <v>98</v>
      </c>
      <c r="H1764" s="3"/>
    </row>
    <row r="1765" spans="1:8" x14ac:dyDescent="0.3">
      <c r="A1765" s="2">
        <v>5840530</v>
      </c>
      <c r="B1765" s="2">
        <v>74</v>
      </c>
      <c r="C1765" s="2" t="s">
        <v>5</v>
      </c>
      <c r="D1765" s="2">
        <v>100</v>
      </c>
      <c r="E1765" s="2"/>
      <c r="F1765" s="4" t="str">
        <f>HYPERLINK("./Results/DLO\20190801_1.3.12.2.1107.5.1.4.54310.30000019082922472159300007392_2_512_512_\Osteo_Sarco_1.png","RPT")</f>
        <v>RPT</v>
      </c>
      <c r="G1765" s="3">
        <v>156</v>
      </c>
      <c r="H1765" s="3"/>
    </row>
    <row r="1766" spans="1:8" x14ac:dyDescent="0.3">
      <c r="A1766" s="2">
        <v>5842402</v>
      </c>
      <c r="B1766" s="2">
        <v>69</v>
      </c>
      <c r="C1766" s="2" t="s">
        <v>5</v>
      </c>
      <c r="D1766" s="2">
        <v>100</v>
      </c>
      <c r="E1766" s="2"/>
      <c r="F1766" s="4" t="str">
        <f>HYPERLINK("./Results/DLO\20190301_1.3.46.670589.33.1.63688583906906005200001.5312039362004656500_201_512_512_\Osteo_Sarco_1.png","RPT")</f>
        <v>RPT</v>
      </c>
      <c r="G1766" s="3">
        <v>144</v>
      </c>
      <c r="H1766" s="3"/>
    </row>
    <row r="1767" spans="1:8" x14ac:dyDescent="0.3">
      <c r="A1767" s="2">
        <v>5843525</v>
      </c>
      <c r="B1767" s="2">
        <v>50</v>
      </c>
      <c r="C1767" s="2" t="s">
        <v>6</v>
      </c>
      <c r="D1767" s="2">
        <v>100</v>
      </c>
      <c r="E1767" s="2"/>
      <c r="F1767" s="4" t="str">
        <f>HYPERLINK("./Results/DLO\20191101_1.2.840.113619.2.416.225158955686357589230202267588453282683_310_512_512_\Osteo_Sarco_1.png","RPT")</f>
        <v>RPT</v>
      </c>
      <c r="G1767" s="3">
        <v>160</v>
      </c>
      <c r="H1767" s="3"/>
    </row>
    <row r="1768" spans="1:8" x14ac:dyDescent="0.3">
      <c r="A1768" s="2">
        <v>5846797</v>
      </c>
      <c r="B1768" s="2">
        <v>63</v>
      </c>
      <c r="C1768" s="2" t="s">
        <v>5</v>
      </c>
      <c r="D1768" s="2">
        <v>100</v>
      </c>
      <c r="E1768" s="2"/>
      <c r="F1768" s="4" t="str">
        <f>HYPERLINK("./Results/DLO\20181201_1.3.46.670589.33.1.63679514479528989000001.4997051850462017487_201_512_512_\Osteo_Sarco_1.png","RPT")</f>
        <v>RPT</v>
      </c>
      <c r="G1768" s="3">
        <v>159</v>
      </c>
      <c r="H1768" s="3"/>
    </row>
    <row r="1769" spans="1:8" x14ac:dyDescent="0.3">
      <c r="A1769" s="2">
        <v>5847181</v>
      </c>
      <c r="B1769" s="2">
        <v>36</v>
      </c>
      <c r="C1769" s="2" t="s">
        <v>6</v>
      </c>
      <c r="D1769" s="2">
        <v>120</v>
      </c>
      <c r="E1769" s="2"/>
      <c r="F1769" s="4" t="str">
        <f>HYPERLINK("./Results/DLO\20190101_1.2.840.113619.2.416.211121287296526188950473073528847367405_2_512_512_\Osteo_Sarco_1.png","RPT")</f>
        <v>RPT</v>
      </c>
      <c r="G1769" s="3">
        <v>113</v>
      </c>
      <c r="H1769" s="3"/>
    </row>
    <row r="1770" spans="1:8" x14ac:dyDescent="0.3">
      <c r="A1770" s="2">
        <v>5847181</v>
      </c>
      <c r="B1770" s="2">
        <v>36</v>
      </c>
      <c r="C1770" s="2" t="s">
        <v>6</v>
      </c>
      <c r="D1770" s="2">
        <v>140</v>
      </c>
      <c r="E1770" s="2"/>
      <c r="F1770" s="4" t="str">
        <f>HYPERLINK("./Results/DLO\20190101_1.2.840.113619.2.416.240837345737136966573256693266339156311_302_512_512_\Osteo_Sarco_1.png","RPT")</f>
        <v>RPT</v>
      </c>
      <c r="G1770" s="3">
        <v>110</v>
      </c>
      <c r="H1770" s="3"/>
    </row>
    <row r="1771" spans="1:8" x14ac:dyDescent="0.3">
      <c r="A1771" s="2">
        <v>5852500</v>
      </c>
      <c r="B1771" s="2">
        <v>70</v>
      </c>
      <c r="C1771" s="2" t="s">
        <v>5</v>
      </c>
      <c r="D1771" s="2">
        <v>100</v>
      </c>
      <c r="E1771" s="2"/>
      <c r="F1771" s="4" t="str">
        <f>HYPERLINK("./Results/DLO\20181201_1.3.12.2.1107.5.1.4.65253.30000018122519362635700043932_3_512_512_\Osteo_Sarco_1.png","RPT")</f>
        <v>RPT</v>
      </c>
      <c r="G1771" s="3">
        <v>198</v>
      </c>
      <c r="H1771" s="3"/>
    </row>
    <row r="1772" spans="1:8" x14ac:dyDescent="0.3">
      <c r="A1772" s="2">
        <v>5852500</v>
      </c>
      <c r="B1772" s="2">
        <v>70</v>
      </c>
      <c r="C1772" s="2" t="s">
        <v>5</v>
      </c>
      <c r="D1772" s="2">
        <v>100</v>
      </c>
      <c r="E1772" s="2"/>
      <c r="F1772" s="4" t="str">
        <f>HYPERLINK("./Results/DLO\20181201_1.3.12.2.1107.5.1.4.65253.30000018122519362635700043746_2_512_512_\Osteo_Sarco_1.png","RPT")</f>
        <v>RPT</v>
      </c>
      <c r="G1772" s="3">
        <v>195</v>
      </c>
      <c r="H1772" s="3"/>
    </row>
    <row r="1773" spans="1:8" x14ac:dyDescent="0.3">
      <c r="A1773" s="2">
        <v>5856244</v>
      </c>
      <c r="B1773" s="2">
        <v>83</v>
      </c>
      <c r="C1773" s="2" t="s">
        <v>5</v>
      </c>
      <c r="D1773" s="2">
        <v>100</v>
      </c>
      <c r="E1773" s="2"/>
      <c r="F1773" s="4" t="str">
        <f>HYPERLINK("./Results/DLO\20181201_1.2.840.113619.2.416.6123040729770007479857491642899926231_3_512_512_\Osteo_Sarco_1.png","RPT")</f>
        <v>RPT</v>
      </c>
      <c r="G1773" s="3">
        <v>135</v>
      </c>
      <c r="H1773" s="3"/>
    </row>
    <row r="1774" spans="1:8" x14ac:dyDescent="0.3">
      <c r="A1774" s="2">
        <v>5856244</v>
      </c>
      <c r="B1774" s="2">
        <v>83</v>
      </c>
      <c r="C1774" s="2" t="s">
        <v>5</v>
      </c>
      <c r="D1774" s="2">
        <v>100</v>
      </c>
      <c r="E1774" s="2"/>
      <c r="F1774" s="4" t="str">
        <f>HYPERLINK("./Results/DLO\20181201_1.2.840.113619.2.416.142682466471300637703753703857156472490_304_512_512_\Osteo_Sarco_1.png","RPT")</f>
        <v>RPT</v>
      </c>
      <c r="G1774" s="3">
        <v>132</v>
      </c>
      <c r="H1774" s="3"/>
    </row>
    <row r="1775" spans="1:8" x14ac:dyDescent="0.3">
      <c r="A1775" s="2">
        <v>5859043</v>
      </c>
      <c r="B1775" s="2">
        <v>71</v>
      </c>
      <c r="C1775" s="2" t="s">
        <v>6</v>
      </c>
      <c r="D1775" s="2">
        <v>100</v>
      </c>
      <c r="E1775" s="2"/>
      <c r="F1775" s="4" t="str">
        <f>HYPERLINK("./Results/DLO\20180101_1.3.12.2.1107.5.1.4.65253.30000018012518422276800019894_3_512_512_\Osteo_Sarco_1.png","RPT")</f>
        <v>RPT</v>
      </c>
      <c r="G1775" s="3">
        <v>91</v>
      </c>
      <c r="H1775" s="3"/>
    </row>
    <row r="1776" spans="1:8" x14ac:dyDescent="0.3">
      <c r="A1776" s="2">
        <v>5859043</v>
      </c>
      <c r="B1776" s="2">
        <v>71</v>
      </c>
      <c r="C1776" s="2" t="s">
        <v>6</v>
      </c>
      <c r="D1776" s="2">
        <v>100</v>
      </c>
      <c r="E1776" s="2"/>
      <c r="F1776" s="4" t="str">
        <f>HYPERLINK("./Results/DLO\20180101_1.3.12.2.1107.5.1.4.65253.30000018012518422276800019751_2_512_512_\Osteo_Sarco_1.png","RPT")</f>
        <v>RPT</v>
      </c>
      <c r="G1776" s="3">
        <v>89</v>
      </c>
      <c r="H1776" s="3"/>
    </row>
    <row r="1777" spans="1:8" x14ac:dyDescent="0.3">
      <c r="A1777" s="2">
        <v>5864294</v>
      </c>
      <c r="B1777" s="2">
        <v>51</v>
      </c>
      <c r="C1777" s="2" t="s">
        <v>6</v>
      </c>
      <c r="D1777" s="2">
        <v>140</v>
      </c>
      <c r="E1777" s="2"/>
      <c r="F1777" s="4" t="str">
        <f>HYPERLINK("./Results/DLO\20190101_1.2.840.113619.2.416.329403334721949621170571680834817059624_308_512_512_\Osteo_Sarco_1.png","RPT")</f>
        <v>RPT</v>
      </c>
      <c r="G1777" s="3">
        <v>93</v>
      </c>
      <c r="H1777" s="3"/>
    </row>
    <row r="1778" spans="1:8" x14ac:dyDescent="0.3">
      <c r="A1778" s="2">
        <v>5864294</v>
      </c>
      <c r="B1778" s="2">
        <v>51</v>
      </c>
      <c r="C1778" s="2" t="s">
        <v>6</v>
      </c>
      <c r="D1778" s="2">
        <v>140</v>
      </c>
      <c r="E1778" s="2"/>
      <c r="F1778" s="4" t="str">
        <f>HYPERLINK("./Results/DLO\20190101_1.2.840.113619.2.416.270399021819885367310913522708262266927_305_512_512_\Osteo_Sarco_1.png","RPT")</f>
        <v>RPT</v>
      </c>
      <c r="G1778" s="3">
        <v>92</v>
      </c>
      <c r="H1778" s="3"/>
    </row>
    <row r="1779" spans="1:8" x14ac:dyDescent="0.3">
      <c r="A1779" s="2">
        <v>5864294</v>
      </c>
      <c r="B1779" s="2">
        <v>51</v>
      </c>
      <c r="C1779" s="2" t="s">
        <v>6</v>
      </c>
      <c r="D1779" s="2">
        <v>140</v>
      </c>
      <c r="E1779" s="2"/>
      <c r="F1779" s="4" t="str">
        <f>HYPERLINK("./Results/DLO\20190101_1.2.840.113619.2.416.243983908136830725910067975333785594375_303_512_512_\Osteo_Sarco_1.png","RPT")</f>
        <v>RPT</v>
      </c>
      <c r="G1779" s="3">
        <v>91</v>
      </c>
      <c r="H1779" s="3"/>
    </row>
    <row r="1780" spans="1:8" x14ac:dyDescent="0.3">
      <c r="A1780" s="2">
        <v>5864294</v>
      </c>
      <c r="B1780" s="2">
        <v>51</v>
      </c>
      <c r="C1780" s="2" t="s">
        <v>6</v>
      </c>
      <c r="D1780" s="2">
        <v>140</v>
      </c>
      <c r="E1780" s="2"/>
      <c r="F1780" s="4" t="str">
        <f>HYPERLINK("./Results/DLO\20190101_1.2.840.113619.2.416.240599795460111599697817077132924197384_301_512_512_\Osteo_Sarco_1.png","RPT")</f>
        <v>RPT</v>
      </c>
      <c r="G1780" s="3">
        <v>87</v>
      </c>
      <c r="H1780" s="3"/>
    </row>
    <row r="1781" spans="1:8" x14ac:dyDescent="0.3">
      <c r="A1781" s="2">
        <v>5866472</v>
      </c>
      <c r="B1781" s="2">
        <v>54</v>
      </c>
      <c r="C1781" s="2" t="s">
        <v>5</v>
      </c>
      <c r="D1781" s="2">
        <v>100</v>
      </c>
      <c r="E1781" s="2"/>
      <c r="F1781" s="4" t="str">
        <f>HYPERLINK("./Results/DLO\20180701_1.3.46.670589.33.1.63668628819348734200001.5286240225787261701_201_512_512_\Osteo_Sarco_1.png","RPT")</f>
        <v>RPT</v>
      </c>
      <c r="G1781" s="3">
        <v>139</v>
      </c>
      <c r="H1781" s="3"/>
    </row>
    <row r="1782" spans="1:8" x14ac:dyDescent="0.3">
      <c r="A1782" s="2">
        <v>5869380</v>
      </c>
      <c r="B1782" s="2">
        <v>57</v>
      </c>
      <c r="C1782" s="2" t="s">
        <v>6</v>
      </c>
      <c r="D1782" s="2">
        <v>100</v>
      </c>
      <c r="E1782" s="2"/>
      <c r="F1782" s="4" t="str">
        <f>HYPERLINK("./Results/DLO\20190101_1.3.12.2.1107.5.1.4.54310.30000019013000370112500008060_2_512_512_\Osteo_Sarco_1.png","RPT")</f>
        <v>RPT</v>
      </c>
      <c r="G1782" s="3">
        <v>128</v>
      </c>
      <c r="H1782" s="3"/>
    </row>
    <row r="1783" spans="1:8" x14ac:dyDescent="0.3">
      <c r="A1783" s="2">
        <v>5869973</v>
      </c>
      <c r="B1783" s="2">
        <v>41</v>
      </c>
      <c r="C1783" s="2" t="s">
        <v>6</v>
      </c>
      <c r="D1783" s="2">
        <v>100</v>
      </c>
      <c r="E1783" s="2"/>
      <c r="F1783" s="4" t="str">
        <f>HYPERLINK("./Results/DLO\20180201_1.3.12.2.1107.5.1.4.65253.30000018021918063995500021548_3_512_512_\Osteo_Sarco_1.png","RPT")</f>
        <v>RPT</v>
      </c>
      <c r="G1783" s="3">
        <v>101</v>
      </c>
      <c r="H1783" s="3"/>
    </row>
    <row r="1784" spans="1:8" x14ac:dyDescent="0.3">
      <c r="A1784" s="2">
        <v>5869973</v>
      </c>
      <c r="B1784" s="2">
        <v>41</v>
      </c>
      <c r="C1784" s="2" t="s">
        <v>6</v>
      </c>
      <c r="D1784" s="2">
        <v>100</v>
      </c>
      <c r="E1784" s="2"/>
      <c r="F1784" s="4" t="str">
        <f>HYPERLINK("./Results/DLO\20180201_1.3.12.2.1107.5.1.4.65253.30000018021918063995500021402_2_512_512_\Osteo_Sarco_1.png","RPT")</f>
        <v>RPT</v>
      </c>
      <c r="G1784" s="3">
        <v>98</v>
      </c>
      <c r="H1784" s="3"/>
    </row>
    <row r="1785" spans="1:8" x14ac:dyDescent="0.3">
      <c r="A1785" s="2">
        <v>5870434</v>
      </c>
      <c r="B1785" s="2">
        <v>35</v>
      </c>
      <c r="C1785" s="2" t="s">
        <v>5</v>
      </c>
      <c r="D1785" s="2">
        <v>100</v>
      </c>
      <c r="E1785" s="2"/>
      <c r="F1785" s="4" t="str">
        <f>HYPERLINK("./Results/DLO\20190501_1.3.46.670589.33.1.63692990090782175300001.5076607017305759578_601_512_512_\Osteo_Sarco_1.png","RPT")</f>
        <v>RPT</v>
      </c>
      <c r="G1785" s="3">
        <v>182</v>
      </c>
      <c r="H1785" s="3"/>
    </row>
    <row r="1786" spans="1:8" x14ac:dyDescent="0.3">
      <c r="A1786" s="2">
        <v>5870434</v>
      </c>
      <c r="B1786" s="2">
        <v>35</v>
      </c>
      <c r="C1786" s="2" t="s">
        <v>5</v>
      </c>
      <c r="D1786" s="2">
        <v>100</v>
      </c>
      <c r="E1786" s="2"/>
      <c r="F1786" s="4" t="str">
        <f>HYPERLINK("./Results/DLO\20190501_1.3.46.670589.33.1.63692990167161544000001.5071326212802115729_801_512_512_\Osteo_Sarco_1.png","RPT")</f>
        <v>RPT</v>
      </c>
      <c r="G1786" s="3">
        <v>182</v>
      </c>
      <c r="H1786" s="3"/>
    </row>
    <row r="1787" spans="1:8" x14ac:dyDescent="0.3">
      <c r="A1787" s="2">
        <v>5870434</v>
      </c>
      <c r="B1787" s="2">
        <v>35</v>
      </c>
      <c r="C1787" s="2" t="s">
        <v>5</v>
      </c>
      <c r="D1787" s="2">
        <v>100</v>
      </c>
      <c r="E1787" s="2"/>
      <c r="F1787" s="4" t="str">
        <f>HYPERLINK("./Results/DLO\20190501_1.3.46.670589.33.1.63692990030651736100001.4626996696048500961_501_512_512_\Osteo_Sarco_1.png","RPT")</f>
        <v>RPT</v>
      </c>
      <c r="G1787" s="3">
        <v>179</v>
      </c>
      <c r="H1787" s="3"/>
    </row>
    <row r="1788" spans="1:8" x14ac:dyDescent="0.3">
      <c r="A1788" s="2">
        <v>5870434</v>
      </c>
      <c r="B1788" s="2">
        <v>35</v>
      </c>
      <c r="C1788" s="2" t="s">
        <v>5</v>
      </c>
      <c r="D1788" s="2">
        <v>100</v>
      </c>
      <c r="E1788" s="2"/>
      <c r="F1788" s="4" t="str">
        <f>HYPERLINK("./Results/DLO\20190501_1.3.46.670589.33.1.63692989943480750200001.4825464485975557686_201_512_512_\Osteo_Sarco_1.png","RPT")</f>
        <v>RPT</v>
      </c>
      <c r="G1788" s="3">
        <v>178</v>
      </c>
      <c r="H1788" s="3"/>
    </row>
    <row r="1789" spans="1:8" x14ac:dyDescent="0.3">
      <c r="A1789" s="2">
        <v>5871361</v>
      </c>
      <c r="B1789" s="2">
        <v>57</v>
      </c>
      <c r="C1789" s="2" t="s">
        <v>6</v>
      </c>
      <c r="D1789" s="2">
        <v>100</v>
      </c>
      <c r="E1789" s="2"/>
      <c r="F1789" s="4" t="str">
        <f>HYPERLINK("./Results/DLO\20180801_1.2.840.113619.2.311.206525386978765428021041553589638931921_304_512_512_\Osteo_Sarco_1.png","RPT")</f>
        <v>RPT</v>
      </c>
      <c r="G1789" s="3">
        <v>108</v>
      </c>
      <c r="H1789" s="3"/>
    </row>
    <row r="1790" spans="1:8" x14ac:dyDescent="0.3">
      <c r="A1790" s="2">
        <v>5872661</v>
      </c>
      <c r="B1790" s="2">
        <v>58</v>
      </c>
      <c r="C1790" s="2" t="s">
        <v>5</v>
      </c>
      <c r="D1790" s="2">
        <v>100</v>
      </c>
      <c r="E1790" s="2"/>
      <c r="F1790" s="4" t="str">
        <f>HYPERLINK("./Results/DLO\20190801_1.3.46.670589.33.1.63700334636400407200001.5615272364003759354_201_512_512_\Osteo_Sarco_1.png","RPT")</f>
        <v>RPT</v>
      </c>
      <c r="G1790" s="3">
        <v>203</v>
      </c>
      <c r="H1790" s="3"/>
    </row>
    <row r="1791" spans="1:8" x14ac:dyDescent="0.3">
      <c r="A1791" s="2">
        <v>5874744</v>
      </c>
      <c r="B1791" s="2">
        <v>43</v>
      </c>
      <c r="C1791" s="2" t="s">
        <v>6</v>
      </c>
      <c r="D1791" s="2">
        <v>100</v>
      </c>
      <c r="E1791" s="2"/>
      <c r="F1791" s="4" t="str">
        <f>HYPERLINK("./Results/DLO\20181201_1.2.840.113619.2.416.28256509387387122366581367180881084420_304_512_512_\Osteo_Sarco_1.png","RPT")</f>
        <v>RPT</v>
      </c>
      <c r="G1791" s="3">
        <v>99</v>
      </c>
      <c r="H1791" s="3"/>
    </row>
    <row r="1792" spans="1:8" x14ac:dyDescent="0.3">
      <c r="A1792" s="2">
        <v>5875112</v>
      </c>
      <c r="B1792" s="2">
        <v>57</v>
      </c>
      <c r="C1792" s="2" t="s">
        <v>6</v>
      </c>
      <c r="D1792" s="2">
        <v>120</v>
      </c>
      <c r="E1792" s="2"/>
      <c r="F1792" s="4" t="str">
        <f>HYPERLINK("./Results/DLO\20200401_1.2.410.100011.172.16.64.21.6372193106733060653.2_2_512_512_\Osteo_Sarco_1.png","RPT")</f>
        <v>RPT</v>
      </c>
      <c r="G1792" s="3">
        <v>92</v>
      </c>
      <c r="H1792" s="3"/>
    </row>
    <row r="1793" spans="1:8" x14ac:dyDescent="0.3">
      <c r="A1793" s="2">
        <v>5875129</v>
      </c>
      <c r="B1793" s="2">
        <v>61</v>
      </c>
      <c r="C1793" s="2" t="s">
        <v>6</v>
      </c>
      <c r="D1793" s="2">
        <v>100</v>
      </c>
      <c r="E1793" s="2"/>
      <c r="F1793" s="4" t="str">
        <f>HYPERLINK("./Results/DLO\20190701_1.3.12.2.1107.5.1.4.54310.30000019071022051254600072236_2_512_512_\Osteo_Sarco_1.png","RPT")</f>
        <v>RPT</v>
      </c>
      <c r="G1793" s="3">
        <v>103</v>
      </c>
      <c r="H1793" s="3"/>
    </row>
    <row r="1794" spans="1:8" x14ac:dyDescent="0.3">
      <c r="A1794" s="2">
        <v>5875134</v>
      </c>
      <c r="B1794" s="2">
        <v>73</v>
      </c>
      <c r="C1794" s="2" t="s">
        <v>6</v>
      </c>
      <c r="D1794" s="2">
        <v>100</v>
      </c>
      <c r="E1794" s="2"/>
      <c r="F1794" s="4" t="str">
        <f>HYPERLINK("./Results/DLO\20190101_1.3.12.2.1107.5.1.4.54310.30000019011323465885900006955_3_512_512_\Osteo_Sarco_1.png","RPT")</f>
        <v>RPT</v>
      </c>
      <c r="G1794" s="3">
        <v>120</v>
      </c>
      <c r="H1794" s="3"/>
    </row>
    <row r="1795" spans="1:8" x14ac:dyDescent="0.3">
      <c r="A1795" s="2">
        <v>5877711</v>
      </c>
      <c r="B1795" s="2">
        <v>38</v>
      </c>
      <c r="C1795" s="2" t="s">
        <v>6</v>
      </c>
      <c r="D1795" s="2">
        <v>140</v>
      </c>
      <c r="E1795" s="2"/>
      <c r="F1795" s="4" t="str">
        <f>HYPERLINK("./Results/DLO\20200601_1.2.840.113619.2.416.185973334637706498910304570210242214578_302_512_512_\Osteo_Sarco_1.png","RPT")</f>
        <v>RPT</v>
      </c>
      <c r="G1795" s="3">
        <v>115</v>
      </c>
      <c r="H1795" s="3"/>
    </row>
    <row r="1796" spans="1:8" x14ac:dyDescent="0.3">
      <c r="A1796" s="2">
        <v>5877711</v>
      </c>
      <c r="B1796" s="2">
        <v>38</v>
      </c>
      <c r="C1796" s="2" t="s">
        <v>6</v>
      </c>
      <c r="D1796" s="2">
        <v>140</v>
      </c>
      <c r="E1796" s="2"/>
      <c r="F1796" s="4" t="str">
        <f>HYPERLINK("./Results/DLO\20200601_1.2.840.113619.2.416.60437203768084525681360352714083523127_303_512_512_\Osteo_Sarco_1.png","RPT")</f>
        <v>RPT</v>
      </c>
      <c r="G1796" s="3">
        <v>108</v>
      </c>
      <c r="H1796" s="3"/>
    </row>
    <row r="1797" spans="1:8" x14ac:dyDescent="0.3">
      <c r="A1797" s="2">
        <v>5879813</v>
      </c>
      <c r="B1797" s="2">
        <v>58</v>
      </c>
      <c r="C1797" s="2" t="s">
        <v>5</v>
      </c>
      <c r="D1797" s="2">
        <v>100</v>
      </c>
      <c r="E1797" s="2"/>
      <c r="F1797" s="4" t="str">
        <f>HYPERLINK("./Results/DLO\20200501_1.3.12.2.1107.5.1.4.54310.30000020051422075267100023363_2_512_512_\Osteo_Sarco_1.png","RPT")</f>
        <v>RPT</v>
      </c>
      <c r="G1797" s="3">
        <v>159</v>
      </c>
      <c r="H1797" s="3"/>
    </row>
    <row r="1798" spans="1:8" x14ac:dyDescent="0.3">
      <c r="A1798" s="2">
        <v>5881841</v>
      </c>
      <c r="B1798" s="2">
        <v>39</v>
      </c>
      <c r="C1798" s="2" t="s">
        <v>5</v>
      </c>
      <c r="D1798" s="2">
        <v>100</v>
      </c>
      <c r="E1798" s="2"/>
      <c r="F1798" s="4" t="str">
        <f>HYPERLINK("./Results/DLO\20190401_1.3.46.670589.33.1.63689796471156998900001.4930648905155257289_301_512_512_\Osteo_Sarco_1.png","RPT")</f>
        <v>RPT</v>
      </c>
      <c r="G1798" s="3">
        <v>140</v>
      </c>
      <c r="H1798" s="3"/>
    </row>
    <row r="1799" spans="1:8" x14ac:dyDescent="0.3">
      <c r="A1799" s="2">
        <v>5881841</v>
      </c>
      <c r="B1799" s="2">
        <v>39</v>
      </c>
      <c r="C1799" s="2" t="s">
        <v>5</v>
      </c>
      <c r="D1799" s="2">
        <v>100</v>
      </c>
      <c r="E1799" s="2"/>
      <c r="F1799" s="4" t="str">
        <f>HYPERLINK("./Results/DLO\20190401_1.3.46.670589.33.1.63689796360071645200001.5137157322829333803_201_512_512_\Osteo_Sarco_1.png","RPT")</f>
        <v>RPT</v>
      </c>
      <c r="G1799" s="3">
        <v>138</v>
      </c>
      <c r="H1799" s="3"/>
    </row>
    <row r="1800" spans="1:8" x14ac:dyDescent="0.3">
      <c r="A1800" s="2">
        <v>5881951</v>
      </c>
      <c r="B1800" s="2">
        <v>56</v>
      </c>
      <c r="C1800" s="2" t="s">
        <v>5</v>
      </c>
      <c r="D1800" s="2">
        <v>140</v>
      </c>
      <c r="E1800" s="2"/>
      <c r="F1800" s="4" t="str">
        <f>HYPERLINK("./Results/DLO\20180601_1.2.840.113619.2.416.67430321698674521785837853390881762682_305_512_512_\Osteo_Sarco_1.png","RPT")</f>
        <v>RPT</v>
      </c>
      <c r="G1800" s="3">
        <v>150</v>
      </c>
      <c r="H1800" s="3"/>
    </row>
    <row r="1801" spans="1:8" x14ac:dyDescent="0.3">
      <c r="A1801" s="2">
        <v>5881951</v>
      </c>
      <c r="B1801" s="2">
        <v>56</v>
      </c>
      <c r="C1801" s="2" t="s">
        <v>5</v>
      </c>
      <c r="D1801" s="2">
        <v>140</v>
      </c>
      <c r="E1801" s="2"/>
      <c r="F1801" s="4" t="str">
        <f>HYPERLINK("./Results/DLO\20180601_1.2.840.113619.2.416.5340901067777491245135453520083250864_303_512_512_\Osteo_Sarco_1.png","RPT")</f>
        <v>RPT</v>
      </c>
      <c r="G1801" s="3">
        <v>149</v>
      </c>
      <c r="H1801" s="3"/>
    </row>
    <row r="1802" spans="1:8" x14ac:dyDescent="0.3">
      <c r="A1802" s="2">
        <v>5881951</v>
      </c>
      <c r="B1802" s="2">
        <v>56</v>
      </c>
      <c r="C1802" s="2" t="s">
        <v>5</v>
      </c>
      <c r="D1802" s="2">
        <v>140</v>
      </c>
      <c r="E1802" s="2"/>
      <c r="F1802" s="4" t="str">
        <f>HYPERLINK("./Results/DLO\20180601_1.2.840.113619.2.416.334035590707811870834817472427090553290_308_512_512_\Osteo_Sarco_1.png","RPT")</f>
        <v>RPT</v>
      </c>
      <c r="G1802" s="3">
        <v>139</v>
      </c>
      <c r="H1802" s="3"/>
    </row>
    <row r="1803" spans="1:8" x14ac:dyDescent="0.3">
      <c r="A1803" s="2">
        <v>5881951</v>
      </c>
      <c r="B1803" s="2">
        <v>56</v>
      </c>
      <c r="C1803" s="2" t="s">
        <v>5</v>
      </c>
      <c r="D1803" s="2">
        <v>140</v>
      </c>
      <c r="E1803" s="2"/>
      <c r="F1803" s="4" t="str">
        <f>HYPERLINK("./Results/DLO\20180601_1.2.840.113619.2.416.87746398263596006490322569300983289090_301_512_512_\Osteo_Sarco_1.png","RPT")</f>
        <v>RPT</v>
      </c>
      <c r="G1803" s="3">
        <v>135</v>
      </c>
      <c r="H1803" s="3"/>
    </row>
    <row r="1804" spans="1:8" x14ac:dyDescent="0.3">
      <c r="A1804" s="2">
        <v>5882753</v>
      </c>
      <c r="B1804" s="2">
        <v>63</v>
      </c>
      <c r="C1804" s="2" t="s">
        <v>5</v>
      </c>
      <c r="D1804" s="2">
        <v>140</v>
      </c>
      <c r="E1804" s="2"/>
      <c r="F1804" s="4" t="str">
        <f>HYPERLINK("./Results/DLO\20190801_1.2.840.113619.2.416.117117976242104924011677935388330278615_303_512_512_\Osteo_Sarco_1.png","RPT")</f>
        <v>RPT</v>
      </c>
      <c r="G1804" s="3">
        <v>139</v>
      </c>
      <c r="H1804" s="3"/>
    </row>
    <row r="1805" spans="1:8" x14ac:dyDescent="0.3">
      <c r="A1805" s="2">
        <v>5882753</v>
      </c>
      <c r="B1805" s="2">
        <v>63</v>
      </c>
      <c r="C1805" s="2" t="s">
        <v>5</v>
      </c>
      <c r="D1805" s="2">
        <v>100</v>
      </c>
      <c r="E1805" s="2"/>
      <c r="F1805" s="4" t="str">
        <f>HYPERLINK("./Results/DLO\20190801_1.2.840.113619.2.416.43264294877871166684481518469502523774_306_512_512_\Osteo_Sarco_1.png","RPT")</f>
        <v>RPT</v>
      </c>
      <c r="G1805" s="3">
        <v>137</v>
      </c>
      <c r="H1805" s="3"/>
    </row>
    <row r="1806" spans="1:8" x14ac:dyDescent="0.3">
      <c r="A1806" s="2">
        <v>5883186</v>
      </c>
      <c r="B1806" s="2">
        <v>57</v>
      </c>
      <c r="C1806" s="2" t="s">
        <v>6</v>
      </c>
      <c r="D1806" s="2">
        <v>100</v>
      </c>
      <c r="E1806" s="2"/>
      <c r="F1806" s="4" t="str">
        <f>HYPERLINK("./Results/DLO\20200201_1.3.46.670589.33.1.63716494665208772600001.5679588839433332030_201_512_512_\Osteo_Sarco_1.png","RPT")</f>
        <v>RPT</v>
      </c>
      <c r="G1806" s="3">
        <v>91</v>
      </c>
      <c r="H1806" s="3"/>
    </row>
    <row r="1807" spans="1:8" x14ac:dyDescent="0.3">
      <c r="A1807" s="2">
        <v>5885470</v>
      </c>
      <c r="B1807" s="2">
        <v>64</v>
      </c>
      <c r="C1807" s="2" t="s">
        <v>5</v>
      </c>
      <c r="D1807" s="2">
        <v>140</v>
      </c>
      <c r="E1807" s="2"/>
      <c r="F1807" s="4" t="str">
        <f>HYPERLINK("./Results/DLO\20190701_1.2.840.113619.2.416.21503206314440829362707504500764963421_303_512_512_\Osteo_Sarco_1.png","RPT")</f>
        <v>RPT</v>
      </c>
      <c r="G1807" s="3">
        <v>118</v>
      </c>
      <c r="H1807" s="3"/>
    </row>
    <row r="1808" spans="1:8" x14ac:dyDescent="0.3">
      <c r="A1808" s="2">
        <v>5885470</v>
      </c>
      <c r="B1808" s="2">
        <v>64</v>
      </c>
      <c r="C1808" s="2" t="s">
        <v>5</v>
      </c>
      <c r="D1808" s="2">
        <v>140</v>
      </c>
      <c r="E1808" s="2"/>
      <c r="F1808" s="4" t="str">
        <f>HYPERLINK("./Results/DLO\20190701_1.2.840.113619.2.416.337917848976009786710915364571615977390_306_512_512_\Osteo_Sarco_1.png","RPT")</f>
        <v>RPT</v>
      </c>
      <c r="G1808" s="3">
        <v>117</v>
      </c>
      <c r="H1808" s="3"/>
    </row>
    <row r="1809" spans="1:8" x14ac:dyDescent="0.3">
      <c r="A1809" s="2">
        <v>5885470</v>
      </c>
      <c r="B1809" s="2">
        <v>64</v>
      </c>
      <c r="C1809" s="2" t="s">
        <v>5</v>
      </c>
      <c r="D1809" s="2">
        <v>140</v>
      </c>
      <c r="E1809" s="2"/>
      <c r="F1809" s="4" t="str">
        <f>HYPERLINK("./Results/DLO\20190701_1.2.840.113619.2.416.101674452016641890320565183398372829978_301_512_512_\Osteo_Sarco_1.png","RPT")</f>
        <v>RPT</v>
      </c>
      <c r="G1809" s="3">
        <v>114</v>
      </c>
      <c r="H1809" s="3"/>
    </row>
    <row r="1810" spans="1:8" x14ac:dyDescent="0.3">
      <c r="A1810" s="2">
        <v>5885470</v>
      </c>
      <c r="B1810" s="2">
        <v>64</v>
      </c>
      <c r="C1810" s="2" t="s">
        <v>5</v>
      </c>
      <c r="D1810" s="2">
        <v>140</v>
      </c>
      <c r="E1810" s="2"/>
      <c r="F1810" s="4" t="str">
        <f>HYPERLINK("./Results/DLO\20190701_1.2.840.113619.2.416.14830847322832801496478780013029354053_2_512_512_\Osteo_Sarco_1.png","RPT")</f>
        <v>RPT</v>
      </c>
      <c r="G1810" s="3">
        <v>113</v>
      </c>
      <c r="H1810" s="3"/>
    </row>
    <row r="1811" spans="1:8" x14ac:dyDescent="0.3">
      <c r="A1811" s="2">
        <v>5886195</v>
      </c>
      <c r="B1811" s="2">
        <v>45</v>
      </c>
      <c r="C1811" s="2" t="s">
        <v>6</v>
      </c>
      <c r="D1811" s="2">
        <v>100</v>
      </c>
      <c r="E1811" s="2"/>
      <c r="F1811" s="4" t="str">
        <f>HYPERLINK("./Results/DLO\20180301_1.3.12.2.1107.5.1.4.54310.30000018031923074687500008667_2_512_512_\Osteo_Sarco_1.png","RPT")</f>
        <v>RPT</v>
      </c>
      <c r="G1811" s="3">
        <v>101</v>
      </c>
      <c r="H1811" s="3"/>
    </row>
    <row r="1812" spans="1:8" x14ac:dyDescent="0.3">
      <c r="A1812" s="2">
        <v>5890129</v>
      </c>
      <c r="B1812" s="2">
        <v>77</v>
      </c>
      <c r="C1812" s="2" t="s">
        <v>6</v>
      </c>
      <c r="D1812" s="2">
        <v>100</v>
      </c>
      <c r="E1812" s="2"/>
      <c r="F1812" s="4" t="str">
        <f>HYPERLINK("./Results/DLO\20190201_1.3.12.2.1107.5.1.4.54310.30000019020723361360900042081_3_512_512_\Osteo_Sarco_1.png","RPT")</f>
        <v>RPT</v>
      </c>
      <c r="G1812" s="3">
        <v>131</v>
      </c>
      <c r="H1812" s="3"/>
    </row>
    <row r="1813" spans="1:8" x14ac:dyDescent="0.3">
      <c r="A1813" s="2">
        <v>5890129</v>
      </c>
      <c r="B1813" s="2">
        <v>77</v>
      </c>
      <c r="C1813" s="2" t="s">
        <v>6</v>
      </c>
      <c r="D1813" s="2">
        <v>100</v>
      </c>
      <c r="E1813" s="2"/>
      <c r="F1813" s="4" t="str">
        <f>HYPERLINK("./Results/DLO\20190201_1.3.12.2.1107.5.1.4.54310.30000019020723361360900041925_2_512_512_\Osteo_Sarco_1.png","RPT")</f>
        <v>RPT</v>
      </c>
      <c r="G1813" s="3">
        <v>130</v>
      </c>
      <c r="H1813" s="3"/>
    </row>
    <row r="1814" spans="1:8" x14ac:dyDescent="0.3">
      <c r="A1814" s="2">
        <v>5890265</v>
      </c>
      <c r="B1814" s="2">
        <v>67</v>
      </c>
      <c r="C1814" s="2" t="s">
        <v>6</v>
      </c>
      <c r="D1814" s="2">
        <v>100</v>
      </c>
      <c r="E1814" s="2"/>
      <c r="F1814" s="4" t="str">
        <f>HYPERLINK("./Results/DLO\20180501_1.2.840.113619.2.416.115527895837197382365569605534605733254_303_512_512_\Osteo_Sarco_1.png","RPT")</f>
        <v>RPT</v>
      </c>
      <c r="G1814" s="3">
        <v>91</v>
      </c>
      <c r="H1814" s="3"/>
    </row>
    <row r="1815" spans="1:8" x14ac:dyDescent="0.3">
      <c r="A1815" s="2">
        <v>5891556</v>
      </c>
      <c r="B1815" s="2">
        <v>46</v>
      </c>
      <c r="C1815" s="2" t="s">
        <v>6</v>
      </c>
      <c r="D1815" s="2">
        <v>140</v>
      </c>
      <c r="E1815" s="2"/>
      <c r="F1815" s="4" t="str">
        <f>HYPERLINK("./Results/DLO\20191101_1.2.840.113619.2.416.258634287624849876951676002217033621900_301_512_512_\Osteo_Sarco_1.png","RPT")</f>
        <v>RPT</v>
      </c>
      <c r="G1815" s="3">
        <v>110</v>
      </c>
      <c r="H1815" s="3"/>
    </row>
    <row r="1816" spans="1:8" x14ac:dyDescent="0.3">
      <c r="A1816" s="2">
        <v>5891556</v>
      </c>
      <c r="B1816" s="2">
        <v>46</v>
      </c>
      <c r="C1816" s="2" t="s">
        <v>6</v>
      </c>
      <c r="D1816" s="2">
        <v>140</v>
      </c>
      <c r="E1816" s="2"/>
      <c r="F1816" s="4" t="str">
        <f>HYPERLINK("./Results/DLO\20191101_1.2.840.113619.2.416.56715150306952840179107782445463829205_303_512_512_\Osteo_Sarco_1.png","RPT")</f>
        <v>RPT</v>
      </c>
      <c r="G1816" s="3">
        <v>110</v>
      </c>
      <c r="H1816" s="3"/>
    </row>
    <row r="1817" spans="1:8" x14ac:dyDescent="0.3">
      <c r="A1817" s="2">
        <v>5891556</v>
      </c>
      <c r="B1817" s="2">
        <v>46</v>
      </c>
      <c r="C1817" s="2" t="s">
        <v>6</v>
      </c>
      <c r="D1817" s="2">
        <v>140</v>
      </c>
      <c r="E1817" s="2"/>
      <c r="F1817" s="4" t="str">
        <f>HYPERLINK("./Results/DLO\20191101_1.2.840.113619.2.416.217586323900546193150349290861065805312_304_512_512_\Osteo_Sarco_1.png","RPT")</f>
        <v>RPT</v>
      </c>
      <c r="G1817" s="3">
        <v>108</v>
      </c>
      <c r="H1817" s="3"/>
    </row>
    <row r="1818" spans="1:8" x14ac:dyDescent="0.3">
      <c r="A1818" s="2">
        <v>5892970</v>
      </c>
      <c r="B1818" s="2">
        <v>32</v>
      </c>
      <c r="C1818" s="2" t="s">
        <v>5</v>
      </c>
      <c r="D1818" s="2">
        <v>100</v>
      </c>
      <c r="E1818" s="2"/>
      <c r="F1818" s="4" t="str">
        <f>HYPERLINK("./Results/DLO\20180901_1.2.840.113619.2.311.31337611133086722626393205240748240987_303_512_512_\Osteo_Sarco_1.png","RPT")</f>
        <v>RPT</v>
      </c>
      <c r="G1818" s="3">
        <v>142</v>
      </c>
      <c r="H1818" s="3"/>
    </row>
    <row r="1819" spans="1:8" x14ac:dyDescent="0.3">
      <c r="A1819" s="2">
        <v>5894279</v>
      </c>
      <c r="B1819" s="2">
        <v>32</v>
      </c>
      <c r="C1819" s="2" t="s">
        <v>6</v>
      </c>
      <c r="D1819" s="2">
        <v>100</v>
      </c>
      <c r="E1819" s="2"/>
      <c r="F1819" s="4" t="str">
        <f>HYPERLINK("./Results/DLO\20180801_1.3.12.2.1107.5.1.4.65253.30000018082521211609600011928_3_512_512_\Osteo_Sarco_1.png","RPT")</f>
        <v>RPT</v>
      </c>
      <c r="G1819" s="3">
        <v>107</v>
      </c>
      <c r="H1819" s="3"/>
    </row>
    <row r="1820" spans="1:8" x14ac:dyDescent="0.3">
      <c r="A1820" s="2">
        <v>5894279</v>
      </c>
      <c r="B1820" s="2">
        <v>32</v>
      </c>
      <c r="C1820" s="2" t="s">
        <v>6</v>
      </c>
      <c r="D1820" s="2">
        <v>100</v>
      </c>
      <c r="E1820" s="2"/>
      <c r="F1820" s="4" t="str">
        <f>HYPERLINK("./Results/DLO\20180801_1.3.12.2.1107.5.1.4.65253.30000018082521211609600011772_2_512_512_\Osteo_Sarco_1.png","RPT")</f>
        <v>RPT</v>
      </c>
      <c r="G1820" s="3">
        <v>103</v>
      </c>
      <c r="H1820" s="3"/>
    </row>
    <row r="1821" spans="1:8" x14ac:dyDescent="0.3">
      <c r="A1821" s="2">
        <v>5894614</v>
      </c>
      <c r="B1821" s="2">
        <v>48</v>
      </c>
      <c r="C1821" s="2" t="s">
        <v>6</v>
      </c>
      <c r="D1821" s="2">
        <v>100</v>
      </c>
      <c r="E1821" s="2"/>
      <c r="F1821" s="4" t="str">
        <f>HYPERLINK("./Results/DLO\20181201_1.3.46.670589.33.1.63680124194317386700001.4737420749141007020_201_512_512_\Osteo_Sarco_1.png","RPT")</f>
        <v>RPT</v>
      </c>
      <c r="G1821" s="3">
        <v>131</v>
      </c>
      <c r="H1821" s="3"/>
    </row>
    <row r="1822" spans="1:8" x14ac:dyDescent="0.3">
      <c r="A1822" s="2">
        <v>5896020</v>
      </c>
      <c r="B1822" s="2">
        <v>75</v>
      </c>
      <c r="C1822" s="2" t="s">
        <v>6</v>
      </c>
      <c r="D1822" s="2">
        <v>100</v>
      </c>
      <c r="E1822" s="2"/>
      <c r="F1822" s="4" t="str">
        <f>HYPERLINK("./Results/DLO\20190701_1.2.410.100011.172.16.64.21.6369895840272863441.3_3_512_512_\Osteo_Sarco_1.png","RPT")</f>
        <v>RPT</v>
      </c>
      <c r="G1822" s="3">
        <v>110</v>
      </c>
      <c r="H1822" s="3"/>
    </row>
    <row r="1823" spans="1:8" x14ac:dyDescent="0.3">
      <c r="A1823" s="2">
        <v>5896020</v>
      </c>
      <c r="B1823" s="2">
        <v>75</v>
      </c>
      <c r="C1823" s="2" t="s">
        <v>6</v>
      </c>
      <c r="D1823" s="2">
        <v>100</v>
      </c>
      <c r="E1823" s="2"/>
      <c r="F1823" s="4" t="str">
        <f>HYPERLINK("./Results/DLO\20190701_1.2.410.100011.172.16.64.21.6369895840272863441.4_4_512_512_\Osteo_Sarco_1.png","RPT")</f>
        <v>RPT</v>
      </c>
      <c r="G1823" s="3">
        <v>110</v>
      </c>
      <c r="H1823" s="3"/>
    </row>
    <row r="1824" spans="1:8" x14ac:dyDescent="0.3">
      <c r="A1824" s="2">
        <v>5896020</v>
      </c>
      <c r="B1824" s="2">
        <v>75</v>
      </c>
      <c r="C1824" s="2" t="s">
        <v>6</v>
      </c>
      <c r="D1824" s="2">
        <v>100</v>
      </c>
      <c r="E1824" s="2"/>
      <c r="F1824" s="4" t="str">
        <f>HYPERLINK("./Results/DLO\20190701_1.2.410.100011.172.16.64.21.6369895840272863441.2_2_512_512_\Osteo_Sarco_1.png","RPT")</f>
        <v>RPT</v>
      </c>
      <c r="G1824" s="3">
        <v>106</v>
      </c>
      <c r="H1824" s="3"/>
    </row>
    <row r="1825" spans="1:8" x14ac:dyDescent="0.3">
      <c r="A1825" s="2">
        <v>5902720</v>
      </c>
      <c r="B1825" s="2">
        <v>47</v>
      </c>
      <c r="C1825" s="2" t="s">
        <v>5</v>
      </c>
      <c r="D1825" s="2">
        <v>100</v>
      </c>
      <c r="E1825" s="2"/>
      <c r="F1825" s="4" t="str">
        <f>HYPERLINK("./Results/DLO\20181001_1.3.46.670589.33.1.63676494379901643600001.4794688774296578796_201_512_512_\Osteo_Sarco_1.png","RPT")</f>
        <v>RPT</v>
      </c>
      <c r="G1825" s="3">
        <v>195</v>
      </c>
      <c r="H1825" s="3"/>
    </row>
    <row r="1826" spans="1:8" x14ac:dyDescent="0.3">
      <c r="A1826" s="2">
        <v>5903760</v>
      </c>
      <c r="B1826" s="2">
        <v>68</v>
      </c>
      <c r="C1826" s="2" t="s">
        <v>6</v>
      </c>
      <c r="D1826" s="2">
        <v>100</v>
      </c>
      <c r="E1826" s="2"/>
      <c r="F1826" s="4" t="str">
        <f>HYPERLINK("./Results/DLO\20190201_1.3.12.2.1107.5.1.4.54310.30000019021023283385900036014_2_512_512_\Osteo_Sarco_1.png","RPT")</f>
        <v>RPT</v>
      </c>
      <c r="G1826" s="3">
        <v>111</v>
      </c>
      <c r="H1826" s="3"/>
    </row>
    <row r="1827" spans="1:8" x14ac:dyDescent="0.3">
      <c r="A1827" s="2">
        <v>5903760</v>
      </c>
      <c r="B1827" s="2">
        <v>68</v>
      </c>
      <c r="C1827" s="2" t="s">
        <v>6</v>
      </c>
      <c r="D1827" s="2">
        <v>100</v>
      </c>
      <c r="E1827" s="2"/>
      <c r="F1827" s="4" t="str">
        <f>HYPERLINK("./Results/DLO\20190201_1.3.12.2.1107.5.1.4.54310.30000019021023283385900036157_3_512_512_\Osteo_Sarco_1.png","RPT")</f>
        <v>RPT</v>
      </c>
      <c r="G1827" s="3">
        <v>110</v>
      </c>
      <c r="H1827" s="3"/>
    </row>
    <row r="1828" spans="1:8" x14ac:dyDescent="0.3">
      <c r="A1828" s="2">
        <v>5911456</v>
      </c>
      <c r="B1828" s="2">
        <v>62</v>
      </c>
      <c r="C1828" s="2" t="s">
        <v>5</v>
      </c>
      <c r="D1828" s="2">
        <v>100</v>
      </c>
      <c r="E1828" s="2"/>
      <c r="F1828" s="4" t="str">
        <f>HYPERLINK("./Results/DLO\20191001_1.3.46.670589.33.1.63705776397915302100001.5616007867439704024_201_512_512_\Osteo_Sarco_1.png","RPT")</f>
        <v>RPT</v>
      </c>
      <c r="G1828" s="3">
        <v>167</v>
      </c>
      <c r="H1828" s="3"/>
    </row>
    <row r="1829" spans="1:8" x14ac:dyDescent="0.3">
      <c r="A1829" s="2">
        <v>5918992</v>
      </c>
      <c r="B1829" s="2">
        <v>59</v>
      </c>
      <c r="C1829" s="2" t="s">
        <v>5</v>
      </c>
      <c r="D1829" s="2">
        <v>100</v>
      </c>
      <c r="E1829" s="2"/>
      <c r="F1829" s="4" t="str">
        <f>HYPERLINK("./Results/DLO\20180401_1.3.12.2.1107.5.1.4.54310.30000018042923092775000010446_2_512_512_\Osteo_Sarco_1.png","RPT")</f>
        <v>RPT</v>
      </c>
      <c r="G1829" s="3">
        <v>165</v>
      </c>
      <c r="H1829" s="3"/>
    </row>
    <row r="1830" spans="1:8" x14ac:dyDescent="0.3">
      <c r="A1830" s="2">
        <v>5918992</v>
      </c>
      <c r="B1830" s="2">
        <v>59</v>
      </c>
      <c r="C1830" s="2" t="s">
        <v>5</v>
      </c>
      <c r="D1830" s="2">
        <v>100</v>
      </c>
      <c r="E1830" s="2"/>
      <c r="F1830" s="4" t="str">
        <f>HYPERLINK("./Results/DLO\20180401_1.3.12.2.1107.5.1.4.54310.30000018042923092775000010615_3_512_512_\Osteo_Sarco_1.png","RPT")</f>
        <v>RPT</v>
      </c>
      <c r="G1830" s="3">
        <v>165</v>
      </c>
      <c r="H1830" s="3"/>
    </row>
    <row r="1831" spans="1:8" x14ac:dyDescent="0.3">
      <c r="A1831" s="2">
        <v>5919295</v>
      </c>
      <c r="B1831" s="2">
        <v>69</v>
      </c>
      <c r="C1831" s="2" t="s">
        <v>6</v>
      </c>
      <c r="D1831" s="2">
        <v>100</v>
      </c>
      <c r="E1831" s="2"/>
      <c r="F1831" s="4" t="str">
        <f>HYPERLINK("./Results/DLO\20190701_1.3.12.2.1107.5.1.4.54310.30000019063022203612500037578_2_512_512_\Osteo_Sarco_1.png","RPT")</f>
        <v>RPT</v>
      </c>
      <c r="G1831" s="3">
        <v>125</v>
      </c>
      <c r="H1831" s="3"/>
    </row>
    <row r="1832" spans="1:8" x14ac:dyDescent="0.3">
      <c r="A1832" s="2">
        <v>5921801</v>
      </c>
      <c r="B1832" s="2">
        <v>86</v>
      </c>
      <c r="C1832" s="2" t="s">
        <v>6</v>
      </c>
      <c r="D1832" s="2">
        <v>100</v>
      </c>
      <c r="E1832" s="2"/>
      <c r="F1832" s="4" t="str">
        <f>HYPERLINK("./Results/DLO\20190701_1.3.12.2.1107.5.1.4.65253.30000019071118201205600080647_3_512_512_\Osteo_Sarco_1.png","RPT")</f>
        <v>RPT</v>
      </c>
      <c r="G1832" s="3">
        <v>108</v>
      </c>
      <c r="H1832" s="3"/>
    </row>
    <row r="1833" spans="1:8" x14ac:dyDescent="0.3">
      <c r="A1833" s="2">
        <v>5921801</v>
      </c>
      <c r="B1833" s="2">
        <v>86</v>
      </c>
      <c r="C1833" s="2" t="s">
        <v>6</v>
      </c>
      <c r="D1833" s="2">
        <v>100</v>
      </c>
      <c r="E1833" s="2"/>
      <c r="F1833" s="4" t="str">
        <f>HYPERLINK("./Results/DLO\20190701_1.3.12.2.1107.5.1.4.65253.30000019071118201205600080479_2_512_512_\Osteo_Sarco_1.png","RPT")</f>
        <v>RPT</v>
      </c>
      <c r="G1833" s="3">
        <v>103</v>
      </c>
      <c r="H1833" s="3"/>
    </row>
    <row r="1834" spans="1:8" x14ac:dyDescent="0.3">
      <c r="A1834" s="2">
        <v>5922311</v>
      </c>
      <c r="B1834" s="2">
        <v>61</v>
      </c>
      <c r="C1834" s="2" t="s">
        <v>6</v>
      </c>
      <c r="D1834" s="2">
        <v>100</v>
      </c>
      <c r="E1834" s="2"/>
      <c r="F1834" s="4" t="str">
        <f>HYPERLINK("./Results/DLO\20190601_1.3.12.2.1107.5.1.4.54310.30000019061121210946800028206_6_512_512_\Osteo_Sarco_1.png","RPT")</f>
        <v>RPT</v>
      </c>
      <c r="G1834" s="3">
        <v>77</v>
      </c>
      <c r="H1834" s="3"/>
    </row>
    <row r="1835" spans="1:8" x14ac:dyDescent="0.3">
      <c r="A1835" s="2">
        <v>5924943</v>
      </c>
      <c r="B1835" s="2">
        <v>77</v>
      </c>
      <c r="C1835" s="2" t="s">
        <v>5</v>
      </c>
      <c r="D1835" s="2">
        <v>100</v>
      </c>
      <c r="E1835" s="2"/>
      <c r="F1835" s="4" t="str">
        <f>HYPERLINK("./Results/DLO\20181201_1.3.12.2.1107.5.1.4.54310.30000018121923192868700019011_6_512_512_\Osteo_Sarco_1.png","RPT")</f>
        <v>RPT</v>
      </c>
      <c r="G1835" s="3">
        <v>131</v>
      </c>
      <c r="H1835" s="3"/>
    </row>
    <row r="1836" spans="1:8" x14ac:dyDescent="0.3">
      <c r="A1836" s="2">
        <v>5924943</v>
      </c>
      <c r="B1836" s="2">
        <v>77</v>
      </c>
      <c r="C1836" s="2" t="s">
        <v>5</v>
      </c>
      <c r="D1836" s="2">
        <v>100</v>
      </c>
      <c r="E1836" s="2"/>
      <c r="F1836" s="4" t="str">
        <f>HYPERLINK("./Results/DLO\20181201_1.3.12.2.1107.5.1.4.54310.30000018121923192868700017349_4_512_512_\Osteo_Sarco_1.png","RPT")</f>
        <v>RPT</v>
      </c>
      <c r="G1836" s="3">
        <v>127</v>
      </c>
      <c r="H1836" s="3"/>
    </row>
    <row r="1837" spans="1:8" x14ac:dyDescent="0.3">
      <c r="A1837" s="2">
        <v>5924943</v>
      </c>
      <c r="B1837" s="2">
        <v>77</v>
      </c>
      <c r="C1837" s="2" t="s">
        <v>5</v>
      </c>
      <c r="D1837" s="2">
        <v>100</v>
      </c>
      <c r="E1837" s="2"/>
      <c r="F1837" s="4" t="str">
        <f>HYPERLINK("./Results/DLO\20181201_1.2.410.200069.80820110082.1130114.20250420110620024739_7413_512_512_\Osteo_Sarco_1.png","RPT")</f>
        <v>RPT</v>
      </c>
      <c r="G1837" s="3">
        <v>126</v>
      </c>
      <c r="H1837" s="3"/>
    </row>
    <row r="1838" spans="1:8" x14ac:dyDescent="0.3">
      <c r="A1838" s="2">
        <v>5926434</v>
      </c>
      <c r="B1838" s="2">
        <v>63</v>
      </c>
      <c r="C1838" s="2" t="s">
        <v>5</v>
      </c>
      <c r="D1838" s="2">
        <v>120</v>
      </c>
      <c r="E1838" s="2"/>
      <c r="F1838" s="4" t="str">
        <f>HYPERLINK("./Results/DLO\20181101_1.2.840.113619.2.416.180767396491060316056762432649040817818_2_512_512_\Osteo_Sarco_1.png","RPT")</f>
        <v>RPT</v>
      </c>
      <c r="G1838" s="3">
        <v>154</v>
      </c>
      <c r="H1838" s="3"/>
    </row>
    <row r="1839" spans="1:8" x14ac:dyDescent="0.3">
      <c r="A1839" s="2">
        <v>5926434</v>
      </c>
      <c r="B1839" s="2">
        <v>63</v>
      </c>
      <c r="C1839" s="2" t="s">
        <v>5</v>
      </c>
      <c r="D1839" s="2">
        <v>140</v>
      </c>
      <c r="E1839" s="2"/>
      <c r="F1839" s="4" t="str">
        <f>HYPERLINK("./Results/DLO\20181101_1.2.840.113619.2.416.311856765034207368377247117469327925375_302_512_512_\Osteo_Sarco_1.png","RPT")</f>
        <v>RPT</v>
      </c>
      <c r="G1839" s="3">
        <v>153</v>
      </c>
      <c r="H1839" s="3"/>
    </row>
    <row r="1840" spans="1:8" x14ac:dyDescent="0.3">
      <c r="A1840" s="2">
        <v>5930635</v>
      </c>
      <c r="B1840" s="2">
        <v>60</v>
      </c>
      <c r="C1840" s="2" t="s">
        <v>5</v>
      </c>
      <c r="D1840" s="2">
        <v>100</v>
      </c>
      <c r="E1840" s="2"/>
      <c r="F1840" s="4" t="str">
        <f>HYPERLINK("./Results/DLO\20181201_1.3.12.2.1107.5.1.4.54310.30000018121823264617100024063_3_512_512_\Osteo_Sarco_1.png","RPT")</f>
        <v>RPT</v>
      </c>
      <c r="G1840" s="3">
        <v>193</v>
      </c>
      <c r="H1840" s="3"/>
    </row>
    <row r="1841" spans="1:8" x14ac:dyDescent="0.3">
      <c r="A1841" s="2">
        <v>5930635</v>
      </c>
      <c r="B1841" s="2">
        <v>60</v>
      </c>
      <c r="C1841" s="2" t="s">
        <v>5</v>
      </c>
      <c r="D1841" s="2">
        <v>100</v>
      </c>
      <c r="E1841" s="2"/>
      <c r="F1841" s="4" t="str">
        <f>HYPERLINK("./Results/DLO\20181201_1.3.12.2.1107.5.1.4.54310.30000018121823264617100023886_2_512_512_\Osteo_Sarco_1.png","RPT")</f>
        <v>RPT</v>
      </c>
      <c r="G1841" s="3">
        <v>191</v>
      </c>
      <c r="H1841" s="3"/>
    </row>
    <row r="1842" spans="1:8" x14ac:dyDescent="0.3">
      <c r="A1842" s="2">
        <v>5930635</v>
      </c>
      <c r="B1842" s="2">
        <v>60</v>
      </c>
      <c r="C1842" s="2" t="s">
        <v>5</v>
      </c>
      <c r="D1842" s="2">
        <v>100</v>
      </c>
      <c r="E1842" s="2"/>
      <c r="F1842" s="4" t="str">
        <f>HYPERLINK("./Results/DLO\20181201_1.3.12.2.1107.5.1.4.54310.30000018121823264617100024391_5_512_512_\Osteo_Sarco_1.png","RPT")</f>
        <v>RPT</v>
      </c>
      <c r="G1842" s="3">
        <v>191</v>
      </c>
      <c r="H1842" s="3"/>
    </row>
    <row r="1843" spans="1:8" x14ac:dyDescent="0.3">
      <c r="A1843" s="2">
        <v>5937806</v>
      </c>
      <c r="B1843" s="2">
        <v>67</v>
      </c>
      <c r="C1843" s="2" t="s">
        <v>6</v>
      </c>
      <c r="D1843" s="2">
        <v>100</v>
      </c>
      <c r="E1843" s="2"/>
      <c r="F1843" s="4" t="str">
        <f>HYPERLINK("./Results/DLO\20180601_1.2.840.113619.2.311.186271800135316577117641152222834887863_304_512_512_\Osteo_Sarco_1.png","RPT")</f>
        <v>RPT</v>
      </c>
      <c r="G1843" s="3">
        <v>118</v>
      </c>
      <c r="H1843" s="3"/>
    </row>
    <row r="1844" spans="1:8" x14ac:dyDescent="0.3">
      <c r="A1844" s="2">
        <v>5940478</v>
      </c>
      <c r="B1844" s="2">
        <v>64</v>
      </c>
      <c r="C1844" s="2" t="s">
        <v>6</v>
      </c>
      <c r="D1844" s="2">
        <v>100</v>
      </c>
      <c r="E1844" s="2"/>
      <c r="F1844" s="4" t="str">
        <f>HYPERLINK("./Results/DLO\20181201_1.3.12.2.1107.5.1.4.54310.30000018120623584184300002008_2_512_512_\Osteo_Sarco_1.png","RPT")</f>
        <v>RPT</v>
      </c>
      <c r="G1844" s="3">
        <v>100</v>
      </c>
      <c r="H1844" s="3"/>
    </row>
    <row r="1845" spans="1:8" x14ac:dyDescent="0.3">
      <c r="A1845" s="2">
        <v>5944187</v>
      </c>
      <c r="B1845" s="2">
        <v>69</v>
      </c>
      <c r="C1845" s="2" t="s">
        <v>6</v>
      </c>
      <c r="D1845" s="2">
        <v>100</v>
      </c>
      <c r="E1845" s="2"/>
      <c r="F1845" s="4" t="str">
        <f>HYPERLINK("./Results/DLO\20180801_1.2.840.113619.2.416.45048872566642099361423161177490276905_304_512_512_\Osteo_Sarco_1.png","RPT")</f>
        <v>RPT</v>
      </c>
      <c r="G1845" s="3">
        <v>100</v>
      </c>
      <c r="H1845" s="3"/>
    </row>
    <row r="1846" spans="1:8" x14ac:dyDescent="0.3">
      <c r="A1846" s="2">
        <v>5945531</v>
      </c>
      <c r="B1846" s="2">
        <v>50</v>
      </c>
      <c r="C1846" s="2" t="s">
        <v>6</v>
      </c>
      <c r="D1846" s="2">
        <v>100</v>
      </c>
      <c r="E1846" s="2"/>
      <c r="F1846" s="4" t="str">
        <f>HYPERLINK("./Results/DLO\20191101_1.2.840.113619.2.416.91164539348915219248068599829553948925_315_512_512_\Osteo_Sarco_1.png","RPT")</f>
        <v>RPT</v>
      </c>
      <c r="G1846" s="3">
        <v>124</v>
      </c>
      <c r="H1846" s="3"/>
    </row>
    <row r="1847" spans="1:8" x14ac:dyDescent="0.3">
      <c r="A1847" s="2">
        <v>5945531</v>
      </c>
      <c r="B1847" s="2">
        <v>50</v>
      </c>
      <c r="C1847" s="2" t="s">
        <v>6</v>
      </c>
      <c r="D1847" s="2">
        <v>100</v>
      </c>
      <c r="E1847" s="2"/>
      <c r="F1847" s="4" t="str">
        <f>HYPERLINK("./Results/DLO\20191101_1.2.840.113619.2.416.110587693769524920800777537256506254842_313_512_512_\Osteo_Sarco_1.png","RPT")</f>
        <v>RPT</v>
      </c>
      <c r="G1847" s="3">
        <v>123</v>
      </c>
      <c r="H1847" s="3"/>
    </row>
    <row r="1848" spans="1:8" x14ac:dyDescent="0.3">
      <c r="A1848" s="2">
        <v>5945531</v>
      </c>
      <c r="B1848" s="2">
        <v>50</v>
      </c>
      <c r="C1848" s="2" t="s">
        <v>6</v>
      </c>
      <c r="D1848" s="2">
        <v>100</v>
      </c>
      <c r="E1848" s="2"/>
      <c r="F1848" s="4" t="str">
        <f>HYPERLINK("./Results/DLO\20191101_1.2.840.113619.2.416.222526272619920961890537448297056934590_303_512_512_\Osteo_Sarco_1.png","RPT")</f>
        <v>RPT</v>
      </c>
      <c r="G1848" s="3">
        <v>118</v>
      </c>
      <c r="H1848" s="3"/>
    </row>
    <row r="1849" spans="1:8" x14ac:dyDescent="0.3">
      <c r="A1849" s="2">
        <v>5945531</v>
      </c>
      <c r="B1849" s="2">
        <v>50</v>
      </c>
      <c r="C1849" s="2" t="s">
        <v>6</v>
      </c>
      <c r="D1849" s="2">
        <v>100</v>
      </c>
      <c r="E1849" s="2"/>
      <c r="F1849" s="4" t="str">
        <f>HYPERLINK("./Results/DLO\20191101_1.2.840.113619.2.80.459707076.10573.1573619984.2.1_302_512_512_\Osteo_Sarco_1.png","RPT")</f>
        <v>RPT</v>
      </c>
      <c r="G1849" s="3">
        <v>117</v>
      </c>
      <c r="H1849" s="3"/>
    </row>
    <row r="1850" spans="1:8" x14ac:dyDescent="0.3">
      <c r="A1850" s="2">
        <v>5947594</v>
      </c>
      <c r="B1850" s="2">
        <v>52</v>
      </c>
      <c r="C1850" s="2" t="s">
        <v>6</v>
      </c>
      <c r="D1850" s="2">
        <v>100</v>
      </c>
      <c r="E1850" s="2"/>
      <c r="F1850" s="4" t="str">
        <f>HYPERLINK("./Results/DLO\20180101_1.2.840.113619.2.94.485650834948.2.8573787.18478937.1_2_512_512_\Osteo_Sarco_1.png","RPT")</f>
        <v>RPT</v>
      </c>
      <c r="G1850" s="3">
        <v>102</v>
      </c>
      <c r="H1850" s="3"/>
    </row>
    <row r="1851" spans="1:8" x14ac:dyDescent="0.3">
      <c r="A1851" s="2">
        <v>5949111</v>
      </c>
      <c r="B1851" s="2">
        <v>72</v>
      </c>
      <c r="C1851" s="2" t="s">
        <v>5</v>
      </c>
      <c r="D1851" s="2">
        <v>100</v>
      </c>
      <c r="E1851" s="2"/>
      <c r="F1851" s="4" t="str">
        <f>HYPERLINK("./Results/DLO\20180701_1.3.12.2.1107.5.1.4.54310.30000018071723092825000003324_2_512_512_\Osteo_Sarco_1.png","RPT")</f>
        <v>RPT</v>
      </c>
      <c r="G1851" s="3">
        <v>130</v>
      </c>
      <c r="H1851" s="3"/>
    </row>
    <row r="1852" spans="1:8" x14ac:dyDescent="0.3">
      <c r="A1852" s="2">
        <v>5952669</v>
      </c>
      <c r="B1852" s="2">
        <v>72</v>
      </c>
      <c r="C1852" s="2" t="s">
        <v>6</v>
      </c>
      <c r="D1852" s="2">
        <v>100</v>
      </c>
      <c r="E1852" s="2"/>
      <c r="F1852" s="4" t="str">
        <f>HYPERLINK("./Results/DLO\20190401_1.3.12.2.1107.5.1.4.65253.30000019042020064043600052948_6_512_512_\Osteo_Sarco_1.png","RPT")</f>
        <v>RPT</v>
      </c>
      <c r="G1852" s="3">
        <v>121</v>
      </c>
      <c r="H1852" s="3"/>
    </row>
    <row r="1853" spans="1:8" x14ac:dyDescent="0.3">
      <c r="A1853" s="2">
        <v>5952669</v>
      </c>
      <c r="B1853" s="2">
        <v>72</v>
      </c>
      <c r="C1853" s="2" t="s">
        <v>6</v>
      </c>
      <c r="D1853" s="2">
        <v>100</v>
      </c>
      <c r="E1853" s="2"/>
      <c r="F1853" s="4" t="str">
        <f>HYPERLINK("./Results/DLO\20190401_1.3.12.2.1107.5.1.4.65253.30000019042020064043600052473_4_512_512_\Osteo_Sarco_1.png","RPT")</f>
        <v>RPT</v>
      </c>
      <c r="G1853" s="3">
        <v>119</v>
      </c>
      <c r="H1853" s="3"/>
    </row>
    <row r="1854" spans="1:8" x14ac:dyDescent="0.3">
      <c r="A1854" s="2">
        <v>5954285</v>
      </c>
      <c r="B1854" s="2">
        <v>60</v>
      </c>
      <c r="C1854" s="2" t="s">
        <v>5</v>
      </c>
      <c r="D1854" s="2">
        <v>100</v>
      </c>
      <c r="E1854" s="2"/>
      <c r="F1854" s="4" t="str">
        <f>HYPERLINK("./Results/DLO\20200501_1.2.840.113619.2.416.285795243060359089642253259663467467503_304_512_512_\Osteo_Sarco_1.png","RPT")</f>
        <v>RPT</v>
      </c>
      <c r="G1854" s="3">
        <v>146</v>
      </c>
      <c r="H1854" s="3"/>
    </row>
    <row r="1855" spans="1:8" x14ac:dyDescent="0.3">
      <c r="A1855" s="2">
        <v>5954285</v>
      </c>
      <c r="B1855" s="2">
        <v>60</v>
      </c>
      <c r="C1855" s="2" t="s">
        <v>5</v>
      </c>
      <c r="D1855" s="2">
        <v>100</v>
      </c>
      <c r="E1855" s="2"/>
      <c r="F1855" s="4" t="str">
        <f>HYPERLINK("./Results/DLO\20200501_1.2.840.113619.2.416.327308894709563604251315314247018616675_3_512_512_\Osteo_Sarco_1.png","RPT")</f>
        <v>RPT</v>
      </c>
      <c r="G1855" s="3">
        <v>146</v>
      </c>
      <c r="H1855" s="3"/>
    </row>
    <row r="1856" spans="1:8" x14ac:dyDescent="0.3">
      <c r="A1856" s="2">
        <v>5954285</v>
      </c>
      <c r="B1856" s="2">
        <v>60</v>
      </c>
      <c r="C1856" s="2" t="s">
        <v>5</v>
      </c>
      <c r="D1856" s="2">
        <v>100</v>
      </c>
      <c r="E1856" s="2"/>
      <c r="F1856" s="4" t="str">
        <f>HYPERLINK("./Results/DLO\20200501_1.2.840.113619.2.416.87086819699844300831372220838751962671_302_512_512_\Osteo_Sarco_1.png","RPT")</f>
        <v>RPT</v>
      </c>
      <c r="G1856" s="3">
        <v>146</v>
      </c>
      <c r="H1856" s="3"/>
    </row>
    <row r="1857" spans="1:8" x14ac:dyDescent="0.3">
      <c r="A1857" s="2">
        <v>5954285</v>
      </c>
      <c r="B1857" s="2">
        <v>60</v>
      </c>
      <c r="C1857" s="2" t="s">
        <v>5</v>
      </c>
      <c r="D1857" s="2">
        <v>100</v>
      </c>
      <c r="E1857" s="2"/>
      <c r="F1857" s="4" t="str">
        <f>HYPERLINK("./Results/DLO\20200501_1.2.840.113619.2.416.91047213641595426617529982317042682023_303_512_512_\Osteo_Sarco_1.png","RPT")</f>
        <v>RPT</v>
      </c>
      <c r="G1857" s="3">
        <v>146</v>
      </c>
      <c r="H1857" s="3"/>
    </row>
    <row r="1858" spans="1:8" x14ac:dyDescent="0.3">
      <c r="A1858" s="2">
        <v>5954285</v>
      </c>
      <c r="B1858" s="2">
        <v>60</v>
      </c>
      <c r="C1858" s="2" t="s">
        <v>5</v>
      </c>
      <c r="D1858" s="2">
        <v>120</v>
      </c>
      <c r="E1858" s="2"/>
      <c r="F1858" s="4" t="str">
        <f>HYPERLINK("./Results/DLO\20200501_1.2.840.113619.2.416.236163927209181339272437362319925109813_2_512_512_\Osteo_Sarco_1.png","RPT")</f>
        <v>RPT</v>
      </c>
      <c r="G1858" s="3">
        <v>144</v>
      </c>
      <c r="H1858" s="3"/>
    </row>
    <row r="1859" spans="1:8" x14ac:dyDescent="0.3">
      <c r="A1859" s="2">
        <v>5954385</v>
      </c>
      <c r="B1859" s="2">
        <v>56</v>
      </c>
      <c r="C1859" s="2" t="s">
        <v>6</v>
      </c>
      <c r="D1859" s="2">
        <v>100</v>
      </c>
      <c r="E1859" s="2"/>
      <c r="F1859" s="4" t="str">
        <f>HYPERLINK("./Results/DLO\20180301_1.3.12.2.1107.5.1.4.54310.30000018031223122687500019334_2_512_512_\Osteo_Sarco_1.png","RPT")</f>
        <v>RPT</v>
      </c>
      <c r="G1859" s="3">
        <v>102</v>
      </c>
      <c r="H1859" s="3"/>
    </row>
    <row r="1860" spans="1:8" x14ac:dyDescent="0.3">
      <c r="A1860" s="2">
        <v>5962153</v>
      </c>
      <c r="B1860" s="2">
        <v>48</v>
      </c>
      <c r="C1860" s="2" t="s">
        <v>5</v>
      </c>
      <c r="D1860" s="2">
        <v>100</v>
      </c>
      <c r="E1860" s="2"/>
      <c r="F1860" s="4" t="str">
        <f>HYPERLINK("./Results/DLO\20180401_1.2.840.113619.2.416.176190748352336801882482356055587890178_301_512_512_\Osteo_Sarco_1.png","RPT")</f>
        <v>RPT</v>
      </c>
      <c r="G1860" s="3">
        <v>159</v>
      </c>
      <c r="H1860" s="3"/>
    </row>
    <row r="1861" spans="1:8" x14ac:dyDescent="0.3">
      <c r="A1861" s="2">
        <v>5965726</v>
      </c>
      <c r="B1861" s="2">
        <v>62</v>
      </c>
      <c r="C1861" s="2" t="s">
        <v>5</v>
      </c>
      <c r="D1861" s="2">
        <v>100</v>
      </c>
      <c r="E1861" s="2"/>
      <c r="F1861" s="4" t="str">
        <f>HYPERLINK("./Results/DLO\20180301_1.3.12.2.1107.5.1.4.54310.30000018032623135123400033547_5_512_512_\Osteo_Sarco_1.png","RPT")</f>
        <v>RPT</v>
      </c>
      <c r="G1861" s="3">
        <v>195</v>
      </c>
      <c r="H1861" s="3"/>
    </row>
    <row r="1862" spans="1:8" x14ac:dyDescent="0.3">
      <c r="A1862" s="2">
        <v>5965726</v>
      </c>
      <c r="B1862" s="2">
        <v>62</v>
      </c>
      <c r="C1862" s="2" t="s">
        <v>5</v>
      </c>
      <c r="D1862" s="2">
        <v>100</v>
      </c>
      <c r="E1862" s="2"/>
      <c r="F1862" s="4" t="str">
        <f>HYPERLINK("./Results/DLO\20180301_1.3.12.2.1107.5.1.4.54310.30000018032623135123400033380_4_512_512_\Osteo_Sarco_1.png","RPT")</f>
        <v>RPT</v>
      </c>
      <c r="G1862" s="3">
        <v>193</v>
      </c>
      <c r="H1862" s="3"/>
    </row>
    <row r="1863" spans="1:8" x14ac:dyDescent="0.3">
      <c r="A1863" s="2">
        <v>5966316</v>
      </c>
      <c r="B1863" s="2">
        <v>57</v>
      </c>
      <c r="C1863" s="2" t="s">
        <v>5</v>
      </c>
      <c r="D1863" s="2">
        <v>100</v>
      </c>
      <c r="E1863" s="2"/>
      <c r="F1863" s="4" t="str">
        <f>HYPERLINK("./Results/DLO\20190101_1.2.840.113619.2.311.193776212824333823010045949917247159626_304_512_512_\Osteo_Sarco_1.png","RPT")</f>
        <v>RPT</v>
      </c>
      <c r="G1863" s="3">
        <v>125</v>
      </c>
      <c r="H1863" s="3"/>
    </row>
    <row r="1864" spans="1:8" x14ac:dyDescent="0.3">
      <c r="A1864" s="2">
        <v>5973711</v>
      </c>
      <c r="B1864" s="2">
        <v>65</v>
      </c>
      <c r="C1864" s="2" t="s">
        <v>5</v>
      </c>
      <c r="D1864" s="2">
        <v>100</v>
      </c>
      <c r="E1864" s="2"/>
      <c r="F1864" s="4" t="str">
        <f>HYPERLINK("./Results/DLO\20200101_1.3.46.670589.33.1.63714852221611854300001.4619818758474411193_201_512_512_\Osteo_Sarco_1.png","RPT")</f>
        <v>RPT</v>
      </c>
      <c r="G1864" s="3">
        <v>139</v>
      </c>
      <c r="H1864" s="3"/>
    </row>
    <row r="1865" spans="1:8" x14ac:dyDescent="0.3">
      <c r="A1865" s="2">
        <v>5974055</v>
      </c>
      <c r="B1865" s="2">
        <v>54</v>
      </c>
      <c r="C1865" s="2" t="s">
        <v>6</v>
      </c>
      <c r="D1865" s="2">
        <v>100</v>
      </c>
      <c r="E1865" s="2"/>
      <c r="F1865" s="4" t="str">
        <f>HYPERLINK("./Results/DLO\20180101_1.3.12.2.1107.5.1.4.54310.30000018010823145746800018078_2_512_512_\Osteo_Sarco_1.png","RPT")</f>
        <v>RPT</v>
      </c>
      <c r="G1865" s="3">
        <v>106</v>
      </c>
      <c r="H1865" s="3"/>
    </row>
    <row r="1866" spans="1:8" x14ac:dyDescent="0.3">
      <c r="A1866" s="2">
        <v>5976855</v>
      </c>
      <c r="B1866" s="2">
        <v>58</v>
      </c>
      <c r="C1866" s="2" t="s">
        <v>6</v>
      </c>
      <c r="D1866" s="2">
        <v>100</v>
      </c>
      <c r="E1866" s="2"/>
      <c r="F1866" s="4" t="str">
        <f>HYPERLINK("./Results/DLO\20180301_1.3.12.2.1107.5.1.4.54310.30000018032623215707800012348_2_512_512_\Osteo_Sarco_1.png","RPT")</f>
        <v>RPT</v>
      </c>
      <c r="G1866" s="3">
        <v>139</v>
      </c>
      <c r="H1866" s="3"/>
    </row>
    <row r="1867" spans="1:8" x14ac:dyDescent="0.3">
      <c r="A1867" s="2">
        <v>5977244</v>
      </c>
      <c r="B1867" s="2">
        <v>51</v>
      </c>
      <c r="C1867" s="2" t="s">
        <v>6</v>
      </c>
      <c r="D1867" s="2">
        <v>100</v>
      </c>
      <c r="E1867" s="2"/>
      <c r="F1867" s="4" t="str">
        <f>HYPERLINK("./Results/DLO\20181201_1.3.46.670589.33.1.63680811621296327500001.5263500813270457256_201_512_512_\Osteo_Sarco_1.png","RPT")</f>
        <v>RPT</v>
      </c>
      <c r="G1867" s="3">
        <v>125</v>
      </c>
      <c r="H1867" s="3"/>
    </row>
    <row r="1868" spans="1:8" x14ac:dyDescent="0.3">
      <c r="A1868" s="2">
        <v>5980526</v>
      </c>
      <c r="B1868" s="2">
        <v>63</v>
      </c>
      <c r="C1868" s="2" t="s">
        <v>5</v>
      </c>
      <c r="D1868" s="2">
        <v>100</v>
      </c>
      <c r="E1868" s="2"/>
      <c r="F1868" s="4" t="str">
        <f>HYPERLINK("./Results/DLO\20180701_1.2.840.113619.2.416.32051052627529598777289166719834473020_302_512_512_\Osteo_Sarco_1.png","RPT")</f>
        <v>RPT</v>
      </c>
      <c r="G1868" s="3">
        <v>164</v>
      </c>
      <c r="H1868" s="3"/>
    </row>
    <row r="1869" spans="1:8" x14ac:dyDescent="0.3">
      <c r="A1869" s="2">
        <v>5980526</v>
      </c>
      <c r="B1869" s="2">
        <v>63</v>
      </c>
      <c r="C1869" s="2" t="s">
        <v>5</v>
      </c>
      <c r="D1869" s="2">
        <v>100</v>
      </c>
      <c r="E1869" s="2"/>
      <c r="F1869" s="4" t="str">
        <f>HYPERLINK("./Results/DLO\20180701_1.2.840.113619.2.416.203541951606416429686325995891261651874_301_512_512_\Osteo_Sarco_1.png","RPT")</f>
        <v>RPT</v>
      </c>
      <c r="G1869" s="3">
        <v>163</v>
      </c>
      <c r="H1869" s="3"/>
    </row>
    <row r="1870" spans="1:8" x14ac:dyDescent="0.3">
      <c r="A1870" s="2">
        <v>5983968</v>
      </c>
      <c r="B1870" s="2">
        <v>57</v>
      </c>
      <c r="C1870" s="2" t="s">
        <v>5</v>
      </c>
      <c r="D1870" s="2">
        <v>100</v>
      </c>
      <c r="E1870" s="2"/>
      <c r="F1870" s="4" t="str">
        <f>HYPERLINK("./Results/DLO\20180301_1.3.12.2.1107.5.1.4.65253.30000018031620492516800031798_3_512_512_\Osteo_Sarco_1.png","RPT")</f>
        <v>RPT</v>
      </c>
      <c r="G1870" s="3">
        <v>153</v>
      </c>
      <c r="H1870" s="3"/>
    </row>
    <row r="1871" spans="1:8" x14ac:dyDescent="0.3">
      <c r="A1871" s="2">
        <v>5983968</v>
      </c>
      <c r="B1871" s="2">
        <v>57</v>
      </c>
      <c r="C1871" s="2" t="s">
        <v>5</v>
      </c>
      <c r="D1871" s="2">
        <v>100</v>
      </c>
      <c r="E1871" s="2"/>
      <c r="F1871" s="4" t="str">
        <f>HYPERLINK("./Results/DLO\20180301_1.3.12.2.1107.5.1.4.65253.30000018031620492516800031649_2_512_512_\Osteo_Sarco_1.png","RPT")</f>
        <v>RPT</v>
      </c>
      <c r="G1871" s="3">
        <v>150</v>
      </c>
      <c r="H1871" s="3"/>
    </row>
    <row r="1872" spans="1:8" x14ac:dyDescent="0.3">
      <c r="A1872" s="2">
        <v>5984434</v>
      </c>
      <c r="B1872" s="2">
        <v>42</v>
      </c>
      <c r="C1872" s="2" t="s">
        <v>6</v>
      </c>
      <c r="D1872" s="2">
        <v>100</v>
      </c>
      <c r="E1872" s="2"/>
      <c r="F1872" s="4" t="str">
        <f>HYPERLINK("./Results/DLO\20180701_1.3.12.2.1107.5.1.4.54310.30000018071123383703100011313_2_512_512_\Osteo_Sarco_1.png","RPT")</f>
        <v>RPT</v>
      </c>
      <c r="G1872" s="3">
        <v>96</v>
      </c>
      <c r="H1872" s="3"/>
    </row>
    <row r="1873" spans="1:8" x14ac:dyDescent="0.3">
      <c r="A1873" s="2">
        <v>5985077</v>
      </c>
      <c r="B1873" s="2">
        <v>55</v>
      </c>
      <c r="C1873" s="2" t="s">
        <v>6</v>
      </c>
      <c r="D1873" s="2">
        <v>100</v>
      </c>
      <c r="E1873" s="2"/>
      <c r="F1873" s="4" t="str">
        <f>HYPERLINK("./Results/DLO\20180901_1.2.840.113619.2.94.485650834948.2.9099468.19770235.1_2_512_512_\Osteo_Sarco_1.png","RPT")</f>
        <v>RPT</v>
      </c>
      <c r="G1873" s="3">
        <v>113</v>
      </c>
      <c r="H1873" s="3"/>
    </row>
    <row r="1874" spans="1:8" x14ac:dyDescent="0.3">
      <c r="A1874" s="2">
        <v>5988847</v>
      </c>
      <c r="B1874" s="2">
        <v>65</v>
      </c>
      <c r="C1874" s="2" t="s">
        <v>5</v>
      </c>
      <c r="D1874" s="2">
        <v>140</v>
      </c>
      <c r="E1874" s="2"/>
      <c r="F1874" s="4" t="str">
        <f>HYPERLINK("./Results/DLO\20191201_1.2.840.113619.2.416.298302847437482706595047728736261081274_306_512_512_\Osteo_Sarco_1.png","RPT")</f>
        <v>RPT</v>
      </c>
      <c r="G1874" s="3">
        <v>67</v>
      </c>
      <c r="H1874" s="3"/>
    </row>
    <row r="1875" spans="1:8" x14ac:dyDescent="0.3">
      <c r="A1875" s="2">
        <v>5988847</v>
      </c>
      <c r="B1875" s="2">
        <v>65</v>
      </c>
      <c r="C1875" s="2" t="s">
        <v>5</v>
      </c>
      <c r="D1875" s="2">
        <v>140</v>
      </c>
      <c r="E1875" s="2"/>
      <c r="F1875" s="4" t="str">
        <f>HYPERLINK("./Results/DLO\20191201_1.2.840.113619.2.416.125949011074650312189149744368289761138_303_512_512_\Osteo_Sarco_1.png","RPT")</f>
        <v>RPT</v>
      </c>
      <c r="G1875" s="3">
        <v>66</v>
      </c>
      <c r="H1875" s="3"/>
    </row>
    <row r="1876" spans="1:8" x14ac:dyDescent="0.3">
      <c r="A1876" s="2">
        <v>5988847</v>
      </c>
      <c r="B1876" s="2">
        <v>65</v>
      </c>
      <c r="C1876" s="2" t="s">
        <v>5</v>
      </c>
      <c r="D1876" s="2">
        <v>140</v>
      </c>
      <c r="E1876" s="2"/>
      <c r="F1876" s="4" t="str">
        <f>HYPERLINK("./Results/DLO\20191201_1.2.840.113619.2.416.159112413980586296520037503183430857002_301_512_512_\Osteo_Sarco_1.png","RPT")</f>
        <v>RPT</v>
      </c>
      <c r="G1876" s="3">
        <v>64</v>
      </c>
      <c r="H1876" s="3"/>
    </row>
    <row r="1877" spans="1:8" x14ac:dyDescent="0.3">
      <c r="A1877" s="2">
        <v>5988847</v>
      </c>
      <c r="B1877" s="2">
        <v>65</v>
      </c>
      <c r="C1877" s="2" t="s">
        <v>5</v>
      </c>
      <c r="D1877" s="2">
        <v>140</v>
      </c>
      <c r="E1877" s="2"/>
      <c r="F1877" s="4" t="str">
        <f>HYPERLINK("./Results/DLO\20191201_1.2.840.113619.2.416.68385040579510687581520142063124658115_2_512_512_\Osteo_Sarco_1.png","RPT")</f>
        <v>RPT</v>
      </c>
      <c r="G1877" s="3">
        <v>39</v>
      </c>
      <c r="H1877" s="3"/>
    </row>
    <row r="1878" spans="1:8" x14ac:dyDescent="0.3">
      <c r="A1878" s="2">
        <v>5988905</v>
      </c>
      <c r="B1878" s="2">
        <v>65</v>
      </c>
      <c r="C1878" s="2" t="s">
        <v>6</v>
      </c>
      <c r="D1878" s="2">
        <v>100</v>
      </c>
      <c r="E1878" s="2"/>
      <c r="F1878" s="4" t="str">
        <f>HYPERLINK("./Results/DLO\20181201_1.3.12.2.1107.5.1.4.54310.30000018123023561453100005492_2_512_512_\Osteo_Sarco_1.png","RPT")</f>
        <v>RPT</v>
      </c>
      <c r="G1878" s="3">
        <v>96</v>
      </c>
      <c r="H1878" s="3"/>
    </row>
    <row r="1879" spans="1:8" x14ac:dyDescent="0.3">
      <c r="A1879" s="2">
        <v>5994717</v>
      </c>
      <c r="B1879" s="2">
        <v>55</v>
      </c>
      <c r="C1879" s="2" t="s">
        <v>5</v>
      </c>
      <c r="D1879" s="2">
        <v>120</v>
      </c>
      <c r="E1879" s="2"/>
      <c r="F1879" s="4" t="str">
        <f>HYPERLINK("./Results/DLO\20191201_1.2.410.100011.172.16.68.114.6371303550648517101.4_4_512_512_\Osteo_Sarco_1.png","RPT")</f>
        <v>RPT</v>
      </c>
      <c r="G1879" s="3">
        <v>157</v>
      </c>
      <c r="H1879" s="3"/>
    </row>
    <row r="1880" spans="1:8" x14ac:dyDescent="0.3">
      <c r="A1880" s="2">
        <v>5994717</v>
      </c>
      <c r="B1880" s="2">
        <v>55</v>
      </c>
      <c r="C1880" s="2" t="s">
        <v>5</v>
      </c>
      <c r="D1880" s="2">
        <v>120</v>
      </c>
      <c r="E1880" s="2"/>
      <c r="F1880" s="4" t="str">
        <f>HYPERLINK("./Results/DLO\20191201_1.2.410.100011.172.16.68.114.6371303550648517101.2_2_512_512_\Osteo_Sarco_1.png","RPT")</f>
        <v>RPT</v>
      </c>
      <c r="G1880" s="3">
        <v>142</v>
      </c>
      <c r="H1880" s="3"/>
    </row>
    <row r="1881" spans="1:8" x14ac:dyDescent="0.3">
      <c r="A1881" s="2">
        <v>5999107</v>
      </c>
      <c r="B1881" s="2">
        <v>59</v>
      </c>
      <c r="C1881" s="2" t="s">
        <v>5</v>
      </c>
      <c r="D1881" s="2">
        <v>120</v>
      </c>
      <c r="E1881" s="2"/>
      <c r="F1881" s="4" t="str">
        <f>HYPERLINK("./Results/DLO\_1.2.410.100011.172.16.68.201.6365911757106568641.3_3_512_512_\Osteo_Sarco_1.png","RPT")</f>
        <v>RPT</v>
      </c>
      <c r="G1881" s="3">
        <v>166</v>
      </c>
      <c r="H1881" s="3"/>
    </row>
    <row r="1882" spans="1:8" x14ac:dyDescent="0.3">
      <c r="A1882" s="2">
        <v>5999107</v>
      </c>
      <c r="B1882" s="2">
        <v>59</v>
      </c>
      <c r="C1882" s="2" t="s">
        <v>5</v>
      </c>
      <c r="D1882" s="2">
        <v>120</v>
      </c>
      <c r="E1882" s="2"/>
      <c r="F1882" s="4" t="str">
        <f>HYPERLINK("./Results/DLO\_1.2.410.100011.172.16.68.201.6365911757106568641.4_4_512_512_\Osteo_Sarco_1.png","RPT")</f>
        <v>RPT</v>
      </c>
      <c r="G1882" s="3">
        <v>166</v>
      </c>
      <c r="H1882" s="3"/>
    </row>
    <row r="1883" spans="1:8" x14ac:dyDescent="0.3">
      <c r="A1883" s="2">
        <v>5999107</v>
      </c>
      <c r="B1883" s="2">
        <v>59</v>
      </c>
      <c r="C1883" s="2" t="s">
        <v>5</v>
      </c>
      <c r="D1883" s="2">
        <v>120</v>
      </c>
      <c r="E1883" s="2"/>
      <c r="F1883" s="4" t="str">
        <f>HYPERLINK("./Results/DLO\_1.2.410.100011.172.16.68.201.6365911757106568641.2_2_512_512_\Osteo_Sarco_1.png","RPT")</f>
        <v>RPT</v>
      </c>
      <c r="G1883" s="3">
        <v>165</v>
      </c>
      <c r="H1883" s="3"/>
    </row>
    <row r="1884" spans="1:8" x14ac:dyDescent="0.3">
      <c r="A1884" s="2">
        <v>6002406</v>
      </c>
      <c r="B1884" s="2">
        <v>53</v>
      </c>
      <c r="C1884" s="2" t="s">
        <v>5</v>
      </c>
      <c r="D1884" s="2">
        <v>100</v>
      </c>
      <c r="E1884" s="2"/>
      <c r="F1884" s="4" t="str">
        <f>HYPERLINK("./Results/DLO\20200601_1.3.12.2.1107.5.1.4.65253.30000020060521102520400042390_2_512_512_\Osteo_Sarco_1.png","RPT")</f>
        <v>RPT</v>
      </c>
      <c r="G1884" s="3">
        <v>124</v>
      </c>
      <c r="H1884" s="3"/>
    </row>
    <row r="1885" spans="1:8" x14ac:dyDescent="0.3">
      <c r="A1885" s="2">
        <v>6002406</v>
      </c>
      <c r="B1885" s="2">
        <v>53</v>
      </c>
      <c r="C1885" s="2" t="s">
        <v>5</v>
      </c>
      <c r="D1885" s="2">
        <v>100</v>
      </c>
      <c r="E1885" s="2"/>
      <c r="F1885" s="4" t="str">
        <f>HYPERLINK("./Results/DLO\20200601_1.3.12.2.1107.5.1.4.65253.30000020060521102520400042593_3_512_512_\Osteo_Sarco_1.png","RPT")</f>
        <v>RPT</v>
      </c>
      <c r="G1885" s="3">
        <v>124</v>
      </c>
      <c r="H1885" s="3"/>
    </row>
    <row r="1886" spans="1:8" x14ac:dyDescent="0.3">
      <c r="A1886" s="2">
        <v>6002593</v>
      </c>
      <c r="B1886" s="2">
        <v>72</v>
      </c>
      <c r="C1886" s="2" t="s">
        <v>5</v>
      </c>
      <c r="D1886" s="2">
        <v>100</v>
      </c>
      <c r="E1886" s="2"/>
      <c r="F1886" s="4" t="str">
        <f>HYPERLINK("./Results/DLO\20191201_1.3.12.2.1107.5.1.4.65253.30000019121619470822300011275_3_512_512_\Osteo_Sarco_1.png","RPT")</f>
        <v>RPT</v>
      </c>
      <c r="G1886" s="3">
        <v>153</v>
      </c>
      <c r="H1886" s="3"/>
    </row>
    <row r="1887" spans="1:8" x14ac:dyDescent="0.3">
      <c r="A1887" s="2">
        <v>6002593</v>
      </c>
      <c r="B1887" s="2">
        <v>72</v>
      </c>
      <c r="C1887" s="2" t="s">
        <v>5</v>
      </c>
      <c r="D1887" s="2">
        <v>100</v>
      </c>
      <c r="E1887" s="2"/>
      <c r="F1887" s="4" t="str">
        <f>HYPERLINK("./Results/DLO\20191201_1.3.12.2.1107.5.1.4.65253.30000019121619470822300011121_2_512_512_\Osteo_Sarco_1.png","RPT")</f>
        <v>RPT</v>
      </c>
      <c r="G1887" s="3">
        <v>148</v>
      </c>
      <c r="H1887" s="3"/>
    </row>
    <row r="1888" spans="1:8" x14ac:dyDescent="0.3">
      <c r="A1888" s="2">
        <v>6003872</v>
      </c>
      <c r="B1888" s="2">
        <v>69</v>
      </c>
      <c r="C1888" s="2" t="s">
        <v>6</v>
      </c>
      <c r="D1888" s="2">
        <v>100</v>
      </c>
      <c r="E1888" s="2"/>
      <c r="F1888" s="4" t="str">
        <f>HYPERLINK("./Results/DLO\20200101_1.2.840.113619.2.416.149009598972117619391468344229248944616_310_512_512_\Osteo_Sarco_1.png","RPT")</f>
        <v>RPT</v>
      </c>
      <c r="G1888" s="3">
        <v>102</v>
      </c>
      <c r="H1888" s="3"/>
    </row>
    <row r="1889" spans="1:8" x14ac:dyDescent="0.3">
      <c r="A1889" s="2">
        <v>6005507</v>
      </c>
      <c r="B1889" s="2">
        <v>57</v>
      </c>
      <c r="C1889" s="2" t="s">
        <v>5</v>
      </c>
      <c r="D1889" s="2">
        <v>100</v>
      </c>
      <c r="E1889" s="2"/>
      <c r="F1889" s="4" t="str">
        <f>HYPERLINK("./Results/DLO\20200201_1.2.840.113619.2.416.208882606901593389422709361216637479664_312_512_512_\Osteo_Sarco_1.png","RPT")</f>
        <v>RPT</v>
      </c>
      <c r="G1889" s="3">
        <v>156</v>
      </c>
      <c r="H1889" s="3"/>
    </row>
    <row r="1890" spans="1:8" x14ac:dyDescent="0.3">
      <c r="A1890" s="2">
        <v>6005507</v>
      </c>
      <c r="B1890" s="2">
        <v>57</v>
      </c>
      <c r="C1890" s="2" t="s">
        <v>5</v>
      </c>
      <c r="D1890" s="2">
        <v>100</v>
      </c>
      <c r="E1890" s="2"/>
      <c r="F1890" s="4" t="str">
        <f>HYPERLINK("./Results/DLO\20200201_1.2.840.113619.2.416.156335771787909421781446094057169928362_303_512_512_\Osteo_Sarco_1.png","RPT")</f>
        <v>RPT</v>
      </c>
      <c r="G1890" s="3">
        <v>154</v>
      </c>
      <c r="H1890" s="3"/>
    </row>
    <row r="1891" spans="1:8" x14ac:dyDescent="0.3">
      <c r="A1891" s="2">
        <v>6006880</v>
      </c>
      <c r="B1891" s="2">
        <v>55</v>
      </c>
      <c r="C1891" s="2" t="s">
        <v>6</v>
      </c>
      <c r="D1891" s="2">
        <v>100</v>
      </c>
      <c r="E1891" s="2"/>
      <c r="F1891" s="4" t="str">
        <f>HYPERLINK("./Results/DLO\20180401_1.2.840.113619.2.94.485650834948.2.8753034.18917699.1_2_512_512_\Osteo_Sarco_1.png","RPT")</f>
        <v>RPT</v>
      </c>
      <c r="G1891" s="3">
        <v>80</v>
      </c>
      <c r="H1891" s="3"/>
    </row>
    <row r="1892" spans="1:8" x14ac:dyDescent="0.3">
      <c r="A1892" s="2">
        <v>6010461</v>
      </c>
      <c r="B1892" s="2">
        <v>65</v>
      </c>
      <c r="C1892" s="2" t="s">
        <v>6</v>
      </c>
      <c r="D1892" s="2">
        <v>100</v>
      </c>
      <c r="E1892" s="2"/>
      <c r="F1892" s="4" t="str">
        <f>HYPERLINK("./Results/DLO\20190601_1.2.840.113619.2.416.207622654566165327622788334467860901424_310_512_512_\Osteo_Sarco_1.png","RPT")</f>
        <v>RPT</v>
      </c>
      <c r="G1892" s="3">
        <v>133</v>
      </c>
      <c r="H1892" s="3"/>
    </row>
    <row r="1893" spans="1:8" x14ac:dyDescent="0.3">
      <c r="A1893" s="2">
        <v>6013820</v>
      </c>
      <c r="B1893" s="2">
        <v>56</v>
      </c>
      <c r="C1893" s="2" t="s">
        <v>6</v>
      </c>
      <c r="D1893" s="2">
        <v>100</v>
      </c>
      <c r="E1893" s="2"/>
      <c r="F1893" s="4" t="str">
        <f>HYPERLINK("./Results/DLO\20200301_1.3.12.2.1107.5.1.4.54310.30000020031522042278100031207_7_512_512_\Osteo_Sarco_1.png","RPT")</f>
        <v>RPT</v>
      </c>
      <c r="G1893" s="3">
        <v>117</v>
      </c>
      <c r="H1893" s="3"/>
    </row>
    <row r="1894" spans="1:8" x14ac:dyDescent="0.3">
      <c r="A1894" s="2">
        <v>6014842</v>
      </c>
      <c r="B1894" s="2">
        <v>60</v>
      </c>
      <c r="C1894" s="2" t="s">
        <v>6</v>
      </c>
      <c r="D1894" s="2">
        <v>140</v>
      </c>
      <c r="E1894" s="2"/>
      <c r="F1894" s="4" t="str">
        <f>HYPERLINK("./Results/DLO\20180501_1.2.840.113619.2.416.158681651717895810419746366752906784034_2_512_512_\Osteo_Sarco_1.png","RPT")</f>
        <v>RPT</v>
      </c>
      <c r="G1894" s="3">
        <v>98</v>
      </c>
      <c r="H1894" s="3"/>
    </row>
    <row r="1895" spans="1:8" x14ac:dyDescent="0.3">
      <c r="A1895" s="2">
        <v>6014842</v>
      </c>
      <c r="B1895" s="2">
        <v>60</v>
      </c>
      <c r="C1895" s="2" t="s">
        <v>6</v>
      </c>
      <c r="D1895" s="2">
        <v>140</v>
      </c>
      <c r="E1895" s="2"/>
      <c r="F1895" s="4" t="str">
        <f>HYPERLINK("./Results/DLO\20180501_1.2.840.113619.2.416.4066062885259738488135945135897733818_304_512_512_\Osteo_Sarco_1.png","RPT")</f>
        <v>RPT</v>
      </c>
      <c r="G1895" s="3">
        <v>87</v>
      </c>
      <c r="H1895" s="3"/>
    </row>
    <row r="1896" spans="1:8" x14ac:dyDescent="0.3">
      <c r="A1896" s="2">
        <v>6014842</v>
      </c>
      <c r="B1896" s="2">
        <v>60</v>
      </c>
      <c r="C1896" s="2" t="s">
        <v>6</v>
      </c>
      <c r="D1896" s="2">
        <v>140</v>
      </c>
      <c r="E1896" s="2"/>
      <c r="F1896" s="4" t="str">
        <f>HYPERLINK("./Results/DLO\20180501_1.2.840.113619.2.416.20482004571279988226996232428601154323_308_512_512_\Osteo_Sarco_1.png","RPT")</f>
        <v>RPT</v>
      </c>
      <c r="G1896" s="3">
        <v>86</v>
      </c>
      <c r="H1896" s="3"/>
    </row>
    <row r="1897" spans="1:8" x14ac:dyDescent="0.3">
      <c r="A1897" s="2">
        <v>6017649</v>
      </c>
      <c r="B1897" s="2">
        <v>57</v>
      </c>
      <c r="C1897" s="2" t="s">
        <v>6</v>
      </c>
      <c r="D1897" s="2">
        <v>100</v>
      </c>
      <c r="E1897" s="2"/>
      <c r="F1897" s="4" t="str">
        <f>HYPERLINK("./Results/DLO\20200501_1.2.840.113619.2.416.166532564081695542890484292555781056575_307_512_512_\Osteo_Sarco_1.png","RPT")</f>
        <v>RPT</v>
      </c>
      <c r="G1897" s="3">
        <v>101</v>
      </c>
      <c r="H1897" s="3"/>
    </row>
    <row r="1898" spans="1:8" x14ac:dyDescent="0.3">
      <c r="A1898" s="2">
        <v>6021518</v>
      </c>
      <c r="B1898" s="2">
        <v>86</v>
      </c>
      <c r="C1898" s="2" t="s">
        <v>6</v>
      </c>
      <c r="D1898" s="2">
        <v>100</v>
      </c>
      <c r="E1898" s="2"/>
      <c r="F1898" s="4" t="str">
        <f>HYPERLINK("./Results/DLO\20190701_1.3.12.2.1107.5.1.4.65253.30000019072118114898500114485_3_512_512_\Osteo_Sarco_1.png","RPT")</f>
        <v>RPT</v>
      </c>
      <c r="G1898" s="3">
        <v>103</v>
      </c>
      <c r="H1898" s="3"/>
    </row>
    <row r="1899" spans="1:8" x14ac:dyDescent="0.3">
      <c r="A1899" s="2">
        <v>6021518</v>
      </c>
      <c r="B1899" s="2">
        <v>86</v>
      </c>
      <c r="C1899" s="2" t="s">
        <v>6</v>
      </c>
      <c r="D1899" s="2">
        <v>100</v>
      </c>
      <c r="E1899" s="2"/>
      <c r="F1899" s="4" t="str">
        <f>HYPERLINK("./Results/DLO\20190701_1.3.12.2.1107.5.1.4.65253.30000019072118114898500113589_2_512_512_\Osteo_Sarco_1.png","RPT")</f>
        <v>RPT</v>
      </c>
      <c r="G1899" s="3">
        <v>102</v>
      </c>
      <c r="H1899" s="3"/>
    </row>
    <row r="1900" spans="1:8" x14ac:dyDescent="0.3">
      <c r="A1900" s="2">
        <v>6022586</v>
      </c>
      <c r="B1900" s="2">
        <v>57</v>
      </c>
      <c r="C1900" s="2" t="s">
        <v>6</v>
      </c>
      <c r="D1900" s="2">
        <v>100</v>
      </c>
      <c r="E1900" s="2"/>
      <c r="F1900" s="4" t="str">
        <f>HYPERLINK("./Results/DLO\20180501_1.3.12.2.1107.5.1.4.65253.30000018052118531314100063124_7_512_512_\Osteo_Sarco_1.png","RPT")</f>
        <v>RPT</v>
      </c>
      <c r="G1900" s="3">
        <v>105</v>
      </c>
      <c r="H1900" s="3"/>
    </row>
    <row r="1901" spans="1:8" x14ac:dyDescent="0.3">
      <c r="A1901" s="2">
        <v>6022586</v>
      </c>
      <c r="B1901" s="2">
        <v>57</v>
      </c>
      <c r="C1901" s="2" t="s">
        <v>6</v>
      </c>
      <c r="D1901" s="2">
        <v>100</v>
      </c>
      <c r="E1901" s="2"/>
      <c r="F1901" s="4" t="str">
        <f>HYPERLINK("./Results/DLO\20180501_1.3.12.2.1107.5.1.4.65253.30000018052118531314100063388_9_512_512_\Osteo_Sarco_1.png","RPT")</f>
        <v>RPT</v>
      </c>
      <c r="G1901" s="3">
        <v>105</v>
      </c>
      <c r="H1901" s="3"/>
    </row>
    <row r="1902" spans="1:8" x14ac:dyDescent="0.3">
      <c r="A1902" s="2">
        <v>6022586</v>
      </c>
      <c r="B1902" s="2">
        <v>57</v>
      </c>
      <c r="C1902" s="2" t="s">
        <v>6</v>
      </c>
      <c r="D1902" s="2">
        <v>100</v>
      </c>
      <c r="E1902" s="2"/>
      <c r="F1902" s="4" t="str">
        <f>HYPERLINK("./Results/DLO\20180501_1.3.12.2.1107.5.1.4.65253.30000018052118531314100062576_2_512_512_\Osteo_Sarco_1.png","RPT")</f>
        <v>RPT</v>
      </c>
      <c r="G1902" s="3">
        <v>104</v>
      </c>
      <c r="H1902" s="3"/>
    </row>
    <row r="1903" spans="1:8" x14ac:dyDescent="0.3">
      <c r="A1903" s="2">
        <v>6022586</v>
      </c>
      <c r="B1903" s="2">
        <v>57</v>
      </c>
      <c r="C1903" s="2" t="s">
        <v>6</v>
      </c>
      <c r="D1903" s="2">
        <v>100</v>
      </c>
      <c r="E1903" s="2"/>
      <c r="F1903" s="4" t="str">
        <f>HYPERLINK("./Results/DLO\20180501_1.3.12.2.1107.5.1.4.65253.30000018052118531314100062664_5_512_512_\Osteo_Sarco_1.png","RPT")</f>
        <v>RPT</v>
      </c>
      <c r="G1903" s="3">
        <v>104</v>
      </c>
      <c r="H1903" s="3"/>
    </row>
    <row r="1904" spans="1:8" x14ac:dyDescent="0.3">
      <c r="A1904" s="2">
        <v>6031874</v>
      </c>
      <c r="B1904" s="2">
        <v>68</v>
      </c>
      <c r="C1904" s="2" t="s">
        <v>6</v>
      </c>
      <c r="D1904" s="2">
        <v>100</v>
      </c>
      <c r="E1904" s="2"/>
      <c r="F1904" s="4" t="str">
        <f>HYPERLINK("./Results/DLO\20180301_1.3.12.2.1107.5.1.4.54310.30000018030823112768700000667_2_512_512_\Osteo_Sarco_1.png","RPT")</f>
        <v>RPT</v>
      </c>
      <c r="G1904" s="3">
        <v>95</v>
      </c>
      <c r="H1904" s="3"/>
    </row>
    <row r="1905" spans="1:8" x14ac:dyDescent="0.3">
      <c r="A1905" s="2">
        <v>6031874</v>
      </c>
      <c r="B1905" s="2">
        <v>68</v>
      </c>
      <c r="C1905" s="2" t="s">
        <v>6</v>
      </c>
      <c r="D1905" s="2">
        <v>120</v>
      </c>
      <c r="E1905" s="2"/>
      <c r="F1905" s="4" t="str">
        <f>HYPERLINK("./Results/DLO\20180301_1.3.12.2.1107.5.1.4.54310.30000018030823112768700001512_5_512_512_\Osteo_Sarco_1.png","RPT")</f>
        <v>RPT</v>
      </c>
      <c r="G1905" s="3">
        <v>95</v>
      </c>
      <c r="H1905" s="3"/>
    </row>
    <row r="1906" spans="1:8" x14ac:dyDescent="0.3">
      <c r="A1906" s="2">
        <v>6031874</v>
      </c>
      <c r="B1906" s="2">
        <v>68</v>
      </c>
      <c r="C1906" s="2" t="s">
        <v>6</v>
      </c>
      <c r="D1906" s="2">
        <v>120</v>
      </c>
      <c r="E1906" s="2"/>
      <c r="F1906" s="4" t="str">
        <f>HYPERLINK("./Results/DLO\20180301_1.3.12.2.1107.5.1.4.54310.30000018030823112768700001265_3_512_512_\Osteo_Sarco_1.png","RPT")</f>
        <v>RPT</v>
      </c>
      <c r="G1906" s="3">
        <v>92</v>
      </c>
      <c r="H1906" s="3"/>
    </row>
    <row r="1907" spans="1:8" x14ac:dyDescent="0.3">
      <c r="A1907" s="2">
        <v>6032881</v>
      </c>
      <c r="B1907" s="2">
        <v>58</v>
      </c>
      <c r="C1907" s="2" t="s">
        <v>6</v>
      </c>
      <c r="D1907" s="2">
        <v>100</v>
      </c>
      <c r="E1907" s="2"/>
      <c r="F1907" s="4" t="str">
        <f>HYPERLINK("./Results/DLO\20180501_1.3.46.670589.33.1.63661369567924423500001.5163888679918569933_201_512_512_\Osteo_Sarco_1.png","RPT")</f>
        <v>RPT</v>
      </c>
      <c r="G1907" s="3">
        <v>91</v>
      </c>
      <c r="H1907" s="3"/>
    </row>
    <row r="1908" spans="1:8" x14ac:dyDescent="0.3">
      <c r="A1908" s="2">
        <v>6037579</v>
      </c>
      <c r="B1908" s="2">
        <v>66</v>
      </c>
      <c r="C1908" s="2" t="s">
        <v>6</v>
      </c>
      <c r="D1908" s="2">
        <v>100</v>
      </c>
      <c r="E1908" s="2"/>
      <c r="F1908" s="4" t="str">
        <f>HYPERLINK("./Results/DLO\20181001_1.3.12.2.1107.5.1.4.54310.30000018101423484621800004746_2_512_512_\Osteo_Sarco_1.png","RPT")</f>
        <v>RPT</v>
      </c>
      <c r="G1908" s="3">
        <v>87</v>
      </c>
      <c r="H1908" s="3"/>
    </row>
    <row r="1909" spans="1:8" x14ac:dyDescent="0.3">
      <c r="A1909" s="2">
        <v>6038103</v>
      </c>
      <c r="B1909" s="2">
        <v>37</v>
      </c>
      <c r="C1909" s="2" t="s">
        <v>5</v>
      </c>
      <c r="D1909" s="2">
        <v>100</v>
      </c>
      <c r="E1909" s="2"/>
      <c r="F1909" s="4" t="str">
        <f>HYPERLINK("./Results/DLO\20180101_1.2.840.113619.2.311.54181217019504526735451010640995650164_304_512_512_\Osteo_Sarco_1.png","RPT")</f>
        <v>RPT</v>
      </c>
      <c r="G1909" s="3">
        <v>211</v>
      </c>
      <c r="H1909" s="3"/>
    </row>
    <row r="1910" spans="1:8" x14ac:dyDescent="0.3">
      <c r="A1910" s="2">
        <v>6040991</v>
      </c>
      <c r="B1910" s="2">
        <v>59</v>
      </c>
      <c r="C1910" s="2" t="s">
        <v>6</v>
      </c>
      <c r="D1910" s="2">
        <v>100</v>
      </c>
      <c r="E1910" s="2"/>
      <c r="F1910" s="4" t="str">
        <f>HYPERLINK("./Results/DLO\20181201_1.3.46.670589.33.1.63679519230686739700001.5748881010021881409_201_512_512_\Osteo_Sarco_1.png","RPT")</f>
        <v>RPT</v>
      </c>
      <c r="G1910" s="3">
        <v>94</v>
      </c>
      <c r="H1910" s="3"/>
    </row>
    <row r="1911" spans="1:8" x14ac:dyDescent="0.3">
      <c r="A1911" s="2">
        <v>6043443</v>
      </c>
      <c r="B1911" s="2">
        <v>70</v>
      </c>
      <c r="C1911" s="2" t="s">
        <v>5</v>
      </c>
      <c r="D1911" s="2">
        <v>100</v>
      </c>
      <c r="E1911" s="2"/>
      <c r="F1911" s="4" t="str">
        <f>HYPERLINK("./Results/DLO\20181101_1.3.12.2.1107.5.1.4.54310.30000018110723142843700015552_3_512_512_\Osteo_Sarco_1.png","RPT")</f>
        <v>RPT</v>
      </c>
      <c r="G1911" s="3">
        <v>134</v>
      </c>
      <c r="H1911" s="3"/>
    </row>
    <row r="1912" spans="1:8" x14ac:dyDescent="0.3">
      <c r="A1912" s="2">
        <v>6043443</v>
      </c>
      <c r="B1912" s="2">
        <v>70</v>
      </c>
      <c r="C1912" s="2" t="s">
        <v>5</v>
      </c>
      <c r="D1912" s="2">
        <v>100</v>
      </c>
      <c r="E1912" s="2"/>
      <c r="F1912" s="4" t="str">
        <f>HYPERLINK("./Results/DLO\20181101_1.3.12.2.1107.5.1.4.54310.30000018110723142843700015405_2_512_512_\Osteo_Sarco_1.png","RPT")</f>
        <v>RPT</v>
      </c>
      <c r="G1912" s="3">
        <v>131</v>
      </c>
      <c r="H1912" s="3"/>
    </row>
    <row r="1913" spans="1:8" x14ac:dyDescent="0.3">
      <c r="A1913" s="2">
        <v>6046005</v>
      </c>
      <c r="B1913" s="2">
        <v>74</v>
      </c>
      <c r="C1913" s="2" t="s">
        <v>6</v>
      </c>
      <c r="D1913" s="2">
        <v>100</v>
      </c>
      <c r="E1913" s="2"/>
      <c r="F1913" s="4" t="str">
        <f>HYPERLINK("./Results/DLO\20200201_1.3.12.2.1107.5.1.4.65253.30000020021619583534800049313_2_512_512_\Osteo_Sarco_1.png","RPT")</f>
        <v>RPT</v>
      </c>
      <c r="G1913" s="3">
        <v>106</v>
      </c>
      <c r="H1913" s="3"/>
    </row>
    <row r="1914" spans="1:8" x14ac:dyDescent="0.3">
      <c r="A1914" s="2">
        <v>6046005</v>
      </c>
      <c r="B1914" s="2">
        <v>74</v>
      </c>
      <c r="C1914" s="2" t="s">
        <v>6</v>
      </c>
      <c r="D1914" s="2">
        <v>100</v>
      </c>
      <c r="E1914" s="2"/>
      <c r="F1914" s="4" t="str">
        <f>HYPERLINK("./Results/DLO\20200201_1.3.12.2.1107.5.1.4.65253.30000020021619583534800050262_3_512_512_\Osteo_Sarco_1.png","RPT")</f>
        <v>RPT</v>
      </c>
      <c r="G1914" s="3">
        <v>106</v>
      </c>
      <c r="H1914" s="3"/>
    </row>
    <row r="1915" spans="1:8" x14ac:dyDescent="0.3">
      <c r="A1915" s="2">
        <v>6046865</v>
      </c>
      <c r="B1915" s="2">
        <v>51</v>
      </c>
      <c r="C1915" s="2" t="s">
        <v>5</v>
      </c>
      <c r="D1915" s="2">
        <v>100</v>
      </c>
      <c r="E1915" s="2"/>
      <c r="F1915" s="4" t="str">
        <f>HYPERLINK("./Results/DLO\20190101_1.3.46.670589.33.1.63684268879282489800001.5259793208271260461_301_512_512_\Osteo_Sarco_1.png","RPT")</f>
        <v>RPT</v>
      </c>
      <c r="G1915" s="3">
        <v>203</v>
      </c>
      <c r="H1915" s="3"/>
    </row>
    <row r="1916" spans="1:8" x14ac:dyDescent="0.3">
      <c r="A1916" s="2">
        <v>6046865</v>
      </c>
      <c r="B1916" s="2">
        <v>51</v>
      </c>
      <c r="C1916" s="2" t="s">
        <v>5</v>
      </c>
      <c r="D1916" s="2">
        <v>100</v>
      </c>
      <c r="E1916" s="2"/>
      <c r="F1916" s="4" t="str">
        <f>HYPERLINK("./Results/DLO\20190101_1.3.46.670589.33.1.63684268754609358900001.4885354438968712209_201_512_512_\Osteo_Sarco_1.png","RPT")</f>
        <v>RPT</v>
      </c>
      <c r="G1916" s="3">
        <v>197</v>
      </c>
      <c r="H1916" s="3"/>
    </row>
    <row r="1917" spans="1:8" x14ac:dyDescent="0.3">
      <c r="A1917" s="2">
        <v>6048199</v>
      </c>
      <c r="B1917" s="2">
        <v>55</v>
      </c>
      <c r="C1917" s="2" t="s">
        <v>6</v>
      </c>
      <c r="D1917" s="2">
        <v>100</v>
      </c>
      <c r="E1917" s="2"/>
      <c r="F1917" s="4" t="str">
        <f>HYPERLINK("./Results/DLO\20200101_1.3.12.2.1107.5.1.4.54310.30000020010121465246800040591_6_512_512_\Osteo_Sarco_1.png","RPT")</f>
        <v>RPT</v>
      </c>
      <c r="G1917" s="3">
        <v>114</v>
      </c>
      <c r="H1917" s="3"/>
    </row>
    <row r="1918" spans="1:8" x14ac:dyDescent="0.3">
      <c r="A1918" s="2">
        <v>6048199</v>
      </c>
      <c r="B1918" s="2">
        <v>55</v>
      </c>
      <c r="C1918" s="2" t="s">
        <v>6</v>
      </c>
      <c r="D1918" s="2">
        <v>100</v>
      </c>
      <c r="E1918" s="2"/>
      <c r="F1918" s="4" t="str">
        <f>HYPERLINK("./Results/DLO\20200101_1.3.12.2.1107.5.1.4.54310.30000020010121465246800041466_11_512_512_\Osteo_Sarco_1.png","RPT")</f>
        <v>RPT</v>
      </c>
      <c r="G1918" s="3">
        <v>113</v>
      </c>
      <c r="H1918" s="3"/>
    </row>
    <row r="1919" spans="1:8" x14ac:dyDescent="0.3">
      <c r="A1919" s="2">
        <v>6048199</v>
      </c>
      <c r="B1919" s="2">
        <v>55</v>
      </c>
      <c r="C1919" s="2" t="s">
        <v>6</v>
      </c>
      <c r="D1919" s="2">
        <v>100</v>
      </c>
      <c r="E1919" s="2"/>
      <c r="F1919" s="4" t="str">
        <f>HYPERLINK("./Results/DLO\20200101_1.3.12.2.1107.5.1.4.54310.30000020010121465246800042132_16_512_512_\Osteo_Sarco_1.png","RPT")</f>
        <v>RPT</v>
      </c>
      <c r="G1919" s="3">
        <v>113</v>
      </c>
      <c r="H1919" s="3"/>
    </row>
    <row r="1920" spans="1:8" x14ac:dyDescent="0.3">
      <c r="A1920" s="2">
        <v>6048199</v>
      </c>
      <c r="B1920" s="2">
        <v>55</v>
      </c>
      <c r="C1920" s="2" t="s">
        <v>6</v>
      </c>
      <c r="D1920" s="2">
        <v>100</v>
      </c>
      <c r="E1920" s="2"/>
      <c r="F1920" s="4" t="str">
        <f>HYPERLINK("./Results/DLO\20200101_1.3.12.2.1107.5.1.4.54310.30000020010121465246800040677_7_512_512_\Osteo_Sarco_1.png","RPT")</f>
        <v>RPT</v>
      </c>
      <c r="G1920" s="3">
        <v>112</v>
      </c>
      <c r="H1920" s="3"/>
    </row>
    <row r="1921" spans="1:8" x14ac:dyDescent="0.3">
      <c r="A1921" s="2">
        <v>6051844</v>
      </c>
      <c r="B1921" s="2">
        <v>49</v>
      </c>
      <c r="C1921" s="2" t="s">
        <v>6</v>
      </c>
      <c r="D1921" s="2">
        <v>100</v>
      </c>
      <c r="E1921" s="2"/>
      <c r="F1921" s="4" t="str">
        <f>HYPERLINK("./Results/DLO\20190101_1.3.12.2.1107.5.1.4.54310.30000019011323092907800000140_3_512_512_\Osteo_Sarco_1.png","RPT")</f>
        <v>RPT</v>
      </c>
      <c r="G1921" s="3">
        <v>108</v>
      </c>
      <c r="H1921" s="3"/>
    </row>
    <row r="1922" spans="1:8" x14ac:dyDescent="0.3">
      <c r="A1922" s="2">
        <v>6051844</v>
      </c>
      <c r="B1922" s="2">
        <v>49</v>
      </c>
      <c r="C1922" s="2" t="s">
        <v>6</v>
      </c>
      <c r="D1922" s="2">
        <v>100</v>
      </c>
      <c r="E1922" s="2"/>
      <c r="F1922" s="4" t="str">
        <f>HYPERLINK("./Results/DLO\20190101_1.3.12.2.1107.5.1.4.54310.30000019011323092907800000001_2_512_512_\Osteo_Sarco_1.png","RPT")</f>
        <v>RPT</v>
      </c>
      <c r="G1922" s="3">
        <v>106</v>
      </c>
      <c r="H1922" s="3"/>
    </row>
    <row r="1923" spans="1:8" x14ac:dyDescent="0.3">
      <c r="A1923" s="2">
        <v>6053602</v>
      </c>
      <c r="B1923" s="2">
        <v>49</v>
      </c>
      <c r="C1923" s="2" t="s">
        <v>6</v>
      </c>
      <c r="D1923" s="2">
        <v>100</v>
      </c>
      <c r="E1923" s="2"/>
      <c r="F1923" s="4" t="str">
        <f>HYPERLINK("./Results/DLO\20181001_1.2.840.113619.2.311.297550273518845188458039110803813972734_304_512_512_\Osteo_Sarco_1.png","RPT")</f>
        <v>RPT</v>
      </c>
      <c r="G1923" s="3">
        <v>92</v>
      </c>
      <c r="H1923" s="3"/>
    </row>
    <row r="1924" spans="1:8" x14ac:dyDescent="0.3">
      <c r="A1924" s="2">
        <v>6059960</v>
      </c>
      <c r="B1924" s="2">
        <v>76</v>
      </c>
      <c r="C1924" s="2" t="s">
        <v>5</v>
      </c>
      <c r="D1924" s="2">
        <v>100</v>
      </c>
      <c r="E1924" s="2"/>
      <c r="F1924" s="4" t="str">
        <f>HYPERLINK("./Results/DLO\20190901_1.2.840.113619.2.416.187885066883797573313379311281975790429_315_512_512_\Osteo_Sarco_1.png","RPT")</f>
        <v>RPT</v>
      </c>
      <c r="G1924" s="3">
        <v>119</v>
      </c>
      <c r="H1924" s="3"/>
    </row>
    <row r="1925" spans="1:8" x14ac:dyDescent="0.3">
      <c r="A1925" s="2">
        <v>6059960</v>
      </c>
      <c r="B1925" s="2">
        <v>76</v>
      </c>
      <c r="C1925" s="2" t="s">
        <v>5</v>
      </c>
      <c r="D1925" s="2">
        <v>100</v>
      </c>
      <c r="E1925" s="2"/>
      <c r="F1925" s="4" t="str">
        <f>HYPERLINK("./Results/DLO\20190901_1.2.840.113619.2.416.13362156489574086916740451166480923257_311_512_512_\Osteo_Sarco_1.png","RPT")</f>
        <v>RPT</v>
      </c>
      <c r="G1925" s="3">
        <v>117</v>
      </c>
      <c r="H1925" s="3"/>
    </row>
    <row r="1926" spans="1:8" x14ac:dyDescent="0.3">
      <c r="A1926" s="2">
        <v>6059960</v>
      </c>
      <c r="B1926" s="2">
        <v>76</v>
      </c>
      <c r="C1926" s="2" t="s">
        <v>5</v>
      </c>
      <c r="D1926" s="2">
        <v>100</v>
      </c>
      <c r="E1926" s="2"/>
      <c r="F1926" s="4" t="str">
        <f>HYPERLINK("./Results/DLO\20190901_1.2.840.113619.2.416.277731931877409391759999252510998660959_302_512_512_\Osteo_Sarco_1.png","RPT")</f>
        <v>RPT</v>
      </c>
      <c r="G1926" s="3">
        <v>112</v>
      </c>
      <c r="H1926" s="3"/>
    </row>
    <row r="1927" spans="1:8" x14ac:dyDescent="0.3">
      <c r="A1927" s="2">
        <v>6060306</v>
      </c>
      <c r="B1927" s="2">
        <v>64</v>
      </c>
      <c r="C1927" s="2" t="s">
        <v>5</v>
      </c>
      <c r="D1927" s="2">
        <v>100</v>
      </c>
      <c r="E1927" s="2"/>
      <c r="F1927" s="4" t="str">
        <f>HYPERLINK("./Results/DLO\20180901_1.3.46.670589.33.1.63672774557470286700001.5203709612606107985_201_512_512_\Osteo_Sarco_1.png","RPT")</f>
        <v>RPT</v>
      </c>
      <c r="G1927" s="3">
        <v>144</v>
      </c>
      <c r="H1927" s="3"/>
    </row>
    <row r="1928" spans="1:8" x14ac:dyDescent="0.3">
      <c r="A1928" s="2">
        <v>6064445</v>
      </c>
      <c r="B1928" s="2">
        <v>70</v>
      </c>
      <c r="C1928" s="2" t="s">
        <v>5</v>
      </c>
      <c r="D1928" s="2">
        <v>140</v>
      </c>
      <c r="E1928" s="2"/>
      <c r="F1928" s="4" t="str">
        <f>HYPERLINK("./Results/DLO\20190801_1.2.840.113619.2.416.243142723118190833123545643529539474107_308_512_512_\Osteo_Sarco_1.png","RPT")</f>
        <v>RPT</v>
      </c>
      <c r="G1928" s="3">
        <v>146</v>
      </c>
      <c r="H1928" s="3"/>
    </row>
    <row r="1929" spans="1:8" x14ac:dyDescent="0.3">
      <c r="A1929" s="2">
        <v>6064661</v>
      </c>
      <c r="B1929" s="2">
        <v>58</v>
      </c>
      <c r="C1929" s="2" t="s">
        <v>5</v>
      </c>
      <c r="D1929" s="2">
        <v>100</v>
      </c>
      <c r="E1929" s="2"/>
      <c r="F1929" s="4" t="str">
        <f>HYPERLINK("./Results/DLO\20190401_1.3.46.670589.33.1.63690403073138457500001.5359722426669552488_601_512_512_\Osteo_Sarco_1.png","RPT")</f>
        <v>RPT</v>
      </c>
      <c r="G1929" s="3">
        <v>155</v>
      </c>
      <c r="H1929" s="3"/>
    </row>
    <row r="1930" spans="1:8" x14ac:dyDescent="0.3">
      <c r="A1930" s="2">
        <v>6064983</v>
      </c>
      <c r="B1930" s="2">
        <v>70</v>
      </c>
      <c r="C1930" s="2" t="s">
        <v>6</v>
      </c>
      <c r="D1930" s="2">
        <v>100</v>
      </c>
      <c r="E1930" s="2"/>
      <c r="F1930" s="4" t="str">
        <f>HYPERLINK("./Results/DLO\20180501_1.3.12.2.1107.5.1.4.54310.30000018051323243418700012480_2_512_512_\Osteo_Sarco_1.png","RPT")</f>
        <v>RPT</v>
      </c>
      <c r="G1930" s="3">
        <v>127</v>
      </c>
      <c r="H1930" s="3"/>
    </row>
    <row r="1931" spans="1:8" x14ac:dyDescent="0.3">
      <c r="A1931" s="2">
        <v>6067669</v>
      </c>
      <c r="B1931" s="2">
        <v>65</v>
      </c>
      <c r="C1931" s="2" t="s">
        <v>5</v>
      </c>
      <c r="D1931" s="2">
        <v>120</v>
      </c>
      <c r="E1931" s="2"/>
      <c r="F1931" s="4" t="str">
        <f>HYPERLINK("./Results/DLO\20180601_1.2.840.113619.2.94.485650834948.2.8892818.19260816.1_2_512_512_\Osteo_Sarco_1.png","RPT")</f>
        <v>RPT</v>
      </c>
      <c r="G1931" s="3">
        <v>139</v>
      </c>
      <c r="H1931" s="3"/>
    </row>
    <row r="1932" spans="1:8" x14ac:dyDescent="0.3">
      <c r="A1932" s="2">
        <v>6067669</v>
      </c>
      <c r="B1932" s="2">
        <v>65</v>
      </c>
      <c r="C1932" s="2" t="s">
        <v>5</v>
      </c>
      <c r="D1932" s="2">
        <v>140</v>
      </c>
      <c r="E1932" s="2"/>
      <c r="F1932" s="4" t="str">
        <f>HYPERLINK("./Results/DLO\20180601_1.2.840.113619.2.94.485650834948.2.8892818.19260850.1_302_512_512_\Osteo_Sarco_1.png","RPT")</f>
        <v>RPT</v>
      </c>
      <c r="G1932" s="3">
        <v>137</v>
      </c>
      <c r="H1932" s="3"/>
    </row>
    <row r="1933" spans="1:8" x14ac:dyDescent="0.3">
      <c r="A1933" s="2">
        <v>6067989</v>
      </c>
      <c r="B1933" s="2">
        <v>47</v>
      </c>
      <c r="C1933" s="2" t="s">
        <v>6</v>
      </c>
      <c r="D1933" s="2">
        <v>100</v>
      </c>
      <c r="E1933" s="2"/>
      <c r="F1933" s="4" t="str">
        <f>HYPERLINK("./Results/DLO\20190101_1.3.46.670589.33.1.63683405471559327600001.5619282670743974998_201_512_512_\Osteo_Sarco_1.png","RPT")</f>
        <v>RPT</v>
      </c>
      <c r="G1933" s="3">
        <v>71</v>
      </c>
      <c r="H1933" s="3"/>
    </row>
    <row r="1934" spans="1:8" x14ac:dyDescent="0.3">
      <c r="A1934" s="2">
        <v>6067989</v>
      </c>
      <c r="B1934" s="2">
        <v>47</v>
      </c>
      <c r="C1934" s="2" t="s">
        <v>6</v>
      </c>
      <c r="D1934" s="2">
        <v>100</v>
      </c>
      <c r="E1934" s="2"/>
      <c r="F1934" s="4" t="str">
        <f>HYPERLINK("./Results/DLO\20190101_1.3.46.670589.33.1.63683405600928727100001.4648874522015349782_301_512_512_\Osteo_Sarco_1.png","RPT")</f>
        <v>RPT</v>
      </c>
      <c r="G1934" s="3">
        <v>62</v>
      </c>
      <c r="H1934" s="3"/>
    </row>
    <row r="1935" spans="1:8" x14ac:dyDescent="0.3">
      <c r="A1935" s="2">
        <v>6069218</v>
      </c>
      <c r="B1935" s="2">
        <v>84</v>
      </c>
      <c r="C1935" s="2" t="s">
        <v>6</v>
      </c>
      <c r="D1935" s="2">
        <v>100</v>
      </c>
      <c r="E1935" s="2"/>
      <c r="F1935" s="4" t="str">
        <f>HYPERLINK("./Results/DLO\20181101_1.3.12.2.1107.5.1.4.65253.30000018112523044058300004407_3_512_512_\Osteo_Sarco_1.png","RPT")</f>
        <v>RPT</v>
      </c>
      <c r="G1935" s="3">
        <v>98</v>
      </c>
      <c r="H1935" s="3"/>
    </row>
    <row r="1936" spans="1:8" x14ac:dyDescent="0.3">
      <c r="A1936" s="2">
        <v>6069218</v>
      </c>
      <c r="B1936" s="2">
        <v>84</v>
      </c>
      <c r="C1936" s="2" t="s">
        <v>6</v>
      </c>
      <c r="D1936" s="2">
        <v>100</v>
      </c>
      <c r="E1936" s="2"/>
      <c r="F1936" s="4" t="str">
        <f>HYPERLINK("./Results/DLO\20181101_1.3.12.2.1107.5.1.4.65253.30000018112521135692300035874_2_512_512_\Osteo_Sarco_1.png","RPT")</f>
        <v>RPT</v>
      </c>
      <c r="G1936" s="3">
        <v>95</v>
      </c>
      <c r="H1936" s="3"/>
    </row>
    <row r="1937" spans="1:8" x14ac:dyDescent="0.3">
      <c r="A1937" s="2">
        <v>6074632</v>
      </c>
      <c r="B1937" s="2">
        <v>67</v>
      </c>
      <c r="C1937" s="2" t="s">
        <v>6</v>
      </c>
      <c r="D1937" s="2">
        <v>100</v>
      </c>
      <c r="E1937" s="2"/>
      <c r="F1937" s="4" t="str">
        <f>HYPERLINK("./Results/DLO\20180601_1.3.12.2.1107.5.1.4.54310.30000018062123413862500001989_2_512_512_\Osteo_Sarco_1.png","RPT")</f>
        <v>RPT</v>
      </c>
      <c r="G1937" s="3">
        <v>115</v>
      </c>
      <c r="H1937" s="3"/>
    </row>
    <row r="1938" spans="1:8" x14ac:dyDescent="0.3">
      <c r="A1938" s="2">
        <v>6078214</v>
      </c>
      <c r="B1938" s="2">
        <v>70</v>
      </c>
      <c r="C1938" s="2" t="s">
        <v>6</v>
      </c>
      <c r="D1938" s="2">
        <v>100</v>
      </c>
      <c r="E1938" s="2"/>
      <c r="F1938" s="4" t="str">
        <f>HYPERLINK("./Results/DLO\20190101_1.3.46.670589.33.1.63683771087581805600001.5097520679345661300_201_512_512_\Osteo_Sarco_1.png","RPT")</f>
        <v>RPT</v>
      </c>
      <c r="G1938" s="3">
        <v>105</v>
      </c>
      <c r="H1938" s="3"/>
    </row>
    <row r="1939" spans="1:8" x14ac:dyDescent="0.3">
      <c r="A1939" s="2">
        <v>6079571</v>
      </c>
      <c r="B1939" s="2">
        <v>47</v>
      </c>
      <c r="C1939" s="2" t="s">
        <v>6</v>
      </c>
      <c r="D1939" s="2">
        <v>100</v>
      </c>
      <c r="E1939" s="2"/>
      <c r="F1939" s="4" t="str">
        <f>HYPERLINK("./Results/DLO\20180101_1.2.840.113619.2.311.21528194800091104760762889235027494500_304_512_512_\Osteo_Sarco_1.png","RPT")</f>
        <v>RPT</v>
      </c>
      <c r="G1939" s="3">
        <v>95</v>
      </c>
      <c r="H1939" s="3"/>
    </row>
    <row r="1940" spans="1:8" x14ac:dyDescent="0.3">
      <c r="A1940" s="2">
        <v>6080996</v>
      </c>
      <c r="B1940" s="2">
        <v>47</v>
      </c>
      <c r="C1940" s="2" t="s">
        <v>6</v>
      </c>
      <c r="D1940" s="2">
        <v>100</v>
      </c>
      <c r="E1940" s="2"/>
      <c r="F1940" s="4" t="str">
        <f>HYPERLINK("./Results/DLO\20190101_1.3.46.670589.33.1.63683146337613939100001.5414092647621515893_201_512_512_\Osteo_Sarco_1.png","RPT")</f>
        <v>RPT</v>
      </c>
      <c r="G1940" s="3">
        <v>91</v>
      </c>
      <c r="H1940" s="3"/>
    </row>
    <row r="1941" spans="1:8" x14ac:dyDescent="0.3">
      <c r="A1941" s="2">
        <v>6081961</v>
      </c>
      <c r="B1941" s="2">
        <v>61</v>
      </c>
      <c r="C1941" s="2" t="s">
        <v>5</v>
      </c>
      <c r="D1941" s="2">
        <v>100</v>
      </c>
      <c r="E1941" s="2"/>
      <c r="F1941" s="4" t="str">
        <f>HYPERLINK("./Results/DLO\20180701_1.3.46.670589.33.1.63668194458359706700001.5704901570287968688_601_512_512_\Osteo_Sarco_1.png","RPT")</f>
        <v>RPT</v>
      </c>
      <c r="G1941" s="3">
        <v>171</v>
      </c>
      <c r="H1941" s="3"/>
    </row>
    <row r="1942" spans="1:8" x14ac:dyDescent="0.3">
      <c r="A1942" s="2">
        <v>6083116</v>
      </c>
      <c r="B1942" s="2">
        <v>57</v>
      </c>
      <c r="C1942" s="2" t="s">
        <v>6</v>
      </c>
      <c r="D1942" s="2">
        <v>140</v>
      </c>
      <c r="E1942" s="2"/>
      <c r="F1942" s="4" t="str">
        <f>HYPERLINK("./Results/DLO\20180701_1.2.840.113619.2.416.113721610453134104030665321007845821703_301_512_512_\Osteo_Sarco_1.png","RPT")</f>
        <v>RPT</v>
      </c>
      <c r="G1942" s="3">
        <v>105</v>
      </c>
      <c r="H1942" s="3"/>
    </row>
    <row r="1943" spans="1:8" x14ac:dyDescent="0.3">
      <c r="A1943" s="2">
        <v>6083116</v>
      </c>
      <c r="B1943" s="2">
        <v>57</v>
      </c>
      <c r="C1943" s="2" t="s">
        <v>6</v>
      </c>
      <c r="D1943" s="2">
        <v>140</v>
      </c>
      <c r="E1943" s="2"/>
      <c r="F1943" s="4" t="str">
        <f>HYPERLINK("./Results/DLO\20180701_1.2.840.113619.2.416.123284758028764589473041024709455777346_303_512_512_\Osteo_Sarco_1.png","RPT")</f>
        <v>RPT</v>
      </c>
      <c r="G1943" s="3">
        <v>103</v>
      </c>
      <c r="H1943" s="3"/>
    </row>
    <row r="1944" spans="1:8" x14ac:dyDescent="0.3">
      <c r="A1944" s="2">
        <v>6083116</v>
      </c>
      <c r="B1944" s="2">
        <v>57</v>
      </c>
      <c r="C1944" s="2" t="s">
        <v>6</v>
      </c>
      <c r="D1944" s="2">
        <v>140</v>
      </c>
      <c r="E1944" s="2"/>
      <c r="F1944" s="4" t="str">
        <f>HYPERLINK("./Results/DLO\20180701_1.2.840.113619.2.416.100976749978785012071126047990491956168_308_512_512_\Osteo_Sarco_1.png","RPT")</f>
        <v>RPT</v>
      </c>
      <c r="G1944" s="3">
        <v>102</v>
      </c>
      <c r="H1944" s="3"/>
    </row>
    <row r="1945" spans="1:8" x14ac:dyDescent="0.3">
      <c r="A1945" s="2">
        <v>6083116</v>
      </c>
      <c r="B1945" s="2">
        <v>57</v>
      </c>
      <c r="C1945" s="2" t="s">
        <v>6</v>
      </c>
      <c r="D1945" s="2">
        <v>140</v>
      </c>
      <c r="E1945" s="2"/>
      <c r="F1945" s="4" t="str">
        <f>HYPERLINK("./Results/DLO\20180701_1.2.840.113619.2.416.16744631407129765866043180327356390985_305_512_512_\Osteo_Sarco_1.png","RPT")</f>
        <v>RPT</v>
      </c>
      <c r="G1945" s="3">
        <v>101</v>
      </c>
      <c r="H1945" s="3"/>
    </row>
    <row r="1946" spans="1:8" x14ac:dyDescent="0.3">
      <c r="A1946" s="2">
        <v>6083246</v>
      </c>
      <c r="B1946" s="2">
        <v>48</v>
      </c>
      <c r="C1946" s="2" t="s">
        <v>6</v>
      </c>
      <c r="D1946" s="2">
        <v>140</v>
      </c>
      <c r="E1946" s="2"/>
      <c r="F1946" s="4" t="str">
        <f>HYPERLINK("./Results/DLO\20181001_1.2.840.113619.2.416.180266818311453273033685303927346468522_308_512_512_\Osteo_Sarco_1.png","RPT")</f>
        <v>RPT</v>
      </c>
      <c r="G1946" s="3">
        <v>118</v>
      </c>
      <c r="H1946" s="3"/>
    </row>
    <row r="1947" spans="1:8" x14ac:dyDescent="0.3">
      <c r="A1947" s="2">
        <v>6083246</v>
      </c>
      <c r="B1947" s="2">
        <v>48</v>
      </c>
      <c r="C1947" s="2" t="s">
        <v>6</v>
      </c>
      <c r="D1947" s="2">
        <v>140</v>
      </c>
      <c r="E1947" s="2"/>
      <c r="F1947" s="4" t="str">
        <f>HYPERLINK("./Results/DLO\20181001_1.2.840.113619.2.416.154406885396059087833893425505530522898_305_512_512_\Osteo_Sarco_1.png","RPT")</f>
        <v>RPT</v>
      </c>
      <c r="G1947" s="3">
        <v>116</v>
      </c>
      <c r="H1947" s="3"/>
    </row>
    <row r="1948" spans="1:8" x14ac:dyDescent="0.3">
      <c r="A1948" s="2">
        <v>6083246</v>
      </c>
      <c r="B1948" s="2">
        <v>48</v>
      </c>
      <c r="C1948" s="2" t="s">
        <v>6</v>
      </c>
      <c r="D1948" s="2">
        <v>140</v>
      </c>
      <c r="E1948" s="2"/>
      <c r="F1948" s="4" t="str">
        <f>HYPERLINK("./Results/DLO\20181001_1.2.840.113619.2.416.225826397793097706476751999793235005156_301_512_512_\Osteo_Sarco_1.png","RPT")</f>
        <v>RPT</v>
      </c>
      <c r="G1948" s="3">
        <v>116</v>
      </c>
      <c r="H1948" s="3"/>
    </row>
    <row r="1949" spans="1:8" x14ac:dyDescent="0.3">
      <c r="A1949" s="2">
        <v>6083246</v>
      </c>
      <c r="B1949" s="2">
        <v>48</v>
      </c>
      <c r="C1949" s="2" t="s">
        <v>6</v>
      </c>
      <c r="D1949" s="2">
        <v>140</v>
      </c>
      <c r="E1949" s="2"/>
      <c r="F1949" s="4" t="str">
        <f>HYPERLINK("./Results/DLO\20181001_1.2.840.113619.2.416.140393708128092230393349499322412244860_303_512_512_\Osteo_Sarco_1.png","RPT")</f>
        <v>RPT</v>
      </c>
      <c r="G1949" s="3">
        <v>115</v>
      </c>
      <c r="H1949" s="3"/>
    </row>
    <row r="1950" spans="1:8" x14ac:dyDescent="0.3">
      <c r="A1950" s="2">
        <v>6084501</v>
      </c>
      <c r="B1950" s="2">
        <v>32</v>
      </c>
      <c r="C1950" s="2" t="s">
        <v>5</v>
      </c>
      <c r="D1950" s="2">
        <v>100</v>
      </c>
      <c r="E1950" s="2"/>
      <c r="F1950" s="4" t="str">
        <f>HYPERLINK("./Results/DLO\20180501_1.3.12.2.1107.5.1.4.65253.30000018050120301199700015417_2_512_512_\Osteo_Sarco_1.png","RPT")</f>
        <v>RPT</v>
      </c>
      <c r="G1950" s="3">
        <v>202</v>
      </c>
      <c r="H1950" s="3"/>
    </row>
    <row r="1951" spans="1:8" x14ac:dyDescent="0.3">
      <c r="A1951" s="2">
        <v>6084551</v>
      </c>
      <c r="B1951" s="2">
        <v>76</v>
      </c>
      <c r="C1951" s="2" t="s">
        <v>6</v>
      </c>
      <c r="D1951" s="2">
        <v>100</v>
      </c>
      <c r="E1951" s="2"/>
      <c r="F1951" s="4" t="str">
        <f>HYPERLINK("./Results/DLO\20190701_1.3.12.2.1107.5.1.4.65253.30000019071419155512400040050_6_512_512_\Osteo_Sarco_1.png","RPT")</f>
        <v>RPT</v>
      </c>
      <c r="G1951" s="3">
        <v>113</v>
      </c>
      <c r="H1951" s="3"/>
    </row>
    <row r="1952" spans="1:8" x14ac:dyDescent="0.3">
      <c r="A1952" s="2">
        <v>6084551</v>
      </c>
      <c r="B1952" s="2">
        <v>76</v>
      </c>
      <c r="C1952" s="2" t="s">
        <v>6</v>
      </c>
      <c r="D1952" s="2">
        <v>100</v>
      </c>
      <c r="E1952" s="2"/>
      <c r="F1952" s="4" t="str">
        <f>HYPERLINK("./Results/DLO\20190701_1.3.12.2.1107.5.1.4.65253.30000019071419155512400040729_8_512_512_\Osteo_Sarco_1.png","RPT")</f>
        <v>RPT</v>
      </c>
      <c r="G1952" s="3">
        <v>113</v>
      </c>
      <c r="H1952" s="3"/>
    </row>
    <row r="1953" spans="1:8" x14ac:dyDescent="0.3">
      <c r="A1953" s="2">
        <v>6084551</v>
      </c>
      <c r="B1953" s="2">
        <v>76</v>
      </c>
      <c r="C1953" s="2" t="s">
        <v>6</v>
      </c>
      <c r="D1953" s="2">
        <v>100</v>
      </c>
      <c r="E1953" s="2"/>
      <c r="F1953" s="4" t="str">
        <f>HYPERLINK("./Results/DLO\20190701_1.3.12.2.1107.5.1.4.65253.30000019071419155512400039906_2_512_512_\Osteo_Sarco_1.png","RPT")</f>
        <v>RPT</v>
      </c>
      <c r="G1953" s="3">
        <v>112</v>
      </c>
      <c r="H1953" s="3"/>
    </row>
    <row r="1954" spans="1:8" x14ac:dyDescent="0.3">
      <c r="A1954" s="2">
        <v>6084839</v>
      </c>
      <c r="B1954" s="2">
        <v>55</v>
      </c>
      <c r="C1954" s="2" t="s">
        <v>6</v>
      </c>
      <c r="D1954" s="2">
        <v>100</v>
      </c>
      <c r="E1954" s="2"/>
      <c r="F1954" s="4" t="str">
        <f>HYPERLINK("./Results/DLO\20180801_1.2.840.113619.2.416.223029194982506395454964758214670929995_302_512_512_\Osteo_Sarco_1.png","RPT")</f>
        <v>RPT</v>
      </c>
      <c r="G1954" s="3">
        <v>103</v>
      </c>
      <c r="H1954" s="3"/>
    </row>
    <row r="1955" spans="1:8" x14ac:dyDescent="0.3">
      <c r="A1955" s="2">
        <v>6084839</v>
      </c>
      <c r="B1955" s="2">
        <v>55</v>
      </c>
      <c r="C1955" s="2" t="s">
        <v>6</v>
      </c>
      <c r="D1955" s="2">
        <v>100</v>
      </c>
      <c r="E1955" s="2"/>
      <c r="F1955" s="4" t="str">
        <f>HYPERLINK("./Results/DLO\20180801_1.2.840.113619.2.416.314575946637898304605642396746360203301_301_512_512_\Osteo_Sarco_1.png","RPT")</f>
        <v>RPT</v>
      </c>
      <c r="G1955" s="3">
        <v>99</v>
      </c>
      <c r="H1955" s="3"/>
    </row>
    <row r="1956" spans="1:8" x14ac:dyDescent="0.3">
      <c r="A1956" s="2">
        <v>6084951</v>
      </c>
      <c r="B1956" s="2">
        <v>85</v>
      </c>
      <c r="C1956" s="2" t="s">
        <v>5</v>
      </c>
      <c r="D1956" s="2">
        <v>100</v>
      </c>
      <c r="E1956" s="2"/>
      <c r="F1956" s="4" t="str">
        <f>HYPERLINK("./Results/DLO\20191201_1.3.12.2.1107.5.1.4.65253.30000019120220324052100058356_3_512_512_\Osteo_Sarco_1.png","RPT")</f>
        <v>RPT</v>
      </c>
      <c r="G1956" s="3">
        <v>103</v>
      </c>
      <c r="H1956" s="3"/>
    </row>
    <row r="1957" spans="1:8" x14ac:dyDescent="0.3">
      <c r="A1957" s="2">
        <v>6084951</v>
      </c>
      <c r="B1957" s="2">
        <v>85</v>
      </c>
      <c r="C1957" s="2" t="s">
        <v>5</v>
      </c>
      <c r="D1957" s="2">
        <v>100</v>
      </c>
      <c r="E1957" s="2"/>
      <c r="F1957" s="4" t="str">
        <f>HYPERLINK("./Results/DLO\20191201_1.3.12.2.1107.5.1.4.65253.30000019120220324052100058205_2_512_512_\Osteo_Sarco_1.png","RPT")</f>
        <v>RPT</v>
      </c>
      <c r="G1957" s="3">
        <v>99</v>
      </c>
      <c r="H1957" s="3"/>
    </row>
    <row r="1958" spans="1:8" x14ac:dyDescent="0.3">
      <c r="A1958" s="2">
        <v>6085470</v>
      </c>
      <c r="B1958" s="2">
        <v>52</v>
      </c>
      <c r="C1958" s="2" t="s">
        <v>6</v>
      </c>
      <c r="D1958" s="2">
        <v>140</v>
      </c>
      <c r="E1958" s="2"/>
      <c r="F1958" s="4" t="str">
        <f>HYPERLINK("./Results/DLO\20191001_1.2.840.113619.2.416.285873847540911793860585073739496700577_302_512_512_\Osteo_Sarco_1.png","RPT")</f>
        <v>RPT</v>
      </c>
      <c r="G1958" s="3">
        <v>125</v>
      </c>
      <c r="H1958" s="3"/>
    </row>
    <row r="1959" spans="1:8" x14ac:dyDescent="0.3">
      <c r="A1959" s="2">
        <v>6085470</v>
      </c>
      <c r="B1959" s="2">
        <v>52</v>
      </c>
      <c r="C1959" s="2" t="s">
        <v>6</v>
      </c>
      <c r="D1959" s="2">
        <v>120</v>
      </c>
      <c r="E1959" s="2"/>
      <c r="F1959" s="4" t="str">
        <f>HYPERLINK("./Results/DLO\20191001_1.2.840.113619.2.416.78195987956463041174830615574754710942_2_512_512_\Osteo_Sarco_1.png","RPT")</f>
        <v>RPT</v>
      </c>
      <c r="G1959" s="3">
        <v>121</v>
      </c>
      <c r="H1959" s="3"/>
    </row>
    <row r="1960" spans="1:8" x14ac:dyDescent="0.3">
      <c r="A1960" s="2">
        <v>6086217</v>
      </c>
      <c r="B1960" s="2">
        <v>65</v>
      </c>
      <c r="C1960" s="2" t="s">
        <v>6</v>
      </c>
      <c r="D1960" s="2">
        <v>100</v>
      </c>
      <c r="E1960" s="2"/>
      <c r="F1960" s="4" t="str">
        <f>HYPERLINK("./Results/DLO\20180401_1.3.12.2.1107.5.1.4.54310.30000018040123083078100005638_2_512_512_\Osteo_Sarco_1.png","RPT")</f>
        <v>RPT</v>
      </c>
      <c r="G1960" s="3">
        <v>106</v>
      </c>
      <c r="H1960" s="3"/>
    </row>
    <row r="1961" spans="1:8" x14ac:dyDescent="0.3">
      <c r="A1961" s="2">
        <v>6086226</v>
      </c>
      <c r="B1961" s="2">
        <v>50</v>
      </c>
      <c r="C1961" s="2" t="s">
        <v>5</v>
      </c>
      <c r="D1961" s="2">
        <v>120</v>
      </c>
      <c r="E1961" s="2"/>
      <c r="F1961" s="4" t="str">
        <f>HYPERLINK("./Results/DLO\20180801_1.2.840.113619.2.416.241603051819284084321239813526623340593_2_512_512_\Osteo_Sarco_1.png","RPT")</f>
        <v>RPT</v>
      </c>
      <c r="G1961" s="3">
        <v>124</v>
      </c>
      <c r="H1961" s="3"/>
    </row>
    <row r="1962" spans="1:8" x14ac:dyDescent="0.3">
      <c r="A1962" s="2">
        <v>6086226</v>
      </c>
      <c r="B1962" s="2">
        <v>50</v>
      </c>
      <c r="C1962" s="2" t="s">
        <v>5</v>
      </c>
      <c r="D1962" s="2">
        <v>140</v>
      </c>
      <c r="E1962" s="2"/>
      <c r="F1962" s="4" t="str">
        <f>HYPERLINK("./Results/DLO\20180801_1.2.840.113619.2.416.70076920091972358457988453421291845942_302_512_512_\Osteo_Sarco_1.png","RPT")</f>
        <v>RPT</v>
      </c>
      <c r="G1962" s="3">
        <v>124</v>
      </c>
      <c r="H1962" s="3"/>
    </row>
    <row r="1963" spans="1:8" x14ac:dyDescent="0.3">
      <c r="A1963" s="2">
        <v>6087784</v>
      </c>
      <c r="B1963" s="2">
        <v>47</v>
      </c>
      <c r="C1963" s="2" t="s">
        <v>5</v>
      </c>
      <c r="D1963" s="2">
        <v>100</v>
      </c>
      <c r="E1963" s="2"/>
      <c r="F1963" s="4" t="str">
        <f>HYPERLINK("./Results/DLO\20181001_1.2.840.113619.2.416.24928681880902274567805294769319899498_301_512_512_\Osteo_Sarco_1.png","RPT")</f>
        <v>RPT</v>
      </c>
      <c r="G1963" s="3">
        <v>134</v>
      </c>
      <c r="H1963" s="3"/>
    </row>
    <row r="1964" spans="1:8" x14ac:dyDescent="0.3">
      <c r="A1964" s="2">
        <v>6087784</v>
      </c>
      <c r="B1964" s="2">
        <v>47</v>
      </c>
      <c r="C1964" s="2" t="s">
        <v>5</v>
      </c>
      <c r="D1964" s="2">
        <v>100</v>
      </c>
      <c r="E1964" s="2"/>
      <c r="F1964" s="4" t="str">
        <f>HYPERLINK("./Results/DLO\20181001_1.2.840.113619.2.416.214871423449797270250857648254169835717_302_512_512_\Osteo_Sarco_1.png","RPT")</f>
        <v>RPT</v>
      </c>
      <c r="G1964" s="3">
        <v>126</v>
      </c>
      <c r="H1964" s="3"/>
    </row>
    <row r="1965" spans="1:8" x14ac:dyDescent="0.3">
      <c r="A1965" s="2">
        <v>6089109</v>
      </c>
      <c r="B1965" s="2">
        <v>74</v>
      </c>
      <c r="C1965" s="2" t="s">
        <v>5</v>
      </c>
      <c r="D1965" s="2">
        <v>100</v>
      </c>
      <c r="E1965" s="2"/>
      <c r="F1965" s="4" t="str">
        <f>HYPERLINK("./Results/DLO\20180701_1.3.46.670589.33.1.63666292583850065700001.5388049756052895911_801_512_512_\Osteo_Sarco_1.png","RPT")</f>
        <v>RPT</v>
      </c>
      <c r="G1965" s="3">
        <v>127</v>
      </c>
      <c r="H1965" s="3"/>
    </row>
    <row r="1966" spans="1:8" x14ac:dyDescent="0.3">
      <c r="A1966" s="2">
        <v>6089109</v>
      </c>
      <c r="B1966" s="2">
        <v>74</v>
      </c>
      <c r="C1966" s="2" t="s">
        <v>5</v>
      </c>
      <c r="D1966" s="2">
        <v>100</v>
      </c>
      <c r="E1966" s="2"/>
      <c r="F1966" s="4" t="str">
        <f>HYPERLINK("./Results/DLO\20180701_1.3.46.670589.33.1.63666292435330570800001.4832631055955586414_501_512_512_\Osteo_Sarco_1.png","RPT")</f>
        <v>RPT</v>
      </c>
      <c r="G1966" s="3">
        <v>125</v>
      </c>
      <c r="H1966" s="3"/>
    </row>
    <row r="1967" spans="1:8" x14ac:dyDescent="0.3">
      <c r="A1967" s="2">
        <v>6089109</v>
      </c>
      <c r="B1967" s="2">
        <v>74</v>
      </c>
      <c r="C1967" s="2" t="s">
        <v>5</v>
      </c>
      <c r="D1967" s="2">
        <v>100</v>
      </c>
      <c r="E1967" s="2"/>
      <c r="F1967" s="4" t="str">
        <f>HYPERLINK("./Results/DLO\20180701_1.3.46.670589.33.1.63666292492418836100001.4636903438850584342_601_512_512_\Osteo_Sarco_1.png","RPT")</f>
        <v>RPT</v>
      </c>
      <c r="G1967" s="3">
        <v>125</v>
      </c>
      <c r="H1967" s="3"/>
    </row>
    <row r="1968" spans="1:8" x14ac:dyDescent="0.3">
      <c r="A1968" s="2">
        <v>6089109</v>
      </c>
      <c r="B1968" s="2">
        <v>74</v>
      </c>
      <c r="C1968" s="2" t="s">
        <v>5</v>
      </c>
      <c r="D1968" s="2">
        <v>100</v>
      </c>
      <c r="E1968" s="2"/>
      <c r="F1968" s="4" t="str">
        <f>HYPERLINK("./Results/DLO\20180701_1.3.46.670589.33.1.63666292345729446000001.5588173470357710022_201_512_512_\Osteo_Sarco_1.png","RPT")</f>
        <v>RPT</v>
      </c>
      <c r="G1968" s="3">
        <v>124</v>
      </c>
      <c r="H1968" s="3"/>
    </row>
    <row r="1969" spans="1:8" x14ac:dyDescent="0.3">
      <c r="A1969" s="2">
        <v>6089611</v>
      </c>
      <c r="B1969" s="2">
        <v>67</v>
      </c>
      <c r="C1969" s="2" t="s">
        <v>5</v>
      </c>
      <c r="D1969" s="2">
        <v>100</v>
      </c>
      <c r="E1969" s="2"/>
      <c r="F1969" s="4" t="str">
        <f>HYPERLINK("./Results/DLO\20190101_1.3.46.670589.33.1.63683402833647447600001.5540233332970817545_301_512_512_\Osteo_Sarco_1.png","RPT")</f>
        <v>RPT</v>
      </c>
      <c r="G1969" s="3">
        <v>118</v>
      </c>
      <c r="H1969" s="3"/>
    </row>
    <row r="1970" spans="1:8" x14ac:dyDescent="0.3">
      <c r="A1970" s="2">
        <v>6089611</v>
      </c>
      <c r="B1970" s="2">
        <v>67</v>
      </c>
      <c r="C1970" s="2" t="s">
        <v>5</v>
      </c>
      <c r="D1970" s="2">
        <v>100</v>
      </c>
      <c r="E1970" s="2"/>
      <c r="F1970" s="4" t="str">
        <f>HYPERLINK("./Results/DLO\20190101_1.3.46.670589.33.1.63683402715518691100001.5163604264464282391_201_512_512_\Osteo_Sarco_1.png","RPT")</f>
        <v>RPT</v>
      </c>
      <c r="G1970" s="3">
        <v>117</v>
      </c>
      <c r="H1970" s="3"/>
    </row>
    <row r="1971" spans="1:8" x14ac:dyDescent="0.3">
      <c r="A1971" s="2">
        <v>6095232</v>
      </c>
      <c r="B1971" s="2">
        <v>50</v>
      </c>
      <c r="C1971" s="2" t="s">
        <v>6</v>
      </c>
      <c r="D1971" s="2">
        <v>100</v>
      </c>
      <c r="E1971" s="2"/>
      <c r="F1971" s="4" t="str">
        <f>HYPERLINK("./Results/DLO\20180101_1.2.840.113619.2.416.44371446483710189563966976209215538492_301_512_512_\Osteo_Sarco_1.png","RPT")</f>
        <v>RPT</v>
      </c>
      <c r="G1971" s="3">
        <v>114</v>
      </c>
      <c r="H1971" s="3"/>
    </row>
    <row r="1972" spans="1:8" x14ac:dyDescent="0.3">
      <c r="A1972" s="2">
        <v>6095232</v>
      </c>
      <c r="B1972" s="2">
        <v>50</v>
      </c>
      <c r="C1972" s="2" t="s">
        <v>6</v>
      </c>
      <c r="D1972" s="2">
        <v>100</v>
      </c>
      <c r="E1972" s="2"/>
      <c r="F1972" s="4" t="str">
        <f>HYPERLINK("./Results/DLO\20180101_1.2.840.113619.2.416.251407466139074564758178089111878136065_302_512_512_\Osteo_Sarco_1.png","RPT")</f>
        <v>RPT</v>
      </c>
      <c r="G1972" s="3">
        <v>112</v>
      </c>
      <c r="H1972" s="3"/>
    </row>
    <row r="1973" spans="1:8" x14ac:dyDescent="0.3">
      <c r="A1973" s="2">
        <v>6097556</v>
      </c>
      <c r="B1973" s="2">
        <v>66</v>
      </c>
      <c r="C1973" s="2" t="s">
        <v>5</v>
      </c>
      <c r="D1973" s="2">
        <v>140</v>
      </c>
      <c r="E1973" s="2"/>
      <c r="F1973" s="4" t="str">
        <f>HYPERLINK("./Results/DLO\20180101_1.2.840.113619.2.416.66479974228710515707489425547145942508_3_512_512_\Osteo_Sarco_1.png","RPT")</f>
        <v>RPT</v>
      </c>
      <c r="G1973" s="3">
        <v>94</v>
      </c>
      <c r="H1973" s="3"/>
    </row>
    <row r="1974" spans="1:8" x14ac:dyDescent="0.3">
      <c r="A1974" s="2">
        <v>6097556</v>
      </c>
      <c r="B1974" s="2">
        <v>66</v>
      </c>
      <c r="C1974" s="2" t="s">
        <v>5</v>
      </c>
      <c r="D1974" s="2">
        <v>140</v>
      </c>
      <c r="E1974" s="2"/>
      <c r="F1974" s="4" t="str">
        <f>HYPERLINK("./Results/DLO\20180101_1.2.840.113619.2.416.144907371137393745588924386664554387252_2_512_512_\Osteo_Sarco_1.png","RPT")</f>
        <v>RPT</v>
      </c>
      <c r="G1974" s="3">
        <v>83</v>
      </c>
      <c r="H1974" s="3"/>
    </row>
    <row r="1975" spans="1:8" x14ac:dyDescent="0.3">
      <c r="A1975" s="2">
        <v>6098094</v>
      </c>
      <c r="B1975" s="2">
        <v>75</v>
      </c>
      <c r="C1975" s="2" t="s">
        <v>6</v>
      </c>
      <c r="D1975" s="2">
        <v>100</v>
      </c>
      <c r="E1975" s="2"/>
      <c r="F1975" s="4" t="str">
        <f>HYPERLINK("./Results/DLO\20180501_1.2.840.113619.2.416.194217565130747503831839625396683643093_304_512_512_\Osteo_Sarco_1.png","RPT")</f>
        <v>RPT</v>
      </c>
      <c r="G1975" s="3">
        <v>78</v>
      </c>
      <c r="H1975" s="3"/>
    </row>
    <row r="1976" spans="1:8" x14ac:dyDescent="0.3">
      <c r="A1976" s="2">
        <v>6106385</v>
      </c>
      <c r="B1976" s="2">
        <v>60</v>
      </c>
      <c r="C1976" s="2" t="s">
        <v>6</v>
      </c>
      <c r="D1976" s="2">
        <v>140</v>
      </c>
      <c r="E1976" s="2"/>
      <c r="F1976" s="4" t="str">
        <f>HYPERLINK("./Results/DLO\20180301_1.2.840.113619.2.416.245837043628642949376301589648782812229_3_512_512_\Osteo_Sarco_1.png","RPT")</f>
        <v>RPT</v>
      </c>
      <c r="G1976" s="3">
        <v>96</v>
      </c>
      <c r="H1976" s="3"/>
    </row>
    <row r="1977" spans="1:8" x14ac:dyDescent="0.3">
      <c r="A1977" s="2">
        <v>6106385</v>
      </c>
      <c r="B1977" s="2">
        <v>60</v>
      </c>
      <c r="C1977" s="2" t="s">
        <v>6</v>
      </c>
      <c r="D1977" s="2">
        <v>140</v>
      </c>
      <c r="E1977" s="2"/>
      <c r="F1977" s="4" t="str">
        <f>HYPERLINK("./Results/DLO\20180301_1.2.840.113619.2.416.107603926957004532361330673505434779925_2_512_512_\Osteo_Sarco_1.png","RPT")</f>
        <v>RPT</v>
      </c>
      <c r="G1977" s="3">
        <v>94</v>
      </c>
      <c r="H1977" s="3"/>
    </row>
    <row r="1978" spans="1:8" x14ac:dyDescent="0.3">
      <c r="A1978" s="2">
        <v>6106940</v>
      </c>
      <c r="B1978" s="2">
        <v>57</v>
      </c>
      <c r="C1978" s="2" t="s">
        <v>6</v>
      </c>
      <c r="D1978" s="2">
        <v>100</v>
      </c>
      <c r="E1978" s="2"/>
      <c r="F1978" s="4" t="str">
        <f>HYPERLINK("./Results/DLO\20190401_1.3.12.2.1107.5.1.4.54310.30000019041623401839000000716_2_512_512_\Osteo_Sarco_1.png","RPT")</f>
        <v>RPT</v>
      </c>
      <c r="G1978" s="3">
        <v>131</v>
      </c>
      <c r="H1978" s="3"/>
    </row>
    <row r="1979" spans="1:8" x14ac:dyDescent="0.3">
      <c r="A1979" s="2">
        <v>6107234</v>
      </c>
      <c r="B1979" s="2">
        <v>65</v>
      </c>
      <c r="C1979" s="2" t="s">
        <v>6</v>
      </c>
      <c r="D1979" s="2">
        <v>100</v>
      </c>
      <c r="E1979" s="2"/>
      <c r="F1979" s="4" t="str">
        <f>HYPERLINK("./Results/DLO\20200601_1.3.46.670589.33.1.63728587406499210800001.4888920694891216046_201_512_512_\Osteo_Sarco_1.png","RPT")</f>
        <v>RPT</v>
      </c>
      <c r="G1979" s="3">
        <v>140</v>
      </c>
      <c r="H1979" s="3"/>
    </row>
    <row r="1980" spans="1:8" x14ac:dyDescent="0.3">
      <c r="A1980" s="2">
        <v>6110072</v>
      </c>
      <c r="B1980" s="2">
        <v>43</v>
      </c>
      <c r="C1980" s="2" t="s">
        <v>5</v>
      </c>
      <c r="D1980" s="2">
        <v>100</v>
      </c>
      <c r="E1980" s="2"/>
      <c r="F1980" s="4" t="str">
        <f>HYPERLINK("./Results/DLO\20180701_1.3.12.2.1107.5.1.4.54310.30000018072223193428100023749_2_512_512_\Osteo_Sarco_1.png","RPT")</f>
        <v>RPT</v>
      </c>
      <c r="G1980" s="3">
        <v>170</v>
      </c>
      <c r="H1980" s="3"/>
    </row>
    <row r="1981" spans="1:8" x14ac:dyDescent="0.3">
      <c r="A1981" s="2">
        <v>6111301</v>
      </c>
      <c r="B1981" s="2">
        <v>70</v>
      </c>
      <c r="C1981" s="2" t="s">
        <v>5</v>
      </c>
      <c r="D1981" s="2">
        <v>100</v>
      </c>
      <c r="E1981" s="2"/>
      <c r="F1981" s="4" t="str">
        <f>HYPERLINK("./Results/DLO\20181201_1.2.840.113619.2.416.33002887973318148147814007266497795724_302_512_512_\Osteo_Sarco_1.png","RPT")</f>
        <v>RPT</v>
      </c>
      <c r="G1981" s="3">
        <v>145</v>
      </c>
      <c r="H1981" s="3"/>
    </row>
    <row r="1982" spans="1:8" x14ac:dyDescent="0.3">
      <c r="A1982" s="2">
        <v>6111301</v>
      </c>
      <c r="B1982" s="2">
        <v>70</v>
      </c>
      <c r="C1982" s="2" t="s">
        <v>5</v>
      </c>
      <c r="D1982" s="2">
        <v>100</v>
      </c>
      <c r="E1982" s="2"/>
      <c r="F1982" s="4" t="str">
        <f>HYPERLINK("./Results/DLO\20181201_1.2.840.113619.2.416.87665900451967536079546966158401543317_301_512_512_\Osteo_Sarco_1.png","RPT")</f>
        <v>RPT</v>
      </c>
      <c r="G1982" s="3">
        <v>142</v>
      </c>
      <c r="H1982" s="3"/>
    </row>
    <row r="1983" spans="1:8" x14ac:dyDescent="0.3">
      <c r="A1983" s="2">
        <v>6111798</v>
      </c>
      <c r="B1983" s="2">
        <v>76</v>
      </c>
      <c r="C1983" s="2" t="s">
        <v>6</v>
      </c>
      <c r="D1983" s="2">
        <v>120</v>
      </c>
      <c r="E1983" s="2"/>
      <c r="F1983" s="4" t="str">
        <f>HYPERLINK("./Results/DLO\20180901_1.2.840.113619.2.94.485650834948.2.9071720.19703613.1_7_512_512_\Osteo_Sarco_1.png","RPT")</f>
        <v>RPT</v>
      </c>
      <c r="G1983" s="3">
        <v>86</v>
      </c>
      <c r="H1983" s="3"/>
    </row>
    <row r="1984" spans="1:8" x14ac:dyDescent="0.3">
      <c r="A1984" s="2">
        <v>6111798</v>
      </c>
      <c r="B1984" s="2">
        <v>76</v>
      </c>
      <c r="C1984" s="2" t="s">
        <v>6</v>
      </c>
      <c r="D1984" s="2">
        <v>120</v>
      </c>
      <c r="E1984" s="2"/>
      <c r="F1984" s="4" t="str">
        <f>HYPERLINK("./Results/DLO\20180901_1.3.12.2.1107.5.1.4.65253.30000018090819111472400063190_12_512_512_\Osteo_Sarco_1.png","RPT")</f>
        <v>RPT</v>
      </c>
      <c r="G1984" s="3">
        <v>86</v>
      </c>
      <c r="H1984" s="3"/>
    </row>
    <row r="1985" spans="1:8" x14ac:dyDescent="0.3">
      <c r="A1985" s="2">
        <v>6111798</v>
      </c>
      <c r="B1985" s="2">
        <v>76</v>
      </c>
      <c r="C1985" s="2" t="s">
        <v>6</v>
      </c>
      <c r="D1985" s="2">
        <v>120</v>
      </c>
      <c r="E1985" s="2"/>
      <c r="F1985" s="4" t="str">
        <f>HYPERLINK("./Results/DLO\20180901_1.3.12.2.1107.5.1.4.65253.30000018090819111472400062021_5_512_512_\Osteo_Sarco_1.png","RPT")</f>
        <v>RPT</v>
      </c>
      <c r="G1985" s="3">
        <v>84</v>
      </c>
      <c r="H1985" s="3"/>
    </row>
    <row r="1986" spans="1:8" x14ac:dyDescent="0.3">
      <c r="A1986" s="2">
        <v>6111798</v>
      </c>
      <c r="B1986" s="2">
        <v>76</v>
      </c>
      <c r="C1986" s="2" t="s">
        <v>6</v>
      </c>
      <c r="D1986" s="2">
        <v>100</v>
      </c>
      <c r="E1986" s="2"/>
      <c r="F1986" s="4" t="str">
        <f>HYPERLINK("./Results/DLO\20180901_1.3.12.2.1107.5.1.4.65253.30000018090819111472400061947_2_512_512_\Osteo_Sarco_1.png","RPT")</f>
        <v>RPT</v>
      </c>
      <c r="G1986" s="3">
        <v>79</v>
      </c>
      <c r="H1986" s="3"/>
    </row>
    <row r="1987" spans="1:8" x14ac:dyDescent="0.3">
      <c r="A1987" s="2">
        <v>6114228</v>
      </c>
      <c r="B1987" s="2">
        <v>67</v>
      </c>
      <c r="C1987" s="2" t="s">
        <v>6</v>
      </c>
      <c r="D1987" s="2">
        <v>100</v>
      </c>
      <c r="E1987" s="2"/>
      <c r="F1987" s="4" t="str">
        <f>HYPERLINK("./Results/DLO\20181001_1.3.12.2.1107.5.1.4.65253.30000018100618142469100092688_5_512_512_\Osteo_Sarco_1.png","RPT")</f>
        <v>RPT</v>
      </c>
      <c r="G1987" s="3">
        <v>104</v>
      </c>
      <c r="H1987" s="3"/>
    </row>
    <row r="1988" spans="1:8" x14ac:dyDescent="0.3">
      <c r="A1988" s="2">
        <v>6114228</v>
      </c>
      <c r="B1988" s="2">
        <v>67</v>
      </c>
      <c r="C1988" s="2" t="s">
        <v>6</v>
      </c>
      <c r="D1988" s="2">
        <v>100</v>
      </c>
      <c r="E1988" s="2"/>
      <c r="F1988" s="4" t="str">
        <f>HYPERLINK("./Results/DLO\20181001_1.3.12.2.1107.5.1.4.65253.30000018100618142469100093322_7_512_512_\Osteo_Sarco_1.png","RPT")</f>
        <v>RPT</v>
      </c>
      <c r="G1988" s="3">
        <v>103</v>
      </c>
      <c r="H1988" s="3"/>
    </row>
    <row r="1989" spans="1:8" x14ac:dyDescent="0.3">
      <c r="A1989" s="2">
        <v>6114228</v>
      </c>
      <c r="B1989" s="2">
        <v>67</v>
      </c>
      <c r="C1989" s="2" t="s">
        <v>6</v>
      </c>
      <c r="D1989" s="2">
        <v>100</v>
      </c>
      <c r="E1989" s="2"/>
      <c r="F1989" s="4" t="str">
        <f>HYPERLINK("./Results/DLO\20181001_1.3.12.2.1107.5.1.4.65253.30000018100618142469100092529_2_512_512_\Osteo_Sarco_1.png","RPT")</f>
        <v>RPT</v>
      </c>
      <c r="G1989" s="3">
        <v>100</v>
      </c>
      <c r="H1989" s="3"/>
    </row>
    <row r="1990" spans="1:8" x14ac:dyDescent="0.3">
      <c r="A1990" s="2">
        <v>6114552</v>
      </c>
      <c r="B1990" s="2">
        <v>62</v>
      </c>
      <c r="C1990" s="2" t="s">
        <v>5</v>
      </c>
      <c r="D1990" s="2">
        <v>100</v>
      </c>
      <c r="E1990" s="2"/>
      <c r="F1990" s="4" t="str">
        <f>HYPERLINK("./Results/DLO\20180401_1.3.12.2.1107.5.1.4.54310.30000018041123090860900000721_2_512_512_\Osteo_Sarco_1.png","RPT")</f>
        <v>RPT</v>
      </c>
      <c r="G1990" s="3">
        <v>122</v>
      </c>
      <c r="H1990" s="3"/>
    </row>
    <row r="1991" spans="1:8" x14ac:dyDescent="0.3">
      <c r="A1991" s="2">
        <v>6114782</v>
      </c>
      <c r="B1991" s="2">
        <v>65</v>
      </c>
      <c r="C1991" s="2" t="s">
        <v>5</v>
      </c>
      <c r="D1991" s="2">
        <v>100</v>
      </c>
      <c r="E1991" s="2"/>
      <c r="F1991" s="4" t="str">
        <f>HYPERLINK("./Results/DLO\20181001_1.3.46.670589.33.1.63676575847726087200001.5016658063087365547_201_512_512_\Osteo_Sarco_1.png","RPT")</f>
        <v>RPT</v>
      </c>
      <c r="G1991" s="3">
        <v>157</v>
      </c>
      <c r="H1991" s="3"/>
    </row>
    <row r="1992" spans="1:8" x14ac:dyDescent="0.3">
      <c r="A1992" s="2">
        <v>6123539</v>
      </c>
      <c r="B1992" s="2">
        <v>55</v>
      </c>
      <c r="C1992" s="2" t="s">
        <v>6</v>
      </c>
      <c r="D1992" s="2">
        <v>100</v>
      </c>
      <c r="E1992" s="2"/>
      <c r="F1992" s="4" t="str">
        <f>HYPERLINK("./Results/DLO\20200401_1.2.840.113619.2.416.76519729009718077699539870259415474272_310_512_512_\Osteo_Sarco_1.png","RPT")</f>
        <v>RPT</v>
      </c>
      <c r="G1992" s="3">
        <v>101</v>
      </c>
      <c r="H1992" s="3"/>
    </row>
    <row r="1993" spans="1:8" x14ac:dyDescent="0.3">
      <c r="A1993" s="2">
        <v>6124430</v>
      </c>
      <c r="B1993" s="2">
        <v>78</v>
      </c>
      <c r="C1993" s="2" t="s">
        <v>6</v>
      </c>
      <c r="D1993" s="2">
        <v>120</v>
      </c>
      <c r="E1993" s="2"/>
      <c r="F1993" s="4" t="str">
        <f>HYPERLINK("./Results/DLO\20190701_1.2.840.113619.2.416.75531661585198218792763170078780326734_2_512_512_\Osteo_Sarco_1.png","RPT")</f>
        <v>RPT</v>
      </c>
      <c r="G1993" s="3">
        <v>109</v>
      </c>
      <c r="H1993" s="3"/>
    </row>
    <row r="1994" spans="1:8" x14ac:dyDescent="0.3">
      <c r="A1994" s="2">
        <v>6124430</v>
      </c>
      <c r="B1994" s="2">
        <v>78</v>
      </c>
      <c r="C1994" s="2" t="s">
        <v>6</v>
      </c>
      <c r="D1994" s="2">
        <v>140</v>
      </c>
      <c r="E1994" s="2"/>
      <c r="F1994" s="4" t="str">
        <f>HYPERLINK("./Results/DLO\20190701_1.2.840.113619.2.416.298085117471630193788821598239253760689_302_512_512_\Osteo_Sarco_1.png","RPT")</f>
        <v>RPT</v>
      </c>
      <c r="G1994" s="3">
        <v>93</v>
      </c>
      <c r="H1994" s="3"/>
    </row>
    <row r="1995" spans="1:8" x14ac:dyDescent="0.3">
      <c r="A1995" s="2">
        <v>6125440</v>
      </c>
      <c r="B1995" s="2">
        <v>78</v>
      </c>
      <c r="C1995" s="2" t="s">
        <v>5</v>
      </c>
      <c r="D1995" s="2">
        <v>120</v>
      </c>
      <c r="E1995" s="2"/>
      <c r="F1995" s="4" t="str">
        <f>HYPERLINK("./Results/DLO\20190301_1.3.12.2.1107.5.1.4.54310.30000019031223312378100028138_9_512_512_\Osteo_Sarco_1.png","RPT")</f>
        <v>RPT</v>
      </c>
      <c r="G1995" s="3">
        <v>141</v>
      </c>
      <c r="H1995" s="3"/>
    </row>
    <row r="1996" spans="1:8" x14ac:dyDescent="0.3">
      <c r="A1996" s="2">
        <v>6125440</v>
      </c>
      <c r="B1996" s="2">
        <v>78</v>
      </c>
      <c r="C1996" s="2" t="s">
        <v>5</v>
      </c>
      <c r="D1996" s="2">
        <v>120</v>
      </c>
      <c r="E1996" s="2"/>
      <c r="F1996" s="4" t="str">
        <f>HYPERLINK("./Results/DLO\20190301_1.3.12.2.1107.5.1.4.54310.30000019031223312378100027851_7_512_512_\Osteo_Sarco_1.png","RPT")</f>
        <v>RPT</v>
      </c>
      <c r="G1996" s="3">
        <v>140</v>
      </c>
      <c r="H1996" s="3"/>
    </row>
    <row r="1997" spans="1:8" x14ac:dyDescent="0.3">
      <c r="A1997" s="2">
        <v>6125440</v>
      </c>
      <c r="B1997" s="2">
        <v>78</v>
      </c>
      <c r="C1997" s="2" t="s">
        <v>5</v>
      </c>
      <c r="D1997" s="2">
        <v>120</v>
      </c>
      <c r="E1997" s="2"/>
      <c r="F1997" s="4" t="str">
        <f>HYPERLINK("./Results/DLO\20190301_1.3.12.2.1107.5.1.4.54310.30000019031223312378100027470_5_512_512_\Osteo_Sarco_1.png","RPT")</f>
        <v>RPT</v>
      </c>
      <c r="G1997" s="3">
        <v>139</v>
      </c>
      <c r="H1997" s="3"/>
    </row>
    <row r="1998" spans="1:8" x14ac:dyDescent="0.3">
      <c r="A1998" s="2">
        <v>6125440</v>
      </c>
      <c r="B1998" s="2">
        <v>78</v>
      </c>
      <c r="C1998" s="2" t="s">
        <v>5</v>
      </c>
      <c r="D1998" s="2">
        <v>100</v>
      </c>
      <c r="E1998" s="2"/>
      <c r="F1998" s="4" t="str">
        <f>HYPERLINK("./Results/DLO\20190301_1.3.12.2.1107.5.1.4.54310.30000019031223312378100027373_3_512_512_\Osteo_Sarco_1.png","RPT")</f>
        <v>RPT</v>
      </c>
      <c r="G1998" s="3">
        <v>136</v>
      </c>
      <c r="H1998" s="3"/>
    </row>
    <row r="1999" spans="1:8" x14ac:dyDescent="0.3">
      <c r="A1999" s="2">
        <v>6127628</v>
      </c>
      <c r="B1999" s="2">
        <v>59</v>
      </c>
      <c r="C1999" s="2" t="s">
        <v>5</v>
      </c>
      <c r="D1999" s="2">
        <v>100</v>
      </c>
      <c r="E1999" s="2"/>
      <c r="F1999" s="4" t="str">
        <f>HYPERLINK("./Results/DLO\20181001_1.3.46.670589.33.1.63675537678775958500001.5379276426301839849_201_512_512_\Osteo_Sarco_1.png","RPT")</f>
        <v>RPT</v>
      </c>
      <c r="G1999" s="3">
        <v>150</v>
      </c>
      <c r="H1999" s="3"/>
    </row>
    <row r="2000" spans="1:8" x14ac:dyDescent="0.3">
      <c r="A2000" s="2">
        <v>6130088</v>
      </c>
      <c r="B2000" s="2">
        <v>54</v>
      </c>
      <c r="C2000" s="2" t="s">
        <v>6</v>
      </c>
      <c r="D2000" s="2">
        <v>100</v>
      </c>
      <c r="E2000" s="2"/>
      <c r="F2000" s="4" t="str">
        <f>HYPERLINK("./Results/DLO\20181001_1.2.840.113619.2.311.280994848955811059520298061659653214882_304_512_512_\Osteo_Sarco_1.png","RPT")</f>
        <v>RPT</v>
      </c>
      <c r="G2000" s="3">
        <v>111</v>
      </c>
      <c r="H2000" s="3"/>
    </row>
    <row r="2001" spans="1:8" x14ac:dyDescent="0.3">
      <c r="A2001" s="2">
        <v>6136166</v>
      </c>
      <c r="B2001" s="2">
        <v>51</v>
      </c>
      <c r="C2001" s="2" t="s">
        <v>6</v>
      </c>
      <c r="D2001" s="2">
        <v>100</v>
      </c>
      <c r="E2001" s="2"/>
      <c r="F2001" s="4" t="str">
        <f>HYPERLINK("./Results/DLO\20180901_1.2.840.113619.2.416.336468464406543545791239816287684399073_304_512_512_\Osteo_Sarco_1.png","RPT")</f>
        <v>RPT</v>
      </c>
      <c r="G2001" s="3">
        <v>136</v>
      </c>
      <c r="H2001" s="3"/>
    </row>
    <row r="2002" spans="1:8" x14ac:dyDescent="0.3">
      <c r="A2002" s="2">
        <v>6140363</v>
      </c>
      <c r="B2002" s="2">
        <v>51</v>
      </c>
      <c r="C2002" s="2" t="s">
        <v>5</v>
      </c>
      <c r="D2002" s="2">
        <v>100</v>
      </c>
      <c r="E2002" s="2"/>
      <c r="F2002" s="4" t="str">
        <f>HYPERLINK("./Results/DLO\20180601_1.3.46.670589.33.1.63665517633637448900001.5532683483005276679_201_512_512_\Osteo_Sarco_1.png","RPT")</f>
        <v>RPT</v>
      </c>
      <c r="G2002" s="3">
        <v>146</v>
      </c>
      <c r="H2002" s="3"/>
    </row>
    <row r="2003" spans="1:8" x14ac:dyDescent="0.3">
      <c r="A2003" s="2">
        <v>6140364</v>
      </c>
      <c r="B2003" s="2">
        <v>56</v>
      </c>
      <c r="C2003" s="2" t="s">
        <v>6</v>
      </c>
      <c r="D2003" s="2">
        <v>100</v>
      </c>
      <c r="E2003" s="2"/>
      <c r="F2003" s="4" t="str">
        <f>HYPERLINK("./Results/DLO\20181001_1.2.840.113619.2.311.260110096900458087788625003136006484286_304_512_512_\Osteo_Sarco_1.png","RPT")</f>
        <v>RPT</v>
      </c>
      <c r="G2003" s="3">
        <v>120</v>
      </c>
      <c r="H2003" s="3"/>
    </row>
    <row r="2004" spans="1:8" x14ac:dyDescent="0.3">
      <c r="A2004" s="2">
        <v>6142399</v>
      </c>
      <c r="B2004" s="2">
        <v>38</v>
      </c>
      <c r="C2004" s="2" t="s">
        <v>5</v>
      </c>
      <c r="D2004" s="2">
        <v>120</v>
      </c>
      <c r="E2004" s="2"/>
      <c r="F2004" s="4" t="str">
        <f>HYPERLINK("./Results/DLO\_1.2.840.113704.1.111.7588.1551084385.8_10562_512_512_\Osteo_Sarco_1.png","RPT")</f>
        <v>RPT</v>
      </c>
      <c r="G2004" s="3">
        <v>119</v>
      </c>
      <c r="H2004" s="3"/>
    </row>
    <row r="2005" spans="1:8" x14ac:dyDescent="0.3">
      <c r="A2005" s="2">
        <v>6142399</v>
      </c>
      <c r="B2005" s="2">
        <v>38</v>
      </c>
      <c r="C2005" s="2" t="s">
        <v>5</v>
      </c>
      <c r="D2005" s="2">
        <v>120</v>
      </c>
      <c r="E2005" s="2"/>
      <c r="F2005" s="4" t="str">
        <f>HYPERLINK("./Results/DLO\_1.2.840.113704.1.111.5480.1551081626.17_4_512_512_\Osteo_Sarco_1.png","RPT")</f>
        <v>RPT</v>
      </c>
      <c r="G2005" s="3">
        <v>104</v>
      </c>
      <c r="H2005" s="3"/>
    </row>
    <row r="2006" spans="1:8" x14ac:dyDescent="0.3">
      <c r="A2006" s="2">
        <v>6142399</v>
      </c>
      <c r="B2006" s="2">
        <v>38</v>
      </c>
      <c r="C2006" s="2" t="s">
        <v>5</v>
      </c>
      <c r="D2006" s="2">
        <v>120</v>
      </c>
      <c r="E2006" s="2"/>
      <c r="F2006" s="4" t="str">
        <f>HYPERLINK("./Results/DLO\_1.2.840.113704.1.111.5480.1551081626.22_5_512_512_\Osteo_Sarco_1.png","RPT")</f>
        <v>RPT</v>
      </c>
      <c r="G2006" s="3">
        <v>100</v>
      </c>
      <c r="H2006" s="3"/>
    </row>
    <row r="2007" spans="1:8" x14ac:dyDescent="0.3">
      <c r="A2007" s="2">
        <v>6143993</v>
      </c>
      <c r="B2007" s="2">
        <v>44</v>
      </c>
      <c r="C2007" s="2" t="s">
        <v>5</v>
      </c>
      <c r="D2007" s="2">
        <v>100</v>
      </c>
      <c r="E2007" s="2"/>
      <c r="F2007" s="4" t="str">
        <f>HYPERLINK("./Results/DLO\_1.2.410.100011.172.16.44.21.6369856047188348493.4_4_512_512_\Osteo_Sarco_1.png","RPT")</f>
        <v>RPT</v>
      </c>
      <c r="G2007" s="3">
        <v>125</v>
      </c>
      <c r="H2007" s="3"/>
    </row>
    <row r="2008" spans="1:8" x14ac:dyDescent="0.3">
      <c r="A2008" s="2">
        <v>6143993</v>
      </c>
      <c r="B2008" s="2">
        <v>44</v>
      </c>
      <c r="C2008" s="2" t="s">
        <v>5</v>
      </c>
      <c r="D2008" s="2">
        <v>100</v>
      </c>
      <c r="E2008" s="2"/>
      <c r="F2008" s="4" t="str">
        <f>HYPERLINK("./Results/DLO\_1.2.410.100011.172.16.44.21.6369856047188348493.3_3_512_512_\Osteo_Sarco_1.png","RPT")</f>
        <v>RPT</v>
      </c>
      <c r="G2008" s="3">
        <v>123</v>
      </c>
      <c r="H2008" s="3"/>
    </row>
    <row r="2009" spans="1:8" x14ac:dyDescent="0.3">
      <c r="A2009" s="2">
        <v>6143993</v>
      </c>
      <c r="B2009" s="2">
        <v>44</v>
      </c>
      <c r="C2009" s="2" t="s">
        <v>5</v>
      </c>
      <c r="D2009" s="2">
        <v>120</v>
      </c>
      <c r="E2009" s="2"/>
      <c r="F2009" s="4" t="str">
        <f>HYPERLINK("./Results/DLO\_1.2.410.100011.172.16.44.21.6369856047188348493.2_2_512_512_\Osteo_Sarco_1.png","RPT")</f>
        <v>RPT</v>
      </c>
      <c r="G2009" s="3">
        <v>122</v>
      </c>
      <c r="H2009" s="3"/>
    </row>
    <row r="2010" spans="1:8" x14ac:dyDescent="0.3">
      <c r="A2010" s="2">
        <v>6146451</v>
      </c>
      <c r="B2010" s="2">
        <v>59</v>
      </c>
      <c r="C2010" s="2" t="s">
        <v>6</v>
      </c>
      <c r="D2010" s="2">
        <v>100</v>
      </c>
      <c r="E2010" s="2"/>
      <c r="F2010" s="4" t="str">
        <f>HYPERLINK("./Results/DLO\20180801_1.2.840.113619.2.311.328700180963641815261878013490363714489_304_512_512_\Osteo_Sarco_1.png","RPT")</f>
        <v>RPT</v>
      </c>
      <c r="G2010" s="3">
        <v>104</v>
      </c>
      <c r="H2010" s="3"/>
    </row>
    <row r="2011" spans="1:8" x14ac:dyDescent="0.3">
      <c r="A2011" s="2">
        <v>6146474</v>
      </c>
      <c r="B2011" s="2">
        <v>75</v>
      </c>
      <c r="C2011" s="2" t="s">
        <v>5</v>
      </c>
      <c r="D2011" s="2">
        <v>100</v>
      </c>
      <c r="E2011" s="2"/>
      <c r="F2011" s="4" t="str">
        <f>HYPERLINK("./Results/DLO\20180201_1.3.46.670589.33.1.63653421153415251200001.5300598725391673700_201_512_512_\Osteo_Sarco_1.png","RPT")</f>
        <v>RPT</v>
      </c>
      <c r="G2011" s="3">
        <v>133</v>
      </c>
      <c r="H2011" s="3"/>
    </row>
    <row r="2012" spans="1:8" x14ac:dyDescent="0.3">
      <c r="A2012" s="2">
        <v>6147716</v>
      </c>
      <c r="B2012" s="2">
        <v>47</v>
      </c>
      <c r="C2012" s="2" t="s">
        <v>6</v>
      </c>
      <c r="D2012" s="2">
        <v>140</v>
      </c>
      <c r="E2012" s="2"/>
      <c r="F2012" s="4" t="str">
        <f>HYPERLINK("./Results/DLO\20191001_1.2.840.113619.2.416.223057474242608761079192989024354865191_304_512_512_\Osteo_Sarco_1.png","RPT")</f>
        <v>RPT</v>
      </c>
      <c r="G2012" s="3">
        <v>102</v>
      </c>
      <c r="H2012" s="3"/>
    </row>
    <row r="2013" spans="1:8" x14ac:dyDescent="0.3">
      <c r="A2013" s="2">
        <v>6147716</v>
      </c>
      <c r="B2013" s="2">
        <v>47</v>
      </c>
      <c r="C2013" s="2" t="s">
        <v>6</v>
      </c>
      <c r="D2013" s="2">
        <v>140</v>
      </c>
      <c r="E2013" s="2"/>
      <c r="F2013" s="4" t="str">
        <f>HYPERLINK("./Results/DLO\20191001_1.2.840.113619.2.416.134418527260992066557824559142097648956_303_512_512_\Osteo_Sarco_1.png","RPT")</f>
        <v>RPT</v>
      </c>
      <c r="G2013" s="3">
        <v>101</v>
      </c>
      <c r="H2013" s="3"/>
    </row>
    <row r="2014" spans="1:8" x14ac:dyDescent="0.3">
      <c r="A2014" s="2">
        <v>6147716</v>
      </c>
      <c r="B2014" s="2">
        <v>47</v>
      </c>
      <c r="C2014" s="2" t="s">
        <v>6</v>
      </c>
      <c r="D2014" s="2">
        <v>140</v>
      </c>
      <c r="E2014" s="2"/>
      <c r="F2014" s="4" t="str">
        <f>HYPERLINK("./Results/DLO\20191001_1.2.840.113619.2.416.70720029887744946400872721684722227913_301_512_512_\Osteo_Sarco_1.png","RPT")</f>
        <v>RPT</v>
      </c>
      <c r="G2014" s="3">
        <v>100</v>
      </c>
      <c r="H2014" s="3"/>
    </row>
    <row r="2015" spans="1:8" x14ac:dyDescent="0.3">
      <c r="A2015" s="2">
        <v>6157329</v>
      </c>
      <c r="B2015" s="2">
        <v>66</v>
      </c>
      <c r="C2015" s="2" t="s">
        <v>5</v>
      </c>
      <c r="D2015" s="2">
        <v>100</v>
      </c>
      <c r="E2015" s="2"/>
      <c r="F2015" s="4" t="str">
        <f>HYPERLINK("./Results/DLO\20190101_1.3.46.670589.33.1.63684446430085656600001.5512956773004774568_201_512_512_\Osteo_Sarco_1.png","RPT")</f>
        <v>RPT</v>
      </c>
      <c r="G2015" s="3">
        <v>141</v>
      </c>
      <c r="H2015" s="3"/>
    </row>
    <row r="2016" spans="1:8" x14ac:dyDescent="0.3">
      <c r="A2016" s="2">
        <v>6157584</v>
      </c>
      <c r="B2016" s="2">
        <v>49</v>
      </c>
      <c r="C2016" s="2" t="s">
        <v>5</v>
      </c>
      <c r="D2016" s="2">
        <v>100</v>
      </c>
      <c r="E2016" s="2"/>
      <c r="F2016" s="4" t="str">
        <f>HYPERLINK("./Results/DLO\20200601_1.3.46.670589.33.1.63726600414120051400001.4879599266366373450_201_512_512_\Osteo_Sarco_1.png","RPT")</f>
        <v>RPT</v>
      </c>
      <c r="G2016" s="3">
        <v>132</v>
      </c>
      <c r="H2016" s="3"/>
    </row>
    <row r="2017" spans="1:8" x14ac:dyDescent="0.3">
      <c r="A2017" s="2">
        <v>6165261</v>
      </c>
      <c r="B2017" s="2">
        <v>63</v>
      </c>
      <c r="C2017" s="2" t="s">
        <v>6</v>
      </c>
      <c r="D2017" s="2">
        <v>100</v>
      </c>
      <c r="E2017" s="2"/>
      <c r="F2017" s="4" t="str">
        <f>HYPERLINK("./Results/DLO\20190601_1.2.840.113619.2.416.313987117975397790119785878638484380317_310_512_512_\Osteo_Sarco_1.png","RPT")</f>
        <v>RPT</v>
      </c>
      <c r="G2017" s="3">
        <v>134</v>
      </c>
      <c r="H2017" s="3"/>
    </row>
    <row r="2018" spans="1:8" x14ac:dyDescent="0.3">
      <c r="A2018" s="2">
        <v>6167718</v>
      </c>
      <c r="B2018" s="2">
        <v>43</v>
      </c>
      <c r="C2018" s="2" t="s">
        <v>6</v>
      </c>
      <c r="D2018" s="2">
        <v>100</v>
      </c>
      <c r="E2018" s="2"/>
      <c r="F2018" s="4" t="str">
        <f>HYPERLINK("./Results/DLO\20180201_1.3.46.670589.33.1.63653514291557329400001.5256753628488147338_701_512_512_\Osteo_Sarco_1.png","RPT")</f>
        <v>RPT</v>
      </c>
      <c r="G2018" s="3">
        <v>101</v>
      </c>
      <c r="H2018" s="3"/>
    </row>
    <row r="2019" spans="1:8" x14ac:dyDescent="0.3">
      <c r="A2019" s="2">
        <v>6168444</v>
      </c>
      <c r="B2019" s="2">
        <v>49</v>
      </c>
      <c r="C2019" s="2" t="s">
        <v>6</v>
      </c>
      <c r="D2019" s="2">
        <v>100</v>
      </c>
      <c r="E2019" s="2"/>
      <c r="F2019" s="4" t="str">
        <f>HYPERLINK("./Results/DLO\20190501_1.2.840.113619.2.416.48040201065880057844430490023473206207_310_512_512_\Osteo_Sarco_1.png","RPT")</f>
        <v>RPT</v>
      </c>
      <c r="G2019" s="3">
        <v>107</v>
      </c>
      <c r="H2019" s="3"/>
    </row>
    <row r="2020" spans="1:8" x14ac:dyDescent="0.3">
      <c r="A2020" s="2">
        <v>6171801</v>
      </c>
      <c r="B2020" s="2">
        <v>46</v>
      </c>
      <c r="C2020" s="2" t="s">
        <v>6</v>
      </c>
      <c r="D2020" s="2">
        <v>100</v>
      </c>
      <c r="E2020" s="2"/>
      <c r="F2020" s="4" t="str">
        <f>HYPERLINK("./Results/DLO\20181101_1.3.12.2.1107.5.1.4.54310.30000018111423480982800013012_2_512_512_\Osteo_Sarco_1.png","RPT")</f>
        <v>RPT</v>
      </c>
      <c r="G2020" s="3">
        <v>106</v>
      </c>
      <c r="H2020" s="3"/>
    </row>
    <row r="2021" spans="1:8" x14ac:dyDescent="0.3">
      <c r="A2021" s="2">
        <v>6175685</v>
      </c>
      <c r="B2021" s="2">
        <v>50</v>
      </c>
      <c r="C2021" s="2" t="s">
        <v>6</v>
      </c>
      <c r="D2021" s="2">
        <v>140</v>
      </c>
      <c r="E2021" s="2"/>
      <c r="F2021" s="4" t="str">
        <f>HYPERLINK("./Results/DLO\20180101_1.2.840.113619.2.416.175734530211015380520448732983254896763_2_512_512_\Osteo_Sarco_1.png","RPT")</f>
        <v>RPT</v>
      </c>
      <c r="G2021" s="3">
        <v>96</v>
      </c>
      <c r="H2021" s="3"/>
    </row>
    <row r="2022" spans="1:8" x14ac:dyDescent="0.3">
      <c r="A2022" s="2">
        <v>6177201</v>
      </c>
      <c r="B2022" s="2">
        <v>29</v>
      </c>
      <c r="C2022" s="2" t="s">
        <v>6</v>
      </c>
      <c r="D2022" s="2">
        <v>100</v>
      </c>
      <c r="E2022" s="2"/>
      <c r="F2022" s="4" t="str">
        <f>HYPERLINK("./Results/DLO\20181001_1.3.12.2.1107.5.1.4.65253.30000018102820442742000031508_3_512_512_\Osteo_Sarco_1.png","RPT")</f>
        <v>RPT</v>
      </c>
      <c r="G2022" s="3">
        <v>80</v>
      </c>
      <c r="H2022" s="3"/>
    </row>
    <row r="2023" spans="1:8" x14ac:dyDescent="0.3">
      <c r="A2023" s="2">
        <v>6177201</v>
      </c>
      <c r="B2023" s="2">
        <v>29</v>
      </c>
      <c r="C2023" s="2" t="s">
        <v>6</v>
      </c>
      <c r="D2023" s="2">
        <v>100</v>
      </c>
      <c r="E2023" s="2"/>
      <c r="F2023" s="4" t="str">
        <f>HYPERLINK("./Results/DLO\20181001_1.3.12.2.1107.5.1.4.65253.30000018102820442742000031365_2_512_512_\Osteo_Sarco_1.png","RPT")</f>
        <v>RPT</v>
      </c>
      <c r="G2023" s="3">
        <v>75</v>
      </c>
      <c r="H2023" s="3"/>
    </row>
    <row r="2024" spans="1:8" x14ac:dyDescent="0.3">
      <c r="A2024" s="2">
        <v>6178267</v>
      </c>
      <c r="B2024" s="2">
        <v>69</v>
      </c>
      <c r="C2024" s="2" t="s">
        <v>6</v>
      </c>
      <c r="D2024" s="2">
        <v>100</v>
      </c>
      <c r="E2024" s="2"/>
      <c r="F2024" s="4" t="str">
        <f>HYPERLINK("./Results/DLO\20190501_1.2.410.100011.172.16.64.21.6370932194344423462.4_4_512_512_\Osteo_Sarco_1.png","RPT")</f>
        <v>RPT</v>
      </c>
      <c r="G2024" s="3">
        <v>103</v>
      </c>
      <c r="H2024" s="3"/>
    </row>
    <row r="2025" spans="1:8" x14ac:dyDescent="0.3">
      <c r="A2025" s="2">
        <v>6178267</v>
      </c>
      <c r="B2025" s="2">
        <v>69</v>
      </c>
      <c r="C2025" s="2" t="s">
        <v>6</v>
      </c>
      <c r="D2025" s="2">
        <v>100</v>
      </c>
      <c r="E2025" s="2"/>
      <c r="F2025" s="4" t="str">
        <f>HYPERLINK("./Results/DLO\20190501_1.2.410.100011.172.16.64.21.6370932194344423462.6_6_512_512_\Osteo_Sarco_1.png","RPT")</f>
        <v>RPT</v>
      </c>
      <c r="G2025" s="3">
        <v>103</v>
      </c>
      <c r="H2025" s="3"/>
    </row>
    <row r="2026" spans="1:8" x14ac:dyDescent="0.3">
      <c r="A2026" s="2">
        <v>6178267</v>
      </c>
      <c r="B2026" s="2">
        <v>69</v>
      </c>
      <c r="C2026" s="2" t="s">
        <v>6</v>
      </c>
      <c r="D2026" s="2">
        <v>100</v>
      </c>
      <c r="E2026" s="2"/>
      <c r="F2026" s="4" t="str">
        <f>HYPERLINK("./Results/DLO\20190501_1.2.410.100011.172.16.64.21.6370932194344423462.3_3_512_512_\Osteo_Sarco_1.png","RPT")</f>
        <v>RPT</v>
      </c>
      <c r="G2026" s="3">
        <v>99</v>
      </c>
      <c r="H2026" s="3"/>
    </row>
    <row r="2027" spans="1:8" x14ac:dyDescent="0.3">
      <c r="A2027" s="2">
        <v>6178267</v>
      </c>
      <c r="B2027" s="2">
        <v>69</v>
      </c>
      <c r="C2027" s="2" t="s">
        <v>6</v>
      </c>
      <c r="D2027" s="2">
        <v>100</v>
      </c>
      <c r="E2027" s="2"/>
      <c r="F2027" s="4" t="str">
        <f>HYPERLINK("./Results/DLO\20190501_1.2.410.100011.172.16.64.21.6370932194344423462.2_2_512_512_\Osteo_Sarco_1.png","RPT")</f>
        <v>RPT</v>
      </c>
      <c r="G2027" s="3">
        <v>97</v>
      </c>
      <c r="H2027" s="3"/>
    </row>
    <row r="2028" spans="1:8" x14ac:dyDescent="0.3">
      <c r="A2028" s="2">
        <v>6179502</v>
      </c>
      <c r="B2028" s="2">
        <v>70</v>
      </c>
      <c r="C2028" s="2" t="s">
        <v>6</v>
      </c>
      <c r="D2028" s="2">
        <v>100</v>
      </c>
      <c r="E2028" s="2"/>
      <c r="F2028" s="4" t="str">
        <f>HYPERLINK("./Results/DLO\20180801_1.2.840.113619.2.94.485650834948.2.8992182.19505928.1_2_512_512_\Osteo_Sarco_1.png","RPT")</f>
        <v>RPT</v>
      </c>
      <c r="G2028" s="3">
        <v>73</v>
      </c>
      <c r="H2028" s="3"/>
    </row>
    <row r="2029" spans="1:8" x14ac:dyDescent="0.3">
      <c r="A2029" s="2">
        <v>6180328</v>
      </c>
      <c r="B2029" s="2">
        <v>57</v>
      </c>
      <c r="C2029" s="2" t="s">
        <v>5</v>
      </c>
      <c r="D2029" s="2">
        <v>100</v>
      </c>
      <c r="E2029" s="2"/>
      <c r="F2029" s="4" t="str">
        <f>HYPERLINK("./Results/DLO\20181201_1.3.46.670589.33.1.63680205738188044200001.5320529816200132667_201_512_512_\Osteo_Sarco_1.png","RPT")</f>
        <v>RPT</v>
      </c>
      <c r="G2029" s="3">
        <v>158</v>
      </c>
      <c r="H2029" s="3"/>
    </row>
    <row r="2030" spans="1:8" x14ac:dyDescent="0.3">
      <c r="A2030" s="2">
        <v>6181201</v>
      </c>
      <c r="B2030" s="2">
        <v>44</v>
      </c>
      <c r="C2030" s="2" t="s">
        <v>6</v>
      </c>
      <c r="D2030" s="2">
        <v>100</v>
      </c>
      <c r="E2030" s="2"/>
      <c r="F2030" s="4" t="str">
        <f>HYPERLINK("./Results/DLO\20180201_1.3.12.2.1107.5.1.4.54310.30000018020823081534300019389_2_512_512_\Osteo_Sarco_1.png","RPT")</f>
        <v>RPT</v>
      </c>
      <c r="G2030" s="3">
        <v>113</v>
      </c>
      <c r="H2030" s="3"/>
    </row>
    <row r="2031" spans="1:8" x14ac:dyDescent="0.3">
      <c r="A2031" s="2">
        <v>6184099</v>
      </c>
      <c r="B2031" s="2">
        <v>66</v>
      </c>
      <c r="C2031" s="2" t="s">
        <v>6</v>
      </c>
      <c r="D2031" s="2">
        <v>120</v>
      </c>
      <c r="E2031" s="2"/>
      <c r="F2031" s="4" t="str">
        <f>HYPERLINK("./Results/DLO\20190301_1.3.12.2.1107.5.1.4.54310.30000019030723310753100010902_7_512_512_\Osteo_Sarco_1.png","RPT")</f>
        <v>RPT</v>
      </c>
      <c r="G2031" s="3">
        <v>126</v>
      </c>
      <c r="H2031" s="3"/>
    </row>
    <row r="2032" spans="1:8" x14ac:dyDescent="0.3">
      <c r="A2032" s="2">
        <v>6184099</v>
      </c>
      <c r="B2032" s="2">
        <v>66</v>
      </c>
      <c r="C2032" s="2" t="s">
        <v>6</v>
      </c>
      <c r="D2032" s="2">
        <v>120</v>
      </c>
      <c r="E2032" s="2"/>
      <c r="F2032" s="4" t="str">
        <f>HYPERLINK("./Results/DLO\20190301_1.3.12.2.1107.5.1.4.54310.30000019030723310753100011255_9_512_512_\Osteo_Sarco_1.png","RPT")</f>
        <v>RPT</v>
      </c>
      <c r="G2032" s="3">
        <v>126</v>
      </c>
      <c r="H2032" s="3"/>
    </row>
    <row r="2033" spans="1:8" x14ac:dyDescent="0.3">
      <c r="A2033" s="2">
        <v>6184099</v>
      </c>
      <c r="B2033" s="2">
        <v>66</v>
      </c>
      <c r="C2033" s="2" t="s">
        <v>6</v>
      </c>
      <c r="D2033" s="2">
        <v>120</v>
      </c>
      <c r="E2033" s="2"/>
      <c r="F2033" s="4" t="str">
        <f>HYPERLINK("./Results/DLO\20190301_1.3.12.2.1107.5.1.4.54310.30000019030723310753100010522_5_512_512_\Osteo_Sarco_1.png","RPT")</f>
        <v>RPT</v>
      </c>
      <c r="G2033" s="3">
        <v>125</v>
      </c>
      <c r="H2033" s="3"/>
    </row>
    <row r="2034" spans="1:8" x14ac:dyDescent="0.3">
      <c r="A2034" s="2">
        <v>6184099</v>
      </c>
      <c r="B2034" s="2">
        <v>66</v>
      </c>
      <c r="C2034" s="2" t="s">
        <v>6</v>
      </c>
      <c r="D2034" s="2">
        <v>100</v>
      </c>
      <c r="E2034" s="2"/>
      <c r="F2034" s="4" t="str">
        <f>HYPERLINK("./Results/DLO\20190301_1.3.12.2.1107.5.1.4.54310.30000019030723310753100010436_3_512_512_\Osteo_Sarco_1.png","RPT")</f>
        <v>RPT</v>
      </c>
      <c r="G2034" s="3">
        <v>124</v>
      </c>
      <c r="H2034" s="3"/>
    </row>
    <row r="2035" spans="1:8" x14ac:dyDescent="0.3">
      <c r="A2035" s="2">
        <v>6210718</v>
      </c>
      <c r="B2035" s="2">
        <v>64</v>
      </c>
      <c r="C2035" s="2" t="s">
        <v>6</v>
      </c>
      <c r="D2035" s="2">
        <v>100</v>
      </c>
      <c r="E2035" s="2"/>
      <c r="F2035" s="4" t="str">
        <f>HYPERLINK("./Results/DLO\20180301_1.3.12.2.1107.5.1.4.54310.30000018032523091828100014839_3_512_512_\Osteo_Sarco_1.png","RPT")</f>
        <v>RPT</v>
      </c>
      <c r="G2035" s="3">
        <v>131</v>
      </c>
      <c r="H2035" s="3"/>
    </row>
    <row r="2036" spans="1:8" x14ac:dyDescent="0.3">
      <c r="A2036" s="2">
        <v>6210718</v>
      </c>
      <c r="B2036" s="2">
        <v>64</v>
      </c>
      <c r="C2036" s="2" t="s">
        <v>6</v>
      </c>
      <c r="D2036" s="2">
        <v>100</v>
      </c>
      <c r="E2036" s="2"/>
      <c r="F2036" s="4" t="str">
        <f>HYPERLINK("./Results/DLO\20180301_1.3.12.2.1107.5.1.4.54310.30000018032523091828100014693_2_512_512_\Osteo_Sarco_1.png","RPT")</f>
        <v>RPT</v>
      </c>
      <c r="G2036" s="3">
        <v>127</v>
      </c>
      <c r="H2036" s="3"/>
    </row>
    <row r="2037" spans="1:8" x14ac:dyDescent="0.3">
      <c r="A2037" s="2">
        <v>6262717</v>
      </c>
      <c r="B2037" s="2">
        <v>68</v>
      </c>
      <c r="C2037" s="2" t="s">
        <v>6</v>
      </c>
      <c r="D2037" s="2">
        <v>100</v>
      </c>
      <c r="E2037" s="2"/>
      <c r="F2037" s="4" t="str">
        <f>HYPERLINK("./Results/DLO\20190901_1.3.12.2.1107.5.1.4.54310.30000019091721201029600023701_7_512_512_\Osteo_Sarco_1.png","RPT")</f>
        <v>RPT</v>
      </c>
      <c r="G2037" s="3">
        <v>110</v>
      </c>
      <c r="H2037" s="3"/>
    </row>
    <row r="2038" spans="1:8" x14ac:dyDescent="0.3">
      <c r="A2038" s="2">
        <v>6279354</v>
      </c>
      <c r="B2038" s="2">
        <v>67</v>
      </c>
      <c r="C2038" s="2" t="s">
        <v>6</v>
      </c>
      <c r="D2038" s="2">
        <v>100</v>
      </c>
      <c r="E2038" s="2"/>
      <c r="F2038" s="4" t="str">
        <f>HYPERLINK("./Results/DLO\20200501_1.3.46.670589.33.1.63726082919716747900001.5672619739909241678_201_512_512_\Osteo_Sarco_1.png","RPT")</f>
        <v>RPT</v>
      </c>
      <c r="G2038" s="3">
        <v>93</v>
      </c>
      <c r="H2038" s="3"/>
    </row>
    <row r="2039" spans="1:8" x14ac:dyDescent="0.3">
      <c r="A2039" s="2">
        <v>6367386</v>
      </c>
      <c r="B2039" s="2">
        <v>59</v>
      </c>
      <c r="C2039" s="2" t="s">
        <v>6</v>
      </c>
      <c r="D2039" s="2">
        <v>100</v>
      </c>
      <c r="E2039" s="2"/>
      <c r="F2039" s="4" t="str">
        <f>HYPERLINK("./Results/DLO\20200101_1.3.46.670589.33.1.63714591519145463100001.4991791082952845464_201_512_512_\Osteo_Sarco_1.png","RPT")</f>
        <v>RPT</v>
      </c>
      <c r="G2039" s="3">
        <v>95</v>
      </c>
      <c r="H2039" s="3"/>
    </row>
    <row r="2040" spans="1:8" x14ac:dyDescent="0.3">
      <c r="A2040" s="2">
        <v>6369526</v>
      </c>
      <c r="B2040" s="2">
        <v>73</v>
      </c>
      <c r="C2040" s="2" t="s">
        <v>6</v>
      </c>
      <c r="D2040" s="2">
        <v>100</v>
      </c>
      <c r="E2040" s="2"/>
      <c r="F2040" s="4" t="str">
        <f>HYPERLINK("./Results/DLO\20200401_1.2.840.113619.2.416.193355635255137334365889921381169163472_310_512_512_\Osteo_Sarco_1.png","RPT")</f>
        <v>RPT</v>
      </c>
      <c r="G2040" s="3">
        <v>126</v>
      </c>
      <c r="H2040" s="3"/>
    </row>
    <row r="2041" spans="1:8" x14ac:dyDescent="0.3">
      <c r="A2041" s="2">
        <v>6394553</v>
      </c>
      <c r="B2041" s="2">
        <v>62</v>
      </c>
      <c r="C2041" s="2" t="s">
        <v>5</v>
      </c>
      <c r="D2041" s="2">
        <v>100</v>
      </c>
      <c r="E2041" s="2"/>
      <c r="F2041" s="4" t="str">
        <f>HYPERLINK("./Results/DLO\20191201_1.3.12.2.1107.5.1.4.54310.30000019121922262284300034390_6_512_512_\Osteo_Sarco_1.png","RPT")</f>
        <v>RPT</v>
      </c>
      <c r="G2041" s="3">
        <v>118</v>
      </c>
      <c r="H2041" s="3"/>
    </row>
    <row r="2042" spans="1:8" x14ac:dyDescent="0.3">
      <c r="A2042" s="2">
        <v>6394553</v>
      </c>
      <c r="B2042" s="2">
        <v>62</v>
      </c>
      <c r="C2042" s="2" t="s">
        <v>5</v>
      </c>
      <c r="D2042" s="2">
        <v>100</v>
      </c>
      <c r="E2042" s="2"/>
      <c r="F2042" s="4" t="str">
        <f>HYPERLINK("./Results/DLO\20191201_1.3.12.2.1107.5.1.4.54310.30000019121922262284300034547_7_512_512_\Osteo_Sarco_1.png","RPT")</f>
        <v>RPT</v>
      </c>
      <c r="G2042" s="3">
        <v>118</v>
      </c>
      <c r="H2042" s="3"/>
    </row>
    <row r="2043" spans="1:8" x14ac:dyDescent="0.3">
      <c r="A2043" s="2">
        <v>6394553</v>
      </c>
      <c r="B2043" s="2">
        <v>62</v>
      </c>
      <c r="C2043" s="2" t="s">
        <v>5</v>
      </c>
      <c r="D2043" s="2">
        <v>100</v>
      </c>
      <c r="E2043" s="2"/>
      <c r="F2043" s="4" t="str">
        <f>HYPERLINK("./Results/DLO\20191201_1.3.12.2.1107.5.1.4.54310.30000019121922262284300034302_5_512_512_\Osteo_Sarco_1.png","RPT")</f>
        <v>RPT</v>
      </c>
      <c r="G2043" s="3">
        <v>117</v>
      </c>
      <c r="H2043" s="3"/>
    </row>
    <row r="2044" spans="1:8" x14ac:dyDescent="0.3">
      <c r="A2044" s="2">
        <v>6394553</v>
      </c>
      <c r="B2044" s="2">
        <v>62</v>
      </c>
      <c r="C2044" s="2" t="s">
        <v>5</v>
      </c>
      <c r="D2044" s="2">
        <v>100</v>
      </c>
      <c r="E2044" s="2"/>
      <c r="F2044" s="4" t="str">
        <f>HYPERLINK("./Results/DLO\20191201_1.3.12.2.1107.5.1.4.54310.30000019121922262284300034213_3_512_512_\Osteo_Sarco_1.png","RPT")</f>
        <v>RPT</v>
      </c>
      <c r="G2044" s="3">
        <v>116</v>
      </c>
      <c r="H2044" s="3"/>
    </row>
    <row r="2045" spans="1:8" x14ac:dyDescent="0.3">
      <c r="A2045" s="2">
        <v>6597666</v>
      </c>
      <c r="B2045" s="2">
        <v>61</v>
      </c>
      <c r="C2045" s="2" t="s">
        <v>5</v>
      </c>
      <c r="D2045" s="2">
        <v>100</v>
      </c>
      <c r="E2045" s="2"/>
      <c r="F2045" s="4" t="str">
        <f>HYPERLINK("./Results/DLO\20200501_1.3.46.670589.33.1.63724871352701941500001.5357571368978422998_201_512_512_\Osteo_Sarco_1.png","RPT")</f>
        <v>RPT</v>
      </c>
      <c r="G2045" s="3">
        <v>155</v>
      </c>
      <c r="H2045" s="3"/>
    </row>
    <row r="2046" spans="1:8" x14ac:dyDescent="0.3">
      <c r="A2046" s="2">
        <v>6661229</v>
      </c>
      <c r="B2046" s="2">
        <v>61</v>
      </c>
      <c r="C2046" s="2" t="s">
        <v>5</v>
      </c>
      <c r="D2046" s="2">
        <v>120</v>
      </c>
      <c r="E2046" s="2"/>
      <c r="F2046" s="4" t="str">
        <f>HYPERLINK("./Results/DLO\20191201_1.2.410.100011.172.16.64.21.6371278120267554951.5_5_512_512_\Osteo_Sarco_1.png","RPT")</f>
        <v>RPT</v>
      </c>
      <c r="G2046" s="3">
        <v>182</v>
      </c>
      <c r="H2046" s="3"/>
    </row>
    <row r="2047" spans="1:8" x14ac:dyDescent="0.3">
      <c r="A2047" s="2">
        <v>6661229</v>
      </c>
      <c r="B2047" s="2">
        <v>61</v>
      </c>
      <c r="C2047" s="2" t="s">
        <v>5</v>
      </c>
      <c r="D2047" s="2">
        <v>120</v>
      </c>
      <c r="E2047" s="2"/>
      <c r="F2047" s="4" t="str">
        <f>HYPERLINK("./Results/DLO\20191201_1.2.410.100011.172.16.64.21.6371278120267554951.2_2_512_512_\Osteo_Sarco_1.png","RPT")</f>
        <v>RPT</v>
      </c>
      <c r="G2047" s="3">
        <v>181</v>
      </c>
      <c r="H2047" s="3"/>
    </row>
    <row r="2048" spans="1:8" x14ac:dyDescent="0.3">
      <c r="A2048" s="2">
        <v>6661229</v>
      </c>
      <c r="B2048" s="2">
        <v>61</v>
      </c>
      <c r="C2048" s="2" t="s">
        <v>5</v>
      </c>
      <c r="D2048" s="2">
        <v>120</v>
      </c>
      <c r="E2048" s="2"/>
      <c r="F2048" s="4" t="str">
        <f>HYPERLINK("./Results/DLO\20191201_1.2.410.100011.172.16.64.21.6371278120267554951.3_3_512_512_\Osteo_Sarco_1.png","RPT")</f>
        <v>RPT</v>
      </c>
      <c r="G2048" s="3">
        <v>181</v>
      </c>
      <c r="H2048" s="3"/>
    </row>
    <row r="2049" spans="1:8" x14ac:dyDescent="0.3">
      <c r="A2049" s="2">
        <v>6695154</v>
      </c>
      <c r="B2049" s="2">
        <v>64</v>
      </c>
      <c r="C2049" s="2" t="s">
        <v>5</v>
      </c>
      <c r="D2049" s="2">
        <v>100</v>
      </c>
      <c r="E2049" s="2"/>
      <c r="F2049" s="4" t="str">
        <f>HYPERLINK("./Results/DLO\20190601_1.3.12.2.1107.5.1.4.54310.30000019060422065695300020457_7_512_512_\Osteo_Sarco_1.png","RPT")</f>
        <v>RPT</v>
      </c>
      <c r="G2049" s="3">
        <v>177</v>
      </c>
      <c r="H2049" s="3"/>
    </row>
    <row r="2050" spans="1:8" x14ac:dyDescent="0.3">
      <c r="A2050" s="2">
        <v>6695154</v>
      </c>
      <c r="B2050" s="2">
        <v>64</v>
      </c>
      <c r="C2050" s="2" t="s">
        <v>5</v>
      </c>
      <c r="D2050" s="2">
        <v>100</v>
      </c>
      <c r="E2050" s="2"/>
      <c r="F2050" s="4" t="str">
        <f>HYPERLINK("./Results/DLO\20190601_1.3.12.2.1107.5.1.4.54310.30000019060422065695300019629_2_512_512_\Osteo_Sarco_1.png","RPT")</f>
        <v>RPT</v>
      </c>
      <c r="G2050" s="3">
        <v>176</v>
      </c>
      <c r="H2050" s="3"/>
    </row>
    <row r="2051" spans="1:8" x14ac:dyDescent="0.3">
      <c r="A2051" s="2">
        <v>6715946</v>
      </c>
      <c r="B2051" s="2">
        <v>49</v>
      </c>
      <c r="C2051" s="2" t="s">
        <v>5</v>
      </c>
      <c r="D2051" s="2">
        <v>100</v>
      </c>
      <c r="E2051" s="2"/>
      <c r="F2051" s="4" t="str">
        <f>HYPERLINK("./Results/DLO\20180201_1.2.840.113619.2.94.485650834948.2.8626200.18608140.1_2_512_512_\Osteo_Sarco_1.png","RPT")</f>
        <v>RPT</v>
      </c>
      <c r="G2051" s="3">
        <v>160</v>
      </c>
      <c r="H2051" s="3"/>
    </row>
    <row r="2052" spans="1:8" x14ac:dyDescent="0.3">
      <c r="A2052" s="2">
        <v>6729585</v>
      </c>
      <c r="B2052" s="2">
        <v>77</v>
      </c>
      <c r="C2052" s="2" t="s">
        <v>6</v>
      </c>
      <c r="D2052" s="2">
        <v>100</v>
      </c>
      <c r="E2052" s="2"/>
      <c r="F2052" s="4" t="str">
        <f>HYPERLINK("./Results/DLO\20191101_1.3.12.2.1107.5.1.4.54310.30000019110422140768700034520_5_512_512_\Osteo_Sarco_1.png","RPT")</f>
        <v>RPT</v>
      </c>
      <c r="G2052" s="3">
        <v>82</v>
      </c>
      <c r="H2052" s="3"/>
    </row>
    <row r="2053" spans="1:8" x14ac:dyDescent="0.3">
      <c r="A2053" s="2">
        <v>6729585</v>
      </c>
      <c r="B2053" s="2">
        <v>77</v>
      </c>
      <c r="C2053" s="2" t="s">
        <v>6</v>
      </c>
      <c r="D2053" s="2">
        <v>100</v>
      </c>
      <c r="E2053" s="2"/>
      <c r="F2053" s="4" t="str">
        <f>HYPERLINK("./Results/DLO\20191101_1.3.12.2.1107.5.1.4.54310.30000019110422140768700034279_3_512_512_\Osteo_Sarco_1.png","RPT")</f>
        <v>RPT</v>
      </c>
      <c r="G2053" s="3">
        <v>64</v>
      </c>
      <c r="H2053" s="3"/>
    </row>
    <row r="2054" spans="1:8" x14ac:dyDescent="0.3">
      <c r="A2054" s="2">
        <v>6736927</v>
      </c>
      <c r="B2054" s="2">
        <v>60</v>
      </c>
      <c r="C2054" s="2" t="s">
        <v>6</v>
      </c>
      <c r="D2054" s="2">
        <v>100</v>
      </c>
      <c r="E2054" s="2"/>
      <c r="F2054" s="4" t="str">
        <f>HYPERLINK("./Results/DLO\20180601_1.3.12.2.1107.5.1.4.65253.30000018053121582046200000670_3_512_512_\Osteo_Sarco_1.png","RPT")</f>
        <v>RPT</v>
      </c>
      <c r="G2054" s="3">
        <v>105</v>
      </c>
      <c r="H2054" s="3"/>
    </row>
    <row r="2055" spans="1:8" x14ac:dyDescent="0.3">
      <c r="A2055" s="2">
        <v>6736927</v>
      </c>
      <c r="B2055" s="2">
        <v>60</v>
      </c>
      <c r="C2055" s="2" t="s">
        <v>6</v>
      </c>
      <c r="D2055" s="2">
        <v>100</v>
      </c>
      <c r="E2055" s="2"/>
      <c r="F2055" s="4" t="str">
        <f>HYPERLINK("./Results/DLO\20180601_1.3.12.2.1107.5.1.4.65253.30000018053120270839700012840_2_512_512_\Osteo_Sarco_1.png","RPT")</f>
        <v>RPT</v>
      </c>
      <c r="G2055" s="3">
        <v>103</v>
      </c>
      <c r="H2055" s="3"/>
    </row>
    <row r="2056" spans="1:8" x14ac:dyDescent="0.3">
      <c r="A2056" s="2">
        <v>6736998</v>
      </c>
      <c r="B2056" s="2">
        <v>42</v>
      </c>
      <c r="C2056" s="2" t="s">
        <v>6</v>
      </c>
      <c r="D2056" s="2">
        <v>100</v>
      </c>
      <c r="E2056" s="2"/>
      <c r="F2056" s="4" t="str">
        <f>HYPERLINK("./Results/DLO\20190501_1.3.12.2.1107.5.1.4.54310.30000019051521013667100006115_2_512_512_\Osteo_Sarco_1.png","RPT")</f>
        <v>RPT</v>
      </c>
      <c r="G2056" s="3">
        <v>112</v>
      </c>
      <c r="H2056" s="3"/>
    </row>
    <row r="2057" spans="1:8" x14ac:dyDescent="0.3">
      <c r="A2057" s="2">
        <v>6737009</v>
      </c>
      <c r="B2057" s="2">
        <v>64</v>
      </c>
      <c r="C2057" s="2" t="s">
        <v>6</v>
      </c>
      <c r="D2057" s="2">
        <v>100</v>
      </c>
      <c r="E2057" s="2"/>
      <c r="F2057" s="4" t="str">
        <f>HYPERLINK("./Results/DLO\20180401_1.2.840.113619.2.311.215708363854978231225662313191036508078_305_512_512_\Osteo_Sarco_1.png","RPT")</f>
        <v>RPT</v>
      </c>
      <c r="G2057" s="3">
        <v>78</v>
      </c>
      <c r="H2057" s="3"/>
    </row>
    <row r="2058" spans="1:8" x14ac:dyDescent="0.3">
      <c r="A2058" s="2">
        <v>6737016</v>
      </c>
      <c r="B2058" s="2">
        <v>61</v>
      </c>
      <c r="C2058" s="2" t="s">
        <v>5</v>
      </c>
      <c r="D2058" s="2">
        <v>100</v>
      </c>
      <c r="E2058" s="2"/>
      <c r="F2058" s="4" t="str">
        <f>HYPERLINK("./Results/DLO\20180201_1.2.840.113619.2.311.111807253167307987614184240511957244679_305_512_512_\Osteo_Sarco_1.png","RPT")</f>
        <v>RPT</v>
      </c>
      <c r="G2058" s="3">
        <v>166</v>
      </c>
      <c r="H2058" s="3"/>
    </row>
    <row r="2059" spans="1:8" x14ac:dyDescent="0.3">
      <c r="A2059" s="2">
        <v>6737016</v>
      </c>
      <c r="B2059" s="2">
        <v>61</v>
      </c>
      <c r="C2059" s="2" t="s">
        <v>5</v>
      </c>
      <c r="D2059" s="2">
        <v>100</v>
      </c>
      <c r="E2059" s="2"/>
      <c r="F2059" s="4" t="str">
        <f>HYPERLINK("./Results/DLO\20180201_1.2.840.113619.2.311.212197502810269196778201797403103606984_2_512_512_\Osteo_Sarco_1.png","RPT")</f>
        <v>RPT</v>
      </c>
      <c r="G2059" s="3">
        <v>164</v>
      </c>
      <c r="H2059" s="3"/>
    </row>
    <row r="2060" spans="1:8" x14ac:dyDescent="0.3">
      <c r="A2060" s="2">
        <v>6737078</v>
      </c>
      <c r="B2060" s="2">
        <v>81</v>
      </c>
      <c r="C2060" s="2" t="s">
        <v>6</v>
      </c>
      <c r="D2060" s="2">
        <v>140</v>
      </c>
      <c r="E2060" s="2"/>
      <c r="F2060" s="4" t="str">
        <f>HYPERLINK("./Results/DLO\20181101_1.2.840.113619.2.416.111227024527049299957801282063609739270_308_512_512_\Osteo_Sarco_1.png","RPT")</f>
        <v>RPT</v>
      </c>
      <c r="G2060" s="3">
        <v>134</v>
      </c>
      <c r="H2060" s="3"/>
    </row>
    <row r="2061" spans="1:8" x14ac:dyDescent="0.3">
      <c r="A2061" s="2">
        <v>6737078</v>
      </c>
      <c r="B2061" s="2">
        <v>81</v>
      </c>
      <c r="C2061" s="2" t="s">
        <v>6</v>
      </c>
      <c r="D2061" s="2">
        <v>140</v>
      </c>
      <c r="E2061" s="2"/>
      <c r="F2061" s="4" t="str">
        <f>HYPERLINK("./Results/DLO\20181101_1.2.840.113619.2.416.241640736179990743294066475248892699869_303_512_512_\Osteo_Sarco_1.png","RPT")</f>
        <v>RPT</v>
      </c>
      <c r="G2061" s="3">
        <v>133</v>
      </c>
      <c r="H2061" s="3"/>
    </row>
    <row r="2062" spans="1:8" x14ac:dyDescent="0.3">
      <c r="A2062" s="2">
        <v>6737078</v>
      </c>
      <c r="B2062" s="2">
        <v>81</v>
      </c>
      <c r="C2062" s="2" t="s">
        <v>6</v>
      </c>
      <c r="D2062" s="2">
        <v>140</v>
      </c>
      <c r="E2062" s="2"/>
      <c r="F2062" s="4" t="str">
        <f>HYPERLINK("./Results/DLO\20181101_1.2.840.113619.2.416.55534833191427610770819555750512656557_305_512_512_\Osteo_Sarco_1.png","RPT")</f>
        <v>RPT</v>
      </c>
      <c r="G2062" s="3">
        <v>132</v>
      </c>
      <c r="H2062" s="3"/>
    </row>
    <row r="2063" spans="1:8" x14ac:dyDescent="0.3">
      <c r="A2063" s="2">
        <v>6737078</v>
      </c>
      <c r="B2063" s="2">
        <v>81</v>
      </c>
      <c r="C2063" s="2" t="s">
        <v>6</v>
      </c>
      <c r="D2063" s="2">
        <v>140</v>
      </c>
      <c r="E2063" s="2"/>
      <c r="F2063" s="4" t="str">
        <f>HYPERLINK("./Results/DLO\20181101_1.2.840.113619.2.416.246482785755856742815644938258951598948_301_512_512_\Osteo_Sarco_1.png","RPT")</f>
        <v>RPT</v>
      </c>
      <c r="G2063" s="3">
        <v>122</v>
      </c>
      <c r="H2063" s="3"/>
    </row>
    <row r="2064" spans="1:8" x14ac:dyDescent="0.3">
      <c r="A2064" s="2">
        <v>6737149</v>
      </c>
      <c r="B2064" s="2">
        <v>58</v>
      </c>
      <c r="C2064" s="2" t="s">
        <v>6</v>
      </c>
      <c r="D2064" s="2">
        <v>100</v>
      </c>
      <c r="E2064" s="2"/>
      <c r="F2064" s="4" t="str">
        <f>HYPERLINK("./Results/DLO\20190401_1.3.46.670589.33.1.63691005493131479200001.5532986981185921112_201_512_512_\Osteo_Sarco_1.png","RPT")</f>
        <v>RPT</v>
      </c>
      <c r="G2064" s="3">
        <v>105</v>
      </c>
      <c r="H2064" s="3"/>
    </row>
    <row r="2065" spans="1:8" x14ac:dyDescent="0.3">
      <c r="A2065" s="2">
        <v>6737229</v>
      </c>
      <c r="B2065" s="2">
        <v>47</v>
      </c>
      <c r="C2065" s="2" t="s">
        <v>6</v>
      </c>
      <c r="D2065" s="2">
        <v>100</v>
      </c>
      <c r="E2065" s="2"/>
      <c r="F2065" s="4" t="str">
        <f>HYPERLINK("./Results/DLO\20180401_1.2.840.113619.2.94.485650834948.2.8758979.18932907.1_2_512_512_\Osteo_Sarco_1.png","RPT")</f>
        <v>RPT</v>
      </c>
      <c r="G2065" s="3">
        <v>131</v>
      </c>
      <c r="H2065" s="3"/>
    </row>
    <row r="2066" spans="1:8" x14ac:dyDescent="0.3">
      <c r="A2066" s="2">
        <v>6737286</v>
      </c>
      <c r="B2066" s="2">
        <v>46</v>
      </c>
      <c r="C2066" s="2" t="s">
        <v>6</v>
      </c>
      <c r="D2066" s="2">
        <v>100</v>
      </c>
      <c r="E2066" s="2"/>
      <c r="F2066" s="4" t="str">
        <f>HYPERLINK("./Results/DLO\20180201_1.2.840.113619.2.94.485650834948.2.8673182.18721012.1_2_512_512_\Osteo_Sarco_1.png","RPT")</f>
        <v>RPT</v>
      </c>
      <c r="G2066" s="3">
        <v>135</v>
      </c>
      <c r="H2066" s="3"/>
    </row>
    <row r="2067" spans="1:8" x14ac:dyDescent="0.3">
      <c r="A2067" s="2">
        <v>6737372</v>
      </c>
      <c r="B2067" s="2">
        <v>42</v>
      </c>
      <c r="C2067" s="2" t="s">
        <v>6</v>
      </c>
      <c r="D2067" s="2">
        <v>100</v>
      </c>
      <c r="E2067" s="2"/>
      <c r="F2067" s="4" t="str">
        <f>HYPERLINK("./Results/DLO\20181201_1.2.840.113619.2.311.226178271945267089583625093785118199263_304_512_512_\Osteo_Sarco_1.png","RPT")</f>
        <v>RPT</v>
      </c>
      <c r="G2067" s="3">
        <v>83</v>
      </c>
      <c r="H2067" s="3"/>
    </row>
    <row r="2068" spans="1:8" x14ac:dyDescent="0.3">
      <c r="A2068" s="2">
        <v>6737408</v>
      </c>
      <c r="B2068" s="2">
        <v>66</v>
      </c>
      <c r="C2068" s="2" t="s">
        <v>5</v>
      </c>
      <c r="D2068" s="2">
        <v>100</v>
      </c>
      <c r="E2068" s="2"/>
      <c r="F2068" s="4" t="str">
        <f>HYPERLINK("./Results/DLO\20180501_1.3.12.2.1107.5.1.4.54310.30000018052723073112500005456_2_512_512_\Osteo_Sarco_1.png","RPT")</f>
        <v>RPT</v>
      </c>
      <c r="G2068" s="3">
        <v>137</v>
      </c>
      <c r="H2068" s="3"/>
    </row>
    <row r="2069" spans="1:8" x14ac:dyDescent="0.3">
      <c r="A2069" s="2">
        <v>6737517</v>
      </c>
      <c r="B2069" s="2">
        <v>60</v>
      </c>
      <c r="C2069" s="2" t="s">
        <v>5</v>
      </c>
      <c r="D2069" s="2">
        <v>100</v>
      </c>
      <c r="E2069" s="2"/>
      <c r="F2069" s="4" t="str">
        <f>HYPERLINK("./Results/DLO\20180501_1.3.12.2.1107.5.1.4.54310.30000018052423121998400004929_2_512_512_\Osteo_Sarco_1.png","RPT")</f>
        <v>RPT</v>
      </c>
      <c r="G2069" s="3">
        <v>140</v>
      </c>
      <c r="H2069" s="3"/>
    </row>
    <row r="2070" spans="1:8" x14ac:dyDescent="0.3">
      <c r="A2070" s="2">
        <v>6737524</v>
      </c>
      <c r="B2070" s="2">
        <v>58</v>
      </c>
      <c r="C2070" s="2" t="s">
        <v>6</v>
      </c>
      <c r="D2070" s="2">
        <v>100</v>
      </c>
      <c r="E2070" s="2"/>
      <c r="F2070" s="4" t="str">
        <f>HYPERLINK("./Results/DLO\20190601_1.3.12.2.1107.5.1.4.54310.30000019061722305715600035587_6_512_512_\Osteo_Sarco_1.png","RPT")</f>
        <v>RPT</v>
      </c>
      <c r="G2070" s="3">
        <v>109</v>
      </c>
      <c r="H2070" s="3"/>
    </row>
    <row r="2071" spans="1:8" x14ac:dyDescent="0.3">
      <c r="A2071" s="2">
        <v>6737586</v>
      </c>
      <c r="B2071" s="2">
        <v>53</v>
      </c>
      <c r="C2071" s="2" t="s">
        <v>6</v>
      </c>
      <c r="D2071" s="2">
        <v>100</v>
      </c>
      <c r="E2071" s="2"/>
      <c r="F2071" s="4" t="str">
        <f>HYPERLINK("./Results/DLO\20181001_1.3.12.2.1107.5.1.4.54310.30000018100722583300000032589_2_512_512_\Osteo_Sarco_1.png","RPT")</f>
        <v>RPT</v>
      </c>
      <c r="G2071" s="3">
        <v>85</v>
      </c>
      <c r="H2071" s="3"/>
    </row>
    <row r="2072" spans="1:8" x14ac:dyDescent="0.3">
      <c r="A2072" s="2">
        <v>6737629</v>
      </c>
      <c r="B2072" s="2">
        <v>48</v>
      </c>
      <c r="C2072" s="2" t="s">
        <v>6</v>
      </c>
      <c r="D2072" s="2">
        <v>100</v>
      </c>
      <c r="E2072" s="2"/>
      <c r="F2072" s="4" t="str">
        <f>HYPERLINK("./Results/DLO\20181201_1.2.840.113619.2.94.485650834948.2.9243805.20125717.1_2_512_512_\Osteo_Sarco_1.png","RPT")</f>
        <v>RPT</v>
      </c>
      <c r="G2072" s="3">
        <v>113</v>
      </c>
      <c r="H2072" s="3"/>
    </row>
    <row r="2073" spans="1:8" x14ac:dyDescent="0.3">
      <c r="A2073" s="2">
        <v>6737680</v>
      </c>
      <c r="B2073" s="2">
        <v>59</v>
      </c>
      <c r="C2073" s="2" t="s">
        <v>5</v>
      </c>
      <c r="D2073" s="2">
        <v>100</v>
      </c>
      <c r="E2073" s="2"/>
      <c r="F2073" s="4" t="str">
        <f>HYPERLINK("./Results/DLO\20181101_1.3.12.2.1107.5.1.4.54310.30000018112323405271800004064_3_512_512_\Osteo_Sarco_1.png","RPT")</f>
        <v>RPT</v>
      </c>
      <c r="G2073" s="3">
        <v>162</v>
      </c>
      <c r="H2073" s="3"/>
    </row>
    <row r="2074" spans="1:8" x14ac:dyDescent="0.3">
      <c r="A2074" s="2">
        <v>6737680</v>
      </c>
      <c r="B2074" s="2">
        <v>59</v>
      </c>
      <c r="C2074" s="2" t="s">
        <v>5</v>
      </c>
      <c r="D2074" s="2">
        <v>120</v>
      </c>
      <c r="E2074" s="2"/>
      <c r="F2074" s="4" t="str">
        <f>HYPERLINK("./Results/DLO\20181101_1.3.12.2.1107.5.1.4.54310.30000018112323405271800004157_5_512_512_\Osteo_Sarco_1.png","RPT")</f>
        <v>RPT</v>
      </c>
      <c r="G2074" s="3">
        <v>162</v>
      </c>
      <c r="H2074" s="3"/>
    </row>
    <row r="2075" spans="1:8" x14ac:dyDescent="0.3">
      <c r="A2075" s="2">
        <v>6737680</v>
      </c>
      <c r="B2075" s="2">
        <v>59</v>
      </c>
      <c r="C2075" s="2" t="s">
        <v>5</v>
      </c>
      <c r="D2075" s="2">
        <v>120</v>
      </c>
      <c r="E2075" s="2"/>
      <c r="F2075" s="4" t="str">
        <f>HYPERLINK("./Results/DLO\20181101_1.3.12.2.1107.5.1.4.54310.30000018112323405271800004526_7_512_512_\Osteo_Sarco_1.png","RPT")</f>
        <v>RPT</v>
      </c>
      <c r="G2075" s="3">
        <v>161</v>
      </c>
      <c r="H2075" s="3"/>
    </row>
    <row r="2076" spans="1:8" x14ac:dyDescent="0.3">
      <c r="A2076" s="2">
        <v>6737680</v>
      </c>
      <c r="B2076" s="2">
        <v>59</v>
      </c>
      <c r="C2076" s="2" t="s">
        <v>5</v>
      </c>
      <c r="D2076" s="2">
        <v>120</v>
      </c>
      <c r="E2076" s="2"/>
      <c r="F2076" s="4" t="str">
        <f>HYPERLINK("./Results/DLO\20181101_1.3.12.2.1107.5.1.4.54310.30000018112323405271800004843_9_512_512_\Osteo_Sarco_1.png","RPT")</f>
        <v>RPT</v>
      </c>
      <c r="G2076" s="3">
        <v>160</v>
      </c>
      <c r="H2076" s="3"/>
    </row>
    <row r="2077" spans="1:8" x14ac:dyDescent="0.3">
      <c r="A2077" s="2">
        <v>6737744</v>
      </c>
      <c r="B2077" s="2">
        <v>68</v>
      </c>
      <c r="C2077" s="2" t="s">
        <v>5</v>
      </c>
      <c r="D2077" s="2">
        <v>100</v>
      </c>
      <c r="E2077" s="2"/>
      <c r="F2077" s="4" t="str">
        <f>HYPERLINK("./Results/DLO\20190401_1.2.840.113619.2.94.485650834948.2.9548469.20901478.1_2_512_512_\Osteo_Sarco_1.png","RPT")</f>
        <v>RPT</v>
      </c>
      <c r="G2077" s="3">
        <v>131</v>
      </c>
      <c r="H2077" s="3"/>
    </row>
    <row r="2078" spans="1:8" x14ac:dyDescent="0.3">
      <c r="A2078" s="2">
        <v>6737751</v>
      </c>
      <c r="B2078" s="2">
        <v>64</v>
      </c>
      <c r="C2078" s="2" t="s">
        <v>5</v>
      </c>
      <c r="D2078" s="2">
        <v>100</v>
      </c>
      <c r="E2078" s="2"/>
      <c r="F2078" s="4" t="str">
        <f>HYPERLINK("./Results/DLO\20180201_1.3.46.670589.33.1.63654805692594754700001.4663741958341964911_201_512_512_\Osteo_Sarco_1.png","RPT")</f>
        <v>RPT</v>
      </c>
      <c r="G2078" s="3">
        <v>168</v>
      </c>
      <c r="H2078" s="3"/>
    </row>
    <row r="2079" spans="1:8" x14ac:dyDescent="0.3">
      <c r="A2079" s="2">
        <v>6737805</v>
      </c>
      <c r="B2079" s="2">
        <v>62</v>
      </c>
      <c r="C2079" s="2" t="s">
        <v>5</v>
      </c>
      <c r="D2079" s="2">
        <v>100</v>
      </c>
      <c r="E2079" s="2"/>
      <c r="F2079" s="4" t="str">
        <f>HYPERLINK("./Results/DLO\20180401_1.3.12.2.1107.5.1.4.54310.30000018041623104917100033290_2_512_512_\Osteo_Sarco_1.png","RPT")</f>
        <v>RPT</v>
      </c>
      <c r="G2079" s="3">
        <v>169</v>
      </c>
      <c r="H2079" s="3"/>
    </row>
    <row r="2080" spans="1:8" x14ac:dyDescent="0.3">
      <c r="A2080" s="2">
        <v>6737805</v>
      </c>
      <c r="B2080" s="2">
        <v>62</v>
      </c>
      <c r="C2080" s="2" t="s">
        <v>5</v>
      </c>
      <c r="D2080" s="2">
        <v>120</v>
      </c>
      <c r="E2080" s="2"/>
      <c r="F2080" s="4" t="str">
        <f>HYPERLINK("./Results/DLO\20180401_1.3.12.2.1107.5.1.4.54310.30000018041623104917100033391_5_512_512_\Osteo_Sarco_1.png","RPT")</f>
        <v>RPT</v>
      </c>
      <c r="G2080" s="3">
        <v>169</v>
      </c>
      <c r="H2080" s="3"/>
    </row>
    <row r="2081" spans="1:8" x14ac:dyDescent="0.3">
      <c r="A2081" s="2">
        <v>6737805</v>
      </c>
      <c r="B2081" s="2">
        <v>62</v>
      </c>
      <c r="C2081" s="2" t="s">
        <v>5</v>
      </c>
      <c r="D2081" s="2">
        <v>120</v>
      </c>
      <c r="E2081" s="2"/>
      <c r="F2081" s="4" t="str">
        <f>HYPERLINK("./Results/DLO\20180401_1.3.12.2.1107.5.1.4.54310.30000018041623104917100033830_7_512_512_\Osteo_Sarco_1.png","RPT")</f>
        <v>RPT</v>
      </c>
      <c r="G2081" s="3">
        <v>169</v>
      </c>
      <c r="H2081" s="3"/>
    </row>
    <row r="2082" spans="1:8" x14ac:dyDescent="0.3">
      <c r="A2082" s="2">
        <v>6737805</v>
      </c>
      <c r="B2082" s="2">
        <v>62</v>
      </c>
      <c r="C2082" s="2" t="s">
        <v>5</v>
      </c>
      <c r="D2082" s="2">
        <v>120</v>
      </c>
      <c r="E2082" s="2"/>
      <c r="F2082" s="4" t="str">
        <f>HYPERLINK("./Results/DLO\20180401_1.3.12.2.1107.5.1.4.54310.30000018041623104917100034201_9_512_512_\Osteo_Sarco_1.png","RPT")</f>
        <v>RPT</v>
      </c>
      <c r="G2082" s="3">
        <v>168</v>
      </c>
      <c r="H2082" s="3"/>
    </row>
    <row r="2083" spans="1:8" x14ac:dyDescent="0.3">
      <c r="A2083" s="2">
        <v>6737811</v>
      </c>
      <c r="B2083" s="2">
        <v>60</v>
      </c>
      <c r="C2083" s="2" t="s">
        <v>6</v>
      </c>
      <c r="D2083" s="2">
        <v>100</v>
      </c>
      <c r="E2083" s="2"/>
      <c r="F2083" s="4" t="str">
        <f>HYPERLINK("./Results/DLO\20180101_1.2.840.113619.2.311.24806101870163044486499958023939686697_304_512_512_\Osteo_Sarco_1.png","RPT")</f>
        <v>RPT</v>
      </c>
      <c r="G2083" s="3">
        <v>132</v>
      </c>
      <c r="H2083" s="3"/>
    </row>
    <row r="2084" spans="1:8" x14ac:dyDescent="0.3">
      <c r="A2084" s="2">
        <v>6738001</v>
      </c>
      <c r="B2084" s="2">
        <v>55</v>
      </c>
      <c r="C2084" s="2" t="s">
        <v>6</v>
      </c>
      <c r="D2084" s="2">
        <v>100</v>
      </c>
      <c r="E2084" s="2"/>
      <c r="F2084" s="4" t="str">
        <f>HYPERLINK("./Results/DLO\20191201_1.2.840.113619.2.416.128392015363168305643908448240226739575_310_512_512_\Osteo_Sarco_1.png","RPT")</f>
        <v>RPT</v>
      </c>
      <c r="G2084" s="3">
        <v>126</v>
      </c>
      <c r="H2084" s="3"/>
    </row>
    <row r="2085" spans="1:8" x14ac:dyDescent="0.3">
      <c r="A2085" s="2">
        <v>6738036</v>
      </c>
      <c r="B2085" s="2">
        <v>49</v>
      </c>
      <c r="C2085" s="2" t="s">
        <v>6</v>
      </c>
      <c r="D2085" s="2">
        <v>100</v>
      </c>
      <c r="E2085" s="2"/>
      <c r="F2085" s="4" t="str">
        <f>HYPERLINK("./Results/DLO\20180101_1.2.840.113619.2.311.208258891100932075961347134746373595741_303_512_512_\Osteo_Sarco_1.png","RPT")</f>
        <v>RPT</v>
      </c>
      <c r="G2085" s="3">
        <v>142</v>
      </c>
      <c r="H2085" s="3"/>
    </row>
    <row r="2086" spans="1:8" x14ac:dyDescent="0.3">
      <c r="A2086" s="2">
        <v>6738095</v>
      </c>
      <c r="B2086" s="2">
        <v>23</v>
      </c>
      <c r="C2086" s="2" t="s">
        <v>6</v>
      </c>
      <c r="D2086" s="2">
        <v>100</v>
      </c>
      <c r="E2086" s="2"/>
      <c r="F2086" s="4" t="str">
        <f>HYPERLINK("./Results/DLO\20180201_1.3.12.2.1107.5.1.4.54310.30000018021923135375000029081_2_512_512_\Osteo_Sarco_1.png","RPT")</f>
        <v>RPT</v>
      </c>
      <c r="G2086" s="3">
        <v>117</v>
      </c>
      <c r="H2086" s="3"/>
    </row>
    <row r="2087" spans="1:8" x14ac:dyDescent="0.3">
      <c r="A2087" s="2">
        <v>6738102</v>
      </c>
      <c r="B2087" s="2">
        <v>47</v>
      </c>
      <c r="C2087" s="2" t="s">
        <v>6</v>
      </c>
      <c r="D2087" s="2">
        <v>100</v>
      </c>
      <c r="E2087" s="2"/>
      <c r="F2087" s="4" t="str">
        <f>HYPERLINK("./Results/DLO\20191201_1.2.840.113619.2.416.17609714785436275499230336339276168996_310_512_512_\Osteo_Sarco_1.png","RPT")</f>
        <v>RPT</v>
      </c>
      <c r="G2087" s="3">
        <v>110</v>
      </c>
      <c r="H2087" s="3"/>
    </row>
    <row r="2088" spans="1:8" x14ac:dyDescent="0.3">
      <c r="A2088" s="2">
        <v>6738110</v>
      </c>
      <c r="B2088" s="2">
        <v>63</v>
      </c>
      <c r="C2088" s="2" t="s">
        <v>6</v>
      </c>
      <c r="D2088" s="2">
        <v>100</v>
      </c>
      <c r="E2088" s="2"/>
      <c r="F2088" s="4" t="str">
        <f>HYPERLINK("./Results/DLO\20180801_1.2.840.113619.2.94.485650834948.2.9053115.19658517.1_2_512_512_\Osteo_Sarco_1.png","RPT")</f>
        <v>RPT</v>
      </c>
      <c r="G2088" s="3">
        <v>98</v>
      </c>
      <c r="H2088" s="3"/>
    </row>
    <row r="2089" spans="1:8" x14ac:dyDescent="0.3">
      <c r="A2089" s="2">
        <v>6738123</v>
      </c>
      <c r="B2089" s="2">
        <v>49</v>
      </c>
      <c r="C2089" s="2" t="s">
        <v>5</v>
      </c>
      <c r="D2089" s="2">
        <v>100</v>
      </c>
      <c r="E2089" s="2"/>
      <c r="F2089" s="4" t="str">
        <f>HYPERLINK("./Results/DLO\20180501_1.3.12.2.1107.5.1.4.54310.30000018051023541153100009251_2_512_512_\Osteo_Sarco_1.png","RPT")</f>
        <v>RPT</v>
      </c>
      <c r="G2089" s="3">
        <v>122</v>
      </c>
      <c r="H2089" s="3"/>
    </row>
    <row r="2090" spans="1:8" x14ac:dyDescent="0.3">
      <c r="A2090" s="2">
        <v>6738195</v>
      </c>
      <c r="B2090" s="2">
        <v>53</v>
      </c>
      <c r="C2090" s="2" t="s">
        <v>6</v>
      </c>
      <c r="D2090" s="2">
        <v>100</v>
      </c>
      <c r="E2090" s="2"/>
      <c r="F2090" s="4" t="str">
        <f>HYPERLINK("./Results/DLO\20180101_1.2.840.113619.2.94.485650834948.2.8601511.18547091.1_2_512_512_\Osteo_Sarco_1.png","RPT")</f>
        <v>RPT</v>
      </c>
      <c r="G2090" s="3">
        <v>93</v>
      </c>
      <c r="H2090" s="3"/>
    </row>
    <row r="2091" spans="1:8" x14ac:dyDescent="0.3">
      <c r="A2091" s="2">
        <v>6738320</v>
      </c>
      <c r="B2091" s="2">
        <v>60</v>
      </c>
      <c r="C2091" s="2" t="s">
        <v>6</v>
      </c>
      <c r="D2091" s="2">
        <v>100</v>
      </c>
      <c r="E2091" s="2"/>
      <c r="F2091" s="4" t="str">
        <f>HYPERLINK("./Results/DLO\20190701_1.3.12.2.1107.5.1.4.54310.30000019070921141615600015003_3_512_512_\Osteo_Sarco_1.png","RPT")</f>
        <v>RPT</v>
      </c>
      <c r="G2091" s="3">
        <v>106</v>
      </c>
      <c r="H2091" s="3"/>
    </row>
    <row r="2092" spans="1:8" x14ac:dyDescent="0.3">
      <c r="A2092" s="2">
        <v>6738320</v>
      </c>
      <c r="B2092" s="2">
        <v>60</v>
      </c>
      <c r="C2092" s="2" t="s">
        <v>6</v>
      </c>
      <c r="D2092" s="2">
        <v>100</v>
      </c>
      <c r="E2092" s="2"/>
      <c r="F2092" s="4" t="str">
        <f>HYPERLINK("./Results/DLO\20190701_1.3.12.2.1107.5.1.4.54310.30000019070921141615600014856_2_512_512_\Osteo_Sarco_1.png","RPT")</f>
        <v>RPT</v>
      </c>
      <c r="G2092" s="3">
        <v>104</v>
      </c>
      <c r="H2092" s="3"/>
    </row>
    <row r="2093" spans="1:8" x14ac:dyDescent="0.3">
      <c r="A2093" s="2">
        <v>6738330</v>
      </c>
      <c r="B2093" s="2">
        <v>57</v>
      </c>
      <c r="C2093" s="2" t="s">
        <v>6</v>
      </c>
      <c r="D2093" s="2">
        <v>100</v>
      </c>
      <c r="E2093" s="2"/>
      <c r="F2093" s="4" t="str">
        <f>HYPERLINK("./Results/DLO\20190601_1.2.840.113619.2.416.279934401143079305161592720155425410702_310_512_512_\Osteo_Sarco_1.png","RPT")</f>
        <v>RPT</v>
      </c>
      <c r="G2093" s="3">
        <v>120</v>
      </c>
      <c r="H2093" s="3"/>
    </row>
    <row r="2094" spans="1:8" x14ac:dyDescent="0.3">
      <c r="A2094" s="2">
        <v>6738503</v>
      </c>
      <c r="B2094" s="2">
        <v>18</v>
      </c>
      <c r="C2094" s="2" t="s">
        <v>5</v>
      </c>
      <c r="D2094" s="2">
        <v>100</v>
      </c>
      <c r="E2094" s="2"/>
      <c r="F2094" s="4" t="str">
        <f>HYPERLINK("./Results/DLO\20180401_1.3.12.2.1107.5.1.4.65253.30000018040819315709100000000_2_512_512_\Osteo_Sarco_1.png","RPT")</f>
        <v>RPT</v>
      </c>
      <c r="G2094" s="3">
        <v>259</v>
      </c>
      <c r="H2094" s="3"/>
    </row>
    <row r="2095" spans="1:8" x14ac:dyDescent="0.3">
      <c r="A2095" s="2">
        <v>6738503</v>
      </c>
      <c r="B2095" s="2">
        <v>18</v>
      </c>
      <c r="C2095" s="2" t="s">
        <v>5</v>
      </c>
      <c r="D2095" s="2">
        <v>100</v>
      </c>
      <c r="E2095" s="2"/>
      <c r="F2095" s="4" t="str">
        <f>HYPERLINK("./Results/DLO\20180401_1.3.12.2.1107.5.1.4.65253.30000018040819315709100000189_3_512_512_\Osteo_Sarco_1.png","RPT")</f>
        <v>RPT</v>
      </c>
      <c r="G2095" s="3">
        <v>204</v>
      </c>
      <c r="H2095" s="3"/>
    </row>
    <row r="2096" spans="1:8" x14ac:dyDescent="0.3">
      <c r="A2096" s="2">
        <v>6738544</v>
      </c>
      <c r="B2096" s="2">
        <v>64</v>
      </c>
      <c r="C2096" s="2" t="s">
        <v>6</v>
      </c>
      <c r="D2096" s="2">
        <v>100</v>
      </c>
      <c r="E2096" s="2"/>
      <c r="F2096" s="4" t="str">
        <f>HYPERLINK("./Results/DLO\20180501_1.3.12.2.1107.5.1.4.54310.30000018050123303617100006818_2_512_512_\Osteo_Sarco_1.png","RPT")</f>
        <v>RPT</v>
      </c>
      <c r="G2096" s="3">
        <v>88</v>
      </c>
      <c r="H2096" s="3"/>
    </row>
    <row r="2097" spans="1:8" x14ac:dyDescent="0.3">
      <c r="A2097" s="2">
        <v>6738589</v>
      </c>
      <c r="B2097" s="2">
        <v>45</v>
      </c>
      <c r="C2097" s="2" t="s">
        <v>5</v>
      </c>
      <c r="D2097" s="2">
        <v>100</v>
      </c>
      <c r="E2097" s="2"/>
      <c r="F2097" s="4" t="str">
        <f>HYPERLINK("./Results/DLO\20180701_1.2.840.113619.2.416.122215785481793381553220101283447874428_303_512_512_\Osteo_Sarco_1.png","RPT")</f>
        <v>RPT</v>
      </c>
      <c r="G2097" s="3">
        <v>162</v>
      </c>
      <c r="H2097" s="3"/>
    </row>
    <row r="2098" spans="1:8" x14ac:dyDescent="0.3">
      <c r="A2098" s="2">
        <v>6738589</v>
      </c>
      <c r="B2098" s="2">
        <v>45</v>
      </c>
      <c r="C2098" s="2" t="s">
        <v>5</v>
      </c>
      <c r="D2098" s="2">
        <v>100</v>
      </c>
      <c r="E2098" s="2"/>
      <c r="F2098" s="4" t="str">
        <f>HYPERLINK("./Results/DLO\20180701_1.2.840.113619.2.416.132832867594440207606905996284403795127_2_512_512_\Osteo_Sarco_1.png","RPT")</f>
        <v>RPT</v>
      </c>
      <c r="G2098" s="3">
        <v>157</v>
      </c>
      <c r="H2098" s="3"/>
    </row>
    <row r="2099" spans="1:8" x14ac:dyDescent="0.3">
      <c r="A2099" s="2">
        <v>6738643</v>
      </c>
      <c r="B2099" s="2">
        <v>58</v>
      </c>
      <c r="C2099" s="2" t="s">
        <v>6</v>
      </c>
      <c r="D2099" s="2">
        <v>100</v>
      </c>
      <c r="E2099" s="2"/>
      <c r="F2099" s="4" t="str">
        <f>HYPERLINK("./Results/DLO\20180601_1.3.12.2.1107.5.1.4.54310.30000018062423352937500007974_2_512_512_\Osteo_Sarco_1.png","RPT")</f>
        <v>RPT</v>
      </c>
      <c r="G2099" s="3">
        <v>90</v>
      </c>
      <c r="H2099" s="3"/>
    </row>
    <row r="2100" spans="1:8" x14ac:dyDescent="0.3">
      <c r="A2100" s="2">
        <v>6738709</v>
      </c>
      <c r="B2100" s="2">
        <v>51</v>
      </c>
      <c r="C2100" s="2" t="s">
        <v>6</v>
      </c>
      <c r="D2100" s="2">
        <v>100</v>
      </c>
      <c r="E2100" s="2"/>
      <c r="F2100" s="4" t="str">
        <f>HYPERLINK("./Results/DLO\20180701_1.2.840.113619.2.311.151986686395604810036995799394304690016_304_512_512_\Osteo_Sarco_1.png","RPT")</f>
        <v>RPT</v>
      </c>
      <c r="G2100" s="3">
        <v>140</v>
      </c>
      <c r="H2100" s="3"/>
    </row>
    <row r="2101" spans="1:8" x14ac:dyDescent="0.3">
      <c r="A2101" s="2">
        <v>6738740</v>
      </c>
      <c r="B2101" s="2">
        <v>64</v>
      </c>
      <c r="C2101" s="2" t="s">
        <v>6</v>
      </c>
      <c r="D2101" s="2">
        <v>100</v>
      </c>
      <c r="E2101" s="2"/>
      <c r="F2101" s="4" t="str">
        <f>HYPERLINK("./Results/DLO\20190101_1.2.840.113619.2.311.39552632195567707649005839273552780088_305_512_512_\Osteo_Sarco_1.png","RPT")</f>
        <v>RPT</v>
      </c>
      <c r="G2101" s="3">
        <v>103</v>
      </c>
      <c r="H2101" s="3"/>
    </row>
    <row r="2102" spans="1:8" x14ac:dyDescent="0.3">
      <c r="A2102" s="2">
        <v>6738893</v>
      </c>
      <c r="B2102" s="2">
        <v>40</v>
      </c>
      <c r="C2102" s="2" t="s">
        <v>6</v>
      </c>
      <c r="D2102" s="2">
        <v>100</v>
      </c>
      <c r="E2102" s="2"/>
      <c r="F2102" s="4" t="str">
        <f>HYPERLINK("./Results/DLO\20181001_1.2.840.113619.2.94.485650834948.2.9168171.19937437.1_2_512_512_\Osteo_Sarco_1.png","RPT")</f>
        <v>RPT</v>
      </c>
      <c r="G2102" s="3">
        <v>89</v>
      </c>
      <c r="H2102" s="3"/>
    </row>
    <row r="2103" spans="1:8" x14ac:dyDescent="0.3">
      <c r="A2103" s="2">
        <v>6738942</v>
      </c>
      <c r="B2103" s="2">
        <v>49</v>
      </c>
      <c r="C2103" s="2" t="s">
        <v>6</v>
      </c>
      <c r="D2103" s="2">
        <v>100</v>
      </c>
      <c r="E2103" s="2"/>
      <c r="F2103" s="4" t="str">
        <f>HYPERLINK("./Results/DLO\20181001_1.3.12.2.1107.5.1.4.54310.30000018100400030451500006310_2_512_512_\Osteo_Sarco_1.png","RPT")</f>
        <v>RPT</v>
      </c>
      <c r="G2103" s="3">
        <v>113</v>
      </c>
      <c r="H2103" s="3"/>
    </row>
    <row r="2104" spans="1:8" x14ac:dyDescent="0.3">
      <c r="A2104" s="2">
        <v>6739045</v>
      </c>
      <c r="B2104" s="2">
        <v>42</v>
      </c>
      <c r="C2104" s="2" t="s">
        <v>6</v>
      </c>
      <c r="D2104" s="2">
        <v>100</v>
      </c>
      <c r="E2104" s="2"/>
      <c r="F2104" s="4" t="str">
        <f>HYPERLINK("./Results/DLO\20191201_1.2.840.113619.2.416.106379529841496652847779311716911405422_310_512_512_\Osteo_Sarco_1.png","RPT")</f>
        <v>RPT</v>
      </c>
      <c r="G2104" s="3">
        <v>126</v>
      </c>
      <c r="H2104" s="3"/>
    </row>
    <row r="2105" spans="1:8" x14ac:dyDescent="0.3">
      <c r="A2105" s="2">
        <v>6739157</v>
      </c>
      <c r="B2105" s="2">
        <v>50</v>
      </c>
      <c r="C2105" s="2" t="s">
        <v>6</v>
      </c>
      <c r="D2105" s="2">
        <v>100</v>
      </c>
      <c r="E2105" s="2"/>
      <c r="F2105" s="4" t="str">
        <f>HYPERLINK("./Results/DLO\20190101_1.2.840.113619.2.311.266455263442488846687757202743191131545_303_512_512_\Osteo_Sarco_1.png","RPT")</f>
        <v>RPT</v>
      </c>
      <c r="G2105" s="3">
        <v>123</v>
      </c>
      <c r="H2105" s="3"/>
    </row>
    <row r="2106" spans="1:8" x14ac:dyDescent="0.3">
      <c r="A2106" s="2">
        <v>6739175</v>
      </c>
      <c r="B2106" s="2">
        <v>65</v>
      </c>
      <c r="C2106" s="2" t="s">
        <v>6</v>
      </c>
      <c r="D2106" s="2">
        <v>100</v>
      </c>
      <c r="E2106" s="2"/>
      <c r="F2106" s="4" t="str">
        <f>HYPERLINK("./Results/DLO\20190701_1.3.12.2.1107.5.1.4.54310.30000019071522353964000022002_7_512_512_\Osteo_Sarco_1.png","RPT")</f>
        <v>RPT</v>
      </c>
      <c r="G2106" s="3">
        <v>99</v>
      </c>
      <c r="H2106" s="3"/>
    </row>
    <row r="2107" spans="1:8" x14ac:dyDescent="0.3">
      <c r="A2107" s="2">
        <v>6739252</v>
      </c>
      <c r="B2107" s="2">
        <v>64</v>
      </c>
      <c r="C2107" s="2" t="s">
        <v>6</v>
      </c>
      <c r="D2107" s="2">
        <v>100</v>
      </c>
      <c r="E2107" s="2"/>
      <c r="F2107" s="4" t="str">
        <f>HYPERLINK("./Results/DLO\20190301_1.2.840.113619.2.94.485650834948.2.9436235.20613555.1_3_512_512_\Osteo_Sarco_1.png","RPT")</f>
        <v>RPT</v>
      </c>
      <c r="G2107" s="3">
        <v>101</v>
      </c>
      <c r="H2107" s="3"/>
    </row>
    <row r="2108" spans="1:8" x14ac:dyDescent="0.3">
      <c r="A2108" s="2">
        <v>6739278</v>
      </c>
      <c r="B2108" s="2">
        <v>45</v>
      </c>
      <c r="C2108" s="2" t="s">
        <v>6</v>
      </c>
      <c r="D2108" s="2">
        <v>100</v>
      </c>
      <c r="E2108" s="2"/>
      <c r="F2108" s="4" t="str">
        <f>HYPERLINK("./Results/DLO\20190101_1.2.840.113619.2.416.68895366909351846896844835579701744577_304_512_512_\Osteo_Sarco_1.png","RPT")</f>
        <v>RPT</v>
      </c>
      <c r="G2108" s="3">
        <v>103</v>
      </c>
      <c r="H2108" s="3"/>
    </row>
    <row r="2109" spans="1:8" x14ac:dyDescent="0.3">
      <c r="A2109" s="2">
        <v>6739283</v>
      </c>
      <c r="B2109" s="2">
        <v>52</v>
      </c>
      <c r="C2109" s="2" t="s">
        <v>6</v>
      </c>
      <c r="D2109" s="2">
        <v>100</v>
      </c>
      <c r="E2109" s="2"/>
      <c r="F2109" s="4" t="str">
        <f>HYPERLINK("./Results/DLO\20180101_1.2.840.113619.2.94.485650834948.2.8571867.18474208.1_2_512_512_\Osteo_Sarco_1.png","RPT")</f>
        <v>RPT</v>
      </c>
      <c r="G2109" s="3">
        <v>93</v>
      </c>
      <c r="H2109" s="3"/>
    </row>
    <row r="2110" spans="1:8" x14ac:dyDescent="0.3">
      <c r="A2110" s="2">
        <v>6739321</v>
      </c>
      <c r="B2110" s="2">
        <v>58</v>
      </c>
      <c r="C2110" s="2" t="s">
        <v>6</v>
      </c>
      <c r="D2110" s="2">
        <v>140</v>
      </c>
      <c r="E2110" s="2"/>
      <c r="F2110" s="4" t="str">
        <f>HYPERLINK("./Results/DLO\20180501_1.2.840.113619.2.416.149718279852978345549871788862788117032_303_512_512_\Osteo_Sarco_1.png","RPT")</f>
        <v>RPT</v>
      </c>
      <c r="G2110" s="3">
        <v>101</v>
      </c>
      <c r="H2110" s="3"/>
    </row>
    <row r="2111" spans="1:8" x14ac:dyDescent="0.3">
      <c r="A2111" s="2">
        <v>6739321</v>
      </c>
      <c r="B2111" s="2">
        <v>58</v>
      </c>
      <c r="C2111" s="2" t="s">
        <v>6</v>
      </c>
      <c r="D2111" s="2">
        <v>140</v>
      </c>
      <c r="E2111" s="2"/>
      <c r="F2111" s="4" t="str">
        <f>HYPERLINK("./Results/DLO\20180501_1.2.840.113619.2.416.333516677043735304925736014542381328710_2_512_512_\Osteo_Sarco_1.png","RPT")</f>
        <v>RPT</v>
      </c>
      <c r="G2111" s="3">
        <v>99</v>
      </c>
      <c r="H2111" s="3"/>
    </row>
    <row r="2112" spans="1:8" x14ac:dyDescent="0.3">
      <c r="A2112" s="2">
        <v>6739329</v>
      </c>
      <c r="B2112" s="2">
        <v>44</v>
      </c>
      <c r="C2112" s="2" t="s">
        <v>6</v>
      </c>
      <c r="D2112" s="2">
        <v>100</v>
      </c>
      <c r="E2112" s="2"/>
      <c r="F2112" s="4" t="str">
        <f>HYPERLINK("./Results/DLO\20180101_1.2.840.113619.2.311.281169779001640315898171619563679264806_304_512_512_\Osteo_Sarco_1.png","RPT")</f>
        <v>RPT</v>
      </c>
      <c r="G2112" s="3">
        <v>112</v>
      </c>
      <c r="H2112" s="3"/>
    </row>
    <row r="2113" spans="1:8" x14ac:dyDescent="0.3">
      <c r="A2113" s="2">
        <v>6739477</v>
      </c>
      <c r="B2113" s="2">
        <v>61</v>
      </c>
      <c r="C2113" s="2" t="s">
        <v>6</v>
      </c>
      <c r="D2113" s="2">
        <v>100</v>
      </c>
      <c r="E2113" s="2"/>
      <c r="F2113" s="4" t="str">
        <f>HYPERLINK("./Results/DLO\20180201_1.2.840.113619.2.311.216841001584021917571731356451643412943_304_512_512_\Osteo_Sarco_1.png","RPT")</f>
        <v>RPT</v>
      </c>
      <c r="G2113" s="3">
        <v>107</v>
      </c>
      <c r="H2113" s="3"/>
    </row>
    <row r="2114" spans="1:8" x14ac:dyDescent="0.3">
      <c r="A2114" s="2">
        <v>6739497</v>
      </c>
      <c r="B2114" s="2">
        <v>58</v>
      </c>
      <c r="C2114" s="2" t="s">
        <v>6</v>
      </c>
      <c r="D2114" s="2">
        <v>100</v>
      </c>
      <c r="E2114" s="2"/>
      <c r="F2114" s="4" t="str">
        <f>HYPERLINK("./Results/DLO\20180201_1.3.12.2.1107.5.1.4.54310.30000018021323345021800012839_2_512_512_\Osteo_Sarco_1.png","RPT")</f>
        <v>RPT</v>
      </c>
      <c r="G2114" s="3">
        <v>105</v>
      </c>
      <c r="H2114" s="3"/>
    </row>
    <row r="2115" spans="1:8" x14ac:dyDescent="0.3">
      <c r="A2115" s="2">
        <v>6739511</v>
      </c>
      <c r="B2115" s="2">
        <v>80</v>
      </c>
      <c r="C2115" s="2" t="s">
        <v>5</v>
      </c>
      <c r="D2115" s="2">
        <v>100</v>
      </c>
      <c r="E2115" s="2"/>
      <c r="F2115" s="4" t="str">
        <f>HYPERLINK("./Results/DLO\20180301_1.2.840.113619.2.311.136348814162666371142249436415894442199_304_512_512_\Osteo_Sarco_1.png","RPT")</f>
        <v>RPT</v>
      </c>
      <c r="G2115" s="3">
        <v>157</v>
      </c>
      <c r="H2115" s="3"/>
    </row>
    <row r="2116" spans="1:8" x14ac:dyDescent="0.3">
      <c r="A2116" s="2">
        <v>6739526</v>
      </c>
      <c r="B2116" s="2">
        <v>65</v>
      </c>
      <c r="C2116" s="2" t="s">
        <v>6</v>
      </c>
      <c r="D2116" s="2">
        <v>100</v>
      </c>
      <c r="E2116" s="2"/>
      <c r="F2116" s="4" t="str">
        <f>HYPERLINK("./Results/DLO\20180201_1.2.840.113619.2.311.53339799595939907618225591602629572653_304_512_512_\Osteo_Sarco_1.png","RPT")</f>
        <v>RPT</v>
      </c>
      <c r="G2116" s="3">
        <v>96</v>
      </c>
      <c r="H2116" s="3"/>
    </row>
    <row r="2117" spans="1:8" x14ac:dyDescent="0.3">
      <c r="A2117" s="2">
        <v>6739573</v>
      </c>
      <c r="B2117" s="2">
        <v>59</v>
      </c>
      <c r="C2117" s="2" t="s">
        <v>6</v>
      </c>
      <c r="D2117" s="2">
        <v>100</v>
      </c>
      <c r="E2117" s="2"/>
      <c r="F2117" s="4" t="str">
        <f>HYPERLINK("./Results/DLO\20180301_1.2.840.113619.2.311.236106390230357474638993407204060608439_304_512_512_\Osteo_Sarco_1.png","RPT")</f>
        <v>RPT</v>
      </c>
      <c r="G2117" s="3">
        <v>85</v>
      </c>
      <c r="H2117" s="3"/>
    </row>
    <row r="2118" spans="1:8" x14ac:dyDescent="0.3">
      <c r="A2118" s="2">
        <v>6739626</v>
      </c>
      <c r="B2118" s="2">
        <v>52</v>
      </c>
      <c r="C2118" s="2" t="s">
        <v>6</v>
      </c>
      <c r="D2118" s="2">
        <v>100</v>
      </c>
      <c r="E2118" s="2"/>
      <c r="F2118" s="4" t="str">
        <f>HYPERLINK("./Results/DLO\20180301_1.2.840.113619.2.311.179229911352055677734130132014650546497_304_512_512_\Osteo_Sarco_1.png","RPT")</f>
        <v>RPT</v>
      </c>
      <c r="G2118" s="3">
        <v>93</v>
      </c>
      <c r="H2118" s="3"/>
    </row>
    <row r="2119" spans="1:8" x14ac:dyDescent="0.3">
      <c r="A2119" s="2">
        <v>6739634</v>
      </c>
      <c r="B2119" s="2">
        <v>52</v>
      </c>
      <c r="C2119" s="2" t="s">
        <v>6</v>
      </c>
      <c r="D2119" s="2">
        <v>140</v>
      </c>
      <c r="E2119" s="2"/>
      <c r="F2119" s="4" t="str">
        <f>HYPERLINK("./Results/DLO\20180301_1.2.840.113619.2.416.101678019229285923949530240306244072424_2_512_512_\Osteo_Sarco_1.png","RPT")</f>
        <v>RPT</v>
      </c>
      <c r="G2119" s="3">
        <v>122</v>
      </c>
      <c r="H2119" s="3"/>
    </row>
    <row r="2120" spans="1:8" x14ac:dyDescent="0.3">
      <c r="A2120" s="2">
        <v>6739634</v>
      </c>
      <c r="B2120" s="2">
        <v>52</v>
      </c>
      <c r="C2120" s="2" t="s">
        <v>6</v>
      </c>
      <c r="D2120" s="2">
        <v>140</v>
      </c>
      <c r="E2120" s="2"/>
      <c r="F2120" s="4" t="str">
        <f>HYPERLINK("./Results/DLO\20180301_1.2.840.113619.2.416.224628965409065000452447508894193574741_303_512_512_\Osteo_Sarco_1.png","RPT")</f>
        <v>RPT</v>
      </c>
      <c r="G2120" s="3">
        <v>115</v>
      </c>
      <c r="H2120" s="3"/>
    </row>
    <row r="2121" spans="1:8" x14ac:dyDescent="0.3">
      <c r="A2121" s="2">
        <v>6739694</v>
      </c>
      <c r="B2121" s="2">
        <v>44</v>
      </c>
      <c r="C2121" s="2" t="s">
        <v>6</v>
      </c>
      <c r="D2121" s="2">
        <v>100</v>
      </c>
      <c r="E2121" s="2"/>
      <c r="F2121" s="4" t="str">
        <f>HYPERLINK("./Results/DLO\20180301_1.3.12.2.1107.5.1.4.54310.30000018031523240600000011374_2_512_512_\Osteo_Sarco_1.png","RPT")</f>
        <v>RPT</v>
      </c>
      <c r="G2121" s="3">
        <v>95</v>
      </c>
      <c r="H2121" s="3"/>
    </row>
    <row r="2122" spans="1:8" x14ac:dyDescent="0.3">
      <c r="A2122" s="2">
        <v>6739715</v>
      </c>
      <c r="B2122" s="2">
        <v>55</v>
      </c>
      <c r="C2122" s="2" t="s">
        <v>6</v>
      </c>
      <c r="D2122" s="2">
        <v>100</v>
      </c>
      <c r="E2122" s="2"/>
      <c r="F2122" s="4" t="str">
        <f>HYPERLINK("./Results/DLO\20180501_1.3.12.2.1107.5.1.4.65253.30000018051117080641300002179_3_512_512_\Osteo_Sarco_1.png","RPT")</f>
        <v>RPT</v>
      </c>
      <c r="G2122" s="3">
        <v>106</v>
      </c>
      <c r="H2122" s="3"/>
    </row>
    <row r="2123" spans="1:8" x14ac:dyDescent="0.3">
      <c r="A2123" s="2">
        <v>6739715</v>
      </c>
      <c r="B2123" s="2">
        <v>55</v>
      </c>
      <c r="C2123" s="2" t="s">
        <v>6</v>
      </c>
      <c r="D2123" s="2">
        <v>100</v>
      </c>
      <c r="E2123" s="2"/>
      <c r="F2123" s="4" t="str">
        <f>HYPERLINK("./Results/DLO\20180501_1.3.12.2.1107.5.1.4.65253.30000018051117012582000031100_2_512_512_\Osteo_Sarco_1.png","RPT")</f>
        <v>RPT</v>
      </c>
      <c r="G2123" s="3">
        <v>102</v>
      </c>
      <c r="H2123" s="3"/>
    </row>
    <row r="2124" spans="1:8" x14ac:dyDescent="0.3">
      <c r="A2124" s="2">
        <v>6739716</v>
      </c>
      <c r="B2124" s="2">
        <v>39</v>
      </c>
      <c r="C2124" s="2" t="s">
        <v>5</v>
      </c>
      <c r="D2124" s="2">
        <v>100</v>
      </c>
      <c r="E2124" s="2"/>
      <c r="F2124" s="4" t="str">
        <f>HYPERLINK("./Results/DLO\20180401_1.3.12.2.1107.5.1.4.65253.30000018042321504630500017242_7_512_512_\Osteo_Sarco_1.png","RPT")</f>
        <v>RPT</v>
      </c>
      <c r="G2124" s="3">
        <v>224</v>
      </c>
      <c r="H2124" s="3"/>
    </row>
    <row r="2125" spans="1:8" x14ac:dyDescent="0.3">
      <c r="A2125" s="2">
        <v>6739716</v>
      </c>
      <c r="B2125" s="2">
        <v>39</v>
      </c>
      <c r="C2125" s="2" t="s">
        <v>5</v>
      </c>
      <c r="D2125" s="2">
        <v>100</v>
      </c>
      <c r="E2125" s="2"/>
      <c r="F2125" s="4" t="str">
        <f>HYPERLINK("./Results/DLO\20180401_1.3.12.2.1107.5.1.4.65253.30000018042321504630500017537_9_512_512_\Osteo_Sarco_1.png","RPT")</f>
        <v>RPT</v>
      </c>
      <c r="G2125" s="3">
        <v>223</v>
      </c>
      <c r="H2125" s="3"/>
    </row>
    <row r="2126" spans="1:8" x14ac:dyDescent="0.3">
      <c r="A2126" s="2">
        <v>6739716</v>
      </c>
      <c r="B2126" s="2">
        <v>39</v>
      </c>
      <c r="C2126" s="2" t="s">
        <v>5</v>
      </c>
      <c r="D2126" s="2">
        <v>100</v>
      </c>
      <c r="E2126" s="2"/>
      <c r="F2126" s="4" t="str">
        <f>HYPERLINK("./Results/DLO\20180401_1.3.12.2.1107.5.1.4.65253.30000018042321504630500016580_2_512_512_\Osteo_Sarco_1.png","RPT")</f>
        <v>RPT</v>
      </c>
      <c r="G2126" s="3">
        <v>220</v>
      </c>
      <c r="H2126" s="3"/>
    </row>
    <row r="2127" spans="1:8" x14ac:dyDescent="0.3">
      <c r="A2127" s="2">
        <v>6739716</v>
      </c>
      <c r="B2127" s="2">
        <v>39</v>
      </c>
      <c r="C2127" s="2" t="s">
        <v>5</v>
      </c>
      <c r="D2127" s="2">
        <v>100</v>
      </c>
      <c r="E2127" s="2"/>
      <c r="F2127" s="4" t="str">
        <f>HYPERLINK("./Results/DLO\20180401_1.3.12.2.1107.5.1.4.65253.30000018042321504630500016686_5_512_512_\Osteo_Sarco_1.png","RPT")</f>
        <v>RPT</v>
      </c>
      <c r="G2127" s="3">
        <v>220</v>
      </c>
      <c r="H2127" s="3"/>
    </row>
    <row r="2128" spans="1:8" x14ac:dyDescent="0.3">
      <c r="A2128" s="2">
        <v>6739917</v>
      </c>
      <c r="B2128" s="2">
        <v>59</v>
      </c>
      <c r="C2128" s="2" t="s">
        <v>5</v>
      </c>
      <c r="D2128" s="2">
        <v>100</v>
      </c>
      <c r="E2128" s="2"/>
      <c r="F2128" s="4" t="str">
        <f>HYPERLINK("./Results/DLO\20180501_1.2.840.113619.2.416.23777434955770794022902347844493371120_303_512_512_\Osteo_Sarco_1.png","RPT")</f>
        <v>RPT</v>
      </c>
      <c r="G2128" s="3">
        <v>153</v>
      </c>
      <c r="H2128" s="3"/>
    </row>
    <row r="2129" spans="1:8" x14ac:dyDescent="0.3">
      <c r="A2129" s="2">
        <v>6739917</v>
      </c>
      <c r="B2129" s="2">
        <v>59</v>
      </c>
      <c r="C2129" s="2" t="s">
        <v>5</v>
      </c>
      <c r="D2129" s="2">
        <v>100</v>
      </c>
      <c r="E2129" s="2"/>
      <c r="F2129" s="4" t="str">
        <f>HYPERLINK("./Results/DLO\20180501_1.2.840.113619.2.416.326068907876675612974272799180227619452_2_512_512_\Osteo_Sarco_1.png","RPT")</f>
        <v>RPT</v>
      </c>
      <c r="G2129" s="3">
        <v>148</v>
      </c>
      <c r="H2129" s="3"/>
    </row>
    <row r="2130" spans="1:8" x14ac:dyDescent="0.3">
      <c r="A2130" s="2">
        <v>6739944</v>
      </c>
      <c r="B2130" s="2">
        <v>62</v>
      </c>
      <c r="C2130" s="2" t="s">
        <v>6</v>
      </c>
      <c r="D2130" s="2">
        <v>100</v>
      </c>
      <c r="E2130" s="2"/>
      <c r="F2130" s="4" t="str">
        <f>HYPERLINK("./Results/DLO\20180401_1.2.840.113619.2.311.193377353984907254968220118653167160127_304_512_512_\Osteo_Sarco_1.png","RPT")</f>
        <v>RPT</v>
      </c>
      <c r="G2130" s="3">
        <v>96</v>
      </c>
      <c r="H2130" s="3"/>
    </row>
    <row r="2131" spans="1:8" x14ac:dyDescent="0.3">
      <c r="A2131" s="2">
        <v>6739972</v>
      </c>
      <c r="B2131" s="2">
        <v>47</v>
      </c>
      <c r="C2131" s="2" t="s">
        <v>6</v>
      </c>
      <c r="D2131" s="2">
        <v>100</v>
      </c>
      <c r="E2131" s="2"/>
      <c r="F2131" s="4" t="str">
        <f>HYPERLINK("./Results/DLO\20180401_1.3.12.2.1107.5.1.4.54310.30000018041523193462500014059_2_512_512_\Osteo_Sarco_1.png","RPT")</f>
        <v>RPT</v>
      </c>
      <c r="G2131" s="3">
        <v>100</v>
      </c>
      <c r="H2131" s="3"/>
    </row>
    <row r="2132" spans="1:8" x14ac:dyDescent="0.3">
      <c r="A2132" s="2">
        <v>6739988</v>
      </c>
      <c r="B2132" s="2">
        <v>43</v>
      </c>
      <c r="C2132" s="2" t="s">
        <v>6</v>
      </c>
      <c r="D2132" s="2">
        <v>100</v>
      </c>
      <c r="E2132" s="2"/>
      <c r="F2132" s="4" t="str">
        <f>HYPERLINK("./Results/DLO\20180401_1.2.840.113619.2.311.7045371610636794664547555143710875534_304_512_512_\Osteo_Sarco_1.png","RPT")</f>
        <v>RPT</v>
      </c>
      <c r="G2132" s="3">
        <v>105</v>
      </c>
      <c r="H2132" s="3"/>
    </row>
    <row r="2133" spans="1:8" x14ac:dyDescent="0.3">
      <c r="A2133" s="2">
        <v>6740011</v>
      </c>
      <c r="B2133" s="2">
        <v>53</v>
      </c>
      <c r="C2133" s="2" t="s">
        <v>6</v>
      </c>
      <c r="D2133" s="2">
        <v>100</v>
      </c>
      <c r="E2133" s="2"/>
      <c r="F2133" s="4" t="str">
        <f>HYPERLINK("./Results/DLO\20180401_1.2.840.113619.2.311.98492935682530194766730750787895976987_304_512_512_\Osteo_Sarco_1.png","RPT")</f>
        <v>RPT</v>
      </c>
      <c r="G2133" s="3">
        <v>103</v>
      </c>
      <c r="H2133" s="3"/>
    </row>
    <row r="2134" spans="1:8" x14ac:dyDescent="0.3">
      <c r="A2134" s="2">
        <v>6740027</v>
      </c>
      <c r="B2134" s="2">
        <v>68</v>
      </c>
      <c r="C2134" s="2" t="s">
        <v>6</v>
      </c>
      <c r="D2134" s="2">
        <v>100</v>
      </c>
      <c r="E2134" s="2"/>
      <c r="F2134" s="4" t="str">
        <f>HYPERLINK("./Results/DLO\20180401_1.3.12.2.1107.5.1.4.54310.30000018042223391226500011060_2_512_512_\Osteo_Sarco_1.png","RPT")</f>
        <v>RPT</v>
      </c>
      <c r="G2134" s="3">
        <v>112</v>
      </c>
      <c r="H2134" s="3"/>
    </row>
    <row r="2135" spans="1:8" x14ac:dyDescent="0.3">
      <c r="A2135" s="2">
        <v>6740037</v>
      </c>
      <c r="B2135" s="2">
        <v>54</v>
      </c>
      <c r="C2135" s="2" t="s">
        <v>5</v>
      </c>
      <c r="D2135" s="2">
        <v>100</v>
      </c>
      <c r="E2135" s="2"/>
      <c r="F2135" s="4" t="str">
        <f>HYPERLINK("./Results/DLO\20180501_1.2.840.113619.2.311.73924517666874413405121220349500611647_303_512_512_\Osteo_Sarco_1.png","RPT")</f>
        <v>RPT</v>
      </c>
      <c r="G2135" s="3">
        <v>171</v>
      </c>
      <c r="H2135" s="3"/>
    </row>
    <row r="2136" spans="1:8" x14ac:dyDescent="0.3">
      <c r="A2136" s="2">
        <v>6740107</v>
      </c>
      <c r="B2136" s="2">
        <v>55</v>
      </c>
      <c r="C2136" s="2" t="s">
        <v>6</v>
      </c>
      <c r="D2136" s="2">
        <v>100</v>
      </c>
      <c r="E2136" s="2"/>
      <c r="F2136" s="4" t="str">
        <f>HYPERLINK("./Results/DLO\20190401_1.2.840.113619.2.94.485650834948.2.9540022.20880191.1_2_512_512_\Osteo_Sarco_1.png","RPT")</f>
        <v>RPT</v>
      </c>
      <c r="G2136" s="3">
        <v>114</v>
      </c>
      <c r="H2136" s="3"/>
    </row>
    <row r="2137" spans="1:8" x14ac:dyDescent="0.3">
      <c r="A2137" s="2">
        <v>6740186</v>
      </c>
      <c r="B2137" s="2">
        <v>47</v>
      </c>
      <c r="C2137" s="2" t="s">
        <v>6</v>
      </c>
      <c r="D2137" s="2">
        <v>100</v>
      </c>
      <c r="E2137" s="2"/>
      <c r="F2137" s="4" t="str">
        <f>HYPERLINK("./Results/DLO\20190601_1.3.12.2.1107.5.1.4.54310.30000019060322140368700040596_6_512_512_\Osteo_Sarco_1.png","RPT")</f>
        <v>RPT</v>
      </c>
      <c r="G2137" s="3">
        <v>116</v>
      </c>
      <c r="H2137" s="3"/>
    </row>
    <row r="2138" spans="1:8" x14ac:dyDescent="0.3">
      <c r="A2138" s="2">
        <v>6740221</v>
      </c>
      <c r="B2138" s="2">
        <v>24</v>
      </c>
      <c r="C2138" s="2" t="s">
        <v>6</v>
      </c>
      <c r="D2138" s="2">
        <v>100</v>
      </c>
      <c r="E2138" s="2"/>
      <c r="F2138" s="4" t="str">
        <f>HYPERLINK("./Results/DLO\20181201_1.3.12.2.1107.5.1.4.65253.30000018121221212208000022323_2_512_512_\Osteo_Sarco_1.png","RPT")</f>
        <v>RPT</v>
      </c>
      <c r="G2138" s="3">
        <v>138</v>
      </c>
      <c r="H2138" s="3"/>
    </row>
    <row r="2139" spans="1:8" x14ac:dyDescent="0.3">
      <c r="A2139" s="2">
        <v>6740221</v>
      </c>
      <c r="B2139" s="2">
        <v>24</v>
      </c>
      <c r="C2139" s="2" t="s">
        <v>6</v>
      </c>
      <c r="D2139" s="2">
        <v>100</v>
      </c>
      <c r="E2139" s="2"/>
      <c r="F2139" s="4" t="str">
        <f>HYPERLINK("./Results/DLO\20181201_1.3.12.2.1107.5.1.4.65253.30000018121221212208000022501_3_512_512_\Osteo_Sarco_1.png","RPT")</f>
        <v>RPT</v>
      </c>
      <c r="G2139" s="3">
        <v>138</v>
      </c>
      <c r="H2139" s="3"/>
    </row>
    <row r="2140" spans="1:8" x14ac:dyDescent="0.3">
      <c r="A2140" s="2">
        <v>6740358</v>
      </c>
      <c r="B2140" s="2">
        <v>64</v>
      </c>
      <c r="C2140" s="2" t="s">
        <v>6</v>
      </c>
      <c r="D2140" s="2">
        <v>100</v>
      </c>
      <c r="E2140" s="2"/>
      <c r="F2140" s="4" t="str">
        <f>HYPERLINK("./Results/DLO\20180501_1.3.12.2.1107.5.1.4.54310.30000018051423393509300005716_2_512_512_\Osteo_Sarco_1.png","RPT")</f>
        <v>RPT</v>
      </c>
      <c r="G2140" s="3">
        <v>105</v>
      </c>
      <c r="H2140" s="3"/>
    </row>
    <row r="2141" spans="1:8" x14ac:dyDescent="0.3">
      <c r="A2141" s="2">
        <v>6740540</v>
      </c>
      <c r="B2141" s="2">
        <v>77</v>
      </c>
      <c r="C2141" s="2" t="s">
        <v>6</v>
      </c>
      <c r="D2141" s="2">
        <v>120</v>
      </c>
      <c r="E2141" s="2"/>
      <c r="F2141" s="4" t="str">
        <f>HYPERLINK("./Results/DLO\20180501_1.3.12.2.1107.5.1.4.50737.30000018050722073290600007999_2_512_512_\Osteo_Sarco_1.png","RPT")</f>
        <v>RPT</v>
      </c>
      <c r="G2141" s="3">
        <v>129</v>
      </c>
      <c r="H2141" s="3"/>
    </row>
    <row r="2142" spans="1:8" x14ac:dyDescent="0.3">
      <c r="A2142" s="2">
        <v>6740540</v>
      </c>
      <c r="B2142" s="2">
        <v>77</v>
      </c>
      <c r="C2142" s="2" t="s">
        <v>6</v>
      </c>
      <c r="D2142" s="2">
        <v>120</v>
      </c>
      <c r="E2142" s="2"/>
      <c r="F2142" s="4" t="str">
        <f>HYPERLINK("./Results/DLO\20180501_1.3.12.2.1107.5.1.4.50737.30000018050722073290600008112_6_512_512_\Osteo_Sarco_1.png","RPT")</f>
        <v>RPT</v>
      </c>
      <c r="G2142" s="3">
        <v>126</v>
      </c>
      <c r="H2142" s="3"/>
    </row>
    <row r="2143" spans="1:8" x14ac:dyDescent="0.3">
      <c r="A2143" s="2">
        <v>6740540</v>
      </c>
      <c r="B2143" s="2">
        <v>77</v>
      </c>
      <c r="C2143" s="2" t="s">
        <v>6</v>
      </c>
      <c r="D2143" s="2">
        <v>120</v>
      </c>
      <c r="E2143" s="2"/>
      <c r="F2143" s="4" t="str">
        <f>HYPERLINK("./Results/DLO\20180501_1.3.12.2.1107.5.1.4.50737.30000018050722073290600008110_5_512_512_\Osteo_Sarco_1.png","RPT")</f>
        <v>RPT</v>
      </c>
      <c r="G2143" s="3">
        <v>124</v>
      </c>
      <c r="H2143" s="3"/>
    </row>
    <row r="2144" spans="1:8" x14ac:dyDescent="0.3">
      <c r="A2144" s="2">
        <v>6740770</v>
      </c>
      <c r="B2144" s="2">
        <v>45</v>
      </c>
      <c r="C2144" s="2" t="s">
        <v>6</v>
      </c>
      <c r="D2144" s="2">
        <v>100</v>
      </c>
      <c r="E2144" s="2"/>
      <c r="F2144" s="4" t="str">
        <f>HYPERLINK("./Results/DLO\20190201_1.2.840.113619.2.311.184723799424423551333113502155341585541_304_512_512_\Osteo_Sarco_1.png","RPT")</f>
        <v>RPT</v>
      </c>
      <c r="G2144" s="3">
        <v>90</v>
      </c>
      <c r="H2144" s="3"/>
    </row>
    <row r="2145" spans="1:8" x14ac:dyDescent="0.3">
      <c r="A2145" s="2">
        <v>6741023</v>
      </c>
      <c r="B2145" s="2">
        <v>70</v>
      </c>
      <c r="C2145" s="2" t="s">
        <v>6</v>
      </c>
      <c r="D2145" s="2">
        <v>100</v>
      </c>
      <c r="E2145" s="2"/>
      <c r="F2145" s="4" t="str">
        <f>HYPERLINK("./Results/DLO\20180701_1.2.840.113619.2.94.485650834948.2.8982113.19481897.1_2_512_512_\Osteo_Sarco_1.png","RPT")</f>
        <v>RPT</v>
      </c>
      <c r="G2145" s="3">
        <v>86</v>
      </c>
      <c r="H2145" s="3"/>
    </row>
    <row r="2146" spans="1:8" x14ac:dyDescent="0.3">
      <c r="A2146" s="2">
        <v>6741326</v>
      </c>
      <c r="B2146" s="2">
        <v>65</v>
      </c>
      <c r="C2146" s="2" t="s">
        <v>6</v>
      </c>
      <c r="D2146" s="2">
        <v>100</v>
      </c>
      <c r="E2146" s="2"/>
      <c r="F2146" s="4" t="str">
        <f>HYPERLINK("./Results/DLO\20180401_1.3.12.2.1107.5.1.4.65253.30000018042321504630500029043_2_512_512_\Osteo_Sarco_1.png","RPT")</f>
        <v>RPT</v>
      </c>
      <c r="G2146" s="3">
        <v>105</v>
      </c>
      <c r="H2146" s="3"/>
    </row>
    <row r="2147" spans="1:8" x14ac:dyDescent="0.3">
      <c r="A2147" s="2">
        <v>6741423</v>
      </c>
      <c r="B2147" s="2">
        <v>43</v>
      </c>
      <c r="C2147" s="2" t="s">
        <v>6</v>
      </c>
      <c r="D2147" s="2">
        <v>100</v>
      </c>
      <c r="E2147" s="2"/>
      <c r="F2147" s="4" t="str">
        <f>HYPERLINK("./Results/DLO\20180101_1.3.12.2.1107.5.1.4.65253.30000018013021202395500002902_2_512_512_\Osteo_Sarco_1.png","RPT")</f>
        <v>RPT</v>
      </c>
      <c r="G2147" s="3">
        <v>131</v>
      </c>
      <c r="H2147" s="3"/>
    </row>
    <row r="2148" spans="1:8" x14ac:dyDescent="0.3">
      <c r="A2148" s="2">
        <v>6741498</v>
      </c>
      <c r="B2148" s="2">
        <v>65</v>
      </c>
      <c r="C2148" s="2" t="s">
        <v>5</v>
      </c>
      <c r="D2148" s="2">
        <v>100</v>
      </c>
      <c r="E2148" s="2"/>
      <c r="F2148" s="4" t="str">
        <f>HYPERLINK("./Results/DLO\20181001_1.3.46.670589.33.1.63676147546875290500001.5482534320443459142_301_512_512_\Osteo_Sarco_1.png","RPT")</f>
        <v>RPT</v>
      </c>
      <c r="G2148" s="3">
        <v>117</v>
      </c>
      <c r="H2148" s="3"/>
    </row>
    <row r="2149" spans="1:8" x14ac:dyDescent="0.3">
      <c r="A2149" s="2">
        <v>6741498</v>
      </c>
      <c r="B2149" s="2">
        <v>65</v>
      </c>
      <c r="C2149" s="2" t="s">
        <v>5</v>
      </c>
      <c r="D2149" s="2">
        <v>100</v>
      </c>
      <c r="E2149" s="2"/>
      <c r="F2149" s="4" t="str">
        <f>HYPERLINK("./Results/DLO\20181001_1.3.46.670589.33.1.63676147426944430800001.5023109743060541148_201_512_512_\Osteo_Sarco_1.png","RPT")</f>
        <v>RPT</v>
      </c>
      <c r="G2149" s="3">
        <v>112</v>
      </c>
      <c r="H2149" s="3"/>
    </row>
    <row r="2150" spans="1:8" x14ac:dyDescent="0.3">
      <c r="A2150" s="2">
        <v>6741519</v>
      </c>
      <c r="B2150" s="2">
        <v>52</v>
      </c>
      <c r="C2150" s="2" t="s">
        <v>5</v>
      </c>
      <c r="D2150" s="2">
        <v>100</v>
      </c>
      <c r="E2150" s="2"/>
      <c r="F2150" s="4" t="str">
        <f>HYPERLINK("./Results/DLO\20191101_1.3.46.670589.33.1.63710445654014391700001.4720815295104205486_201_512_512_\Osteo_Sarco_1.png","RPT")</f>
        <v>RPT</v>
      </c>
      <c r="G2150" s="3">
        <v>166</v>
      </c>
      <c r="H2150" s="3"/>
    </row>
    <row r="2151" spans="1:8" x14ac:dyDescent="0.3">
      <c r="A2151" s="2">
        <v>6741524</v>
      </c>
      <c r="B2151" s="2">
        <v>53</v>
      </c>
      <c r="C2151" s="2" t="s">
        <v>6</v>
      </c>
      <c r="D2151" s="2">
        <v>100</v>
      </c>
      <c r="E2151" s="2"/>
      <c r="F2151" s="4" t="str">
        <f>HYPERLINK("./Results/DLO\20180901_1.2.840.113619.2.311.19178765395821334226387739813725750038_304_512_512_\Osteo_Sarco_1.png","RPT")</f>
        <v>RPT</v>
      </c>
      <c r="G2151" s="3">
        <v>120</v>
      </c>
      <c r="H2151" s="3"/>
    </row>
    <row r="2152" spans="1:8" x14ac:dyDescent="0.3">
      <c r="A2152" s="2">
        <v>6741613</v>
      </c>
      <c r="B2152" s="2">
        <v>81</v>
      </c>
      <c r="C2152" s="2" t="s">
        <v>6</v>
      </c>
      <c r="D2152" s="2">
        <v>100</v>
      </c>
      <c r="E2152" s="2"/>
      <c r="F2152" s="4" t="str">
        <f>HYPERLINK("./Results/DLO\20180401_1.3.12.2.1107.5.1.4.54310.30000018041623483203100009627_2_512_512_\Osteo_Sarco_1.png","RPT")</f>
        <v>RPT</v>
      </c>
      <c r="G2152" s="3">
        <v>87</v>
      </c>
      <c r="H2152" s="3"/>
    </row>
    <row r="2153" spans="1:8" x14ac:dyDescent="0.3">
      <c r="A2153" s="2">
        <v>6741645</v>
      </c>
      <c r="B2153" s="2">
        <v>55</v>
      </c>
      <c r="C2153" s="2" t="s">
        <v>6</v>
      </c>
      <c r="D2153" s="2">
        <v>100</v>
      </c>
      <c r="E2153" s="2"/>
      <c r="F2153" s="4" t="str">
        <f>HYPERLINK("./Results/DLO\20190901_1.3.12.2.1107.5.1.4.54310.30000019090222280856200046087_2_512_512_\Osteo_Sarco_1.png","RPT")</f>
        <v>RPT</v>
      </c>
      <c r="G2153" s="3">
        <v>81</v>
      </c>
      <c r="H2153" s="3"/>
    </row>
    <row r="2154" spans="1:8" x14ac:dyDescent="0.3">
      <c r="A2154" s="2">
        <v>6741744</v>
      </c>
      <c r="B2154" s="2">
        <v>34</v>
      </c>
      <c r="C2154" s="2" t="s">
        <v>5</v>
      </c>
      <c r="D2154" s="2">
        <v>100</v>
      </c>
      <c r="E2154" s="2"/>
      <c r="F2154" s="4" t="str">
        <f>HYPERLINK("./Results/DLO\20180801_1.3.12.2.1107.5.1.4.65253.30000018073119211097100004213_2_512_512_\Osteo_Sarco_1.png","RPT")</f>
        <v>RPT</v>
      </c>
      <c r="G2154" s="3">
        <v>154</v>
      </c>
      <c r="H2154" s="3"/>
    </row>
    <row r="2155" spans="1:8" x14ac:dyDescent="0.3">
      <c r="A2155" s="2">
        <v>6741744</v>
      </c>
      <c r="B2155" s="2">
        <v>34</v>
      </c>
      <c r="C2155" s="2" t="s">
        <v>5</v>
      </c>
      <c r="D2155" s="2">
        <v>100</v>
      </c>
      <c r="E2155" s="2"/>
      <c r="F2155" s="4" t="str">
        <f>HYPERLINK("./Results/DLO\20180801_1.3.12.2.1107.5.1.4.65253.30000018073119211097100004387_3_512_512_\Osteo_Sarco_1.png","RPT")</f>
        <v>RPT</v>
      </c>
      <c r="G2155" s="3">
        <v>154</v>
      </c>
      <c r="H2155" s="3"/>
    </row>
    <row r="2156" spans="1:8" x14ac:dyDescent="0.3">
      <c r="A2156" s="2">
        <v>6741745</v>
      </c>
      <c r="B2156" s="2">
        <v>56</v>
      </c>
      <c r="C2156" s="2" t="s">
        <v>5</v>
      </c>
      <c r="D2156" s="2">
        <v>140</v>
      </c>
      <c r="E2156" s="2"/>
      <c r="F2156" s="4" t="str">
        <f>HYPERLINK("./Results/DLO\20191201_1.2.840.113619.2.416.214452978048040677217071101130898619866_302_512_512_\Osteo_Sarco_1.png","RPT")</f>
        <v>RPT</v>
      </c>
      <c r="G2156" s="3">
        <v>167</v>
      </c>
      <c r="H2156" s="3"/>
    </row>
    <row r="2157" spans="1:8" x14ac:dyDescent="0.3">
      <c r="A2157" s="2">
        <v>6741745</v>
      </c>
      <c r="B2157" s="2">
        <v>56</v>
      </c>
      <c r="C2157" s="2" t="s">
        <v>5</v>
      </c>
      <c r="D2157" s="2">
        <v>140</v>
      </c>
      <c r="E2157" s="2"/>
      <c r="F2157" s="4" t="str">
        <f>HYPERLINK("./Results/DLO\20191201_1.2.840.113619.2.416.315472875290737690763975034551827258693_305_512_512_\Osteo_Sarco_1.png","RPT")</f>
        <v>RPT</v>
      </c>
      <c r="G2157" s="3">
        <v>166</v>
      </c>
      <c r="H2157" s="3"/>
    </row>
    <row r="2158" spans="1:8" x14ac:dyDescent="0.3">
      <c r="A2158" s="2">
        <v>6741745</v>
      </c>
      <c r="B2158" s="2">
        <v>56</v>
      </c>
      <c r="C2158" s="2" t="s">
        <v>5</v>
      </c>
      <c r="D2158" s="2">
        <v>120</v>
      </c>
      <c r="E2158" s="2"/>
      <c r="F2158" s="4" t="str">
        <f>HYPERLINK("./Results/DLO\20191201_1.2.840.113619.2.416.54468835163668605090442531491604785882_2_512_512_\Osteo_Sarco_1.png","RPT")</f>
        <v>RPT</v>
      </c>
      <c r="G2158" s="3">
        <v>165</v>
      </c>
      <c r="H2158" s="3"/>
    </row>
    <row r="2159" spans="1:8" x14ac:dyDescent="0.3">
      <c r="A2159" s="2">
        <v>6741866</v>
      </c>
      <c r="B2159" s="2">
        <v>54</v>
      </c>
      <c r="C2159" s="2" t="s">
        <v>6</v>
      </c>
      <c r="D2159" s="2">
        <v>100</v>
      </c>
      <c r="E2159" s="2"/>
      <c r="F2159" s="4" t="str">
        <f>HYPERLINK("./Results/DLO\20180501_1.3.46.670589.33.1.63662840626281522400001.5255627566895740651_201_512_512_\Osteo_Sarco_1.png","RPT")</f>
        <v>RPT</v>
      </c>
      <c r="G2159" s="3">
        <v>87</v>
      </c>
      <c r="H2159" s="3"/>
    </row>
    <row r="2160" spans="1:8" x14ac:dyDescent="0.3">
      <c r="A2160" s="2">
        <v>6741876</v>
      </c>
      <c r="B2160" s="2">
        <v>56</v>
      </c>
      <c r="C2160" s="2" t="s">
        <v>5</v>
      </c>
      <c r="D2160" s="2">
        <v>100</v>
      </c>
      <c r="E2160" s="2"/>
      <c r="F2160" s="4" t="str">
        <f>HYPERLINK("./Results/DLO\20180501_1.3.46.670589.33.1.63660935681735553000001.5467041013734259897_201_512_512_\Osteo_Sarco_1.png","RPT")</f>
        <v>RPT</v>
      </c>
      <c r="G2160" s="3">
        <v>177</v>
      </c>
      <c r="H2160" s="3"/>
    </row>
    <row r="2161" spans="1:8" x14ac:dyDescent="0.3">
      <c r="A2161" s="2">
        <v>6741876</v>
      </c>
      <c r="B2161" s="2">
        <v>56</v>
      </c>
      <c r="C2161" s="2" t="s">
        <v>5</v>
      </c>
      <c r="D2161" s="2">
        <v>100</v>
      </c>
      <c r="E2161" s="2"/>
      <c r="F2161" s="4" t="str">
        <f>HYPERLINK("./Results/DLO\20180501_1.3.46.670589.33.1.63660935816467259200001.5588598707880599285_501_512_512_\Osteo_Sarco_1.png","RPT")</f>
        <v>RPT</v>
      </c>
      <c r="G2161" s="3">
        <v>177</v>
      </c>
      <c r="H2161" s="3"/>
    </row>
    <row r="2162" spans="1:8" x14ac:dyDescent="0.3">
      <c r="A2162" s="2">
        <v>6741876</v>
      </c>
      <c r="B2162" s="2">
        <v>56</v>
      </c>
      <c r="C2162" s="2" t="s">
        <v>5</v>
      </c>
      <c r="D2162" s="2">
        <v>100</v>
      </c>
      <c r="E2162" s="2"/>
      <c r="F2162" s="4" t="str">
        <f>HYPERLINK("./Results/DLO\20180501_1.3.46.670589.33.1.63660935959169421300001.5127451723849345364_801_512_512_\Osteo_Sarco_1.png","RPT")</f>
        <v>RPT</v>
      </c>
      <c r="G2162" s="3">
        <v>177</v>
      </c>
      <c r="H2162" s="3"/>
    </row>
    <row r="2163" spans="1:8" x14ac:dyDescent="0.3">
      <c r="A2163" s="2">
        <v>6741876</v>
      </c>
      <c r="B2163" s="2">
        <v>56</v>
      </c>
      <c r="C2163" s="2" t="s">
        <v>5</v>
      </c>
      <c r="D2163" s="2">
        <v>100</v>
      </c>
      <c r="E2163" s="2"/>
      <c r="F2163" s="4" t="str">
        <f>HYPERLINK("./Results/DLO\20180501_1.3.46.670589.33.1.63660935881517979900001.4917050589533728199_601_512_512_\Osteo_Sarco_1.png","RPT")</f>
        <v>RPT</v>
      </c>
      <c r="G2163" s="3">
        <v>175</v>
      </c>
      <c r="H2163" s="3"/>
    </row>
    <row r="2164" spans="1:8" x14ac:dyDescent="0.3">
      <c r="A2164" s="2">
        <v>6741952</v>
      </c>
      <c r="B2164" s="2">
        <v>28</v>
      </c>
      <c r="C2164" s="2" t="s">
        <v>6</v>
      </c>
      <c r="D2164" s="2">
        <v>120</v>
      </c>
      <c r="E2164" s="2"/>
      <c r="F2164" s="4" t="str">
        <f>HYPERLINK("./Results/DLO\20180801_1.2.840.113619.2.416.263700477882051268378865668259718785592_302_512_512_\Osteo_Sarco_1.png","RPT")</f>
        <v>RPT</v>
      </c>
      <c r="G2164" s="3">
        <v>115</v>
      </c>
      <c r="H2164" s="3"/>
    </row>
    <row r="2165" spans="1:8" x14ac:dyDescent="0.3">
      <c r="A2165" s="2">
        <v>6741952</v>
      </c>
      <c r="B2165" s="2">
        <v>28</v>
      </c>
      <c r="C2165" s="2" t="s">
        <v>6</v>
      </c>
      <c r="D2165" s="2">
        <v>120</v>
      </c>
      <c r="E2165" s="2"/>
      <c r="F2165" s="4" t="str">
        <f>HYPERLINK("./Results/DLO\20180801_1.2.840.113619.2.416.310025787319769109714020850470840341553_301_512_512_\Osteo_Sarco_1.png","RPT")</f>
        <v>RPT</v>
      </c>
      <c r="G2165" s="3">
        <v>113</v>
      </c>
      <c r="H2165" s="3"/>
    </row>
    <row r="2166" spans="1:8" x14ac:dyDescent="0.3">
      <c r="A2166" s="2">
        <v>6741952</v>
      </c>
      <c r="B2166" s="2">
        <v>28</v>
      </c>
      <c r="C2166" s="2" t="s">
        <v>6</v>
      </c>
      <c r="D2166" s="2">
        <v>120</v>
      </c>
      <c r="E2166" s="2"/>
      <c r="F2166" s="4" t="str">
        <f>HYPERLINK("./Results/DLO\20180801_1.2.840.113619.2.416.164972795226835868262512784420613430678_2_512_512_\Osteo_Sarco_1.png","RPT")</f>
        <v>RPT</v>
      </c>
      <c r="G2166" s="3">
        <v>112</v>
      </c>
      <c r="H2166" s="3"/>
    </row>
    <row r="2167" spans="1:8" x14ac:dyDescent="0.3">
      <c r="A2167" s="2">
        <v>6741957</v>
      </c>
      <c r="B2167" s="2">
        <v>44</v>
      </c>
      <c r="C2167" s="2" t="s">
        <v>5</v>
      </c>
      <c r="D2167" s="2">
        <v>100</v>
      </c>
      <c r="E2167" s="2"/>
      <c r="F2167" s="4" t="str">
        <f>HYPERLINK("./Results/DLO\20200401_1.3.46.670589.33.1.63723753023849954300001.4901897395460907374_201_512_512_\Osteo_Sarco_1.png","RPT")</f>
        <v>RPT</v>
      </c>
      <c r="G2167" s="3">
        <v>162</v>
      </c>
      <c r="H2167" s="3"/>
    </row>
    <row r="2168" spans="1:8" x14ac:dyDescent="0.3">
      <c r="A2168" s="2">
        <v>6742059</v>
      </c>
      <c r="B2168" s="2">
        <v>54</v>
      </c>
      <c r="C2168" s="2" t="s">
        <v>5</v>
      </c>
      <c r="D2168" s="2">
        <v>100</v>
      </c>
      <c r="E2168" s="2"/>
      <c r="F2168" s="4" t="str">
        <f>HYPERLINK("./Results/DLO\20180301_1.3.46.670589.33.1.63657218385750598300001.5658909053748928892_201_512_512_\Osteo_Sarco_1.png","RPT")</f>
        <v>RPT</v>
      </c>
      <c r="G2168" s="3">
        <v>157</v>
      </c>
      <c r="H2168" s="3"/>
    </row>
    <row r="2169" spans="1:8" x14ac:dyDescent="0.3">
      <c r="A2169" s="2">
        <v>6742059</v>
      </c>
      <c r="B2169" s="2">
        <v>54</v>
      </c>
      <c r="C2169" s="2" t="s">
        <v>5</v>
      </c>
      <c r="D2169" s="2">
        <v>100</v>
      </c>
      <c r="E2169" s="2"/>
      <c r="F2169" s="4" t="str">
        <f>HYPERLINK("./Results/DLO\20180301_1.3.46.670589.33.1.63657218493694772400001.4736879333294639714_301_512_512_\Osteo_Sarco_1.png","RPT")</f>
        <v>RPT</v>
      </c>
      <c r="G2169" s="3">
        <v>157</v>
      </c>
      <c r="H2169" s="3"/>
    </row>
    <row r="2170" spans="1:8" x14ac:dyDescent="0.3">
      <c r="A2170" s="2">
        <v>6742074</v>
      </c>
      <c r="B2170" s="2">
        <v>60</v>
      </c>
      <c r="C2170" s="2" t="s">
        <v>6</v>
      </c>
      <c r="D2170" s="2">
        <v>100</v>
      </c>
      <c r="E2170" s="2"/>
      <c r="F2170" s="4" t="str">
        <f>HYPERLINK("./Results/DLO\20181201_1.2.840.113619.2.94.485650834948.2.9268944.20187751.1_2_512_512_\Osteo_Sarco_1.png","RPT")</f>
        <v>RPT</v>
      </c>
      <c r="G2170" s="3">
        <v>111</v>
      </c>
      <c r="H2170" s="3"/>
    </row>
    <row r="2171" spans="1:8" x14ac:dyDescent="0.3">
      <c r="A2171" s="2">
        <v>6742078</v>
      </c>
      <c r="B2171" s="2">
        <v>59</v>
      </c>
      <c r="C2171" s="2" t="s">
        <v>5</v>
      </c>
      <c r="D2171" s="2">
        <v>140</v>
      </c>
      <c r="E2171" s="2"/>
      <c r="F2171" s="4" t="str">
        <f>HYPERLINK("./Results/DLO\20181101_1.2.840.113619.2.416.334705977147309682936590554419413498113_305_512_512_\Osteo_Sarco_1.png","RPT")</f>
        <v>RPT</v>
      </c>
      <c r="G2171" s="3">
        <v>169</v>
      </c>
      <c r="H2171" s="3"/>
    </row>
    <row r="2172" spans="1:8" x14ac:dyDescent="0.3">
      <c r="A2172" s="2">
        <v>6742078</v>
      </c>
      <c r="B2172" s="2">
        <v>59</v>
      </c>
      <c r="C2172" s="2" t="s">
        <v>5</v>
      </c>
      <c r="D2172" s="2">
        <v>140</v>
      </c>
      <c r="E2172" s="2"/>
      <c r="F2172" s="4" t="str">
        <f>HYPERLINK("./Results/DLO\20181101_1.2.840.113619.2.416.333343639880602084921913348308279758003_308_512_512_\Osteo_Sarco_1.png","RPT")</f>
        <v>RPT</v>
      </c>
      <c r="G2172" s="3">
        <v>168</v>
      </c>
      <c r="H2172" s="3"/>
    </row>
    <row r="2173" spans="1:8" x14ac:dyDescent="0.3">
      <c r="A2173" s="2">
        <v>6742078</v>
      </c>
      <c r="B2173" s="2">
        <v>59</v>
      </c>
      <c r="C2173" s="2" t="s">
        <v>5</v>
      </c>
      <c r="D2173" s="2">
        <v>140</v>
      </c>
      <c r="E2173" s="2"/>
      <c r="F2173" s="4" t="str">
        <f>HYPERLINK("./Results/DLO\20181101_1.2.840.113619.2.416.238045932455010561283937289434862103615_301_512_512_\Osteo_Sarco_1.png","RPT")</f>
        <v>RPT</v>
      </c>
      <c r="G2173" s="3">
        <v>160</v>
      </c>
      <c r="H2173" s="3"/>
    </row>
    <row r="2174" spans="1:8" x14ac:dyDescent="0.3">
      <c r="A2174" s="2">
        <v>6742078</v>
      </c>
      <c r="B2174" s="2">
        <v>59</v>
      </c>
      <c r="C2174" s="2" t="s">
        <v>5</v>
      </c>
      <c r="D2174" s="2">
        <v>140</v>
      </c>
      <c r="E2174" s="2"/>
      <c r="F2174" s="4" t="str">
        <f>HYPERLINK("./Results/DLO\20181101_1.2.840.113619.2.416.151159899185008514256992879497273471649_303_512_512_\Osteo_Sarco_1.png","RPT")</f>
        <v>RPT</v>
      </c>
      <c r="G2174" s="3">
        <v>156</v>
      </c>
      <c r="H2174" s="3"/>
    </row>
    <row r="2175" spans="1:8" x14ac:dyDescent="0.3">
      <c r="A2175" s="2">
        <v>6742113</v>
      </c>
      <c r="B2175" s="2">
        <v>77</v>
      </c>
      <c r="C2175" s="2" t="s">
        <v>5</v>
      </c>
      <c r="D2175" s="2">
        <v>100</v>
      </c>
      <c r="E2175" s="2"/>
      <c r="F2175" s="4" t="str">
        <f>HYPERLINK("./Results/DLO\20180301_1.3.12.2.1107.5.1.4.65253.30000018030722054601600002033_3_512_512_\Osteo_Sarco_1.png","RPT")</f>
        <v>RPT</v>
      </c>
      <c r="G2175" s="3">
        <v>122</v>
      </c>
      <c r="H2175" s="3"/>
    </row>
    <row r="2176" spans="1:8" x14ac:dyDescent="0.3">
      <c r="A2176" s="2">
        <v>6742113</v>
      </c>
      <c r="B2176" s="2">
        <v>77</v>
      </c>
      <c r="C2176" s="2" t="s">
        <v>5</v>
      </c>
      <c r="D2176" s="2">
        <v>100</v>
      </c>
      <c r="E2176" s="2"/>
      <c r="F2176" s="4" t="str">
        <f>HYPERLINK("./Results/DLO\20180301_1.3.12.2.1107.5.1.4.65253.30000018030722054601600001912_2_512_512_\Osteo_Sarco_1.png","RPT")</f>
        <v>RPT</v>
      </c>
      <c r="G2176" s="3">
        <v>121</v>
      </c>
      <c r="H2176" s="3"/>
    </row>
    <row r="2177" spans="1:8" x14ac:dyDescent="0.3">
      <c r="A2177" s="2">
        <v>6742113</v>
      </c>
      <c r="B2177" s="2">
        <v>79</v>
      </c>
      <c r="C2177" s="2" t="s">
        <v>5</v>
      </c>
      <c r="D2177" s="2">
        <v>100</v>
      </c>
      <c r="E2177" s="2"/>
      <c r="F2177" s="4" t="str">
        <f>HYPERLINK("./Results/DLO\20200401_1.3.12.2.1107.5.1.4.54310.30000020042222003634300021923_8_512_512_\Osteo_Sarco_1.png","RPT")</f>
        <v>RPT</v>
      </c>
      <c r="G2177" s="3">
        <v>114</v>
      </c>
      <c r="H2177" s="3"/>
    </row>
    <row r="2178" spans="1:8" x14ac:dyDescent="0.3">
      <c r="A2178" s="2">
        <v>6742113</v>
      </c>
      <c r="B2178" s="2">
        <v>79</v>
      </c>
      <c r="C2178" s="2" t="s">
        <v>5</v>
      </c>
      <c r="D2178" s="2">
        <v>100</v>
      </c>
      <c r="E2178" s="2"/>
      <c r="F2178" s="4" t="str">
        <f>HYPERLINK("./Results/DLO\20200401_1.3.12.2.1107.5.1.4.54310.30000020042222120845300008325_2_512_512_\Osteo_Sarco_1.png","RPT")</f>
        <v>RPT</v>
      </c>
      <c r="G2178" s="3">
        <v>113</v>
      </c>
      <c r="H2178" s="3"/>
    </row>
    <row r="2179" spans="1:8" x14ac:dyDescent="0.3">
      <c r="A2179" s="2">
        <v>6742129</v>
      </c>
      <c r="B2179" s="2">
        <v>72</v>
      </c>
      <c r="C2179" s="2" t="s">
        <v>5</v>
      </c>
      <c r="D2179" s="2">
        <v>100</v>
      </c>
      <c r="E2179" s="2"/>
      <c r="F2179" s="4" t="str">
        <f>HYPERLINK("./Results/DLO\20200601_1.3.12.2.1107.5.1.4.54310.30000020053121250062500016774_8_512_512_\Osteo_Sarco_1.png","RPT")</f>
        <v>RPT</v>
      </c>
      <c r="G2179" s="3">
        <v>144</v>
      </c>
      <c r="H2179" s="3"/>
    </row>
    <row r="2180" spans="1:8" x14ac:dyDescent="0.3">
      <c r="A2180" s="2">
        <v>6742129</v>
      </c>
      <c r="B2180" s="2">
        <v>72</v>
      </c>
      <c r="C2180" s="2" t="s">
        <v>5</v>
      </c>
      <c r="D2180" s="2">
        <v>100</v>
      </c>
      <c r="E2180" s="2"/>
      <c r="F2180" s="4" t="str">
        <f>HYPERLINK("./Results/DLO\20200601_1.3.12.2.1107.5.1.4.54310.30000020053121250062500015515_2_512_512_\Osteo_Sarco_1.png","RPT")</f>
        <v>RPT</v>
      </c>
      <c r="G2180" s="3">
        <v>143</v>
      </c>
      <c r="H2180" s="3"/>
    </row>
    <row r="2181" spans="1:8" x14ac:dyDescent="0.3">
      <c r="A2181" s="2">
        <v>6742150</v>
      </c>
      <c r="B2181" s="2">
        <v>62</v>
      </c>
      <c r="C2181" s="2" t="s">
        <v>6</v>
      </c>
      <c r="D2181" s="2">
        <v>100</v>
      </c>
      <c r="E2181" s="2"/>
      <c r="F2181" s="4" t="str">
        <f>HYPERLINK("./Results/DLO\20180301_1.3.46.670589.33.1.63657393578319040100001.4896804738825511358_201_512_512_\Osteo_Sarco_1.png","RPT")</f>
        <v>RPT</v>
      </c>
      <c r="G2181" s="3">
        <v>97</v>
      </c>
      <c r="H2181" s="3"/>
    </row>
    <row r="2182" spans="1:8" x14ac:dyDescent="0.3">
      <c r="A2182" s="2">
        <v>6742155</v>
      </c>
      <c r="B2182" s="2">
        <v>54</v>
      </c>
      <c r="C2182" s="2" t="s">
        <v>6</v>
      </c>
      <c r="D2182" s="2">
        <v>100</v>
      </c>
      <c r="E2182" s="2"/>
      <c r="F2182" s="4" t="str">
        <f>HYPERLINK("./Results/DLO\20190201_1.3.46.670589.33.1.63685648008872267900001.5449497261144106724_201_512_512_\Osteo_Sarco_1.png","RPT")</f>
        <v>RPT</v>
      </c>
      <c r="G2182" s="3">
        <v>125</v>
      </c>
      <c r="H2182" s="3"/>
    </row>
    <row r="2183" spans="1:8" x14ac:dyDescent="0.3">
      <c r="A2183" s="2">
        <v>6742172</v>
      </c>
      <c r="B2183" s="2">
        <v>46</v>
      </c>
      <c r="C2183" s="2" t="s">
        <v>6</v>
      </c>
      <c r="D2183" s="2">
        <v>100</v>
      </c>
      <c r="E2183" s="2"/>
      <c r="F2183" s="4" t="str">
        <f>HYPERLINK("./Results/DLO\20180501_1.3.12.2.1107.5.1.4.54310.30000018050123303617100010399_2_512_512_\Osteo_Sarco_1.png","RPT")</f>
        <v>RPT</v>
      </c>
      <c r="G2183" s="3">
        <v>96</v>
      </c>
      <c r="H2183" s="3"/>
    </row>
    <row r="2184" spans="1:8" x14ac:dyDescent="0.3">
      <c r="A2184" s="2">
        <v>6742206</v>
      </c>
      <c r="B2184" s="2">
        <v>66</v>
      </c>
      <c r="C2184" s="2" t="s">
        <v>5</v>
      </c>
      <c r="D2184" s="2">
        <v>100</v>
      </c>
      <c r="E2184" s="2"/>
      <c r="F2184" s="4" t="str">
        <f>HYPERLINK("./Results/DLO\20180201_1.3.12.2.1107.5.1.4.65253.30000018020121234697400000815_2_512_512_\Osteo_Sarco_1.png","RPT")</f>
        <v>RPT</v>
      </c>
      <c r="G2184" s="3">
        <v>147</v>
      </c>
      <c r="H2184" s="3"/>
    </row>
    <row r="2185" spans="1:8" x14ac:dyDescent="0.3">
      <c r="A2185" s="2">
        <v>6742326</v>
      </c>
      <c r="B2185" s="2">
        <v>63</v>
      </c>
      <c r="C2185" s="2" t="s">
        <v>5</v>
      </c>
      <c r="D2185" s="2">
        <v>100</v>
      </c>
      <c r="E2185" s="2"/>
      <c r="F2185" s="4" t="str">
        <f>HYPERLINK("./Results/DLO\20190201_1.3.46.670589.33.1.63686424446872459900001.5444630602908408236_601_512_512_\Osteo_Sarco_1.png","RPT")</f>
        <v>RPT</v>
      </c>
      <c r="G2185" s="3">
        <v>137</v>
      </c>
      <c r="H2185" s="3"/>
    </row>
    <row r="2186" spans="1:8" x14ac:dyDescent="0.3">
      <c r="A2186" s="2">
        <v>6742555</v>
      </c>
      <c r="B2186" s="2">
        <v>57</v>
      </c>
      <c r="C2186" s="2" t="s">
        <v>5</v>
      </c>
      <c r="D2186" s="2">
        <v>100</v>
      </c>
      <c r="E2186" s="2"/>
      <c r="F2186" s="4" t="str">
        <f>HYPERLINK("./Results/DLO\20180201_1.3.46.670589.33.1.63654202878107488900001.5011709875376533780_601_512_512_\Osteo_Sarco_1.png","RPT")</f>
        <v>RPT</v>
      </c>
      <c r="G2186" s="3">
        <v>150</v>
      </c>
      <c r="H2186" s="3"/>
    </row>
    <row r="2187" spans="1:8" x14ac:dyDescent="0.3">
      <c r="A2187" s="2">
        <v>6742573</v>
      </c>
      <c r="B2187" s="2">
        <v>61</v>
      </c>
      <c r="C2187" s="2" t="s">
        <v>5</v>
      </c>
      <c r="D2187" s="2">
        <v>100</v>
      </c>
      <c r="E2187" s="2"/>
      <c r="F2187" s="4" t="str">
        <f>HYPERLINK("./Results/DLO\20180101_1.2.840.113619.2.416.154209204012010057937145983859054721801_305_512_512_\Osteo_Sarco_1.png","RPT")</f>
        <v>RPT</v>
      </c>
      <c r="G2187" s="3">
        <v>176</v>
      </c>
      <c r="H2187" s="3"/>
    </row>
    <row r="2188" spans="1:8" x14ac:dyDescent="0.3">
      <c r="A2188" s="2">
        <v>6742573</v>
      </c>
      <c r="B2188" s="2">
        <v>61</v>
      </c>
      <c r="C2188" s="2" t="s">
        <v>5</v>
      </c>
      <c r="D2188" s="2">
        <v>100</v>
      </c>
      <c r="E2188" s="2"/>
      <c r="F2188" s="4" t="str">
        <f>HYPERLINK("./Results/DLO\20180101_1.2.840.113619.2.416.79871481132757910850045535133516403858_302_512_512_\Osteo_Sarco_1.png","RPT")</f>
        <v>RPT</v>
      </c>
      <c r="G2188" s="3">
        <v>176</v>
      </c>
      <c r="H2188" s="3"/>
    </row>
    <row r="2189" spans="1:8" x14ac:dyDescent="0.3">
      <c r="A2189" s="2">
        <v>6742573</v>
      </c>
      <c r="B2189" s="2">
        <v>61</v>
      </c>
      <c r="C2189" s="2" t="s">
        <v>5</v>
      </c>
      <c r="D2189" s="2">
        <v>120</v>
      </c>
      <c r="E2189" s="2"/>
      <c r="F2189" s="4" t="str">
        <f>HYPERLINK("./Results/DLO\20180101_1.2.840.113619.2.416.287138387787612693167447678940493599872_2_512_512_\Osteo_Sarco_1.png","RPT")</f>
        <v>RPT</v>
      </c>
      <c r="G2189" s="3">
        <v>175</v>
      </c>
      <c r="H2189" s="3"/>
    </row>
    <row r="2190" spans="1:8" x14ac:dyDescent="0.3">
      <c r="A2190" s="2">
        <v>6742573</v>
      </c>
      <c r="B2190" s="2">
        <v>61</v>
      </c>
      <c r="C2190" s="2" t="s">
        <v>5</v>
      </c>
      <c r="D2190" s="2">
        <v>100</v>
      </c>
      <c r="E2190" s="2"/>
      <c r="F2190" s="4" t="str">
        <f>HYPERLINK("./Results/DLO\20180101_1.2.840.113619.2.416.257234994763541664194064799983206176130_301_512_512_\Osteo_Sarco_1.png","RPT")</f>
        <v>RPT</v>
      </c>
      <c r="G2190" s="3">
        <v>173</v>
      </c>
      <c r="H2190" s="3"/>
    </row>
    <row r="2191" spans="1:8" x14ac:dyDescent="0.3">
      <c r="A2191" s="2">
        <v>6742595</v>
      </c>
      <c r="B2191" s="2">
        <v>39</v>
      </c>
      <c r="C2191" s="2" t="s">
        <v>6</v>
      </c>
      <c r="D2191" s="2">
        <v>100</v>
      </c>
      <c r="E2191" s="2"/>
      <c r="F2191" s="4" t="str">
        <f>HYPERLINK("./Results/DLO\20190301_1.3.46.670589.33.1.63688498286535111200001.5671789091801374539_601_512_512_\Osteo_Sarco_1.png","RPT")</f>
        <v>RPT</v>
      </c>
      <c r="G2191" s="3">
        <v>121</v>
      </c>
      <c r="H2191" s="3"/>
    </row>
    <row r="2192" spans="1:8" x14ac:dyDescent="0.3">
      <c r="A2192" s="2">
        <v>6742601</v>
      </c>
      <c r="B2192" s="2">
        <v>52</v>
      </c>
      <c r="C2192" s="2" t="s">
        <v>6</v>
      </c>
      <c r="D2192" s="2">
        <v>100</v>
      </c>
      <c r="E2192" s="2"/>
      <c r="F2192" s="4" t="str">
        <f>HYPERLINK("./Results/DLO\20180301_1.2.840.113619.2.94.485650834948.2.8705639.18800170.1_2_512_512_\Osteo_Sarco_1.png","RPT")</f>
        <v>RPT</v>
      </c>
      <c r="G2192" s="3">
        <v>141</v>
      </c>
      <c r="H2192" s="3"/>
    </row>
    <row r="2193" spans="1:8" x14ac:dyDescent="0.3">
      <c r="A2193" s="2">
        <v>6742658</v>
      </c>
      <c r="B2193" s="2">
        <v>52</v>
      </c>
      <c r="C2193" s="2" t="s">
        <v>5</v>
      </c>
      <c r="D2193" s="2">
        <v>100</v>
      </c>
      <c r="E2193" s="2"/>
      <c r="F2193" s="4" t="str">
        <f>HYPERLINK("./Results/DLO\20190201_1.2.840.113619.2.416.337821620160861049080301292279030855050_304_512_512_\Osteo_Sarco_1.png","RPT")</f>
        <v>RPT</v>
      </c>
      <c r="G2193" s="3">
        <v>123</v>
      </c>
      <c r="H2193" s="3"/>
    </row>
    <row r="2194" spans="1:8" x14ac:dyDescent="0.3">
      <c r="A2194" s="2">
        <v>6742848</v>
      </c>
      <c r="B2194" s="2">
        <v>42</v>
      </c>
      <c r="C2194" s="2" t="s">
        <v>6</v>
      </c>
      <c r="D2194" s="2">
        <v>100</v>
      </c>
      <c r="E2194" s="2"/>
      <c r="F2194" s="4" t="str">
        <f>HYPERLINK("./Results/DLO\20180701_1.2.840.113619.2.94.485650834948.2.8931096.19355413.1_2_512_512_\Osteo_Sarco_1.png","RPT")</f>
        <v>RPT</v>
      </c>
      <c r="G2194" s="3">
        <v>103</v>
      </c>
      <c r="H2194" s="3"/>
    </row>
    <row r="2195" spans="1:8" x14ac:dyDescent="0.3">
      <c r="A2195" s="2">
        <v>6742849</v>
      </c>
      <c r="B2195" s="2">
        <v>40</v>
      </c>
      <c r="C2195" s="2" t="s">
        <v>6</v>
      </c>
      <c r="D2195" s="2">
        <v>100</v>
      </c>
      <c r="E2195" s="2"/>
      <c r="F2195" s="4" t="str">
        <f>HYPERLINK("./Results/DLO\20181201_1.3.12.2.1107.5.1.4.54310.30000018120323385423400010794_2_512_512_\Osteo_Sarco_1.png","RPT")</f>
        <v>RPT</v>
      </c>
      <c r="G2195" s="3">
        <v>95</v>
      </c>
      <c r="H2195" s="3"/>
    </row>
    <row r="2196" spans="1:8" x14ac:dyDescent="0.3">
      <c r="A2196" s="2">
        <v>6742894</v>
      </c>
      <c r="B2196" s="2">
        <v>49</v>
      </c>
      <c r="C2196" s="2" t="s">
        <v>6</v>
      </c>
      <c r="D2196" s="2">
        <v>100</v>
      </c>
      <c r="E2196" s="2"/>
      <c r="F2196" s="4" t="str">
        <f>HYPERLINK("./Results/DLO\20180201_1.3.12.2.1107.5.1.4.65253.30000018022018502937900032810_2_512_512_\Osteo_Sarco_1.png","RPT")</f>
        <v>RPT</v>
      </c>
      <c r="G2196" s="3">
        <v>110</v>
      </c>
      <c r="H2196" s="3"/>
    </row>
    <row r="2197" spans="1:8" x14ac:dyDescent="0.3">
      <c r="A2197" s="2">
        <v>6742941</v>
      </c>
      <c r="B2197" s="2">
        <v>48</v>
      </c>
      <c r="C2197" s="2" t="s">
        <v>6</v>
      </c>
      <c r="D2197" s="2">
        <v>100</v>
      </c>
      <c r="E2197" s="2"/>
      <c r="F2197" s="4" t="str">
        <f>HYPERLINK("./Results/DLO\20180101_1.2.840.113619.2.311.327987761087770746287021865672491319185_304_512_512_\Osteo_Sarco_1.png","RPT")</f>
        <v>RPT</v>
      </c>
      <c r="G2197" s="3">
        <v>115</v>
      </c>
      <c r="H2197" s="3"/>
    </row>
    <row r="2198" spans="1:8" x14ac:dyDescent="0.3">
      <c r="A2198" s="2">
        <v>6743110</v>
      </c>
      <c r="B2198" s="2">
        <v>53</v>
      </c>
      <c r="C2198" s="2" t="s">
        <v>5</v>
      </c>
      <c r="D2198" s="2">
        <v>120</v>
      </c>
      <c r="E2198" s="2"/>
      <c r="F2198" s="4" t="str">
        <f>HYPERLINK("./Results/DLO\20180301_1.3.12.2.1107.5.1.4.54310.30000018030623290892100016348_7_512_512_\Osteo_Sarco_1.png","RPT")</f>
        <v>RPT</v>
      </c>
      <c r="G2198" s="3">
        <v>171</v>
      </c>
      <c r="H2198" s="3"/>
    </row>
    <row r="2199" spans="1:8" x14ac:dyDescent="0.3">
      <c r="A2199" s="2">
        <v>6743110</v>
      </c>
      <c r="B2199" s="2">
        <v>53</v>
      </c>
      <c r="C2199" s="2" t="s">
        <v>5</v>
      </c>
      <c r="D2199" s="2">
        <v>120</v>
      </c>
      <c r="E2199" s="2"/>
      <c r="F2199" s="4" t="str">
        <f>HYPERLINK("./Results/DLO\20180301_1.3.12.2.1107.5.1.4.54310.30000018030623290892100015947_3_512_512_\Osteo_Sarco_1.png","RPT")</f>
        <v>RPT</v>
      </c>
      <c r="G2199" s="3">
        <v>169</v>
      </c>
      <c r="H2199" s="3"/>
    </row>
    <row r="2200" spans="1:8" x14ac:dyDescent="0.3">
      <c r="A2200" s="2">
        <v>6743110</v>
      </c>
      <c r="B2200" s="2">
        <v>53</v>
      </c>
      <c r="C2200" s="2" t="s">
        <v>5</v>
      </c>
      <c r="D2200" s="2">
        <v>120</v>
      </c>
      <c r="E2200" s="2"/>
      <c r="F2200" s="4" t="str">
        <f>HYPERLINK("./Results/DLO\20180301_1.3.12.2.1107.5.1.4.54310.30000018030623290892100016120_5_512_512_\Osteo_Sarco_1.png","RPT")</f>
        <v>RPT</v>
      </c>
      <c r="G2200" s="3">
        <v>168</v>
      </c>
      <c r="H2200" s="3"/>
    </row>
    <row r="2201" spans="1:8" x14ac:dyDescent="0.3">
      <c r="A2201" s="2">
        <v>6743222</v>
      </c>
      <c r="B2201" s="2">
        <v>61</v>
      </c>
      <c r="C2201" s="2" t="s">
        <v>5</v>
      </c>
      <c r="D2201" s="2">
        <v>100</v>
      </c>
      <c r="E2201" s="2"/>
      <c r="F2201" s="4" t="str">
        <f>HYPERLINK("./Results/DLO\20180301_1.3.12.2.1107.5.1.4.65253.30000018032521013524600049854_6_512_512_\Osteo_Sarco_1.png","RPT")</f>
        <v>RPT</v>
      </c>
      <c r="G2201" s="3">
        <v>157</v>
      </c>
      <c r="H2201" s="3"/>
    </row>
    <row r="2202" spans="1:8" x14ac:dyDescent="0.3">
      <c r="A2202" s="2">
        <v>6743222</v>
      </c>
      <c r="B2202" s="2">
        <v>61</v>
      </c>
      <c r="C2202" s="2" t="s">
        <v>5</v>
      </c>
      <c r="D2202" s="2">
        <v>100</v>
      </c>
      <c r="E2202" s="2"/>
      <c r="F2202" s="4" t="str">
        <f>HYPERLINK("./Results/DLO\20180301_1.3.12.2.1107.5.1.4.65253.30000018032521013524600049361_4_512_512_\Osteo_Sarco_1.png","RPT")</f>
        <v>RPT</v>
      </c>
      <c r="G2202" s="3">
        <v>142</v>
      </c>
      <c r="H2202" s="3"/>
    </row>
    <row r="2203" spans="1:8" x14ac:dyDescent="0.3">
      <c r="A2203" s="2">
        <v>6743331</v>
      </c>
      <c r="B2203" s="2">
        <v>23</v>
      </c>
      <c r="C2203" s="2" t="s">
        <v>6</v>
      </c>
      <c r="D2203" s="2">
        <v>100</v>
      </c>
      <c r="E2203" s="2"/>
      <c r="F2203" s="4" t="str">
        <f>HYPERLINK("./Results/DLO\20190301_1.3.46.670589.33.1.63688606969581114700001.4977579121112012312_201_512_512_\Osteo_Sarco_1.png","RPT")</f>
        <v>RPT</v>
      </c>
      <c r="G2203" s="3">
        <v>96</v>
      </c>
      <c r="H2203" s="3"/>
    </row>
    <row r="2204" spans="1:8" x14ac:dyDescent="0.3">
      <c r="A2204" s="2">
        <v>6743363</v>
      </c>
      <c r="B2204" s="2">
        <v>61</v>
      </c>
      <c r="C2204" s="2" t="s">
        <v>5</v>
      </c>
      <c r="D2204" s="2">
        <v>100</v>
      </c>
      <c r="E2204" s="2"/>
      <c r="F2204" s="4" t="str">
        <f>HYPERLINK("./Results/DLO\20191101_1.3.12.2.1107.5.1.4.54310.30000019111922145526500031361_2_512_512_\Osteo_Sarco_1.png","RPT")</f>
        <v>RPT</v>
      </c>
      <c r="G2204" s="3">
        <v>166</v>
      </c>
      <c r="H2204" s="3"/>
    </row>
    <row r="2205" spans="1:8" x14ac:dyDescent="0.3">
      <c r="A2205" s="2">
        <v>6743388</v>
      </c>
      <c r="B2205" s="2">
        <v>59</v>
      </c>
      <c r="C2205" s="2" t="s">
        <v>5</v>
      </c>
      <c r="D2205" s="2">
        <v>100</v>
      </c>
      <c r="E2205" s="2"/>
      <c r="F2205" s="4" t="str">
        <f>HYPERLINK("./Results/DLO\20180401_1.3.46.670589.33.1.63659814021129912800001.5216854516525449480_601_512_512_\Osteo_Sarco_1.png","RPT")</f>
        <v>RPT</v>
      </c>
      <c r="G2205" s="3">
        <v>198</v>
      </c>
      <c r="H2205" s="3"/>
    </row>
    <row r="2206" spans="1:8" x14ac:dyDescent="0.3">
      <c r="A2206" s="2">
        <v>6744188</v>
      </c>
      <c r="B2206" s="2">
        <v>58</v>
      </c>
      <c r="C2206" s="2" t="s">
        <v>5</v>
      </c>
      <c r="D2206" s="2">
        <v>100</v>
      </c>
      <c r="E2206" s="2"/>
      <c r="F2206" s="4" t="str">
        <f>HYPERLINK("./Results/DLO\20191101_1.3.46.670589.33.1.63709839613928418900001.4910478049676773131_201_512_512_\Osteo_Sarco_1.png","RPT")</f>
        <v>RPT</v>
      </c>
      <c r="G2206" s="3">
        <v>174</v>
      </c>
      <c r="H2206" s="3"/>
    </row>
    <row r="2207" spans="1:8" x14ac:dyDescent="0.3">
      <c r="A2207" s="2">
        <v>8244938</v>
      </c>
      <c r="B2207" s="2">
        <v>76</v>
      </c>
      <c r="C2207" s="2" t="s">
        <v>6</v>
      </c>
      <c r="D2207" s="2">
        <v>100</v>
      </c>
      <c r="E2207" s="2"/>
      <c r="F2207" s="4" t="str">
        <f>HYPERLINK("./Results/DLO\20181201_1.2.840.113619.2.416.62417209705805852455532695858807388859_304_512_512_\Osteo_Sarco_1.png","RPT")</f>
        <v>RPT</v>
      </c>
      <c r="G2207" s="3">
        <v>106</v>
      </c>
      <c r="H2207" s="3"/>
    </row>
    <row r="2208" spans="1:8" x14ac:dyDescent="0.3">
      <c r="A2208" s="2">
        <v>8245063</v>
      </c>
      <c r="B2208" s="2">
        <v>66</v>
      </c>
      <c r="C2208" s="2" t="s">
        <v>5</v>
      </c>
      <c r="D2208" s="2">
        <v>100</v>
      </c>
      <c r="E2208" s="2"/>
      <c r="F2208" s="4" t="str">
        <f>HYPERLINK("./Results/DLO\20181001_1.3.12.2.1107.5.1.4.54310.30000018101100161426500012522_3_512_512_\Osteo_Sarco_1.png","RPT")</f>
        <v>RPT</v>
      </c>
      <c r="G2208" s="3">
        <v>129</v>
      </c>
      <c r="H2208" s="3"/>
    </row>
    <row r="2209" spans="1:8" x14ac:dyDescent="0.3">
      <c r="A2209" s="2">
        <v>8245063</v>
      </c>
      <c r="B2209" s="2">
        <v>66</v>
      </c>
      <c r="C2209" s="2" t="s">
        <v>5</v>
      </c>
      <c r="D2209" s="2">
        <v>100</v>
      </c>
      <c r="E2209" s="2"/>
      <c r="F2209" s="4" t="str">
        <f>HYPERLINK("./Results/DLO\20181001_1.3.12.2.1107.5.1.4.54310.30000018101023215771800040784_2_512_512_\Osteo_Sarco_1.png","RPT")</f>
        <v>RPT</v>
      </c>
      <c r="G2209" s="3">
        <v>124</v>
      </c>
      <c r="H2209" s="3"/>
    </row>
    <row r="2210" spans="1:8" x14ac:dyDescent="0.3">
      <c r="A2210" s="2">
        <v>8246290</v>
      </c>
      <c r="B2210" s="2">
        <v>11</v>
      </c>
      <c r="C2210" s="2" t="s">
        <v>6</v>
      </c>
      <c r="D2210" s="2">
        <v>100</v>
      </c>
      <c r="E2210" s="2"/>
      <c r="F2210" s="4" t="str">
        <f>HYPERLINK("./Results/DLO\20190101_1.3.12.2.1107.5.1.4.65253.30000019013020590609200035848_2_512_512_\Osteo_Sarco_1.png","RPT")</f>
        <v>RPT</v>
      </c>
      <c r="G2210" s="3">
        <v>92</v>
      </c>
      <c r="H2210" s="3"/>
    </row>
    <row r="2211" spans="1:8" x14ac:dyDescent="0.3">
      <c r="A2211" s="2">
        <v>8250141</v>
      </c>
      <c r="B2211" s="2">
        <v>69</v>
      </c>
      <c r="C2211" s="2" t="s">
        <v>6</v>
      </c>
      <c r="D2211" s="2">
        <v>120</v>
      </c>
      <c r="E2211" s="2"/>
      <c r="F2211" s="4" t="str">
        <f>HYPERLINK("./Results/DLO\20180901_1.3.12.2.1107.5.1.4.54310.30000018092723151085900012677_7_512_512_\Osteo_Sarco_1.png","RPT")</f>
        <v>RPT</v>
      </c>
      <c r="G2211" s="3">
        <v>99</v>
      </c>
      <c r="H2211" s="3"/>
    </row>
    <row r="2212" spans="1:8" x14ac:dyDescent="0.3">
      <c r="A2212" s="2">
        <v>8250141</v>
      </c>
      <c r="B2212" s="2">
        <v>69</v>
      </c>
      <c r="C2212" s="2" t="s">
        <v>6</v>
      </c>
      <c r="D2212" s="2">
        <v>120</v>
      </c>
      <c r="E2212" s="2"/>
      <c r="F2212" s="4" t="str">
        <f>HYPERLINK("./Results/DLO\20180901_1.3.12.2.1107.5.1.4.54310.30000018092723151085900012941_9_512_512_\Osteo_Sarco_1.png","RPT")</f>
        <v>RPT</v>
      </c>
      <c r="G2212" s="3">
        <v>99</v>
      </c>
      <c r="H2212" s="3"/>
    </row>
    <row r="2213" spans="1:8" x14ac:dyDescent="0.3">
      <c r="A2213" s="2">
        <v>8250141</v>
      </c>
      <c r="B2213" s="2">
        <v>69</v>
      </c>
      <c r="C2213" s="2" t="s">
        <v>6</v>
      </c>
      <c r="D2213" s="2">
        <v>120</v>
      </c>
      <c r="E2213" s="2"/>
      <c r="F2213" s="4" t="str">
        <f>HYPERLINK("./Results/DLO\20180901_1.3.12.2.1107.5.1.4.54310.30000018092723151085900012337_5_512_512_\Osteo_Sarco_1.png","RPT")</f>
        <v>RPT</v>
      </c>
      <c r="G2213" s="3">
        <v>97</v>
      </c>
      <c r="H2213" s="3"/>
    </row>
    <row r="2214" spans="1:8" x14ac:dyDescent="0.3">
      <c r="A2214" s="2">
        <v>8250141</v>
      </c>
      <c r="B2214" s="2">
        <v>69</v>
      </c>
      <c r="C2214" s="2" t="s">
        <v>6</v>
      </c>
      <c r="D2214" s="2">
        <v>100</v>
      </c>
      <c r="E2214" s="2"/>
      <c r="F2214" s="4" t="str">
        <f>HYPERLINK("./Results/DLO\20180901_1.3.12.2.1107.5.1.4.54310.30000018092723151085900012250_3_512_512_\Osteo_Sarco_1.png","RPT")</f>
        <v>RPT</v>
      </c>
      <c r="G2214" s="3">
        <v>96</v>
      </c>
      <c r="H2214" s="3"/>
    </row>
    <row r="2215" spans="1:8" x14ac:dyDescent="0.3">
      <c r="A2215" s="2">
        <v>8256739</v>
      </c>
      <c r="B2215" s="2">
        <v>55</v>
      </c>
      <c r="C2215" s="2" t="s">
        <v>5</v>
      </c>
      <c r="D2215" s="2">
        <v>100</v>
      </c>
      <c r="E2215" s="2"/>
      <c r="F2215" s="4" t="str">
        <f>HYPERLINK("./Results/DLO\20190101_1.3.46.670589.33.1.63684285668237763100001.5735617401710667298_201_512_512_\Osteo_Sarco_1.png","RPT")</f>
        <v>RPT</v>
      </c>
      <c r="G2215" s="3">
        <v>158</v>
      </c>
      <c r="H2215" s="3"/>
    </row>
    <row r="2216" spans="1:8" x14ac:dyDescent="0.3">
      <c r="A2216" s="2">
        <v>8256739</v>
      </c>
      <c r="B2216" s="2">
        <v>55</v>
      </c>
      <c r="C2216" s="2" t="s">
        <v>5</v>
      </c>
      <c r="D2216" s="2">
        <v>100</v>
      </c>
      <c r="E2216" s="2"/>
      <c r="F2216" s="4" t="str">
        <f>HYPERLINK("./Results/DLO\20190101_1.3.46.670589.33.1.63684285778755084300001.5651549542389389058_501_512_512_\Osteo_Sarco_1.png","RPT")</f>
        <v>RPT</v>
      </c>
      <c r="G2216" s="3">
        <v>158</v>
      </c>
      <c r="H2216" s="3"/>
    </row>
    <row r="2217" spans="1:8" x14ac:dyDescent="0.3">
      <c r="A2217" s="2">
        <v>8256739</v>
      </c>
      <c r="B2217" s="2">
        <v>55</v>
      </c>
      <c r="C2217" s="2" t="s">
        <v>5</v>
      </c>
      <c r="D2217" s="2">
        <v>100</v>
      </c>
      <c r="E2217" s="2"/>
      <c r="F2217" s="4" t="str">
        <f>HYPERLINK("./Results/DLO\20190101_1.3.46.670589.33.1.63684285864933013400001.5637298375980294429_601_512_512_\Osteo_Sarco_1.png","RPT")</f>
        <v>RPT</v>
      </c>
      <c r="G2217" s="3">
        <v>158</v>
      </c>
      <c r="H2217" s="3"/>
    </row>
    <row r="2218" spans="1:8" x14ac:dyDescent="0.3">
      <c r="A2218" s="2">
        <v>8256739</v>
      </c>
      <c r="B2218" s="2">
        <v>55</v>
      </c>
      <c r="C2218" s="2" t="s">
        <v>5</v>
      </c>
      <c r="D2218" s="2">
        <v>100</v>
      </c>
      <c r="E2218" s="2"/>
      <c r="F2218" s="4" t="str">
        <f>HYPERLINK("./Results/DLO\20190101_1.3.46.670589.33.1.63684285947684746500001.4803219383185109634_701_512_512_\Osteo_Sarco_1.png","RPT")</f>
        <v>RPT</v>
      </c>
      <c r="G2218" s="3">
        <v>157</v>
      </c>
      <c r="H2218" s="3"/>
    </row>
    <row r="2219" spans="1:8" x14ac:dyDescent="0.3">
      <c r="A2219" s="2">
        <v>8256943</v>
      </c>
      <c r="B2219" s="2">
        <v>54</v>
      </c>
      <c r="C2219" s="2" t="s">
        <v>6</v>
      </c>
      <c r="D2219" s="2">
        <v>100</v>
      </c>
      <c r="E2219" s="2"/>
      <c r="F2219" s="4" t="str">
        <f>HYPERLINK("./Results/DLO\20190201_1.3.46.670589.33.1.63685733480978207400001.5336860172460034173_201_512_512_\Osteo_Sarco_1.png","RPT")</f>
        <v>RPT</v>
      </c>
      <c r="G2219" s="3">
        <v>127</v>
      </c>
      <c r="H2219" s="3"/>
    </row>
    <row r="2220" spans="1:8" x14ac:dyDescent="0.3">
      <c r="A2220" s="2">
        <v>8259949</v>
      </c>
      <c r="B2220" s="2">
        <v>79</v>
      </c>
      <c r="C2220" s="2" t="s">
        <v>6</v>
      </c>
      <c r="D2220" s="2">
        <v>100</v>
      </c>
      <c r="E2220" s="2"/>
      <c r="F2220" s="4" t="str">
        <f>HYPERLINK("./Results/DLO\20180301_1.2.840.113619.2.416.91425323704762490599286145876133376043_305_512_512_\Osteo_Sarco_1.png","RPT")</f>
        <v>RPT</v>
      </c>
      <c r="G2220" s="3">
        <v>93</v>
      </c>
      <c r="H2220" s="3"/>
    </row>
    <row r="2221" spans="1:8" x14ac:dyDescent="0.3">
      <c r="A2221" s="2">
        <v>8259949</v>
      </c>
      <c r="B2221" s="2">
        <v>79</v>
      </c>
      <c r="C2221" s="2" t="s">
        <v>6</v>
      </c>
      <c r="D2221" s="2">
        <v>100</v>
      </c>
      <c r="E2221" s="2"/>
      <c r="F2221" s="4" t="str">
        <f>HYPERLINK("./Results/DLO\20180301_1.2.840.113619.2.416.318196900073526678440606545913907881_302_512_512_\Osteo_Sarco_1.png","RPT")</f>
        <v>RPT</v>
      </c>
      <c r="G2221" s="3">
        <v>90</v>
      </c>
      <c r="H2221" s="3"/>
    </row>
    <row r="2222" spans="1:8" x14ac:dyDescent="0.3">
      <c r="A2222" s="2">
        <v>8259949</v>
      </c>
      <c r="B2222" s="2">
        <v>79</v>
      </c>
      <c r="C2222" s="2" t="s">
        <v>6</v>
      </c>
      <c r="D2222" s="2">
        <v>100</v>
      </c>
      <c r="E2222" s="2"/>
      <c r="F2222" s="4" t="str">
        <f>HYPERLINK("./Results/DLO\20180301_1.2.840.113619.2.416.220401143569796751845715289004034815014_2_512_512_\Osteo_Sarco_1.png","RPT")</f>
        <v>RPT</v>
      </c>
      <c r="G2222" s="3">
        <v>87</v>
      </c>
      <c r="H2222" s="3"/>
    </row>
    <row r="2223" spans="1:8" x14ac:dyDescent="0.3">
      <c r="A2223" s="2">
        <v>8262899</v>
      </c>
      <c r="B2223" s="2">
        <v>53</v>
      </c>
      <c r="C2223" s="2" t="s">
        <v>5</v>
      </c>
      <c r="D2223" s="2">
        <v>120</v>
      </c>
      <c r="E2223" s="2"/>
      <c r="F2223" s="4" t="str">
        <f>HYPERLINK("./Results/DLO\20180301_1.3.12.2.1107.5.1.4.54310.30000018031223122687500009002_5_512_512_\Osteo_Sarco_1.png","RPT")</f>
        <v>RPT</v>
      </c>
      <c r="G2223" s="3">
        <v>183</v>
      </c>
      <c r="H2223" s="3"/>
    </row>
    <row r="2224" spans="1:8" x14ac:dyDescent="0.3">
      <c r="A2224" s="2">
        <v>8262899</v>
      </c>
      <c r="B2224" s="2">
        <v>53</v>
      </c>
      <c r="C2224" s="2" t="s">
        <v>5</v>
      </c>
      <c r="D2224" s="2">
        <v>120</v>
      </c>
      <c r="E2224" s="2"/>
      <c r="F2224" s="4" t="str">
        <f>HYPERLINK("./Results/DLO\20180301_1.3.12.2.1107.5.1.4.54310.30000018031300121125000002523_7_512_512_\Osteo_Sarco_1.png","RPT")</f>
        <v>RPT</v>
      </c>
      <c r="G2224" s="3">
        <v>183</v>
      </c>
      <c r="H2224" s="3"/>
    </row>
    <row r="2225" spans="1:8" x14ac:dyDescent="0.3">
      <c r="A2225" s="2">
        <v>8262899</v>
      </c>
      <c r="B2225" s="2">
        <v>53</v>
      </c>
      <c r="C2225" s="2" t="s">
        <v>5</v>
      </c>
      <c r="D2225" s="2">
        <v>100</v>
      </c>
      <c r="E2225" s="2"/>
      <c r="F2225" s="4" t="str">
        <f>HYPERLINK("./Results/DLO\20180301_1.3.12.2.1107.5.1.4.54310.30000018031223122687500008891_3_512_512_\Osteo_Sarco_1.png","RPT")</f>
        <v>RPT</v>
      </c>
      <c r="G2225" s="3">
        <v>182</v>
      </c>
      <c r="H2225" s="3"/>
    </row>
    <row r="2226" spans="1:8" x14ac:dyDescent="0.3">
      <c r="A2226" s="2">
        <v>8262899</v>
      </c>
      <c r="B2226" s="2">
        <v>53</v>
      </c>
      <c r="C2226" s="2" t="s">
        <v>5</v>
      </c>
      <c r="D2226" s="2">
        <v>120</v>
      </c>
      <c r="E2226" s="2"/>
      <c r="F2226" s="4" t="str">
        <f>HYPERLINK("./Results/DLO\20180301_1.3.12.2.1107.5.1.4.54310.30000018031223122687500010425_12_512_512_\Osteo_Sarco_1.png","RPT")</f>
        <v>RPT</v>
      </c>
      <c r="G2226" s="3">
        <v>182</v>
      </c>
      <c r="H2226" s="3"/>
    </row>
    <row r="2227" spans="1:8" x14ac:dyDescent="0.3">
      <c r="A2227" s="2">
        <v>8272351</v>
      </c>
      <c r="B2227" s="2">
        <v>46</v>
      </c>
      <c r="C2227" s="2" t="s">
        <v>6</v>
      </c>
      <c r="D2227" s="2">
        <v>100</v>
      </c>
      <c r="E2227" s="2"/>
      <c r="F2227" s="4" t="str">
        <f>HYPERLINK("./Results/DLO\20190701_1.3.12.2.1107.5.1.4.54310.30000019071823200842100017918_7_512_512_\Osteo_Sarco_1.png","RPT")</f>
        <v>RPT</v>
      </c>
      <c r="G2227" s="3">
        <v>100</v>
      </c>
      <c r="H2227" s="3"/>
    </row>
    <row r="2228" spans="1:8" x14ac:dyDescent="0.3">
      <c r="A2228" s="2">
        <v>8272644</v>
      </c>
      <c r="B2228" s="2">
        <v>54</v>
      </c>
      <c r="C2228" s="2" t="s">
        <v>5</v>
      </c>
      <c r="D2228" s="2">
        <v>140</v>
      </c>
      <c r="E2228" s="2"/>
      <c r="F2228" s="4" t="str">
        <f>HYPERLINK("./Results/DLO\20180401_1.2.840.113619.2.416.70049270850996563578949952391213808821_2_512_512_\Osteo_Sarco_1.png","RPT")</f>
        <v>RPT</v>
      </c>
      <c r="G2228" s="3">
        <v>135</v>
      </c>
      <c r="H2228" s="3"/>
    </row>
    <row r="2229" spans="1:8" x14ac:dyDescent="0.3">
      <c r="A2229" s="2">
        <v>8272644</v>
      </c>
      <c r="B2229" s="2">
        <v>54</v>
      </c>
      <c r="C2229" s="2" t="s">
        <v>5</v>
      </c>
      <c r="D2229" s="2">
        <v>140</v>
      </c>
      <c r="E2229" s="2"/>
      <c r="F2229" s="4" t="str">
        <f>HYPERLINK("./Results/DLO\20180401_1.2.840.113619.2.416.144462991694354713295052461143363114133_2_512_512_\Osteo_Sarco_1.png","RPT")</f>
        <v>RPT</v>
      </c>
      <c r="G2229" s="3">
        <v>127</v>
      </c>
      <c r="H2229" s="3"/>
    </row>
    <row r="2230" spans="1:8" x14ac:dyDescent="0.3">
      <c r="A2230" s="2">
        <v>8272644</v>
      </c>
      <c r="B2230" s="2">
        <v>54</v>
      </c>
      <c r="C2230" s="2" t="s">
        <v>5</v>
      </c>
      <c r="D2230" s="2">
        <v>140</v>
      </c>
      <c r="E2230" s="2"/>
      <c r="F2230" s="4" t="str">
        <f>HYPERLINK("./Results/DLO\20180401_1.2.840.113619.2.416.271931129557685833680476408490685352387_303_512_512_\Osteo_Sarco_1.png","RPT")</f>
        <v>RPT</v>
      </c>
      <c r="G2230" s="3">
        <v>124</v>
      </c>
      <c r="H2230" s="3"/>
    </row>
    <row r="2231" spans="1:8" x14ac:dyDescent="0.3">
      <c r="A2231" s="2">
        <v>8273370</v>
      </c>
      <c r="B2231" s="2">
        <v>56</v>
      </c>
      <c r="C2231" s="2" t="s">
        <v>6</v>
      </c>
      <c r="D2231" s="2">
        <v>100</v>
      </c>
      <c r="E2231" s="2"/>
      <c r="F2231" s="4" t="str">
        <f>HYPERLINK("./Results/DLO\20180601_1.3.46.670589.33.1.63664567390967847500001.4947434203196013119_201_512_512_\Osteo_Sarco_1.png","RPT")</f>
        <v>RPT</v>
      </c>
      <c r="G2231" s="3">
        <v>102</v>
      </c>
      <c r="H2231" s="3"/>
    </row>
    <row r="2232" spans="1:8" x14ac:dyDescent="0.3">
      <c r="A2232" s="2">
        <v>8273608</v>
      </c>
      <c r="B2232" s="2">
        <v>76</v>
      </c>
      <c r="C2232" s="2" t="s">
        <v>5</v>
      </c>
      <c r="D2232" s="2">
        <v>100</v>
      </c>
      <c r="E2232" s="2"/>
      <c r="F2232" s="4" t="str">
        <f>HYPERLINK("./Results/DLO\20190701_1.2.840.113619.2.416.188146767908296798311468093882519302159_305_512_512_\Osteo_Sarco_1.png","RPT")</f>
        <v>RPT</v>
      </c>
      <c r="G2232" s="3">
        <v>119</v>
      </c>
      <c r="H2232" s="3"/>
    </row>
    <row r="2233" spans="1:8" x14ac:dyDescent="0.3">
      <c r="A2233" s="2">
        <v>8273608</v>
      </c>
      <c r="B2233" s="2">
        <v>76</v>
      </c>
      <c r="C2233" s="2" t="s">
        <v>5</v>
      </c>
      <c r="D2233" s="2">
        <v>100</v>
      </c>
      <c r="E2233" s="2"/>
      <c r="F2233" s="4" t="str">
        <f>HYPERLINK("./Results/DLO\20190701_1.2.840.113619.2.416.50770144934908106153876593372255961404_303_512_512_\Osteo_Sarco_1.png","RPT")</f>
        <v>RPT</v>
      </c>
      <c r="G2233" s="3">
        <v>117</v>
      </c>
      <c r="H2233" s="3"/>
    </row>
    <row r="2234" spans="1:8" x14ac:dyDescent="0.3">
      <c r="A2234" s="2">
        <v>8273608</v>
      </c>
      <c r="B2234" s="2">
        <v>76</v>
      </c>
      <c r="C2234" s="2" t="s">
        <v>5</v>
      </c>
      <c r="D2234" s="2">
        <v>100</v>
      </c>
      <c r="E2234" s="2"/>
      <c r="F2234" s="4" t="str">
        <f>HYPERLINK("./Results/DLO\20190701_1.2.840.113619.2.416.249909131189375107267614619296148986115_302_512_512_\Osteo_Sarco_1.png","RPT")</f>
        <v>RPT</v>
      </c>
      <c r="G2234" s="3">
        <v>96</v>
      </c>
      <c r="H2234" s="3"/>
    </row>
    <row r="2235" spans="1:8" x14ac:dyDescent="0.3">
      <c r="A2235" s="2">
        <v>8277873</v>
      </c>
      <c r="B2235" s="2">
        <v>57</v>
      </c>
      <c r="C2235" s="2" t="s">
        <v>5</v>
      </c>
      <c r="D2235" s="2">
        <v>100</v>
      </c>
      <c r="E2235" s="2"/>
      <c r="F2235" s="4" t="str">
        <f>HYPERLINK("./Results/DLO\20191101_1.3.46.670589.33.1.63710530226709857300001.5562643206396736056_201_512_512_\Osteo_Sarco_1.png","RPT")</f>
        <v>RPT</v>
      </c>
      <c r="G2235" s="3">
        <v>132</v>
      </c>
      <c r="H2235" s="3"/>
    </row>
    <row r="2236" spans="1:8" x14ac:dyDescent="0.3">
      <c r="A2236" s="2">
        <v>8279358</v>
      </c>
      <c r="B2236" s="2">
        <v>38</v>
      </c>
      <c r="C2236" s="2" t="s">
        <v>6</v>
      </c>
      <c r="D2236" s="2">
        <v>100</v>
      </c>
      <c r="E2236" s="2"/>
      <c r="F2236" s="4" t="str">
        <f>HYPERLINK("./Results/DLO\20180401_1.2.840.113619.2.94.485650834948.2.8781381.18989277.1_2_512_512_\Osteo_Sarco_1.png","RPT")</f>
        <v>RPT</v>
      </c>
      <c r="G2236" s="3">
        <v>88</v>
      </c>
      <c r="H2236" s="3"/>
    </row>
    <row r="2237" spans="1:8" x14ac:dyDescent="0.3">
      <c r="A2237" s="2">
        <v>8279547</v>
      </c>
      <c r="B2237" s="2">
        <v>50</v>
      </c>
      <c r="C2237" s="2" t="s">
        <v>5</v>
      </c>
      <c r="D2237" s="2">
        <v>100</v>
      </c>
      <c r="E2237" s="2"/>
      <c r="F2237" s="4" t="str">
        <f>HYPERLINK("./Results/DLO\20180601_1.3.46.670589.33.1.63665255186933356000001.4778328652254462900_201_512_512_\Osteo_Sarco_1.png","RPT")</f>
        <v>RPT</v>
      </c>
      <c r="G2237" s="3">
        <v>178</v>
      </c>
      <c r="H2237" s="3"/>
    </row>
    <row r="2238" spans="1:8" x14ac:dyDescent="0.3">
      <c r="A2238" s="2">
        <v>8281252</v>
      </c>
      <c r="B2238" s="2">
        <v>76</v>
      </c>
      <c r="C2238" s="2" t="s">
        <v>5</v>
      </c>
      <c r="D2238" s="2">
        <v>120</v>
      </c>
      <c r="E2238" s="2"/>
      <c r="F2238" s="4" t="str">
        <f>HYPERLINK("./Results/DLO\20180801_1.2.840.113619.2.416.286428311597172042582872017770819631479_2_512_512_\Osteo_Sarco_1.png","RPT")</f>
        <v>RPT</v>
      </c>
      <c r="G2238" s="3">
        <v>168</v>
      </c>
      <c r="H2238" s="3"/>
    </row>
    <row r="2239" spans="1:8" x14ac:dyDescent="0.3">
      <c r="A2239" s="2">
        <v>8281252</v>
      </c>
      <c r="B2239" s="2">
        <v>76</v>
      </c>
      <c r="C2239" s="2" t="s">
        <v>5</v>
      </c>
      <c r="D2239" s="2">
        <v>140</v>
      </c>
      <c r="E2239" s="2"/>
      <c r="F2239" s="4" t="str">
        <f>HYPERLINK("./Results/DLO\20180801_1.2.840.113619.2.416.153644530111435431512665702665648515154_302_512_512_\Osteo_Sarco_1.png","RPT")</f>
        <v>RPT</v>
      </c>
      <c r="G2239" s="3">
        <v>164</v>
      </c>
      <c r="H2239" s="3"/>
    </row>
    <row r="2240" spans="1:8" x14ac:dyDescent="0.3">
      <c r="A2240" s="2">
        <v>8281805</v>
      </c>
      <c r="B2240" s="2">
        <v>50</v>
      </c>
      <c r="C2240" s="2" t="s">
        <v>6</v>
      </c>
      <c r="D2240" s="2">
        <v>100</v>
      </c>
      <c r="E2240" s="2"/>
      <c r="F2240" s="4" t="str">
        <f>HYPERLINK("./Results/DLO\20180701_1.2.840.113619.2.94.485650834948.2.8974008.19460062.1_2_512_512_\Osteo_Sarco_1.png","RPT")</f>
        <v>RPT</v>
      </c>
      <c r="G2240" s="3">
        <v>130</v>
      </c>
      <c r="H2240" s="3"/>
    </row>
    <row r="2241" spans="1:8" x14ac:dyDescent="0.3">
      <c r="A2241" s="2">
        <v>8282695</v>
      </c>
      <c r="B2241" s="2">
        <v>49</v>
      </c>
      <c r="C2241" s="2" t="s">
        <v>6</v>
      </c>
      <c r="D2241" s="2">
        <v>100</v>
      </c>
      <c r="E2241" s="2"/>
      <c r="F2241" s="4" t="str">
        <f>HYPERLINK("./Results/DLO\20180701_1.2.840.113619.2.311.226983047473604694436582671185023892725_304_512_512_\Osteo_Sarco_1.png","RPT")</f>
        <v>RPT</v>
      </c>
      <c r="G2241" s="3">
        <v>97</v>
      </c>
      <c r="H2241" s="3"/>
    </row>
    <row r="2242" spans="1:8" x14ac:dyDescent="0.3">
      <c r="A2242" s="2">
        <v>8284131</v>
      </c>
      <c r="B2242" s="2">
        <v>51</v>
      </c>
      <c r="C2242" s="2" t="s">
        <v>5</v>
      </c>
      <c r="D2242" s="2">
        <v>100</v>
      </c>
      <c r="E2242" s="2"/>
      <c r="F2242" s="4" t="str">
        <f>HYPERLINK("./Results/DLO\20180101_1.2.840.113619.2.311.195992092658131864835299683869125930736_304_512_512_\Osteo_Sarco_1.png","RPT")</f>
        <v>RPT</v>
      </c>
      <c r="G2242" s="3">
        <v>196</v>
      </c>
      <c r="H2242" s="3"/>
    </row>
    <row r="2243" spans="1:8" x14ac:dyDescent="0.3">
      <c r="A2243" s="2">
        <v>8287878</v>
      </c>
      <c r="B2243" s="2">
        <v>60</v>
      </c>
      <c r="C2243" s="2" t="s">
        <v>6</v>
      </c>
      <c r="D2243" s="2">
        <v>100</v>
      </c>
      <c r="E2243" s="2"/>
      <c r="F2243" s="4" t="str">
        <f>HYPERLINK("./Results/DLO\20180501_1.3.12.2.1107.5.1.4.54310.30000018050223082665600013971_3_512_512_\Osteo_Sarco_1.png","RPT")</f>
        <v>RPT</v>
      </c>
      <c r="G2243" s="3">
        <v>110</v>
      </c>
      <c r="H2243" s="3"/>
    </row>
    <row r="2244" spans="1:8" x14ac:dyDescent="0.3">
      <c r="A2244" s="2">
        <v>8287878</v>
      </c>
      <c r="B2244" s="2">
        <v>60</v>
      </c>
      <c r="C2244" s="2" t="s">
        <v>6</v>
      </c>
      <c r="D2244" s="2">
        <v>100</v>
      </c>
      <c r="E2244" s="2"/>
      <c r="F2244" s="4" t="str">
        <f>HYPERLINK("./Results/DLO\20180501_1.3.12.2.1107.5.1.4.54310.30000018050223082665600013818_2_512_512_\Osteo_Sarco_1.png","RPT")</f>
        <v>RPT</v>
      </c>
      <c r="G2244" s="3">
        <v>108</v>
      </c>
      <c r="H2244" s="3"/>
    </row>
    <row r="2245" spans="1:8" x14ac:dyDescent="0.3">
      <c r="A2245" s="2">
        <v>8290367</v>
      </c>
      <c r="B2245" s="2">
        <v>62</v>
      </c>
      <c r="C2245" s="2" t="s">
        <v>5</v>
      </c>
      <c r="D2245" s="2">
        <v>100</v>
      </c>
      <c r="E2245" s="2"/>
      <c r="F2245" s="4" t="str">
        <f>HYPERLINK("./Results/DLO\20180101_1.3.46.670589.33.1.63651775557529550300001.5672649677951615889_201_512_512_\Osteo_Sarco_1.png","RPT")</f>
        <v>RPT</v>
      </c>
      <c r="G2245" s="3">
        <v>167</v>
      </c>
      <c r="H2245" s="3"/>
    </row>
    <row r="2246" spans="1:8" x14ac:dyDescent="0.3">
      <c r="A2246" s="2">
        <v>8293945</v>
      </c>
      <c r="B2246" s="2">
        <v>59</v>
      </c>
      <c r="C2246" s="2" t="s">
        <v>6</v>
      </c>
      <c r="D2246" s="2">
        <v>140</v>
      </c>
      <c r="E2246" s="2"/>
      <c r="F2246" s="4" t="str">
        <f>HYPERLINK("./Results/DLO\20181201_1.2.840.113619.2.416.284631432704682685340661768929398167980_308_512_512_\Osteo_Sarco_1.png","RPT")</f>
        <v>RPT</v>
      </c>
      <c r="G2246" s="3">
        <v>124</v>
      </c>
      <c r="H2246" s="3"/>
    </row>
    <row r="2247" spans="1:8" x14ac:dyDescent="0.3">
      <c r="A2247" s="2">
        <v>8293945</v>
      </c>
      <c r="B2247" s="2">
        <v>59</v>
      </c>
      <c r="C2247" s="2" t="s">
        <v>6</v>
      </c>
      <c r="D2247" s="2">
        <v>140</v>
      </c>
      <c r="E2247" s="2"/>
      <c r="F2247" s="4" t="str">
        <f>HYPERLINK("./Results/DLO\20181201_1.2.840.113619.2.416.203473014932111406674359106652213655582_303_512_512_\Osteo_Sarco_1.png","RPT")</f>
        <v>RPT</v>
      </c>
      <c r="G2247" s="3">
        <v>123</v>
      </c>
      <c r="H2247" s="3"/>
    </row>
    <row r="2248" spans="1:8" x14ac:dyDescent="0.3">
      <c r="A2248" s="2">
        <v>8293945</v>
      </c>
      <c r="B2248" s="2">
        <v>59</v>
      </c>
      <c r="C2248" s="2" t="s">
        <v>6</v>
      </c>
      <c r="D2248" s="2">
        <v>140</v>
      </c>
      <c r="E2248" s="2"/>
      <c r="F2248" s="4" t="str">
        <f>HYPERLINK("./Results/DLO\20181201_1.2.840.113619.2.416.252173451070046783248235678259867940019_301_512_512_\Osteo_Sarco_1.png","RPT")</f>
        <v>RPT</v>
      </c>
      <c r="G2248" s="3">
        <v>120</v>
      </c>
      <c r="H2248" s="3"/>
    </row>
    <row r="2249" spans="1:8" x14ac:dyDescent="0.3">
      <c r="A2249" s="2">
        <v>8293945</v>
      </c>
      <c r="B2249" s="2">
        <v>59</v>
      </c>
      <c r="C2249" s="2" t="s">
        <v>6</v>
      </c>
      <c r="D2249" s="2">
        <v>140</v>
      </c>
      <c r="E2249" s="2"/>
      <c r="F2249" s="4" t="str">
        <f>HYPERLINK("./Results/DLO\20181201_1.2.840.113619.2.416.96850208102828999815998057284451047674_305_512_512_\Osteo_Sarco_1.png","RPT")</f>
        <v>RPT</v>
      </c>
      <c r="G2249" s="3">
        <v>120</v>
      </c>
      <c r="H2249" s="3"/>
    </row>
    <row r="2250" spans="1:8" x14ac:dyDescent="0.3">
      <c r="A2250" s="2">
        <v>8293990</v>
      </c>
      <c r="B2250" s="2">
        <v>30</v>
      </c>
      <c r="C2250" s="2" t="s">
        <v>5</v>
      </c>
      <c r="D2250" s="2">
        <v>100</v>
      </c>
      <c r="E2250" s="2"/>
      <c r="F2250" s="4" t="str">
        <f>HYPERLINK("./Results/DLO\20180401_1.2.840.113619.2.311.222234970609417764003657304012009146221_304_512_512_\Osteo_Sarco_1.png","RPT")</f>
        <v>RPT</v>
      </c>
      <c r="G2250" s="3">
        <v>194</v>
      </c>
      <c r="H2250" s="3"/>
    </row>
    <row r="2251" spans="1:8" x14ac:dyDescent="0.3">
      <c r="A2251" s="2">
        <v>8293990</v>
      </c>
      <c r="B2251" s="2">
        <v>30</v>
      </c>
      <c r="C2251" s="2" t="s">
        <v>5</v>
      </c>
      <c r="D2251" s="2">
        <v>100</v>
      </c>
      <c r="E2251" s="2"/>
      <c r="F2251" s="4" t="str">
        <f>HYPERLINK("./Results/DLO\20180401_1.2.840.113619.2.311.5923927173006813276895984479213339338_2_512_512_\Osteo_Sarco_1.png","RPT")</f>
        <v>RPT</v>
      </c>
      <c r="G2251" s="3">
        <v>193</v>
      </c>
      <c r="H2251" s="3"/>
    </row>
    <row r="2252" spans="1:8" x14ac:dyDescent="0.3">
      <c r="A2252" s="2">
        <v>8295294</v>
      </c>
      <c r="B2252" s="2">
        <v>60</v>
      </c>
      <c r="C2252" s="2" t="s">
        <v>6</v>
      </c>
      <c r="D2252" s="2">
        <v>100</v>
      </c>
      <c r="E2252" s="2"/>
      <c r="F2252" s="4" t="str">
        <f>HYPERLINK("./Results/DLO\20181001_1.2.840.113619.2.311.282547392134162793147986106648553084386_304_512_512_\Osteo_Sarco_1.png","RPT")</f>
        <v>RPT</v>
      </c>
      <c r="G2252" s="3">
        <v>100</v>
      </c>
      <c r="H2252" s="3"/>
    </row>
    <row r="2253" spans="1:8" x14ac:dyDescent="0.3">
      <c r="A2253" s="2">
        <v>8295847</v>
      </c>
      <c r="B2253" s="2">
        <v>58</v>
      </c>
      <c r="C2253" s="2" t="s">
        <v>5</v>
      </c>
      <c r="D2253" s="2">
        <v>100</v>
      </c>
      <c r="E2253" s="2"/>
      <c r="F2253" s="4" t="str">
        <f>HYPERLINK("./Results/DLO\20190801_1.3.12.2.1107.5.1.4.54310.30000019082722430853100054804_8_512_512_\Osteo_Sarco_1.png","RPT")</f>
        <v>RPT</v>
      </c>
      <c r="G2253" s="3">
        <v>161</v>
      </c>
      <c r="H2253" s="3"/>
    </row>
    <row r="2254" spans="1:8" x14ac:dyDescent="0.3">
      <c r="A2254" s="2">
        <v>8295847</v>
      </c>
      <c r="B2254" s="2">
        <v>58</v>
      </c>
      <c r="C2254" s="2" t="s">
        <v>5</v>
      </c>
      <c r="D2254" s="2">
        <v>100</v>
      </c>
      <c r="E2254" s="2"/>
      <c r="F2254" s="4" t="str">
        <f>HYPERLINK("./Results/DLO\20190801_1.3.12.2.1107.5.1.4.54310.30000019082722430853100053788_2_512_512_\Osteo_Sarco_1.png","RPT")</f>
        <v>RPT</v>
      </c>
      <c r="G2254" s="3">
        <v>160</v>
      </c>
      <c r="H2254" s="3"/>
    </row>
    <row r="2255" spans="1:8" x14ac:dyDescent="0.3">
      <c r="A2255" s="2">
        <v>8296031</v>
      </c>
      <c r="B2255" s="2">
        <v>42</v>
      </c>
      <c r="C2255" s="2" t="s">
        <v>6</v>
      </c>
      <c r="D2255" s="2">
        <v>100</v>
      </c>
      <c r="E2255" s="2"/>
      <c r="F2255" s="4" t="str">
        <f>HYPERLINK("./Results/DLO\20180601_1.2.840.113619.2.311.106159194432254574054552865838911171574_304_512_512_\Osteo_Sarco_1.png","RPT")</f>
        <v>RPT</v>
      </c>
      <c r="G2255" s="3">
        <v>88</v>
      </c>
      <c r="H2255" s="3"/>
    </row>
    <row r="2256" spans="1:8" x14ac:dyDescent="0.3">
      <c r="A2256" s="2">
        <v>8301141</v>
      </c>
      <c r="B2256" s="2">
        <v>71</v>
      </c>
      <c r="C2256" s="2" t="s">
        <v>5</v>
      </c>
      <c r="D2256" s="2">
        <v>100</v>
      </c>
      <c r="E2256" s="2"/>
      <c r="F2256" s="4" t="str">
        <f>HYPERLINK("./Results/DLO\_1.2.410.100011.172.16.68.202.6366976474699110021.7.8_8_512_512_\Osteo_Sarco_1.png","RPT")</f>
        <v>RPT</v>
      </c>
      <c r="G2256" s="3">
        <v>144</v>
      </c>
      <c r="H2256" s="3"/>
    </row>
    <row r="2257" spans="1:8" x14ac:dyDescent="0.3">
      <c r="A2257" s="2">
        <v>8301141</v>
      </c>
      <c r="B2257" s="2">
        <v>71</v>
      </c>
      <c r="C2257" s="2" t="s">
        <v>5</v>
      </c>
      <c r="D2257" s="2">
        <v>100</v>
      </c>
      <c r="E2257" s="2"/>
      <c r="F2257" s="4" t="str">
        <f>HYPERLINK("./Results/DLO\_1.2.410.100011.172.16.68.202.6366976474699110021.6.6_6_512_512_\Osteo_Sarco_1.png","RPT")</f>
        <v>RPT</v>
      </c>
      <c r="G2257" s="3">
        <v>142</v>
      </c>
      <c r="H2257" s="3"/>
    </row>
    <row r="2258" spans="1:8" x14ac:dyDescent="0.3">
      <c r="A2258" s="2">
        <v>8301141</v>
      </c>
      <c r="B2258" s="2">
        <v>71</v>
      </c>
      <c r="C2258" s="2" t="s">
        <v>5</v>
      </c>
      <c r="D2258" s="2">
        <v>120</v>
      </c>
      <c r="E2258" s="2"/>
      <c r="F2258" s="4" t="str">
        <f>HYPERLINK("./Results/DLO\_1.2.410.100011.172.16.68.202.6366976474699110021.2.2_2_512_512_\Osteo_Sarco_1.png","RPT")</f>
        <v>RPT</v>
      </c>
      <c r="G2258" s="3">
        <v>91</v>
      </c>
      <c r="H2258" s="3"/>
    </row>
    <row r="2259" spans="1:8" x14ac:dyDescent="0.3">
      <c r="A2259" s="2">
        <v>8301141</v>
      </c>
      <c r="B2259" s="2">
        <v>71</v>
      </c>
      <c r="C2259" s="2" t="s">
        <v>5</v>
      </c>
      <c r="D2259" s="2">
        <v>100</v>
      </c>
      <c r="E2259" s="2"/>
      <c r="F2259" s="4" t="str">
        <f>HYPERLINK("./Results/DLO\_1.2.410.100011.172.16.68.202.6366976474699110021.5.5_5_512_512_\Osteo_Sarco_1.png","RPT")</f>
        <v>RPT</v>
      </c>
      <c r="G2259" s="3">
        <v>70</v>
      </c>
      <c r="H2259" s="3"/>
    </row>
    <row r="2260" spans="1:8" x14ac:dyDescent="0.3">
      <c r="A2260" s="2">
        <v>8302038</v>
      </c>
      <c r="B2260" s="2">
        <v>68</v>
      </c>
      <c r="C2260" s="2" t="s">
        <v>6</v>
      </c>
      <c r="D2260" s="2">
        <v>100</v>
      </c>
      <c r="E2260" s="2"/>
      <c r="F2260" s="4" t="str">
        <f>HYPERLINK("./Results/DLO\20190801_1.2.840.113619.2.416.133650994262866721105960865692291052031_310_512_512_\Osteo_Sarco_1.png","RPT")</f>
        <v>RPT</v>
      </c>
      <c r="G2260" s="3">
        <v>93</v>
      </c>
      <c r="H2260" s="3"/>
    </row>
    <row r="2261" spans="1:8" x14ac:dyDescent="0.3">
      <c r="A2261" s="2">
        <v>8305209</v>
      </c>
      <c r="B2261" s="2">
        <v>51</v>
      </c>
      <c r="C2261" s="2" t="s">
        <v>5</v>
      </c>
      <c r="D2261" s="2">
        <v>100</v>
      </c>
      <c r="E2261" s="2"/>
      <c r="F2261" s="4" t="str">
        <f>HYPERLINK("./Results/DLO\20181201_1.3.46.670589.33.1.63679520050379623400001.4877162268029778574_201_512_512_\Osteo_Sarco_1.png","RPT")</f>
        <v>RPT</v>
      </c>
      <c r="G2261" s="3">
        <v>200</v>
      </c>
      <c r="H2261" s="3"/>
    </row>
    <row r="2262" spans="1:8" x14ac:dyDescent="0.3">
      <c r="A2262" s="2">
        <v>8305937</v>
      </c>
      <c r="B2262" s="2">
        <v>61</v>
      </c>
      <c r="C2262" s="2" t="s">
        <v>6</v>
      </c>
      <c r="D2262" s="2">
        <v>100</v>
      </c>
      <c r="E2262" s="2"/>
      <c r="F2262" s="4" t="str">
        <f>HYPERLINK("./Results/DLO\20180301_1.3.12.2.1107.5.1.4.54310.30000018032823230890600009150_2_512_512_\Osteo_Sarco_1.png","RPT")</f>
        <v>RPT</v>
      </c>
      <c r="G2262" s="3">
        <v>99</v>
      </c>
      <c r="H2262" s="3"/>
    </row>
    <row r="2263" spans="1:8" x14ac:dyDescent="0.3">
      <c r="A2263" s="2">
        <v>8307310</v>
      </c>
      <c r="B2263" s="2">
        <v>68</v>
      </c>
      <c r="C2263" s="2" t="s">
        <v>5</v>
      </c>
      <c r="D2263" s="2">
        <v>100</v>
      </c>
      <c r="E2263" s="2"/>
      <c r="F2263" s="4" t="str">
        <f>HYPERLINK("./Results/DLO\20190301_1.3.46.670589.33.1.63688504523540847500001.4940562107571100627_201_512_512_\Osteo_Sarco_1.png","RPT")</f>
        <v>RPT</v>
      </c>
      <c r="G2263" s="3">
        <v>180</v>
      </c>
      <c r="H2263" s="3"/>
    </row>
    <row r="2264" spans="1:8" x14ac:dyDescent="0.3">
      <c r="A2264" s="2">
        <v>8307340</v>
      </c>
      <c r="B2264" s="2">
        <v>57</v>
      </c>
      <c r="C2264" s="2" t="s">
        <v>6</v>
      </c>
      <c r="D2264" s="2">
        <v>120</v>
      </c>
      <c r="E2264" s="2"/>
      <c r="F2264" s="4" t="str">
        <f>HYPERLINK("./Results/DLO\20181001_1.3.12.2.1107.5.1.4.54310.30000018102823274178100006958_9_512_512_\Osteo_Sarco_1.png","RPT")</f>
        <v>RPT</v>
      </c>
      <c r="G2264" s="3">
        <v>83</v>
      </c>
      <c r="H2264" s="3"/>
    </row>
    <row r="2265" spans="1:8" x14ac:dyDescent="0.3">
      <c r="A2265" s="2">
        <v>8307340</v>
      </c>
      <c r="B2265" s="2">
        <v>57</v>
      </c>
      <c r="C2265" s="2" t="s">
        <v>6</v>
      </c>
      <c r="D2265" s="2">
        <v>100</v>
      </c>
      <c r="E2265" s="2"/>
      <c r="F2265" s="4" t="str">
        <f>HYPERLINK("./Results/DLO\20181001_1.3.12.2.1107.5.1.4.54310.30000018102823274178100006255_3_512_512_\Osteo_Sarco_1.png","RPT")</f>
        <v>RPT</v>
      </c>
      <c r="G2265" s="3">
        <v>82</v>
      </c>
      <c r="H2265" s="3"/>
    </row>
    <row r="2266" spans="1:8" x14ac:dyDescent="0.3">
      <c r="A2266" s="2">
        <v>8307340</v>
      </c>
      <c r="B2266" s="2">
        <v>57</v>
      </c>
      <c r="C2266" s="2" t="s">
        <v>6</v>
      </c>
      <c r="D2266" s="2">
        <v>120</v>
      </c>
      <c r="E2266" s="2"/>
      <c r="F2266" s="4" t="str">
        <f>HYPERLINK("./Results/DLO\20181001_1.3.12.2.1107.5.1.4.54310.30000018102823274178100006349_5_512_512_\Osteo_Sarco_1.png","RPT")</f>
        <v>RPT</v>
      </c>
      <c r="G2266" s="3">
        <v>82</v>
      </c>
      <c r="H2266" s="3"/>
    </row>
    <row r="2267" spans="1:8" x14ac:dyDescent="0.3">
      <c r="A2267" s="2">
        <v>8307340</v>
      </c>
      <c r="B2267" s="2">
        <v>57</v>
      </c>
      <c r="C2267" s="2" t="s">
        <v>6</v>
      </c>
      <c r="D2267" s="2">
        <v>120</v>
      </c>
      <c r="E2267" s="2"/>
      <c r="F2267" s="4" t="str">
        <f>HYPERLINK("./Results/DLO\20181001_1.3.12.2.1107.5.1.4.54310.30000018102823274178100006718_7_512_512_\Osteo_Sarco_1.png","RPT")</f>
        <v>RPT</v>
      </c>
      <c r="G2267" s="3">
        <v>82</v>
      </c>
      <c r="H2267" s="3"/>
    </row>
    <row r="2268" spans="1:8" x14ac:dyDescent="0.3">
      <c r="A2268" s="2">
        <v>8308977</v>
      </c>
      <c r="B2268" s="2">
        <v>53</v>
      </c>
      <c r="C2268" s="2" t="s">
        <v>6</v>
      </c>
      <c r="D2268" s="2">
        <v>100</v>
      </c>
      <c r="E2268" s="2"/>
      <c r="F2268" s="4" t="str">
        <f>HYPERLINK("./Results/DLO\20190901_1.3.46.670589.33.1.63703792532609226000001.4694959649053482199_201_512_512_\Osteo_Sarco_1.png","RPT")</f>
        <v>RPT</v>
      </c>
      <c r="G2268" s="3">
        <v>101</v>
      </c>
      <c r="H2268" s="3"/>
    </row>
    <row r="2269" spans="1:8" x14ac:dyDescent="0.3">
      <c r="A2269" s="2">
        <v>8309715</v>
      </c>
      <c r="B2269" s="2">
        <v>63</v>
      </c>
      <c r="C2269" s="2" t="s">
        <v>6</v>
      </c>
      <c r="D2269" s="2">
        <v>100</v>
      </c>
      <c r="E2269" s="2"/>
      <c r="F2269" s="4" t="str">
        <f>HYPERLINK("./Results/DLO\20180701_1.3.12.2.1107.5.1.4.54310.30000018071623140512500012197_2_512_512_\Osteo_Sarco_1.png","RPT")</f>
        <v>RPT</v>
      </c>
      <c r="G2269" s="3">
        <v>106</v>
      </c>
      <c r="H2269" s="3"/>
    </row>
    <row r="2270" spans="1:8" x14ac:dyDescent="0.3">
      <c r="A2270" s="2">
        <v>8309944</v>
      </c>
      <c r="B2270" s="2">
        <v>56</v>
      </c>
      <c r="C2270" s="2" t="s">
        <v>6</v>
      </c>
      <c r="D2270" s="2">
        <v>100</v>
      </c>
      <c r="E2270" s="2"/>
      <c r="F2270" s="4" t="str">
        <f>HYPERLINK("./Results/DLO\20181001_1.3.46.670589.33.1.63676493102997608800001.5369277022383683351_201_512_512_\Osteo_Sarco_1.png","RPT")</f>
        <v>RPT</v>
      </c>
      <c r="G2270" s="3">
        <v>96</v>
      </c>
      <c r="H2270" s="3"/>
    </row>
    <row r="2271" spans="1:8" x14ac:dyDescent="0.3">
      <c r="A2271" s="2">
        <v>8310862</v>
      </c>
      <c r="B2271" s="2">
        <v>56</v>
      </c>
      <c r="C2271" s="2" t="s">
        <v>6</v>
      </c>
      <c r="D2271" s="2">
        <v>100</v>
      </c>
      <c r="E2271" s="2"/>
      <c r="F2271" s="4" t="str">
        <f>HYPERLINK("./Results/DLO\20181101_1.2.840.113619.2.311.63111280180678392379504976224204470452_304_512_512_\Osteo_Sarco_1.png","RPT")</f>
        <v>RPT</v>
      </c>
      <c r="G2271" s="3">
        <v>117</v>
      </c>
      <c r="H2271" s="3"/>
    </row>
    <row r="2272" spans="1:8" x14ac:dyDescent="0.3">
      <c r="A2272" s="2">
        <v>8312216</v>
      </c>
      <c r="B2272" s="2">
        <v>42</v>
      </c>
      <c r="C2272" s="2" t="s">
        <v>6</v>
      </c>
      <c r="D2272" s="2">
        <v>100</v>
      </c>
      <c r="E2272" s="2"/>
      <c r="F2272" s="4" t="str">
        <f>HYPERLINK("./Results/DLO\20180801_1.2.840.113619.2.94.485650834948.2.9030337.19600313.1_2_512_512_\Osteo_Sarco_1.png","RPT")</f>
        <v>RPT</v>
      </c>
      <c r="G2272" s="3">
        <v>97</v>
      </c>
      <c r="H2272" s="3"/>
    </row>
    <row r="2273" spans="1:8" x14ac:dyDescent="0.3">
      <c r="A2273" s="2">
        <v>8313653</v>
      </c>
      <c r="B2273" s="2">
        <v>61</v>
      </c>
      <c r="C2273" s="2" t="s">
        <v>5</v>
      </c>
      <c r="D2273" s="2">
        <v>120</v>
      </c>
      <c r="E2273" s="2"/>
      <c r="F2273" s="4" t="str">
        <f>HYPERLINK("./Results/DLO\20191201_1.3.46.670589.33.1.63711161968187548200001.4963294299173239646_201_512_512_\Osteo_Sarco_1.png","RPT")</f>
        <v>RPT</v>
      </c>
      <c r="G2273" s="3">
        <v>179</v>
      </c>
      <c r="H2273" s="3"/>
    </row>
    <row r="2274" spans="1:8" x14ac:dyDescent="0.3">
      <c r="A2274" s="2">
        <v>8314986</v>
      </c>
      <c r="B2274" s="2">
        <v>62</v>
      </c>
      <c r="C2274" s="2" t="s">
        <v>6</v>
      </c>
      <c r="D2274" s="2">
        <v>100</v>
      </c>
      <c r="E2274" s="2"/>
      <c r="F2274" s="4" t="str">
        <f>HYPERLINK("./Results/DLO\20180801_1.3.12.2.1107.5.1.4.54310.30000018081623351726500004595_2_512_512_\Osteo_Sarco_1.png","RPT")</f>
        <v>RPT</v>
      </c>
      <c r="G2274" s="3">
        <v>96</v>
      </c>
      <c r="H2274" s="3"/>
    </row>
    <row r="2275" spans="1:8" x14ac:dyDescent="0.3">
      <c r="A2275" s="2">
        <v>8321551</v>
      </c>
      <c r="B2275" s="2">
        <v>39</v>
      </c>
      <c r="C2275" s="2" t="s">
        <v>5</v>
      </c>
      <c r="D2275" s="2">
        <v>100</v>
      </c>
      <c r="E2275" s="2"/>
      <c r="F2275" s="4" t="str">
        <f>HYPERLINK("./Results/DLO\20180201_1.3.12.2.1107.5.1.4.54310.30000018020823081534300020058_2_512_512_\Osteo_Sarco_1.png","RPT")</f>
        <v>RPT</v>
      </c>
      <c r="G2275" s="3">
        <v>157</v>
      </c>
      <c r="H2275" s="3"/>
    </row>
    <row r="2276" spans="1:8" x14ac:dyDescent="0.3">
      <c r="A2276" s="2">
        <v>8321551</v>
      </c>
      <c r="B2276" s="2">
        <v>39</v>
      </c>
      <c r="C2276" s="2" t="s">
        <v>5</v>
      </c>
      <c r="D2276" s="2">
        <v>100</v>
      </c>
      <c r="E2276" s="2"/>
      <c r="F2276" s="4" t="str">
        <f>HYPERLINK("./Results/DLO\20180201_1.3.12.2.1107.5.1.4.54310.30000018020823081534300020230_3_512_512_\Osteo_Sarco_1.png","RPT")</f>
        <v>RPT</v>
      </c>
      <c r="G2276" s="3">
        <v>157</v>
      </c>
      <c r="H2276" s="3"/>
    </row>
    <row r="2277" spans="1:8" x14ac:dyDescent="0.3">
      <c r="A2277" s="2">
        <v>8321772</v>
      </c>
      <c r="B2277" s="2">
        <v>57</v>
      </c>
      <c r="C2277" s="2" t="s">
        <v>5</v>
      </c>
      <c r="D2277" s="2">
        <v>100</v>
      </c>
      <c r="E2277" s="2"/>
      <c r="F2277" s="4" t="str">
        <f>HYPERLINK("./Results/DLO\20180101_1.3.46.670589.33.1.63651693599231803800001.5086788679987913434_201_512_512_\Osteo_Sarco_1.png","RPT")</f>
        <v>RPT</v>
      </c>
      <c r="G2277" s="3">
        <v>191</v>
      </c>
      <c r="H2277" s="3"/>
    </row>
    <row r="2278" spans="1:8" x14ac:dyDescent="0.3">
      <c r="A2278" s="2">
        <v>8323812</v>
      </c>
      <c r="B2278" s="2">
        <v>47</v>
      </c>
      <c r="C2278" s="2" t="s">
        <v>6</v>
      </c>
      <c r="D2278" s="2">
        <v>100</v>
      </c>
      <c r="E2278" s="2"/>
      <c r="F2278" s="4" t="str">
        <f>HYPERLINK("./Results/DLO\20180101_1.2.840.113619.2.94.485650834948.2.8579239.18492727.1_2_512_512_\Osteo_Sarco_1.png","RPT")</f>
        <v>RPT</v>
      </c>
      <c r="G2278" s="3">
        <v>120</v>
      </c>
      <c r="H2278" s="3"/>
    </row>
    <row r="2279" spans="1:8" x14ac:dyDescent="0.3">
      <c r="A2279" s="2">
        <v>8324063</v>
      </c>
      <c r="B2279" s="2">
        <v>48</v>
      </c>
      <c r="C2279" s="2" t="s">
        <v>6</v>
      </c>
      <c r="D2279" s="2">
        <v>100</v>
      </c>
      <c r="E2279" s="2"/>
      <c r="F2279" s="4" t="str">
        <f>HYPERLINK("./Results/DLO\20180701_1.2.840.113619.2.94.485650834948.2.8964699.19437490.1_2_512_512_\Osteo_Sarco_1.png","RPT")</f>
        <v>RPT</v>
      </c>
      <c r="G2279" s="3">
        <v>106</v>
      </c>
      <c r="H2279" s="3"/>
    </row>
    <row r="2280" spans="1:8" x14ac:dyDescent="0.3">
      <c r="A2280" s="2">
        <v>8328245</v>
      </c>
      <c r="B2280" s="2">
        <v>38</v>
      </c>
      <c r="C2280" s="2" t="s">
        <v>5</v>
      </c>
      <c r="D2280" s="2">
        <v>100</v>
      </c>
      <c r="E2280" s="2"/>
      <c r="F2280" s="4" t="str">
        <f>HYPERLINK("./Results/DLO\20190301_1.3.12.2.1107.5.1.4.65253.30000019030620083671800046209_2_512_512_\Osteo_Sarco_1.png","RPT")</f>
        <v>RPT</v>
      </c>
      <c r="G2280" s="3">
        <v>182</v>
      </c>
      <c r="H2280" s="3"/>
    </row>
    <row r="2281" spans="1:8" x14ac:dyDescent="0.3">
      <c r="A2281" s="2">
        <v>8330346</v>
      </c>
      <c r="B2281" s="2">
        <v>58</v>
      </c>
      <c r="C2281" s="2" t="s">
        <v>5</v>
      </c>
      <c r="D2281" s="2">
        <v>120</v>
      </c>
      <c r="E2281" s="2"/>
      <c r="F2281" s="4" t="str">
        <f>HYPERLINK("./Results/DLO\20180701_1.3.12.2.1107.5.1.4.54310.30000018070923133301500042878_5_512_512_\Osteo_Sarco_1.png","RPT")</f>
        <v>RPT</v>
      </c>
      <c r="G2281" s="3">
        <v>152</v>
      </c>
      <c r="H2281" s="3"/>
    </row>
    <row r="2282" spans="1:8" x14ac:dyDescent="0.3">
      <c r="A2282" s="2">
        <v>8330346</v>
      </c>
      <c r="B2282" s="2">
        <v>58</v>
      </c>
      <c r="C2282" s="2" t="s">
        <v>5</v>
      </c>
      <c r="D2282" s="2">
        <v>120</v>
      </c>
      <c r="E2282" s="2"/>
      <c r="F2282" s="4" t="str">
        <f>HYPERLINK("./Results/DLO\20180701_1.3.12.2.1107.5.1.4.54310.30000018070923133301500043625_9_512_512_\Osteo_Sarco_1.png","RPT")</f>
        <v>RPT</v>
      </c>
      <c r="G2282" s="3">
        <v>152</v>
      </c>
      <c r="H2282" s="3"/>
    </row>
    <row r="2283" spans="1:8" x14ac:dyDescent="0.3">
      <c r="A2283" s="2">
        <v>8330346</v>
      </c>
      <c r="B2283" s="2">
        <v>58</v>
      </c>
      <c r="C2283" s="2" t="s">
        <v>5</v>
      </c>
      <c r="D2283" s="2">
        <v>120</v>
      </c>
      <c r="E2283" s="2"/>
      <c r="F2283" s="4" t="str">
        <f>HYPERLINK("./Results/DLO\20180701_1.3.12.2.1107.5.1.4.54310.30000018070923133301500043319_7_512_512_\Osteo_Sarco_1.png","RPT")</f>
        <v>RPT</v>
      </c>
      <c r="G2283" s="3">
        <v>151</v>
      </c>
      <c r="H2283" s="3"/>
    </row>
    <row r="2284" spans="1:8" x14ac:dyDescent="0.3">
      <c r="A2284" s="2">
        <v>8330346</v>
      </c>
      <c r="B2284" s="2">
        <v>58</v>
      </c>
      <c r="C2284" s="2" t="s">
        <v>5</v>
      </c>
      <c r="D2284" s="2">
        <v>100</v>
      </c>
      <c r="E2284" s="2"/>
      <c r="F2284" s="4" t="str">
        <f>HYPERLINK("./Results/DLO\20180701_1.3.12.2.1107.5.1.4.54310.30000018070923133301500042769_3_512_512_\Osteo_Sarco_1.png","RPT")</f>
        <v>RPT</v>
      </c>
      <c r="G2284" s="3">
        <v>150</v>
      </c>
      <c r="H2284" s="3"/>
    </row>
    <row r="2285" spans="1:8" x14ac:dyDescent="0.3">
      <c r="A2285" s="2">
        <v>8332648</v>
      </c>
      <c r="B2285" s="2">
        <v>66</v>
      </c>
      <c r="C2285" s="2" t="s">
        <v>5</v>
      </c>
      <c r="D2285" s="2">
        <v>100</v>
      </c>
      <c r="E2285" s="2"/>
      <c r="F2285" s="4" t="str">
        <f>HYPERLINK("./Results/DLO\20180301_1.2.840.113619.2.416.181139148714382962716989907052394024392_2_512_512_\Osteo_Sarco_1.png","RPT")</f>
        <v>RPT</v>
      </c>
      <c r="G2285" s="3">
        <v>123</v>
      </c>
      <c r="H2285" s="3"/>
    </row>
    <row r="2286" spans="1:8" x14ac:dyDescent="0.3">
      <c r="A2286" s="2">
        <v>8332648</v>
      </c>
      <c r="B2286" s="2">
        <v>66</v>
      </c>
      <c r="C2286" s="2" t="s">
        <v>5</v>
      </c>
      <c r="D2286" s="2">
        <v>140</v>
      </c>
      <c r="E2286" s="2"/>
      <c r="F2286" s="4" t="str">
        <f>HYPERLINK("./Results/DLO\20180301_1.2.410.200069.10820110185.1012000.20250820083652038443_93051_512_512_\Osteo_Sarco_1.png","RPT")</f>
        <v>RPT</v>
      </c>
      <c r="G2286" s="3">
        <v>105</v>
      </c>
      <c r="H2286" s="3"/>
    </row>
    <row r="2287" spans="1:8" x14ac:dyDescent="0.3">
      <c r="A2287" s="2">
        <v>8332648</v>
      </c>
      <c r="B2287" s="2">
        <v>66</v>
      </c>
      <c r="C2287" s="2" t="s">
        <v>5</v>
      </c>
      <c r="D2287" s="2">
        <v>140</v>
      </c>
      <c r="E2287" s="2"/>
      <c r="F2287" s="4" t="str">
        <f>HYPERLINK("./Results/DLO\20180301_1.2.840.113619.2.416.154347656020520626496312640919836779802_305_512_512_\Osteo_Sarco_1.png","RPT")</f>
        <v>RPT</v>
      </c>
      <c r="G2287" s="3">
        <v>104</v>
      </c>
      <c r="H2287" s="3"/>
    </row>
    <row r="2288" spans="1:8" x14ac:dyDescent="0.3">
      <c r="A2288" s="2">
        <v>8333031</v>
      </c>
      <c r="B2288" s="2">
        <v>47</v>
      </c>
      <c r="C2288" s="2" t="s">
        <v>6</v>
      </c>
      <c r="D2288" s="2">
        <v>140</v>
      </c>
      <c r="E2288" s="2"/>
      <c r="F2288" s="4" t="str">
        <f>HYPERLINK("./Results/DLO\20180201_1.2.840.113619.2.416.52473257537089238103863028330472693965_303_512_512_\Osteo_Sarco_1.png","RPT")</f>
        <v>RPT</v>
      </c>
      <c r="G2288" s="3">
        <v>127</v>
      </c>
      <c r="H2288" s="3"/>
    </row>
    <row r="2289" spans="1:8" x14ac:dyDescent="0.3">
      <c r="A2289" s="2">
        <v>8333031</v>
      </c>
      <c r="B2289" s="2">
        <v>47</v>
      </c>
      <c r="C2289" s="2" t="s">
        <v>6</v>
      </c>
      <c r="D2289" s="2">
        <v>140</v>
      </c>
      <c r="E2289" s="2"/>
      <c r="F2289" s="4" t="str">
        <f>HYPERLINK("./Results/DLO\20180201_1.2.840.113619.2.416.185744669131869555483349717824831944110_3_512_512_\Osteo_Sarco_1.png","RPT")</f>
        <v>RPT</v>
      </c>
      <c r="G2289" s="3">
        <v>124</v>
      </c>
      <c r="H2289" s="3"/>
    </row>
    <row r="2290" spans="1:8" x14ac:dyDescent="0.3">
      <c r="A2290" s="2">
        <v>8338393</v>
      </c>
      <c r="B2290" s="2">
        <v>58</v>
      </c>
      <c r="C2290" s="2" t="s">
        <v>6</v>
      </c>
      <c r="D2290" s="2">
        <v>100</v>
      </c>
      <c r="E2290" s="2"/>
      <c r="F2290" s="4" t="str">
        <f>HYPERLINK("./Results/DLO\20180501_1.2.840.113619.2.416.335343522219183779223431816483276944831_303_512_512_\Osteo_Sarco_1.png","RPT")</f>
        <v>RPT</v>
      </c>
      <c r="G2290" s="3">
        <v>102</v>
      </c>
      <c r="H2290" s="3"/>
    </row>
    <row r="2291" spans="1:8" x14ac:dyDescent="0.3">
      <c r="A2291" s="2">
        <v>8339453</v>
      </c>
      <c r="B2291" s="2">
        <v>58</v>
      </c>
      <c r="C2291" s="2" t="s">
        <v>6</v>
      </c>
      <c r="D2291" s="2">
        <v>100</v>
      </c>
      <c r="E2291" s="2"/>
      <c r="F2291" s="4" t="str">
        <f>HYPERLINK("./Results/DLO\20190701_1.3.46.670589.33.1.63698266386376474300001.5263389273209554650_301_512_512_\Osteo_Sarco_1.png","RPT")</f>
        <v>RPT</v>
      </c>
      <c r="G2291" s="3">
        <v>93</v>
      </c>
      <c r="H2291" s="3"/>
    </row>
    <row r="2292" spans="1:8" x14ac:dyDescent="0.3">
      <c r="A2292" s="2">
        <v>8339453</v>
      </c>
      <c r="B2292" s="2">
        <v>58</v>
      </c>
      <c r="C2292" s="2" t="s">
        <v>6</v>
      </c>
      <c r="D2292" s="2">
        <v>100</v>
      </c>
      <c r="E2292" s="2"/>
      <c r="F2292" s="4" t="str">
        <f>HYPERLINK("./Results/DLO\20190701_1.3.46.670589.33.1.63698266183104847800001.5702169899904581371_201_512_512_\Osteo_Sarco_1.png","RPT")</f>
        <v>RPT</v>
      </c>
      <c r="G2292" s="3">
        <v>89</v>
      </c>
      <c r="H2292" s="3"/>
    </row>
    <row r="2293" spans="1:8" x14ac:dyDescent="0.3">
      <c r="A2293" s="2">
        <v>8343755</v>
      </c>
      <c r="B2293" s="2">
        <v>57</v>
      </c>
      <c r="C2293" s="2" t="s">
        <v>6</v>
      </c>
      <c r="D2293" s="2">
        <v>100</v>
      </c>
      <c r="E2293" s="2"/>
      <c r="F2293" s="4" t="str">
        <f>HYPERLINK("./Results/DLO\20181001_1.3.12.2.1107.5.1.4.54310.30000018093023302303100005658_2_512_512_\Osteo_Sarco_1.png","RPT")</f>
        <v>RPT</v>
      </c>
      <c r="G2293" s="3">
        <v>121</v>
      </c>
      <c r="H2293" s="3"/>
    </row>
    <row r="2294" spans="1:8" x14ac:dyDescent="0.3">
      <c r="A2294" s="2">
        <v>8349946</v>
      </c>
      <c r="B2294" s="2">
        <v>57</v>
      </c>
      <c r="C2294" s="2" t="s">
        <v>5</v>
      </c>
      <c r="D2294" s="2">
        <v>100</v>
      </c>
      <c r="E2294" s="2"/>
      <c r="F2294" s="4" t="str">
        <f>HYPERLINK("./Results/DLO\20180101_1.3.12.2.1107.5.1.4.54310.30000018010723300587500007635_2_512_512_\Osteo_Sarco_1.png","RPT")</f>
        <v>RPT</v>
      </c>
      <c r="G2294" s="3">
        <v>151</v>
      </c>
      <c r="H2294" s="3"/>
    </row>
    <row r="2295" spans="1:8" x14ac:dyDescent="0.3">
      <c r="A2295" s="2">
        <v>8350164</v>
      </c>
      <c r="B2295" s="2">
        <v>57</v>
      </c>
      <c r="C2295" s="2" t="s">
        <v>6</v>
      </c>
      <c r="D2295" s="2">
        <v>120</v>
      </c>
      <c r="E2295" s="2"/>
      <c r="F2295" s="4" t="str">
        <f>HYPERLINK("./Results/DLO\20190101_1.2.410.100011.172.16.64.22.6369309450824596241.6_6_512_512_\Osteo_Sarco_1.png","RPT")</f>
        <v>RPT</v>
      </c>
      <c r="G2295" s="3">
        <v>105</v>
      </c>
      <c r="H2295" s="3"/>
    </row>
    <row r="2296" spans="1:8" x14ac:dyDescent="0.3">
      <c r="A2296" s="2">
        <v>8350164</v>
      </c>
      <c r="B2296" s="2">
        <v>57</v>
      </c>
      <c r="C2296" s="2" t="s">
        <v>6</v>
      </c>
      <c r="D2296" s="2">
        <v>120</v>
      </c>
      <c r="E2296" s="2"/>
      <c r="F2296" s="4" t="str">
        <f>HYPERLINK("./Results/DLO\20190101_1.2.410.100011.172.16.64.22.6369309450824596241.3_3_512_512_\Osteo_Sarco_1.png","RPT")</f>
        <v>RPT</v>
      </c>
      <c r="G2296" s="3">
        <v>101</v>
      </c>
      <c r="H2296" s="3"/>
    </row>
    <row r="2297" spans="1:8" x14ac:dyDescent="0.3">
      <c r="A2297" s="2">
        <v>8350164</v>
      </c>
      <c r="B2297" s="2">
        <v>57</v>
      </c>
      <c r="C2297" s="2" t="s">
        <v>6</v>
      </c>
      <c r="D2297" s="2">
        <v>120</v>
      </c>
      <c r="E2297" s="2"/>
      <c r="F2297" s="4" t="str">
        <f>HYPERLINK("./Results/DLO\20190101_1.2.410.100011.172.16.64.22.6369309450824596241.2_2_512_512_\Osteo_Sarco_1.png","RPT")</f>
        <v>RPT</v>
      </c>
      <c r="G2297" s="3">
        <v>100</v>
      </c>
      <c r="H2297" s="3"/>
    </row>
    <row r="2298" spans="1:8" x14ac:dyDescent="0.3">
      <c r="A2298" s="2">
        <v>8360085</v>
      </c>
      <c r="B2298" s="2">
        <v>52</v>
      </c>
      <c r="C2298" s="2" t="s">
        <v>6</v>
      </c>
      <c r="D2298" s="2">
        <v>100</v>
      </c>
      <c r="E2298" s="2"/>
      <c r="F2298" s="4" t="str">
        <f>HYPERLINK("./Results/DLO\20200401_1.2.840.113619.2.416.138201351012552655142584816599579553613_310_512_512_\Osteo_Sarco_1.png","RPT")</f>
        <v>RPT</v>
      </c>
      <c r="G2298" s="3">
        <v>101</v>
      </c>
      <c r="H2298" s="3"/>
    </row>
    <row r="2299" spans="1:8" x14ac:dyDescent="0.3">
      <c r="A2299" s="2">
        <v>8364628</v>
      </c>
      <c r="B2299" s="2">
        <v>56</v>
      </c>
      <c r="C2299" s="2" t="s">
        <v>5</v>
      </c>
      <c r="D2299" s="2">
        <v>100</v>
      </c>
      <c r="E2299" s="2"/>
      <c r="F2299" s="4" t="str">
        <f>HYPERLINK("./Results/DLO\20191201_1.3.12.2.1107.5.1.4.54310.30000019120822065890600014829_7_512_512_\Osteo_Sarco_1.png","RPT")</f>
        <v>RPT</v>
      </c>
      <c r="G2299" s="3">
        <v>156</v>
      </c>
      <c r="H2299" s="3"/>
    </row>
    <row r="2300" spans="1:8" x14ac:dyDescent="0.3">
      <c r="A2300" s="2">
        <v>8364859</v>
      </c>
      <c r="B2300" s="2">
        <v>72</v>
      </c>
      <c r="C2300" s="2" t="s">
        <v>5</v>
      </c>
      <c r="D2300" s="2">
        <v>100</v>
      </c>
      <c r="E2300" s="2"/>
      <c r="F2300" s="4" t="str">
        <f>HYPERLINK("./Results/DLO\20180701_1.3.12.2.1107.5.1.4.65253.30000018072918500783200074542_9_512_512_\Osteo_Sarco_1.png","RPT")</f>
        <v>RPT</v>
      </c>
      <c r="G2300" s="3">
        <v>112</v>
      </c>
      <c r="H2300" s="3"/>
    </row>
    <row r="2301" spans="1:8" x14ac:dyDescent="0.3">
      <c r="A2301" s="2">
        <v>8364859</v>
      </c>
      <c r="B2301" s="2">
        <v>72</v>
      </c>
      <c r="C2301" s="2" t="s">
        <v>5</v>
      </c>
      <c r="D2301" s="2">
        <v>100</v>
      </c>
      <c r="E2301" s="2"/>
      <c r="F2301" s="4" t="str">
        <f>HYPERLINK("./Results/DLO\20180701_1.3.12.2.1107.5.1.4.65253.30000018072918500783200073184_2_512_512_\Osteo_Sarco_1.png","RPT")</f>
        <v>RPT</v>
      </c>
      <c r="G2301" s="3">
        <v>110</v>
      </c>
      <c r="H2301" s="3"/>
    </row>
    <row r="2302" spans="1:8" x14ac:dyDescent="0.3">
      <c r="A2302" s="2">
        <v>8364859</v>
      </c>
      <c r="B2302" s="2">
        <v>72</v>
      </c>
      <c r="C2302" s="2" t="s">
        <v>5</v>
      </c>
      <c r="D2302" s="2">
        <v>100</v>
      </c>
      <c r="E2302" s="2"/>
      <c r="F2302" s="4" t="str">
        <f>HYPERLINK("./Results/DLO\20180701_1.3.12.2.1107.5.1.4.65253.30000018072918500783200074253_7_512_512_\Osteo_Sarco_1.png","RPT")</f>
        <v>RPT</v>
      </c>
      <c r="G2302" s="3">
        <v>105</v>
      </c>
      <c r="H2302" s="3"/>
    </row>
    <row r="2303" spans="1:8" x14ac:dyDescent="0.3">
      <c r="A2303" s="2">
        <v>8364859</v>
      </c>
      <c r="B2303" s="2">
        <v>72</v>
      </c>
      <c r="C2303" s="2" t="s">
        <v>5</v>
      </c>
      <c r="D2303" s="2">
        <v>100</v>
      </c>
      <c r="E2303" s="2"/>
      <c r="F2303" s="4" t="str">
        <f>HYPERLINK("./Results/DLO\20180701_1.3.12.2.1107.5.1.4.65253.30000018072918500783200073355_5_512_512_\Osteo_Sarco_1.png","RPT")</f>
        <v>RPT</v>
      </c>
      <c r="G2303" s="3">
        <v>60</v>
      </c>
      <c r="H2303" s="3"/>
    </row>
    <row r="2304" spans="1:8" x14ac:dyDescent="0.3">
      <c r="A2304" s="2">
        <v>8366765</v>
      </c>
      <c r="B2304" s="2">
        <v>57</v>
      </c>
      <c r="C2304" s="2" t="s">
        <v>5</v>
      </c>
      <c r="D2304" s="2">
        <v>100</v>
      </c>
      <c r="E2304" s="2"/>
      <c r="F2304" s="4" t="str">
        <f>HYPERLINK("./Results/DLO\20180201_1.2.840.113619.2.311.159685549445192673318176094701042640274_304_512_512_\Osteo_Sarco_1.png","RPT")</f>
        <v>RPT</v>
      </c>
      <c r="G2304" s="3">
        <v>146</v>
      </c>
      <c r="H2304" s="3"/>
    </row>
    <row r="2305" spans="1:8" x14ac:dyDescent="0.3">
      <c r="A2305" s="2">
        <v>8367371</v>
      </c>
      <c r="B2305" s="2">
        <v>50</v>
      </c>
      <c r="C2305" s="2" t="s">
        <v>6</v>
      </c>
      <c r="D2305" s="2">
        <v>100</v>
      </c>
      <c r="E2305" s="2"/>
      <c r="F2305" s="4" t="str">
        <f>HYPERLINK("./Results/DLO\20181001_1.2.840.113619.2.311.80167016604111018908336688025922933908_305_512_512_\Osteo_Sarco_1.png","RPT")</f>
        <v>RPT</v>
      </c>
      <c r="G2305" s="3">
        <v>106</v>
      </c>
      <c r="H2305" s="3"/>
    </row>
    <row r="2306" spans="1:8" x14ac:dyDescent="0.3">
      <c r="A2306" s="2">
        <v>8367607</v>
      </c>
      <c r="B2306" s="2">
        <v>87</v>
      </c>
      <c r="C2306" s="2" t="s">
        <v>6</v>
      </c>
      <c r="D2306" s="2">
        <v>100</v>
      </c>
      <c r="E2306" s="2"/>
      <c r="F2306" s="4" t="str">
        <f>HYPERLINK("./Results/DLO\20190501_1.3.12.2.1107.5.1.4.65253.30000019051319530377800131811_3_512_512_\Osteo_Sarco_1.png","RPT")</f>
        <v>RPT</v>
      </c>
      <c r="G2306" s="3">
        <v>86</v>
      </c>
      <c r="H2306" s="3"/>
    </row>
    <row r="2307" spans="1:8" x14ac:dyDescent="0.3">
      <c r="A2307" s="2">
        <v>8367607</v>
      </c>
      <c r="B2307" s="2">
        <v>87</v>
      </c>
      <c r="C2307" s="2" t="s">
        <v>6</v>
      </c>
      <c r="D2307" s="2">
        <v>100</v>
      </c>
      <c r="E2307" s="2"/>
      <c r="F2307" s="4" t="str">
        <f>HYPERLINK("./Results/DLO\20190501_1.3.12.2.1107.5.1.4.65253.30000019051319530377800131672_2_512_512_\Osteo_Sarco_1.png","RPT")</f>
        <v>RPT</v>
      </c>
      <c r="G2307" s="3">
        <v>76</v>
      </c>
      <c r="H2307" s="3"/>
    </row>
    <row r="2308" spans="1:8" x14ac:dyDescent="0.3">
      <c r="A2308" s="2">
        <v>8369009</v>
      </c>
      <c r="B2308" s="2">
        <v>33</v>
      </c>
      <c r="C2308" s="2" t="s">
        <v>6</v>
      </c>
      <c r="D2308" s="2">
        <v>100</v>
      </c>
      <c r="E2308" s="2"/>
      <c r="F2308" s="4" t="str">
        <f>HYPERLINK("./Results/DLO\20180801_1.2.840.113619.2.311.196373782538498542583868578401622774797_304_512_512_\Osteo_Sarco_1.png","RPT")</f>
        <v>RPT</v>
      </c>
      <c r="G2308" s="3">
        <v>102</v>
      </c>
      <c r="H2308" s="3"/>
    </row>
    <row r="2309" spans="1:8" x14ac:dyDescent="0.3">
      <c r="A2309" s="2">
        <v>8369113</v>
      </c>
      <c r="B2309" s="2">
        <v>61</v>
      </c>
      <c r="C2309" s="2" t="s">
        <v>6</v>
      </c>
      <c r="D2309" s="2">
        <v>140</v>
      </c>
      <c r="E2309" s="2"/>
      <c r="F2309" s="4" t="str">
        <f>HYPERLINK("./Results/DLO\20180201_1.2.840.113619.2.416.327073809641464901624547961715169893313_303_512_512_\Osteo_Sarco_1.png","RPT")</f>
        <v>RPT</v>
      </c>
      <c r="G2309" s="3">
        <v>133</v>
      </c>
      <c r="H2309" s="3"/>
    </row>
    <row r="2310" spans="1:8" x14ac:dyDescent="0.3">
      <c r="A2310" s="2">
        <v>8369113</v>
      </c>
      <c r="B2310" s="2">
        <v>61</v>
      </c>
      <c r="C2310" s="2" t="s">
        <v>6</v>
      </c>
      <c r="D2310" s="2">
        <v>140</v>
      </c>
      <c r="E2310" s="2"/>
      <c r="F2310" s="4" t="str">
        <f>HYPERLINK("./Results/DLO\20180201_1.2.840.113619.2.416.239309294591650326400184342313437693961_2_512_512_\Osteo_Sarco_1.png","RPT")</f>
        <v>RPT</v>
      </c>
      <c r="G2310" s="3">
        <v>131</v>
      </c>
      <c r="H2310" s="3"/>
    </row>
    <row r="2311" spans="1:8" x14ac:dyDescent="0.3">
      <c r="A2311" s="2">
        <v>8372404</v>
      </c>
      <c r="B2311" s="2">
        <v>56</v>
      </c>
      <c r="C2311" s="2" t="s">
        <v>6</v>
      </c>
      <c r="D2311" s="2">
        <v>100</v>
      </c>
      <c r="E2311" s="2"/>
      <c r="F2311" s="4" t="str">
        <f>HYPERLINK("./Results/DLO\20180101_1.3.12.2.1107.5.1.4.54310.30000018010823111673400040191_2_512_512_\Osteo_Sarco_1.png","RPT")</f>
        <v>RPT</v>
      </c>
      <c r="G2311" s="3">
        <v>111</v>
      </c>
      <c r="H2311" s="3"/>
    </row>
    <row r="2312" spans="1:8" x14ac:dyDescent="0.3">
      <c r="A2312" s="2">
        <v>8372909</v>
      </c>
      <c r="B2312" s="2">
        <v>52</v>
      </c>
      <c r="C2312" s="2" t="s">
        <v>6</v>
      </c>
      <c r="D2312" s="2">
        <v>100</v>
      </c>
      <c r="E2312" s="2"/>
      <c r="F2312" s="4" t="str">
        <f>HYPERLINK("./Results/DLO\20180801_1.2.840.113619.2.416.195504952652595062566436346105207517905_304_512_512_\Osteo_Sarco_1.png","RPT")</f>
        <v>RPT</v>
      </c>
      <c r="G2312" s="3">
        <v>122</v>
      </c>
      <c r="H2312" s="3"/>
    </row>
    <row r="2313" spans="1:8" x14ac:dyDescent="0.3">
      <c r="A2313" s="2">
        <v>8379109</v>
      </c>
      <c r="B2313" s="2">
        <v>67</v>
      </c>
      <c r="C2313" s="2" t="s">
        <v>5</v>
      </c>
      <c r="D2313" s="2">
        <v>140</v>
      </c>
      <c r="E2313" s="2"/>
      <c r="F2313" s="4" t="str">
        <f>HYPERLINK("./Results/DLO\20191201_1.2.840.113619.2.416.2091608773918618603053711170092892173_306_512_512_\Osteo_Sarco_1.png","RPT")</f>
        <v>RPT</v>
      </c>
      <c r="G2313" s="3">
        <v>127</v>
      </c>
      <c r="H2313" s="3"/>
    </row>
    <row r="2314" spans="1:8" x14ac:dyDescent="0.3">
      <c r="A2314" s="2">
        <v>8379109</v>
      </c>
      <c r="B2314" s="2">
        <v>67</v>
      </c>
      <c r="C2314" s="2" t="s">
        <v>5</v>
      </c>
      <c r="D2314" s="2">
        <v>140</v>
      </c>
      <c r="E2314" s="2"/>
      <c r="F2314" s="4" t="str">
        <f>HYPERLINK("./Results/DLO\20191201_1.2.840.113619.2.416.63843258648249382125570304563164909111_303_512_512_\Osteo_Sarco_1.png","RPT")</f>
        <v>RPT</v>
      </c>
      <c r="G2314" s="3">
        <v>125</v>
      </c>
      <c r="H2314" s="3"/>
    </row>
    <row r="2315" spans="1:8" x14ac:dyDescent="0.3">
      <c r="A2315" s="2">
        <v>8379109</v>
      </c>
      <c r="B2315" s="2">
        <v>67</v>
      </c>
      <c r="C2315" s="2" t="s">
        <v>5</v>
      </c>
      <c r="D2315" s="2">
        <v>140</v>
      </c>
      <c r="E2315" s="2"/>
      <c r="F2315" s="4" t="str">
        <f>HYPERLINK("./Results/DLO\20191201_1.2.840.113619.2.416.156599376362935702902289196045156507401_2_512_512_\Osteo_Sarco_1.png","RPT")</f>
        <v>RPT</v>
      </c>
      <c r="G2315" s="3">
        <v>122</v>
      </c>
      <c r="H2315" s="3"/>
    </row>
    <row r="2316" spans="1:8" x14ac:dyDescent="0.3">
      <c r="A2316" s="2">
        <v>8379109</v>
      </c>
      <c r="B2316" s="2">
        <v>67</v>
      </c>
      <c r="C2316" s="2" t="s">
        <v>5</v>
      </c>
      <c r="D2316" s="2">
        <v>140</v>
      </c>
      <c r="E2316" s="2"/>
      <c r="F2316" s="4" t="str">
        <f>HYPERLINK("./Results/DLO\20191201_1.2.840.113619.2.416.185453623599434998395946668446390612693_301_512_512_\Osteo_Sarco_1.png","RPT")</f>
        <v>RPT</v>
      </c>
      <c r="G2316" s="3">
        <v>122</v>
      </c>
      <c r="H2316" s="3"/>
    </row>
    <row r="2317" spans="1:8" x14ac:dyDescent="0.3">
      <c r="A2317" s="2">
        <v>8381753</v>
      </c>
      <c r="B2317" s="2">
        <v>57</v>
      </c>
      <c r="C2317" s="2" t="s">
        <v>5</v>
      </c>
      <c r="D2317" s="2">
        <v>100</v>
      </c>
      <c r="E2317" s="2"/>
      <c r="F2317" s="4" t="str">
        <f>HYPERLINK("./Results/DLO\20190201_1.3.12.2.1107.5.1.4.54310.30000019022523304521800014571_2_512_512_\Osteo_Sarco_1.png","RPT")</f>
        <v>RPT</v>
      </c>
      <c r="G2317" s="3">
        <v>144</v>
      </c>
      <c r="H2317" s="3"/>
    </row>
    <row r="2318" spans="1:8" x14ac:dyDescent="0.3">
      <c r="A2318" s="2">
        <v>8382147</v>
      </c>
      <c r="B2318" s="2">
        <v>66</v>
      </c>
      <c r="C2318" s="2" t="s">
        <v>6</v>
      </c>
      <c r="D2318" s="2">
        <v>100</v>
      </c>
      <c r="E2318" s="2"/>
      <c r="F2318" s="4" t="str">
        <f>HYPERLINK("./Results/DLO\20180801_1.3.12.2.1107.5.1.4.54310.30000018073123323842100005187_2_512_512_\Osteo_Sarco_1.png","RPT")</f>
        <v>RPT</v>
      </c>
      <c r="G2318" s="3">
        <v>101</v>
      </c>
      <c r="H2318" s="3"/>
    </row>
    <row r="2319" spans="1:8" x14ac:dyDescent="0.3">
      <c r="A2319" s="2">
        <v>8382866</v>
      </c>
      <c r="B2319" s="2">
        <v>64</v>
      </c>
      <c r="C2319" s="2" t="s">
        <v>5</v>
      </c>
      <c r="D2319" s="2">
        <v>100</v>
      </c>
      <c r="E2319" s="2"/>
      <c r="F2319" s="4" t="str">
        <f>HYPERLINK("./Results/DLO\20180301_1.2.840.113619.2.416.64020552591007960127964572396378503121_304_512_512_\Osteo_Sarco_1.png","RPT")</f>
        <v>RPT</v>
      </c>
      <c r="G2319" s="3">
        <v>177</v>
      </c>
      <c r="H2319" s="3"/>
    </row>
    <row r="2320" spans="1:8" x14ac:dyDescent="0.3">
      <c r="A2320" s="2">
        <v>8384371</v>
      </c>
      <c r="B2320" s="2">
        <v>63</v>
      </c>
      <c r="C2320" s="2" t="s">
        <v>6</v>
      </c>
      <c r="D2320" s="2">
        <v>100</v>
      </c>
      <c r="E2320" s="2"/>
      <c r="F2320" s="4" t="str">
        <f>HYPERLINK("./Results/DLO\20181101_1.3.12.2.1107.5.1.4.54310.30000018111223223626500007283_2_512_512_\Osteo_Sarco_1.png","RPT")</f>
        <v>RPT</v>
      </c>
      <c r="G2320" s="3">
        <v>105</v>
      </c>
      <c r="H2320" s="3"/>
    </row>
    <row r="2321" spans="1:8" x14ac:dyDescent="0.3">
      <c r="A2321" s="2">
        <v>8389226</v>
      </c>
      <c r="B2321" s="2">
        <v>67</v>
      </c>
      <c r="C2321" s="2" t="s">
        <v>5</v>
      </c>
      <c r="D2321" s="2">
        <v>100</v>
      </c>
      <c r="E2321" s="2"/>
      <c r="F2321" s="4" t="str">
        <f>HYPERLINK("./Results/DLO\20190401_1.3.46.670589.33.1.63691173834391312400001.5662460587168457038_201_512_512_\Osteo_Sarco_1.png","RPT")</f>
        <v>RPT</v>
      </c>
      <c r="G2321" s="3">
        <v>160</v>
      </c>
      <c r="H2321" s="3"/>
    </row>
    <row r="2322" spans="1:8" x14ac:dyDescent="0.3">
      <c r="A2322" s="2">
        <v>8395622</v>
      </c>
      <c r="B2322" s="2">
        <v>56</v>
      </c>
      <c r="C2322" s="2" t="s">
        <v>6</v>
      </c>
      <c r="D2322" s="2">
        <v>140</v>
      </c>
      <c r="E2322" s="2"/>
      <c r="F2322" s="4" t="str">
        <f>HYPERLINK("./Results/DLO\20181101_1.2.840.113619.2.416.290313214914492060396083011482393405477_308_512_512_\Osteo_Sarco_1.png","RPT")</f>
        <v>RPT</v>
      </c>
      <c r="G2322" s="3">
        <v>119</v>
      </c>
      <c r="H2322" s="3"/>
    </row>
    <row r="2323" spans="1:8" x14ac:dyDescent="0.3">
      <c r="A2323" s="2">
        <v>8395622</v>
      </c>
      <c r="B2323" s="2">
        <v>56</v>
      </c>
      <c r="C2323" s="2" t="s">
        <v>6</v>
      </c>
      <c r="D2323" s="2">
        <v>140</v>
      </c>
      <c r="E2323" s="2"/>
      <c r="F2323" s="4" t="str">
        <f>HYPERLINK("./Results/DLO\20181101_1.2.840.113619.2.416.94454317115689909445809615417412061800_305_512_512_\Osteo_Sarco_1.png","RPT")</f>
        <v>RPT</v>
      </c>
      <c r="G2323" s="3">
        <v>118</v>
      </c>
      <c r="H2323" s="3"/>
    </row>
    <row r="2324" spans="1:8" x14ac:dyDescent="0.3">
      <c r="A2324" s="2">
        <v>8395622</v>
      </c>
      <c r="B2324" s="2">
        <v>56</v>
      </c>
      <c r="C2324" s="2" t="s">
        <v>6</v>
      </c>
      <c r="D2324" s="2">
        <v>140</v>
      </c>
      <c r="E2324" s="2"/>
      <c r="F2324" s="4" t="str">
        <f>HYPERLINK("./Results/DLO\20181101_1.2.840.113619.2.416.146470696319739092053791378612620503014_303_512_512_\Osteo_Sarco_1.png","RPT")</f>
        <v>RPT</v>
      </c>
      <c r="G2324" s="3">
        <v>116</v>
      </c>
      <c r="H2324" s="3"/>
    </row>
    <row r="2325" spans="1:8" x14ac:dyDescent="0.3">
      <c r="A2325" s="2">
        <v>8395622</v>
      </c>
      <c r="B2325" s="2">
        <v>56</v>
      </c>
      <c r="C2325" s="2" t="s">
        <v>6</v>
      </c>
      <c r="D2325" s="2">
        <v>140</v>
      </c>
      <c r="E2325" s="2"/>
      <c r="F2325" s="4" t="str">
        <f>HYPERLINK("./Results/DLO\20181101_1.2.840.113619.2.416.89234303869846078855004733696897209685_301_512_512_\Osteo_Sarco_1.png","RPT")</f>
        <v>RPT</v>
      </c>
      <c r="G2325" s="3">
        <v>116</v>
      </c>
      <c r="H2325" s="3"/>
    </row>
    <row r="2326" spans="1:8" x14ac:dyDescent="0.3">
      <c r="A2326" s="2">
        <v>8398393</v>
      </c>
      <c r="B2326" s="2">
        <v>57</v>
      </c>
      <c r="C2326" s="2" t="s">
        <v>6</v>
      </c>
      <c r="D2326" s="2">
        <v>100</v>
      </c>
      <c r="E2326" s="2"/>
      <c r="F2326" s="4" t="str">
        <f>HYPERLINK("./Results/DLO\20180801_1.3.12.2.1107.5.1.4.65253.30000018083020022700600019606_2_512_512_\Osteo_Sarco_1.png","RPT")</f>
        <v>RPT</v>
      </c>
      <c r="G2326" s="3">
        <v>105</v>
      </c>
      <c r="H2326" s="3"/>
    </row>
    <row r="2327" spans="1:8" x14ac:dyDescent="0.3">
      <c r="A2327" s="2">
        <v>8398393</v>
      </c>
      <c r="B2327" s="2">
        <v>57</v>
      </c>
      <c r="C2327" s="2" t="s">
        <v>6</v>
      </c>
      <c r="D2327" s="2">
        <v>100</v>
      </c>
      <c r="E2327" s="2"/>
      <c r="F2327" s="4" t="str">
        <f>HYPERLINK("./Results/DLO\20180801_1.3.12.2.1107.5.1.4.65253.30000018083020022700600020854_3_512_512_\Osteo_Sarco_1.png","RPT")</f>
        <v>RPT</v>
      </c>
      <c r="G2327" s="3">
        <v>105</v>
      </c>
      <c r="H2327" s="3"/>
    </row>
    <row r="2328" spans="1:8" x14ac:dyDescent="0.3">
      <c r="A2328" s="2">
        <v>8398705</v>
      </c>
      <c r="B2328" s="2">
        <v>79</v>
      </c>
      <c r="C2328" s="2" t="s">
        <v>5</v>
      </c>
      <c r="D2328" s="2">
        <v>140</v>
      </c>
      <c r="E2328" s="2"/>
      <c r="F2328" s="4" t="str">
        <f>HYPERLINK("./Results/DLO\20190201_1.2.840.113619.2.416.49323760339582106985410467591582684427_302_512_512_\Osteo_Sarco_1.png","RPT")</f>
        <v>RPT</v>
      </c>
      <c r="G2328" s="3">
        <v>137</v>
      </c>
      <c r="H2328" s="3"/>
    </row>
    <row r="2329" spans="1:8" x14ac:dyDescent="0.3">
      <c r="A2329" s="2">
        <v>8398705</v>
      </c>
      <c r="B2329" s="2">
        <v>79</v>
      </c>
      <c r="C2329" s="2" t="s">
        <v>5</v>
      </c>
      <c r="D2329" s="2">
        <v>120</v>
      </c>
      <c r="E2329" s="2"/>
      <c r="F2329" s="4" t="str">
        <f>HYPERLINK("./Results/DLO\20190201_1.2.840.113619.2.416.154113651777619452501585961369890046076_2_512_512_\Osteo_Sarco_1.png","RPT")</f>
        <v>RPT</v>
      </c>
      <c r="G2329" s="3">
        <v>135</v>
      </c>
      <c r="H2329" s="3"/>
    </row>
    <row r="2330" spans="1:8" x14ac:dyDescent="0.3">
      <c r="A2330" s="2">
        <v>8399145</v>
      </c>
      <c r="B2330" s="2">
        <v>47</v>
      </c>
      <c r="C2330" s="2" t="s">
        <v>6</v>
      </c>
      <c r="D2330" s="2">
        <v>100</v>
      </c>
      <c r="E2330" s="2"/>
      <c r="F2330" s="4" t="str">
        <f>HYPERLINK("./Results/DLO\20180201_1.3.12.2.1107.5.1.4.54310.30000018020423031940600000000_2_512_512_\Osteo_Sarco_1.png","RPT")</f>
        <v>RPT</v>
      </c>
      <c r="G2330" s="3">
        <v>124</v>
      </c>
      <c r="H2330" s="3"/>
    </row>
    <row r="2331" spans="1:8" x14ac:dyDescent="0.3">
      <c r="A2331" s="2">
        <v>8401452</v>
      </c>
      <c r="B2331" s="2">
        <v>52</v>
      </c>
      <c r="C2331" s="2" t="s">
        <v>6</v>
      </c>
      <c r="D2331" s="2">
        <v>100</v>
      </c>
      <c r="E2331" s="2"/>
      <c r="F2331" s="4" t="str">
        <f>HYPERLINK("./Results/DLO\20190701_1.2.840.113619.2.416.240782565220230105612301884311334230396_310_512_512_\Osteo_Sarco_1.png","RPT")</f>
        <v>RPT</v>
      </c>
      <c r="G2331" s="3">
        <v>105</v>
      </c>
      <c r="H2331" s="3"/>
    </row>
    <row r="2332" spans="1:8" x14ac:dyDescent="0.3">
      <c r="A2332" s="2">
        <v>8403235</v>
      </c>
      <c r="B2332" s="2">
        <v>52</v>
      </c>
      <c r="C2332" s="2" t="s">
        <v>6</v>
      </c>
      <c r="D2332" s="2">
        <v>120</v>
      </c>
      <c r="E2332" s="2"/>
      <c r="F2332" s="4" t="str">
        <f>HYPERLINK("./Results/DLO\20190301_1.2.410.100011.172.24.16.217.6368788977595762801.3_3_512_512_\Osteo_Sarco_1.png","RPT")</f>
        <v>RPT</v>
      </c>
      <c r="G2332" s="3">
        <v>93</v>
      </c>
      <c r="H2332" s="3"/>
    </row>
    <row r="2333" spans="1:8" x14ac:dyDescent="0.3">
      <c r="A2333" s="2">
        <v>8403235</v>
      </c>
      <c r="B2333" s="2">
        <v>52</v>
      </c>
      <c r="C2333" s="2" t="s">
        <v>6</v>
      </c>
      <c r="D2333" s="2">
        <v>120</v>
      </c>
      <c r="E2333" s="2"/>
      <c r="F2333" s="4" t="str">
        <f>HYPERLINK("./Results/DLO\20190301_1.2.410.100011.172.24.16.217.6368788977595762801.2_2_512_512_\Osteo_Sarco_1.png","RPT")</f>
        <v>RPT</v>
      </c>
      <c r="G2333" s="3">
        <v>91</v>
      </c>
      <c r="H2333" s="3"/>
    </row>
    <row r="2334" spans="1:8" x14ac:dyDescent="0.3">
      <c r="A2334" s="2">
        <v>8404285</v>
      </c>
      <c r="B2334" s="2">
        <v>54</v>
      </c>
      <c r="C2334" s="2" t="s">
        <v>6</v>
      </c>
      <c r="D2334" s="2">
        <v>100</v>
      </c>
      <c r="E2334" s="2"/>
      <c r="F2334" s="4" t="str">
        <f>HYPERLINK("./Results/DLO\20180701_1.3.12.2.1107.5.1.4.65253.30000018071400384924300006001_2_512_512_\Osteo_Sarco_1.png","RPT")</f>
        <v>RPT</v>
      </c>
      <c r="G2334" s="3">
        <v>123</v>
      </c>
      <c r="H2334" s="3"/>
    </row>
    <row r="2335" spans="1:8" x14ac:dyDescent="0.3">
      <c r="A2335" s="2">
        <v>8404870</v>
      </c>
      <c r="B2335" s="2">
        <v>48</v>
      </c>
      <c r="C2335" s="2" t="s">
        <v>5</v>
      </c>
      <c r="D2335" s="2">
        <v>100</v>
      </c>
      <c r="E2335" s="2"/>
      <c r="F2335" s="4" t="str">
        <f>HYPERLINK("./Results/DLO\20191001_1.3.46.670589.33.1.63706127697040791800001.5325952671196259374_201_512_512_\Osteo_Sarco_1.png","RPT")</f>
        <v>RPT</v>
      </c>
      <c r="G2335" s="3">
        <v>194</v>
      </c>
      <c r="H2335" s="3"/>
    </row>
    <row r="2336" spans="1:8" x14ac:dyDescent="0.3">
      <c r="A2336" s="2">
        <v>8405417</v>
      </c>
      <c r="B2336" s="2">
        <v>48</v>
      </c>
      <c r="C2336" s="2" t="s">
        <v>6</v>
      </c>
      <c r="D2336" s="2">
        <v>100</v>
      </c>
      <c r="E2336" s="2"/>
      <c r="F2336" s="4" t="str">
        <f>HYPERLINK("./Results/DLO\20190801_1.3.12.2.1107.5.1.4.54310.30000019081822233132800050346_7_512_512_\Osteo_Sarco_1.png","RPT")</f>
        <v>RPT</v>
      </c>
      <c r="G2336" s="3">
        <v>138</v>
      </c>
      <c r="H2336" s="3"/>
    </row>
    <row r="2337" spans="1:8" x14ac:dyDescent="0.3">
      <c r="A2337" s="2">
        <v>8405801</v>
      </c>
      <c r="B2337" s="2">
        <v>70</v>
      </c>
      <c r="C2337" s="2" t="s">
        <v>5</v>
      </c>
      <c r="D2337" s="2">
        <v>100</v>
      </c>
      <c r="E2337" s="2"/>
      <c r="F2337" s="4" t="str">
        <f>HYPERLINK("./Results/DLO\20180201_1.2.840.113619.2.311.137116019944845267450278139592769872057_2_512_512_\Osteo_Sarco_1.png","RPT")</f>
        <v>RPT</v>
      </c>
      <c r="G2337" s="3">
        <v>140</v>
      </c>
      <c r="H2337" s="3"/>
    </row>
    <row r="2338" spans="1:8" x14ac:dyDescent="0.3">
      <c r="A2338" s="2">
        <v>8405801</v>
      </c>
      <c r="B2338" s="2">
        <v>70</v>
      </c>
      <c r="C2338" s="2" t="s">
        <v>5</v>
      </c>
      <c r="D2338" s="2">
        <v>140</v>
      </c>
      <c r="E2338" s="2"/>
      <c r="F2338" s="4" t="str">
        <f>HYPERLINK("./Results/DLO\20180201_1.2.410.200069.10820110185.1012000.20250820084353020890_93051_512_512_\Osteo_Sarco_1.png","RPT")</f>
        <v>RPT</v>
      </c>
      <c r="G2338" s="3">
        <v>128</v>
      </c>
      <c r="H2338" s="3"/>
    </row>
    <row r="2339" spans="1:8" x14ac:dyDescent="0.3">
      <c r="A2339" s="2">
        <v>8405801</v>
      </c>
      <c r="B2339" s="2">
        <v>70</v>
      </c>
      <c r="C2339" s="2" t="s">
        <v>5</v>
      </c>
      <c r="D2339" s="2">
        <v>140</v>
      </c>
      <c r="E2339" s="2"/>
      <c r="F2339" s="4" t="str">
        <f>HYPERLINK("./Results/DLO\20180201_1.2.410.200069.80820110186.1160115.20250820084346054665_730516_512_512_\Osteo_Sarco_1.png","RPT")</f>
        <v>RPT</v>
      </c>
      <c r="G2339" s="3">
        <v>121</v>
      </c>
      <c r="H2339" s="3"/>
    </row>
    <row r="2340" spans="1:8" x14ac:dyDescent="0.3">
      <c r="A2340" s="2">
        <v>8405801</v>
      </c>
      <c r="B2340" s="2">
        <v>70</v>
      </c>
      <c r="C2340" s="2" t="s">
        <v>5</v>
      </c>
      <c r="D2340" s="2">
        <v>140</v>
      </c>
      <c r="E2340" s="2"/>
      <c r="F2340" s="4" t="str">
        <f>HYPERLINK("./Results/DLO\20180201_1.2.840.113619.2.311.329298183584894361042563564344466127513_305_512_512_\Osteo_Sarco_1.png","RPT")</f>
        <v>RPT</v>
      </c>
      <c r="G2340" s="3">
        <v>120</v>
      </c>
      <c r="H2340" s="3"/>
    </row>
    <row r="2341" spans="1:8" x14ac:dyDescent="0.3">
      <c r="A2341" s="2">
        <v>8408564</v>
      </c>
      <c r="B2341" s="2">
        <v>54</v>
      </c>
      <c r="C2341" s="2" t="s">
        <v>5</v>
      </c>
      <c r="D2341" s="2">
        <v>100</v>
      </c>
      <c r="E2341" s="2"/>
      <c r="F2341" s="4" t="str">
        <f>HYPERLINK("./Results/DLO\20180401_1.3.12.2.1107.5.1.4.54310.30000018040623365414000001759_2_512_512_\Osteo_Sarco_1.png","RPT")</f>
        <v>RPT</v>
      </c>
      <c r="G2341" s="3">
        <v>141</v>
      </c>
      <c r="H2341" s="3"/>
    </row>
    <row r="2342" spans="1:8" x14ac:dyDescent="0.3">
      <c r="A2342" s="2">
        <v>8411396</v>
      </c>
      <c r="B2342" s="2">
        <v>29</v>
      </c>
      <c r="C2342" s="2" t="s">
        <v>5</v>
      </c>
      <c r="D2342" s="2">
        <v>100</v>
      </c>
      <c r="E2342" s="2"/>
      <c r="F2342" s="4" t="str">
        <f>HYPERLINK("./Results/DLO\20180601_1.3.12.2.1107.5.1.4.54310.30000018060823520751500004749_2_512_512_\Osteo_Sarco_1.png","RPT")</f>
        <v>RPT</v>
      </c>
      <c r="G2342" s="3">
        <v>148</v>
      </c>
      <c r="H2342" s="3"/>
    </row>
    <row r="2343" spans="1:8" x14ac:dyDescent="0.3">
      <c r="A2343" s="2">
        <v>8414266</v>
      </c>
      <c r="B2343" s="2">
        <v>59</v>
      </c>
      <c r="C2343" s="2" t="s">
        <v>5</v>
      </c>
      <c r="D2343" s="2">
        <v>100</v>
      </c>
      <c r="E2343" s="2"/>
      <c r="F2343" s="4" t="str">
        <f>HYPERLINK("./Results/DLO\20190101_1.2.410.100011.172.16.68.202.6368454070287785255.5.8_8_512_512_\Osteo_Sarco_1.png","RPT")</f>
        <v>RPT</v>
      </c>
      <c r="G2343" s="3">
        <v>160</v>
      </c>
      <c r="H2343" s="3"/>
    </row>
    <row r="2344" spans="1:8" x14ac:dyDescent="0.3">
      <c r="A2344" s="2">
        <v>8414266</v>
      </c>
      <c r="B2344" s="2">
        <v>59</v>
      </c>
      <c r="C2344" s="2" t="s">
        <v>5</v>
      </c>
      <c r="D2344" s="2">
        <v>100</v>
      </c>
      <c r="E2344" s="2"/>
      <c r="F2344" s="4" t="str">
        <f>HYPERLINK("./Results/DLO\20190101_1.2.410.100011.172.16.68.202.6368454070287785255.4.6_6_512_512_\Osteo_Sarco_1.png","RPT")</f>
        <v>RPT</v>
      </c>
      <c r="G2344" s="3">
        <v>159</v>
      </c>
      <c r="H2344" s="3"/>
    </row>
    <row r="2345" spans="1:8" x14ac:dyDescent="0.3">
      <c r="A2345" s="2">
        <v>8414266</v>
      </c>
      <c r="B2345" s="2">
        <v>59</v>
      </c>
      <c r="C2345" s="2" t="s">
        <v>5</v>
      </c>
      <c r="D2345" s="2">
        <v>100</v>
      </c>
      <c r="E2345" s="2"/>
      <c r="F2345" s="4" t="str">
        <f>HYPERLINK("./Results/DLO\20190101_1.2.410.100011.172.16.68.202.6368454070287785255.3.5_5_512_512_\Osteo_Sarco_1.png","RPT")</f>
        <v>RPT</v>
      </c>
      <c r="G2345" s="3">
        <v>157</v>
      </c>
      <c r="H2345" s="3"/>
    </row>
    <row r="2346" spans="1:8" x14ac:dyDescent="0.3">
      <c r="A2346" s="2">
        <v>8414266</v>
      </c>
      <c r="B2346" s="2">
        <v>59</v>
      </c>
      <c r="C2346" s="2" t="s">
        <v>5</v>
      </c>
      <c r="D2346" s="2">
        <v>100</v>
      </c>
      <c r="E2346" s="2"/>
      <c r="F2346" s="4" t="str">
        <f>HYPERLINK("./Results/DLO\20190101_1.2.410.100011.172.16.68.202.6368454070287785255.2.3_3_512_512_\Osteo_Sarco_1.png","RPT")</f>
        <v>RPT</v>
      </c>
      <c r="G2346" s="3">
        <v>154</v>
      </c>
      <c r="H2346" s="3"/>
    </row>
    <row r="2347" spans="1:8" x14ac:dyDescent="0.3">
      <c r="A2347" s="2">
        <v>8415113</v>
      </c>
      <c r="B2347" s="2">
        <v>63</v>
      </c>
      <c r="C2347" s="2" t="s">
        <v>5</v>
      </c>
      <c r="D2347" s="2">
        <v>100</v>
      </c>
      <c r="E2347" s="2"/>
      <c r="F2347" s="4" t="str">
        <f>HYPERLINK("./Results/DLO\20190101_1.3.12.2.1107.5.1.4.54310.30000019012323404510900010888_2_512_512_\Osteo_Sarco_1.png","RPT")</f>
        <v>RPT</v>
      </c>
      <c r="G2347" s="3">
        <v>128</v>
      </c>
      <c r="H2347" s="3"/>
    </row>
    <row r="2348" spans="1:8" x14ac:dyDescent="0.3">
      <c r="A2348" s="2">
        <v>8418711</v>
      </c>
      <c r="B2348" s="2">
        <v>64</v>
      </c>
      <c r="C2348" s="2" t="s">
        <v>5</v>
      </c>
      <c r="D2348" s="2">
        <v>100</v>
      </c>
      <c r="E2348" s="2"/>
      <c r="F2348" s="4" t="str">
        <f>HYPERLINK("./Results/DLO\20190501_1.2.840.113619.2.416.141609215373217003195097922872904013625_310_512_512_\Osteo_Sarco_1.png","RPT")</f>
        <v>RPT</v>
      </c>
      <c r="G2348" s="3">
        <v>159</v>
      </c>
      <c r="H2348" s="3"/>
    </row>
    <row r="2349" spans="1:8" x14ac:dyDescent="0.3">
      <c r="A2349" s="2">
        <v>8419166</v>
      </c>
      <c r="B2349" s="2">
        <v>52</v>
      </c>
      <c r="C2349" s="2" t="s">
        <v>6</v>
      </c>
      <c r="D2349" s="2">
        <v>100</v>
      </c>
      <c r="E2349" s="2"/>
      <c r="F2349" s="4" t="str">
        <f>HYPERLINK("./Results/DLO\20181101_1.3.12.2.1107.5.1.4.54310.30000018112223114085900002510_2_512_512_\Osteo_Sarco_1.png","RPT")</f>
        <v>RPT</v>
      </c>
      <c r="G2349" s="3">
        <v>124</v>
      </c>
      <c r="H2349" s="3"/>
    </row>
    <row r="2350" spans="1:8" x14ac:dyDescent="0.3">
      <c r="A2350" s="2">
        <v>8422522</v>
      </c>
      <c r="B2350" s="2">
        <v>41</v>
      </c>
      <c r="C2350" s="2" t="s">
        <v>6</v>
      </c>
      <c r="D2350" s="2">
        <v>100</v>
      </c>
      <c r="E2350" s="2"/>
      <c r="F2350" s="4" t="str">
        <f>HYPERLINK("./Results/DLO\20191001_1.3.46.670589.33.1.63706057388437539900001.5189477553891579746_601_512_512_\Osteo_Sarco_1.png","RPT")</f>
        <v>RPT</v>
      </c>
      <c r="G2350" s="3">
        <v>108</v>
      </c>
      <c r="H2350" s="3"/>
    </row>
    <row r="2351" spans="1:8" x14ac:dyDescent="0.3">
      <c r="A2351" s="2">
        <v>8422522</v>
      </c>
      <c r="B2351" s="2">
        <v>41</v>
      </c>
      <c r="C2351" s="2" t="s">
        <v>6</v>
      </c>
      <c r="D2351" s="2">
        <v>100</v>
      </c>
      <c r="E2351" s="2"/>
      <c r="F2351" s="4" t="str">
        <f>HYPERLINK("./Results/DLO\20191001_1.3.46.670589.33.1.63706057219132856200001.5572305772928837636_201_512_512_\Osteo_Sarco_1.png","RPT")</f>
        <v>RPT</v>
      </c>
      <c r="G2351" s="3">
        <v>106</v>
      </c>
      <c r="H2351" s="3"/>
    </row>
    <row r="2352" spans="1:8" x14ac:dyDescent="0.3">
      <c r="A2352" s="2">
        <v>8422522</v>
      </c>
      <c r="B2352" s="2">
        <v>41</v>
      </c>
      <c r="C2352" s="2" t="s">
        <v>6</v>
      </c>
      <c r="D2352" s="2">
        <v>100</v>
      </c>
      <c r="E2352" s="2"/>
      <c r="F2352" s="4" t="str">
        <f>HYPERLINK("./Results/DLO\20191001_1.3.46.670589.33.1.63706057334791471500001.5384563894146004199_501_512_512_\Osteo_Sarco_1.png","RPT")</f>
        <v>RPT</v>
      </c>
      <c r="G2352" s="3">
        <v>105</v>
      </c>
      <c r="H2352" s="3"/>
    </row>
    <row r="2353" spans="1:8" x14ac:dyDescent="0.3">
      <c r="A2353" s="2">
        <v>8423022</v>
      </c>
      <c r="B2353" s="2">
        <v>86</v>
      </c>
      <c r="C2353" s="2" t="s">
        <v>5</v>
      </c>
      <c r="D2353" s="2">
        <v>100</v>
      </c>
      <c r="E2353" s="2"/>
      <c r="F2353" s="4" t="str">
        <f>HYPERLINK("./Results/DLO\20180101_1.2.840.113619.2.311.305265965492533481822607514998030992112_304_512_512_\Osteo_Sarco_1.png","RPT")</f>
        <v>RPT</v>
      </c>
      <c r="G2353" s="3">
        <v>112</v>
      </c>
      <c r="H2353" s="3"/>
    </row>
    <row r="2354" spans="1:8" x14ac:dyDescent="0.3">
      <c r="A2354" s="2">
        <v>8423858</v>
      </c>
      <c r="B2354" s="2">
        <v>66</v>
      </c>
      <c r="C2354" s="2" t="s">
        <v>5</v>
      </c>
      <c r="D2354" s="2">
        <v>100</v>
      </c>
      <c r="E2354" s="2"/>
      <c r="F2354" s="4" t="str">
        <f>HYPERLINK("./Results/DLO\20181101_1.3.12.2.1107.5.1.4.65253.30000018111118325192100023260_2_512_512_\Osteo_Sarco_1.png","RPT")</f>
        <v>RPT</v>
      </c>
      <c r="G2354" s="3">
        <v>133</v>
      </c>
      <c r="H2354" s="3"/>
    </row>
    <row r="2355" spans="1:8" x14ac:dyDescent="0.3">
      <c r="A2355" s="2">
        <v>8425448</v>
      </c>
      <c r="B2355" s="2">
        <v>49</v>
      </c>
      <c r="C2355" s="2" t="s">
        <v>5</v>
      </c>
      <c r="D2355" s="2">
        <v>100</v>
      </c>
      <c r="E2355" s="2"/>
      <c r="F2355" s="4" t="str">
        <f>HYPERLINK("./Results/DLO\20181101_1.3.46.670589.33.1.63676745659305182300001.4739951345838071587_201_512_512_\Osteo_Sarco_1.png","RPT")</f>
        <v>RPT</v>
      </c>
      <c r="G2355" s="3">
        <v>185</v>
      </c>
      <c r="H2355" s="3"/>
    </row>
    <row r="2356" spans="1:8" x14ac:dyDescent="0.3">
      <c r="A2356" s="2">
        <v>8427417</v>
      </c>
      <c r="B2356" s="2">
        <v>69</v>
      </c>
      <c r="C2356" s="2" t="s">
        <v>6</v>
      </c>
      <c r="D2356" s="2">
        <v>100</v>
      </c>
      <c r="E2356" s="2"/>
      <c r="F2356" s="4" t="str">
        <f>HYPERLINK("./Results/DLO\20190101_1.3.12.2.1107.5.1.4.65253.30000019011421155662400009006_2_512_512_\Osteo_Sarco_1.png","RPT")</f>
        <v>RPT</v>
      </c>
      <c r="G2356" s="3">
        <v>98</v>
      </c>
      <c r="H2356" s="3"/>
    </row>
    <row r="2357" spans="1:8" x14ac:dyDescent="0.3">
      <c r="A2357" s="2">
        <v>8429407</v>
      </c>
      <c r="B2357" s="2">
        <v>60</v>
      </c>
      <c r="C2357" s="2" t="s">
        <v>6</v>
      </c>
      <c r="D2357" s="2">
        <v>100</v>
      </c>
      <c r="E2357" s="2"/>
      <c r="F2357" s="4" t="str">
        <f>HYPERLINK("./Results/DLO\20190101_1.2.840.113619.2.94.485650834948.2.9319026.20311005.1_2_512_512_\Osteo_Sarco_1.png","RPT")</f>
        <v>RPT</v>
      </c>
      <c r="G2357" s="3">
        <v>86</v>
      </c>
      <c r="H2357" s="3"/>
    </row>
    <row r="2358" spans="1:8" x14ac:dyDescent="0.3">
      <c r="A2358" s="2">
        <v>8429740</v>
      </c>
      <c r="B2358" s="2">
        <v>74</v>
      </c>
      <c r="C2358" s="2" t="s">
        <v>5</v>
      </c>
      <c r="D2358" s="2">
        <v>100</v>
      </c>
      <c r="E2358" s="2"/>
      <c r="F2358" s="4" t="str">
        <f>HYPERLINK("./Results/DLO\20180701_1.2.840.113619.2.311.8014371033188699789804096479788905407_304_512_512_\Osteo_Sarco_1.png","RPT")</f>
        <v>RPT</v>
      </c>
      <c r="G2358" s="3">
        <v>120</v>
      </c>
      <c r="H2358" s="3"/>
    </row>
    <row r="2359" spans="1:8" x14ac:dyDescent="0.3">
      <c r="A2359" s="2">
        <v>8431150</v>
      </c>
      <c r="B2359" s="2">
        <v>56</v>
      </c>
      <c r="C2359" s="2" t="s">
        <v>6</v>
      </c>
      <c r="D2359" s="2">
        <v>100</v>
      </c>
      <c r="E2359" s="2"/>
      <c r="F2359" s="4" t="str">
        <f>HYPERLINK("./Results/DLO\20190601_1.2.840.113619.2.416.74023941507664375799573197957487680857_310_512_512_\Osteo_Sarco_1.png","RPT")</f>
        <v>RPT</v>
      </c>
      <c r="G2359" s="3">
        <v>124</v>
      </c>
      <c r="H2359" s="3"/>
    </row>
    <row r="2360" spans="1:8" x14ac:dyDescent="0.3">
      <c r="A2360" s="2">
        <v>8433410</v>
      </c>
      <c r="B2360" s="2">
        <v>53</v>
      </c>
      <c r="C2360" s="2" t="s">
        <v>5</v>
      </c>
      <c r="D2360" s="2">
        <v>120</v>
      </c>
      <c r="E2360" s="2"/>
      <c r="F2360" s="4" t="str">
        <f>HYPERLINK("./Results/DLO\20181201_1.2.410.100011.172.16.68.202.6368979152827827475.2.201_201_512_512_\Osteo_Sarco_1.png","RPT")</f>
        <v>RPT</v>
      </c>
      <c r="G2360" s="3">
        <v>173</v>
      </c>
      <c r="H2360" s="3"/>
    </row>
    <row r="2361" spans="1:8" x14ac:dyDescent="0.3">
      <c r="A2361" s="2">
        <v>8433410</v>
      </c>
      <c r="B2361" s="2">
        <v>53</v>
      </c>
      <c r="C2361" s="2" t="s">
        <v>5</v>
      </c>
      <c r="D2361" s="2">
        <v>120</v>
      </c>
      <c r="E2361" s="2"/>
      <c r="F2361" s="4" t="str">
        <f>HYPERLINK("./Results/DLO\20181201_1.2.410.100011.172.16.68.202.6368979152827827475.3.301_301_512_512_\Osteo_Sarco_1.png","RPT")</f>
        <v>RPT</v>
      </c>
      <c r="G2361" s="3">
        <v>173</v>
      </c>
      <c r="H2361" s="3"/>
    </row>
    <row r="2362" spans="1:8" x14ac:dyDescent="0.3">
      <c r="A2362" s="2">
        <v>8433847</v>
      </c>
      <c r="B2362" s="2">
        <v>48</v>
      </c>
      <c r="C2362" s="2" t="s">
        <v>5</v>
      </c>
      <c r="D2362" s="2">
        <v>100</v>
      </c>
      <c r="E2362" s="2"/>
      <c r="F2362" s="4" t="str">
        <f>HYPERLINK("./Results/DLO\20180701_1.3.12.2.1107.5.1.4.65253.30000018072021135576000044083_2_512_512_\Osteo_Sarco_1.png","RPT")</f>
        <v>RPT</v>
      </c>
      <c r="G2362" s="3">
        <v>171</v>
      </c>
      <c r="H2362" s="3"/>
    </row>
    <row r="2363" spans="1:8" x14ac:dyDescent="0.3">
      <c r="A2363" s="2">
        <v>8436389</v>
      </c>
      <c r="B2363" s="2">
        <v>36</v>
      </c>
      <c r="C2363" s="2" t="s">
        <v>5</v>
      </c>
      <c r="D2363" s="2">
        <v>100</v>
      </c>
      <c r="E2363" s="2"/>
      <c r="F2363" s="4" t="str">
        <f>HYPERLINK("./Results/DLO\20180601_1.3.12.2.1107.5.1.4.65253.30000018061020144610600016080_2_512_512_\Osteo_Sarco_1.png","RPT")</f>
        <v>RPT</v>
      </c>
      <c r="G2363" s="3">
        <v>137</v>
      </c>
      <c r="H2363" s="3"/>
    </row>
    <row r="2364" spans="1:8" x14ac:dyDescent="0.3">
      <c r="A2364" s="2">
        <v>8436389</v>
      </c>
      <c r="B2364" s="2">
        <v>36</v>
      </c>
      <c r="C2364" s="2" t="s">
        <v>5</v>
      </c>
      <c r="D2364" s="2">
        <v>100</v>
      </c>
      <c r="E2364" s="2"/>
      <c r="F2364" s="4" t="str">
        <f>HYPERLINK("./Results/DLO\20180601_1.3.12.2.1107.5.1.4.65253.30000018061020144610600016241_3_512_512_\Osteo_Sarco_1.png","RPT")</f>
        <v>RPT</v>
      </c>
      <c r="G2364" s="3">
        <v>137</v>
      </c>
      <c r="H2364" s="3"/>
    </row>
    <row r="2365" spans="1:8" x14ac:dyDescent="0.3">
      <c r="A2365" s="2">
        <v>8438295</v>
      </c>
      <c r="B2365" s="2">
        <v>66</v>
      </c>
      <c r="C2365" s="2" t="s">
        <v>6</v>
      </c>
      <c r="D2365" s="2">
        <v>100</v>
      </c>
      <c r="E2365" s="2"/>
      <c r="F2365" s="4" t="str">
        <f>HYPERLINK("./Results/DLO\20190501_1.3.46.670589.33.1.63693427080520215000001.4661263248934935021_601_512_512_\Osteo_Sarco_1.png","RPT")</f>
        <v>RPT</v>
      </c>
      <c r="G2365" s="3">
        <v>110</v>
      </c>
      <c r="H2365" s="3"/>
    </row>
    <row r="2366" spans="1:8" x14ac:dyDescent="0.3">
      <c r="A2366" s="2">
        <v>8438840</v>
      </c>
      <c r="B2366" s="2">
        <v>55</v>
      </c>
      <c r="C2366" s="2" t="s">
        <v>6</v>
      </c>
      <c r="D2366" s="2">
        <v>140</v>
      </c>
      <c r="E2366" s="2"/>
      <c r="F2366" s="4" t="str">
        <f>HYPERLINK("./Results/DLO\20180601_1.2.840.113619.2.416.24113956901439774439454456541465703027_303_512_512_\Osteo_Sarco_1.png","RPT")</f>
        <v>RPT</v>
      </c>
      <c r="G2366" s="3">
        <v>126</v>
      </c>
      <c r="H2366" s="3"/>
    </row>
    <row r="2367" spans="1:8" x14ac:dyDescent="0.3">
      <c r="A2367" s="2">
        <v>8438840</v>
      </c>
      <c r="B2367" s="2">
        <v>55</v>
      </c>
      <c r="C2367" s="2" t="s">
        <v>6</v>
      </c>
      <c r="D2367" s="2">
        <v>140</v>
      </c>
      <c r="E2367" s="2"/>
      <c r="F2367" s="4" t="str">
        <f>HYPERLINK("./Results/DLO\20180601_1.2.840.113619.2.416.156272047510177275916210357837793854088_302_512_512_\Osteo_Sarco_1.png","RPT")</f>
        <v>RPT</v>
      </c>
      <c r="G2367" s="3">
        <v>123</v>
      </c>
      <c r="H2367" s="3"/>
    </row>
    <row r="2368" spans="1:8" x14ac:dyDescent="0.3">
      <c r="A2368" s="2">
        <v>8441839</v>
      </c>
      <c r="B2368" s="2">
        <v>39</v>
      </c>
      <c r="C2368" s="2" t="s">
        <v>6</v>
      </c>
      <c r="D2368" s="2">
        <v>100</v>
      </c>
      <c r="E2368" s="2"/>
      <c r="F2368" s="4" t="str">
        <f>HYPERLINK("./Results/DLO\20200501_1.2.840.113619.2.416.232680416464345963689647870057027769241_307_512_512_\Osteo_Sarco_1.png","RPT")</f>
        <v>RPT</v>
      </c>
      <c r="G2368" s="3">
        <v>117</v>
      </c>
      <c r="H2368" s="3"/>
    </row>
    <row r="2369" spans="1:8" x14ac:dyDescent="0.3">
      <c r="A2369" s="2">
        <v>8442223</v>
      </c>
      <c r="B2369" s="2">
        <v>66</v>
      </c>
      <c r="C2369" s="2" t="s">
        <v>6</v>
      </c>
      <c r="D2369" s="2">
        <v>100</v>
      </c>
      <c r="E2369" s="2"/>
      <c r="F2369" s="4" t="str">
        <f>HYPERLINK("./Results/DLO\20190901_1.3.46.670589.33.1.63704934974823464100001.5311532725695470729_401_512_512_\Osteo_Sarco_1.png","RPT")</f>
        <v>RPT</v>
      </c>
      <c r="G2369" s="3">
        <v>119</v>
      </c>
      <c r="H2369" s="3"/>
    </row>
    <row r="2370" spans="1:8" x14ac:dyDescent="0.3">
      <c r="A2370" s="2">
        <v>8442223</v>
      </c>
      <c r="B2370" s="2">
        <v>66</v>
      </c>
      <c r="C2370" s="2" t="s">
        <v>6</v>
      </c>
      <c r="D2370" s="2">
        <v>100</v>
      </c>
      <c r="E2370" s="2"/>
      <c r="F2370" s="4" t="str">
        <f>HYPERLINK("./Results/DLO\20190901_1.3.46.670589.33.1.63704934872861632200001.5508562973041299025_301_512_512_\Osteo_Sarco_1.png","RPT")</f>
        <v>RPT</v>
      </c>
      <c r="G2370" s="3">
        <v>117</v>
      </c>
      <c r="H2370" s="3"/>
    </row>
    <row r="2371" spans="1:8" x14ac:dyDescent="0.3">
      <c r="A2371" s="2">
        <v>8442223</v>
      </c>
      <c r="B2371" s="2">
        <v>66</v>
      </c>
      <c r="C2371" s="2" t="s">
        <v>6</v>
      </c>
      <c r="D2371" s="2">
        <v>100</v>
      </c>
      <c r="E2371" s="2"/>
      <c r="F2371" s="4" t="str">
        <f>HYPERLINK("./Results/DLO\20190901_1.3.46.670589.33.1.63704934744198273100001.4899003395628805735_201_512_512_\Osteo_Sarco_1.png","RPT")</f>
        <v>RPT</v>
      </c>
      <c r="G2371" s="3">
        <v>115</v>
      </c>
      <c r="H2371" s="3"/>
    </row>
    <row r="2372" spans="1:8" x14ac:dyDescent="0.3">
      <c r="A2372" s="2">
        <v>8443140</v>
      </c>
      <c r="B2372" s="2">
        <v>57</v>
      </c>
      <c r="C2372" s="2" t="s">
        <v>6</v>
      </c>
      <c r="D2372" s="2">
        <v>140</v>
      </c>
      <c r="E2372" s="2"/>
      <c r="F2372" s="4" t="str">
        <f>HYPERLINK("./Results/DLO\20180801_1.2.840.113619.2.416.303429856847086193390202183138588125166_303_512_512_\Osteo_Sarco_1.png","RPT")</f>
        <v>RPT</v>
      </c>
      <c r="G2372" s="3">
        <v>100</v>
      </c>
      <c r="H2372" s="3"/>
    </row>
    <row r="2373" spans="1:8" x14ac:dyDescent="0.3">
      <c r="A2373" s="2">
        <v>8443140</v>
      </c>
      <c r="B2373" s="2">
        <v>57</v>
      </c>
      <c r="C2373" s="2" t="s">
        <v>6</v>
      </c>
      <c r="D2373" s="2">
        <v>140</v>
      </c>
      <c r="E2373" s="2"/>
      <c r="F2373" s="4" t="str">
        <f>HYPERLINK("./Results/DLO\20180801_1.2.840.113619.2.416.152375666804704210115096369373774883724_308_512_512_\Osteo_Sarco_1.png","RPT")</f>
        <v>RPT</v>
      </c>
      <c r="G2373" s="3">
        <v>99</v>
      </c>
      <c r="H2373" s="3"/>
    </row>
    <row r="2374" spans="1:8" x14ac:dyDescent="0.3">
      <c r="A2374" s="2">
        <v>8443140</v>
      </c>
      <c r="B2374" s="2">
        <v>57</v>
      </c>
      <c r="C2374" s="2" t="s">
        <v>6</v>
      </c>
      <c r="D2374" s="2">
        <v>140</v>
      </c>
      <c r="E2374" s="2"/>
      <c r="F2374" s="4" t="str">
        <f>HYPERLINK("./Results/DLO\20180801_1.2.840.113619.2.416.183966185806503060904854568844069733706_301_512_512_\Osteo_Sarco_1.png","RPT")</f>
        <v>RPT</v>
      </c>
      <c r="G2374" s="3">
        <v>99</v>
      </c>
      <c r="H2374" s="3"/>
    </row>
    <row r="2375" spans="1:8" x14ac:dyDescent="0.3">
      <c r="A2375" s="2">
        <v>8443140</v>
      </c>
      <c r="B2375" s="2">
        <v>57</v>
      </c>
      <c r="C2375" s="2" t="s">
        <v>6</v>
      </c>
      <c r="D2375" s="2">
        <v>140</v>
      </c>
      <c r="E2375" s="2"/>
      <c r="F2375" s="4" t="str">
        <f>HYPERLINK("./Results/DLO\20180801_1.2.840.113619.2.416.71482871608173396346822542448210025225_305_512_512_\Osteo_Sarco_1.png","RPT")</f>
        <v>RPT</v>
      </c>
      <c r="G2375" s="3">
        <v>85</v>
      </c>
      <c r="H2375" s="3"/>
    </row>
    <row r="2376" spans="1:8" x14ac:dyDescent="0.3">
      <c r="A2376" s="2">
        <v>8447268</v>
      </c>
      <c r="B2376" s="2">
        <v>57</v>
      </c>
      <c r="C2376" s="2" t="s">
        <v>6</v>
      </c>
      <c r="D2376" s="2">
        <v>100</v>
      </c>
      <c r="E2376" s="2"/>
      <c r="F2376" s="4" t="str">
        <f>HYPERLINK("./Results/DLO\20190501_1.3.12.2.1107.5.1.4.65253.30000019050202342184700031365_2_512_512_\Osteo_Sarco_1.png","RPT")</f>
        <v>RPT</v>
      </c>
      <c r="G2376" s="3">
        <v>100</v>
      </c>
      <c r="H2376" s="3"/>
    </row>
    <row r="2377" spans="1:8" x14ac:dyDescent="0.3">
      <c r="A2377" s="2">
        <v>8447268</v>
      </c>
      <c r="B2377" s="2">
        <v>57</v>
      </c>
      <c r="C2377" s="2" t="s">
        <v>6</v>
      </c>
      <c r="D2377" s="2">
        <v>100</v>
      </c>
      <c r="E2377" s="2"/>
      <c r="F2377" s="4" t="str">
        <f>HYPERLINK("./Results/DLO\20190501_1.3.12.2.1107.5.1.4.65253.30000019050202342184700031522_3_512_512_\Osteo_Sarco_1.png","RPT")</f>
        <v>RPT</v>
      </c>
      <c r="G2377" s="3">
        <v>100</v>
      </c>
      <c r="H2377" s="3"/>
    </row>
    <row r="2378" spans="1:8" x14ac:dyDescent="0.3">
      <c r="A2378" s="2">
        <v>8450707</v>
      </c>
      <c r="B2378" s="2">
        <v>71</v>
      </c>
      <c r="C2378" s="2" t="s">
        <v>5</v>
      </c>
      <c r="D2378" s="2">
        <v>140</v>
      </c>
      <c r="E2378" s="2"/>
      <c r="F2378" s="4" t="str">
        <f>HYPERLINK("./Results/DLO\20200101_1.2.840.113619.2.416.264239402272794807749146485861908593099_306_512_512_\Osteo_Sarco_1.png","RPT")</f>
        <v>RPT</v>
      </c>
      <c r="G2378" s="3">
        <v>139</v>
      </c>
      <c r="H2378" s="3"/>
    </row>
    <row r="2379" spans="1:8" x14ac:dyDescent="0.3">
      <c r="A2379" s="2">
        <v>8450707</v>
      </c>
      <c r="B2379" s="2">
        <v>71</v>
      </c>
      <c r="C2379" s="2" t="s">
        <v>5</v>
      </c>
      <c r="D2379" s="2">
        <v>140</v>
      </c>
      <c r="E2379" s="2"/>
      <c r="F2379" s="4" t="str">
        <f>HYPERLINK("./Results/DLO\20200101_1.2.840.113619.2.416.326040115165165517168436209240218561434_303_512_512_\Osteo_Sarco_1.png","RPT")</f>
        <v>RPT</v>
      </c>
      <c r="G2379" s="3">
        <v>136</v>
      </c>
      <c r="H2379" s="3"/>
    </row>
    <row r="2380" spans="1:8" x14ac:dyDescent="0.3">
      <c r="A2380" s="2">
        <v>8450707</v>
      </c>
      <c r="B2380" s="2">
        <v>71</v>
      </c>
      <c r="C2380" s="2" t="s">
        <v>5</v>
      </c>
      <c r="D2380" s="2">
        <v>140</v>
      </c>
      <c r="E2380" s="2"/>
      <c r="F2380" s="4" t="str">
        <f>HYPERLINK("./Results/DLO\20200101_1.2.840.113619.2.416.53041210098965724691665305090935855348_301_512_512_\Osteo_Sarco_1.png","RPT")</f>
        <v>RPT</v>
      </c>
      <c r="G2380" s="3">
        <v>135</v>
      </c>
      <c r="H2380" s="3"/>
    </row>
    <row r="2381" spans="1:8" x14ac:dyDescent="0.3">
      <c r="A2381" s="2">
        <v>8450707</v>
      </c>
      <c r="B2381" s="2">
        <v>71</v>
      </c>
      <c r="C2381" s="2" t="s">
        <v>5</v>
      </c>
      <c r="D2381" s="2">
        <v>140</v>
      </c>
      <c r="E2381" s="2"/>
      <c r="F2381" s="4" t="str">
        <f>HYPERLINK("./Results/DLO\20200101_1.2.840.113619.2.416.139084201598562002912929361893001555675_2_512_512_\Osteo_Sarco_1.png","RPT")</f>
        <v>RPT</v>
      </c>
      <c r="G2381" s="3">
        <v>133</v>
      </c>
      <c r="H2381" s="3"/>
    </row>
    <row r="2382" spans="1:8" x14ac:dyDescent="0.3">
      <c r="A2382" s="2">
        <v>8451559</v>
      </c>
      <c r="B2382" s="2">
        <v>53</v>
      </c>
      <c r="C2382" s="2" t="s">
        <v>6</v>
      </c>
      <c r="D2382" s="2">
        <v>100</v>
      </c>
      <c r="E2382" s="2"/>
      <c r="F2382" s="4" t="str">
        <f>HYPERLINK("./Results/DLO\20180701_1.3.12.2.1107.5.1.4.65253.30000018071021262498800014219_7_512_512_\Osteo_Sarco_1.png","RPT")</f>
        <v>RPT</v>
      </c>
      <c r="G2382" s="3">
        <v>90</v>
      </c>
      <c r="H2382" s="3"/>
    </row>
    <row r="2383" spans="1:8" x14ac:dyDescent="0.3">
      <c r="A2383" s="2">
        <v>8451559</v>
      </c>
      <c r="B2383" s="2">
        <v>53</v>
      </c>
      <c r="C2383" s="2" t="s">
        <v>6</v>
      </c>
      <c r="D2383" s="2">
        <v>100</v>
      </c>
      <c r="E2383" s="2"/>
      <c r="F2383" s="4" t="str">
        <f>HYPERLINK("./Results/DLO\20180701_1.3.12.2.1107.5.1.4.65253.30000018071021262498800013777_5_512_512_\Osteo_Sarco_1.png","RPT")</f>
        <v>RPT</v>
      </c>
      <c r="G2383" s="3">
        <v>89</v>
      </c>
      <c r="H2383" s="3"/>
    </row>
    <row r="2384" spans="1:8" x14ac:dyDescent="0.3">
      <c r="A2384" s="2">
        <v>8451559</v>
      </c>
      <c r="B2384" s="2">
        <v>53</v>
      </c>
      <c r="C2384" s="2" t="s">
        <v>6</v>
      </c>
      <c r="D2384" s="2">
        <v>100</v>
      </c>
      <c r="E2384" s="2"/>
      <c r="F2384" s="4" t="str">
        <f>HYPERLINK("./Results/DLO\20180701_1.3.12.2.1107.5.1.4.65253.30000018071021262498800014472_9_512_512_\Osteo_Sarco_1.png","RPT")</f>
        <v>RPT</v>
      </c>
      <c r="G2384" s="3">
        <v>89</v>
      </c>
      <c r="H2384" s="3"/>
    </row>
    <row r="2385" spans="1:8" x14ac:dyDescent="0.3">
      <c r="A2385" s="2">
        <v>8451559</v>
      </c>
      <c r="B2385" s="2">
        <v>53</v>
      </c>
      <c r="C2385" s="2" t="s">
        <v>6</v>
      </c>
      <c r="D2385" s="2">
        <v>100</v>
      </c>
      <c r="E2385" s="2"/>
      <c r="F2385" s="4" t="str">
        <f>HYPERLINK("./Results/DLO\20180701_1.3.12.2.1107.5.1.4.65253.30000018071021262498800013692_2_512_512_\Osteo_Sarco_1.png","RPT")</f>
        <v>RPT</v>
      </c>
      <c r="G2385" s="3">
        <v>87</v>
      </c>
      <c r="H2385" s="3"/>
    </row>
    <row r="2386" spans="1:8" x14ac:dyDescent="0.3">
      <c r="A2386" s="2">
        <v>8451636</v>
      </c>
      <c r="B2386" s="2">
        <v>40</v>
      </c>
      <c r="C2386" s="2" t="s">
        <v>6</v>
      </c>
      <c r="D2386" s="2">
        <v>100</v>
      </c>
      <c r="E2386" s="2"/>
      <c r="F2386" s="4" t="str">
        <f>HYPERLINK("./Results/DLO\20180201_1.3.12.2.1107.5.1.4.54310.30000018020523134789000006625_2_512_512_\Osteo_Sarco_1.png","RPT")</f>
        <v>RPT</v>
      </c>
      <c r="G2386" s="3">
        <v>75</v>
      </c>
      <c r="H2386" s="3"/>
    </row>
    <row r="2387" spans="1:8" x14ac:dyDescent="0.3">
      <c r="A2387" s="2">
        <v>8452087</v>
      </c>
      <c r="B2387" s="2">
        <v>49</v>
      </c>
      <c r="C2387" s="2" t="s">
        <v>5</v>
      </c>
      <c r="D2387" s="2">
        <v>100</v>
      </c>
      <c r="E2387" s="2"/>
      <c r="F2387" s="4" t="str">
        <f>HYPERLINK("./Results/DLO\20180301_1.3.12.2.1107.5.1.4.54310.30000018030823202420300009742_2_512_512_\Osteo_Sarco_1.png","RPT")</f>
        <v>RPT</v>
      </c>
      <c r="G2387" s="3">
        <v>171</v>
      </c>
      <c r="H2387" s="3"/>
    </row>
    <row r="2388" spans="1:8" x14ac:dyDescent="0.3">
      <c r="A2388" s="2">
        <v>8452405</v>
      </c>
      <c r="B2388" s="2">
        <v>37</v>
      </c>
      <c r="C2388" s="2" t="s">
        <v>6</v>
      </c>
      <c r="D2388" s="2">
        <v>100</v>
      </c>
      <c r="E2388" s="2"/>
      <c r="F2388" s="4" t="str">
        <f>HYPERLINK("./Results/DLO\20181001_1.3.12.2.1107.5.1.4.54310.30000018101823515412500010306_2_512_512_\Osteo_Sarco_1.png","RPT")</f>
        <v>RPT</v>
      </c>
      <c r="G2388" s="3">
        <v>88</v>
      </c>
      <c r="H2388" s="3"/>
    </row>
    <row r="2389" spans="1:8" x14ac:dyDescent="0.3">
      <c r="A2389" s="2">
        <v>8454412</v>
      </c>
      <c r="B2389" s="2">
        <v>62</v>
      </c>
      <c r="C2389" s="2" t="s">
        <v>5</v>
      </c>
      <c r="D2389" s="2">
        <v>120</v>
      </c>
      <c r="E2389" s="2"/>
      <c r="F2389" s="4" t="str">
        <f>HYPERLINK("./Results/DLO\20190401_1.2.840.113619.2.311.331377471582079812038226169346510243185_2_512_512_\Osteo_Sarco_1.png","RPT")</f>
        <v>RPT</v>
      </c>
      <c r="G2389" s="3">
        <v>141</v>
      </c>
      <c r="H2389" s="3"/>
    </row>
    <row r="2390" spans="1:8" x14ac:dyDescent="0.3">
      <c r="A2390" s="2">
        <v>8454412</v>
      </c>
      <c r="B2390" s="2">
        <v>62</v>
      </c>
      <c r="C2390" s="2" t="s">
        <v>5</v>
      </c>
      <c r="D2390" s="2">
        <v>140</v>
      </c>
      <c r="E2390" s="2"/>
      <c r="F2390" s="4" t="str">
        <f>HYPERLINK("./Results/DLO\20190401_1.2.410.200069.10820110185.1012000.20250823235659074072_93041_512_512_\Osteo_Sarco_1.png","RPT")</f>
        <v>RPT</v>
      </c>
      <c r="G2390" s="3">
        <v>124</v>
      </c>
      <c r="H2390" s="3"/>
    </row>
    <row r="2391" spans="1:8" x14ac:dyDescent="0.3">
      <c r="A2391" s="2">
        <v>8454412</v>
      </c>
      <c r="B2391" s="2">
        <v>62</v>
      </c>
      <c r="C2391" s="2" t="s">
        <v>5</v>
      </c>
      <c r="D2391" s="2">
        <v>140</v>
      </c>
      <c r="E2391" s="2"/>
      <c r="F2391" s="4" t="str">
        <f>HYPERLINK("./Results/DLO\20190401_1.2.840.113619.2.311.176436326904338885681693646201057051461_304_512_512_\Osteo_Sarco_1.png","RPT")</f>
        <v>RPT</v>
      </c>
      <c r="G2391" s="3">
        <v>121</v>
      </c>
      <c r="H2391" s="3"/>
    </row>
    <row r="2392" spans="1:8" x14ac:dyDescent="0.3">
      <c r="A2392" s="2">
        <v>8454602</v>
      </c>
      <c r="B2392" s="2">
        <v>47</v>
      </c>
      <c r="C2392" s="2" t="s">
        <v>6</v>
      </c>
      <c r="D2392" s="2">
        <v>100</v>
      </c>
      <c r="E2392" s="2"/>
      <c r="F2392" s="4" t="str">
        <f>HYPERLINK("./Results/DLO\20180701_1.3.12.2.1107.5.1.4.54310.30000018070523354215600010513_2_512_512_\Osteo_Sarco_1.png","RPT")</f>
        <v>RPT</v>
      </c>
      <c r="G2392" s="3">
        <v>104</v>
      </c>
      <c r="H2392" s="3"/>
    </row>
    <row r="2393" spans="1:8" x14ac:dyDescent="0.3">
      <c r="A2393" s="2">
        <v>8455532</v>
      </c>
      <c r="B2393" s="2">
        <v>59</v>
      </c>
      <c r="C2393" s="2" t="s">
        <v>6</v>
      </c>
      <c r="D2393" s="2">
        <v>100</v>
      </c>
      <c r="E2393" s="2"/>
      <c r="F2393" s="4" t="str">
        <f>HYPERLINK("./Results/DLO\20190401_1.2.840.113619.2.416.38009505846657785379836656840532231688_305_512_512_\Osteo_Sarco_1.png","RPT")</f>
        <v>RPT</v>
      </c>
      <c r="G2393" s="3">
        <v>123</v>
      </c>
      <c r="H2393" s="3"/>
    </row>
    <row r="2394" spans="1:8" x14ac:dyDescent="0.3">
      <c r="A2394" s="2">
        <v>8456082</v>
      </c>
      <c r="B2394" s="2">
        <v>78</v>
      </c>
      <c r="C2394" s="2" t="s">
        <v>5</v>
      </c>
      <c r="D2394" s="2">
        <v>100</v>
      </c>
      <c r="E2394" s="2"/>
      <c r="F2394" s="4" t="str">
        <f>HYPERLINK("./Results/DLO\20190701_1.2.840.113619.2.416.244164162427698135645360262251438511761_310_512_512_\Osteo_Sarco_1.png","RPT")</f>
        <v>RPT</v>
      </c>
      <c r="G2394" s="3">
        <v>102</v>
      </c>
      <c r="H2394" s="3"/>
    </row>
    <row r="2395" spans="1:8" x14ac:dyDescent="0.3">
      <c r="A2395" s="2">
        <v>8457993</v>
      </c>
      <c r="B2395" s="2">
        <v>61</v>
      </c>
      <c r="C2395" s="2" t="s">
        <v>6</v>
      </c>
      <c r="D2395" s="2">
        <v>100</v>
      </c>
      <c r="E2395" s="2"/>
      <c r="F2395" s="4" t="str">
        <f>HYPERLINK("./Results/DLO\20181101_1.2.840.113619.2.311.132403999605033296892649249701721317419_304_512_512_\Osteo_Sarco_1.png","RPT")</f>
        <v>RPT</v>
      </c>
      <c r="G2395" s="3">
        <v>100</v>
      </c>
      <c r="H2395" s="3"/>
    </row>
    <row r="2396" spans="1:8" x14ac:dyDescent="0.3">
      <c r="A2396" s="2">
        <v>8460265</v>
      </c>
      <c r="B2396" s="2">
        <v>67</v>
      </c>
      <c r="C2396" s="2" t="s">
        <v>5</v>
      </c>
      <c r="D2396" s="2">
        <v>100</v>
      </c>
      <c r="E2396" s="2"/>
      <c r="F2396" s="4" t="str">
        <f>HYPERLINK("./Results/DLO\20190701_1.3.46.670589.33.1.63698524037164685700001.4613919924485118910_201_512_512_\Osteo_Sarco_1.png","RPT")</f>
        <v>RPT</v>
      </c>
      <c r="G2396" s="3">
        <v>169</v>
      </c>
      <c r="H2396" s="3"/>
    </row>
    <row r="2397" spans="1:8" x14ac:dyDescent="0.3">
      <c r="A2397" s="2">
        <v>8460265</v>
      </c>
      <c r="B2397" s="2">
        <v>67</v>
      </c>
      <c r="C2397" s="2" t="s">
        <v>5</v>
      </c>
      <c r="D2397" s="2">
        <v>100</v>
      </c>
      <c r="E2397" s="2"/>
      <c r="F2397" s="4" t="str">
        <f>HYPERLINK("./Results/DLO\20190701_1.3.46.670589.33.1.63698524284950858300001.4982583866864898951_701_512_512_\Osteo_Sarco_1.png","RPT")</f>
        <v>RPT</v>
      </c>
      <c r="G2397" s="3">
        <v>169</v>
      </c>
      <c r="H2397" s="3"/>
    </row>
    <row r="2398" spans="1:8" x14ac:dyDescent="0.3">
      <c r="A2398" s="2">
        <v>8462272</v>
      </c>
      <c r="B2398" s="2">
        <v>74</v>
      </c>
      <c r="C2398" s="2" t="s">
        <v>5</v>
      </c>
      <c r="D2398" s="2">
        <v>100</v>
      </c>
      <c r="E2398" s="2"/>
      <c r="F2398" s="4" t="str">
        <f>HYPERLINK("./Results/DLO\20190201_1.2.840.113619.2.311.104431692668443077969112696935471335428_304_512_512_\Osteo_Sarco_1.png","RPT")</f>
        <v>RPT</v>
      </c>
      <c r="G2398" s="3">
        <v>147</v>
      </c>
      <c r="H2398" s="3"/>
    </row>
    <row r="2399" spans="1:8" x14ac:dyDescent="0.3">
      <c r="A2399" s="2">
        <v>8462272</v>
      </c>
      <c r="B2399" s="2">
        <v>74</v>
      </c>
      <c r="C2399" s="2" t="s">
        <v>5</v>
      </c>
      <c r="D2399" s="2">
        <v>100</v>
      </c>
      <c r="E2399" s="2"/>
      <c r="F2399" s="4" t="str">
        <f>HYPERLINK("./Results/DLO\20190201_1.2.840.113619.2.311.241932463631599160042163479503793194023_2_512_512_\Osteo_Sarco_1.png","RPT")</f>
        <v>RPT</v>
      </c>
      <c r="G2399" s="3">
        <v>144</v>
      </c>
      <c r="H2399" s="3"/>
    </row>
    <row r="2400" spans="1:8" x14ac:dyDescent="0.3">
      <c r="A2400" s="2">
        <v>8463472</v>
      </c>
      <c r="B2400" s="2">
        <v>56</v>
      </c>
      <c r="C2400" s="2" t="s">
        <v>5</v>
      </c>
      <c r="D2400" s="2">
        <v>100</v>
      </c>
      <c r="E2400" s="2"/>
      <c r="F2400" s="4" t="str">
        <f>HYPERLINK("./Results/DLO\20190901_1.3.46.670589.33.1.63703279895731473800001.5444151021629442648_201_512_512_\Osteo_Sarco_1.png","RPT")</f>
        <v>RPT</v>
      </c>
      <c r="G2400" s="3">
        <v>188</v>
      </c>
      <c r="H2400" s="3"/>
    </row>
    <row r="2401" spans="1:8" x14ac:dyDescent="0.3">
      <c r="A2401" s="2">
        <v>8465181</v>
      </c>
      <c r="B2401" s="2">
        <v>40</v>
      </c>
      <c r="C2401" s="2" t="s">
        <v>6</v>
      </c>
      <c r="D2401" s="2">
        <v>100</v>
      </c>
      <c r="E2401" s="2"/>
      <c r="F2401" s="4" t="str">
        <f>HYPERLINK("./Results/DLO\20190901_1.3.46.670589.33.1.63703202176500537700001.5354691177786904448_201_512_512_\Osteo_Sarco_1.png","RPT")</f>
        <v>RPT</v>
      </c>
      <c r="G2401" s="3">
        <v>94</v>
      </c>
      <c r="H2401" s="3"/>
    </row>
    <row r="2402" spans="1:8" x14ac:dyDescent="0.3">
      <c r="A2402" s="2">
        <v>8472684</v>
      </c>
      <c r="B2402" s="2">
        <v>54</v>
      </c>
      <c r="C2402" s="2" t="s">
        <v>6</v>
      </c>
      <c r="D2402" s="2">
        <v>100</v>
      </c>
      <c r="E2402" s="2"/>
      <c r="F2402" s="4" t="str">
        <f>HYPERLINK("./Results/DLO\20181001_1.2.840.113619.2.94.485650834948.2.9118451.19813380.1_3_512_512_\Osteo_Sarco_1.png","RPT")</f>
        <v>RPT</v>
      </c>
      <c r="G2402" s="3">
        <v>123</v>
      </c>
      <c r="H2402" s="3"/>
    </row>
    <row r="2403" spans="1:8" x14ac:dyDescent="0.3">
      <c r="A2403" s="2">
        <v>8475956</v>
      </c>
      <c r="B2403" s="2">
        <v>66</v>
      </c>
      <c r="C2403" s="2" t="s">
        <v>5</v>
      </c>
      <c r="D2403" s="2">
        <v>100</v>
      </c>
      <c r="E2403" s="2"/>
      <c r="F2403" s="4" t="str">
        <f>HYPERLINK("./Results/DLO\20200501_1.3.46.670589.33.1.63725648751166479800001.4901424780927538066_601_512_512_\Osteo_Sarco_1.png","RPT")</f>
        <v>RPT</v>
      </c>
      <c r="G2403" s="3">
        <v>149</v>
      </c>
      <c r="H2403" s="3"/>
    </row>
    <row r="2404" spans="1:8" x14ac:dyDescent="0.3">
      <c r="A2404" s="2">
        <v>8476680</v>
      </c>
      <c r="B2404" s="2">
        <v>63</v>
      </c>
      <c r="C2404" s="2" t="s">
        <v>5</v>
      </c>
      <c r="D2404" s="2">
        <v>100</v>
      </c>
      <c r="E2404" s="2"/>
      <c r="F2404" s="4" t="str">
        <f>HYPERLINK("./Results/DLO\20190301_1.2.840.113619.2.311.119253718109012792770318254313079711595_304_512_512_\Osteo_Sarco_1.png","RPT")</f>
        <v>RPT</v>
      </c>
      <c r="G2404" s="3">
        <v>144</v>
      </c>
      <c r="H2404" s="3"/>
    </row>
    <row r="2405" spans="1:8" x14ac:dyDescent="0.3">
      <c r="A2405" s="2">
        <v>8479024</v>
      </c>
      <c r="B2405" s="2">
        <v>54</v>
      </c>
      <c r="C2405" s="2" t="s">
        <v>5</v>
      </c>
      <c r="D2405" s="2">
        <v>100</v>
      </c>
      <c r="E2405" s="2"/>
      <c r="F2405" s="4" t="str">
        <f>HYPERLINK("./Results/DLO\20191001_1.3.12.2.1107.5.1.4.65253.30000019101617195865400052415_3_512_512_\Osteo_Sarco_1.png","RPT")</f>
        <v>RPT</v>
      </c>
      <c r="G2405" s="3">
        <v>158</v>
      </c>
      <c r="H2405" s="3"/>
    </row>
    <row r="2406" spans="1:8" x14ac:dyDescent="0.3">
      <c r="A2406" s="2">
        <v>8479024</v>
      </c>
      <c r="B2406" s="2">
        <v>54</v>
      </c>
      <c r="C2406" s="2" t="s">
        <v>5</v>
      </c>
      <c r="D2406" s="2">
        <v>100</v>
      </c>
      <c r="E2406" s="2"/>
      <c r="F2406" s="4" t="str">
        <f>HYPERLINK("./Results/DLO\20191001_1.3.12.2.1107.5.1.4.65253.30000019101617195865400052252_2_512_512_\Osteo_Sarco_1.png","RPT")</f>
        <v>RPT</v>
      </c>
      <c r="G2406" s="3">
        <v>156</v>
      </c>
      <c r="H2406" s="3"/>
    </row>
    <row r="2407" spans="1:8" x14ac:dyDescent="0.3">
      <c r="A2407" s="2">
        <v>8482759</v>
      </c>
      <c r="B2407" s="2">
        <v>75</v>
      </c>
      <c r="C2407" s="2" t="s">
        <v>6</v>
      </c>
      <c r="D2407" s="2">
        <v>120</v>
      </c>
      <c r="E2407" s="2"/>
      <c r="F2407" s="4" t="str">
        <f>HYPERLINK("./Results/DLO\20190401_1.3.12.2.1107.5.1.4.54310.30000019042323311359300046700_9_512_512_\Osteo_Sarco_1.png","RPT")</f>
        <v>RPT</v>
      </c>
      <c r="G2407" s="3">
        <v>104</v>
      </c>
      <c r="H2407" s="3"/>
    </row>
    <row r="2408" spans="1:8" x14ac:dyDescent="0.3">
      <c r="A2408" s="2">
        <v>8482759</v>
      </c>
      <c r="B2408" s="2">
        <v>75</v>
      </c>
      <c r="C2408" s="2" t="s">
        <v>6</v>
      </c>
      <c r="D2408" s="2">
        <v>120</v>
      </c>
      <c r="E2408" s="2"/>
      <c r="F2408" s="4" t="str">
        <f>HYPERLINK("./Results/DLO\20190401_1.3.12.2.1107.5.1.4.54310.30000019042323311359300046108_5_512_512_\Osteo_Sarco_1.png","RPT")</f>
        <v>RPT</v>
      </c>
      <c r="G2408" s="3">
        <v>103</v>
      </c>
      <c r="H2408" s="3"/>
    </row>
    <row r="2409" spans="1:8" x14ac:dyDescent="0.3">
      <c r="A2409" s="2">
        <v>8482759</v>
      </c>
      <c r="B2409" s="2">
        <v>75</v>
      </c>
      <c r="C2409" s="2" t="s">
        <v>6</v>
      </c>
      <c r="D2409" s="2">
        <v>120</v>
      </c>
      <c r="E2409" s="2"/>
      <c r="F2409" s="4" t="str">
        <f>HYPERLINK("./Results/DLO\20190401_1.3.12.2.1107.5.1.4.54310.30000019042323311359300046442_7_512_512_\Osteo_Sarco_1.png","RPT")</f>
        <v>RPT</v>
      </c>
      <c r="G2409" s="3">
        <v>103</v>
      </c>
      <c r="H2409" s="3"/>
    </row>
    <row r="2410" spans="1:8" x14ac:dyDescent="0.3">
      <c r="A2410" s="2">
        <v>8482759</v>
      </c>
      <c r="B2410" s="2">
        <v>75</v>
      </c>
      <c r="C2410" s="2" t="s">
        <v>6</v>
      </c>
      <c r="D2410" s="2">
        <v>100</v>
      </c>
      <c r="E2410" s="2"/>
      <c r="F2410" s="4" t="str">
        <f>HYPERLINK("./Results/DLO\20190401_1.3.12.2.1107.5.1.4.54310.30000019042323311359300046025_3_512_512_\Osteo_Sarco_1.png","RPT")</f>
        <v>RPT</v>
      </c>
      <c r="G2410" s="3">
        <v>102</v>
      </c>
      <c r="H2410" s="3"/>
    </row>
    <row r="2411" spans="1:8" x14ac:dyDescent="0.3">
      <c r="A2411" s="2">
        <v>8485344</v>
      </c>
      <c r="B2411" s="2">
        <v>56</v>
      </c>
      <c r="C2411" s="2" t="s">
        <v>5</v>
      </c>
      <c r="D2411" s="2">
        <v>100</v>
      </c>
      <c r="E2411" s="2"/>
      <c r="F2411" s="4" t="str">
        <f>HYPERLINK("./Results/DLO\20180801_1.3.12.2.1107.5.1.4.65253.30000018081918425213000000782_2_512_512_\Osteo_Sarco_1.png","RPT")</f>
        <v>RPT</v>
      </c>
      <c r="G2411" s="3">
        <v>169</v>
      </c>
      <c r="H2411" s="3"/>
    </row>
    <row r="2412" spans="1:8" x14ac:dyDescent="0.3">
      <c r="A2412" s="2">
        <v>8488328</v>
      </c>
      <c r="B2412" s="2">
        <v>57</v>
      </c>
      <c r="C2412" s="2" t="s">
        <v>5</v>
      </c>
      <c r="D2412" s="2">
        <v>100</v>
      </c>
      <c r="E2412" s="2"/>
      <c r="F2412" s="4" t="str">
        <f>HYPERLINK("./Results/DLO\20191001_1.3.46.670589.33.1.63706812370693272300001.5037424852123916599_201_512_512_\Osteo_Sarco_1.png","RPT")</f>
        <v>RPT</v>
      </c>
      <c r="G2412" s="3">
        <v>187</v>
      </c>
      <c r="H2412" s="3"/>
    </row>
    <row r="2413" spans="1:8" x14ac:dyDescent="0.3">
      <c r="A2413" s="2">
        <v>8489851</v>
      </c>
      <c r="B2413" s="2">
        <v>62</v>
      </c>
      <c r="C2413" s="2" t="s">
        <v>6</v>
      </c>
      <c r="D2413" s="2">
        <v>100</v>
      </c>
      <c r="E2413" s="2"/>
      <c r="F2413" s="4" t="str">
        <f>HYPERLINK("./Results/DLO\20180201_1.3.12.2.1107.5.1.4.54310.30000018022523191717100009358_2_512_512_\Osteo_Sarco_1.png","RPT")</f>
        <v>RPT</v>
      </c>
      <c r="G2413" s="3">
        <v>111</v>
      </c>
      <c r="H2413" s="3"/>
    </row>
    <row r="2414" spans="1:8" x14ac:dyDescent="0.3">
      <c r="A2414" s="2">
        <v>8489859</v>
      </c>
      <c r="B2414" s="2">
        <v>48</v>
      </c>
      <c r="C2414" s="2" t="s">
        <v>5</v>
      </c>
      <c r="D2414" s="2">
        <v>100</v>
      </c>
      <c r="E2414" s="2"/>
      <c r="F2414" s="4" t="str">
        <f>HYPERLINK("./Results/DLO\20190501_1.3.12.2.1107.5.1.4.54310.30000019050323485237500006454_6_512_512_\Osteo_Sarco_1.png","RPT")</f>
        <v>RPT</v>
      </c>
      <c r="G2414" s="3">
        <v>152</v>
      </c>
      <c r="H2414" s="3"/>
    </row>
    <row r="2415" spans="1:8" x14ac:dyDescent="0.3">
      <c r="A2415" s="2">
        <v>8498556</v>
      </c>
      <c r="B2415" s="2">
        <v>79</v>
      </c>
      <c r="C2415" s="2" t="s">
        <v>6</v>
      </c>
      <c r="D2415" s="2">
        <v>140</v>
      </c>
      <c r="E2415" s="2"/>
      <c r="F2415" s="4" t="str">
        <f>HYPERLINK("./Results/DLO\20190901_1.2.840.113619.2.416.179722173156412105484805184100136205434_306_512_512_\Osteo_Sarco_1.png","RPT")</f>
        <v>RPT</v>
      </c>
      <c r="G2415" s="3">
        <v>80</v>
      </c>
      <c r="H2415" s="3"/>
    </row>
    <row r="2416" spans="1:8" x14ac:dyDescent="0.3">
      <c r="A2416" s="2">
        <v>8498556</v>
      </c>
      <c r="B2416" s="2">
        <v>79</v>
      </c>
      <c r="C2416" s="2" t="s">
        <v>6</v>
      </c>
      <c r="D2416" s="2">
        <v>140</v>
      </c>
      <c r="E2416" s="2"/>
      <c r="F2416" s="4" t="str">
        <f>HYPERLINK("./Results/DLO\20190901_1.2.840.113619.2.416.274432342285708244401922874316517777754_303_512_512_\Osteo_Sarco_1.png","RPT")</f>
        <v>RPT</v>
      </c>
      <c r="G2416" s="3">
        <v>80</v>
      </c>
      <c r="H2416" s="3"/>
    </row>
    <row r="2417" spans="1:8" x14ac:dyDescent="0.3">
      <c r="A2417" s="2">
        <v>8498556</v>
      </c>
      <c r="B2417" s="2">
        <v>79</v>
      </c>
      <c r="C2417" s="2" t="s">
        <v>6</v>
      </c>
      <c r="D2417" s="2">
        <v>140</v>
      </c>
      <c r="E2417" s="2"/>
      <c r="F2417" s="4" t="str">
        <f>HYPERLINK("./Results/DLO\20190901_1.2.840.113619.2.416.312346486378384836742602677176869007395_301_512_512_\Osteo_Sarco_1.png","RPT")</f>
        <v>RPT</v>
      </c>
      <c r="G2417" s="3">
        <v>77</v>
      </c>
      <c r="H2417" s="3"/>
    </row>
    <row r="2418" spans="1:8" x14ac:dyDescent="0.3">
      <c r="A2418" s="2">
        <v>8498556</v>
      </c>
      <c r="B2418" s="2">
        <v>79</v>
      </c>
      <c r="C2418" s="2" t="s">
        <v>6</v>
      </c>
      <c r="D2418" s="2">
        <v>140</v>
      </c>
      <c r="E2418" s="2"/>
      <c r="F2418" s="4" t="str">
        <f>HYPERLINK("./Results/DLO\20190901_1.2.840.113619.2.416.87954722979385911018966746323932953787_2_512_512_\Osteo_Sarco_1.png","RPT")</f>
        <v>RPT</v>
      </c>
      <c r="G2418" s="3">
        <v>75</v>
      </c>
      <c r="H2418" s="3"/>
    </row>
    <row r="2419" spans="1:8" x14ac:dyDescent="0.3">
      <c r="A2419" s="2">
        <v>8502843</v>
      </c>
      <c r="B2419" s="2">
        <v>60</v>
      </c>
      <c r="C2419" s="2" t="s">
        <v>5</v>
      </c>
      <c r="D2419" s="2">
        <v>100</v>
      </c>
      <c r="E2419" s="2"/>
      <c r="F2419" s="4" t="str">
        <f>HYPERLINK("./Results/DLO\20191101_1.3.12.2.1107.5.1.4.65253.30000019112420402667700059114_2_512_512_\Osteo_Sarco_1.png","RPT")</f>
        <v>RPT</v>
      </c>
      <c r="G2419" s="3">
        <v>170</v>
      </c>
      <c r="H2419" s="3"/>
    </row>
    <row r="2420" spans="1:8" x14ac:dyDescent="0.3">
      <c r="A2420" s="2">
        <v>8503085</v>
      </c>
      <c r="B2420" s="2">
        <v>52</v>
      </c>
      <c r="C2420" s="2" t="s">
        <v>5</v>
      </c>
      <c r="D2420" s="2">
        <v>100</v>
      </c>
      <c r="E2420" s="2"/>
      <c r="F2420" s="4" t="str">
        <f>HYPERLINK("./Results/DLO\20180301_1.2.840.113619.2.311.134256169663791513885435815611850780198_304_512_512_\Osteo_Sarco_1.png","RPT")</f>
        <v>RPT</v>
      </c>
      <c r="G2420" s="3">
        <v>125</v>
      </c>
      <c r="H2420" s="3"/>
    </row>
    <row r="2421" spans="1:8" x14ac:dyDescent="0.3">
      <c r="A2421" s="2">
        <v>8504648</v>
      </c>
      <c r="B2421" s="2">
        <v>54</v>
      </c>
      <c r="C2421" s="2" t="s">
        <v>6</v>
      </c>
      <c r="D2421" s="2">
        <v>100</v>
      </c>
      <c r="E2421" s="2"/>
      <c r="F2421" s="4" t="str">
        <f>HYPERLINK("./Results/DLO\20180901_1.2.840.113619.2.311.298228350864456380044086082632922901210_304_512_512_\Osteo_Sarco_1.png","RPT")</f>
        <v>RPT</v>
      </c>
      <c r="G2421" s="3">
        <v>123</v>
      </c>
      <c r="H2421" s="3"/>
    </row>
    <row r="2422" spans="1:8" x14ac:dyDescent="0.3">
      <c r="A2422" s="2">
        <v>8508208</v>
      </c>
      <c r="B2422" s="2">
        <v>63</v>
      </c>
      <c r="C2422" s="2" t="s">
        <v>6</v>
      </c>
      <c r="D2422" s="2">
        <v>100</v>
      </c>
      <c r="E2422" s="2"/>
      <c r="F2422" s="4" t="str">
        <f>HYPERLINK("./Results/DLO\20180201_1.2.840.113619.2.311.194338233937210382677445147917778887684_305_512_512_\Osteo_Sarco_1.png","RPT")</f>
        <v>RPT</v>
      </c>
      <c r="G2422" s="3">
        <v>97</v>
      </c>
      <c r="H2422" s="3"/>
    </row>
    <row r="2423" spans="1:8" x14ac:dyDescent="0.3">
      <c r="A2423" s="2">
        <v>8511452</v>
      </c>
      <c r="B2423" s="2">
        <v>68</v>
      </c>
      <c r="C2423" s="2" t="s">
        <v>6</v>
      </c>
      <c r="D2423" s="2">
        <v>100</v>
      </c>
      <c r="E2423" s="2"/>
      <c r="F2423" s="4" t="str">
        <f>HYPERLINK("./Results/DLO\20180501_1.2.840.113619.2.311.274493201254929751439311190708880637842_304_512_512_\Osteo_Sarco_1.png","RPT")</f>
        <v>RPT</v>
      </c>
      <c r="G2423" s="3">
        <v>115</v>
      </c>
      <c r="H2423" s="3"/>
    </row>
    <row r="2424" spans="1:8" x14ac:dyDescent="0.3">
      <c r="A2424" s="2">
        <v>8514943</v>
      </c>
      <c r="B2424" s="2">
        <v>45</v>
      </c>
      <c r="C2424" s="2" t="s">
        <v>6</v>
      </c>
      <c r="D2424" s="2">
        <v>100</v>
      </c>
      <c r="E2424" s="2"/>
      <c r="F2424" s="4" t="str">
        <f>HYPERLINK("./Results/DLO\20190101_1.3.12.2.1107.5.1.4.65253.30000019012720315968700072988_3_512_512_\Osteo_Sarco_1.png","RPT")</f>
        <v>RPT</v>
      </c>
      <c r="G2424" s="3">
        <v>104</v>
      </c>
      <c r="H2424" s="3"/>
    </row>
    <row r="2425" spans="1:8" x14ac:dyDescent="0.3">
      <c r="A2425" s="2">
        <v>8514943</v>
      </c>
      <c r="B2425" s="2">
        <v>45</v>
      </c>
      <c r="C2425" s="2" t="s">
        <v>6</v>
      </c>
      <c r="D2425" s="2">
        <v>100</v>
      </c>
      <c r="E2425" s="2"/>
      <c r="F2425" s="4" t="str">
        <f>HYPERLINK("./Results/DLO\20190101_1.3.12.2.1107.5.1.4.65253.30000019012720315968700072856_2_512_512_\Osteo_Sarco_1.png","RPT")</f>
        <v>RPT</v>
      </c>
      <c r="G2425" s="3">
        <v>103</v>
      </c>
      <c r="H2425" s="3"/>
    </row>
    <row r="2426" spans="1:8" x14ac:dyDescent="0.3">
      <c r="A2426" s="2">
        <v>8518259</v>
      </c>
      <c r="B2426" s="2">
        <v>62</v>
      </c>
      <c r="C2426" s="2" t="s">
        <v>6</v>
      </c>
      <c r="D2426" s="2">
        <v>100</v>
      </c>
      <c r="E2426" s="2"/>
      <c r="F2426" s="4" t="str">
        <f>HYPERLINK("./Results/DLO\20180101_1.2.840.113619.2.94.485650834948.2.8603224.18551300.1_2_512_512_\Osteo_Sarco_1.png","RPT")</f>
        <v>RPT</v>
      </c>
      <c r="G2426" s="3">
        <v>103</v>
      </c>
      <c r="H2426" s="3"/>
    </row>
    <row r="2427" spans="1:8" x14ac:dyDescent="0.3">
      <c r="A2427" s="2">
        <v>8519751</v>
      </c>
      <c r="B2427" s="2">
        <v>67</v>
      </c>
      <c r="C2427" s="2" t="s">
        <v>5</v>
      </c>
      <c r="D2427" s="2">
        <v>140</v>
      </c>
      <c r="E2427" s="2"/>
      <c r="F2427" s="4" t="str">
        <f>HYPERLINK("./Results/DLO\20190301_1.2.840.113619.2.416.296316588122218962987512875193089989603_305_512_512_\Osteo_Sarco_1.png","RPT")</f>
        <v>RPT</v>
      </c>
      <c r="G2427" s="3">
        <v>162</v>
      </c>
      <c r="H2427" s="3"/>
    </row>
    <row r="2428" spans="1:8" x14ac:dyDescent="0.3">
      <c r="A2428" s="2">
        <v>8519751</v>
      </c>
      <c r="B2428" s="2">
        <v>67</v>
      </c>
      <c r="C2428" s="2" t="s">
        <v>5</v>
      </c>
      <c r="D2428" s="2">
        <v>140</v>
      </c>
      <c r="E2428" s="2"/>
      <c r="F2428" s="4" t="str">
        <f>HYPERLINK("./Results/DLO\20190301_1.2.840.113619.2.416.81391385876439738825419044529282740757_302_512_512_\Osteo_Sarco_1.png","RPT")</f>
        <v>RPT</v>
      </c>
      <c r="G2428" s="3">
        <v>160</v>
      </c>
      <c r="H2428" s="3"/>
    </row>
    <row r="2429" spans="1:8" x14ac:dyDescent="0.3">
      <c r="A2429" s="2">
        <v>8519751</v>
      </c>
      <c r="B2429" s="2">
        <v>67</v>
      </c>
      <c r="C2429" s="2" t="s">
        <v>5</v>
      </c>
      <c r="D2429" s="2">
        <v>120</v>
      </c>
      <c r="E2429" s="2"/>
      <c r="F2429" s="4" t="str">
        <f>HYPERLINK("./Results/DLO\20190301_1.2.840.113619.2.416.141734818419983710840771944192244267008_2_512_512_\Osteo_Sarco_1.png","RPT")</f>
        <v>RPT</v>
      </c>
      <c r="G2429" s="3">
        <v>157</v>
      </c>
      <c r="H2429" s="3"/>
    </row>
    <row r="2430" spans="1:8" x14ac:dyDescent="0.3">
      <c r="A2430" s="2">
        <v>8523989</v>
      </c>
      <c r="B2430" s="2">
        <v>65</v>
      </c>
      <c r="C2430" s="2" t="s">
        <v>6</v>
      </c>
      <c r="D2430" s="2">
        <v>100</v>
      </c>
      <c r="E2430" s="2"/>
      <c r="F2430" s="4" t="str">
        <f>HYPERLINK("./Results/DLO\20180401_1.3.12.2.1107.5.1.4.54310.30000018040523200193700003141_2_512_512_\Osteo_Sarco_1.png","RPT")</f>
        <v>RPT</v>
      </c>
      <c r="G2430" s="3">
        <v>110</v>
      </c>
      <c r="H2430" s="3"/>
    </row>
    <row r="2431" spans="1:8" x14ac:dyDescent="0.3">
      <c r="A2431" s="2">
        <v>8524383</v>
      </c>
      <c r="B2431" s="2">
        <v>55</v>
      </c>
      <c r="C2431" s="2" t="s">
        <v>6</v>
      </c>
      <c r="D2431" s="2">
        <v>100</v>
      </c>
      <c r="E2431" s="2"/>
      <c r="F2431" s="4" t="str">
        <f>HYPERLINK("./Results/DLO\20181001_1.2.840.113619.2.311.129950274840239085406211954972982826165_304_512_512_\Osteo_Sarco_1.png","RPT")</f>
        <v>RPT</v>
      </c>
      <c r="G2431" s="3">
        <v>102</v>
      </c>
      <c r="H2431" s="3"/>
    </row>
    <row r="2432" spans="1:8" x14ac:dyDescent="0.3">
      <c r="A2432" s="2">
        <v>8529272</v>
      </c>
      <c r="B2432" s="2">
        <v>64</v>
      </c>
      <c r="C2432" s="2" t="s">
        <v>6</v>
      </c>
      <c r="D2432" s="2">
        <v>140</v>
      </c>
      <c r="E2432" s="2"/>
      <c r="F2432" s="4" t="str">
        <f>HYPERLINK("./Results/DLO\20180701_1.2.840.113619.2.416.184475442347799203472709083958932085722_308_512_512_\Osteo_Sarco_1.png","RPT")</f>
        <v>RPT</v>
      </c>
      <c r="G2432" s="3">
        <v>86</v>
      </c>
      <c r="H2432" s="3"/>
    </row>
    <row r="2433" spans="1:8" x14ac:dyDescent="0.3">
      <c r="A2433" s="2">
        <v>8529272</v>
      </c>
      <c r="B2433" s="2">
        <v>64</v>
      </c>
      <c r="C2433" s="2" t="s">
        <v>6</v>
      </c>
      <c r="D2433" s="2">
        <v>140</v>
      </c>
      <c r="E2433" s="2"/>
      <c r="F2433" s="4" t="str">
        <f>HYPERLINK("./Results/DLO\20180701_1.2.840.113619.2.416.9362224456104292039687956506985906552_305_512_512_\Osteo_Sarco_1.png","RPT")</f>
        <v>RPT</v>
      </c>
      <c r="G2433" s="3">
        <v>84</v>
      </c>
      <c r="H2433" s="3"/>
    </row>
    <row r="2434" spans="1:8" x14ac:dyDescent="0.3">
      <c r="A2434" s="2">
        <v>8529272</v>
      </c>
      <c r="B2434" s="2">
        <v>64</v>
      </c>
      <c r="C2434" s="2" t="s">
        <v>6</v>
      </c>
      <c r="D2434" s="2">
        <v>140</v>
      </c>
      <c r="E2434" s="2"/>
      <c r="F2434" s="4" t="str">
        <f>HYPERLINK("./Results/DLO\20180701_1.2.840.113619.2.416.116409837577109966299768298645037902011_303_512_512_\Osteo_Sarco_1.png","RPT")</f>
        <v>RPT</v>
      </c>
      <c r="G2434" s="3">
        <v>81</v>
      </c>
      <c r="H2434" s="3"/>
    </row>
    <row r="2435" spans="1:8" x14ac:dyDescent="0.3">
      <c r="A2435" s="2">
        <v>8529272</v>
      </c>
      <c r="B2435" s="2">
        <v>64</v>
      </c>
      <c r="C2435" s="2" t="s">
        <v>6</v>
      </c>
      <c r="D2435" s="2">
        <v>140</v>
      </c>
      <c r="E2435" s="2"/>
      <c r="F2435" s="4" t="str">
        <f>HYPERLINK("./Results/DLO\20180701_1.2.840.113619.2.416.73178275920111503706875397251720450820_301_512_512_\Osteo_Sarco_1.png","RPT")</f>
        <v>RPT</v>
      </c>
      <c r="G2435" s="3">
        <v>79</v>
      </c>
      <c r="H2435" s="3"/>
    </row>
    <row r="2436" spans="1:8" x14ac:dyDescent="0.3">
      <c r="A2436" s="2">
        <v>8536179</v>
      </c>
      <c r="B2436" s="2">
        <v>77</v>
      </c>
      <c r="C2436" s="2" t="s">
        <v>6</v>
      </c>
      <c r="D2436" s="2">
        <v>140</v>
      </c>
      <c r="E2436" s="2"/>
      <c r="F2436" s="4" t="str">
        <f>HYPERLINK("./Results/DLO\20191201_1.2.840.113619.2.416.5445723416569474725522265142290775100_307_512_512_\Osteo_Sarco_1.png","RPT")</f>
        <v>RPT</v>
      </c>
      <c r="G2436" s="3">
        <v>91</v>
      </c>
      <c r="H2436" s="3"/>
    </row>
    <row r="2437" spans="1:8" x14ac:dyDescent="0.3">
      <c r="A2437" s="2">
        <v>8536179</v>
      </c>
      <c r="B2437" s="2">
        <v>77</v>
      </c>
      <c r="C2437" s="2" t="s">
        <v>6</v>
      </c>
      <c r="D2437" s="2">
        <v>140</v>
      </c>
      <c r="E2437" s="2"/>
      <c r="F2437" s="4" t="str">
        <f>HYPERLINK("./Results/DLO\20191201_1.2.840.113619.2.416.292803982143727469663310010442745060444_301_512_512_\Osteo_Sarco_1.png","RPT")</f>
        <v>RPT</v>
      </c>
      <c r="G2437" s="3">
        <v>87</v>
      </c>
      <c r="H2437" s="3"/>
    </row>
    <row r="2438" spans="1:8" x14ac:dyDescent="0.3">
      <c r="A2438" s="2">
        <v>8536179</v>
      </c>
      <c r="B2438" s="2">
        <v>77</v>
      </c>
      <c r="C2438" s="2" t="s">
        <v>6</v>
      </c>
      <c r="D2438" s="2">
        <v>140</v>
      </c>
      <c r="E2438" s="2"/>
      <c r="F2438" s="4" t="str">
        <f>HYPERLINK("./Results/DLO\20191201_1.2.840.113619.2.416.242387580918567565022886419196756411994_2_512_512_\Osteo_Sarco_1.png","RPT")</f>
        <v>RPT</v>
      </c>
      <c r="G2438" s="3">
        <v>84</v>
      </c>
      <c r="H2438" s="3"/>
    </row>
    <row r="2439" spans="1:8" x14ac:dyDescent="0.3">
      <c r="A2439" s="2">
        <v>8536179</v>
      </c>
      <c r="B2439" s="2">
        <v>77</v>
      </c>
      <c r="C2439" s="2" t="s">
        <v>6</v>
      </c>
      <c r="D2439" s="2">
        <v>140</v>
      </c>
      <c r="E2439" s="2"/>
      <c r="F2439" s="4" t="str">
        <f>HYPERLINK("./Results/DLO\20191201_1.2.840.113619.2.416.80561335288017635407461002972728214872_303_512_512_\Osteo_Sarco_1.png","RPT")</f>
        <v>RPT</v>
      </c>
      <c r="G2439" s="3">
        <v>78</v>
      </c>
      <c r="H2439" s="3"/>
    </row>
    <row r="2440" spans="1:8" x14ac:dyDescent="0.3">
      <c r="A2440" s="2">
        <v>8538614</v>
      </c>
      <c r="B2440" s="2">
        <v>61</v>
      </c>
      <c r="C2440" s="2" t="s">
        <v>5</v>
      </c>
      <c r="D2440" s="2">
        <v>140</v>
      </c>
      <c r="E2440" s="2"/>
      <c r="F2440" s="4" t="str">
        <f>HYPERLINK("./Results/DLO\20180301_1.2.840.113619.2.416.138489432633100421282036936497423676715_3_512_512_\Osteo_Sarco_1.png","RPT")</f>
        <v>RPT</v>
      </c>
      <c r="G2440" s="3">
        <v>201</v>
      </c>
      <c r="H2440" s="3"/>
    </row>
    <row r="2441" spans="1:8" x14ac:dyDescent="0.3">
      <c r="A2441" s="2">
        <v>8538614</v>
      </c>
      <c r="B2441" s="2">
        <v>61</v>
      </c>
      <c r="C2441" s="2" t="s">
        <v>5</v>
      </c>
      <c r="D2441" s="2">
        <v>140</v>
      </c>
      <c r="E2441" s="2"/>
      <c r="F2441" s="4" t="str">
        <f>HYPERLINK("./Results/DLO\20180301_1.2.840.113619.2.416.119002674817887877251697435863504566534_2_512_512_\Osteo_Sarco_1.png","RPT")</f>
        <v>RPT</v>
      </c>
      <c r="G2441" s="3">
        <v>193</v>
      </c>
      <c r="H2441" s="3"/>
    </row>
    <row r="2442" spans="1:8" x14ac:dyDescent="0.3">
      <c r="A2442" s="2">
        <v>8539277</v>
      </c>
      <c r="B2442" s="2">
        <v>27</v>
      </c>
      <c r="C2442" s="2" t="s">
        <v>6</v>
      </c>
      <c r="D2442" s="2">
        <v>100</v>
      </c>
      <c r="E2442" s="2"/>
      <c r="F2442" s="4" t="str">
        <f>HYPERLINK("./Results/DLO\20191201_1.2.840.113619.2.416.142758867273373301486728148343558467273_310_512_512_\Osteo_Sarco_1.png","RPT")</f>
        <v>RPT</v>
      </c>
      <c r="G2442" s="3">
        <v>91</v>
      </c>
      <c r="H2442" s="3"/>
    </row>
    <row r="2443" spans="1:8" x14ac:dyDescent="0.3">
      <c r="A2443" s="2">
        <v>8540379</v>
      </c>
      <c r="B2443" s="2">
        <v>43</v>
      </c>
      <c r="C2443" s="2" t="s">
        <v>6</v>
      </c>
      <c r="D2443" s="2">
        <v>100</v>
      </c>
      <c r="E2443" s="2"/>
      <c r="F2443" s="4" t="str">
        <f>HYPERLINK("./Results/DLO\20180401_1.2.840.113619.2.311.161367489445258689357812294294276982954_304_512_512_\Osteo_Sarco_1.png","RPT")</f>
        <v>RPT</v>
      </c>
      <c r="G2443" s="3">
        <v>126</v>
      </c>
      <c r="H2443" s="3"/>
    </row>
    <row r="2444" spans="1:8" x14ac:dyDescent="0.3">
      <c r="A2444" s="2">
        <v>8541260</v>
      </c>
      <c r="B2444" s="2">
        <v>71</v>
      </c>
      <c r="C2444" s="2" t="s">
        <v>6</v>
      </c>
      <c r="D2444" s="2">
        <v>100</v>
      </c>
      <c r="E2444" s="2"/>
      <c r="F2444" s="4" t="str">
        <f>HYPERLINK("./Results/DLO\20200601_1.3.12.2.1107.5.1.4.65253.30000020062801121580100036510_6_512_512_\Osteo_Sarco_1.png","RPT")</f>
        <v>RPT</v>
      </c>
      <c r="G2444" s="3">
        <v>106</v>
      </c>
      <c r="H2444" s="3"/>
    </row>
    <row r="2445" spans="1:8" x14ac:dyDescent="0.3">
      <c r="A2445" s="2">
        <v>8541260</v>
      </c>
      <c r="B2445" s="2">
        <v>71</v>
      </c>
      <c r="C2445" s="2" t="s">
        <v>6</v>
      </c>
      <c r="D2445" s="2">
        <v>100</v>
      </c>
      <c r="E2445" s="2"/>
      <c r="F2445" s="4" t="str">
        <f>HYPERLINK("./Results/DLO\20200601_1.3.12.2.1107.5.1.4.65253.30000020062801121580100036021_4_512_512_\Osteo_Sarco_1.png","RPT")</f>
        <v>RPT</v>
      </c>
      <c r="G2445" s="3">
        <v>93</v>
      </c>
      <c r="H2445" s="3"/>
    </row>
    <row r="2446" spans="1:8" x14ac:dyDescent="0.3">
      <c r="A2446" s="2">
        <v>8543518</v>
      </c>
      <c r="B2446" s="2">
        <v>58</v>
      </c>
      <c r="C2446" s="2" t="s">
        <v>6</v>
      </c>
      <c r="D2446" s="2">
        <v>100</v>
      </c>
      <c r="E2446" s="2"/>
      <c r="F2446" s="4" t="str">
        <f>HYPERLINK("./Results/DLO\20180101_1.2.840.113619.2.416.299044790564445979846552081968136704404_304_512_512_\Osteo_Sarco_1.png","RPT")</f>
        <v>RPT</v>
      </c>
      <c r="G2446" s="3">
        <v>107</v>
      </c>
      <c r="H2446" s="3"/>
    </row>
    <row r="2447" spans="1:8" x14ac:dyDescent="0.3">
      <c r="A2447" s="2">
        <v>8543518</v>
      </c>
      <c r="B2447" s="2">
        <v>58</v>
      </c>
      <c r="C2447" s="2" t="s">
        <v>6</v>
      </c>
      <c r="D2447" s="2">
        <v>100</v>
      </c>
      <c r="E2447" s="2"/>
      <c r="F2447" s="4" t="str">
        <f>HYPERLINK("./Results/DLO\20180101_1.2.840.113619.2.416.159780233653223488643138031703598315586_2_512_512_\Osteo_Sarco_1.png","RPT")</f>
        <v>RPT</v>
      </c>
      <c r="G2447" s="3">
        <v>97</v>
      </c>
      <c r="H2447" s="3"/>
    </row>
    <row r="2448" spans="1:8" x14ac:dyDescent="0.3">
      <c r="A2448" s="2">
        <v>8543684</v>
      </c>
      <c r="B2448" s="2">
        <v>44</v>
      </c>
      <c r="C2448" s="2" t="s">
        <v>6</v>
      </c>
      <c r="D2448" s="2">
        <v>100</v>
      </c>
      <c r="E2448" s="2"/>
      <c r="F2448" s="4" t="str">
        <f>HYPERLINK("./Results/DLO\20190801_1.2.840.113619.2.416.245885843124691865064944475080371714211_310_512_512_\Osteo_Sarco_1.png","RPT")</f>
        <v>RPT</v>
      </c>
      <c r="G2448" s="3">
        <v>134</v>
      </c>
      <c r="H2448" s="3"/>
    </row>
    <row r="2449" spans="1:8" x14ac:dyDescent="0.3">
      <c r="A2449" s="2">
        <v>8545012</v>
      </c>
      <c r="B2449" s="2">
        <v>43</v>
      </c>
      <c r="C2449" s="2" t="s">
        <v>6</v>
      </c>
      <c r="D2449" s="2">
        <v>100</v>
      </c>
      <c r="E2449" s="2"/>
      <c r="F2449" s="4" t="str">
        <f>HYPERLINK("./Results/DLO\20190901_1.3.12.2.1107.5.1.4.65253.30000019091920453627600009079_2_512_512_\Osteo_Sarco_1.png","RPT")</f>
        <v>RPT</v>
      </c>
      <c r="G2449" s="3">
        <v>141</v>
      </c>
      <c r="H2449" s="3"/>
    </row>
    <row r="2450" spans="1:8" x14ac:dyDescent="0.3">
      <c r="A2450" s="2">
        <v>8545012</v>
      </c>
      <c r="B2450" s="2">
        <v>43</v>
      </c>
      <c r="C2450" s="2" t="s">
        <v>6</v>
      </c>
      <c r="D2450" s="2">
        <v>100</v>
      </c>
      <c r="E2450" s="2"/>
      <c r="F2450" s="4" t="str">
        <f>HYPERLINK("./Results/DLO\20190901_1.3.12.2.1107.5.1.4.65253.30000019091920453627600009242_3_512_512_\Osteo_Sarco_1.png","RPT")</f>
        <v>RPT</v>
      </c>
      <c r="G2450" s="3">
        <v>139</v>
      </c>
      <c r="H2450" s="3"/>
    </row>
    <row r="2451" spans="1:8" x14ac:dyDescent="0.3">
      <c r="A2451" s="2">
        <v>8550585</v>
      </c>
      <c r="B2451" s="2">
        <v>71</v>
      </c>
      <c r="C2451" s="2" t="s">
        <v>6</v>
      </c>
      <c r="D2451" s="2">
        <v>100</v>
      </c>
      <c r="E2451" s="2"/>
      <c r="F2451" s="4" t="str">
        <f>HYPERLINK("./Results/DLO\20190501_1.3.12.2.1107.5.1.4.54310.30000019050621080129600039884_2_512_512_\Osteo_Sarco_1.png","RPT")</f>
        <v>RPT</v>
      </c>
      <c r="G2451" s="3">
        <v>101</v>
      </c>
      <c r="H2451" s="3"/>
    </row>
    <row r="2452" spans="1:8" x14ac:dyDescent="0.3">
      <c r="A2452" s="2">
        <v>8550585</v>
      </c>
      <c r="B2452" s="2">
        <v>71</v>
      </c>
      <c r="C2452" s="2" t="s">
        <v>6</v>
      </c>
      <c r="D2452" s="2">
        <v>100</v>
      </c>
      <c r="E2452" s="2"/>
      <c r="F2452" s="4" t="str">
        <f>HYPERLINK("./Results/DLO\20190501_1.3.12.2.1107.5.1.4.54310.30000019050621080129600040189_4_512_512_\Osteo_Sarco_1.png","RPT")</f>
        <v>RPT</v>
      </c>
      <c r="G2452" s="3">
        <v>96</v>
      </c>
      <c r="H2452" s="3"/>
    </row>
    <row r="2453" spans="1:8" x14ac:dyDescent="0.3">
      <c r="A2453" s="2">
        <v>8554328</v>
      </c>
      <c r="B2453" s="2">
        <v>47</v>
      </c>
      <c r="C2453" s="2" t="s">
        <v>6</v>
      </c>
      <c r="D2453" s="2">
        <v>100</v>
      </c>
      <c r="E2453" s="2"/>
      <c r="F2453" s="4" t="str">
        <f>HYPERLINK("./Results/DLO\20180901_1.3.46.670589.33.1.63672866575239072400001.4928438405417669108_301_512_512_\Osteo_Sarco_1.png","RPT")</f>
        <v>RPT</v>
      </c>
      <c r="G2453" s="3">
        <v>87</v>
      </c>
      <c r="H2453" s="3"/>
    </row>
    <row r="2454" spans="1:8" x14ac:dyDescent="0.3">
      <c r="A2454" s="2">
        <v>8554328</v>
      </c>
      <c r="B2454" s="2">
        <v>47</v>
      </c>
      <c r="C2454" s="2" t="s">
        <v>6</v>
      </c>
      <c r="D2454" s="2">
        <v>100</v>
      </c>
      <c r="E2454" s="2"/>
      <c r="F2454" s="4" t="str">
        <f>HYPERLINK("./Results/DLO\20180901_1.3.46.670589.33.1.63672866437905217400001.5135467606401945970_201_512_512_\Osteo_Sarco_1.png","RPT")</f>
        <v>RPT</v>
      </c>
      <c r="G2454" s="3">
        <v>84</v>
      </c>
      <c r="H2454" s="3"/>
    </row>
    <row r="2455" spans="1:8" x14ac:dyDescent="0.3">
      <c r="A2455" s="2">
        <v>8554651</v>
      </c>
      <c r="B2455" s="2">
        <v>25</v>
      </c>
      <c r="C2455" s="2" t="s">
        <v>6</v>
      </c>
      <c r="D2455" s="2">
        <v>100</v>
      </c>
      <c r="E2455" s="2"/>
      <c r="F2455" s="4" t="str">
        <f>HYPERLINK("./Results/DLO\20191201_1.3.12.2.1107.5.1.4.65253.30000019121221144545000038742_2_512_512_\Osteo_Sarco_1.png","RPT")</f>
        <v>RPT</v>
      </c>
      <c r="G2455" s="3">
        <v>112</v>
      </c>
      <c r="H2455" s="3"/>
    </row>
    <row r="2456" spans="1:8" x14ac:dyDescent="0.3">
      <c r="A2456" s="2">
        <v>8554651</v>
      </c>
      <c r="B2456" s="2">
        <v>25</v>
      </c>
      <c r="C2456" s="2" t="s">
        <v>6</v>
      </c>
      <c r="D2456" s="2">
        <v>100</v>
      </c>
      <c r="E2456" s="2"/>
      <c r="F2456" s="4" t="str">
        <f>HYPERLINK("./Results/DLO\20191201_1.3.12.2.1107.5.1.4.65253.30000019121221144545000038909_3_512_512_\Osteo_Sarco_1.png","RPT")</f>
        <v>RPT</v>
      </c>
      <c r="G2456" s="3">
        <v>112</v>
      </c>
      <c r="H2456" s="3"/>
    </row>
    <row r="2457" spans="1:8" x14ac:dyDescent="0.3">
      <c r="A2457" s="2">
        <v>8556237</v>
      </c>
      <c r="B2457" s="2">
        <v>48</v>
      </c>
      <c r="C2457" s="2" t="s">
        <v>6</v>
      </c>
      <c r="D2457" s="2">
        <v>100</v>
      </c>
      <c r="E2457" s="2"/>
      <c r="F2457" s="4" t="str">
        <f>HYPERLINK("./Results/DLO\20180201_1.2.840.113619.2.416.262175673661712823372345191591623797299_304_512_512_\Osteo_Sarco_1.png","RPT")</f>
        <v>RPT</v>
      </c>
      <c r="G2457" s="3">
        <v>105</v>
      </c>
      <c r="H2457" s="3"/>
    </row>
    <row r="2458" spans="1:8" x14ac:dyDescent="0.3">
      <c r="A2458" s="2">
        <v>8559520</v>
      </c>
      <c r="B2458" s="2">
        <v>47</v>
      </c>
      <c r="C2458" s="2" t="s">
        <v>5</v>
      </c>
      <c r="D2458" s="2">
        <v>100</v>
      </c>
      <c r="E2458" s="2"/>
      <c r="F2458" s="4" t="str">
        <f>HYPERLINK("./Results/DLO\20180101_1.3.46.670589.33.1.63652298455058578300001.4943837783408758428_201_512_512_\Osteo_Sarco_1.png","RPT")</f>
        <v>RPT</v>
      </c>
      <c r="G2458" s="3">
        <v>149</v>
      </c>
      <c r="H2458" s="3"/>
    </row>
    <row r="2459" spans="1:8" x14ac:dyDescent="0.3">
      <c r="A2459" s="2">
        <v>8560412</v>
      </c>
      <c r="B2459" s="2">
        <v>58</v>
      </c>
      <c r="C2459" s="2" t="s">
        <v>6</v>
      </c>
      <c r="D2459" s="2">
        <v>100</v>
      </c>
      <c r="E2459" s="2"/>
      <c r="F2459" s="4" t="str">
        <f>HYPERLINK("./Results/DLO\20180901_1.3.12.2.1107.5.1.4.54310.30000018090923154709300005045_2_512_512_\Osteo_Sarco_1.png","RPT")</f>
        <v>RPT</v>
      </c>
      <c r="G2459" s="3">
        <v>89</v>
      </c>
      <c r="H2459" s="3"/>
    </row>
    <row r="2460" spans="1:8" x14ac:dyDescent="0.3">
      <c r="A2460" s="2">
        <v>8561584</v>
      </c>
      <c r="B2460" s="2">
        <v>56</v>
      </c>
      <c r="C2460" s="2" t="s">
        <v>6</v>
      </c>
      <c r="D2460" s="2">
        <v>120</v>
      </c>
      <c r="E2460" s="2"/>
      <c r="F2460" s="4" t="str">
        <f>HYPERLINK("./Results/DLO\20180801_1.2.840.113619.2.416.143757591915808021194003743462427345269_2_512_512_\Osteo_Sarco_1.png","RPT")</f>
        <v>RPT</v>
      </c>
      <c r="G2460" s="3">
        <v>140</v>
      </c>
      <c r="H2460" s="3"/>
    </row>
    <row r="2461" spans="1:8" x14ac:dyDescent="0.3">
      <c r="A2461" s="2">
        <v>8561584</v>
      </c>
      <c r="B2461" s="2">
        <v>56</v>
      </c>
      <c r="C2461" s="2" t="s">
        <v>6</v>
      </c>
      <c r="D2461" s="2">
        <v>140</v>
      </c>
      <c r="E2461" s="2"/>
      <c r="F2461" s="4" t="str">
        <f>HYPERLINK("./Results/DLO\20180801_1.2.840.113619.2.416.235486421533061503174753833946390410185_302_512_512_\Osteo_Sarco_1.png","RPT")</f>
        <v>RPT</v>
      </c>
      <c r="G2461" s="3">
        <v>139</v>
      </c>
      <c r="H2461" s="3"/>
    </row>
    <row r="2462" spans="1:8" x14ac:dyDescent="0.3">
      <c r="A2462" s="2">
        <v>8562070</v>
      </c>
      <c r="B2462" s="2">
        <v>60</v>
      </c>
      <c r="C2462" s="2" t="s">
        <v>6</v>
      </c>
      <c r="D2462" s="2">
        <v>100</v>
      </c>
      <c r="E2462" s="2"/>
      <c r="F2462" s="4" t="str">
        <f>HYPERLINK("./Results/DLO\20190101_1.3.12.2.1107.5.1.4.54310.30000019013023361779600025905_3_512_512_\Osteo_Sarco_1.png","RPT")</f>
        <v>RPT</v>
      </c>
      <c r="G2462" s="3">
        <v>82</v>
      </c>
      <c r="H2462" s="3"/>
    </row>
    <row r="2463" spans="1:8" x14ac:dyDescent="0.3">
      <c r="A2463" s="2">
        <v>8562070</v>
      </c>
      <c r="B2463" s="2">
        <v>60</v>
      </c>
      <c r="C2463" s="2" t="s">
        <v>6</v>
      </c>
      <c r="D2463" s="2">
        <v>100</v>
      </c>
      <c r="E2463" s="2"/>
      <c r="F2463" s="4" t="str">
        <f>HYPERLINK("./Results/DLO\20190101_1.3.12.2.1107.5.1.4.54310.30000019013023361779600026150_5_512_512_\Osteo_Sarco_1.png","RPT")</f>
        <v>RPT</v>
      </c>
      <c r="G2463" s="3">
        <v>81</v>
      </c>
      <c r="H2463" s="3"/>
    </row>
    <row r="2464" spans="1:8" x14ac:dyDescent="0.3">
      <c r="A2464" s="2">
        <v>8562070</v>
      </c>
      <c r="B2464" s="2">
        <v>60</v>
      </c>
      <c r="C2464" s="2" t="s">
        <v>6</v>
      </c>
      <c r="D2464" s="2">
        <v>100</v>
      </c>
      <c r="E2464" s="2"/>
      <c r="F2464" s="4" t="str">
        <f>HYPERLINK("./Results/DLO\20190101_1.3.12.2.1107.5.1.4.54310.30000019013023361779600025771_2_512_512_\Osteo_Sarco_1.png","RPT")</f>
        <v>RPT</v>
      </c>
      <c r="G2464" s="3">
        <v>80</v>
      </c>
      <c r="H2464" s="3"/>
    </row>
    <row r="2465" spans="1:8" x14ac:dyDescent="0.3">
      <c r="A2465" s="2">
        <v>8566129</v>
      </c>
      <c r="B2465" s="2">
        <v>61</v>
      </c>
      <c r="C2465" s="2" t="s">
        <v>6</v>
      </c>
      <c r="D2465" s="2">
        <v>100</v>
      </c>
      <c r="E2465" s="2"/>
      <c r="F2465" s="4" t="str">
        <f>HYPERLINK("./Results/DLO\20190301_1.3.12.2.1107.5.1.4.54310.30000019030323381145300002094_2_512_512_\Osteo_Sarco_1.png","RPT")</f>
        <v>RPT</v>
      </c>
      <c r="G2465" s="3">
        <v>103</v>
      </c>
      <c r="H2465" s="3"/>
    </row>
    <row r="2466" spans="1:8" x14ac:dyDescent="0.3">
      <c r="A2466" s="2">
        <v>8566270</v>
      </c>
      <c r="B2466" s="2">
        <v>35</v>
      </c>
      <c r="C2466" s="2" t="s">
        <v>5</v>
      </c>
      <c r="D2466" s="2">
        <v>100</v>
      </c>
      <c r="E2466" s="2"/>
      <c r="F2466" s="4" t="str">
        <f>HYPERLINK("./Results/DLO\20180101_1.3.12.2.1107.5.1.4.65253.30000018010521290718700000690_2_512_512_\Osteo_Sarco_1.png","RPT")</f>
        <v>RPT</v>
      </c>
      <c r="G2466" s="3">
        <v>141</v>
      </c>
      <c r="H2466" s="3"/>
    </row>
    <row r="2467" spans="1:8" x14ac:dyDescent="0.3">
      <c r="A2467" s="2">
        <v>8570577</v>
      </c>
      <c r="B2467" s="2">
        <v>57</v>
      </c>
      <c r="C2467" s="2" t="s">
        <v>6</v>
      </c>
      <c r="D2467" s="2">
        <v>100</v>
      </c>
      <c r="E2467" s="2"/>
      <c r="F2467" s="4" t="str">
        <f>HYPERLINK("./Results/DLO\20180301_1.2.840.113619.2.311.236091038096259703036544964899182435120_304_512_512_\Osteo_Sarco_1.png","RPT")</f>
        <v>RPT</v>
      </c>
      <c r="G2467" s="3">
        <v>126</v>
      </c>
      <c r="H2467" s="3"/>
    </row>
    <row r="2468" spans="1:8" x14ac:dyDescent="0.3">
      <c r="A2468" s="2">
        <v>8571194</v>
      </c>
      <c r="B2468" s="2">
        <v>74</v>
      </c>
      <c r="C2468" s="2" t="s">
        <v>6</v>
      </c>
      <c r="D2468" s="2">
        <v>100</v>
      </c>
      <c r="E2468" s="2"/>
      <c r="F2468" s="4" t="str">
        <f>HYPERLINK("./Results/DLO\20200501_1.3.12.2.1107.5.1.4.65253.30000020051820333120000066936_4_512_512_\Osteo_Sarco_1.png","RPT")</f>
        <v>RPT</v>
      </c>
      <c r="G2468" s="3">
        <v>88</v>
      </c>
      <c r="H2468" s="3"/>
    </row>
    <row r="2469" spans="1:8" x14ac:dyDescent="0.3">
      <c r="A2469" s="2">
        <v>8571194</v>
      </c>
      <c r="B2469" s="2">
        <v>74</v>
      </c>
      <c r="C2469" s="2" t="s">
        <v>6</v>
      </c>
      <c r="D2469" s="2">
        <v>100</v>
      </c>
      <c r="E2469" s="2"/>
      <c r="F2469" s="4" t="str">
        <f>HYPERLINK("./Results/DLO\20200501_1.3.12.2.1107.5.1.4.65253.30000020051820333120000066156_2_512_512_\Osteo_Sarco_1.png","RPT")</f>
        <v>RPT</v>
      </c>
      <c r="G2469" s="3">
        <v>84</v>
      </c>
      <c r="H2469" s="3"/>
    </row>
    <row r="2470" spans="1:8" x14ac:dyDescent="0.3">
      <c r="A2470" s="2">
        <v>8571915</v>
      </c>
      <c r="B2470" s="2">
        <v>60</v>
      </c>
      <c r="C2470" s="2" t="s">
        <v>5</v>
      </c>
      <c r="D2470" s="2">
        <v>100</v>
      </c>
      <c r="E2470" s="2"/>
      <c r="F2470" s="4" t="str">
        <f>HYPERLINK("./Results/DLO\20191201_1.3.46.670589.33.1.63712428306560016600001.5134877238824299262_201_512_512_\Osteo_Sarco_1.png","RPT")</f>
        <v>RPT</v>
      </c>
      <c r="G2470" s="3">
        <v>162</v>
      </c>
      <c r="H2470" s="3"/>
    </row>
    <row r="2471" spans="1:8" x14ac:dyDescent="0.3">
      <c r="A2471" s="2">
        <v>8574251</v>
      </c>
      <c r="B2471" s="2">
        <v>64</v>
      </c>
      <c r="C2471" s="2" t="s">
        <v>6</v>
      </c>
      <c r="D2471" s="2">
        <v>100</v>
      </c>
      <c r="E2471" s="2"/>
      <c r="F2471" s="4" t="str">
        <f>HYPERLINK("./Results/DLO\20180401_1.2.840.113619.2.311.130070325314127139215394222537855775776_304_512_512_\Osteo_Sarco_1.png","RPT")</f>
        <v>RPT</v>
      </c>
      <c r="G2471" s="3">
        <v>128</v>
      </c>
      <c r="H2471" s="3"/>
    </row>
    <row r="2472" spans="1:8" x14ac:dyDescent="0.3">
      <c r="A2472" s="2">
        <v>8574944</v>
      </c>
      <c r="B2472" s="2">
        <v>48</v>
      </c>
      <c r="C2472" s="2" t="s">
        <v>6</v>
      </c>
      <c r="D2472" s="2">
        <v>100</v>
      </c>
      <c r="E2472" s="2"/>
      <c r="F2472" s="4" t="str">
        <f>HYPERLINK("./Results/DLO\20200101_1.2.840.113619.2.416.285010108405075614166448699374613913017_310_512_512_\Osteo_Sarco_1.png","RPT")</f>
        <v>RPT</v>
      </c>
      <c r="G2472" s="3">
        <v>125</v>
      </c>
      <c r="H2472" s="3"/>
    </row>
    <row r="2473" spans="1:8" x14ac:dyDescent="0.3">
      <c r="A2473" s="2">
        <v>8578293</v>
      </c>
      <c r="B2473" s="2">
        <v>65</v>
      </c>
      <c r="C2473" s="2" t="s">
        <v>5</v>
      </c>
      <c r="D2473" s="2">
        <v>100</v>
      </c>
      <c r="E2473" s="2"/>
      <c r="F2473" s="4" t="str">
        <f>HYPERLINK("./Results/DLO\20180301_1.2.840.113619.2.94.485650834948.2.8731181.18862926.1_3_512_512_\Osteo_Sarco_1.png","RPT")</f>
        <v>RPT</v>
      </c>
      <c r="G2473" s="3">
        <v>166</v>
      </c>
      <c r="H2473" s="3"/>
    </row>
    <row r="2474" spans="1:8" x14ac:dyDescent="0.3">
      <c r="A2474" s="2">
        <v>8578293</v>
      </c>
      <c r="B2474" s="2">
        <v>65</v>
      </c>
      <c r="C2474" s="2" t="s">
        <v>5</v>
      </c>
      <c r="D2474" s="2">
        <v>100</v>
      </c>
      <c r="E2474" s="2"/>
      <c r="F2474" s="4" t="str">
        <f>HYPERLINK("./Results/DLO\20180301_1.3.12.2.1107.5.1.4.54310.30000018032823073635900001116_2_512_512_\Osteo_Sarco_1.png","RPT")</f>
        <v>RPT</v>
      </c>
      <c r="G2474" s="3">
        <v>160</v>
      </c>
      <c r="H2474" s="3"/>
    </row>
    <row r="2475" spans="1:8" x14ac:dyDescent="0.3">
      <c r="A2475" s="2">
        <v>8585674</v>
      </c>
      <c r="B2475" s="2">
        <v>75</v>
      </c>
      <c r="C2475" s="2" t="s">
        <v>6</v>
      </c>
      <c r="D2475" s="2">
        <v>100</v>
      </c>
      <c r="E2475" s="2"/>
      <c r="F2475" s="4" t="str">
        <f>HYPERLINK("./Results/DLO\20181201_1.2.840.113619.2.311.44177814717130615194885402707649469308_306_512_512_\Osteo_Sarco_1.png","RPT")</f>
        <v>RPT</v>
      </c>
      <c r="G2475" s="3">
        <v>94</v>
      </c>
      <c r="H2475" s="3"/>
    </row>
    <row r="2476" spans="1:8" x14ac:dyDescent="0.3">
      <c r="A2476" s="2">
        <v>8588914</v>
      </c>
      <c r="B2476" s="2">
        <v>69</v>
      </c>
      <c r="C2476" s="2" t="s">
        <v>5</v>
      </c>
      <c r="D2476" s="2">
        <v>140</v>
      </c>
      <c r="E2476" s="2"/>
      <c r="F2476" s="4" t="str">
        <f>HYPERLINK("./Results/DLO\20190501_1.2.840.113619.2.416.244959729829464129690878386654869396127_302_512_512_\Osteo_Sarco_1.png","RPT")</f>
        <v>RPT</v>
      </c>
      <c r="G2476" s="3">
        <v>135</v>
      </c>
      <c r="H2476" s="3"/>
    </row>
    <row r="2477" spans="1:8" x14ac:dyDescent="0.3">
      <c r="A2477" s="2">
        <v>8588914</v>
      </c>
      <c r="B2477" s="2">
        <v>69</v>
      </c>
      <c r="C2477" s="2" t="s">
        <v>5</v>
      </c>
      <c r="D2477" s="2">
        <v>120</v>
      </c>
      <c r="E2477" s="2"/>
      <c r="F2477" s="4" t="str">
        <f>HYPERLINK("./Results/DLO\20190501_1.2.840.113619.2.416.206699694874735104848009648541240902075_2_512_512_\Osteo_Sarco_1.png","RPT")</f>
        <v>RPT</v>
      </c>
      <c r="G2477" s="3">
        <v>132</v>
      </c>
      <c r="H2477" s="3"/>
    </row>
    <row r="2478" spans="1:8" x14ac:dyDescent="0.3">
      <c r="A2478" s="2">
        <v>8591952</v>
      </c>
      <c r="B2478" s="2">
        <v>51</v>
      </c>
      <c r="C2478" s="2" t="s">
        <v>6</v>
      </c>
      <c r="D2478" s="2">
        <v>100</v>
      </c>
      <c r="E2478" s="2"/>
      <c r="F2478" s="4" t="str">
        <f>HYPERLINK("./Results/DLO\20180801_1.3.12.2.1107.5.1.4.65253.30000018080120405844600058920_3_512_512_\Osteo_Sarco_1.png","RPT")</f>
        <v>RPT</v>
      </c>
      <c r="G2478" s="3">
        <v>87</v>
      </c>
      <c r="H2478" s="3"/>
    </row>
    <row r="2479" spans="1:8" x14ac:dyDescent="0.3">
      <c r="A2479" s="2">
        <v>8591952</v>
      </c>
      <c r="B2479" s="2">
        <v>51</v>
      </c>
      <c r="C2479" s="2" t="s">
        <v>6</v>
      </c>
      <c r="D2479" s="2">
        <v>100</v>
      </c>
      <c r="E2479" s="2"/>
      <c r="F2479" s="4" t="str">
        <f>HYPERLINK("./Results/DLO\20180801_1.3.12.2.1107.5.1.4.65253.30000018080120405844600058791_2_512_512_\Osteo_Sarco_1.png","RPT")</f>
        <v>RPT</v>
      </c>
      <c r="G2479" s="3">
        <v>83</v>
      </c>
      <c r="H2479" s="3"/>
    </row>
    <row r="2480" spans="1:8" x14ac:dyDescent="0.3">
      <c r="A2480" s="2">
        <v>8594665</v>
      </c>
      <c r="B2480" s="2">
        <v>60</v>
      </c>
      <c r="C2480" s="2" t="s">
        <v>6</v>
      </c>
      <c r="D2480" s="2">
        <v>140</v>
      </c>
      <c r="E2480" s="2"/>
      <c r="F2480" s="4" t="str">
        <f>HYPERLINK("./Results/DLO\20200301_1.2.840.113619.2.416.108820284876458941289567541630816910257_2_512_512_\Osteo_Sarco_1.png","RPT")</f>
        <v>RPT</v>
      </c>
      <c r="G2480" s="3">
        <v>127</v>
      </c>
      <c r="H2480" s="3"/>
    </row>
    <row r="2481" spans="1:8" x14ac:dyDescent="0.3">
      <c r="A2481" s="2">
        <v>8594665</v>
      </c>
      <c r="B2481" s="2">
        <v>60</v>
      </c>
      <c r="C2481" s="2" t="s">
        <v>6</v>
      </c>
      <c r="D2481" s="2">
        <v>140</v>
      </c>
      <c r="E2481" s="2"/>
      <c r="F2481" s="4" t="str">
        <f>HYPERLINK("./Results/DLO\20200301_1.2.840.113619.2.416.217189415239841873971599230328387572681_301_512_512_\Osteo_Sarco_1.png","RPT")</f>
        <v>RPT</v>
      </c>
      <c r="G2481" s="3">
        <v>125</v>
      </c>
      <c r="H2481" s="3"/>
    </row>
    <row r="2482" spans="1:8" x14ac:dyDescent="0.3">
      <c r="A2482" s="2">
        <v>8594665</v>
      </c>
      <c r="B2482" s="2">
        <v>60</v>
      </c>
      <c r="C2482" s="2" t="s">
        <v>6</v>
      </c>
      <c r="D2482" s="2">
        <v>140</v>
      </c>
      <c r="E2482" s="2"/>
      <c r="F2482" s="4" t="str">
        <f>HYPERLINK("./Results/DLO\20200301_1.2.840.113619.2.416.26985151339393001461310955415592129388_303_512_512_\Osteo_Sarco_1.png","RPT")</f>
        <v>RPT</v>
      </c>
      <c r="G2482" s="3">
        <v>125</v>
      </c>
      <c r="H2482" s="3"/>
    </row>
    <row r="2483" spans="1:8" x14ac:dyDescent="0.3">
      <c r="A2483" s="2">
        <v>8594665</v>
      </c>
      <c r="B2483" s="2">
        <v>60</v>
      </c>
      <c r="C2483" s="2" t="s">
        <v>6</v>
      </c>
      <c r="D2483" s="2">
        <v>140</v>
      </c>
      <c r="E2483" s="2"/>
      <c r="F2483" s="4" t="str">
        <f>HYPERLINK("./Results/DLO\20200301_1.2.840.113619.2.416.158456530051779586672529493152268833009_306_512_512_\Osteo_Sarco_1.png","RPT")</f>
        <v>RPT</v>
      </c>
      <c r="G2483" s="3">
        <v>122</v>
      </c>
      <c r="H2483" s="3"/>
    </row>
    <row r="2484" spans="1:8" x14ac:dyDescent="0.3">
      <c r="A2484" s="2">
        <v>8597283</v>
      </c>
      <c r="B2484" s="2">
        <v>58</v>
      </c>
      <c r="C2484" s="2" t="s">
        <v>5</v>
      </c>
      <c r="D2484" s="2">
        <v>100</v>
      </c>
      <c r="E2484" s="2"/>
      <c r="F2484" s="4" t="str">
        <f>HYPERLINK("./Results/DLO\20181201_1.3.46.670589.33.1.63680375845853257500001.5696814975805578744_301_512_512_\Osteo_Sarco_1.png","RPT")</f>
        <v>RPT</v>
      </c>
      <c r="G2484" s="3">
        <v>158</v>
      </c>
      <c r="H2484" s="3"/>
    </row>
    <row r="2485" spans="1:8" x14ac:dyDescent="0.3">
      <c r="A2485" s="2">
        <v>8597283</v>
      </c>
      <c r="B2485" s="2">
        <v>58</v>
      </c>
      <c r="C2485" s="2" t="s">
        <v>5</v>
      </c>
      <c r="D2485" s="2">
        <v>100</v>
      </c>
      <c r="E2485" s="2"/>
      <c r="F2485" s="4" t="str">
        <f>HYPERLINK("./Results/DLO\20181201_1.3.46.670589.33.1.63680375722060177000001.4816676892453297943_201_512_512_\Osteo_Sarco_1.png","RPT")</f>
        <v>RPT</v>
      </c>
      <c r="G2485" s="3">
        <v>157</v>
      </c>
      <c r="H2485" s="3"/>
    </row>
    <row r="2486" spans="1:8" x14ac:dyDescent="0.3">
      <c r="A2486" s="2">
        <v>8600970</v>
      </c>
      <c r="B2486" s="2">
        <v>55</v>
      </c>
      <c r="C2486" s="2" t="s">
        <v>6</v>
      </c>
      <c r="D2486" s="2">
        <v>100</v>
      </c>
      <c r="E2486" s="2"/>
      <c r="F2486" s="4" t="str">
        <f>HYPERLINK("./Results/DLO\20190201_1.3.46.670589.33.1.63685739931445153000001.5177182601132767286_201_512_512_\Osteo_Sarco_1.png","RPT")</f>
        <v>RPT</v>
      </c>
      <c r="G2486" s="3">
        <v>89</v>
      </c>
      <c r="H2486" s="3"/>
    </row>
    <row r="2487" spans="1:8" x14ac:dyDescent="0.3">
      <c r="A2487" s="2">
        <v>8602789</v>
      </c>
      <c r="B2487" s="2">
        <v>50</v>
      </c>
      <c r="C2487" s="2" t="s">
        <v>6</v>
      </c>
      <c r="D2487" s="2">
        <v>140</v>
      </c>
      <c r="E2487" s="2"/>
      <c r="F2487" s="4" t="str">
        <f>HYPERLINK("./Results/DLO\20190101_1.2.840.113619.2.416.86873517509925437783274021758006358845_305_512_512_\Osteo_Sarco_1.png","RPT")</f>
        <v>RPT</v>
      </c>
      <c r="G2487" s="3">
        <v>126</v>
      </c>
      <c r="H2487" s="3"/>
    </row>
    <row r="2488" spans="1:8" x14ac:dyDescent="0.3">
      <c r="A2488" s="2">
        <v>8602789</v>
      </c>
      <c r="B2488" s="2">
        <v>50</v>
      </c>
      <c r="C2488" s="2" t="s">
        <v>6</v>
      </c>
      <c r="D2488" s="2">
        <v>140</v>
      </c>
      <c r="E2488" s="2"/>
      <c r="F2488" s="4" t="str">
        <f>HYPERLINK("./Results/DLO\20190101_1.2.840.113619.2.416.20432967567733939349126207486300960529_308_512_512_\Osteo_Sarco_1.png","RPT")</f>
        <v>RPT</v>
      </c>
      <c r="G2488" s="3">
        <v>118</v>
      </c>
      <c r="H2488" s="3"/>
    </row>
    <row r="2489" spans="1:8" x14ac:dyDescent="0.3">
      <c r="A2489" s="2">
        <v>8602789</v>
      </c>
      <c r="B2489" s="2">
        <v>50</v>
      </c>
      <c r="C2489" s="2" t="s">
        <v>6</v>
      </c>
      <c r="D2489" s="2">
        <v>140</v>
      </c>
      <c r="E2489" s="2"/>
      <c r="F2489" s="4" t="str">
        <f>HYPERLINK("./Results/DLO\20190101_1.2.840.113619.2.416.106989388254425376454819553298451815320_303_512_512_\Osteo_Sarco_1.png","RPT")</f>
        <v>RPT</v>
      </c>
      <c r="G2489" s="3">
        <v>117</v>
      </c>
      <c r="H2489" s="3"/>
    </row>
    <row r="2490" spans="1:8" x14ac:dyDescent="0.3">
      <c r="A2490" s="2">
        <v>8602789</v>
      </c>
      <c r="B2490" s="2">
        <v>50</v>
      </c>
      <c r="C2490" s="2" t="s">
        <v>6</v>
      </c>
      <c r="D2490" s="2">
        <v>140</v>
      </c>
      <c r="E2490" s="2"/>
      <c r="F2490" s="4" t="str">
        <f>HYPERLINK("./Results/DLO\20190101_1.2.840.113619.2.416.175402244734094404194882719035447611359_301_512_512_\Osteo_Sarco_1.png","RPT")</f>
        <v>RPT</v>
      </c>
      <c r="G2490" s="3">
        <v>113</v>
      </c>
      <c r="H2490" s="3"/>
    </row>
    <row r="2491" spans="1:8" x14ac:dyDescent="0.3">
      <c r="A2491" s="2">
        <v>8608724</v>
      </c>
      <c r="B2491" s="2">
        <v>61</v>
      </c>
      <c r="C2491" s="2" t="s">
        <v>6</v>
      </c>
      <c r="D2491" s="2">
        <v>100</v>
      </c>
      <c r="E2491" s="2"/>
      <c r="F2491" s="4" t="str">
        <f>HYPERLINK("./Results/DLO\20190501_1.3.46.670589.33.1.63694638878206262200001.5675365064062875417_201_512_512_\Osteo_Sarco_1.png","RPT")</f>
        <v>RPT</v>
      </c>
      <c r="G2491" s="3">
        <v>93</v>
      </c>
      <c r="H2491" s="3"/>
    </row>
    <row r="2492" spans="1:8" x14ac:dyDescent="0.3">
      <c r="A2492" s="2">
        <v>8613491</v>
      </c>
      <c r="B2492" s="2">
        <v>82</v>
      </c>
      <c r="C2492" s="2" t="s">
        <v>6</v>
      </c>
      <c r="D2492" s="2">
        <v>120</v>
      </c>
      <c r="E2492" s="2"/>
      <c r="F2492" s="4" t="str">
        <f>HYPERLINK("./Results/DLO\20190301_1.3.12.2.1107.5.1.4.54310.30000019032023314110900006759_9_512_512_\Osteo_Sarco_1.png","RPT")</f>
        <v>RPT</v>
      </c>
      <c r="G2492" s="3">
        <v>113</v>
      </c>
      <c r="H2492" s="3"/>
    </row>
    <row r="2493" spans="1:8" x14ac:dyDescent="0.3">
      <c r="A2493" s="2">
        <v>8613491</v>
      </c>
      <c r="B2493" s="2">
        <v>82</v>
      </c>
      <c r="C2493" s="2" t="s">
        <v>6</v>
      </c>
      <c r="D2493" s="2">
        <v>100</v>
      </c>
      <c r="E2493" s="2"/>
      <c r="F2493" s="4" t="str">
        <f>HYPERLINK("./Results/DLO\20190301_1.3.12.2.1107.5.1.4.54310.30000019032023314110900006053_3_512_512_\Osteo_Sarco_1.png","RPT")</f>
        <v>RPT</v>
      </c>
      <c r="G2493" s="3">
        <v>112</v>
      </c>
      <c r="H2493" s="3"/>
    </row>
    <row r="2494" spans="1:8" x14ac:dyDescent="0.3">
      <c r="A2494" s="2">
        <v>8613491</v>
      </c>
      <c r="B2494" s="2">
        <v>82</v>
      </c>
      <c r="C2494" s="2" t="s">
        <v>6</v>
      </c>
      <c r="D2494" s="2">
        <v>120</v>
      </c>
      <c r="E2494" s="2"/>
      <c r="F2494" s="4" t="str">
        <f>HYPERLINK("./Results/DLO\20190301_1.3.12.2.1107.5.1.4.54310.30000019032023314110900006139_5_512_512_\Osteo_Sarco_1.png","RPT")</f>
        <v>RPT</v>
      </c>
      <c r="G2494" s="3">
        <v>112</v>
      </c>
      <c r="H2494" s="3"/>
    </row>
    <row r="2495" spans="1:8" x14ac:dyDescent="0.3">
      <c r="A2495" s="2">
        <v>8613491</v>
      </c>
      <c r="B2495" s="2">
        <v>82</v>
      </c>
      <c r="C2495" s="2" t="s">
        <v>6</v>
      </c>
      <c r="D2495" s="2">
        <v>120</v>
      </c>
      <c r="E2495" s="2"/>
      <c r="F2495" s="4" t="str">
        <f>HYPERLINK("./Results/DLO\20190301_1.3.12.2.1107.5.1.4.54310.30000019032023314110900006480_7_512_512_\Osteo_Sarco_1.png","RPT")</f>
        <v>RPT</v>
      </c>
      <c r="G2495" s="3">
        <v>109</v>
      </c>
      <c r="H2495" s="3"/>
    </row>
    <row r="2496" spans="1:8" x14ac:dyDescent="0.3">
      <c r="A2496" s="2">
        <v>8614021</v>
      </c>
      <c r="B2496" s="2">
        <v>43</v>
      </c>
      <c r="C2496" s="2" t="s">
        <v>6</v>
      </c>
      <c r="D2496" s="2">
        <v>100</v>
      </c>
      <c r="E2496" s="2"/>
      <c r="F2496" s="4" t="str">
        <f>HYPERLINK("./Results/DLO\20191101_1.2.840.113619.2.416.193431157730350100978258415242562896947_310_512_512_\Osteo_Sarco_1.png","RPT")</f>
        <v>RPT</v>
      </c>
      <c r="G2496" s="3">
        <v>80</v>
      </c>
      <c r="H2496" s="3"/>
    </row>
    <row r="2497" spans="1:8" x14ac:dyDescent="0.3">
      <c r="A2497" s="2">
        <v>8617768</v>
      </c>
      <c r="B2497" s="2">
        <v>70</v>
      </c>
      <c r="C2497" s="2" t="s">
        <v>5</v>
      </c>
      <c r="D2497" s="2">
        <v>100</v>
      </c>
      <c r="E2497" s="2"/>
      <c r="F2497" s="4" t="str">
        <f>HYPERLINK("./Results/DLO\20200601_1.3.12.2.1107.5.1.4.54310.30000020061621223378100026911_2_512_512_\Osteo_Sarco_1.png","RPT")</f>
        <v>RPT</v>
      </c>
      <c r="G2497" s="3">
        <v>120</v>
      </c>
      <c r="H2497" s="3"/>
    </row>
    <row r="2498" spans="1:8" x14ac:dyDescent="0.3">
      <c r="A2498" s="2">
        <v>8618302</v>
      </c>
      <c r="B2498" s="2">
        <v>54</v>
      </c>
      <c r="C2498" s="2" t="s">
        <v>6</v>
      </c>
      <c r="D2498" s="2">
        <v>100</v>
      </c>
      <c r="E2498" s="2"/>
      <c r="F2498" s="4" t="str">
        <f>HYPERLINK("./Results/DLO\20180201_1.2.840.113619.2.311.80060582562866635550628727936816753786_304_512_512_\Osteo_Sarco_1.png","RPT")</f>
        <v>RPT</v>
      </c>
      <c r="G2498" s="3">
        <v>145</v>
      </c>
      <c r="H2498" s="3"/>
    </row>
    <row r="2499" spans="1:8" x14ac:dyDescent="0.3">
      <c r="A2499" s="2">
        <v>8621411</v>
      </c>
      <c r="B2499" s="2">
        <v>67</v>
      </c>
      <c r="C2499" s="2" t="s">
        <v>6</v>
      </c>
      <c r="D2499" s="2">
        <v>100</v>
      </c>
      <c r="E2499" s="2"/>
      <c r="F2499" s="4" t="str">
        <f>HYPERLINK("./Results/DLO\20180301_1.2.840.113619.2.94.485650834948.2.8688613.18759005.1_2_512_512_\Osteo_Sarco_1.png","RPT")</f>
        <v>RPT</v>
      </c>
      <c r="G2499" s="3">
        <v>106</v>
      </c>
      <c r="H2499" s="3"/>
    </row>
    <row r="2500" spans="1:8" x14ac:dyDescent="0.3">
      <c r="A2500" s="2">
        <v>8621890</v>
      </c>
      <c r="B2500" s="2">
        <v>43</v>
      </c>
      <c r="C2500" s="2" t="s">
        <v>6</v>
      </c>
      <c r="D2500" s="2">
        <v>100</v>
      </c>
      <c r="E2500" s="2"/>
      <c r="F2500" s="4" t="str">
        <f>HYPERLINK("./Results/DLO\20191001_1.2.840.113619.2.416.202272436543819794813783030030413887669_310_512_512_\Osteo_Sarco_1.png","RPT")</f>
        <v>RPT</v>
      </c>
      <c r="G2500" s="3">
        <v>105</v>
      </c>
      <c r="H2500" s="3"/>
    </row>
    <row r="2501" spans="1:8" x14ac:dyDescent="0.3">
      <c r="A2501" s="2">
        <v>8624315</v>
      </c>
      <c r="B2501" s="2">
        <v>58</v>
      </c>
      <c r="C2501" s="2" t="s">
        <v>5</v>
      </c>
      <c r="D2501" s="2">
        <v>100</v>
      </c>
      <c r="E2501" s="2"/>
      <c r="F2501" s="4" t="str">
        <f>HYPERLINK("./Results/DLO\20180301_1.2.840.113619.2.311.2473561051800056176432592307189900881_304_512_512_\Osteo_Sarco_1.png","RPT")</f>
        <v>RPT</v>
      </c>
      <c r="G2501" s="3">
        <v>192</v>
      </c>
      <c r="H2501" s="3"/>
    </row>
    <row r="2502" spans="1:8" x14ac:dyDescent="0.3">
      <c r="A2502" s="2">
        <v>8626070</v>
      </c>
      <c r="B2502" s="2">
        <v>62</v>
      </c>
      <c r="C2502" s="2" t="s">
        <v>6</v>
      </c>
      <c r="D2502" s="2">
        <v>100</v>
      </c>
      <c r="E2502" s="2"/>
      <c r="F2502" s="4" t="str">
        <f>HYPERLINK("./Results/DLO\20190701_1.3.46.670589.33.1.63699384080349445800001.5648132833675810348_201_512_512_\Osteo_Sarco_1.png","RPT")</f>
        <v>RPT</v>
      </c>
      <c r="G2502" s="3">
        <v>134</v>
      </c>
      <c r="H2502" s="3"/>
    </row>
    <row r="2503" spans="1:8" x14ac:dyDescent="0.3">
      <c r="A2503" s="2">
        <v>8628261</v>
      </c>
      <c r="B2503" s="2">
        <v>34</v>
      </c>
      <c r="C2503" s="2" t="s">
        <v>6</v>
      </c>
      <c r="D2503" s="2">
        <v>100</v>
      </c>
      <c r="E2503" s="2"/>
      <c r="F2503" s="4" t="str">
        <f>HYPERLINK("./Results/DLO\20181101_1.3.12.2.1107.5.1.4.54310.30000018110523144489000036074_2_512_512_\Osteo_Sarco_1.png","RPT")</f>
        <v>RPT</v>
      </c>
      <c r="G2503" s="3">
        <v>110</v>
      </c>
      <c r="H2503" s="3"/>
    </row>
    <row r="2504" spans="1:8" x14ac:dyDescent="0.3">
      <c r="A2504" s="2">
        <v>8630766</v>
      </c>
      <c r="B2504" s="2">
        <v>59</v>
      </c>
      <c r="C2504" s="2" t="s">
        <v>6</v>
      </c>
      <c r="D2504" s="2">
        <v>120</v>
      </c>
      <c r="E2504" s="2"/>
      <c r="F2504" s="4" t="str">
        <f>HYPERLINK("./Results/DLO\20190301_1.2.840.113619.2.416.77504754250381313980500683434310014718_2_512_512_\Osteo_Sarco_1.png","RPT")</f>
        <v>RPT</v>
      </c>
      <c r="G2504" s="3">
        <v>96</v>
      </c>
      <c r="H2504" s="3"/>
    </row>
    <row r="2505" spans="1:8" x14ac:dyDescent="0.3">
      <c r="A2505" s="2">
        <v>8630766</v>
      </c>
      <c r="B2505" s="2">
        <v>59</v>
      </c>
      <c r="C2505" s="2" t="s">
        <v>6</v>
      </c>
      <c r="D2505" s="2">
        <v>140</v>
      </c>
      <c r="E2505" s="2"/>
      <c r="F2505" s="4" t="str">
        <f>HYPERLINK("./Results/DLO\20190301_1.2.840.113619.2.416.204454132660839575330017457357944592609_302_512_512_\Osteo_Sarco_1.png","RPT")</f>
        <v>RPT</v>
      </c>
      <c r="G2505" s="3">
        <v>80</v>
      </c>
      <c r="H2505" s="3"/>
    </row>
    <row r="2506" spans="1:8" x14ac:dyDescent="0.3">
      <c r="A2506" s="2">
        <v>8631495</v>
      </c>
      <c r="B2506" s="2">
        <v>53</v>
      </c>
      <c r="C2506" s="2" t="s">
        <v>5</v>
      </c>
      <c r="D2506" s="2">
        <v>100</v>
      </c>
      <c r="E2506" s="2"/>
      <c r="F2506" s="4" t="str">
        <f>HYPERLINK("./Results/DLO\20180601_1.3.46.670589.33.1.63665864470395376700001.5551003804147160800_201_512_512_\Osteo_Sarco_1.png","RPT")</f>
        <v>RPT</v>
      </c>
      <c r="G2506" s="3">
        <v>130</v>
      </c>
      <c r="H2506" s="3"/>
    </row>
    <row r="2507" spans="1:8" x14ac:dyDescent="0.3">
      <c r="A2507" s="2">
        <v>8631815</v>
      </c>
      <c r="B2507" s="2">
        <v>62</v>
      </c>
      <c r="C2507" s="2" t="s">
        <v>5</v>
      </c>
      <c r="D2507" s="2">
        <v>100</v>
      </c>
      <c r="E2507" s="2"/>
      <c r="F2507" s="4" t="str">
        <f>HYPERLINK("./Results/DLO\20190201_1.2.840.113619.2.416.49498463756036702056049157774875371887_304_512_512_\Osteo_Sarco_1.png","RPT")</f>
        <v>RPT</v>
      </c>
      <c r="G2507" s="3">
        <v>149</v>
      </c>
      <c r="H2507" s="3"/>
    </row>
    <row r="2508" spans="1:8" x14ac:dyDescent="0.3">
      <c r="A2508" s="2">
        <v>8637691</v>
      </c>
      <c r="B2508" s="2">
        <v>49</v>
      </c>
      <c r="C2508" s="2" t="s">
        <v>6</v>
      </c>
      <c r="D2508" s="2">
        <v>100</v>
      </c>
      <c r="E2508" s="2"/>
      <c r="F2508" s="4" t="str">
        <f>HYPERLINK("./Results/DLO\20180401_1.2.840.113619.2.311.194530814301598243372983297059154822007_303_512_512_\Osteo_Sarco_1.png","RPT")</f>
        <v>RPT</v>
      </c>
      <c r="G2508" s="3">
        <v>109</v>
      </c>
      <c r="H2508" s="3"/>
    </row>
    <row r="2509" spans="1:8" x14ac:dyDescent="0.3">
      <c r="A2509" s="2">
        <v>8638119</v>
      </c>
      <c r="B2509" s="2">
        <v>37</v>
      </c>
      <c r="C2509" s="2" t="s">
        <v>6</v>
      </c>
      <c r="D2509" s="2">
        <v>100</v>
      </c>
      <c r="E2509" s="2"/>
      <c r="F2509" s="4" t="str">
        <f>HYPERLINK("./Results/DLO\20190201_1.3.46.670589.33.1.63685998699956000300001.5202200711458794102_201_512_512_\Osteo_Sarco_1.png","RPT")</f>
        <v>RPT</v>
      </c>
      <c r="G2509" s="3">
        <v>125</v>
      </c>
      <c r="H2509" s="3"/>
    </row>
    <row r="2510" spans="1:8" x14ac:dyDescent="0.3">
      <c r="A2510" s="2">
        <v>8640730</v>
      </c>
      <c r="B2510" s="2">
        <v>53</v>
      </c>
      <c r="C2510" s="2" t="s">
        <v>6</v>
      </c>
      <c r="D2510" s="2">
        <v>100</v>
      </c>
      <c r="E2510" s="2"/>
      <c r="F2510" s="4" t="str">
        <f>HYPERLINK("./Results/DLO\20190201_1.2.840.113619.2.311.252557322930800408659251328561794078177_304_512_512_\Osteo_Sarco_1.png","RPT")</f>
        <v>RPT</v>
      </c>
      <c r="G2510" s="3">
        <v>101</v>
      </c>
      <c r="H2510" s="3"/>
    </row>
    <row r="2511" spans="1:8" x14ac:dyDescent="0.3">
      <c r="A2511" s="2">
        <v>8643983</v>
      </c>
      <c r="B2511" s="2">
        <v>71</v>
      </c>
      <c r="C2511" s="2" t="s">
        <v>6</v>
      </c>
      <c r="D2511" s="2">
        <v>100</v>
      </c>
      <c r="E2511" s="2"/>
      <c r="F2511" s="4" t="str">
        <f>HYPERLINK("./Results/DLO\20190101_1.3.12.2.1107.5.1.4.65253.30000019010721490610100002581_2_512_512_\Osteo_Sarco_1.png","RPT")</f>
        <v>RPT</v>
      </c>
      <c r="G2511" s="3">
        <v>90</v>
      </c>
      <c r="H2511" s="3"/>
    </row>
    <row r="2512" spans="1:8" x14ac:dyDescent="0.3">
      <c r="A2512" s="2">
        <v>8645257</v>
      </c>
      <c r="B2512" s="2">
        <v>35</v>
      </c>
      <c r="C2512" s="2" t="s">
        <v>5</v>
      </c>
      <c r="D2512" s="2">
        <v>120</v>
      </c>
      <c r="E2512" s="2"/>
      <c r="F2512" s="4" t="str">
        <f>HYPERLINK("./Results/DLO\20190401_1.2.840.113619.2.416.27118047942069309722267818425754408226_2_512_512_\Osteo_Sarco_1.png","RPT")</f>
        <v>RPT</v>
      </c>
      <c r="G2512" s="3">
        <v>145</v>
      </c>
      <c r="H2512" s="3"/>
    </row>
    <row r="2513" spans="1:8" x14ac:dyDescent="0.3">
      <c r="A2513" s="2">
        <v>8648543</v>
      </c>
      <c r="B2513" s="2">
        <v>53</v>
      </c>
      <c r="C2513" s="2" t="s">
        <v>5</v>
      </c>
      <c r="D2513" s="2">
        <v>100</v>
      </c>
      <c r="E2513" s="2"/>
      <c r="F2513" s="4" t="str">
        <f>HYPERLINK("./Results/DLO\20200201_1.3.46.670589.33.1.63717795181240847800001.5358681635052052249_201_512_512_\Osteo_Sarco_1.png","RPT")</f>
        <v>RPT</v>
      </c>
      <c r="G2513" s="3">
        <v>169</v>
      </c>
      <c r="H2513" s="3"/>
    </row>
    <row r="2514" spans="1:8" x14ac:dyDescent="0.3">
      <c r="A2514" s="2">
        <v>8649754</v>
      </c>
      <c r="B2514" s="2">
        <v>55</v>
      </c>
      <c r="C2514" s="2" t="s">
        <v>6</v>
      </c>
      <c r="D2514" s="2">
        <v>100</v>
      </c>
      <c r="E2514" s="2"/>
      <c r="F2514" s="4" t="str">
        <f>HYPERLINK("./Results/DLO\20180501_1.2.840.113619.2.311.208055440641785584711686102570876068169_304_512_512_\Osteo_Sarco_1.png","RPT")</f>
        <v>RPT</v>
      </c>
      <c r="G2514" s="3">
        <v>130</v>
      </c>
      <c r="H2514" s="3"/>
    </row>
    <row r="2515" spans="1:8" x14ac:dyDescent="0.3">
      <c r="A2515" s="2">
        <v>8654236</v>
      </c>
      <c r="B2515" s="2">
        <v>68</v>
      </c>
      <c r="C2515" s="2" t="s">
        <v>5</v>
      </c>
      <c r="D2515" s="2">
        <v>100</v>
      </c>
      <c r="E2515" s="2"/>
      <c r="F2515" s="4" t="str">
        <f>HYPERLINK("./Results/DLO\20180501_1.2.840.113619.2.311.290502022480652180958928734265916203839_303_512_512_\Osteo_Sarco_1.png","RPT")</f>
        <v>RPT</v>
      </c>
      <c r="G2515" s="3">
        <v>144</v>
      </c>
      <c r="H2515" s="3"/>
    </row>
    <row r="2516" spans="1:8" x14ac:dyDescent="0.3">
      <c r="A2516" s="2">
        <v>8656924</v>
      </c>
      <c r="B2516" s="2">
        <v>52</v>
      </c>
      <c r="C2516" s="2" t="s">
        <v>6</v>
      </c>
      <c r="D2516" s="2">
        <v>100</v>
      </c>
      <c r="E2516" s="2"/>
      <c r="F2516" s="4" t="str">
        <f>HYPERLINK("./Results/DLO\20191101_1.3.12.2.1107.5.1.4.65253.30000019110619532698500030865_2_512_512_\Osteo_Sarco_1.png","RPT")</f>
        <v>RPT</v>
      </c>
      <c r="G2516" s="3">
        <v>116</v>
      </c>
      <c r="H2516" s="3"/>
    </row>
    <row r="2517" spans="1:8" x14ac:dyDescent="0.3">
      <c r="A2517" s="2">
        <v>8656924</v>
      </c>
      <c r="B2517" s="2">
        <v>52</v>
      </c>
      <c r="C2517" s="2" t="s">
        <v>6</v>
      </c>
      <c r="D2517" s="2">
        <v>100</v>
      </c>
      <c r="E2517" s="2"/>
      <c r="F2517" s="4" t="str">
        <f>HYPERLINK("./Results/DLO\20191101_1.3.12.2.1107.5.1.4.65253.30000019110619532698500031036_3_512_512_\Osteo_Sarco_1.png","RPT")</f>
        <v>RPT</v>
      </c>
      <c r="G2517" s="3">
        <v>115</v>
      </c>
      <c r="H2517" s="3"/>
    </row>
    <row r="2518" spans="1:8" x14ac:dyDescent="0.3">
      <c r="A2518" s="2">
        <v>8662121</v>
      </c>
      <c r="B2518" s="2">
        <v>60</v>
      </c>
      <c r="C2518" s="2" t="s">
        <v>6</v>
      </c>
      <c r="D2518" s="2">
        <v>100</v>
      </c>
      <c r="E2518" s="2"/>
      <c r="F2518" s="4" t="str">
        <f>HYPERLINK("./Results/DLO\20180201_1.2.840.113619.2.311.303123830200895034782041723829388836654_303_512_512_\Osteo_Sarco_1.png","RPT")</f>
        <v>RPT</v>
      </c>
      <c r="G2518" s="3">
        <v>114</v>
      </c>
      <c r="H2518" s="3"/>
    </row>
    <row r="2519" spans="1:8" x14ac:dyDescent="0.3">
      <c r="A2519" s="2">
        <v>8666069</v>
      </c>
      <c r="B2519" s="2">
        <v>53</v>
      </c>
      <c r="C2519" s="2" t="s">
        <v>5</v>
      </c>
      <c r="D2519" s="2">
        <v>100</v>
      </c>
      <c r="E2519" s="2"/>
      <c r="F2519" s="4" t="str">
        <f>HYPERLINK("./Results/DLO\20180101_1.3.12.2.1107.5.1.4.54310.30000018011423091487500021176_6_512_512_\Osteo_Sarco_1.png","RPT")</f>
        <v>RPT</v>
      </c>
      <c r="G2519" s="3">
        <v>144</v>
      </c>
      <c r="H2519" s="3"/>
    </row>
    <row r="2520" spans="1:8" x14ac:dyDescent="0.3">
      <c r="A2520" s="2">
        <v>8669156</v>
      </c>
      <c r="B2520" s="2">
        <v>77</v>
      </c>
      <c r="C2520" s="2" t="s">
        <v>6</v>
      </c>
      <c r="D2520" s="2">
        <v>100</v>
      </c>
      <c r="E2520" s="2"/>
      <c r="F2520" s="4" t="str">
        <f>HYPERLINK("./Results/DLO\20181201_1.3.12.2.1107.5.1.4.65253.30000018123019150732100021930_2_512_512_\Osteo_Sarco_1.png","RPT")</f>
        <v>RPT</v>
      </c>
      <c r="G2520" s="3">
        <v>116</v>
      </c>
      <c r="H2520" s="3"/>
    </row>
    <row r="2521" spans="1:8" x14ac:dyDescent="0.3">
      <c r="A2521" s="2">
        <v>8669156</v>
      </c>
      <c r="B2521" s="2">
        <v>77</v>
      </c>
      <c r="C2521" s="2" t="s">
        <v>6</v>
      </c>
      <c r="D2521" s="2">
        <v>80</v>
      </c>
      <c r="E2521" s="2"/>
      <c r="F2521" s="4" t="str">
        <f>HYPERLINK("./Results/DLO\20181201_1.3.12.2.1107.5.1.4.65253.30000018123019150732100022077_3_512_512_\Osteo_Sarco_1.png","RPT")</f>
        <v>RPT</v>
      </c>
      <c r="G2521" s="3">
        <v>114</v>
      </c>
      <c r="H2521" s="3"/>
    </row>
    <row r="2522" spans="1:8" x14ac:dyDescent="0.3">
      <c r="A2522" s="2">
        <v>8670226</v>
      </c>
      <c r="B2522" s="2">
        <v>43</v>
      </c>
      <c r="C2522" s="2" t="s">
        <v>6</v>
      </c>
      <c r="D2522" s="2">
        <v>100</v>
      </c>
      <c r="E2522" s="2"/>
      <c r="F2522" s="4" t="str">
        <f>HYPERLINK("./Results/DLO\20180901_1.3.12.2.1107.5.1.4.54310.30000018091223300103100014981_3_512_512_\Osteo_Sarco_1.png","RPT")</f>
        <v>RPT</v>
      </c>
      <c r="G2522" s="3">
        <v>121</v>
      </c>
      <c r="H2522" s="3"/>
    </row>
    <row r="2523" spans="1:8" x14ac:dyDescent="0.3">
      <c r="A2523" s="2">
        <v>8670226</v>
      </c>
      <c r="B2523" s="2">
        <v>43</v>
      </c>
      <c r="C2523" s="2" t="s">
        <v>6</v>
      </c>
      <c r="D2523" s="2">
        <v>100</v>
      </c>
      <c r="E2523" s="2"/>
      <c r="F2523" s="4" t="str">
        <f>HYPERLINK("./Results/DLO\20180901_1.3.12.2.1107.5.1.4.54310.30000018091223300103100014838_2_512_512_\Osteo_Sarco_1.png","RPT")</f>
        <v>RPT</v>
      </c>
      <c r="G2523" s="3">
        <v>119</v>
      </c>
      <c r="H2523" s="3"/>
    </row>
    <row r="2524" spans="1:8" x14ac:dyDescent="0.3">
      <c r="A2524" s="2">
        <v>8674312</v>
      </c>
      <c r="B2524" s="2">
        <v>67</v>
      </c>
      <c r="C2524" s="2" t="s">
        <v>6</v>
      </c>
      <c r="D2524" s="2">
        <v>100</v>
      </c>
      <c r="E2524" s="2"/>
      <c r="F2524" s="4" t="str">
        <f>HYPERLINK("./Results/DLO\20200601_1.3.46.670589.33.1.63727912993715746900001.5065267205341911971_201_512_512_\Osteo_Sarco_1.png","RPT")</f>
        <v>RPT</v>
      </c>
      <c r="G2524" s="3">
        <v>118</v>
      </c>
      <c r="H2524" s="3"/>
    </row>
    <row r="2525" spans="1:8" x14ac:dyDescent="0.3">
      <c r="A2525" s="2">
        <v>8675301</v>
      </c>
      <c r="B2525" s="2">
        <v>53</v>
      </c>
      <c r="C2525" s="2" t="s">
        <v>6</v>
      </c>
      <c r="D2525" s="2">
        <v>100</v>
      </c>
      <c r="E2525" s="2"/>
      <c r="F2525" s="4" t="str">
        <f>HYPERLINK("./Results/DLO\20180101_1.3.12.2.1107.5.1.4.54310.30000018011623145625000016612_2_512_512_\Osteo_Sarco_1.png","RPT")</f>
        <v>RPT</v>
      </c>
      <c r="G2525" s="3">
        <v>110</v>
      </c>
      <c r="H2525" s="3"/>
    </row>
    <row r="2526" spans="1:8" x14ac:dyDescent="0.3">
      <c r="A2526" s="2">
        <v>8678298</v>
      </c>
      <c r="B2526" s="2">
        <v>51</v>
      </c>
      <c r="C2526" s="2" t="s">
        <v>6</v>
      </c>
      <c r="D2526" s="2">
        <v>100</v>
      </c>
      <c r="E2526" s="2"/>
      <c r="F2526" s="4" t="str">
        <f>HYPERLINK("./Results/DLO\20200101_1.3.46.670589.33.1.63713730601876418200001.5268916028696555560_201_512_512_\Osteo_Sarco_1.png","RPT")</f>
        <v>RPT</v>
      </c>
      <c r="G2526" s="3">
        <v>115</v>
      </c>
      <c r="H2526" s="3"/>
    </row>
    <row r="2527" spans="1:8" x14ac:dyDescent="0.3">
      <c r="A2527" s="2">
        <v>8678452</v>
      </c>
      <c r="B2527" s="2">
        <v>44</v>
      </c>
      <c r="C2527" s="2" t="s">
        <v>5</v>
      </c>
      <c r="D2527" s="2">
        <v>100</v>
      </c>
      <c r="E2527" s="2"/>
      <c r="F2527" s="4" t="str">
        <f>HYPERLINK("./Results/DLO\20180101_1.3.12.2.1107.5.1.4.54310.30000018010723041601500019502_6_512_512_\Osteo_Sarco_1.png","RPT")</f>
        <v>RPT</v>
      </c>
      <c r="G2527" s="3">
        <v>198</v>
      </c>
      <c r="H2527" s="3"/>
    </row>
    <row r="2528" spans="1:8" x14ac:dyDescent="0.3">
      <c r="A2528" s="2">
        <v>8679850</v>
      </c>
      <c r="B2528" s="2">
        <v>48</v>
      </c>
      <c r="C2528" s="2" t="s">
        <v>6</v>
      </c>
      <c r="D2528" s="2">
        <v>100</v>
      </c>
      <c r="E2528" s="2"/>
      <c r="F2528" s="4" t="str">
        <f>HYPERLINK("./Results/DLO\20180801_1.2.840.113619.2.311.66343366773120842978880787029326059038_304_512_512_\Osteo_Sarco_1.png","RPT")</f>
        <v>RPT</v>
      </c>
      <c r="G2528" s="3">
        <v>115</v>
      </c>
      <c r="H2528" s="3"/>
    </row>
    <row r="2529" spans="1:8" x14ac:dyDescent="0.3">
      <c r="A2529" s="2">
        <v>8682858</v>
      </c>
      <c r="B2529" s="2">
        <v>54</v>
      </c>
      <c r="C2529" s="2" t="s">
        <v>6</v>
      </c>
      <c r="D2529" s="2">
        <v>120</v>
      </c>
      <c r="E2529" s="2"/>
      <c r="F2529" s="4" t="str">
        <f>HYPERLINK("./Results/DLO\20190101_1.2.410.100011.172.24.16.221.6368443801657985062.3_3_512_512_\Osteo_Sarco_1.png","RPT")</f>
        <v>RPT</v>
      </c>
      <c r="G2529" s="3">
        <v>113</v>
      </c>
      <c r="H2529" s="3"/>
    </row>
    <row r="2530" spans="1:8" x14ac:dyDescent="0.3">
      <c r="A2530" s="2">
        <v>8682858</v>
      </c>
      <c r="B2530" s="2">
        <v>54</v>
      </c>
      <c r="C2530" s="2" t="s">
        <v>6</v>
      </c>
      <c r="D2530" s="2">
        <v>120</v>
      </c>
      <c r="E2530" s="2"/>
      <c r="F2530" s="4" t="str">
        <f>HYPERLINK("./Results/DLO\20190101_1.2.410.100011.172.24.16.221.6368443801657985062.10_10_512_512_\Osteo_Sarco_1.png","RPT")</f>
        <v>RPT</v>
      </c>
      <c r="G2530" s="3">
        <v>110</v>
      </c>
      <c r="H2530" s="3"/>
    </row>
    <row r="2531" spans="1:8" x14ac:dyDescent="0.3">
      <c r="A2531" s="2">
        <v>8682858</v>
      </c>
      <c r="B2531" s="2">
        <v>54</v>
      </c>
      <c r="C2531" s="2" t="s">
        <v>6</v>
      </c>
      <c r="D2531" s="2">
        <v>120</v>
      </c>
      <c r="E2531" s="2"/>
      <c r="F2531" s="4" t="str">
        <f>HYPERLINK("./Results/DLO\20190101_1.2.410.100011.172.24.16.221.6368443801657985062.9_9_512_512_\Osteo_Sarco_1.png","RPT")</f>
        <v>RPT</v>
      </c>
      <c r="G2531" s="3">
        <v>104</v>
      </c>
      <c r="H2531" s="3"/>
    </row>
    <row r="2532" spans="1:8" x14ac:dyDescent="0.3">
      <c r="A2532" s="2">
        <v>8682858</v>
      </c>
      <c r="B2532" s="2">
        <v>54</v>
      </c>
      <c r="C2532" s="2" t="s">
        <v>6</v>
      </c>
      <c r="D2532" s="2">
        <v>120</v>
      </c>
      <c r="E2532" s="2"/>
      <c r="F2532" s="4" t="str">
        <f>HYPERLINK("./Results/DLO\20190101_1.2.410.100011.172.24.16.221.6368443801657985062.2_2_512_512_\Osteo_Sarco_1.png","RPT")</f>
        <v>RPT</v>
      </c>
      <c r="G2532" s="3">
        <v>103</v>
      </c>
      <c r="H2532" s="3"/>
    </row>
    <row r="2533" spans="1:8" x14ac:dyDescent="0.3">
      <c r="A2533" s="2">
        <v>8684770</v>
      </c>
      <c r="B2533" s="2">
        <v>66</v>
      </c>
      <c r="C2533" s="2" t="s">
        <v>5</v>
      </c>
      <c r="D2533" s="2">
        <v>100</v>
      </c>
      <c r="E2533" s="2"/>
      <c r="F2533" s="4" t="str">
        <f>HYPERLINK("./Results/DLO\20180401_1.3.12.2.1107.5.1.4.54310.30000018041623104917100031680_2_512_512_\Osteo_Sarco_1.png","RPT")</f>
        <v>RPT</v>
      </c>
      <c r="G2533" s="3">
        <v>147</v>
      </c>
      <c r="H2533" s="3"/>
    </row>
    <row r="2534" spans="1:8" x14ac:dyDescent="0.3">
      <c r="A2534" s="2">
        <v>8684770</v>
      </c>
      <c r="B2534" s="2">
        <v>66</v>
      </c>
      <c r="C2534" s="2" t="s">
        <v>5</v>
      </c>
      <c r="D2534" s="2">
        <v>100</v>
      </c>
      <c r="E2534" s="2"/>
      <c r="F2534" s="4" t="str">
        <f>HYPERLINK("./Results/DLO\20180401_1.3.12.2.1107.5.1.4.54310.30000018041623483203100008617_3_512_512_\Osteo_Sarco_1.png","RPT")</f>
        <v>RPT</v>
      </c>
      <c r="G2534" s="3">
        <v>145</v>
      </c>
      <c r="H2534" s="3"/>
    </row>
    <row r="2535" spans="1:8" x14ac:dyDescent="0.3">
      <c r="A2535" s="2">
        <v>8686112</v>
      </c>
      <c r="B2535" s="2">
        <v>51</v>
      </c>
      <c r="C2535" s="2" t="s">
        <v>5</v>
      </c>
      <c r="D2535" s="2">
        <v>120</v>
      </c>
      <c r="E2535" s="2"/>
      <c r="F2535" s="4" t="str">
        <f>HYPERLINK("./Results/DLO\20190801_1.2.840.113619.2.416.326000074430926344306662684873709755342_2_512_512_\Osteo_Sarco_1.png","RPT")</f>
        <v>RPT</v>
      </c>
      <c r="G2535" s="3">
        <v>176</v>
      </c>
      <c r="H2535" s="3"/>
    </row>
    <row r="2536" spans="1:8" x14ac:dyDescent="0.3">
      <c r="A2536" s="2">
        <v>8689257</v>
      </c>
      <c r="B2536" s="2">
        <v>35</v>
      </c>
      <c r="C2536" s="2" t="s">
        <v>6</v>
      </c>
      <c r="D2536" s="2">
        <v>100</v>
      </c>
      <c r="E2536" s="2"/>
      <c r="F2536" s="4" t="str">
        <f>HYPERLINK("./Results/DLO\20180901_1.2.840.113619.2.94.485650834948.2.9063111.19682457.1_2_512_512_\Osteo_Sarco_1.png","RPT")</f>
        <v>RPT</v>
      </c>
      <c r="G2536" s="3">
        <v>107</v>
      </c>
      <c r="H2536" s="3"/>
    </row>
    <row r="2537" spans="1:8" x14ac:dyDescent="0.3">
      <c r="A2537" s="2">
        <v>8689943</v>
      </c>
      <c r="B2537" s="2">
        <v>73</v>
      </c>
      <c r="C2537" s="2" t="s">
        <v>6</v>
      </c>
      <c r="D2537" s="2">
        <v>100</v>
      </c>
      <c r="E2537" s="2"/>
      <c r="F2537" s="4" t="str">
        <f>HYPERLINK("./Results/DLO\20190501_1.2.840.113619.2.416.238021537241742993107056252411115275506_310_512_512_\Osteo_Sarco_1.png","RPT")</f>
        <v>RPT</v>
      </c>
      <c r="G2537" s="3">
        <v>99</v>
      </c>
      <c r="H2537" s="3"/>
    </row>
    <row r="2538" spans="1:8" x14ac:dyDescent="0.3">
      <c r="A2538" s="2">
        <v>8694618</v>
      </c>
      <c r="B2538" s="2">
        <v>43</v>
      </c>
      <c r="C2538" s="2" t="s">
        <v>6</v>
      </c>
      <c r="D2538" s="2">
        <v>120</v>
      </c>
      <c r="E2538" s="2"/>
      <c r="F2538" s="4" t="str">
        <f>HYPERLINK("./Results/DLO\20181001_1.3.12.2.1107.5.1.4.54310.30000018101523272337500031364_7_512_512_\Osteo_Sarco_1.png","RPT")</f>
        <v>RPT</v>
      </c>
      <c r="G2538" s="3">
        <v>120</v>
      </c>
      <c r="H2538" s="3"/>
    </row>
    <row r="2539" spans="1:8" x14ac:dyDescent="0.3">
      <c r="A2539" s="2">
        <v>8694618</v>
      </c>
      <c r="B2539" s="2">
        <v>43</v>
      </c>
      <c r="C2539" s="2" t="s">
        <v>6</v>
      </c>
      <c r="D2539" s="2">
        <v>120</v>
      </c>
      <c r="E2539" s="2"/>
      <c r="F2539" s="4" t="str">
        <f>HYPERLINK("./Results/DLO\20181001_1.3.12.2.1107.5.1.4.54310.30000018101523272337500031621_9_512_512_\Osteo_Sarco_1.png","RPT")</f>
        <v>RPT</v>
      </c>
      <c r="G2539" s="3">
        <v>120</v>
      </c>
      <c r="H2539" s="3"/>
    </row>
    <row r="2540" spans="1:8" x14ac:dyDescent="0.3">
      <c r="A2540" s="2">
        <v>8694618</v>
      </c>
      <c r="B2540" s="2">
        <v>43</v>
      </c>
      <c r="C2540" s="2" t="s">
        <v>6</v>
      </c>
      <c r="D2540" s="2">
        <v>120</v>
      </c>
      <c r="E2540" s="2"/>
      <c r="F2540" s="4" t="str">
        <f>HYPERLINK("./Results/DLO\20181001_1.3.12.2.1107.5.1.4.54310.30000018101523272337500031031_5_512_512_\Osteo_Sarco_1.png","RPT")</f>
        <v>RPT</v>
      </c>
      <c r="G2540" s="3">
        <v>119</v>
      </c>
      <c r="H2540" s="3"/>
    </row>
    <row r="2541" spans="1:8" x14ac:dyDescent="0.3">
      <c r="A2541" s="2">
        <v>8694618</v>
      </c>
      <c r="B2541" s="2">
        <v>43</v>
      </c>
      <c r="C2541" s="2" t="s">
        <v>6</v>
      </c>
      <c r="D2541" s="2">
        <v>100</v>
      </c>
      <c r="E2541" s="2"/>
      <c r="F2541" s="4" t="str">
        <f>HYPERLINK("./Results/DLO\20181001_1.3.12.2.1107.5.1.4.54310.30000018101523272337500030948_3_512_512_\Osteo_Sarco_1.png","RPT")</f>
        <v>RPT</v>
      </c>
      <c r="G2541" s="3">
        <v>117</v>
      </c>
      <c r="H2541" s="3"/>
    </row>
    <row r="2542" spans="1:8" x14ac:dyDescent="0.3">
      <c r="A2542" s="2">
        <v>8694818</v>
      </c>
      <c r="B2542" s="2">
        <v>58</v>
      </c>
      <c r="C2542" s="2" t="s">
        <v>5</v>
      </c>
      <c r="D2542" s="2">
        <v>100</v>
      </c>
      <c r="E2542" s="2"/>
      <c r="F2542" s="4" t="str">
        <f>HYPERLINK("./Results/DLO\20200101_1.3.46.670589.33.1.63714847421033277000001.5484098004990873855_201_512_512_\Osteo_Sarco_1.png","RPT")</f>
        <v>RPT</v>
      </c>
      <c r="G2542" s="3">
        <v>199</v>
      </c>
      <c r="H2542" s="3"/>
    </row>
    <row r="2543" spans="1:8" x14ac:dyDescent="0.3">
      <c r="A2543" s="2">
        <v>8696182</v>
      </c>
      <c r="B2543" s="2">
        <v>56</v>
      </c>
      <c r="C2543" s="2" t="s">
        <v>6</v>
      </c>
      <c r="D2543" s="2">
        <v>100</v>
      </c>
      <c r="E2543" s="2"/>
      <c r="F2543" s="4" t="str">
        <f>HYPERLINK("./Results/DLO\20180101_1.2.840.113619.2.94.485650834948.2.8578383.18490770.1_2_512_512_\Osteo_Sarco_1.png","RPT")</f>
        <v>RPT</v>
      </c>
      <c r="G2543" s="3">
        <v>96</v>
      </c>
      <c r="H2543" s="3"/>
    </row>
    <row r="2544" spans="1:8" x14ac:dyDescent="0.3">
      <c r="A2544" s="2">
        <v>8696323</v>
      </c>
      <c r="B2544" s="2">
        <v>56</v>
      </c>
      <c r="C2544" s="2" t="s">
        <v>6</v>
      </c>
      <c r="D2544" s="2">
        <v>100</v>
      </c>
      <c r="E2544" s="2"/>
      <c r="F2544" s="4" t="str">
        <f>HYPERLINK("./Results/DLO\20191101_1.3.46.670589.33.1.63709753320968008800001.4803655587145024473_201_512_512_\Osteo_Sarco_1.png","RPT")</f>
        <v>RPT</v>
      </c>
      <c r="G2544" s="3">
        <v>88</v>
      </c>
      <c r="H2544" s="3"/>
    </row>
    <row r="2545" spans="1:8" x14ac:dyDescent="0.3">
      <c r="A2545" s="2">
        <v>8701789</v>
      </c>
      <c r="B2545" s="2">
        <v>60</v>
      </c>
      <c r="C2545" s="2" t="s">
        <v>5</v>
      </c>
      <c r="D2545" s="2">
        <v>100</v>
      </c>
      <c r="E2545" s="2"/>
      <c r="F2545" s="4" t="str">
        <f>HYPERLINK("./Results/DLO\20180501_1.2.840.113619.2.311.208010177080180262026853306159010039544_305_512_512_\Osteo_Sarco_1.png","RPT")</f>
        <v>RPT</v>
      </c>
      <c r="G2545" s="3">
        <v>166</v>
      </c>
      <c r="H2545" s="3"/>
    </row>
    <row r="2546" spans="1:8" x14ac:dyDescent="0.3">
      <c r="A2546" s="2">
        <v>8702991</v>
      </c>
      <c r="B2546" s="2">
        <v>60</v>
      </c>
      <c r="C2546" s="2" t="s">
        <v>5</v>
      </c>
      <c r="D2546" s="2">
        <v>100</v>
      </c>
      <c r="E2546" s="2"/>
      <c r="F2546" s="4" t="str">
        <f>HYPERLINK("./Results/DLO\20190501_1.3.12.2.1107.5.1.4.54310.30000019052423435651500010184_2_512_512_\Osteo_Sarco_1.png","RPT")</f>
        <v>RPT</v>
      </c>
      <c r="G2546" s="3">
        <v>176</v>
      </c>
      <c r="H2546" s="3"/>
    </row>
    <row r="2547" spans="1:8" x14ac:dyDescent="0.3">
      <c r="A2547" s="2">
        <v>8702991</v>
      </c>
      <c r="B2547" s="2">
        <v>60</v>
      </c>
      <c r="C2547" s="2" t="s">
        <v>5</v>
      </c>
      <c r="D2547" s="2">
        <v>100</v>
      </c>
      <c r="E2547" s="2"/>
      <c r="F2547" s="4" t="str">
        <f>HYPERLINK("./Results/DLO\20190501_1.3.12.2.1107.5.1.4.54310.30000019052423435651500010371_3_512_512_\Osteo_Sarco_1.png","RPT")</f>
        <v>RPT</v>
      </c>
      <c r="G2547" s="3">
        <v>175</v>
      </c>
      <c r="H2547" s="3"/>
    </row>
    <row r="2548" spans="1:8" x14ac:dyDescent="0.3">
      <c r="A2548" s="2">
        <v>8704079</v>
      </c>
      <c r="B2548" s="2">
        <v>59</v>
      </c>
      <c r="C2548" s="2" t="s">
        <v>5</v>
      </c>
      <c r="D2548" s="2">
        <v>100</v>
      </c>
      <c r="E2548" s="2"/>
      <c r="F2548" s="4" t="str">
        <f>HYPERLINK("./Results/DLO\20180101_1.3.46.670589.33.1.63652479944222164600001.5103702319572656725_401_512_512_\Osteo_Sarco_1.png","RPT")</f>
        <v>RPT</v>
      </c>
      <c r="G2548" s="3">
        <v>166</v>
      </c>
      <c r="H2548" s="3"/>
    </row>
    <row r="2549" spans="1:8" x14ac:dyDescent="0.3">
      <c r="A2549" s="2">
        <v>8706760</v>
      </c>
      <c r="B2549" s="2">
        <v>73</v>
      </c>
      <c r="C2549" s="2" t="s">
        <v>5</v>
      </c>
      <c r="D2549" s="2">
        <v>100</v>
      </c>
      <c r="E2549" s="2"/>
      <c r="F2549" s="4" t="str">
        <f>HYPERLINK("./Results/DLO\20180801_1.2.840.113619.2.416.53915423450438110620461359156258927830_302_512_512_\Osteo_Sarco_1.png","RPT")</f>
        <v>RPT</v>
      </c>
      <c r="G2549" s="3">
        <v>133</v>
      </c>
      <c r="H2549" s="3"/>
    </row>
    <row r="2550" spans="1:8" x14ac:dyDescent="0.3">
      <c r="A2550" s="2">
        <v>8706760</v>
      </c>
      <c r="B2550" s="2">
        <v>73</v>
      </c>
      <c r="C2550" s="2" t="s">
        <v>5</v>
      </c>
      <c r="D2550" s="2">
        <v>100</v>
      </c>
      <c r="E2550" s="2"/>
      <c r="F2550" s="4" t="str">
        <f>HYPERLINK("./Results/DLO\20180801_1.2.840.113619.2.416.222051058515175795670691389080448833197_301_512_512_\Osteo_Sarco_1.png","RPT")</f>
        <v>RPT</v>
      </c>
      <c r="G2550" s="3">
        <v>130</v>
      </c>
      <c r="H2550" s="3"/>
    </row>
    <row r="2551" spans="1:8" x14ac:dyDescent="0.3">
      <c r="A2551" s="2">
        <v>8706760</v>
      </c>
      <c r="B2551" s="2">
        <v>73</v>
      </c>
      <c r="C2551" s="2" t="s">
        <v>5</v>
      </c>
      <c r="D2551" s="2">
        <v>120</v>
      </c>
      <c r="E2551" s="2"/>
      <c r="F2551" s="4" t="str">
        <f>HYPERLINK("./Results/DLO\20180801_1.2.840.113619.2.416.284110476234560601649564146171126688254_2_512_512_\Osteo_Sarco_1.png","RPT")</f>
        <v>RPT</v>
      </c>
      <c r="G2551" s="3">
        <v>130</v>
      </c>
      <c r="H2551" s="3"/>
    </row>
    <row r="2552" spans="1:8" x14ac:dyDescent="0.3">
      <c r="A2552" s="2">
        <v>8708035</v>
      </c>
      <c r="B2552" s="2">
        <v>49</v>
      </c>
      <c r="C2552" s="2" t="s">
        <v>6</v>
      </c>
      <c r="D2552" s="2">
        <v>100</v>
      </c>
      <c r="E2552" s="2"/>
      <c r="F2552" s="4" t="str">
        <f>HYPERLINK("./Results/DLO\20180301_1.3.12.2.1107.5.1.4.54310.30000018032623215707800011069_2_512_512_\Osteo_Sarco_1.png","RPT")</f>
        <v>RPT</v>
      </c>
      <c r="G2552" s="3">
        <v>149</v>
      </c>
      <c r="H2552" s="3"/>
    </row>
    <row r="2553" spans="1:8" x14ac:dyDescent="0.3">
      <c r="A2553" s="2">
        <v>8709647</v>
      </c>
      <c r="B2553" s="2">
        <v>38</v>
      </c>
      <c r="C2553" s="2" t="s">
        <v>6</v>
      </c>
      <c r="D2553" s="2">
        <v>100</v>
      </c>
      <c r="E2553" s="2"/>
      <c r="F2553" s="4" t="str">
        <f>HYPERLINK("./Results/DLO\20180501_1.2.840.113619.2.94.485650834948.2.8802942.19040333.1_2_512_512_\Osteo_Sarco_1.png","RPT")</f>
        <v>RPT</v>
      </c>
      <c r="G2553" s="3">
        <v>105</v>
      </c>
      <c r="H2553" s="3"/>
    </row>
    <row r="2554" spans="1:8" x14ac:dyDescent="0.3">
      <c r="A2554" s="2">
        <v>8713562</v>
      </c>
      <c r="B2554" s="2">
        <v>53</v>
      </c>
      <c r="C2554" s="2" t="s">
        <v>6</v>
      </c>
      <c r="D2554" s="2">
        <v>100</v>
      </c>
      <c r="E2554" s="2"/>
      <c r="F2554" s="4" t="str">
        <f>HYPERLINK("./Results/DLO\20180401_1.3.12.2.1107.5.1.4.54310.30000018041823261392100003764_2_512_512_\Osteo_Sarco_1.png","RPT")</f>
        <v>RPT</v>
      </c>
      <c r="G2554" s="3">
        <v>115</v>
      </c>
      <c r="H2554" s="3"/>
    </row>
    <row r="2555" spans="1:8" x14ac:dyDescent="0.3">
      <c r="A2555" s="2">
        <v>8719429</v>
      </c>
      <c r="B2555" s="2">
        <v>71</v>
      </c>
      <c r="C2555" s="2" t="s">
        <v>6</v>
      </c>
      <c r="D2555" s="2">
        <v>120</v>
      </c>
      <c r="E2555" s="2"/>
      <c r="F2555" s="4" t="str">
        <f>HYPERLINK("./Results/DLO\20190401_1.2.840.113619.2.416.260374207241980332830449359099332952857_2_512_512_\Osteo_Sarco_1.png","RPT")</f>
        <v>RPT</v>
      </c>
      <c r="G2555" s="3">
        <v>107</v>
      </c>
      <c r="H2555" s="3"/>
    </row>
    <row r="2556" spans="1:8" x14ac:dyDescent="0.3">
      <c r="A2556" s="2">
        <v>8719429</v>
      </c>
      <c r="B2556" s="2">
        <v>71</v>
      </c>
      <c r="C2556" s="2" t="s">
        <v>6</v>
      </c>
      <c r="D2556" s="2">
        <v>140</v>
      </c>
      <c r="E2556" s="2"/>
      <c r="F2556" s="4" t="str">
        <f>HYPERLINK("./Results/DLO\20190401_1.2.840.113619.2.416.128859850030561640136785866028226677239_302_512_512_\Osteo_Sarco_1.png","RPT")</f>
        <v>RPT</v>
      </c>
      <c r="G2556" s="3">
        <v>101</v>
      </c>
      <c r="H2556" s="3"/>
    </row>
    <row r="2557" spans="1:8" x14ac:dyDescent="0.3">
      <c r="A2557" s="2">
        <v>8719829</v>
      </c>
      <c r="B2557" s="2">
        <v>53</v>
      </c>
      <c r="C2557" s="2" t="s">
        <v>5</v>
      </c>
      <c r="D2557" s="2">
        <v>100</v>
      </c>
      <c r="E2557" s="2"/>
      <c r="F2557" s="4" t="str">
        <f>HYPERLINK("./Results/DLO\20180201_1.2.840.113619.2.94.485650834948.2.8632070.18622543.1_2_512_512_\Osteo_Sarco_1.png","RPT")</f>
        <v>RPT</v>
      </c>
      <c r="G2557" s="3">
        <v>170</v>
      </c>
      <c r="H2557" s="3"/>
    </row>
    <row r="2558" spans="1:8" x14ac:dyDescent="0.3">
      <c r="A2558" s="2">
        <v>8720123</v>
      </c>
      <c r="B2558" s="2">
        <v>41</v>
      </c>
      <c r="C2558" s="2" t="s">
        <v>6</v>
      </c>
      <c r="D2558" s="2">
        <v>100</v>
      </c>
      <c r="E2558" s="2"/>
      <c r="F2558" s="4" t="str">
        <f>HYPERLINK("./Results/DLO\20180801_1.2.840.113619.2.416.324446520429908659643245001372403521196_304_512_512_\Osteo_Sarco_1.png","RPT")</f>
        <v>RPT</v>
      </c>
      <c r="G2558" s="3">
        <v>91</v>
      </c>
      <c r="H2558" s="3"/>
    </row>
    <row r="2559" spans="1:8" x14ac:dyDescent="0.3">
      <c r="A2559" s="2">
        <v>8720477</v>
      </c>
      <c r="B2559" s="2">
        <v>48</v>
      </c>
      <c r="C2559" s="2" t="s">
        <v>6</v>
      </c>
      <c r="D2559" s="2">
        <v>100</v>
      </c>
      <c r="E2559" s="2"/>
      <c r="F2559" s="4" t="str">
        <f>HYPERLINK("./Results/DLO\20180401_1.2.840.113619.2.311.154966231423548725021229643258439952558_303_512_512_\Osteo_Sarco_1.png","RPT")</f>
        <v>RPT</v>
      </c>
      <c r="G2559" s="3">
        <v>85</v>
      </c>
      <c r="H2559" s="3"/>
    </row>
    <row r="2560" spans="1:8" x14ac:dyDescent="0.3">
      <c r="A2560" s="2">
        <v>8727149</v>
      </c>
      <c r="B2560" s="2">
        <v>56</v>
      </c>
      <c r="C2560" s="2" t="s">
        <v>6</v>
      </c>
      <c r="D2560" s="2">
        <v>100</v>
      </c>
      <c r="E2560" s="2"/>
      <c r="F2560" s="4" t="str">
        <f>HYPERLINK("./Results/DLO\20180501_1.2.840.113619.2.311.1119799695293133625111846018945558034_304_512_512_\Osteo_Sarco_1.png","RPT")</f>
        <v>RPT</v>
      </c>
      <c r="G2560" s="3">
        <v>115</v>
      </c>
      <c r="H2560" s="3"/>
    </row>
    <row r="2561" spans="1:8" x14ac:dyDescent="0.3">
      <c r="A2561" s="2">
        <v>8739567</v>
      </c>
      <c r="B2561" s="2">
        <v>45</v>
      </c>
      <c r="C2561" s="2" t="s">
        <v>5</v>
      </c>
      <c r="D2561" s="2">
        <v>100</v>
      </c>
      <c r="E2561" s="2"/>
      <c r="F2561" s="4" t="str">
        <f>HYPERLINK("./Results/DLO\20180601_1.2.840.113619.2.311.301204161635447080948195724374405802513_304_512_512_\Osteo_Sarco_1.png","RPT")</f>
        <v>RPT</v>
      </c>
      <c r="G2561" s="3">
        <v>177</v>
      </c>
      <c r="H2561" s="3"/>
    </row>
    <row r="2562" spans="1:8" x14ac:dyDescent="0.3">
      <c r="A2562" s="2">
        <v>8739848</v>
      </c>
      <c r="B2562" s="2">
        <v>58</v>
      </c>
      <c r="C2562" s="2" t="s">
        <v>5</v>
      </c>
      <c r="D2562" s="2">
        <v>100</v>
      </c>
      <c r="E2562" s="2"/>
      <c r="F2562" s="4" t="str">
        <f>HYPERLINK("./Results/DLO\20181001_1.3.46.670589.33.1.63674761925064235500001.4848328252025860643_201_512_512_\Osteo_Sarco_1.png","RPT")</f>
        <v>RPT</v>
      </c>
      <c r="G2562" s="3">
        <v>170</v>
      </c>
      <c r="H2562" s="3"/>
    </row>
    <row r="2563" spans="1:8" x14ac:dyDescent="0.3">
      <c r="A2563" s="2">
        <v>8740155</v>
      </c>
      <c r="B2563" s="2">
        <v>29</v>
      </c>
      <c r="C2563" s="2" t="s">
        <v>6</v>
      </c>
      <c r="D2563" s="2">
        <v>100</v>
      </c>
      <c r="E2563" s="2"/>
      <c r="F2563" s="4" t="str">
        <f>HYPERLINK("./Results/DLO\20180301_1.2.840.113619.2.416.113219500153694044426880480634998907250_304_512_512_\Osteo_Sarco_1.png","RPT")</f>
        <v>RPT</v>
      </c>
      <c r="G2563" s="3">
        <v>120</v>
      </c>
      <c r="H2563" s="3"/>
    </row>
    <row r="2564" spans="1:8" x14ac:dyDescent="0.3">
      <c r="A2564" s="2">
        <v>8743115</v>
      </c>
      <c r="B2564" s="2">
        <v>72</v>
      </c>
      <c r="C2564" s="2" t="s">
        <v>5</v>
      </c>
      <c r="D2564" s="2">
        <v>120</v>
      </c>
      <c r="E2564" s="2"/>
      <c r="F2564" s="4" t="str">
        <f>HYPERLINK("./Results/DLO\_1.2.410.100011.172.16.68.201.6367096345395875642.4_4_512_512_\Osteo_Sarco_1.png","RPT")</f>
        <v>RPT</v>
      </c>
      <c r="G2564" s="3">
        <v>145</v>
      </c>
      <c r="H2564" s="3"/>
    </row>
    <row r="2565" spans="1:8" x14ac:dyDescent="0.3">
      <c r="A2565" s="2">
        <v>8743115</v>
      </c>
      <c r="B2565" s="2">
        <v>72</v>
      </c>
      <c r="C2565" s="2" t="s">
        <v>5</v>
      </c>
      <c r="D2565" s="2">
        <v>120</v>
      </c>
      <c r="E2565" s="2"/>
      <c r="F2565" s="4" t="str">
        <f>HYPERLINK("./Results/DLO\_1.2.410.100011.172.16.68.201.6367096345395875642.3_3_512_512_\Osteo_Sarco_1.png","RPT")</f>
        <v>RPT</v>
      </c>
      <c r="G2565" s="3">
        <v>144</v>
      </c>
      <c r="H2565" s="3"/>
    </row>
    <row r="2566" spans="1:8" x14ac:dyDescent="0.3">
      <c r="A2566" s="2">
        <v>8743115</v>
      </c>
      <c r="B2566" s="2">
        <v>72</v>
      </c>
      <c r="C2566" s="2" t="s">
        <v>5</v>
      </c>
      <c r="D2566" s="2">
        <v>120</v>
      </c>
      <c r="E2566" s="2"/>
      <c r="F2566" s="4" t="str">
        <f>HYPERLINK("./Results/DLO\_1.2.410.100011.172.16.68.201.6367096345395875642.2_2_512_512_\Osteo_Sarco_1.png","RPT")</f>
        <v>RPT</v>
      </c>
      <c r="G2566" s="3">
        <v>143</v>
      </c>
      <c r="H2566" s="3"/>
    </row>
    <row r="2567" spans="1:8" x14ac:dyDescent="0.3">
      <c r="A2567" s="2">
        <v>8743458</v>
      </c>
      <c r="B2567" s="2">
        <v>70</v>
      </c>
      <c r="C2567" s="2" t="s">
        <v>6</v>
      </c>
      <c r="D2567" s="2">
        <v>100</v>
      </c>
      <c r="E2567" s="2"/>
      <c r="F2567" s="4" t="str">
        <f>HYPERLINK("./Results/DLO\20180701_1.3.12.2.1107.5.1.4.54310.30000018070923233553100013190_2_512_512_\Osteo_Sarco_1.png","RPT")</f>
        <v>RPT</v>
      </c>
      <c r="G2567" s="3">
        <v>117</v>
      </c>
      <c r="H2567" s="3"/>
    </row>
    <row r="2568" spans="1:8" x14ac:dyDescent="0.3">
      <c r="A2568" s="2">
        <v>8749771</v>
      </c>
      <c r="B2568" s="2">
        <v>59</v>
      </c>
      <c r="C2568" s="2" t="s">
        <v>6</v>
      </c>
      <c r="D2568" s="2">
        <v>100</v>
      </c>
      <c r="E2568" s="2"/>
      <c r="F2568" s="4" t="str">
        <f>HYPERLINK("./Results/DLO\20200501_1.3.46.670589.33.1.63725217606198271800001.4879260449914763885_201_512_512_\Osteo_Sarco_1.png","RPT")</f>
        <v>RPT</v>
      </c>
      <c r="G2568" s="3">
        <v>102</v>
      </c>
      <c r="H2568" s="3"/>
    </row>
    <row r="2569" spans="1:8" x14ac:dyDescent="0.3">
      <c r="A2569" s="2">
        <v>8750406</v>
      </c>
      <c r="B2569" s="2">
        <v>47</v>
      </c>
      <c r="C2569" s="2" t="s">
        <v>6</v>
      </c>
      <c r="D2569" s="2">
        <v>100</v>
      </c>
      <c r="E2569" s="2"/>
      <c r="F2569" s="4" t="str">
        <f>HYPERLINK("./Results/DLO\20190801_1.3.12.2.1107.5.1.4.65253.30000019082618565141200000155_3_512_512_\Osteo_Sarco_1.png","RPT")</f>
        <v>RPT</v>
      </c>
      <c r="G2569" s="3">
        <v>98</v>
      </c>
      <c r="H2569" s="3"/>
    </row>
    <row r="2570" spans="1:8" x14ac:dyDescent="0.3">
      <c r="A2570" s="2">
        <v>8750406</v>
      </c>
      <c r="B2570" s="2">
        <v>47</v>
      </c>
      <c r="C2570" s="2" t="s">
        <v>6</v>
      </c>
      <c r="D2570" s="2">
        <v>100</v>
      </c>
      <c r="E2570" s="2"/>
      <c r="F2570" s="4" t="str">
        <f>HYPERLINK("./Results/DLO\20190801_1.3.12.2.1107.5.1.4.65253.30000019082618565141200000000_2_512_512_\Osteo_Sarco_1.png","RPT")</f>
        <v>RPT</v>
      </c>
      <c r="G2570" s="3">
        <v>94</v>
      </c>
      <c r="H2570" s="3"/>
    </row>
    <row r="2571" spans="1:8" x14ac:dyDescent="0.3">
      <c r="A2571" s="2">
        <v>8750626</v>
      </c>
      <c r="B2571" s="2">
        <v>46</v>
      </c>
      <c r="C2571" s="2" t="s">
        <v>6</v>
      </c>
      <c r="D2571" s="2">
        <v>100</v>
      </c>
      <c r="E2571" s="2"/>
      <c r="F2571" s="4" t="str">
        <f>HYPERLINK("./Results/DLO\20180601_1.3.46.670589.33.1.63665862631157178300001.5448766104246184902_301_512_512_\Osteo_Sarco_1.png","RPT")</f>
        <v>RPT</v>
      </c>
      <c r="G2571" s="3">
        <v>100</v>
      </c>
      <c r="H2571" s="3"/>
    </row>
    <row r="2572" spans="1:8" x14ac:dyDescent="0.3">
      <c r="A2572" s="2">
        <v>8752220</v>
      </c>
      <c r="B2572" s="2">
        <v>63</v>
      </c>
      <c r="C2572" s="2" t="s">
        <v>6</v>
      </c>
      <c r="D2572" s="2">
        <v>100</v>
      </c>
      <c r="E2572" s="2"/>
      <c r="F2572" s="4" t="str">
        <f>HYPERLINK("./Results/DLO\20190901_1.3.46.670589.33.1.63703361907969920000001.5015349785036724031_201_512_512_\Osteo_Sarco_1.png","RPT")</f>
        <v>RPT</v>
      </c>
      <c r="G2572" s="3">
        <v>93</v>
      </c>
      <c r="H2572" s="3"/>
    </row>
    <row r="2573" spans="1:8" x14ac:dyDescent="0.3">
      <c r="A2573" s="2">
        <v>8753655</v>
      </c>
      <c r="B2573" s="2">
        <v>31</v>
      </c>
      <c r="C2573" s="2" t="s">
        <v>5</v>
      </c>
      <c r="D2573" s="2">
        <v>100</v>
      </c>
      <c r="E2573" s="2"/>
      <c r="F2573" s="4" t="str">
        <f>HYPERLINK("./Results/DLO\20180401_1.2.840.113619.2.416.158405073992192307949977419117690769162_304_512_512_\Osteo_Sarco_1.png","RPT")</f>
        <v>RPT</v>
      </c>
      <c r="G2573" s="3">
        <v>159</v>
      </c>
      <c r="H2573" s="3"/>
    </row>
    <row r="2574" spans="1:8" x14ac:dyDescent="0.3">
      <c r="A2574" s="2">
        <v>8753655</v>
      </c>
      <c r="B2574" s="2">
        <v>31</v>
      </c>
      <c r="C2574" s="2" t="s">
        <v>5</v>
      </c>
      <c r="D2574" s="2">
        <v>100</v>
      </c>
      <c r="E2574" s="2"/>
      <c r="F2574" s="4" t="str">
        <f>HYPERLINK("./Results/DLO\20180401_1.2.840.113619.2.416.339834868838058760114941442231287942572_2_512_512_\Osteo_Sarco_1.png","RPT")</f>
        <v>RPT</v>
      </c>
      <c r="G2574" s="3">
        <v>156</v>
      </c>
      <c r="H2574" s="3"/>
    </row>
    <row r="2575" spans="1:8" x14ac:dyDescent="0.3">
      <c r="A2575" s="2">
        <v>8756313</v>
      </c>
      <c r="B2575" s="2">
        <v>66</v>
      </c>
      <c r="C2575" s="2" t="s">
        <v>5</v>
      </c>
      <c r="D2575" s="2">
        <v>100</v>
      </c>
      <c r="E2575" s="2"/>
      <c r="F2575" s="4" t="str">
        <f>HYPERLINK("./Results/DLO\20180701_1.2.840.113619.2.94.485650834948.2.8930447.19354060.1_2_512_512_\Osteo_Sarco_1.png","RPT")</f>
        <v>RPT</v>
      </c>
      <c r="G2575" s="3">
        <v>149</v>
      </c>
      <c r="H2575" s="3"/>
    </row>
    <row r="2576" spans="1:8" x14ac:dyDescent="0.3">
      <c r="A2576" s="2">
        <v>8761043</v>
      </c>
      <c r="B2576" s="2">
        <v>45</v>
      </c>
      <c r="C2576" s="2" t="s">
        <v>5</v>
      </c>
      <c r="D2576" s="2">
        <v>100</v>
      </c>
      <c r="E2576" s="2"/>
      <c r="F2576" s="4" t="str">
        <f>HYPERLINK("./Results/DLO\20190701_1.3.12.2.1107.5.1.4.65253.30000019063017391722700072858_4_512_512_\Osteo_Sarco_1.png","RPT")</f>
        <v>RPT</v>
      </c>
      <c r="G2576" s="3">
        <v>132</v>
      </c>
      <c r="H2576" s="3"/>
    </row>
    <row r="2577" spans="1:8" x14ac:dyDescent="0.3">
      <c r="A2577" s="2">
        <v>8761043</v>
      </c>
      <c r="B2577" s="2">
        <v>45</v>
      </c>
      <c r="C2577" s="2" t="s">
        <v>5</v>
      </c>
      <c r="D2577" s="2">
        <v>100</v>
      </c>
      <c r="E2577" s="2"/>
      <c r="F2577" s="4" t="str">
        <f>HYPERLINK("./Results/DLO\20190701_1.3.12.2.1107.5.1.4.65253.30000019063017391722700073408_6_512_512_\Osteo_Sarco_1.png","RPT")</f>
        <v>RPT</v>
      </c>
      <c r="G2577" s="3">
        <v>119</v>
      </c>
      <c r="H2577" s="3"/>
    </row>
    <row r="2578" spans="1:8" x14ac:dyDescent="0.3">
      <c r="A2578" s="2">
        <v>8761341</v>
      </c>
      <c r="B2578" s="2">
        <v>83</v>
      </c>
      <c r="C2578" s="2" t="s">
        <v>6</v>
      </c>
      <c r="D2578" s="2">
        <v>120</v>
      </c>
      <c r="E2578" s="2"/>
      <c r="F2578" s="4" t="str">
        <f>HYPERLINK("./Results/DLO\20181101_1.3.12.2.1107.5.1.4.65420.30000018113000395387000000000_4_512_512_\Osteo_Sarco_1.png","RPT")</f>
        <v>RPT</v>
      </c>
      <c r="G2578" s="3">
        <v>101</v>
      </c>
      <c r="H2578" s="3"/>
    </row>
    <row r="2579" spans="1:8" x14ac:dyDescent="0.3">
      <c r="A2579" s="2">
        <v>8762093</v>
      </c>
      <c r="B2579" s="2">
        <v>54</v>
      </c>
      <c r="C2579" s="2" t="s">
        <v>6</v>
      </c>
      <c r="D2579" s="2">
        <v>100</v>
      </c>
      <c r="E2579" s="2"/>
      <c r="F2579" s="4" t="str">
        <f>HYPERLINK("./Results/DLO\20180301_1.2.840.113619.2.94.485650834948.2.8700862.18788411.1_2_512_512_\Osteo_Sarco_1.png","RPT")</f>
        <v>RPT</v>
      </c>
      <c r="G2579" s="3">
        <v>124</v>
      </c>
      <c r="H2579" s="3"/>
    </row>
    <row r="2580" spans="1:8" x14ac:dyDescent="0.3">
      <c r="A2580" s="2">
        <v>8763288</v>
      </c>
      <c r="B2580" s="2">
        <v>52</v>
      </c>
      <c r="C2580" s="2" t="s">
        <v>6</v>
      </c>
      <c r="D2580" s="2">
        <v>100</v>
      </c>
      <c r="E2580" s="2"/>
      <c r="F2580" s="4" t="str">
        <f>HYPERLINK("./Results/DLO\20190201_1.3.12.2.1107.5.1.4.54310.30000019021823451273400000519_2_512_512_\Osteo_Sarco_1.png","RPT")</f>
        <v>RPT</v>
      </c>
      <c r="G2580" s="3">
        <v>106</v>
      </c>
      <c r="H2580" s="3"/>
    </row>
    <row r="2581" spans="1:8" x14ac:dyDescent="0.3">
      <c r="A2581" s="2">
        <v>8765074</v>
      </c>
      <c r="B2581" s="2">
        <v>62</v>
      </c>
      <c r="C2581" s="2" t="s">
        <v>6</v>
      </c>
      <c r="D2581" s="2">
        <v>100</v>
      </c>
      <c r="E2581" s="2"/>
      <c r="F2581" s="4" t="str">
        <f>HYPERLINK("./Results/DLO\20181101_1.2.840.113619.2.311.300479592310638836442138029475396753696_304_512_512_\Osteo_Sarco_1.png","RPT")</f>
        <v>RPT</v>
      </c>
      <c r="G2581" s="3">
        <v>108</v>
      </c>
      <c r="H2581" s="3"/>
    </row>
    <row r="2582" spans="1:8" x14ac:dyDescent="0.3">
      <c r="A2582" s="2">
        <v>8765915</v>
      </c>
      <c r="B2582" s="2">
        <v>56</v>
      </c>
      <c r="C2582" s="2" t="s">
        <v>6</v>
      </c>
      <c r="D2582" s="2">
        <v>100</v>
      </c>
      <c r="E2582" s="2"/>
      <c r="F2582" s="4" t="str">
        <f>HYPERLINK("./Results/DLO\20181201_1.2.840.113619.2.311.8164940829146072563401014609875466457_304_512_512_\Osteo_Sarco_1.png","RPT")</f>
        <v>RPT</v>
      </c>
      <c r="G2582" s="3">
        <v>99</v>
      </c>
      <c r="H2582" s="3"/>
    </row>
    <row r="2583" spans="1:8" x14ac:dyDescent="0.3">
      <c r="A2583" s="2">
        <v>8772404</v>
      </c>
      <c r="B2583" s="2">
        <v>72</v>
      </c>
      <c r="C2583" s="2" t="s">
        <v>6</v>
      </c>
      <c r="D2583" s="2">
        <v>140</v>
      </c>
      <c r="E2583" s="2"/>
      <c r="F2583" s="4" t="str">
        <f>HYPERLINK("./Results/DLO\20180201_1.2.840.113619.2.416.325751617691180394256594653007612654747_303_512_512_\Osteo_Sarco_1.png","RPT")</f>
        <v>RPT</v>
      </c>
      <c r="G2583" s="3">
        <v>103</v>
      </c>
      <c r="H2583" s="3"/>
    </row>
    <row r="2584" spans="1:8" x14ac:dyDescent="0.3">
      <c r="A2584" s="2">
        <v>8772404</v>
      </c>
      <c r="B2584" s="2">
        <v>72</v>
      </c>
      <c r="C2584" s="2" t="s">
        <v>6</v>
      </c>
      <c r="D2584" s="2">
        <v>140</v>
      </c>
      <c r="E2584" s="2"/>
      <c r="F2584" s="4" t="str">
        <f>HYPERLINK("./Results/DLO\20180201_1.2.840.113619.2.416.225570525515274658529964850129590238964_2_512_512_\Osteo_Sarco_1.png","RPT")</f>
        <v>RPT</v>
      </c>
      <c r="G2584" s="3">
        <v>91</v>
      </c>
      <c r="H2584" s="3"/>
    </row>
    <row r="2585" spans="1:8" x14ac:dyDescent="0.3">
      <c r="A2585" s="2">
        <v>8776612</v>
      </c>
      <c r="B2585" s="2">
        <v>48</v>
      </c>
      <c r="C2585" s="2" t="s">
        <v>6</v>
      </c>
      <c r="D2585" s="2">
        <v>100</v>
      </c>
      <c r="E2585" s="2"/>
      <c r="F2585" s="4" t="str">
        <f>HYPERLINK("./Results/DLO\20200601_1.2.840.113619.2.416.175667042145230511713480028627042626239_307_512_512_\Osteo_Sarco_1.png","RPT")</f>
        <v>RPT</v>
      </c>
      <c r="G2585" s="3">
        <v>111</v>
      </c>
      <c r="H2585" s="3"/>
    </row>
    <row r="2586" spans="1:8" x14ac:dyDescent="0.3">
      <c r="A2586" s="2">
        <v>8776621</v>
      </c>
      <c r="B2586" s="2">
        <v>51</v>
      </c>
      <c r="C2586" s="2" t="s">
        <v>5</v>
      </c>
      <c r="D2586" s="2">
        <v>140</v>
      </c>
      <c r="E2586" s="2"/>
      <c r="F2586" s="4" t="str">
        <f>HYPERLINK("./Results/DLO\20180401_1.2.840.113619.2.416.290823766337770129885287729044095493869_2_512_512_\Osteo_Sarco_1.png","RPT")</f>
        <v>RPT</v>
      </c>
      <c r="G2586" s="3">
        <v>179</v>
      </c>
      <c r="H2586" s="3"/>
    </row>
    <row r="2587" spans="1:8" x14ac:dyDescent="0.3">
      <c r="A2587" s="2">
        <v>8776621</v>
      </c>
      <c r="B2587" s="2">
        <v>51</v>
      </c>
      <c r="C2587" s="2" t="s">
        <v>5</v>
      </c>
      <c r="D2587" s="2">
        <v>140</v>
      </c>
      <c r="E2587" s="2"/>
      <c r="F2587" s="4" t="str">
        <f>HYPERLINK("./Results/DLO\20180401_1.2.840.113619.2.416.227656634691825725946092055621705089223_303_512_512_\Osteo_Sarco_1.png","RPT")</f>
        <v>RPT</v>
      </c>
      <c r="G2587" s="3">
        <v>178</v>
      </c>
      <c r="H2587" s="3"/>
    </row>
    <row r="2588" spans="1:8" x14ac:dyDescent="0.3">
      <c r="A2588" s="2">
        <v>8780557</v>
      </c>
      <c r="B2588" s="2">
        <v>38</v>
      </c>
      <c r="C2588" s="2" t="s">
        <v>6</v>
      </c>
      <c r="D2588" s="2">
        <v>100</v>
      </c>
      <c r="E2588" s="2"/>
      <c r="F2588" s="4" t="str">
        <f>HYPERLINK("./Results/DLO\20190701_1.2.840.113619.2.416.189882123197222889149481546094141653856_310_512_512_\Osteo_Sarco_1.png","RPT")</f>
        <v>RPT</v>
      </c>
      <c r="G2588" s="3">
        <v>101</v>
      </c>
      <c r="H2588" s="3"/>
    </row>
    <row r="2589" spans="1:8" x14ac:dyDescent="0.3">
      <c r="A2589" s="2">
        <v>8781000</v>
      </c>
      <c r="B2589" s="2">
        <v>60</v>
      </c>
      <c r="C2589" s="2" t="s">
        <v>5</v>
      </c>
      <c r="D2589" s="2">
        <v>100</v>
      </c>
      <c r="E2589" s="2"/>
      <c r="F2589" s="4" t="str">
        <f>HYPERLINK("./Results/DLO\20190701_1.3.46.670589.33.1.63697759434498819800001.5027410371676147952_301_512_512_\Osteo_Sarco_1.png","RPT")</f>
        <v>RPT</v>
      </c>
      <c r="G2589" s="3">
        <v>174</v>
      </c>
      <c r="H2589" s="3"/>
    </row>
    <row r="2590" spans="1:8" x14ac:dyDescent="0.3">
      <c r="A2590" s="2">
        <v>8781000</v>
      </c>
      <c r="B2590" s="2">
        <v>60</v>
      </c>
      <c r="C2590" s="2" t="s">
        <v>5</v>
      </c>
      <c r="D2590" s="2">
        <v>100</v>
      </c>
      <c r="E2590" s="2"/>
      <c r="F2590" s="4" t="str">
        <f>HYPERLINK("./Results/DLO\20190701_1.3.46.670589.33.1.63697759315138992800001.5100089436385358014_201_512_512_\Osteo_Sarco_1.png","RPT")</f>
        <v>RPT</v>
      </c>
      <c r="G2590" s="3">
        <v>173</v>
      </c>
      <c r="H2590" s="3"/>
    </row>
    <row r="2591" spans="1:8" x14ac:dyDescent="0.3">
      <c r="A2591" s="2">
        <v>8783415</v>
      </c>
      <c r="B2591" s="2">
        <v>52</v>
      </c>
      <c r="C2591" s="2" t="s">
        <v>5</v>
      </c>
      <c r="D2591" s="2">
        <v>140</v>
      </c>
      <c r="E2591" s="2"/>
      <c r="F2591" s="4" t="str">
        <f>HYPERLINK("./Results/DLO\20180401_1.2.840.113619.2.416.12291279087754856789410466979146551263_2_512_512_\Osteo_Sarco_1.png","RPT")</f>
        <v>RPT</v>
      </c>
      <c r="G2591" s="3">
        <v>160</v>
      </c>
      <c r="H2591" s="3"/>
    </row>
    <row r="2592" spans="1:8" x14ac:dyDescent="0.3">
      <c r="A2592" s="2">
        <v>8783415</v>
      </c>
      <c r="B2592" s="2">
        <v>52</v>
      </c>
      <c r="C2592" s="2" t="s">
        <v>5</v>
      </c>
      <c r="D2592" s="2">
        <v>140</v>
      </c>
      <c r="E2592" s="2"/>
      <c r="F2592" s="4" t="str">
        <f>HYPERLINK("./Results/DLO\20180401_1.2.840.113619.2.416.157161122853478870668111973773998011011_303_512_512_\Osteo_Sarco_1.png","RPT")</f>
        <v>RPT</v>
      </c>
      <c r="G2592" s="3">
        <v>151</v>
      </c>
      <c r="H2592" s="3"/>
    </row>
    <row r="2593" spans="1:8" x14ac:dyDescent="0.3">
      <c r="A2593" s="2">
        <v>8785049</v>
      </c>
      <c r="B2593" s="2">
        <v>54</v>
      </c>
      <c r="C2593" s="2" t="s">
        <v>6</v>
      </c>
      <c r="D2593" s="2">
        <v>100</v>
      </c>
      <c r="E2593" s="2"/>
      <c r="F2593" s="4" t="str">
        <f>HYPERLINK("./Results/DLO\20190401_1.3.12.2.1107.5.1.4.65253.30000019040419163826100041501_2_512_512_\Osteo_Sarco_1.png","RPT")</f>
        <v>RPT</v>
      </c>
      <c r="G2593" s="3">
        <v>142</v>
      </c>
      <c r="H2593" s="3"/>
    </row>
    <row r="2594" spans="1:8" x14ac:dyDescent="0.3">
      <c r="A2594" s="2">
        <v>8785049</v>
      </c>
      <c r="B2594" s="2">
        <v>54</v>
      </c>
      <c r="C2594" s="2" t="s">
        <v>6</v>
      </c>
      <c r="D2594" s="2">
        <v>100</v>
      </c>
      <c r="E2594" s="2"/>
      <c r="F2594" s="4" t="str">
        <f>HYPERLINK("./Results/DLO\20190401_1.3.12.2.1107.5.1.4.65253.30000019040419163826100041667_3_512_512_\Osteo_Sarco_1.png","RPT")</f>
        <v>RPT</v>
      </c>
      <c r="G2594" s="3">
        <v>142</v>
      </c>
      <c r="H2594" s="3"/>
    </row>
    <row r="2595" spans="1:8" x14ac:dyDescent="0.3">
      <c r="A2595" s="2">
        <v>8787572</v>
      </c>
      <c r="B2595" s="2">
        <v>38</v>
      </c>
      <c r="C2595" s="2" t="s">
        <v>6</v>
      </c>
      <c r="D2595" s="2">
        <v>100</v>
      </c>
      <c r="E2595" s="2"/>
      <c r="F2595" s="4" t="str">
        <f>HYPERLINK("./Results/DLO\20180601_1.3.12.2.1107.5.1.4.54310.30000018062523303743700008453_3_512_512_\Osteo_Sarco_1.png","RPT")</f>
        <v>RPT</v>
      </c>
      <c r="G2595" s="3">
        <v>111</v>
      </c>
      <c r="H2595" s="3"/>
    </row>
    <row r="2596" spans="1:8" x14ac:dyDescent="0.3">
      <c r="A2596" s="2">
        <v>8787572</v>
      </c>
      <c r="B2596" s="2">
        <v>38</v>
      </c>
      <c r="C2596" s="2" t="s">
        <v>6</v>
      </c>
      <c r="D2596" s="2">
        <v>120</v>
      </c>
      <c r="E2596" s="2"/>
      <c r="F2596" s="4" t="str">
        <f>HYPERLINK("./Results/DLO\20180601_1.3.12.2.1107.5.1.4.54310.30000018062523303743700009121_9_512_512_\Osteo_Sarco_1.png","RPT")</f>
        <v>RPT</v>
      </c>
      <c r="G2596" s="3">
        <v>111</v>
      </c>
      <c r="H2596" s="3"/>
    </row>
    <row r="2597" spans="1:8" x14ac:dyDescent="0.3">
      <c r="A2597" s="2">
        <v>8787572</v>
      </c>
      <c r="B2597" s="2">
        <v>38</v>
      </c>
      <c r="C2597" s="2" t="s">
        <v>6</v>
      </c>
      <c r="D2597" s="2">
        <v>120</v>
      </c>
      <c r="E2597" s="2"/>
      <c r="F2597" s="4" t="str">
        <f>HYPERLINK("./Results/DLO\20180601_1.3.12.2.1107.5.1.4.54310.30000018062523303743700008536_5_512_512_\Osteo_Sarco_1.png","RPT")</f>
        <v>RPT</v>
      </c>
      <c r="G2597" s="3">
        <v>110</v>
      </c>
      <c r="H2597" s="3"/>
    </row>
    <row r="2598" spans="1:8" x14ac:dyDescent="0.3">
      <c r="A2598" s="2">
        <v>8787572</v>
      </c>
      <c r="B2598" s="2">
        <v>38</v>
      </c>
      <c r="C2598" s="2" t="s">
        <v>6</v>
      </c>
      <c r="D2598" s="2">
        <v>120</v>
      </c>
      <c r="E2598" s="2"/>
      <c r="F2598" s="4" t="str">
        <f>HYPERLINK("./Results/DLO\20180601_1.3.12.2.1107.5.1.4.54310.30000018062523303743700008865_7_512_512_\Osteo_Sarco_1.png","RPT")</f>
        <v>RPT</v>
      </c>
      <c r="G2598" s="3">
        <v>109</v>
      </c>
      <c r="H2598" s="3"/>
    </row>
    <row r="2599" spans="1:8" x14ac:dyDescent="0.3">
      <c r="A2599" s="2">
        <v>8790933</v>
      </c>
      <c r="B2599" s="2">
        <v>50</v>
      </c>
      <c r="C2599" s="2" t="s">
        <v>5</v>
      </c>
      <c r="D2599" s="2">
        <v>120</v>
      </c>
      <c r="E2599" s="2"/>
      <c r="F2599" s="4" t="str">
        <f>HYPERLINK("./Results/DLO\20181101_1.3.12.2.1107.5.1.4.54310.30000018112923203092100031316_7_512_512_\Osteo_Sarco_1.png","RPT")</f>
        <v>RPT</v>
      </c>
      <c r="G2599" s="3">
        <v>119</v>
      </c>
      <c r="H2599" s="3"/>
    </row>
    <row r="2600" spans="1:8" x14ac:dyDescent="0.3">
      <c r="A2600" s="2">
        <v>8790933</v>
      </c>
      <c r="B2600" s="2">
        <v>50</v>
      </c>
      <c r="C2600" s="2" t="s">
        <v>5</v>
      </c>
      <c r="D2600" s="2">
        <v>120</v>
      </c>
      <c r="E2600" s="2"/>
      <c r="F2600" s="4" t="str">
        <f>HYPERLINK("./Results/DLO\20181101_1.3.12.2.1107.5.1.4.54310.30000018112923203092100031599_9_512_512_\Osteo_Sarco_1.png","RPT")</f>
        <v>RPT</v>
      </c>
      <c r="G2600" s="3">
        <v>119</v>
      </c>
      <c r="H2600" s="3"/>
    </row>
    <row r="2601" spans="1:8" x14ac:dyDescent="0.3">
      <c r="A2601" s="2">
        <v>8790933</v>
      </c>
      <c r="B2601" s="2">
        <v>50</v>
      </c>
      <c r="C2601" s="2" t="s">
        <v>5</v>
      </c>
      <c r="D2601" s="2">
        <v>120</v>
      </c>
      <c r="E2601" s="2"/>
      <c r="F2601" s="4" t="str">
        <f>HYPERLINK("./Results/DLO\20181101_1.3.12.2.1107.5.1.4.54310.30000018112923203092100030936_5_512_512_\Osteo_Sarco_1.png","RPT")</f>
        <v>RPT</v>
      </c>
      <c r="G2601" s="3">
        <v>118</v>
      </c>
      <c r="H2601" s="3"/>
    </row>
    <row r="2602" spans="1:8" x14ac:dyDescent="0.3">
      <c r="A2602" s="2">
        <v>8790933</v>
      </c>
      <c r="B2602" s="2">
        <v>50</v>
      </c>
      <c r="C2602" s="2" t="s">
        <v>5</v>
      </c>
      <c r="D2602" s="2">
        <v>100</v>
      </c>
      <c r="E2602" s="2"/>
      <c r="F2602" s="4" t="str">
        <f>HYPERLINK("./Results/DLO\20181101_1.3.12.2.1107.5.1.4.54310.30000018112923203092100030839_3_512_512_\Osteo_Sarco_1.png","RPT")</f>
        <v>RPT</v>
      </c>
      <c r="G2602" s="3">
        <v>116</v>
      </c>
      <c r="H2602" s="3"/>
    </row>
    <row r="2603" spans="1:8" x14ac:dyDescent="0.3">
      <c r="A2603" s="2">
        <v>8792539</v>
      </c>
      <c r="B2603" s="2">
        <v>43</v>
      </c>
      <c r="C2603" s="2" t="s">
        <v>6</v>
      </c>
      <c r="D2603" s="2">
        <v>100</v>
      </c>
      <c r="E2603" s="2"/>
      <c r="F2603" s="4" t="str">
        <f>HYPERLINK("./Results/DLO\20180201_1.3.12.2.1107.5.1.4.54310.30000018020123131201500064056_4_512_512_\Osteo_Sarco_1.png","RPT")</f>
        <v>RPT</v>
      </c>
      <c r="G2603" s="3">
        <v>122</v>
      </c>
      <c r="H2603" s="3"/>
    </row>
    <row r="2604" spans="1:8" x14ac:dyDescent="0.3">
      <c r="A2604" s="2">
        <v>8792692</v>
      </c>
      <c r="B2604" s="2">
        <v>45</v>
      </c>
      <c r="C2604" s="2" t="s">
        <v>6</v>
      </c>
      <c r="D2604" s="2">
        <v>100</v>
      </c>
      <c r="E2604" s="2"/>
      <c r="F2604" s="4" t="str">
        <f>HYPERLINK("./Results/DLO\20190301_1.3.46.670589.33.1.63688506009141819000001.5519429274112303913_201_512_512_\Osteo_Sarco_1.png","RPT")</f>
        <v>RPT</v>
      </c>
      <c r="G2604" s="3">
        <v>95</v>
      </c>
      <c r="H2604" s="3"/>
    </row>
    <row r="2605" spans="1:8" x14ac:dyDescent="0.3">
      <c r="A2605" s="2">
        <v>8793111</v>
      </c>
      <c r="B2605" s="2">
        <v>48</v>
      </c>
      <c r="C2605" s="2" t="s">
        <v>6</v>
      </c>
      <c r="D2605" s="2">
        <v>100</v>
      </c>
      <c r="E2605" s="2"/>
      <c r="F2605" s="4" t="str">
        <f>HYPERLINK("./Results/DLO\20180101_1.3.12.2.1107.5.1.4.54310.30000018011623145625000000103_2_512_512_\Osteo_Sarco_1.png","RPT")</f>
        <v>RPT</v>
      </c>
      <c r="G2605" s="3">
        <v>100</v>
      </c>
      <c r="H2605" s="3"/>
    </row>
    <row r="2606" spans="1:8" x14ac:dyDescent="0.3">
      <c r="A2606" s="2">
        <v>8796674</v>
      </c>
      <c r="B2606" s="2">
        <v>51</v>
      </c>
      <c r="C2606" s="2" t="s">
        <v>5</v>
      </c>
      <c r="D2606" s="2">
        <v>100</v>
      </c>
      <c r="E2606" s="2"/>
      <c r="F2606" s="4" t="str">
        <f>HYPERLINK("./Results/DLO\20180301_1.3.12.2.1107.5.1.4.54310.30000018031423122640600036621_3_512_512_\Osteo_Sarco_1.png","RPT")</f>
        <v>RPT</v>
      </c>
      <c r="G2606" s="3">
        <v>180</v>
      </c>
      <c r="H2606" s="3"/>
    </row>
    <row r="2607" spans="1:8" x14ac:dyDescent="0.3">
      <c r="A2607" s="2">
        <v>8796674</v>
      </c>
      <c r="B2607" s="2">
        <v>51</v>
      </c>
      <c r="C2607" s="2" t="s">
        <v>5</v>
      </c>
      <c r="D2607" s="2">
        <v>100</v>
      </c>
      <c r="E2607" s="2"/>
      <c r="F2607" s="4" t="str">
        <f>HYPERLINK("./Results/DLO\20180301_1.3.12.2.1107.5.1.4.54310.30000018031423122640600036446_2_512_512_\Osteo_Sarco_1.png","RPT")</f>
        <v>RPT</v>
      </c>
      <c r="G2607" s="3">
        <v>177</v>
      </c>
      <c r="H2607" s="3"/>
    </row>
    <row r="2608" spans="1:8" x14ac:dyDescent="0.3">
      <c r="A2608" s="2">
        <v>8796993</v>
      </c>
      <c r="B2608" s="2">
        <v>63</v>
      </c>
      <c r="C2608" s="2" t="s">
        <v>5</v>
      </c>
      <c r="D2608" s="2">
        <v>100</v>
      </c>
      <c r="E2608" s="2"/>
      <c r="F2608" s="4" t="str">
        <f>HYPERLINK("./Results/DLO\20190501_1.3.12.2.1107.5.1.4.65253.30000019050718452245500038105_3_512_512_\Osteo_Sarco_1.png","RPT")</f>
        <v>RPT</v>
      </c>
      <c r="G2608" s="3">
        <v>168</v>
      </c>
      <c r="H2608" s="3"/>
    </row>
    <row r="2609" spans="1:8" x14ac:dyDescent="0.3">
      <c r="A2609" s="2">
        <v>8796993</v>
      </c>
      <c r="B2609" s="2">
        <v>63</v>
      </c>
      <c r="C2609" s="2" t="s">
        <v>5</v>
      </c>
      <c r="D2609" s="2">
        <v>100</v>
      </c>
      <c r="E2609" s="2"/>
      <c r="F2609" s="4" t="str">
        <f>HYPERLINK("./Results/DLO\20190501_1.3.12.2.1107.5.1.4.65253.30000019050718452245500037929_2_512_512_\Osteo_Sarco_1.png","RPT")</f>
        <v>RPT</v>
      </c>
      <c r="G2609" s="3">
        <v>166</v>
      </c>
      <c r="H2609" s="3"/>
    </row>
    <row r="2610" spans="1:8" x14ac:dyDescent="0.3">
      <c r="A2610" s="2">
        <v>8798278</v>
      </c>
      <c r="B2610" s="2">
        <v>68</v>
      </c>
      <c r="C2610" s="2" t="s">
        <v>6</v>
      </c>
      <c r="D2610" s="2">
        <v>100</v>
      </c>
      <c r="E2610" s="2"/>
      <c r="F2610" s="4" t="str">
        <f>HYPERLINK("./Results/DLO\20190601_1.3.12.2.1107.5.1.4.65253.30000019062917252974700007476_3_512_512_\Osteo_Sarco_1.png","RPT")</f>
        <v>RPT</v>
      </c>
      <c r="G2610" s="3">
        <v>46</v>
      </c>
      <c r="H2610" s="3"/>
    </row>
    <row r="2611" spans="1:8" x14ac:dyDescent="0.3">
      <c r="A2611" s="2">
        <v>8801204</v>
      </c>
      <c r="B2611" s="2">
        <v>64</v>
      </c>
      <c r="C2611" s="2" t="s">
        <v>5</v>
      </c>
      <c r="D2611" s="2">
        <v>100</v>
      </c>
      <c r="E2611" s="2"/>
      <c r="F2611" s="4" t="str">
        <f>HYPERLINK("./Results/DLO\20180201_1.3.12.2.1107.5.1.4.54310.30000018020623090128100000000_2_512_512_\Osteo_Sarco_1.png","RPT")</f>
        <v>RPT</v>
      </c>
      <c r="G2611" s="3">
        <v>143</v>
      </c>
      <c r="H2611" s="3"/>
    </row>
    <row r="2612" spans="1:8" x14ac:dyDescent="0.3">
      <c r="A2612" s="2">
        <v>8802679</v>
      </c>
      <c r="B2612" s="2">
        <v>39</v>
      </c>
      <c r="C2612" s="2" t="s">
        <v>5</v>
      </c>
      <c r="D2612" s="2">
        <v>140</v>
      </c>
      <c r="E2612" s="2"/>
      <c r="F2612" s="4" t="str">
        <f>HYPERLINK("./Results/DLO\20180401_1.2.840.113619.2.416.168973691250724280118959471783314140274_304_512_512_\Osteo_Sarco_1.png","RPT")</f>
        <v>RPT</v>
      </c>
      <c r="G2612" s="3">
        <v>137</v>
      </c>
      <c r="H2612" s="3"/>
    </row>
    <row r="2613" spans="1:8" x14ac:dyDescent="0.3">
      <c r="A2613" s="2">
        <v>8802679</v>
      </c>
      <c r="B2613" s="2">
        <v>39</v>
      </c>
      <c r="C2613" s="2" t="s">
        <v>5</v>
      </c>
      <c r="D2613" s="2">
        <v>140</v>
      </c>
      <c r="E2613" s="2"/>
      <c r="F2613" s="4" t="str">
        <f>HYPERLINK("./Results/DLO\20180401_1.2.840.113619.2.416.205955295986402208298377185158673620994_308_512_512_\Osteo_Sarco_1.png","RPT")</f>
        <v>RPT</v>
      </c>
      <c r="G2613" s="3">
        <v>137</v>
      </c>
      <c r="H2613" s="3"/>
    </row>
    <row r="2614" spans="1:8" x14ac:dyDescent="0.3">
      <c r="A2614" s="2">
        <v>8802679</v>
      </c>
      <c r="B2614" s="2">
        <v>39</v>
      </c>
      <c r="C2614" s="2" t="s">
        <v>5</v>
      </c>
      <c r="D2614" s="2">
        <v>140</v>
      </c>
      <c r="E2614" s="2"/>
      <c r="F2614" s="4" t="str">
        <f>HYPERLINK("./Results/DLO\20180401_1.2.840.113619.2.416.271569597917229411162177156953495690412_2_512_512_\Osteo_Sarco_1.png","RPT")</f>
        <v>RPT</v>
      </c>
      <c r="G2614" s="3">
        <v>135</v>
      </c>
      <c r="H2614" s="3"/>
    </row>
    <row r="2615" spans="1:8" x14ac:dyDescent="0.3">
      <c r="A2615" s="2">
        <v>8804668</v>
      </c>
      <c r="B2615" s="2">
        <v>54</v>
      </c>
      <c r="C2615" s="2" t="s">
        <v>6</v>
      </c>
      <c r="D2615" s="2">
        <v>100</v>
      </c>
      <c r="E2615" s="2"/>
      <c r="F2615" s="4" t="str">
        <f>HYPERLINK("./Results/DLO\20190601_1.3.46.670589.33.1.63695503265996794100001.5699913524826573999_201_512_512_\Osteo_Sarco_1.png","RPT")</f>
        <v>RPT</v>
      </c>
      <c r="G2615" s="3">
        <v>106</v>
      </c>
      <c r="H2615" s="3"/>
    </row>
    <row r="2616" spans="1:8" x14ac:dyDescent="0.3">
      <c r="A2616" s="2">
        <v>8805219</v>
      </c>
      <c r="B2616" s="2">
        <v>54</v>
      </c>
      <c r="C2616" s="2" t="s">
        <v>5</v>
      </c>
      <c r="D2616" s="2">
        <v>120</v>
      </c>
      <c r="E2616" s="2"/>
      <c r="F2616" s="4" t="str">
        <f>HYPERLINK("./Results/DLO\20190101_1.3.12.2.1107.5.1.4.54310.30000019011323092907800048035_5_512_512_\Osteo_Sarco_1.png","RPT")</f>
        <v>RPT</v>
      </c>
      <c r="G2616" s="3">
        <v>147</v>
      </c>
      <c r="H2616" s="3"/>
    </row>
    <row r="2617" spans="1:8" x14ac:dyDescent="0.3">
      <c r="A2617" s="2">
        <v>8805219</v>
      </c>
      <c r="B2617" s="2">
        <v>54</v>
      </c>
      <c r="C2617" s="2" t="s">
        <v>5</v>
      </c>
      <c r="D2617" s="2">
        <v>120</v>
      </c>
      <c r="E2617" s="2"/>
      <c r="F2617" s="4" t="str">
        <f>HYPERLINK("./Results/DLO\20190101_1.3.12.2.1107.5.1.4.54310.30000019011323092907800048368_7_512_512_\Osteo_Sarco_1.png","RPT")</f>
        <v>RPT</v>
      </c>
      <c r="G2617" s="3">
        <v>145</v>
      </c>
      <c r="H2617" s="3"/>
    </row>
    <row r="2618" spans="1:8" x14ac:dyDescent="0.3">
      <c r="A2618" s="2">
        <v>8805219</v>
      </c>
      <c r="B2618" s="2">
        <v>54</v>
      </c>
      <c r="C2618" s="2" t="s">
        <v>5</v>
      </c>
      <c r="D2618" s="2">
        <v>120</v>
      </c>
      <c r="E2618" s="2"/>
      <c r="F2618" s="4" t="str">
        <f>HYPERLINK("./Results/DLO\20190101_1.3.12.2.1107.5.1.4.54310.30000019011323092907800048641_9_512_512_\Osteo_Sarco_1.png","RPT")</f>
        <v>RPT</v>
      </c>
      <c r="G2618" s="3">
        <v>145</v>
      </c>
      <c r="H2618" s="3"/>
    </row>
    <row r="2619" spans="1:8" x14ac:dyDescent="0.3">
      <c r="A2619" s="2">
        <v>8805219</v>
      </c>
      <c r="B2619" s="2">
        <v>54</v>
      </c>
      <c r="C2619" s="2" t="s">
        <v>5</v>
      </c>
      <c r="D2619" s="2">
        <v>100</v>
      </c>
      <c r="E2619" s="2"/>
      <c r="F2619" s="4" t="str">
        <f>HYPERLINK("./Results/DLO\20190101_1.3.12.2.1107.5.1.4.54310.30000019011323092907800047951_3_512_512_\Osteo_Sarco_1.png","RPT")</f>
        <v>RPT</v>
      </c>
      <c r="G2619" s="3">
        <v>143</v>
      </c>
      <c r="H2619" s="3"/>
    </row>
    <row r="2620" spans="1:8" x14ac:dyDescent="0.3">
      <c r="A2620" s="2">
        <v>8809988</v>
      </c>
      <c r="B2620" s="2">
        <v>78</v>
      </c>
      <c r="C2620" s="2" t="s">
        <v>5</v>
      </c>
      <c r="D2620" s="2">
        <v>100</v>
      </c>
      <c r="E2620" s="2"/>
      <c r="F2620" s="4" t="str">
        <f>HYPERLINK("./Results/DLO\20200401_1.2.840.113619.2.416.289886943499756243600914404428056856962_312_512_512_\Osteo_Sarco_1.png","RPT")</f>
        <v>RPT</v>
      </c>
      <c r="G2620" s="3">
        <v>116</v>
      </c>
      <c r="H2620" s="3"/>
    </row>
    <row r="2621" spans="1:8" x14ac:dyDescent="0.3">
      <c r="A2621" s="2">
        <v>8809988</v>
      </c>
      <c r="B2621" s="2">
        <v>78</v>
      </c>
      <c r="C2621" s="2" t="s">
        <v>5</v>
      </c>
      <c r="D2621" s="2">
        <v>100</v>
      </c>
      <c r="E2621" s="2"/>
      <c r="F2621" s="4" t="str">
        <f>HYPERLINK("./Results/DLO\20200401_1.2.840.113619.2.416.54791458026438959721957419352356827461_303_512_512_\Osteo_Sarco_1.png","RPT")</f>
        <v>RPT</v>
      </c>
      <c r="G2621" s="3">
        <v>113</v>
      </c>
      <c r="H2621" s="3"/>
    </row>
    <row r="2622" spans="1:8" x14ac:dyDescent="0.3">
      <c r="A2622" s="2">
        <v>8812147</v>
      </c>
      <c r="B2622" s="2">
        <v>54</v>
      </c>
      <c r="C2622" s="2" t="s">
        <v>6</v>
      </c>
      <c r="D2622" s="2">
        <v>100</v>
      </c>
      <c r="E2622" s="2"/>
      <c r="F2622" s="4" t="str">
        <f>HYPERLINK("./Results/DLO\20180801_1.2.840.113619.2.416.168865090542266223391756306098302677399_304_512_512_\Osteo_Sarco_1.png","RPT")</f>
        <v>RPT</v>
      </c>
      <c r="G2622" s="3">
        <v>130</v>
      </c>
      <c r="H2622" s="3"/>
    </row>
    <row r="2623" spans="1:8" x14ac:dyDescent="0.3">
      <c r="A2623" s="2">
        <v>8813200</v>
      </c>
      <c r="B2623" s="2">
        <v>46</v>
      </c>
      <c r="C2623" s="2" t="s">
        <v>6</v>
      </c>
      <c r="D2623" s="2">
        <v>140</v>
      </c>
      <c r="E2623" s="2"/>
      <c r="F2623" s="4" t="str">
        <f>HYPERLINK("./Results/DLO\20190401_1.2.840.113619.2.416.151812441395132446847700241832143137107_306_512_512_\Osteo_Sarco_1.png","RPT")</f>
        <v>RPT</v>
      </c>
      <c r="G2623" s="3">
        <v>106</v>
      </c>
      <c r="H2623" s="3"/>
    </row>
    <row r="2624" spans="1:8" x14ac:dyDescent="0.3">
      <c r="A2624" s="2">
        <v>8813200</v>
      </c>
      <c r="B2624" s="2">
        <v>46</v>
      </c>
      <c r="C2624" s="2" t="s">
        <v>6</v>
      </c>
      <c r="D2624" s="2">
        <v>140</v>
      </c>
      <c r="E2624" s="2"/>
      <c r="F2624" s="4" t="str">
        <f>HYPERLINK("./Results/DLO\20190401_1.2.840.113619.2.416.295877930668621149866077389574957675423_303_512_512_\Osteo_Sarco_1.png","RPT")</f>
        <v>RPT</v>
      </c>
      <c r="G2624" s="3">
        <v>106</v>
      </c>
      <c r="H2624" s="3"/>
    </row>
    <row r="2625" spans="1:8" x14ac:dyDescent="0.3">
      <c r="A2625" s="2">
        <v>8813200</v>
      </c>
      <c r="B2625" s="2">
        <v>46</v>
      </c>
      <c r="C2625" s="2" t="s">
        <v>6</v>
      </c>
      <c r="D2625" s="2">
        <v>140</v>
      </c>
      <c r="E2625" s="2"/>
      <c r="F2625" s="4" t="str">
        <f>HYPERLINK("./Results/DLO\20190401_1.2.840.113619.2.416.338939801666835011563779632935128924130_2_512_512_\Osteo_Sarco_1.png","RPT")</f>
        <v>RPT</v>
      </c>
      <c r="G2625" s="3">
        <v>104</v>
      </c>
      <c r="H2625" s="3"/>
    </row>
    <row r="2626" spans="1:8" x14ac:dyDescent="0.3">
      <c r="A2626" s="2">
        <v>8813200</v>
      </c>
      <c r="B2626" s="2">
        <v>46</v>
      </c>
      <c r="C2626" s="2" t="s">
        <v>6</v>
      </c>
      <c r="D2626" s="2">
        <v>140</v>
      </c>
      <c r="E2626" s="2"/>
      <c r="F2626" s="4" t="str">
        <f>HYPERLINK("./Results/DLO\20190401_1.2.840.113619.2.416.212029114332542338058495985455099591943_301_512_512_\Osteo_Sarco_1.png","RPT")</f>
        <v>RPT</v>
      </c>
      <c r="G2626" s="3">
        <v>103</v>
      </c>
      <c r="H2626" s="3"/>
    </row>
    <row r="2627" spans="1:8" x14ac:dyDescent="0.3">
      <c r="A2627" s="2">
        <v>8814235</v>
      </c>
      <c r="B2627" s="2">
        <v>77</v>
      </c>
      <c r="C2627" s="2" t="s">
        <v>5</v>
      </c>
      <c r="D2627" s="2">
        <v>120</v>
      </c>
      <c r="E2627" s="2"/>
      <c r="F2627" s="4" t="str">
        <f>HYPERLINK("./Results/DLO\20180701_1.2.840.113619.2.416.90430714939904329481843926832412147338_2_512_512_\Osteo_Sarco_1.png","RPT")</f>
        <v>RPT</v>
      </c>
      <c r="G2627" s="3">
        <v>132</v>
      </c>
      <c r="H2627" s="3"/>
    </row>
    <row r="2628" spans="1:8" x14ac:dyDescent="0.3">
      <c r="A2628" s="2">
        <v>8814235</v>
      </c>
      <c r="B2628" s="2">
        <v>76</v>
      </c>
      <c r="C2628" s="2" t="s">
        <v>5</v>
      </c>
      <c r="D2628" s="2">
        <v>100</v>
      </c>
      <c r="E2628" s="2"/>
      <c r="F2628" s="4" t="str">
        <f>HYPERLINK("./Results/DLO\20180601_1.2.840.113619.2.311.177534952791975669386338442115929137366_304_512_512_\Osteo_Sarco_1.png","RPT")</f>
        <v>RPT</v>
      </c>
      <c r="G2628" s="3">
        <v>74</v>
      </c>
      <c r="H2628" s="3"/>
    </row>
    <row r="2629" spans="1:8" x14ac:dyDescent="0.3">
      <c r="A2629" s="2">
        <v>8815945</v>
      </c>
      <c r="B2629" s="2">
        <v>77</v>
      </c>
      <c r="C2629" s="2" t="s">
        <v>6</v>
      </c>
      <c r="D2629" s="2">
        <v>100</v>
      </c>
      <c r="E2629" s="2"/>
      <c r="F2629" s="4" t="str">
        <f>HYPERLINK("./Results/DLO\20181201_1.2.840.113619.2.94.485650834948.2.9302133.20268877.1_3_512_512_\Osteo_Sarco_1.png","RPT")</f>
        <v>RPT</v>
      </c>
      <c r="G2629" s="3">
        <v>114</v>
      </c>
      <c r="H2629" s="3"/>
    </row>
    <row r="2630" spans="1:8" x14ac:dyDescent="0.3">
      <c r="A2630" s="2">
        <v>8815945</v>
      </c>
      <c r="B2630" s="2">
        <v>77</v>
      </c>
      <c r="C2630" s="2" t="s">
        <v>6</v>
      </c>
      <c r="D2630" s="2">
        <v>100</v>
      </c>
      <c r="E2630" s="2"/>
      <c r="F2630" s="4" t="str">
        <f>HYPERLINK("./Results/DLO\20181201_1.3.12.2.1107.5.1.4.54310.30000018122723303034300037345_2_512_512_\Osteo_Sarco_1.png","RPT")</f>
        <v>RPT</v>
      </c>
      <c r="G2630" s="3">
        <v>113</v>
      </c>
      <c r="H2630" s="3"/>
    </row>
    <row r="2631" spans="1:8" x14ac:dyDescent="0.3">
      <c r="A2631" s="2">
        <v>8819792</v>
      </c>
      <c r="B2631" s="2">
        <v>59</v>
      </c>
      <c r="C2631" s="2" t="s">
        <v>6</v>
      </c>
      <c r="D2631" s="2">
        <v>100</v>
      </c>
      <c r="E2631" s="2"/>
      <c r="F2631" s="4" t="str">
        <f>HYPERLINK("./Results/DLO\20200101_1.3.12.2.1107.5.1.4.54310.30000020010821244917100033573_7_512_512_\Osteo_Sarco_1.png","RPT")</f>
        <v>RPT</v>
      </c>
      <c r="G2631" s="3">
        <v>95</v>
      </c>
      <c r="H2631" s="3"/>
    </row>
    <row r="2632" spans="1:8" x14ac:dyDescent="0.3">
      <c r="A2632" s="2">
        <v>8824341</v>
      </c>
      <c r="B2632" s="2">
        <v>49</v>
      </c>
      <c r="C2632" s="2" t="s">
        <v>5</v>
      </c>
      <c r="D2632" s="2">
        <v>100</v>
      </c>
      <c r="E2632" s="2"/>
      <c r="F2632" s="4" t="str">
        <f>HYPERLINK("./Results/DLO\20180101_1.2.840.113619.2.94.485650834948.2.8563774.18454890.1_2_512_512_\Osteo_Sarco_1.png","RPT")</f>
        <v>RPT</v>
      </c>
      <c r="G2632" s="3">
        <v>172</v>
      </c>
      <c r="H2632" s="3"/>
    </row>
    <row r="2633" spans="1:8" x14ac:dyDescent="0.3">
      <c r="A2633" s="2">
        <v>8824666</v>
      </c>
      <c r="B2633" s="2">
        <v>51</v>
      </c>
      <c r="C2633" s="2" t="s">
        <v>6</v>
      </c>
      <c r="D2633" s="2">
        <v>100</v>
      </c>
      <c r="E2633" s="2"/>
      <c r="F2633" s="4" t="str">
        <f>HYPERLINK("./Results/DLO\20190801_1.3.46.670589.33.1.63700769283259584200001.4762741836279503329_201_512_512_\Osteo_Sarco_1.png","RPT")</f>
        <v>RPT</v>
      </c>
      <c r="G2633" s="3">
        <v>125</v>
      </c>
      <c r="H2633" s="3"/>
    </row>
    <row r="2634" spans="1:8" x14ac:dyDescent="0.3">
      <c r="A2634" s="2">
        <v>8828846</v>
      </c>
      <c r="B2634" s="2">
        <v>56</v>
      </c>
      <c r="C2634" s="2" t="s">
        <v>6</v>
      </c>
      <c r="D2634" s="2">
        <v>100</v>
      </c>
      <c r="E2634" s="2"/>
      <c r="F2634" s="4" t="str">
        <f>HYPERLINK("./Results/DLO\20181101_1.2.840.113619.2.416.292251063492261061438379484303096803968_304_512_512_\Osteo_Sarco_1.png","RPT")</f>
        <v>RPT</v>
      </c>
      <c r="G2634" s="3">
        <v>86</v>
      </c>
      <c r="H2634" s="3"/>
    </row>
    <row r="2635" spans="1:8" x14ac:dyDescent="0.3">
      <c r="A2635" s="2">
        <v>8829123</v>
      </c>
      <c r="B2635" s="2">
        <v>53</v>
      </c>
      <c r="C2635" s="2" t="s">
        <v>6</v>
      </c>
      <c r="D2635" s="2">
        <v>100</v>
      </c>
      <c r="E2635" s="2"/>
      <c r="F2635" s="4" t="str">
        <f>HYPERLINK("./Results/DLO\20190501_1.3.46.670589.33.1.63692905325489260600001.4620455110210052114_401_512_512_\Osteo_Sarco_1.png","RPT")</f>
        <v>RPT</v>
      </c>
      <c r="G2635" s="3">
        <v>97</v>
      </c>
      <c r="H2635" s="3"/>
    </row>
    <row r="2636" spans="1:8" x14ac:dyDescent="0.3">
      <c r="A2636" s="2">
        <v>8829123</v>
      </c>
      <c r="B2636" s="2">
        <v>53</v>
      </c>
      <c r="C2636" s="2" t="s">
        <v>6</v>
      </c>
      <c r="D2636" s="2">
        <v>100</v>
      </c>
      <c r="E2636" s="2"/>
      <c r="F2636" s="4" t="str">
        <f>HYPERLINK("./Results/DLO\20190501_1.3.46.670589.33.1.63692905144911932200001.4897896885830993271_201_512_512_\Osteo_Sarco_1.png","RPT")</f>
        <v>RPT</v>
      </c>
      <c r="G2636" s="3">
        <v>96</v>
      </c>
      <c r="H2636" s="3"/>
    </row>
    <row r="2637" spans="1:8" x14ac:dyDescent="0.3">
      <c r="A2637" s="2">
        <v>8829123</v>
      </c>
      <c r="B2637" s="2">
        <v>53</v>
      </c>
      <c r="C2637" s="2" t="s">
        <v>6</v>
      </c>
      <c r="D2637" s="2">
        <v>100</v>
      </c>
      <c r="E2637" s="2"/>
      <c r="F2637" s="4" t="str">
        <f>HYPERLINK("./Results/DLO\20190501_1.3.46.670589.33.1.63692905253647151500001.4959138971478407249_301_512_512_\Osteo_Sarco_1.png","RPT")</f>
        <v>RPT</v>
      </c>
      <c r="G2637" s="3">
        <v>96</v>
      </c>
      <c r="H2637" s="3"/>
    </row>
    <row r="2638" spans="1:8" x14ac:dyDescent="0.3">
      <c r="A2638" s="2">
        <v>8830044</v>
      </c>
      <c r="B2638" s="2">
        <v>54</v>
      </c>
      <c r="C2638" s="2" t="s">
        <v>5</v>
      </c>
      <c r="D2638" s="2">
        <v>100</v>
      </c>
      <c r="E2638" s="2"/>
      <c r="F2638" s="4" t="str">
        <f>HYPERLINK("./Results/DLO\20180101_1.2.840.113619.2.416.271429167330992100403468903342672108103_2_512_512_\Osteo_Sarco_1.png","RPT")</f>
        <v>RPT</v>
      </c>
      <c r="G2638" s="3">
        <v>131</v>
      </c>
      <c r="H2638" s="3"/>
    </row>
    <row r="2639" spans="1:8" x14ac:dyDescent="0.3">
      <c r="A2639" s="2">
        <v>8831295</v>
      </c>
      <c r="B2639" s="2">
        <v>50</v>
      </c>
      <c r="C2639" s="2" t="s">
        <v>5</v>
      </c>
      <c r="D2639" s="2">
        <v>100</v>
      </c>
      <c r="E2639" s="2"/>
      <c r="F2639" s="4" t="str">
        <f>HYPERLINK("./Results/DLO\20181001_1.3.46.670589.33.1.63676059810526901100001.5683288243091545741_601_512_512_\Osteo_Sarco_1.png","RPT")</f>
        <v>RPT</v>
      </c>
      <c r="G2639" s="3">
        <v>156</v>
      </c>
      <c r="H2639" s="3"/>
    </row>
    <row r="2640" spans="1:8" x14ac:dyDescent="0.3">
      <c r="A2640" s="2">
        <v>8833777</v>
      </c>
      <c r="B2640" s="2">
        <v>36</v>
      </c>
      <c r="C2640" s="2" t="s">
        <v>6</v>
      </c>
      <c r="D2640" s="2">
        <v>100</v>
      </c>
      <c r="E2640" s="2"/>
      <c r="F2640" s="4" t="str">
        <f>HYPERLINK("./Results/DLO\20190401_1.2.840.113619.2.94.485650834948.2.9503148.20784998.1_2_512_512_\Osteo_Sarco_1.png","RPT")</f>
        <v>RPT</v>
      </c>
      <c r="G2640" s="3">
        <v>88</v>
      </c>
      <c r="H2640" s="3"/>
    </row>
    <row r="2641" spans="1:8" x14ac:dyDescent="0.3">
      <c r="A2641" s="2">
        <v>8835883</v>
      </c>
      <c r="B2641" s="2">
        <v>49</v>
      </c>
      <c r="C2641" s="2" t="s">
        <v>6</v>
      </c>
      <c r="D2641" s="2">
        <v>100</v>
      </c>
      <c r="E2641" s="2"/>
      <c r="F2641" s="4" t="str">
        <f>HYPERLINK("./Results/DLO\20180801_1.3.12.2.1107.5.1.4.54310.30000018082023551314000010429_2_512_512_\Osteo_Sarco_1.png","RPT")</f>
        <v>RPT</v>
      </c>
      <c r="G2641" s="3">
        <v>101</v>
      </c>
      <c r="H2641" s="3"/>
    </row>
    <row r="2642" spans="1:8" x14ac:dyDescent="0.3">
      <c r="A2642" s="2">
        <v>8838441</v>
      </c>
      <c r="B2642" s="2">
        <v>54</v>
      </c>
      <c r="C2642" s="2" t="s">
        <v>6</v>
      </c>
      <c r="D2642" s="2">
        <v>100</v>
      </c>
      <c r="E2642" s="2"/>
      <c r="F2642" s="4" t="str">
        <f>HYPERLINK("./Results/DLO\20180701_1.3.46.670589.33.1.63666473683097677100001.5288711686469088481_201_512_512_\Osteo_Sarco_1.png","RPT")</f>
        <v>RPT</v>
      </c>
      <c r="G2642" s="3">
        <v>116</v>
      </c>
      <c r="H2642" s="3"/>
    </row>
    <row r="2643" spans="1:8" x14ac:dyDescent="0.3">
      <c r="A2643" s="2">
        <v>8839027</v>
      </c>
      <c r="B2643" s="2">
        <v>59</v>
      </c>
      <c r="C2643" s="2" t="s">
        <v>6</v>
      </c>
      <c r="D2643" s="2">
        <v>100</v>
      </c>
      <c r="E2643" s="2"/>
      <c r="F2643" s="4" t="str">
        <f>HYPERLINK("./Results/DLO\20190501_1.3.46.670589.33.1.63694632903457526100001.5271536337109449246_201_512_512_\Osteo_Sarco_1.png","RPT")</f>
        <v>RPT</v>
      </c>
      <c r="G2643" s="3">
        <v>90</v>
      </c>
      <c r="H2643" s="3"/>
    </row>
    <row r="2644" spans="1:8" x14ac:dyDescent="0.3">
      <c r="A2644" s="2">
        <v>8839356</v>
      </c>
      <c r="B2644" s="2">
        <v>54</v>
      </c>
      <c r="C2644" s="2" t="s">
        <v>6</v>
      </c>
      <c r="D2644" s="2">
        <v>100</v>
      </c>
      <c r="E2644" s="2"/>
      <c r="F2644" s="4" t="str">
        <f>HYPERLINK("./Results/DLO\20181201_1.3.46.670589.33.1.63680983067059262000001.4721260919511454592_201_512_512_\Osteo_Sarco_1.png","RPT")</f>
        <v>RPT</v>
      </c>
      <c r="G2644" s="3">
        <v>116</v>
      </c>
      <c r="H2644" s="3"/>
    </row>
    <row r="2645" spans="1:8" x14ac:dyDescent="0.3">
      <c r="A2645" s="2">
        <v>8840514</v>
      </c>
      <c r="B2645" s="2">
        <v>58</v>
      </c>
      <c r="C2645" s="2" t="s">
        <v>6</v>
      </c>
      <c r="D2645" s="2">
        <v>100</v>
      </c>
      <c r="E2645" s="2"/>
      <c r="F2645" s="4" t="str">
        <f>HYPERLINK("./Results/DLO\20191101_1.3.46.670589.33.1.63709497718164749700001.5378541565072533470_201_512_512_\Osteo_Sarco_1.png","RPT")</f>
        <v>RPT</v>
      </c>
      <c r="G2645" s="3">
        <v>100</v>
      </c>
      <c r="H2645" s="3"/>
    </row>
    <row r="2646" spans="1:8" x14ac:dyDescent="0.3">
      <c r="A2646" s="2">
        <v>8844172</v>
      </c>
      <c r="B2646" s="2">
        <v>60</v>
      </c>
      <c r="C2646" s="2" t="s">
        <v>5</v>
      </c>
      <c r="D2646" s="2">
        <v>140</v>
      </c>
      <c r="E2646" s="2"/>
      <c r="F2646" s="4" t="str">
        <f>HYPERLINK("./Results/DLO\20191101_1.2.840.113619.2.416.160926836592611413212786870622747535067_303_512_512_\Osteo_Sarco_1.png","RPT")</f>
        <v>RPT</v>
      </c>
      <c r="G2646" s="3">
        <v>156</v>
      </c>
      <c r="H2646" s="3"/>
    </row>
    <row r="2647" spans="1:8" x14ac:dyDescent="0.3">
      <c r="A2647" s="2">
        <v>8844967</v>
      </c>
      <c r="B2647" s="2">
        <v>58</v>
      </c>
      <c r="C2647" s="2" t="s">
        <v>6</v>
      </c>
      <c r="D2647" s="2">
        <v>140</v>
      </c>
      <c r="E2647" s="2"/>
      <c r="F2647" s="4" t="str">
        <f>HYPERLINK("./Results/DLO\20190301_1.2.840.113619.2.416.127636906954283800553328903032575366007_303_512_512_\Osteo_Sarco_1.png","RPT")</f>
        <v>RPT</v>
      </c>
      <c r="G2647" s="3">
        <v>104</v>
      </c>
      <c r="H2647" s="3"/>
    </row>
    <row r="2648" spans="1:8" x14ac:dyDescent="0.3">
      <c r="A2648" s="2">
        <v>8844967</v>
      </c>
      <c r="B2648" s="2">
        <v>58</v>
      </c>
      <c r="C2648" s="2" t="s">
        <v>6</v>
      </c>
      <c r="D2648" s="2">
        <v>140</v>
      </c>
      <c r="E2648" s="2"/>
      <c r="F2648" s="4" t="str">
        <f>HYPERLINK("./Results/DLO\20190301_1.2.840.113619.2.416.3118138445862001011407907566809954610_306_512_512_\Osteo_Sarco_1.png","RPT")</f>
        <v>RPT</v>
      </c>
      <c r="G2648" s="3">
        <v>104</v>
      </c>
      <c r="H2648" s="3"/>
    </row>
    <row r="2649" spans="1:8" x14ac:dyDescent="0.3">
      <c r="A2649" s="2">
        <v>8844967</v>
      </c>
      <c r="B2649" s="2">
        <v>58</v>
      </c>
      <c r="C2649" s="2" t="s">
        <v>6</v>
      </c>
      <c r="D2649" s="2">
        <v>140</v>
      </c>
      <c r="E2649" s="2"/>
      <c r="F2649" s="4" t="str">
        <f>HYPERLINK("./Results/DLO\20190301_1.2.840.113619.2.416.118037924215028702604029006142623724953_301_512_512_\Osteo_Sarco_1.png","RPT")</f>
        <v>RPT</v>
      </c>
      <c r="G2649" s="3">
        <v>103</v>
      </c>
      <c r="H2649" s="3"/>
    </row>
    <row r="2650" spans="1:8" x14ac:dyDescent="0.3">
      <c r="A2650" s="2">
        <v>8844967</v>
      </c>
      <c r="B2650" s="2">
        <v>58</v>
      </c>
      <c r="C2650" s="2" t="s">
        <v>6</v>
      </c>
      <c r="D2650" s="2">
        <v>140</v>
      </c>
      <c r="E2650" s="2"/>
      <c r="F2650" s="4" t="str">
        <f>HYPERLINK("./Results/DLO\20190301_1.2.840.113619.2.416.223319238047048890160148246897580432552_2_512_512_\Osteo_Sarco_1.png","RPT")</f>
        <v>RPT</v>
      </c>
      <c r="G2650" s="3">
        <v>101</v>
      </c>
      <c r="H2650" s="3"/>
    </row>
    <row r="2651" spans="1:8" x14ac:dyDescent="0.3">
      <c r="A2651" s="2">
        <v>8845110</v>
      </c>
      <c r="B2651" s="2">
        <v>58</v>
      </c>
      <c r="C2651" s="2" t="s">
        <v>5</v>
      </c>
      <c r="D2651" s="2">
        <v>100</v>
      </c>
      <c r="E2651" s="2"/>
      <c r="F2651" s="4" t="str">
        <f>HYPERLINK("./Results/DLO\20190901_1.3.12.2.1107.5.1.4.54310.30000019090121244076500013365_3_512_512_\Osteo_Sarco_1.png","RPT")</f>
        <v>RPT</v>
      </c>
      <c r="G2651" s="3">
        <v>197</v>
      </c>
      <c r="H2651" s="3"/>
    </row>
    <row r="2652" spans="1:8" x14ac:dyDescent="0.3">
      <c r="A2652" s="2">
        <v>8845110</v>
      </c>
      <c r="B2652" s="2">
        <v>58</v>
      </c>
      <c r="C2652" s="2" t="s">
        <v>5</v>
      </c>
      <c r="D2652" s="2">
        <v>100</v>
      </c>
      <c r="E2652" s="2"/>
      <c r="F2652" s="4" t="str">
        <f>HYPERLINK("./Results/DLO\20190901_1.3.12.2.1107.5.1.4.54310.30000019090121244076500013208_2_512_512_\Osteo_Sarco_1.png","RPT")</f>
        <v>RPT</v>
      </c>
      <c r="G2652" s="3">
        <v>191</v>
      </c>
      <c r="H2652" s="3"/>
    </row>
    <row r="2653" spans="1:8" x14ac:dyDescent="0.3">
      <c r="A2653" s="2">
        <v>8845486</v>
      </c>
      <c r="B2653" s="2">
        <v>47</v>
      </c>
      <c r="C2653" s="2" t="s">
        <v>6</v>
      </c>
      <c r="D2653" s="2">
        <v>100</v>
      </c>
      <c r="E2653" s="2"/>
      <c r="F2653" s="4" t="str">
        <f>HYPERLINK("./Results/DLO\20200201_1.2.840.113619.2.416.8819417141873090346840289471935599682_310_512_512_\Osteo_Sarco_1.png","RPT")</f>
        <v>RPT</v>
      </c>
      <c r="G2653" s="3">
        <v>87</v>
      </c>
      <c r="H2653" s="3"/>
    </row>
    <row r="2654" spans="1:8" x14ac:dyDescent="0.3">
      <c r="A2654" s="2">
        <v>8848342</v>
      </c>
      <c r="B2654" s="2">
        <v>37</v>
      </c>
      <c r="C2654" s="2" t="s">
        <v>6</v>
      </c>
      <c r="D2654" s="2">
        <v>100</v>
      </c>
      <c r="E2654" s="2"/>
      <c r="F2654" s="4" t="str">
        <f>HYPERLINK("./Results/DLO\20180201_1.2.840.113619.2.416.66073420355813234103631647329430787845_304_512_512_\Osteo_Sarco_1.png","RPT")</f>
        <v>RPT</v>
      </c>
      <c r="G2654" s="3">
        <v>97</v>
      </c>
      <c r="H2654" s="3"/>
    </row>
    <row r="2655" spans="1:8" x14ac:dyDescent="0.3">
      <c r="A2655" s="2">
        <v>8850031</v>
      </c>
      <c r="B2655" s="2">
        <v>69</v>
      </c>
      <c r="C2655" s="2" t="s">
        <v>5</v>
      </c>
      <c r="D2655" s="2">
        <v>140</v>
      </c>
      <c r="E2655" s="2"/>
      <c r="F2655" s="4" t="str">
        <f>HYPERLINK("./Results/DLO\20180101_1.2.840.113619.2.416.221585972743894629802592634381715862608_2_512_512_\Osteo_Sarco_1.png","RPT")</f>
        <v>RPT</v>
      </c>
      <c r="G2655" s="3">
        <v>133</v>
      </c>
      <c r="H2655" s="3"/>
    </row>
    <row r="2656" spans="1:8" x14ac:dyDescent="0.3">
      <c r="A2656" s="2">
        <v>8850031</v>
      </c>
      <c r="B2656" s="2">
        <v>69</v>
      </c>
      <c r="C2656" s="2" t="s">
        <v>5</v>
      </c>
      <c r="D2656" s="2">
        <v>140</v>
      </c>
      <c r="E2656" s="2"/>
      <c r="F2656" s="4" t="str">
        <f>HYPERLINK("./Results/DLO\20180101_1.2.840.113619.2.416.91383285889685210277701552065776271810_3_512_512_\Osteo_Sarco_1.png","RPT")</f>
        <v>RPT</v>
      </c>
      <c r="G2656" s="3">
        <v>133</v>
      </c>
      <c r="H2656" s="3"/>
    </row>
    <row r="2657" spans="1:8" x14ac:dyDescent="0.3">
      <c r="A2657" s="2">
        <v>8851572</v>
      </c>
      <c r="B2657" s="2">
        <v>57</v>
      </c>
      <c r="C2657" s="2" t="s">
        <v>5</v>
      </c>
      <c r="D2657" s="2">
        <v>100</v>
      </c>
      <c r="E2657" s="2"/>
      <c r="F2657" s="4" t="str">
        <f>HYPERLINK("./Results/DLO\20191001_1.3.46.670589.33.1.63707426311726440300001.5602411803825577218_301_512_512_\Osteo_Sarco_1.png","RPT")</f>
        <v>RPT</v>
      </c>
      <c r="G2657" s="3">
        <v>131</v>
      </c>
      <c r="H2657" s="3"/>
    </row>
    <row r="2658" spans="1:8" x14ac:dyDescent="0.3">
      <c r="A2658" s="2">
        <v>8851572</v>
      </c>
      <c r="B2658" s="2">
        <v>57</v>
      </c>
      <c r="C2658" s="2" t="s">
        <v>5</v>
      </c>
      <c r="D2658" s="2">
        <v>100</v>
      </c>
      <c r="E2658" s="2"/>
      <c r="F2658" s="4" t="str">
        <f>HYPERLINK("./Results/DLO\20191001_1.3.46.670589.33.1.63707426213927846500001.5076606594230436207_201_512_512_\Osteo_Sarco_1.png","RPT")</f>
        <v>RPT</v>
      </c>
      <c r="G2658" s="3">
        <v>127</v>
      </c>
      <c r="H2658" s="3"/>
    </row>
    <row r="2659" spans="1:8" x14ac:dyDescent="0.3">
      <c r="A2659" s="2">
        <v>8853630</v>
      </c>
      <c r="B2659" s="2">
        <v>42</v>
      </c>
      <c r="C2659" s="2" t="s">
        <v>6</v>
      </c>
      <c r="D2659" s="2">
        <v>100</v>
      </c>
      <c r="E2659" s="2"/>
      <c r="F2659" s="4" t="str">
        <f>HYPERLINK("./Results/DLO\20180701_1.2.840.113619.2.311.313685807266108090677914993569593312846_304_512_512_\Osteo_Sarco_1.png","RPT")</f>
        <v>RPT</v>
      </c>
      <c r="G2659" s="3">
        <v>106</v>
      </c>
      <c r="H2659" s="3"/>
    </row>
    <row r="2660" spans="1:8" x14ac:dyDescent="0.3">
      <c r="A2660" s="2">
        <v>8854832</v>
      </c>
      <c r="B2660" s="2">
        <v>45</v>
      </c>
      <c r="C2660" s="2" t="s">
        <v>6</v>
      </c>
      <c r="D2660" s="2">
        <v>100</v>
      </c>
      <c r="E2660" s="2"/>
      <c r="F2660" s="4" t="str">
        <f>HYPERLINK("./Results/DLO\20180101_1.2.840.113619.2.416.229968991239876933948846467981894090828_304_512_512_\Osteo_Sarco_1.png","RPT")</f>
        <v>RPT</v>
      </c>
      <c r="G2660" s="3">
        <v>114</v>
      </c>
      <c r="H2660" s="3"/>
    </row>
    <row r="2661" spans="1:8" x14ac:dyDescent="0.3">
      <c r="A2661" s="2">
        <v>8855221</v>
      </c>
      <c r="B2661" s="2">
        <v>62</v>
      </c>
      <c r="C2661" s="2" t="s">
        <v>5</v>
      </c>
      <c r="D2661" s="2">
        <v>100</v>
      </c>
      <c r="E2661" s="2"/>
      <c r="F2661" s="4" t="str">
        <f>HYPERLINK("./Results/DLO\20190201_1.3.46.670589.33.1.63685134681012564600001.5570424443759296127_601_512_512_\Osteo_Sarco_1.png","RPT")</f>
        <v>RPT</v>
      </c>
      <c r="G2661" s="3">
        <v>159</v>
      </c>
      <c r="H2661" s="3"/>
    </row>
    <row r="2662" spans="1:8" x14ac:dyDescent="0.3">
      <c r="A2662" s="2">
        <v>8856024</v>
      </c>
      <c r="B2662" s="2">
        <v>38</v>
      </c>
      <c r="C2662" s="2" t="s">
        <v>6</v>
      </c>
      <c r="D2662" s="2">
        <v>100</v>
      </c>
      <c r="E2662" s="2"/>
      <c r="F2662" s="4" t="str">
        <f>HYPERLINK("./Results/DLO\20200501_1.3.46.670589.33.1.63724356315459538500001.5167128441056253577_201_512_512_\Osteo_Sarco_1.png","RPT")</f>
        <v>RPT</v>
      </c>
      <c r="G2662" s="3">
        <v>90</v>
      </c>
      <c r="H2662" s="3"/>
    </row>
    <row r="2663" spans="1:8" x14ac:dyDescent="0.3">
      <c r="A2663" s="2">
        <v>8856360</v>
      </c>
      <c r="B2663" s="2">
        <v>53</v>
      </c>
      <c r="C2663" s="2" t="s">
        <v>5</v>
      </c>
      <c r="D2663" s="2">
        <v>100</v>
      </c>
      <c r="E2663" s="2"/>
      <c r="F2663" s="4" t="str">
        <f>HYPERLINK("./Results/DLO\20191001_1.3.46.670589.33.1.63707590700970780200001.5551432801127208641_201_512_512_\Osteo_Sarco_1.png","RPT")</f>
        <v>RPT</v>
      </c>
      <c r="G2663" s="3">
        <v>166</v>
      </c>
      <c r="H2663" s="3"/>
    </row>
    <row r="2664" spans="1:8" x14ac:dyDescent="0.3">
      <c r="A2664" s="2">
        <v>8860099</v>
      </c>
      <c r="B2664" s="2">
        <v>61</v>
      </c>
      <c r="C2664" s="2" t="s">
        <v>6</v>
      </c>
      <c r="D2664" s="2">
        <v>100</v>
      </c>
      <c r="E2664" s="2"/>
      <c r="F2664" s="4" t="str">
        <f>HYPERLINK("./Results/DLO\20180401_1.3.12.2.1107.5.1.4.54310.30000018041823081834300014731_2_512_512_\Osteo_Sarco_1.png","RPT")</f>
        <v>RPT</v>
      </c>
      <c r="G2664" s="3">
        <v>97</v>
      </c>
      <c r="H2664" s="3"/>
    </row>
    <row r="2665" spans="1:8" x14ac:dyDescent="0.3">
      <c r="A2665" s="2">
        <v>8860099</v>
      </c>
      <c r="B2665" s="2">
        <v>61</v>
      </c>
      <c r="C2665" s="2" t="s">
        <v>6</v>
      </c>
      <c r="D2665" s="2">
        <v>100</v>
      </c>
      <c r="E2665" s="2"/>
      <c r="F2665" s="4" t="str">
        <f>HYPERLINK("./Results/DLO\20180401_1.3.12.2.1107.5.1.4.54310.30000018041823081834300014883_3_512_512_\Osteo_Sarco_1.png","RPT")</f>
        <v>RPT</v>
      </c>
      <c r="G2665" s="3">
        <v>96</v>
      </c>
      <c r="H2665" s="3"/>
    </row>
    <row r="2666" spans="1:8" x14ac:dyDescent="0.3">
      <c r="A2666" s="2">
        <v>8860348</v>
      </c>
      <c r="B2666" s="2">
        <v>60</v>
      </c>
      <c r="C2666" s="2" t="s">
        <v>5</v>
      </c>
      <c r="D2666" s="2">
        <v>100</v>
      </c>
      <c r="E2666" s="2"/>
      <c r="F2666" s="4" t="str">
        <f>HYPERLINK("./Results/DLO\20180201_1.3.12.2.1107.5.1.4.54310.30000018013123112864000010210_2_512_512_\Osteo_Sarco_1.png","RPT")</f>
        <v>RPT</v>
      </c>
      <c r="G2666" s="3">
        <v>124</v>
      </c>
      <c r="H2666" s="3"/>
    </row>
    <row r="2667" spans="1:8" x14ac:dyDescent="0.3">
      <c r="A2667" s="2">
        <v>8860712</v>
      </c>
      <c r="B2667" s="2">
        <v>59</v>
      </c>
      <c r="C2667" s="2" t="s">
        <v>5</v>
      </c>
      <c r="D2667" s="2">
        <v>140</v>
      </c>
      <c r="E2667" s="2"/>
      <c r="F2667" s="4" t="str">
        <f>HYPERLINK("./Results/DLO\20190901_1.2.840.113619.2.416.143813047805399594933201753315747222833_302_512_512_\Osteo_Sarco_1.png","RPT")</f>
        <v>RPT</v>
      </c>
      <c r="G2667" s="3">
        <v>165</v>
      </c>
      <c r="H2667" s="3"/>
    </row>
    <row r="2668" spans="1:8" x14ac:dyDescent="0.3">
      <c r="A2668" s="2">
        <v>8860712</v>
      </c>
      <c r="B2668" s="2">
        <v>59</v>
      </c>
      <c r="C2668" s="2" t="s">
        <v>5</v>
      </c>
      <c r="D2668" s="2">
        <v>120</v>
      </c>
      <c r="E2668" s="2"/>
      <c r="F2668" s="4" t="str">
        <f>HYPERLINK("./Results/DLO\20190901_1.2.840.113619.2.416.26111766001989842016718036936371799264_2_512_512_\Osteo_Sarco_1.png","RPT")</f>
        <v>RPT</v>
      </c>
      <c r="G2668" s="3">
        <v>161</v>
      </c>
      <c r="H2668" s="3"/>
    </row>
    <row r="2669" spans="1:8" x14ac:dyDescent="0.3">
      <c r="A2669" s="2">
        <v>8861563</v>
      </c>
      <c r="B2669" s="2">
        <v>53</v>
      </c>
      <c r="C2669" s="2" t="s">
        <v>6</v>
      </c>
      <c r="D2669" s="2">
        <v>140</v>
      </c>
      <c r="E2669" s="2"/>
      <c r="F2669" s="4" t="str">
        <f>HYPERLINK("./Results/DLO\20180801_1.2.840.113619.2.416.228551458406190253633833739937487004791_303_512_512_\Osteo_Sarco_1.png","RPT")</f>
        <v>RPT</v>
      </c>
      <c r="G2669" s="3">
        <v>115</v>
      </c>
      <c r="H2669" s="3"/>
    </row>
    <row r="2670" spans="1:8" x14ac:dyDescent="0.3">
      <c r="A2670" s="2">
        <v>8861563</v>
      </c>
      <c r="B2670" s="2">
        <v>53</v>
      </c>
      <c r="C2670" s="2" t="s">
        <v>6</v>
      </c>
      <c r="D2670" s="2">
        <v>140</v>
      </c>
      <c r="E2670" s="2"/>
      <c r="F2670" s="4" t="str">
        <f>HYPERLINK("./Results/DLO\20180801_1.2.840.113619.2.416.166678564413501323989315205602941599448_302_512_512_\Osteo_Sarco_1.png","RPT")</f>
        <v>RPT</v>
      </c>
      <c r="G2670" s="3">
        <v>112</v>
      </c>
      <c r="H2670" s="3"/>
    </row>
    <row r="2671" spans="1:8" x14ac:dyDescent="0.3">
      <c r="A2671" s="2">
        <v>8862299</v>
      </c>
      <c r="B2671" s="2">
        <v>22</v>
      </c>
      <c r="C2671" s="2" t="s">
        <v>5</v>
      </c>
      <c r="D2671" s="2">
        <v>100</v>
      </c>
      <c r="E2671" s="2"/>
      <c r="F2671" s="4" t="str">
        <f>HYPERLINK("./Results/DLO\20180201_1.2.840.113619.2.416.101332256738312835732436017011561917109_301_512_512_\Osteo_Sarco_1.png","RPT")</f>
        <v>RPT</v>
      </c>
      <c r="G2671" s="3">
        <v>165</v>
      </c>
      <c r="H2671" s="3"/>
    </row>
    <row r="2672" spans="1:8" x14ac:dyDescent="0.3">
      <c r="A2672" s="2">
        <v>8862299</v>
      </c>
      <c r="B2672" s="2">
        <v>22</v>
      </c>
      <c r="C2672" s="2" t="s">
        <v>5</v>
      </c>
      <c r="D2672" s="2">
        <v>100</v>
      </c>
      <c r="E2672" s="2"/>
      <c r="F2672" s="4" t="str">
        <f>HYPERLINK("./Results/DLO\20180201_1.2.840.113619.2.416.66257393856889770380105774291153171903_302_512_512_\Osteo_Sarco_1.png","RPT")</f>
        <v>RPT</v>
      </c>
      <c r="G2672" s="3">
        <v>165</v>
      </c>
      <c r="H2672" s="3"/>
    </row>
    <row r="2673" spans="1:8" x14ac:dyDescent="0.3">
      <c r="A2673" s="2">
        <v>8862299</v>
      </c>
      <c r="B2673" s="2">
        <v>22</v>
      </c>
      <c r="C2673" s="2" t="s">
        <v>5</v>
      </c>
      <c r="D2673" s="2">
        <v>120</v>
      </c>
      <c r="E2673" s="2"/>
      <c r="F2673" s="4" t="str">
        <f>HYPERLINK("./Results/DLO\20180201_1.2.840.113619.2.416.141194340519762932383366912762429748923_2_512_512_\Osteo_Sarco_1.png","RPT")</f>
        <v>RPT</v>
      </c>
      <c r="G2673" s="3">
        <v>164</v>
      </c>
      <c r="H2673" s="3"/>
    </row>
    <row r="2674" spans="1:8" x14ac:dyDescent="0.3">
      <c r="A2674" s="2">
        <v>8862299</v>
      </c>
      <c r="B2674" s="2">
        <v>22</v>
      </c>
      <c r="C2674" s="2" t="s">
        <v>5</v>
      </c>
      <c r="D2674" s="2">
        <v>100</v>
      </c>
      <c r="E2674" s="2"/>
      <c r="F2674" s="4" t="str">
        <f>HYPERLINK("./Results/DLO\20180201_1.2.840.113619.2.416.333463483697454865419126353232191921182_305_512_512_\Osteo_Sarco_1.png","RPT")</f>
        <v>RPT</v>
      </c>
      <c r="G2674" s="3">
        <v>164</v>
      </c>
      <c r="H2674" s="3"/>
    </row>
    <row r="2675" spans="1:8" x14ac:dyDescent="0.3">
      <c r="A2675" s="2">
        <v>8862831</v>
      </c>
      <c r="B2675" s="2">
        <v>29</v>
      </c>
      <c r="C2675" s="2" t="s">
        <v>6</v>
      </c>
      <c r="D2675" s="2">
        <v>100</v>
      </c>
      <c r="E2675" s="2"/>
      <c r="F2675" s="4" t="str">
        <f>HYPERLINK("./Results/DLO\20180101_1.3.12.2.1107.5.1.4.54310.30000018011123091746800011938_2_512_512_\Osteo_Sarco_1.png","RPT")</f>
        <v>RPT</v>
      </c>
      <c r="G2675" s="3">
        <v>86</v>
      </c>
      <c r="H2675" s="3"/>
    </row>
    <row r="2676" spans="1:8" x14ac:dyDescent="0.3">
      <c r="A2676" s="2">
        <v>8863808</v>
      </c>
      <c r="B2676" s="2">
        <v>47</v>
      </c>
      <c r="C2676" s="2" t="s">
        <v>6</v>
      </c>
      <c r="D2676" s="2">
        <v>120</v>
      </c>
      <c r="E2676" s="2"/>
      <c r="F2676" s="4" t="str">
        <f>HYPERLINK("./Results/DLO\20180301_1.3.12.2.1107.5.1.4.54310.30000018030823112768700042653_7_512_512_\Osteo_Sarco_1.png","RPT")</f>
        <v>RPT</v>
      </c>
      <c r="G2676" s="3">
        <v>97</v>
      </c>
      <c r="H2676" s="3"/>
    </row>
    <row r="2677" spans="1:8" x14ac:dyDescent="0.3">
      <c r="A2677" s="2">
        <v>8863808</v>
      </c>
      <c r="B2677" s="2">
        <v>47</v>
      </c>
      <c r="C2677" s="2" t="s">
        <v>6</v>
      </c>
      <c r="D2677" s="2">
        <v>120</v>
      </c>
      <c r="E2677" s="2"/>
      <c r="F2677" s="4" t="str">
        <f>HYPERLINK("./Results/DLO\20180301_1.3.12.2.1107.5.1.4.54310.30000018030823112768700042323_5_512_512_\Osteo_Sarco_1.png","RPT")</f>
        <v>RPT</v>
      </c>
      <c r="G2677" s="3">
        <v>90</v>
      </c>
      <c r="H2677" s="3"/>
    </row>
    <row r="2678" spans="1:8" x14ac:dyDescent="0.3">
      <c r="A2678" s="2">
        <v>8863808</v>
      </c>
      <c r="B2678" s="2">
        <v>47</v>
      </c>
      <c r="C2678" s="2" t="s">
        <v>6</v>
      </c>
      <c r="D2678" s="2">
        <v>120</v>
      </c>
      <c r="E2678" s="2"/>
      <c r="F2678" s="4" t="str">
        <f>HYPERLINK("./Results/DLO\20180301_1.3.12.2.1107.5.1.4.54310.30000018030823112768700042881_9_512_512_\Osteo_Sarco_1.png","RPT")</f>
        <v>RPT</v>
      </c>
      <c r="G2678" s="3">
        <v>90</v>
      </c>
      <c r="H2678" s="3"/>
    </row>
    <row r="2679" spans="1:8" x14ac:dyDescent="0.3">
      <c r="A2679" s="2">
        <v>8863808</v>
      </c>
      <c r="B2679" s="2">
        <v>47</v>
      </c>
      <c r="C2679" s="2" t="s">
        <v>6</v>
      </c>
      <c r="D2679" s="2">
        <v>100</v>
      </c>
      <c r="E2679" s="2"/>
      <c r="F2679" s="4" t="str">
        <f>HYPERLINK("./Results/DLO\20180301_1.3.12.2.1107.5.1.4.54310.30000018030823112768700042239_3_512_512_\Osteo_Sarco_1.png","RPT")</f>
        <v>RPT</v>
      </c>
      <c r="G2679" s="3">
        <v>89</v>
      </c>
      <c r="H2679" s="3"/>
    </row>
    <row r="2680" spans="1:8" x14ac:dyDescent="0.3">
      <c r="A2680" s="2">
        <v>8863929</v>
      </c>
      <c r="B2680" s="2">
        <v>41</v>
      </c>
      <c r="C2680" s="2" t="s">
        <v>6</v>
      </c>
      <c r="D2680" s="2">
        <v>100</v>
      </c>
      <c r="E2680" s="2"/>
      <c r="F2680" s="4" t="str">
        <f>HYPERLINK("./Results/DLO\20190401_1.2.840.113619.2.311.270481087823378260689283211201196453862_304_512_512_\Osteo_Sarco_1.png","RPT")</f>
        <v>RPT</v>
      </c>
      <c r="G2680" s="3">
        <v>80</v>
      </c>
      <c r="H2680" s="3"/>
    </row>
    <row r="2681" spans="1:8" x14ac:dyDescent="0.3">
      <c r="A2681" s="2">
        <v>8864445</v>
      </c>
      <c r="B2681" s="2">
        <v>49</v>
      </c>
      <c r="C2681" s="2" t="s">
        <v>6</v>
      </c>
      <c r="D2681" s="2">
        <v>100</v>
      </c>
      <c r="E2681" s="2"/>
      <c r="F2681" s="4" t="str">
        <f>HYPERLINK("./Results/DLO\20180901_1.2.840.113619.2.311.247938596415651198059622655052890700963_304_512_512_\Osteo_Sarco_1.png","RPT")</f>
        <v>RPT</v>
      </c>
      <c r="G2681" s="3">
        <v>99</v>
      </c>
      <c r="H2681" s="3"/>
    </row>
    <row r="2682" spans="1:8" x14ac:dyDescent="0.3">
      <c r="A2682" s="2">
        <v>8865299</v>
      </c>
      <c r="B2682" s="2">
        <v>80</v>
      </c>
      <c r="C2682" s="2" t="s">
        <v>5</v>
      </c>
      <c r="D2682" s="2">
        <v>120</v>
      </c>
      <c r="E2682" s="2"/>
      <c r="F2682" s="4" t="str">
        <f>HYPERLINK("./Results/DLO\20190401_1.2.840.113619.2.311.234983141425912828288774437093149171135_2_512_512_\Osteo_Sarco_1.png","RPT")</f>
        <v>RPT</v>
      </c>
      <c r="G2682" s="3">
        <v>123</v>
      </c>
      <c r="H2682" s="3"/>
    </row>
    <row r="2683" spans="1:8" x14ac:dyDescent="0.3">
      <c r="A2683" s="2">
        <v>8865299</v>
      </c>
      <c r="B2683" s="2">
        <v>80</v>
      </c>
      <c r="C2683" s="2" t="s">
        <v>5</v>
      </c>
      <c r="D2683" s="2">
        <v>140</v>
      </c>
      <c r="E2683" s="2"/>
      <c r="F2683" s="4" t="str">
        <f>HYPERLINK("./Results/DLO\20190401_1.2.840.113619.2.311.152755515081384983741304122717557056263_305_512_512_\Osteo_Sarco_1.png","RPT")</f>
        <v>RPT</v>
      </c>
      <c r="G2683" s="3">
        <v>122</v>
      </c>
      <c r="H2683" s="3"/>
    </row>
    <row r="2684" spans="1:8" x14ac:dyDescent="0.3">
      <c r="A2684" s="2">
        <v>8865299</v>
      </c>
      <c r="B2684" s="2">
        <v>80</v>
      </c>
      <c r="C2684" s="2" t="s">
        <v>5</v>
      </c>
      <c r="D2684" s="2">
        <v>140</v>
      </c>
      <c r="E2684" s="2"/>
      <c r="F2684" s="4" t="str">
        <f>HYPERLINK("./Results/DLO\20190401_1.2.840.113619.2.311.299188471081571682665473114190146091716_306_512_512_\Osteo_Sarco_1.png","RPT")</f>
        <v>RPT</v>
      </c>
      <c r="G2684" s="3">
        <v>119</v>
      </c>
      <c r="H2684" s="3"/>
    </row>
    <row r="2685" spans="1:8" x14ac:dyDescent="0.3">
      <c r="A2685" s="2">
        <v>8869645</v>
      </c>
      <c r="B2685" s="2">
        <v>62</v>
      </c>
      <c r="C2685" s="2" t="s">
        <v>5</v>
      </c>
      <c r="D2685" s="2">
        <v>100</v>
      </c>
      <c r="E2685" s="2"/>
      <c r="F2685" s="4" t="str">
        <f>HYPERLINK("./Results/DLO\20190501_1.3.12.2.1107.5.1.4.65253.30000019050920435793200031057_2_512_512_\Osteo_Sarco_1.png","RPT")</f>
        <v>RPT</v>
      </c>
      <c r="G2685" s="3">
        <v>157</v>
      </c>
      <c r="H2685" s="3"/>
    </row>
    <row r="2686" spans="1:8" x14ac:dyDescent="0.3">
      <c r="A2686" s="2">
        <v>8870722</v>
      </c>
      <c r="B2686" s="2">
        <v>73</v>
      </c>
      <c r="C2686" s="2" t="s">
        <v>6</v>
      </c>
      <c r="D2686" s="2">
        <v>100</v>
      </c>
      <c r="E2686" s="2"/>
      <c r="F2686" s="4" t="str">
        <f>HYPERLINK("./Results/DLO\20190901_1.3.12.2.1107.5.1.4.65253.30000019092420135070400009011_7_512_512_\Osteo_Sarco_1.png","RPT")</f>
        <v>RPT</v>
      </c>
      <c r="G2686" s="3">
        <v>106</v>
      </c>
      <c r="H2686" s="3"/>
    </row>
    <row r="2687" spans="1:8" x14ac:dyDescent="0.3">
      <c r="A2687" s="2">
        <v>8870722</v>
      </c>
      <c r="B2687" s="2">
        <v>73</v>
      </c>
      <c r="C2687" s="2" t="s">
        <v>6</v>
      </c>
      <c r="D2687" s="2">
        <v>100</v>
      </c>
      <c r="E2687" s="2"/>
      <c r="F2687" s="4" t="str">
        <f>HYPERLINK("./Results/DLO\20190901_1.3.12.2.1107.5.1.4.65253.30000019092420135070400009239_9_512_512_\Osteo_Sarco_1.png","RPT")</f>
        <v>RPT</v>
      </c>
      <c r="G2687" s="3">
        <v>106</v>
      </c>
      <c r="H2687" s="3"/>
    </row>
    <row r="2688" spans="1:8" x14ac:dyDescent="0.3">
      <c r="A2688" s="2">
        <v>8870722</v>
      </c>
      <c r="B2688" s="2">
        <v>73</v>
      </c>
      <c r="C2688" s="2" t="s">
        <v>6</v>
      </c>
      <c r="D2688" s="2">
        <v>100</v>
      </c>
      <c r="E2688" s="2"/>
      <c r="F2688" s="4" t="str">
        <f>HYPERLINK("./Results/DLO\20190901_1.3.12.2.1107.5.1.4.65253.30000019092420135070400008551_5_512_512_\Osteo_Sarco_1.png","RPT")</f>
        <v>RPT</v>
      </c>
      <c r="G2688" s="3">
        <v>104</v>
      </c>
      <c r="H2688" s="3"/>
    </row>
    <row r="2689" spans="1:8" x14ac:dyDescent="0.3">
      <c r="A2689" s="2">
        <v>8870722</v>
      </c>
      <c r="B2689" s="2">
        <v>73</v>
      </c>
      <c r="C2689" s="2" t="s">
        <v>6</v>
      </c>
      <c r="D2689" s="2">
        <v>100</v>
      </c>
      <c r="E2689" s="2"/>
      <c r="F2689" s="4" t="str">
        <f>HYPERLINK("./Results/DLO\20190901_1.3.12.2.1107.5.1.4.65253.30000019092420135070400008463_2_512_512_\Osteo_Sarco_1.png","RPT")</f>
        <v>RPT</v>
      </c>
      <c r="G2689" s="3">
        <v>101</v>
      </c>
      <c r="H2689" s="3"/>
    </row>
    <row r="2690" spans="1:8" x14ac:dyDescent="0.3">
      <c r="A2690" s="2">
        <v>8873451</v>
      </c>
      <c r="B2690" s="2">
        <v>48</v>
      </c>
      <c r="C2690" s="2" t="s">
        <v>6</v>
      </c>
      <c r="D2690" s="2">
        <v>100</v>
      </c>
      <c r="E2690" s="2"/>
      <c r="F2690" s="4" t="str">
        <f>HYPERLINK("./Results/DLO\20191001_1.2.840.113619.2.416.28517115324995688419152907112014843856_310_512_512_\Osteo_Sarco_1.png","RPT")</f>
        <v>RPT</v>
      </c>
      <c r="G2690" s="3">
        <v>97</v>
      </c>
      <c r="H2690" s="3"/>
    </row>
    <row r="2691" spans="1:8" x14ac:dyDescent="0.3">
      <c r="A2691" s="2">
        <v>8877020</v>
      </c>
      <c r="B2691" s="2">
        <v>34</v>
      </c>
      <c r="C2691" s="2" t="s">
        <v>6</v>
      </c>
      <c r="D2691" s="2">
        <v>100</v>
      </c>
      <c r="E2691" s="2"/>
      <c r="F2691" s="4" t="str">
        <f>HYPERLINK("./Results/DLO\20181201_1.2.840.113619.2.311.142843228901674250135552982705939007009_304_512_512_\Osteo_Sarco_1.png","RPT")</f>
        <v>RPT</v>
      </c>
      <c r="G2691" s="3">
        <v>123</v>
      </c>
      <c r="H2691" s="3"/>
    </row>
    <row r="2692" spans="1:8" x14ac:dyDescent="0.3">
      <c r="A2692" s="2">
        <v>8877568</v>
      </c>
      <c r="B2692" s="2">
        <v>51</v>
      </c>
      <c r="C2692" s="2" t="s">
        <v>6</v>
      </c>
      <c r="D2692" s="2">
        <v>100</v>
      </c>
      <c r="E2692" s="2"/>
      <c r="F2692" s="4" t="str">
        <f>HYPERLINK("./Results/DLO\20191201_1.3.12.2.1107.5.1.4.54310.30000019121621241503100009342_3_512_512_\Osteo_Sarco_1.png","RPT")</f>
        <v>RPT</v>
      </c>
      <c r="G2692" s="3">
        <v>108</v>
      </c>
      <c r="H2692" s="3"/>
    </row>
    <row r="2693" spans="1:8" x14ac:dyDescent="0.3">
      <c r="A2693" s="2">
        <v>8877568</v>
      </c>
      <c r="B2693" s="2">
        <v>51</v>
      </c>
      <c r="C2693" s="2" t="s">
        <v>6</v>
      </c>
      <c r="D2693" s="2">
        <v>100</v>
      </c>
      <c r="E2693" s="2"/>
      <c r="F2693" s="4" t="str">
        <f>HYPERLINK("./Results/DLO\20191201_1.3.12.2.1107.5.1.4.54310.30000019121621241503100009873_7_512_512_\Osteo_Sarco_1.png","RPT")</f>
        <v>RPT</v>
      </c>
      <c r="G2693" s="3">
        <v>108</v>
      </c>
      <c r="H2693" s="3"/>
    </row>
    <row r="2694" spans="1:8" x14ac:dyDescent="0.3">
      <c r="A2694" s="2">
        <v>8877568</v>
      </c>
      <c r="B2694" s="2">
        <v>51</v>
      </c>
      <c r="C2694" s="2" t="s">
        <v>6</v>
      </c>
      <c r="D2694" s="2">
        <v>100</v>
      </c>
      <c r="E2694" s="2"/>
      <c r="F2694" s="4" t="str">
        <f>HYPERLINK("./Results/DLO\20191201_1.3.12.2.1107.5.1.4.54310.30000019121621241503100010138_9_512_512_\Osteo_Sarco_1.png","RPT")</f>
        <v>RPT</v>
      </c>
      <c r="G2694" s="3">
        <v>108</v>
      </c>
      <c r="H2694" s="3"/>
    </row>
    <row r="2695" spans="1:8" x14ac:dyDescent="0.3">
      <c r="A2695" s="2">
        <v>8877568</v>
      </c>
      <c r="B2695" s="2">
        <v>51</v>
      </c>
      <c r="C2695" s="2" t="s">
        <v>6</v>
      </c>
      <c r="D2695" s="2">
        <v>100</v>
      </c>
      <c r="E2695" s="2"/>
      <c r="F2695" s="4" t="str">
        <f>HYPERLINK("./Results/DLO\20191201_1.3.12.2.1107.5.1.4.54310.30000019121621241503100009520_5_512_512_\Osteo_Sarco_1.png","RPT")</f>
        <v>RPT</v>
      </c>
      <c r="G2695" s="3">
        <v>107</v>
      </c>
      <c r="H2695" s="3"/>
    </row>
    <row r="2696" spans="1:8" x14ac:dyDescent="0.3">
      <c r="A2696" s="2">
        <v>8878898</v>
      </c>
      <c r="B2696" s="2">
        <v>50</v>
      </c>
      <c r="C2696" s="2" t="s">
        <v>6</v>
      </c>
      <c r="D2696" s="2">
        <v>100</v>
      </c>
      <c r="E2696" s="2"/>
      <c r="F2696" s="4" t="str">
        <f>HYPERLINK("./Results/DLO\20180701_1.3.12.2.1107.5.1.4.65253.30000018072523281579600000118_2_512_512_\Osteo_Sarco_1.png","RPT")</f>
        <v>RPT</v>
      </c>
      <c r="G2696" s="3">
        <v>110</v>
      </c>
      <c r="H2696" s="3"/>
    </row>
    <row r="2697" spans="1:8" x14ac:dyDescent="0.3">
      <c r="A2697" s="2">
        <v>8879875</v>
      </c>
      <c r="B2697" s="2">
        <v>56</v>
      </c>
      <c r="C2697" s="2" t="s">
        <v>5</v>
      </c>
      <c r="D2697" s="2">
        <v>100</v>
      </c>
      <c r="E2697" s="2"/>
      <c r="F2697" s="4" t="str">
        <f>HYPERLINK("./Results/DLO\20180401_1.3.12.2.1107.5.1.4.65253.30000018042420550416800028170_2_512_512_\Osteo_Sarco_1.png","RPT")</f>
        <v>RPT</v>
      </c>
      <c r="G2697" s="3">
        <v>157</v>
      </c>
      <c r="H2697" s="3"/>
    </row>
    <row r="2698" spans="1:8" x14ac:dyDescent="0.3">
      <c r="A2698" s="2">
        <v>8880464</v>
      </c>
      <c r="B2698" s="2">
        <v>14</v>
      </c>
      <c r="C2698" s="2" t="s">
        <v>6</v>
      </c>
      <c r="D2698" s="2">
        <v>100</v>
      </c>
      <c r="E2698" s="2"/>
      <c r="F2698" s="4" t="str">
        <f>HYPERLINK("./Results/DLO\20190501_1.3.12.2.1107.5.1.4.65253.30000019051319530377800254444_2_512_512_\Osteo_Sarco_1.png","RPT")</f>
        <v>RPT</v>
      </c>
      <c r="G2698" s="3">
        <v>100</v>
      </c>
      <c r="H2698" s="3"/>
    </row>
    <row r="2699" spans="1:8" x14ac:dyDescent="0.3">
      <c r="A2699" s="2">
        <v>8882799</v>
      </c>
      <c r="B2699" s="2">
        <v>41</v>
      </c>
      <c r="C2699" s="2" t="s">
        <v>6</v>
      </c>
      <c r="D2699" s="2">
        <v>120</v>
      </c>
      <c r="E2699" s="2"/>
      <c r="F2699" s="4" t="str">
        <f>HYPERLINK("./Results/DLO\20181101_1.3.12.2.1107.5.1.4.54310.30000018103123203500000028946_7_512_512_\Osteo_Sarco_1.png","RPT")</f>
        <v>RPT</v>
      </c>
      <c r="G2699" s="3">
        <v>107</v>
      </c>
      <c r="H2699" s="3"/>
    </row>
    <row r="2700" spans="1:8" x14ac:dyDescent="0.3">
      <c r="A2700" s="2">
        <v>8882799</v>
      </c>
      <c r="B2700" s="2">
        <v>41</v>
      </c>
      <c r="C2700" s="2" t="s">
        <v>6</v>
      </c>
      <c r="D2700" s="2">
        <v>120</v>
      </c>
      <c r="E2700" s="2"/>
      <c r="F2700" s="4" t="str">
        <f>HYPERLINK("./Results/DLO\20181101_1.3.12.2.1107.5.1.4.54310.30000018103123203500000029183_9_512_512_\Osteo_Sarco_1.png","RPT")</f>
        <v>RPT</v>
      </c>
      <c r="G2700" s="3">
        <v>107</v>
      </c>
      <c r="H2700" s="3"/>
    </row>
    <row r="2701" spans="1:8" x14ac:dyDescent="0.3">
      <c r="A2701" s="2">
        <v>8882799</v>
      </c>
      <c r="B2701" s="2">
        <v>41</v>
      </c>
      <c r="C2701" s="2" t="s">
        <v>6</v>
      </c>
      <c r="D2701" s="2">
        <v>120</v>
      </c>
      <c r="E2701" s="2"/>
      <c r="F2701" s="4" t="str">
        <f>HYPERLINK("./Results/DLO\20181101_1.3.12.2.1107.5.1.4.54310.30000018103123203500000028589_5_512_512_\Osteo_Sarco_1.png","RPT")</f>
        <v>RPT</v>
      </c>
      <c r="G2701" s="3">
        <v>106</v>
      </c>
      <c r="H2701" s="3"/>
    </row>
    <row r="2702" spans="1:8" x14ac:dyDescent="0.3">
      <c r="A2702" s="2">
        <v>8882799</v>
      </c>
      <c r="B2702" s="2">
        <v>41</v>
      </c>
      <c r="C2702" s="2" t="s">
        <v>6</v>
      </c>
      <c r="D2702" s="2">
        <v>100</v>
      </c>
      <c r="E2702" s="2"/>
      <c r="F2702" s="4" t="str">
        <f>HYPERLINK("./Results/DLO\20181101_1.3.12.2.1107.5.1.4.54310.30000018103123203500000028499_3_512_512_\Osteo_Sarco_1.png","RPT")</f>
        <v>RPT</v>
      </c>
      <c r="G2702" s="3">
        <v>105</v>
      </c>
      <c r="H2702" s="3"/>
    </row>
    <row r="2703" spans="1:8" x14ac:dyDescent="0.3">
      <c r="A2703" s="2">
        <v>8883037</v>
      </c>
      <c r="B2703" s="2">
        <v>65</v>
      </c>
      <c r="C2703" s="2" t="s">
        <v>5</v>
      </c>
      <c r="D2703" s="2">
        <v>100</v>
      </c>
      <c r="E2703" s="2"/>
      <c r="F2703" s="4" t="str">
        <f>HYPERLINK("./Results/DLO\20181201_1.2.840.113619.2.416.241826654327752138220671076610460262337_303_512_512_\Osteo_Sarco_1.png","RPT")</f>
        <v>RPT</v>
      </c>
      <c r="G2703" s="3">
        <v>131</v>
      </c>
      <c r="H2703" s="3"/>
    </row>
    <row r="2704" spans="1:8" x14ac:dyDescent="0.3">
      <c r="A2704" s="2">
        <v>8883037</v>
      </c>
      <c r="B2704" s="2">
        <v>65</v>
      </c>
      <c r="C2704" s="2" t="s">
        <v>5</v>
      </c>
      <c r="D2704" s="2">
        <v>100</v>
      </c>
      <c r="E2704" s="2"/>
      <c r="F2704" s="4" t="str">
        <f>HYPERLINK("./Results/DLO\20181201_1.2.840.113619.2.416.59167800633369821116655646048814784922_307_512_512_\Osteo_Sarco_1.png","RPT")</f>
        <v>RPT</v>
      </c>
      <c r="G2704" s="3">
        <v>130</v>
      </c>
      <c r="H2704" s="3"/>
    </row>
    <row r="2705" spans="1:8" x14ac:dyDescent="0.3">
      <c r="A2705" s="2">
        <v>8883037</v>
      </c>
      <c r="B2705" s="2">
        <v>65</v>
      </c>
      <c r="C2705" s="2" t="s">
        <v>5</v>
      </c>
      <c r="D2705" s="2">
        <v>100</v>
      </c>
      <c r="E2705" s="2"/>
      <c r="F2705" s="4" t="str">
        <f>HYPERLINK("./Results/DLO\20181201_1.2.840.113619.2.416.172841605464803994820491230511938141962_301_512_512_\Osteo_Sarco_1.png","RPT")</f>
        <v>RPT</v>
      </c>
      <c r="G2705" s="3">
        <v>128</v>
      </c>
      <c r="H2705" s="3"/>
    </row>
    <row r="2706" spans="1:8" x14ac:dyDescent="0.3">
      <c r="A2706" s="2">
        <v>8883037</v>
      </c>
      <c r="B2706" s="2">
        <v>65</v>
      </c>
      <c r="C2706" s="2" t="s">
        <v>5</v>
      </c>
      <c r="D2706" s="2">
        <v>100</v>
      </c>
      <c r="E2706" s="2"/>
      <c r="F2706" s="4" t="str">
        <f>HYPERLINK("./Results/DLO\20181201_1.2.840.113619.2.311.320371817557582972004401898479400798836_2_512_512_\Osteo_Sarco_1.png","RPT")</f>
        <v>RPT</v>
      </c>
      <c r="G2706" s="3">
        <v>124</v>
      </c>
      <c r="H2706" s="3"/>
    </row>
    <row r="2707" spans="1:8" x14ac:dyDescent="0.3">
      <c r="A2707" s="2">
        <v>8885437</v>
      </c>
      <c r="B2707" s="2">
        <v>32</v>
      </c>
      <c r="C2707" s="2" t="s">
        <v>6</v>
      </c>
      <c r="D2707" s="2">
        <v>100</v>
      </c>
      <c r="E2707" s="2"/>
      <c r="F2707" s="4" t="str">
        <f>HYPERLINK("./Results/DLO\20181201_1.2.840.113619.2.311.159771600122870310876334512227287120165_304_512_512_\Osteo_Sarco_1.png","RPT")</f>
        <v>RPT</v>
      </c>
      <c r="G2707" s="3">
        <v>99</v>
      </c>
      <c r="H2707" s="3"/>
    </row>
    <row r="2708" spans="1:8" x14ac:dyDescent="0.3">
      <c r="A2708" s="2">
        <v>8886866</v>
      </c>
      <c r="B2708" s="2">
        <v>71</v>
      </c>
      <c r="C2708" s="2" t="s">
        <v>5</v>
      </c>
      <c r="D2708" s="2">
        <v>100</v>
      </c>
      <c r="E2708" s="2"/>
      <c r="F2708" s="4" t="str">
        <f>HYPERLINK("./Results/DLO\20190701_1.3.12.2.1107.5.1.4.54310.30000019071022051254600023823_4_512_512_\Osteo_Sarco_1.png","RPT")</f>
        <v>RPT</v>
      </c>
      <c r="G2708" s="3">
        <v>145</v>
      </c>
      <c r="H2708" s="3"/>
    </row>
    <row r="2709" spans="1:8" x14ac:dyDescent="0.3">
      <c r="A2709" s="2">
        <v>8888853</v>
      </c>
      <c r="B2709" s="2">
        <v>52</v>
      </c>
      <c r="C2709" s="2" t="s">
        <v>5</v>
      </c>
      <c r="D2709" s="2">
        <v>100</v>
      </c>
      <c r="E2709" s="2"/>
      <c r="F2709" s="4" t="str">
        <f>HYPERLINK("./Results/DLO\20181101_1.3.46.670589.33.1.63679083937867151200002.5084364105738665248_201_512_512_\Osteo_Sarco_1.png","RPT")</f>
        <v>RPT</v>
      </c>
      <c r="G2709" s="3">
        <v>161</v>
      </c>
      <c r="H2709" s="3"/>
    </row>
    <row r="2710" spans="1:8" x14ac:dyDescent="0.3">
      <c r="A2710" s="2">
        <v>8889638</v>
      </c>
      <c r="B2710" s="2">
        <v>45</v>
      </c>
      <c r="C2710" s="2" t="s">
        <v>6</v>
      </c>
      <c r="D2710" s="2">
        <v>100</v>
      </c>
      <c r="E2710" s="2"/>
      <c r="F2710" s="4" t="str">
        <f>HYPERLINK("./Results/DLO\20181101_1.2.840.113619.2.311.316671347588831339581846550607886791540_304_512_512_\Osteo_Sarco_1.png","RPT")</f>
        <v>RPT</v>
      </c>
      <c r="G2710" s="3">
        <v>99</v>
      </c>
      <c r="H2710" s="3"/>
    </row>
    <row r="2711" spans="1:8" x14ac:dyDescent="0.3">
      <c r="A2711" s="2">
        <v>8892368</v>
      </c>
      <c r="B2711" s="2">
        <v>67</v>
      </c>
      <c r="C2711" s="2" t="s">
        <v>6</v>
      </c>
      <c r="D2711" s="2">
        <v>100</v>
      </c>
      <c r="E2711" s="2"/>
      <c r="F2711" s="4" t="str">
        <f>HYPERLINK("./Results/DLO\20191201_1.3.12.2.1107.5.1.4.54310.30000019122321055301500059877_3_512_512_\Osteo_Sarco_1.png","RPT")</f>
        <v>RPT</v>
      </c>
      <c r="G2711" s="3">
        <v>96</v>
      </c>
      <c r="H2711" s="3"/>
    </row>
    <row r="2712" spans="1:8" x14ac:dyDescent="0.3">
      <c r="A2712" s="2">
        <v>8892368</v>
      </c>
      <c r="B2712" s="2">
        <v>67</v>
      </c>
      <c r="C2712" s="2" t="s">
        <v>6</v>
      </c>
      <c r="D2712" s="2">
        <v>100</v>
      </c>
      <c r="E2712" s="2"/>
      <c r="F2712" s="4" t="str">
        <f>HYPERLINK("./Results/DLO\20191201_1.3.12.2.1107.5.1.4.54310.30000019122321055301500059728_2_512_512_\Osteo_Sarco_1.png","RPT")</f>
        <v>RPT</v>
      </c>
      <c r="G2712" s="3">
        <v>92</v>
      </c>
      <c r="H2712" s="3"/>
    </row>
    <row r="2713" spans="1:8" x14ac:dyDescent="0.3">
      <c r="A2713" s="2">
        <v>8892401</v>
      </c>
      <c r="B2713" s="2">
        <v>32</v>
      </c>
      <c r="C2713" s="2" t="s">
        <v>6</v>
      </c>
      <c r="D2713" s="2">
        <v>100</v>
      </c>
      <c r="E2713" s="2"/>
      <c r="F2713" s="4" t="str">
        <f>HYPERLINK("./Results/DLO\20180401_1.3.12.2.1107.5.1.4.54310.30000018040523200193700002219_2_512_512_\Osteo_Sarco_1.png","RPT")</f>
        <v>RPT</v>
      </c>
      <c r="G2713" s="3">
        <v>101</v>
      </c>
      <c r="H2713" s="3"/>
    </row>
    <row r="2714" spans="1:8" x14ac:dyDescent="0.3">
      <c r="A2714" s="2">
        <v>8894980</v>
      </c>
      <c r="B2714" s="2">
        <v>67</v>
      </c>
      <c r="C2714" s="2" t="s">
        <v>6</v>
      </c>
      <c r="D2714" s="2">
        <v>100</v>
      </c>
      <c r="E2714" s="2"/>
      <c r="F2714" s="4" t="str">
        <f>HYPERLINK("./Results/DLO\20200601_1.3.46.670589.33.1.63727379250773662500001.5044675511251100013_201_512_512_\Osteo_Sarco_1.png","RPT")</f>
        <v>RPT</v>
      </c>
      <c r="G2714" s="3">
        <v>90</v>
      </c>
      <c r="H2714" s="3"/>
    </row>
    <row r="2715" spans="1:8" x14ac:dyDescent="0.3">
      <c r="A2715" s="2">
        <v>8898064</v>
      </c>
      <c r="B2715" s="2">
        <v>58</v>
      </c>
      <c r="C2715" s="2" t="s">
        <v>5</v>
      </c>
      <c r="D2715" s="2">
        <v>100</v>
      </c>
      <c r="E2715" s="2"/>
      <c r="F2715" s="4" t="str">
        <f>HYPERLINK("./Results/DLO\20180301_1.3.12.2.1107.5.1.4.54310.30000018031323122990600014503_2_512_512_\Osteo_Sarco_1.png","RPT")</f>
        <v>RPT</v>
      </c>
      <c r="G2715" s="3">
        <v>134</v>
      </c>
      <c r="H2715" s="3"/>
    </row>
    <row r="2716" spans="1:8" x14ac:dyDescent="0.3">
      <c r="A2716" s="2">
        <v>8899338</v>
      </c>
      <c r="B2716" s="2">
        <v>45</v>
      </c>
      <c r="C2716" s="2" t="s">
        <v>6</v>
      </c>
      <c r="D2716" s="2">
        <v>100</v>
      </c>
      <c r="E2716" s="2"/>
      <c r="F2716" s="4" t="str">
        <f>HYPERLINK("./Results/DLO\20190501_1.2.840.113619.2.416.5869769159055386654244652174849346774_310_512_512_\Osteo_Sarco_1.png","RPT")</f>
        <v>RPT</v>
      </c>
      <c r="G2716" s="3">
        <v>104</v>
      </c>
      <c r="H2716" s="3"/>
    </row>
    <row r="2717" spans="1:8" x14ac:dyDescent="0.3">
      <c r="A2717" s="2">
        <v>8901310</v>
      </c>
      <c r="B2717" s="2">
        <v>59</v>
      </c>
      <c r="C2717" s="2" t="s">
        <v>6</v>
      </c>
      <c r="D2717" s="2">
        <v>100</v>
      </c>
      <c r="E2717" s="2"/>
      <c r="F2717" s="4" t="str">
        <f>HYPERLINK("./Results/DLO\20181201_1.3.12.2.1107.5.1.4.54310.30000018122800201220300001753_2_512_512_\Osteo_Sarco_1.png","RPT")</f>
        <v>RPT</v>
      </c>
      <c r="G2717" s="3">
        <v>109</v>
      </c>
      <c r="H2717" s="3"/>
    </row>
    <row r="2718" spans="1:8" x14ac:dyDescent="0.3">
      <c r="A2718" s="2">
        <v>8901820</v>
      </c>
      <c r="B2718" s="2">
        <v>52</v>
      </c>
      <c r="C2718" s="2" t="s">
        <v>6</v>
      </c>
      <c r="D2718" s="2">
        <v>100</v>
      </c>
      <c r="E2718" s="2"/>
      <c r="F2718" s="4" t="str">
        <f>HYPERLINK("./Results/DLO\20180301_1.3.12.2.1107.5.1.4.54310.30000018031400000235900005397_2_512_512_\Osteo_Sarco_1.png","RPT")</f>
        <v>RPT</v>
      </c>
      <c r="G2718" s="3">
        <v>90</v>
      </c>
      <c r="H2718" s="3"/>
    </row>
    <row r="2719" spans="1:8" x14ac:dyDescent="0.3">
      <c r="A2719" s="2">
        <v>8902746</v>
      </c>
      <c r="B2719" s="2">
        <v>70</v>
      </c>
      <c r="C2719" s="2" t="s">
        <v>6</v>
      </c>
      <c r="D2719" s="2">
        <v>100</v>
      </c>
      <c r="E2719" s="2"/>
      <c r="F2719" s="4" t="str">
        <f>HYPERLINK("./Results/DLO\20180701_1.3.12.2.1107.5.1.4.54310.30000018070523140267100038076_6_512_512_\Osteo_Sarco_1.png","RPT")</f>
        <v>RPT</v>
      </c>
      <c r="G2719" s="3">
        <v>106</v>
      </c>
      <c r="H2719" s="3"/>
    </row>
    <row r="2720" spans="1:8" x14ac:dyDescent="0.3">
      <c r="A2720" s="2">
        <v>8902746</v>
      </c>
      <c r="B2720" s="2">
        <v>70</v>
      </c>
      <c r="C2720" s="2" t="s">
        <v>6</v>
      </c>
      <c r="D2720" s="2">
        <v>100</v>
      </c>
      <c r="E2720" s="2"/>
      <c r="F2720" s="4" t="str">
        <f>HYPERLINK("./Results/DLO\20180701_1.3.12.2.1107.5.1.4.54310.30000018070523140267100036052_4_512_512_\Osteo_Sarco_1.png","RPT")</f>
        <v>RPT</v>
      </c>
      <c r="G2720" s="3">
        <v>105</v>
      </c>
      <c r="H2720" s="3"/>
    </row>
    <row r="2721" spans="1:8" x14ac:dyDescent="0.3">
      <c r="A2721" s="2">
        <v>8907056</v>
      </c>
      <c r="B2721" s="2">
        <v>55</v>
      </c>
      <c r="C2721" s="2" t="s">
        <v>6</v>
      </c>
      <c r="D2721" s="2">
        <v>100</v>
      </c>
      <c r="E2721" s="2"/>
      <c r="F2721" s="4" t="str">
        <f>HYPERLINK("./Results/DLO\20180201_1.3.46.670589.33.1.63653512799589993700001.5473354873300867354_201_512_512_\Osteo_Sarco_1.png","RPT")</f>
        <v>RPT</v>
      </c>
      <c r="G2721" s="3">
        <v>154</v>
      </c>
      <c r="H2721" s="3"/>
    </row>
    <row r="2722" spans="1:8" x14ac:dyDescent="0.3">
      <c r="A2722" s="2">
        <v>8907229</v>
      </c>
      <c r="B2722" s="2">
        <v>61</v>
      </c>
      <c r="C2722" s="2" t="s">
        <v>6</v>
      </c>
      <c r="D2722" s="2">
        <v>140</v>
      </c>
      <c r="E2722" s="2"/>
      <c r="F2722" s="4" t="str">
        <f>HYPERLINK("./Results/DLO\20191001_1.2.840.113619.2.416.113065553915949283350558077532069573646_302_512_512_\Osteo_Sarco_1.png","RPT")</f>
        <v>RPT</v>
      </c>
      <c r="G2722" s="3">
        <v>114</v>
      </c>
      <c r="H2722" s="3"/>
    </row>
    <row r="2723" spans="1:8" x14ac:dyDescent="0.3">
      <c r="A2723" s="2">
        <v>8907229</v>
      </c>
      <c r="B2723" s="2">
        <v>61</v>
      </c>
      <c r="C2723" s="2" t="s">
        <v>6</v>
      </c>
      <c r="D2723" s="2">
        <v>140</v>
      </c>
      <c r="E2723" s="2"/>
      <c r="F2723" s="4" t="str">
        <f>HYPERLINK("./Results/DLO\20191001_1.2.840.113619.2.416.21492739073275322319697623008761717673_303_512_512_\Osteo_Sarco_1.png","RPT")</f>
        <v>RPT</v>
      </c>
      <c r="G2723" s="3">
        <v>114</v>
      </c>
      <c r="H2723" s="3"/>
    </row>
    <row r="2724" spans="1:8" x14ac:dyDescent="0.3">
      <c r="A2724" s="2">
        <v>8907310</v>
      </c>
      <c r="B2724" s="2">
        <v>83</v>
      </c>
      <c r="C2724" s="2" t="s">
        <v>5</v>
      </c>
      <c r="D2724" s="2">
        <v>100</v>
      </c>
      <c r="E2724" s="2"/>
      <c r="F2724" s="4" t="str">
        <f>HYPERLINK("./Results/DLO\20180701_1.3.12.2.1107.5.1.4.65253.30000018072219342987300075521_2_512_512_\Osteo_Sarco_1.png","RPT")</f>
        <v>RPT</v>
      </c>
      <c r="G2724" s="3">
        <v>145</v>
      </c>
      <c r="H2724" s="3"/>
    </row>
    <row r="2725" spans="1:8" x14ac:dyDescent="0.3">
      <c r="A2725" s="2">
        <v>8910970</v>
      </c>
      <c r="B2725" s="2">
        <v>45</v>
      </c>
      <c r="C2725" s="2" t="s">
        <v>5</v>
      </c>
      <c r="D2725" s="2">
        <v>140</v>
      </c>
      <c r="E2725" s="2"/>
      <c r="F2725" s="4" t="str">
        <f>HYPERLINK("./Results/DLO\20190801_1.2.840.113619.2.416.103716972271486097955723317335289792400_303_512_512_\Osteo_Sarco_1.png","RPT")</f>
        <v>RPT</v>
      </c>
      <c r="G2725" s="3">
        <v>148</v>
      </c>
      <c r="H2725" s="3"/>
    </row>
    <row r="2726" spans="1:8" x14ac:dyDescent="0.3">
      <c r="A2726" s="2">
        <v>8910970</v>
      </c>
      <c r="B2726" s="2">
        <v>45</v>
      </c>
      <c r="C2726" s="2" t="s">
        <v>5</v>
      </c>
      <c r="D2726" s="2">
        <v>140</v>
      </c>
      <c r="E2726" s="2"/>
      <c r="F2726" s="4" t="str">
        <f>HYPERLINK("./Results/DLO\20190801_1.2.840.113619.2.416.120407575512751001435074191731524959886_302_512_512_\Osteo_Sarco_1.png","RPT")</f>
        <v>RPT</v>
      </c>
      <c r="G2726" s="3">
        <v>147</v>
      </c>
      <c r="H2726" s="3"/>
    </row>
    <row r="2727" spans="1:8" x14ac:dyDescent="0.3">
      <c r="A2727" s="2">
        <v>8912422</v>
      </c>
      <c r="B2727" s="2">
        <v>73</v>
      </c>
      <c r="C2727" s="2" t="s">
        <v>5</v>
      </c>
      <c r="D2727" s="2">
        <v>100</v>
      </c>
      <c r="E2727" s="2"/>
      <c r="F2727" s="4" t="str">
        <f>HYPERLINK("./Results/DLO\20181201_1.3.12.2.1107.5.1.4.54310.30000018122623354740600020584_2_512_512_\Osteo_Sarco_1.png","RPT")</f>
        <v>RPT</v>
      </c>
      <c r="G2727" s="3">
        <v>156</v>
      </c>
      <c r="H2727" s="3"/>
    </row>
    <row r="2728" spans="1:8" x14ac:dyDescent="0.3">
      <c r="A2728" s="2">
        <v>8914011</v>
      </c>
      <c r="B2728" s="2">
        <v>73</v>
      </c>
      <c r="C2728" s="2" t="s">
        <v>6</v>
      </c>
      <c r="D2728" s="2">
        <v>140</v>
      </c>
      <c r="E2728" s="2"/>
      <c r="F2728" s="4" t="str">
        <f>HYPERLINK("./Results/DLO\20180601_1.2.840.113619.2.416.313877679216160377067925920141107366599_302_512_512_\Osteo_Sarco_1.png","RPT")</f>
        <v>RPT</v>
      </c>
      <c r="G2728" s="3">
        <v>110</v>
      </c>
      <c r="H2728" s="3"/>
    </row>
    <row r="2729" spans="1:8" x14ac:dyDescent="0.3">
      <c r="A2729" s="2">
        <v>8914011</v>
      </c>
      <c r="B2729" s="2">
        <v>73</v>
      </c>
      <c r="C2729" s="2" t="s">
        <v>6</v>
      </c>
      <c r="D2729" s="2">
        <v>140</v>
      </c>
      <c r="E2729" s="2"/>
      <c r="F2729" s="4" t="str">
        <f>HYPERLINK("./Results/DLO\20180601_1.2.840.113619.2.416.206850714668617112845049824682959553342_303_512_512_\Osteo_Sarco_1.png","RPT")</f>
        <v>RPT</v>
      </c>
      <c r="G2729" s="3">
        <v>109</v>
      </c>
      <c r="H2729" s="3"/>
    </row>
    <row r="2730" spans="1:8" x14ac:dyDescent="0.3">
      <c r="A2730" s="2">
        <v>8917641</v>
      </c>
      <c r="B2730" s="2">
        <v>50</v>
      </c>
      <c r="C2730" s="2" t="s">
        <v>6</v>
      </c>
      <c r="D2730" s="2">
        <v>100</v>
      </c>
      <c r="E2730" s="2"/>
      <c r="F2730" s="4" t="str">
        <f>HYPERLINK("./Results/DLO\20181201_1.3.12.2.1107.5.1.4.65253.30000018123019150732100026902_3_512_512_\Osteo_Sarco_1.png","RPT")</f>
        <v>RPT</v>
      </c>
      <c r="G2730" s="3">
        <v>91</v>
      </c>
      <c r="H2730" s="3"/>
    </row>
    <row r="2731" spans="1:8" x14ac:dyDescent="0.3">
      <c r="A2731" s="2">
        <v>8917641</v>
      </c>
      <c r="B2731" s="2">
        <v>50</v>
      </c>
      <c r="C2731" s="2" t="s">
        <v>6</v>
      </c>
      <c r="D2731" s="2">
        <v>100</v>
      </c>
      <c r="E2731" s="2"/>
      <c r="F2731" s="4" t="str">
        <f>HYPERLINK("./Results/DLO\20181201_1.3.12.2.1107.5.1.4.65253.30000018123019150732100026757_2_512_512_\Osteo_Sarco_1.png","RPT")</f>
        <v>RPT</v>
      </c>
      <c r="G2731" s="3">
        <v>88</v>
      </c>
      <c r="H2731" s="3"/>
    </row>
    <row r="2732" spans="1:8" x14ac:dyDescent="0.3">
      <c r="A2732" s="2">
        <v>8918936</v>
      </c>
      <c r="B2732" s="2">
        <v>56</v>
      </c>
      <c r="C2732" s="2" t="s">
        <v>6</v>
      </c>
      <c r="D2732" s="2">
        <v>100</v>
      </c>
      <c r="E2732" s="2"/>
      <c r="F2732" s="4" t="str">
        <f>HYPERLINK("./Results/DLO\20180801_1.2.840.113619.2.311.156855464120582943255229450266138581129_304_512_512_\Osteo_Sarco_1.png","RPT")</f>
        <v>RPT</v>
      </c>
      <c r="G2732" s="3">
        <v>95</v>
      </c>
      <c r="H2732" s="3"/>
    </row>
    <row r="2733" spans="1:8" x14ac:dyDescent="0.3">
      <c r="A2733" s="2">
        <v>8919762</v>
      </c>
      <c r="B2733" s="2">
        <v>64</v>
      </c>
      <c r="C2733" s="2" t="s">
        <v>6</v>
      </c>
      <c r="D2733" s="2">
        <v>100</v>
      </c>
      <c r="E2733" s="2"/>
      <c r="F2733" s="4" t="str">
        <f>HYPERLINK("./Results/DLO\20200501_1.3.12.2.1107.5.1.4.54310.30000020052121302584300049864_2_512_512_\Osteo_Sarco_1.png","RPT")</f>
        <v>RPT</v>
      </c>
      <c r="G2733" s="3">
        <v>83</v>
      </c>
      <c r="H2733" s="3"/>
    </row>
    <row r="2734" spans="1:8" x14ac:dyDescent="0.3">
      <c r="A2734" s="2">
        <v>8919995</v>
      </c>
      <c r="B2734" s="2">
        <v>51</v>
      </c>
      <c r="C2734" s="2" t="s">
        <v>6</v>
      </c>
      <c r="D2734" s="2">
        <v>100</v>
      </c>
      <c r="E2734" s="2"/>
      <c r="F2734" s="4" t="str">
        <f>HYPERLINK("./Results/DLO\20181201_1.2.840.113619.2.311.160458453142534894052402763845560264153_304_512_512_\Osteo_Sarco_1.png","RPT")</f>
        <v>RPT</v>
      </c>
      <c r="G2734" s="3">
        <v>103</v>
      </c>
      <c r="H2734" s="3"/>
    </row>
    <row r="2735" spans="1:8" x14ac:dyDescent="0.3">
      <c r="A2735" s="2">
        <v>8920671</v>
      </c>
      <c r="B2735" s="2">
        <v>41</v>
      </c>
      <c r="C2735" s="2" t="s">
        <v>6</v>
      </c>
      <c r="D2735" s="2">
        <v>100</v>
      </c>
      <c r="E2735" s="2"/>
      <c r="F2735" s="4" t="str">
        <f>HYPERLINK("./Results/DLO\20180401_1.2.840.113619.2.311.75412727217786849284846216153291557481_304_512_512_\Osteo_Sarco_1.png","RPT")</f>
        <v>RPT</v>
      </c>
      <c r="G2735" s="3">
        <v>91</v>
      </c>
      <c r="H2735" s="3"/>
    </row>
    <row r="2736" spans="1:8" x14ac:dyDescent="0.3">
      <c r="A2736" s="2">
        <v>8923234</v>
      </c>
      <c r="B2736" s="2">
        <v>57</v>
      </c>
      <c r="C2736" s="2" t="s">
        <v>5</v>
      </c>
      <c r="D2736" s="2">
        <v>140</v>
      </c>
      <c r="E2736" s="2"/>
      <c r="F2736" s="4" t="str">
        <f>HYPERLINK("./Results/DLO\20190501_1.2.840.113619.2.416.304255675794866751844884951976961634855_303_512_512_\Osteo_Sarco_1.png","RPT")</f>
        <v>RPT</v>
      </c>
      <c r="G2736" s="3">
        <v>143</v>
      </c>
      <c r="H2736" s="3"/>
    </row>
    <row r="2737" spans="1:8" x14ac:dyDescent="0.3">
      <c r="A2737" s="2">
        <v>8923234</v>
      </c>
      <c r="B2737" s="2">
        <v>57</v>
      </c>
      <c r="C2737" s="2" t="s">
        <v>5</v>
      </c>
      <c r="D2737" s="2">
        <v>140</v>
      </c>
      <c r="E2737" s="2"/>
      <c r="F2737" s="4" t="str">
        <f>HYPERLINK("./Results/DLO\20190501_1.2.840.113619.2.416.3443101080531827240230228736429330208_301_512_512_\Osteo_Sarco_1.png","RPT")</f>
        <v>RPT</v>
      </c>
      <c r="G2737" s="3">
        <v>138</v>
      </c>
      <c r="H2737" s="3"/>
    </row>
    <row r="2738" spans="1:8" x14ac:dyDescent="0.3">
      <c r="A2738" s="2">
        <v>8923234</v>
      </c>
      <c r="B2738" s="2">
        <v>57</v>
      </c>
      <c r="C2738" s="2" t="s">
        <v>5</v>
      </c>
      <c r="D2738" s="2">
        <v>140</v>
      </c>
      <c r="E2738" s="2"/>
      <c r="F2738" s="4" t="str">
        <f>HYPERLINK("./Results/DLO\20190501_1.2.840.113619.2.416.236307763967899376330388759738909017051_306_512_512_\Osteo_Sarco_1.png","RPT")</f>
        <v>RPT</v>
      </c>
      <c r="G2738" s="3">
        <v>137</v>
      </c>
      <c r="H2738" s="3"/>
    </row>
    <row r="2739" spans="1:8" x14ac:dyDescent="0.3">
      <c r="A2739" s="2">
        <v>8923234</v>
      </c>
      <c r="B2739" s="2">
        <v>57</v>
      </c>
      <c r="C2739" s="2" t="s">
        <v>5</v>
      </c>
      <c r="D2739" s="2">
        <v>140</v>
      </c>
      <c r="E2739" s="2"/>
      <c r="F2739" s="4" t="str">
        <f>HYPERLINK("./Results/DLO\20190501_1.2.840.113619.2.416.320431346760778395289765034863435001534_2_512_512_\Osteo_Sarco_1.png","RPT")</f>
        <v>RPT</v>
      </c>
      <c r="G2739" s="3">
        <v>134</v>
      </c>
      <c r="H2739" s="3"/>
    </row>
    <row r="2740" spans="1:8" x14ac:dyDescent="0.3">
      <c r="A2740" s="2">
        <v>8926172</v>
      </c>
      <c r="B2740" s="2">
        <v>55</v>
      </c>
      <c r="C2740" s="2" t="s">
        <v>6</v>
      </c>
      <c r="D2740" s="2">
        <v>100</v>
      </c>
      <c r="E2740" s="2"/>
      <c r="F2740" s="4" t="str">
        <f>HYPERLINK("./Results/DLO\20190901_1.3.46.670589.33.1.63704572118833091000001.5498517215774728925_201_512_512_\Osteo_Sarco_1.png","RPT")</f>
        <v>RPT</v>
      </c>
      <c r="G2740" s="3">
        <v>123</v>
      </c>
      <c r="H2740" s="3"/>
    </row>
    <row r="2741" spans="1:8" x14ac:dyDescent="0.3">
      <c r="A2741" s="2">
        <v>8927441</v>
      </c>
      <c r="B2741" s="2">
        <v>57</v>
      </c>
      <c r="C2741" s="2" t="s">
        <v>5</v>
      </c>
      <c r="D2741" s="2">
        <v>100</v>
      </c>
      <c r="E2741" s="2"/>
      <c r="F2741" s="4" t="str">
        <f>HYPERLINK("./Results/DLO\20190801_1.3.46.670589.33.1.63702147760149516200001.5465523018905906712_201_512_512_\Osteo_Sarco_1.png","RPT")</f>
        <v>RPT</v>
      </c>
      <c r="G2741" s="3">
        <v>160</v>
      </c>
      <c r="H2741" s="3"/>
    </row>
    <row r="2742" spans="1:8" x14ac:dyDescent="0.3">
      <c r="A2742" s="2">
        <v>8929407</v>
      </c>
      <c r="B2742" s="2">
        <v>82</v>
      </c>
      <c r="C2742" s="2" t="s">
        <v>6</v>
      </c>
      <c r="D2742" s="2">
        <v>100</v>
      </c>
      <c r="E2742" s="2"/>
      <c r="F2742" s="4" t="str">
        <f>HYPERLINK("./Results/DLO\20180901_1.2.840.113619.2.416.89821452878180548020711936957097267167_302_512_512_\Osteo_Sarco_1.png","RPT")</f>
        <v>RPT</v>
      </c>
      <c r="G2742" s="3">
        <v>103</v>
      </c>
      <c r="H2742" s="3"/>
    </row>
    <row r="2743" spans="1:8" x14ac:dyDescent="0.3">
      <c r="A2743" s="2">
        <v>8929407</v>
      </c>
      <c r="B2743" s="2">
        <v>82</v>
      </c>
      <c r="C2743" s="2" t="s">
        <v>6</v>
      </c>
      <c r="D2743" s="2">
        <v>100</v>
      </c>
      <c r="E2743" s="2"/>
      <c r="F2743" s="4" t="str">
        <f>HYPERLINK("./Results/DLO\20180901_1.2.840.113619.2.416.118868988063980936536036493667038446030_301_512_512_\Osteo_Sarco_1.png","RPT")</f>
        <v>RPT</v>
      </c>
      <c r="G2743" s="3">
        <v>101</v>
      </c>
      <c r="H2743" s="3"/>
    </row>
    <row r="2744" spans="1:8" x14ac:dyDescent="0.3">
      <c r="A2744" s="2">
        <v>8932229</v>
      </c>
      <c r="B2744" s="2">
        <v>83</v>
      </c>
      <c r="C2744" s="2" t="s">
        <v>6</v>
      </c>
      <c r="D2744" s="2">
        <v>140</v>
      </c>
      <c r="E2744" s="2"/>
      <c r="F2744" s="4" t="str">
        <f>HYPERLINK("./Results/DLO\20180101_1.2.410.200069.10820110185.1012000.20250820080646030377_931_512_512_\Osteo_Sarco_1.png","RPT")</f>
        <v>RPT</v>
      </c>
      <c r="G2744" s="3">
        <v>102</v>
      </c>
      <c r="H2744" s="3"/>
    </row>
    <row r="2745" spans="1:8" x14ac:dyDescent="0.3">
      <c r="A2745" s="2">
        <v>8932229</v>
      </c>
      <c r="B2745" s="2">
        <v>83</v>
      </c>
      <c r="C2745" s="2" t="s">
        <v>6</v>
      </c>
      <c r="D2745" s="2">
        <v>140</v>
      </c>
      <c r="E2745" s="2"/>
      <c r="F2745" s="4" t="str">
        <f>HYPERLINK("./Results/DLO\20180101_1.2.840.113619.2.416.311220569895817041930516529382723873823_3_512_512_\Osteo_Sarco_1.png","RPT")</f>
        <v>RPT</v>
      </c>
      <c r="G2745" s="3">
        <v>102</v>
      </c>
      <c r="H2745" s="3"/>
    </row>
    <row r="2746" spans="1:8" x14ac:dyDescent="0.3">
      <c r="A2746" s="2">
        <v>8932229</v>
      </c>
      <c r="B2746" s="2">
        <v>83</v>
      </c>
      <c r="C2746" s="2" t="s">
        <v>6</v>
      </c>
      <c r="D2746" s="2">
        <v>140</v>
      </c>
      <c r="E2746" s="2"/>
      <c r="F2746" s="4" t="str">
        <f>HYPERLINK("./Results/DLO\20180101_1.2.840.113619.2.416.8972861071723260870362604958548814619_2_512_512_\Osteo_Sarco_1.png","RPT")</f>
        <v>RPT</v>
      </c>
      <c r="G2746" s="3">
        <v>102</v>
      </c>
      <c r="H2746" s="3"/>
    </row>
    <row r="2747" spans="1:8" x14ac:dyDescent="0.3">
      <c r="A2747" s="2">
        <v>8933611</v>
      </c>
      <c r="B2747" s="2">
        <v>55</v>
      </c>
      <c r="C2747" s="2" t="s">
        <v>6</v>
      </c>
      <c r="D2747" s="2">
        <v>100</v>
      </c>
      <c r="E2747" s="2"/>
      <c r="F2747" s="4" t="str">
        <f>HYPERLINK("./Results/DLO\20180401_1.2.840.113619.2.311.126483193208732497322063656420833616529_303_512_512_\Osteo_Sarco_1.png","RPT")</f>
        <v>RPT</v>
      </c>
      <c r="G2747" s="3">
        <v>116</v>
      </c>
      <c r="H2747" s="3"/>
    </row>
    <row r="2748" spans="1:8" x14ac:dyDescent="0.3">
      <c r="A2748" s="2">
        <v>8933621</v>
      </c>
      <c r="B2748" s="2">
        <v>53</v>
      </c>
      <c r="C2748" s="2" t="s">
        <v>6</v>
      </c>
      <c r="D2748" s="2">
        <v>100</v>
      </c>
      <c r="E2748" s="2"/>
      <c r="F2748" s="4" t="str">
        <f>HYPERLINK("./Results/DLO\20180601_1.2.840.113619.2.94.485650834948.2.8877649.19223530.1_2_512_512_\Osteo_Sarco_1.png","RPT")</f>
        <v>RPT</v>
      </c>
      <c r="G2748" s="3">
        <v>134</v>
      </c>
      <c r="H2748" s="3"/>
    </row>
    <row r="2749" spans="1:8" x14ac:dyDescent="0.3">
      <c r="A2749" s="2">
        <v>8934006</v>
      </c>
      <c r="B2749" s="2">
        <v>59</v>
      </c>
      <c r="C2749" s="2" t="s">
        <v>5</v>
      </c>
      <c r="D2749" s="2">
        <v>100</v>
      </c>
      <c r="E2749" s="2"/>
      <c r="F2749" s="4" t="str">
        <f>HYPERLINK("./Results/DLO\20180401_1.2.840.113619.2.311.62374883936298372765454932133509291446_2_512_512_\Osteo_Sarco_1.png","RPT")</f>
        <v>RPT</v>
      </c>
      <c r="G2749" s="3">
        <v>145</v>
      </c>
      <c r="H2749" s="3"/>
    </row>
    <row r="2750" spans="1:8" x14ac:dyDescent="0.3">
      <c r="A2750" s="2">
        <v>8934006</v>
      </c>
      <c r="B2750" s="2">
        <v>59</v>
      </c>
      <c r="C2750" s="2" t="s">
        <v>5</v>
      </c>
      <c r="D2750" s="2">
        <v>140</v>
      </c>
      <c r="E2750" s="2"/>
      <c r="F2750" s="4" t="str">
        <f>HYPERLINK("./Results/DLO\20180401_1.2.840.113619.2.311.335334405963262669741257278909762777797_305_512_512_\Osteo_Sarco_1.png","RPT")</f>
        <v>RPT</v>
      </c>
      <c r="G2750" s="3">
        <v>143</v>
      </c>
      <c r="H2750" s="3"/>
    </row>
    <row r="2751" spans="1:8" x14ac:dyDescent="0.3">
      <c r="A2751" s="2">
        <v>8936131</v>
      </c>
      <c r="B2751" s="2">
        <v>78</v>
      </c>
      <c r="C2751" s="2" t="s">
        <v>5</v>
      </c>
      <c r="D2751" s="2">
        <v>100</v>
      </c>
      <c r="E2751" s="2"/>
      <c r="F2751" s="4" t="str">
        <f>HYPERLINK("./Results/DLO\20180601_1.2.840.113619.2.94.485650834948.2.8914471.19315072.1_2_512_512_\Osteo_Sarco_1.png","RPT")</f>
        <v>RPT</v>
      </c>
      <c r="G2751" s="3">
        <v>122</v>
      </c>
      <c r="H2751" s="3"/>
    </row>
    <row r="2752" spans="1:8" x14ac:dyDescent="0.3">
      <c r="A2752" s="2">
        <v>8936171</v>
      </c>
      <c r="B2752" s="2">
        <v>70</v>
      </c>
      <c r="C2752" s="2" t="s">
        <v>6</v>
      </c>
      <c r="D2752" s="2">
        <v>100</v>
      </c>
      <c r="E2752" s="2"/>
      <c r="F2752" s="4" t="str">
        <f>HYPERLINK("./Results/DLO\20190101_1.3.12.2.1107.5.1.4.54310.30000019012723320014000045812_5_512_512_\Osteo_Sarco_1.png","RPT")</f>
        <v>RPT</v>
      </c>
      <c r="G2752" s="3">
        <v>126</v>
      </c>
      <c r="H2752" s="3"/>
    </row>
    <row r="2753" spans="1:8" x14ac:dyDescent="0.3">
      <c r="A2753" s="2">
        <v>8936171</v>
      </c>
      <c r="B2753" s="2">
        <v>70</v>
      </c>
      <c r="C2753" s="2" t="s">
        <v>6</v>
      </c>
      <c r="D2753" s="2">
        <v>100</v>
      </c>
      <c r="E2753" s="2"/>
      <c r="F2753" s="4" t="str">
        <f>HYPERLINK("./Results/DLO\20190101_1.3.12.2.1107.5.1.4.54310.30000019012723320014000045537_3_512_512_\Osteo_Sarco_1.png","RPT")</f>
        <v>RPT</v>
      </c>
      <c r="G2753" s="3">
        <v>124</v>
      </c>
      <c r="H2753" s="3"/>
    </row>
    <row r="2754" spans="1:8" x14ac:dyDescent="0.3">
      <c r="A2754" s="2">
        <v>8936171</v>
      </c>
      <c r="B2754" s="2">
        <v>70</v>
      </c>
      <c r="C2754" s="2" t="s">
        <v>6</v>
      </c>
      <c r="D2754" s="2">
        <v>100</v>
      </c>
      <c r="E2754" s="2"/>
      <c r="F2754" s="4" t="str">
        <f>HYPERLINK("./Results/DLO\20190101_1.3.12.2.1107.5.1.4.54310.30000019012723320014000045392_2_512_512_\Osteo_Sarco_1.png","RPT")</f>
        <v>RPT</v>
      </c>
      <c r="G2754" s="3">
        <v>120</v>
      </c>
      <c r="H2754" s="3"/>
    </row>
    <row r="2755" spans="1:8" x14ac:dyDescent="0.3">
      <c r="A2755" s="2">
        <v>8939708</v>
      </c>
      <c r="B2755" s="2">
        <v>65</v>
      </c>
      <c r="C2755" s="2" t="s">
        <v>5</v>
      </c>
      <c r="D2755" s="2">
        <v>100</v>
      </c>
      <c r="E2755" s="2"/>
      <c r="F2755" s="4" t="str">
        <f>HYPERLINK("./Results/DLO\20180101_1.3.46.670589.33.1.63652557971140049100001.5472189695257154985_201_512_512_\Osteo_Sarco_1.png","RPT")</f>
        <v>RPT</v>
      </c>
      <c r="G2755" s="3">
        <v>163</v>
      </c>
      <c r="H2755" s="3"/>
    </row>
    <row r="2756" spans="1:8" x14ac:dyDescent="0.3">
      <c r="A2756" s="2">
        <v>8941795</v>
      </c>
      <c r="B2756" s="2">
        <v>74</v>
      </c>
      <c r="C2756" s="2" t="s">
        <v>5</v>
      </c>
      <c r="D2756" s="2">
        <v>100</v>
      </c>
      <c r="E2756" s="2"/>
      <c r="F2756" s="4" t="str">
        <f>HYPERLINK("./Results/DLO\20180901_1.3.12.2.1107.5.1.4.54310.30000018092000193582800002826_2_512_512_\Osteo_Sarco_1.png","RPT")</f>
        <v>RPT</v>
      </c>
      <c r="G2756" s="3">
        <v>125</v>
      </c>
      <c r="H2756" s="3"/>
    </row>
    <row r="2757" spans="1:8" x14ac:dyDescent="0.3">
      <c r="A2757" s="2">
        <v>8943082</v>
      </c>
      <c r="B2757" s="2">
        <v>58</v>
      </c>
      <c r="C2757" s="2" t="s">
        <v>6</v>
      </c>
      <c r="D2757" s="2">
        <v>140</v>
      </c>
      <c r="E2757" s="2"/>
      <c r="F2757" s="4" t="str">
        <f>HYPERLINK("./Results/DLO\20180801_1.2.840.113619.2.416.121238040805484101528884741377315588344_308_512_512_\Osteo_Sarco_1.png","RPT")</f>
        <v>RPT</v>
      </c>
      <c r="G2757" s="3">
        <v>96</v>
      </c>
      <c r="H2757" s="3"/>
    </row>
    <row r="2758" spans="1:8" x14ac:dyDescent="0.3">
      <c r="A2758" s="2">
        <v>8943082</v>
      </c>
      <c r="B2758" s="2">
        <v>58</v>
      </c>
      <c r="C2758" s="2" t="s">
        <v>6</v>
      </c>
      <c r="D2758" s="2">
        <v>140</v>
      </c>
      <c r="E2758" s="2"/>
      <c r="F2758" s="4" t="str">
        <f>HYPERLINK("./Results/DLO\20180801_1.2.840.113619.2.416.263345548175025293859900710025096838600_303_512_512_\Osteo_Sarco_1.png","RPT")</f>
        <v>RPT</v>
      </c>
      <c r="G2758" s="3">
        <v>93</v>
      </c>
      <c r="H2758" s="3"/>
    </row>
    <row r="2759" spans="1:8" x14ac:dyDescent="0.3">
      <c r="A2759" s="2">
        <v>8943082</v>
      </c>
      <c r="B2759" s="2">
        <v>58</v>
      </c>
      <c r="C2759" s="2" t="s">
        <v>6</v>
      </c>
      <c r="D2759" s="2">
        <v>140</v>
      </c>
      <c r="E2759" s="2"/>
      <c r="F2759" s="4" t="str">
        <f>HYPERLINK("./Results/DLO\20180801_1.2.840.113619.2.416.261575388199216954467838373732565409728_305_512_512_\Osteo_Sarco_1.png","RPT")</f>
        <v>RPT</v>
      </c>
      <c r="G2759" s="3">
        <v>90</v>
      </c>
      <c r="H2759" s="3"/>
    </row>
    <row r="2760" spans="1:8" x14ac:dyDescent="0.3">
      <c r="A2760" s="2">
        <v>8943082</v>
      </c>
      <c r="B2760" s="2">
        <v>58</v>
      </c>
      <c r="C2760" s="2" t="s">
        <v>6</v>
      </c>
      <c r="D2760" s="2">
        <v>140</v>
      </c>
      <c r="E2760" s="2"/>
      <c r="F2760" s="4" t="str">
        <f>HYPERLINK("./Results/DLO\20180801_1.2.840.113619.2.416.197556776946835517182346035846736732423_301_512_512_\Osteo_Sarco_1.png","RPT")</f>
        <v>RPT</v>
      </c>
      <c r="G2760" s="3">
        <v>87</v>
      </c>
      <c r="H2760" s="3"/>
    </row>
    <row r="2761" spans="1:8" x14ac:dyDescent="0.3">
      <c r="A2761" s="2">
        <v>8951290</v>
      </c>
      <c r="B2761" s="2">
        <v>63</v>
      </c>
      <c r="C2761" s="2" t="s">
        <v>5</v>
      </c>
      <c r="D2761" s="2">
        <v>100</v>
      </c>
      <c r="E2761" s="2"/>
      <c r="F2761" s="4" t="str">
        <f>HYPERLINK("./Results/DLO\20180101_1.2.840.113619.2.416.118349861088402207674991873707362398394_305_512_512_\Osteo_Sarco_1.png","RPT")</f>
        <v>RPT</v>
      </c>
      <c r="G2761" s="3">
        <v>153</v>
      </c>
      <c r="H2761" s="3"/>
    </row>
    <row r="2762" spans="1:8" x14ac:dyDescent="0.3">
      <c r="A2762" s="2">
        <v>8951290</v>
      </c>
      <c r="B2762" s="2">
        <v>63</v>
      </c>
      <c r="C2762" s="2" t="s">
        <v>5</v>
      </c>
      <c r="D2762" s="2">
        <v>100</v>
      </c>
      <c r="E2762" s="2"/>
      <c r="F2762" s="4" t="str">
        <f>HYPERLINK("./Results/DLO\20180101_1.2.840.113619.2.416.3715392469990068893054940034166673899_301_512_512_\Osteo_Sarco_1.png","RPT")</f>
        <v>RPT</v>
      </c>
      <c r="G2762" s="3">
        <v>153</v>
      </c>
      <c r="H2762" s="3"/>
    </row>
    <row r="2763" spans="1:8" x14ac:dyDescent="0.3">
      <c r="A2763" s="2">
        <v>8951290</v>
      </c>
      <c r="B2763" s="2">
        <v>63</v>
      </c>
      <c r="C2763" s="2" t="s">
        <v>5</v>
      </c>
      <c r="D2763" s="2">
        <v>100</v>
      </c>
      <c r="E2763" s="2"/>
      <c r="F2763" s="4" t="str">
        <f>HYPERLINK("./Results/DLO\20180101_1.2.840.113619.2.416.47496877758960552238790582485680106521_302_512_512_\Osteo_Sarco_1.png","RPT")</f>
        <v>RPT</v>
      </c>
      <c r="G2763" s="3">
        <v>153</v>
      </c>
      <c r="H2763" s="3"/>
    </row>
    <row r="2764" spans="1:8" x14ac:dyDescent="0.3">
      <c r="A2764" s="2">
        <v>8951290</v>
      </c>
      <c r="B2764" s="2">
        <v>63</v>
      </c>
      <c r="C2764" s="2" t="s">
        <v>5</v>
      </c>
      <c r="D2764" s="2">
        <v>120</v>
      </c>
      <c r="E2764" s="2"/>
      <c r="F2764" s="4" t="str">
        <f>HYPERLINK("./Results/DLO\20180101_1.2.840.113619.2.416.319689883699577006166563498206021561722_2_512_512_\Osteo_Sarco_1.png","RPT")</f>
        <v>RPT</v>
      </c>
      <c r="G2764" s="3">
        <v>149</v>
      </c>
      <c r="H2764" s="3"/>
    </row>
    <row r="2765" spans="1:8" x14ac:dyDescent="0.3">
      <c r="A2765" s="2">
        <v>8952395</v>
      </c>
      <c r="B2765" s="2">
        <v>69</v>
      </c>
      <c r="C2765" s="2" t="s">
        <v>5</v>
      </c>
      <c r="D2765" s="2">
        <v>100</v>
      </c>
      <c r="E2765" s="2"/>
      <c r="F2765" s="4" t="str">
        <f>HYPERLINK("./Results/DLO\20180401_1.2.840.113619.2.311.261493547817559512786757142008239924660_304_512_512_\Osteo_Sarco_1.png","RPT")</f>
        <v>RPT</v>
      </c>
      <c r="G2765" s="3">
        <v>148</v>
      </c>
      <c r="H2765" s="3"/>
    </row>
    <row r="2766" spans="1:8" x14ac:dyDescent="0.3">
      <c r="A2766" s="2">
        <v>8957014</v>
      </c>
      <c r="B2766" s="2">
        <v>59</v>
      </c>
      <c r="C2766" s="2" t="s">
        <v>5</v>
      </c>
      <c r="D2766" s="2">
        <v>100</v>
      </c>
      <c r="E2766" s="2"/>
      <c r="F2766" s="4" t="str">
        <f>HYPERLINK("./Results/DLO\20190201_1.2.840.113619.2.94.485650834948.2.9386157.20482860.1_8_512_512_\Osteo_Sarco_1.png","RPT")</f>
        <v>RPT</v>
      </c>
      <c r="G2766" s="3">
        <v>125</v>
      </c>
      <c r="H2766" s="3"/>
    </row>
    <row r="2767" spans="1:8" x14ac:dyDescent="0.3">
      <c r="A2767" s="2">
        <v>8957014</v>
      </c>
      <c r="B2767" s="2">
        <v>59</v>
      </c>
      <c r="C2767" s="2" t="s">
        <v>5</v>
      </c>
      <c r="D2767" s="2">
        <v>100</v>
      </c>
      <c r="E2767" s="2"/>
      <c r="F2767" s="4" t="str">
        <f>HYPERLINK("./Results/DLO\20190201_1.3.12.2.1107.5.1.4.65253.30000019020807431774100016000_6_512_512_\Osteo_Sarco_1.png","RPT")</f>
        <v>RPT</v>
      </c>
      <c r="G2767" s="3">
        <v>124</v>
      </c>
      <c r="H2767" s="3"/>
    </row>
    <row r="2768" spans="1:8" x14ac:dyDescent="0.3">
      <c r="A2768" s="2">
        <v>8957014</v>
      </c>
      <c r="B2768" s="2">
        <v>59</v>
      </c>
      <c r="C2768" s="2" t="s">
        <v>5</v>
      </c>
      <c r="D2768" s="2">
        <v>100</v>
      </c>
      <c r="E2768" s="2"/>
      <c r="F2768" s="4" t="str">
        <f>HYPERLINK("./Results/DLO\20190201_1.3.12.2.1107.5.1.4.65253.30000019020807431774100015826_3_512_512_\Osteo_Sarco_1.png","RPT")</f>
        <v>RPT</v>
      </c>
      <c r="G2768" s="3">
        <v>122</v>
      </c>
      <c r="H2768" s="3"/>
    </row>
    <row r="2769" spans="1:8" x14ac:dyDescent="0.3">
      <c r="A2769" s="2">
        <v>8957884</v>
      </c>
      <c r="B2769" s="2">
        <v>77</v>
      </c>
      <c r="C2769" s="2" t="s">
        <v>5</v>
      </c>
      <c r="D2769" s="2">
        <v>100</v>
      </c>
      <c r="E2769" s="2"/>
      <c r="F2769" s="4" t="str">
        <f>HYPERLINK("./Results/DLO\20200601_1.3.12.2.1107.5.1.4.54310.30000020060421022881200044728_3_512_512_\Osteo_Sarco_1.png","RPT")</f>
        <v>RPT</v>
      </c>
      <c r="G2769" s="3">
        <v>134</v>
      </c>
      <c r="H2769" s="3"/>
    </row>
    <row r="2770" spans="1:8" x14ac:dyDescent="0.3">
      <c r="A2770" s="2">
        <v>8957884</v>
      </c>
      <c r="B2770" s="2">
        <v>77</v>
      </c>
      <c r="C2770" s="2" t="s">
        <v>5</v>
      </c>
      <c r="D2770" s="2">
        <v>100</v>
      </c>
      <c r="E2770" s="2"/>
      <c r="F2770" s="4" t="str">
        <f>HYPERLINK("./Results/DLO\20200601_1.3.12.2.1107.5.1.4.54310.30000020060421022881200044901_5_512_512_\Osteo_Sarco_1.png","RPT")</f>
        <v>RPT</v>
      </c>
      <c r="G2770" s="3">
        <v>133</v>
      </c>
      <c r="H2770" s="3"/>
    </row>
    <row r="2771" spans="1:8" x14ac:dyDescent="0.3">
      <c r="A2771" s="2">
        <v>8957884</v>
      </c>
      <c r="B2771" s="2">
        <v>77</v>
      </c>
      <c r="C2771" s="2" t="s">
        <v>5</v>
      </c>
      <c r="D2771" s="2">
        <v>100</v>
      </c>
      <c r="E2771" s="2"/>
      <c r="F2771" s="4" t="str">
        <f>HYPERLINK("./Results/DLO\20200601_1.3.12.2.1107.5.1.4.54310.30000020060421022881200045564_8_512_512_\Osteo_Sarco_1.png","RPT")</f>
        <v>RPT</v>
      </c>
      <c r="G2771" s="3">
        <v>131</v>
      </c>
      <c r="H2771" s="3"/>
    </row>
    <row r="2772" spans="1:8" x14ac:dyDescent="0.3">
      <c r="A2772" s="2">
        <v>8961399</v>
      </c>
      <c r="B2772" s="2">
        <v>54</v>
      </c>
      <c r="C2772" s="2" t="s">
        <v>5</v>
      </c>
      <c r="D2772" s="2">
        <v>100</v>
      </c>
      <c r="E2772" s="2"/>
      <c r="F2772" s="4" t="str">
        <f>HYPERLINK("./Results/DLO\20180501_1.2.840.113619.2.311.138943627521859283576398564034209207532_303_512_512_\Osteo_Sarco_1.png","RPT")</f>
        <v>RPT</v>
      </c>
      <c r="G2772" s="3">
        <v>169</v>
      </c>
      <c r="H2772" s="3"/>
    </row>
    <row r="2773" spans="1:8" x14ac:dyDescent="0.3">
      <c r="A2773" s="2">
        <v>8964073</v>
      </c>
      <c r="B2773" s="2">
        <v>54</v>
      </c>
      <c r="C2773" s="2" t="s">
        <v>6</v>
      </c>
      <c r="D2773" s="2">
        <v>100</v>
      </c>
      <c r="E2773" s="2"/>
      <c r="F2773" s="4" t="str">
        <f>HYPERLINK("./Results/DLO\20200201_1.3.12.2.1107.5.1.4.54310.30000020022322370667100047247_7_512_512_\Osteo_Sarco_1.png","RPT")</f>
        <v>RPT</v>
      </c>
      <c r="G2773" s="3">
        <v>94</v>
      </c>
      <c r="H2773" s="3"/>
    </row>
    <row r="2774" spans="1:8" x14ac:dyDescent="0.3">
      <c r="A2774" s="2">
        <v>8964473</v>
      </c>
      <c r="B2774" s="2">
        <v>54</v>
      </c>
      <c r="C2774" s="2" t="s">
        <v>6</v>
      </c>
      <c r="D2774" s="2">
        <v>100</v>
      </c>
      <c r="E2774" s="2"/>
      <c r="F2774" s="4" t="str">
        <f>HYPERLINK("./Results/DLO\20190101_1.3.12.2.1107.5.1.4.54310.30000019011323465885900009690_2_512_512_\Osteo_Sarco_1.png","RPT")</f>
        <v>RPT</v>
      </c>
      <c r="G2774" s="3">
        <v>78</v>
      </c>
      <c r="H2774" s="3"/>
    </row>
    <row r="2775" spans="1:8" x14ac:dyDescent="0.3">
      <c r="A2775" s="2">
        <v>8965018</v>
      </c>
      <c r="B2775" s="2">
        <v>50</v>
      </c>
      <c r="C2775" s="2" t="s">
        <v>6</v>
      </c>
      <c r="D2775" s="2">
        <v>100</v>
      </c>
      <c r="E2775" s="2"/>
      <c r="F2775" s="4" t="str">
        <f>HYPERLINK("./Results/DLO\20190101_1.3.12.2.1107.5.1.4.65253.30000019011621155613100017287_2_512_512_\Osteo_Sarco_1.png","RPT")</f>
        <v>RPT</v>
      </c>
      <c r="G2775" s="3">
        <v>103</v>
      </c>
      <c r="H2775" s="3"/>
    </row>
    <row r="2776" spans="1:8" x14ac:dyDescent="0.3">
      <c r="A2776" s="2">
        <v>8965389</v>
      </c>
      <c r="B2776" s="2">
        <v>52</v>
      </c>
      <c r="C2776" s="2" t="s">
        <v>6</v>
      </c>
      <c r="D2776" s="2">
        <v>100</v>
      </c>
      <c r="E2776" s="2"/>
      <c r="F2776" s="4" t="str">
        <f>HYPERLINK("./Results/DLO\20190301_1.3.46.670589.33.1.63688152085840880700001.5739802672837498840_201_512_512_\Osteo_Sarco_1.png","RPT")</f>
        <v>RPT</v>
      </c>
      <c r="G2776" s="3">
        <v>112</v>
      </c>
      <c r="H2776" s="3"/>
    </row>
    <row r="2777" spans="1:8" x14ac:dyDescent="0.3">
      <c r="A2777" s="2">
        <v>8965473</v>
      </c>
      <c r="B2777" s="2">
        <v>76</v>
      </c>
      <c r="C2777" s="2" t="s">
        <v>5</v>
      </c>
      <c r="D2777" s="2">
        <v>100</v>
      </c>
      <c r="E2777" s="2"/>
      <c r="F2777" s="4" t="str">
        <f>HYPERLINK("./Results/DLO\20191001_1.3.12.2.1107.5.1.4.65253.30000019100519580977000059679_2_512_512_\Osteo_Sarco_1.png","RPT")</f>
        <v>RPT</v>
      </c>
      <c r="G2777" s="3">
        <v>155</v>
      </c>
      <c r="H2777" s="3"/>
    </row>
    <row r="2778" spans="1:8" x14ac:dyDescent="0.3">
      <c r="A2778" s="2">
        <v>8965473</v>
      </c>
      <c r="B2778" s="2">
        <v>76</v>
      </c>
      <c r="C2778" s="2" t="s">
        <v>5</v>
      </c>
      <c r="D2778" s="2">
        <v>100</v>
      </c>
      <c r="E2778" s="2"/>
      <c r="F2778" s="4" t="str">
        <f>HYPERLINK("./Results/DLO\20191001_1.3.12.2.1107.5.1.4.65253.30000019100519580977000059851_3_512_512_\Osteo_Sarco_1.png","RPT")</f>
        <v>RPT</v>
      </c>
      <c r="G2778" s="3">
        <v>155</v>
      </c>
      <c r="H2778" s="3"/>
    </row>
    <row r="2779" spans="1:8" x14ac:dyDescent="0.3">
      <c r="A2779" s="2">
        <v>8966820</v>
      </c>
      <c r="B2779" s="2">
        <v>65</v>
      </c>
      <c r="C2779" s="2" t="s">
        <v>6</v>
      </c>
      <c r="D2779" s="2">
        <v>120</v>
      </c>
      <c r="E2779" s="2"/>
      <c r="F2779" s="4" t="str">
        <f>HYPERLINK("./Results/DLO\20180801_1.2.410.100011.172.16.68.202.6367035122995789582.3.4_4_512_512_\Osteo_Sarco_1.png","RPT")</f>
        <v>RPT</v>
      </c>
      <c r="G2779" s="3">
        <v>93</v>
      </c>
      <c r="H2779" s="3"/>
    </row>
    <row r="2780" spans="1:8" x14ac:dyDescent="0.3">
      <c r="A2780" s="2">
        <v>8966820</v>
      </c>
      <c r="B2780" s="2">
        <v>65</v>
      </c>
      <c r="C2780" s="2" t="s">
        <v>6</v>
      </c>
      <c r="D2780" s="2">
        <v>120</v>
      </c>
      <c r="E2780" s="2"/>
      <c r="F2780" s="4" t="str">
        <f>HYPERLINK("./Results/DLO\20180801_1.2.410.100011.172.16.68.202.6367035122995789582.2.2_2_512_512_\Osteo_Sarco_1.png","RPT")</f>
        <v>RPT</v>
      </c>
      <c r="G2780" s="3">
        <v>90</v>
      </c>
      <c r="H2780" s="3"/>
    </row>
    <row r="2781" spans="1:8" x14ac:dyDescent="0.3">
      <c r="A2781" s="2">
        <v>8973738</v>
      </c>
      <c r="B2781" s="2">
        <v>53</v>
      </c>
      <c r="C2781" s="2" t="s">
        <v>6</v>
      </c>
      <c r="D2781" s="2">
        <v>100</v>
      </c>
      <c r="E2781" s="2"/>
      <c r="F2781" s="4" t="str">
        <f>HYPERLINK("./Results/DLO\20180801_1.2.840.113619.2.416.75930589435453989670165313858979531901_304_512_512_\Osteo_Sarco_1.png","RPT")</f>
        <v>RPT</v>
      </c>
      <c r="G2781" s="3">
        <v>118</v>
      </c>
      <c r="H2781" s="3"/>
    </row>
    <row r="2782" spans="1:8" x14ac:dyDescent="0.3">
      <c r="A2782" s="2">
        <v>8973825</v>
      </c>
      <c r="B2782" s="2">
        <v>55</v>
      </c>
      <c r="C2782" s="2" t="s">
        <v>6</v>
      </c>
      <c r="D2782" s="2">
        <v>120</v>
      </c>
      <c r="E2782" s="2"/>
      <c r="F2782" s="4" t="str">
        <f>HYPERLINK("./Results/DLO\20180601_1.2.840.113619.2.416.229246933279875224526785808160815888066_2_512_512_\Osteo_Sarco_1.png","RPT")</f>
        <v>RPT</v>
      </c>
      <c r="G2782" s="3">
        <v>121</v>
      </c>
      <c r="H2782" s="3"/>
    </row>
    <row r="2783" spans="1:8" x14ac:dyDescent="0.3">
      <c r="A2783" s="2">
        <v>8973825</v>
      </c>
      <c r="B2783" s="2">
        <v>55</v>
      </c>
      <c r="C2783" s="2" t="s">
        <v>6</v>
      </c>
      <c r="D2783" s="2">
        <v>140</v>
      </c>
      <c r="E2783" s="2"/>
      <c r="F2783" s="4" t="str">
        <f>HYPERLINK("./Results/DLO\20180601_1.2.840.113619.2.416.320645137446995237211171767145590053443_302_512_512_\Osteo_Sarco_1.png","RPT")</f>
        <v>RPT</v>
      </c>
      <c r="G2783" s="3">
        <v>120</v>
      </c>
      <c r="H2783" s="3"/>
    </row>
    <row r="2784" spans="1:8" x14ac:dyDescent="0.3">
      <c r="A2784" s="2">
        <v>8974379</v>
      </c>
      <c r="B2784" s="2">
        <v>34</v>
      </c>
      <c r="C2784" s="2" t="s">
        <v>5</v>
      </c>
      <c r="D2784" s="2">
        <v>100</v>
      </c>
      <c r="E2784" s="2"/>
      <c r="F2784" s="4" t="str">
        <f>HYPERLINK("./Results/DLO\20180301_1.3.12.2.1107.5.1.4.65253.30000018030317415401900044952_3_512_512_\Osteo_Sarco_1.png","RPT")</f>
        <v>RPT</v>
      </c>
      <c r="G2784" s="3">
        <v>157</v>
      </c>
      <c r="H2784" s="3"/>
    </row>
    <row r="2785" spans="1:8" x14ac:dyDescent="0.3">
      <c r="A2785" s="2">
        <v>8974379</v>
      </c>
      <c r="B2785" s="2">
        <v>34</v>
      </c>
      <c r="C2785" s="2" t="s">
        <v>5</v>
      </c>
      <c r="D2785" s="2">
        <v>100</v>
      </c>
      <c r="E2785" s="2"/>
      <c r="F2785" s="4" t="str">
        <f>HYPERLINK("./Results/DLO\20180301_1.3.12.2.1107.5.1.4.65253.30000018030317415401900044784_2_512_512_\Osteo_Sarco_1.png","RPT")</f>
        <v>RPT</v>
      </c>
      <c r="G2785" s="3">
        <v>155</v>
      </c>
      <c r="H2785" s="3"/>
    </row>
    <row r="2786" spans="1:8" x14ac:dyDescent="0.3">
      <c r="A2786" s="2">
        <v>8975765</v>
      </c>
      <c r="B2786" s="2">
        <v>58</v>
      </c>
      <c r="C2786" s="2" t="s">
        <v>6</v>
      </c>
      <c r="D2786" s="2">
        <v>100</v>
      </c>
      <c r="E2786" s="2"/>
      <c r="F2786" s="4" t="str">
        <f>HYPERLINK("./Results/DLO\20180801_1.2.840.113619.2.94.485650834948.2.9014090.19560286.1_2_512_512_\Osteo_Sarco_1.png","RPT")</f>
        <v>RPT</v>
      </c>
      <c r="G2786" s="3">
        <v>89</v>
      </c>
      <c r="H2786" s="3"/>
    </row>
    <row r="2787" spans="1:8" x14ac:dyDescent="0.3">
      <c r="A2787" s="2">
        <v>8976485</v>
      </c>
      <c r="B2787" s="2">
        <v>52</v>
      </c>
      <c r="C2787" s="2" t="s">
        <v>6</v>
      </c>
      <c r="D2787" s="2">
        <v>100</v>
      </c>
      <c r="E2787" s="2"/>
      <c r="F2787" s="4" t="str">
        <f>HYPERLINK("./Results/DLO\20191201_1.3.12.2.1107.5.1.4.54310.30000019120921132407800065746_9_512_512_\Osteo_Sarco_1.png","RPT")</f>
        <v>RPT</v>
      </c>
      <c r="G2787" s="3">
        <v>113</v>
      </c>
      <c r="H2787" s="3"/>
    </row>
    <row r="2788" spans="1:8" x14ac:dyDescent="0.3">
      <c r="A2788" s="2">
        <v>8976485</v>
      </c>
      <c r="B2788" s="2">
        <v>52</v>
      </c>
      <c r="C2788" s="2" t="s">
        <v>6</v>
      </c>
      <c r="D2788" s="2">
        <v>100</v>
      </c>
      <c r="E2788" s="2"/>
      <c r="F2788" s="4" t="str">
        <f>HYPERLINK("./Results/DLO\20191201_1.3.12.2.1107.5.1.4.54310.30000019120921132407800065150_5_512_512_\Osteo_Sarco_1.png","RPT")</f>
        <v>RPT</v>
      </c>
      <c r="G2788" s="3">
        <v>111</v>
      </c>
      <c r="H2788" s="3"/>
    </row>
    <row r="2789" spans="1:8" x14ac:dyDescent="0.3">
      <c r="A2789" s="2">
        <v>8976485</v>
      </c>
      <c r="B2789" s="2">
        <v>52</v>
      </c>
      <c r="C2789" s="2" t="s">
        <v>6</v>
      </c>
      <c r="D2789" s="2">
        <v>100</v>
      </c>
      <c r="E2789" s="2"/>
      <c r="F2789" s="4" t="str">
        <f>HYPERLINK("./Results/DLO\20191201_1.3.12.2.1107.5.1.4.54310.30000019120921132407800065483_7_512_512_\Osteo_Sarco_1.png","RPT")</f>
        <v>RPT</v>
      </c>
      <c r="G2789" s="3">
        <v>110</v>
      </c>
      <c r="H2789" s="3"/>
    </row>
    <row r="2790" spans="1:8" x14ac:dyDescent="0.3">
      <c r="A2790" s="2">
        <v>8976485</v>
      </c>
      <c r="B2790" s="2">
        <v>52</v>
      </c>
      <c r="C2790" s="2" t="s">
        <v>6</v>
      </c>
      <c r="D2790" s="2">
        <v>100</v>
      </c>
      <c r="E2790" s="2"/>
      <c r="F2790" s="4" t="str">
        <f>HYPERLINK("./Results/DLO\20191201_1.3.12.2.1107.5.1.4.54310.30000019120921132407800065066_3_512_512_\Osteo_Sarco_1.png","RPT")</f>
        <v>RPT</v>
      </c>
      <c r="G2790" s="3">
        <v>109</v>
      </c>
      <c r="H2790" s="3"/>
    </row>
    <row r="2791" spans="1:8" x14ac:dyDescent="0.3">
      <c r="A2791" s="2">
        <v>8978647</v>
      </c>
      <c r="B2791" s="2">
        <v>61</v>
      </c>
      <c r="C2791" s="2" t="s">
        <v>6</v>
      </c>
      <c r="D2791" s="2">
        <v>100</v>
      </c>
      <c r="E2791" s="2"/>
      <c r="F2791" s="4" t="str">
        <f>HYPERLINK("./Results/DLO\20180601_1.3.46.670589.33.1.63665262299677181700001.4886293737524869066_201_512_512_\Osteo_Sarco_1.png","RPT")</f>
        <v>RPT</v>
      </c>
      <c r="G2791" s="3">
        <v>99</v>
      </c>
      <c r="H2791" s="3"/>
    </row>
    <row r="2792" spans="1:8" x14ac:dyDescent="0.3">
      <c r="A2792" s="2">
        <v>8978957</v>
      </c>
      <c r="B2792" s="2">
        <v>29</v>
      </c>
      <c r="C2792" s="2" t="s">
        <v>6</v>
      </c>
      <c r="D2792" s="2">
        <v>100</v>
      </c>
      <c r="E2792" s="2"/>
      <c r="F2792" s="4" t="str">
        <f>HYPERLINK("./Results/DLO\20180601_1.3.12.2.1107.5.1.4.54310.30000018062900074454600004151_2_512_512_\Osteo_Sarco_1.png","RPT")</f>
        <v>RPT</v>
      </c>
      <c r="G2792" s="3">
        <v>124</v>
      </c>
      <c r="H2792" s="3"/>
    </row>
    <row r="2793" spans="1:8" x14ac:dyDescent="0.3">
      <c r="A2793" s="2">
        <v>8986153</v>
      </c>
      <c r="B2793" s="2">
        <v>44</v>
      </c>
      <c r="C2793" s="2" t="s">
        <v>6</v>
      </c>
      <c r="D2793" s="2">
        <v>100</v>
      </c>
      <c r="E2793" s="2"/>
      <c r="F2793" s="4" t="str">
        <f>HYPERLINK("./Results/DLO\20180801_1.3.46.670589.33.1.63669325033972786200001.4983288048009975888_201_512_512_\Osteo_Sarco_1.png","RPT")</f>
        <v>RPT</v>
      </c>
      <c r="G2793" s="3">
        <v>79</v>
      </c>
      <c r="H2793" s="3"/>
    </row>
    <row r="2794" spans="1:8" x14ac:dyDescent="0.3">
      <c r="A2794" s="2">
        <v>8999605</v>
      </c>
      <c r="B2794" s="2">
        <v>60</v>
      </c>
      <c r="C2794" s="2" t="s">
        <v>6</v>
      </c>
      <c r="D2794" s="2">
        <v>100</v>
      </c>
      <c r="E2794" s="2"/>
      <c r="F2794" s="4" t="str">
        <f>HYPERLINK("./Results/DLO\20180601_1.3.12.2.1107.5.1.4.54310.30000018061423463395300012055_2_512_512_\Osteo_Sarco_1.png","RPT")</f>
        <v>RPT</v>
      </c>
      <c r="G2794" s="3">
        <v>106</v>
      </c>
      <c r="H2794" s="3"/>
    </row>
    <row r="2795" spans="1:8" x14ac:dyDescent="0.3">
      <c r="A2795" s="2">
        <v>8999621</v>
      </c>
      <c r="B2795" s="2">
        <v>58</v>
      </c>
      <c r="C2795" s="2" t="s">
        <v>6</v>
      </c>
      <c r="D2795" s="2">
        <v>100</v>
      </c>
      <c r="E2795" s="2"/>
      <c r="F2795" s="4" t="str">
        <f>HYPERLINK("./Results/DLO\20180901_1.3.12.2.1107.5.1.4.65253.30000018092919332208000013618_2_512_512_\Osteo_Sarco_1.png","RPT")</f>
        <v>RPT</v>
      </c>
      <c r="G2795" s="3">
        <v>100</v>
      </c>
      <c r="H2795" s="3"/>
    </row>
    <row r="2796" spans="1:8" x14ac:dyDescent="0.3">
      <c r="A2796" s="2">
        <v>8999938</v>
      </c>
      <c r="B2796" s="2">
        <v>65</v>
      </c>
      <c r="C2796" s="2" t="s">
        <v>6</v>
      </c>
      <c r="D2796" s="2">
        <v>120</v>
      </c>
      <c r="E2796" s="2"/>
      <c r="F2796" s="4" t="str">
        <f>HYPERLINK("./Results/DLO\_1.2.410.100011.172.16.68.201.6365498804311998212.5_5_512_512_\Osteo_Sarco_1.png","RPT")</f>
        <v>RPT</v>
      </c>
      <c r="G2796" s="3">
        <v>118</v>
      </c>
      <c r="H2796" s="3"/>
    </row>
    <row r="2797" spans="1:8" x14ac:dyDescent="0.3">
      <c r="A2797" s="2">
        <v>8999938</v>
      </c>
      <c r="B2797" s="2">
        <v>65</v>
      </c>
      <c r="C2797" s="2" t="s">
        <v>6</v>
      </c>
      <c r="D2797" s="2">
        <v>120</v>
      </c>
      <c r="E2797" s="2"/>
      <c r="F2797" s="4" t="str">
        <f>HYPERLINK("./Results/DLO\_1.2.410.100011.172.16.68.201.6365498804311998212.3_3_512_512_\Osteo_Sarco_1.png","RPT")</f>
        <v>RPT</v>
      </c>
      <c r="G2797" s="3">
        <v>113</v>
      </c>
      <c r="H2797" s="3"/>
    </row>
    <row r="2798" spans="1:8" x14ac:dyDescent="0.3">
      <c r="A2798" s="2">
        <v>8999938</v>
      </c>
      <c r="B2798" s="2">
        <v>65</v>
      </c>
      <c r="C2798" s="2" t="s">
        <v>6</v>
      </c>
      <c r="D2798" s="2">
        <v>120</v>
      </c>
      <c r="E2798" s="2"/>
      <c r="F2798" s="4" t="str">
        <f>HYPERLINK("./Results/DLO\_1.2.410.100011.172.16.68.201.6365498804311998212.4_4_512_512_\Osteo_Sarco_1.png","RPT")</f>
        <v>RPT</v>
      </c>
      <c r="G2798" s="3">
        <v>112</v>
      </c>
      <c r="H2798" s="3"/>
    </row>
    <row r="2799" spans="1:8" x14ac:dyDescent="0.3">
      <c r="A2799" s="2">
        <v>8999938</v>
      </c>
      <c r="B2799" s="2">
        <v>65</v>
      </c>
      <c r="C2799" s="2" t="s">
        <v>6</v>
      </c>
      <c r="D2799" s="2">
        <v>120</v>
      </c>
      <c r="E2799" s="2"/>
      <c r="F2799" s="4" t="str">
        <f>HYPERLINK("./Results/DLO\_1.2.410.100011.172.16.68.201.6365498804311998212.2_2_512_512_\Osteo_Sarco_1.png","RPT")</f>
        <v>RPT</v>
      </c>
      <c r="G2799" s="3">
        <v>98</v>
      </c>
      <c r="H2799" s="3"/>
    </row>
    <row r="2800" spans="1:8" x14ac:dyDescent="0.3">
      <c r="A2800" s="2">
        <v>9000422</v>
      </c>
      <c r="B2800" s="2">
        <v>71</v>
      </c>
      <c r="C2800" s="2" t="s">
        <v>5</v>
      </c>
      <c r="D2800" s="2">
        <v>100</v>
      </c>
      <c r="E2800" s="2"/>
      <c r="F2800" s="4" t="str">
        <f>HYPERLINK("./Results/DLO\20190101_1.3.12.2.1107.5.1.4.54310.30000019010323190642100047368_2_512_512_\Osteo_Sarco_1.png","RPT")</f>
        <v>RPT</v>
      </c>
      <c r="G2800" s="3">
        <v>96</v>
      </c>
      <c r="H2800" s="3"/>
    </row>
    <row r="2801" spans="1:8" x14ac:dyDescent="0.3">
      <c r="A2801" s="2">
        <v>9000559</v>
      </c>
      <c r="B2801" s="2">
        <v>63</v>
      </c>
      <c r="C2801" s="2" t="s">
        <v>5</v>
      </c>
      <c r="D2801" s="2">
        <v>120</v>
      </c>
      <c r="E2801" s="2"/>
      <c r="F2801" s="4" t="str">
        <f>HYPERLINK("./Results/DLO\20180701_1.2.410.100011.172.16.68.202.6366915790631655791.2.4_4_512_512_\Osteo_Sarco_1.png","RPT")</f>
        <v>RPT</v>
      </c>
      <c r="G2801" s="3">
        <v>172</v>
      </c>
      <c r="H2801" s="3"/>
    </row>
    <row r="2802" spans="1:8" x14ac:dyDescent="0.3">
      <c r="A2802" s="2">
        <v>9000559</v>
      </c>
      <c r="B2802" s="2">
        <v>63</v>
      </c>
      <c r="C2802" s="2" t="s">
        <v>5</v>
      </c>
      <c r="D2802" s="2">
        <v>120</v>
      </c>
      <c r="E2802" s="2"/>
      <c r="F2802" s="4" t="str">
        <f>HYPERLINK("./Results/DLO\20180701_1.2.410.100011.172.16.68.202.6366915790631655791.3.5_5_512_512_\Osteo_Sarco_1.png","RPT")</f>
        <v>RPT</v>
      </c>
      <c r="G2802" s="3">
        <v>170</v>
      </c>
      <c r="H2802" s="3"/>
    </row>
    <row r="2803" spans="1:8" x14ac:dyDescent="0.3">
      <c r="A2803" s="2">
        <v>9000559</v>
      </c>
      <c r="B2803" s="2">
        <v>63</v>
      </c>
      <c r="C2803" s="2" t="s">
        <v>5</v>
      </c>
      <c r="D2803" s="2">
        <v>120</v>
      </c>
      <c r="E2803" s="2"/>
      <c r="F2803" s="4" t="str">
        <f>HYPERLINK("./Results/DLO\20180701_1.2.410.100011.172.16.68.202.6366915790631655791.4.6_6_512_512_\Osteo_Sarco_1.png","RPT")</f>
        <v>RPT</v>
      </c>
      <c r="G2803" s="3">
        <v>170</v>
      </c>
      <c r="H2803" s="3"/>
    </row>
    <row r="2804" spans="1:8" x14ac:dyDescent="0.3">
      <c r="A2804" s="2">
        <v>9000752</v>
      </c>
      <c r="B2804" s="2">
        <v>61</v>
      </c>
      <c r="C2804" s="2" t="s">
        <v>6</v>
      </c>
      <c r="D2804" s="2">
        <v>120</v>
      </c>
      <c r="E2804" s="2"/>
      <c r="F2804" s="4" t="str">
        <f>HYPERLINK("./Results/DLO\20180701_1.3.12.2.1107.5.1.4.65420.30000018070901354854400001300_12_512_512_\Osteo_Sarco_1.png","RPT")</f>
        <v>RPT</v>
      </c>
      <c r="G2804" s="3">
        <v>111</v>
      </c>
      <c r="H2804" s="3"/>
    </row>
    <row r="2805" spans="1:8" x14ac:dyDescent="0.3">
      <c r="A2805" s="2">
        <v>9000752</v>
      </c>
      <c r="B2805" s="2">
        <v>61</v>
      </c>
      <c r="C2805" s="2" t="s">
        <v>6</v>
      </c>
      <c r="D2805" s="2">
        <v>120</v>
      </c>
      <c r="E2805" s="2"/>
      <c r="F2805" s="4" t="str">
        <f>HYPERLINK("./Results/DLO\20180701_1.3.12.2.1107.5.1.4.65420.30000018070901354854400000533_9_512_512_\Osteo_Sarco_1.png","RPT")</f>
        <v>RPT</v>
      </c>
      <c r="G2805" s="3">
        <v>104</v>
      </c>
      <c r="H2805" s="3"/>
    </row>
    <row r="2806" spans="1:8" x14ac:dyDescent="0.3">
      <c r="A2806" s="2">
        <v>9000789</v>
      </c>
      <c r="B2806" s="2">
        <v>50</v>
      </c>
      <c r="C2806" s="2" t="s">
        <v>5</v>
      </c>
      <c r="D2806" s="2">
        <v>80</v>
      </c>
      <c r="E2806" s="2"/>
      <c r="F2806" s="4" t="str">
        <f>HYPERLINK("./Results/DLO\20180701_1.2.410.100011.172.16.68.202.6366854224341204571.5.9_9_512_512_\Osteo_Sarco_1.png","RPT")</f>
        <v>RPT</v>
      </c>
      <c r="G2806" s="3">
        <v>128</v>
      </c>
      <c r="H2806" s="3"/>
    </row>
    <row r="2807" spans="1:8" x14ac:dyDescent="0.3">
      <c r="A2807" s="2">
        <v>9000789</v>
      </c>
      <c r="B2807" s="2">
        <v>50</v>
      </c>
      <c r="C2807" s="2" t="s">
        <v>5</v>
      </c>
      <c r="D2807" s="2">
        <v>80</v>
      </c>
      <c r="E2807" s="2"/>
      <c r="F2807" s="4" t="str">
        <f>HYPERLINK("./Results/DLO\20180701_1.2.410.100011.172.16.68.202.6366854224341204571.4.7_7_512_512_\Osteo_Sarco_1.png","RPT")</f>
        <v>RPT</v>
      </c>
      <c r="G2807" s="3">
        <v>125</v>
      </c>
      <c r="H2807" s="3"/>
    </row>
    <row r="2808" spans="1:8" x14ac:dyDescent="0.3">
      <c r="A2808" s="2">
        <v>9000789</v>
      </c>
      <c r="B2808" s="2">
        <v>50</v>
      </c>
      <c r="C2808" s="2" t="s">
        <v>5</v>
      </c>
      <c r="D2808" s="2">
        <v>80</v>
      </c>
      <c r="E2808" s="2"/>
      <c r="F2808" s="4" t="str">
        <f>HYPERLINK("./Results/DLO\20180701_1.2.410.100011.172.16.68.202.6366854224341204571.2.2_2_512_512_\Osteo_Sarco_1.png","RPT")</f>
        <v>RPT</v>
      </c>
      <c r="G2808" s="3">
        <v>124</v>
      </c>
      <c r="H2808" s="3"/>
    </row>
    <row r="2809" spans="1:8" x14ac:dyDescent="0.3">
      <c r="A2809" s="2">
        <v>9000789</v>
      </c>
      <c r="B2809" s="2">
        <v>50</v>
      </c>
      <c r="C2809" s="2" t="s">
        <v>5</v>
      </c>
      <c r="D2809" s="2">
        <v>80</v>
      </c>
      <c r="E2809" s="2"/>
      <c r="F2809" s="4" t="str">
        <f>HYPERLINK("./Results/DLO\20180701_1.2.410.100011.172.16.68.202.6366854224341204571.3.5_5_512_512_\Osteo_Sarco_1.png","RPT")</f>
        <v>RPT</v>
      </c>
      <c r="G2809" s="3">
        <v>124</v>
      </c>
      <c r="H2809" s="3"/>
    </row>
    <row r="2810" spans="1:8" x14ac:dyDescent="0.3">
      <c r="A2810" s="2">
        <v>9000857</v>
      </c>
      <c r="B2810" s="2">
        <v>62</v>
      </c>
      <c r="C2810" s="2" t="s">
        <v>5</v>
      </c>
      <c r="D2810" s="2">
        <v>100</v>
      </c>
      <c r="E2810" s="2"/>
      <c r="F2810" s="4" t="str">
        <f>HYPERLINK("./Results/DLO\20180301_1.3.12.2.1107.5.1.4.65253.30000018032921180635200049350_2_512_512_\Osteo_Sarco_1.png","RPT")</f>
        <v>RPT</v>
      </c>
      <c r="G2810" s="3">
        <v>161</v>
      </c>
      <c r="H2810" s="3"/>
    </row>
    <row r="2811" spans="1:8" x14ac:dyDescent="0.3">
      <c r="A2811" s="2">
        <v>9000857</v>
      </c>
      <c r="B2811" s="2">
        <v>62</v>
      </c>
      <c r="C2811" s="2" t="s">
        <v>5</v>
      </c>
      <c r="D2811" s="2">
        <v>100</v>
      </c>
      <c r="E2811" s="2"/>
      <c r="F2811" s="4" t="str">
        <f>HYPERLINK("./Results/DLO\20180301_1.3.12.2.1107.5.1.4.65253.30000018032921180635200049512_3_512_512_\Osteo_Sarco_1.png","RPT")</f>
        <v>RPT</v>
      </c>
      <c r="G2811" s="3">
        <v>161</v>
      </c>
      <c r="H2811" s="3"/>
    </row>
    <row r="2812" spans="1:8" x14ac:dyDescent="0.3">
      <c r="A2812" s="2">
        <v>9000858</v>
      </c>
      <c r="B2812" s="2">
        <v>47</v>
      </c>
      <c r="C2812" s="2" t="s">
        <v>6</v>
      </c>
      <c r="D2812" s="2">
        <v>100</v>
      </c>
      <c r="E2812" s="2"/>
      <c r="F2812" s="4" t="str">
        <f>HYPERLINK("./Results/DLO\20180401_1.2.840.113619.2.94.485650834948.2.8742394.18890986.1_2_512_512_\Osteo_Sarco_1.png","RPT")</f>
        <v>RPT</v>
      </c>
      <c r="G2812" s="3">
        <v>93</v>
      </c>
      <c r="H2812" s="3"/>
    </row>
    <row r="2813" spans="1:8" x14ac:dyDescent="0.3">
      <c r="A2813" s="2">
        <v>9001307</v>
      </c>
      <c r="B2813" s="2">
        <v>46</v>
      </c>
      <c r="C2813" s="2" t="s">
        <v>6</v>
      </c>
      <c r="D2813" s="2">
        <v>120</v>
      </c>
      <c r="E2813" s="2"/>
      <c r="F2813" s="4" t="str">
        <f>HYPERLINK("./Results/DLO\20180701_1.3.12.2.1107.5.1.4.54310.30000018072323111520300043387_3_512_512_\Osteo_Sarco_1.png","RPT")</f>
        <v>RPT</v>
      </c>
      <c r="G2813" s="3">
        <v>107</v>
      </c>
      <c r="H2813" s="3"/>
    </row>
    <row r="2814" spans="1:8" x14ac:dyDescent="0.3">
      <c r="A2814" s="2">
        <v>9001307</v>
      </c>
      <c r="B2814" s="2">
        <v>46</v>
      </c>
      <c r="C2814" s="2" t="s">
        <v>6</v>
      </c>
      <c r="D2814" s="2">
        <v>120</v>
      </c>
      <c r="E2814" s="2"/>
      <c r="F2814" s="4" t="str">
        <f>HYPERLINK("./Results/DLO\20180701_1.3.12.2.1107.5.1.4.54310.30000018072323111520300043537_5_512_512_\Osteo_Sarco_1.png","RPT")</f>
        <v>RPT</v>
      </c>
      <c r="G2814" s="3">
        <v>105</v>
      </c>
      <c r="H2814" s="3"/>
    </row>
    <row r="2815" spans="1:8" x14ac:dyDescent="0.3">
      <c r="A2815" s="2">
        <v>9001307</v>
      </c>
      <c r="B2815" s="2">
        <v>46</v>
      </c>
      <c r="C2815" s="2" t="s">
        <v>6</v>
      </c>
      <c r="D2815" s="2">
        <v>120</v>
      </c>
      <c r="E2815" s="2"/>
      <c r="F2815" s="4" t="str">
        <f>HYPERLINK("./Results/DLO\20180701_1.3.12.2.1107.5.1.4.54310.30000018072323461767100012809_7_512_512_\Osteo_Sarco_1.png","RPT")</f>
        <v>RPT</v>
      </c>
      <c r="G2815" s="3">
        <v>104</v>
      </c>
      <c r="H2815" s="3"/>
    </row>
    <row r="2816" spans="1:8" x14ac:dyDescent="0.3">
      <c r="A2816" s="2">
        <v>9001439</v>
      </c>
      <c r="B2816" s="2">
        <v>39</v>
      </c>
      <c r="C2816" s="2" t="s">
        <v>6</v>
      </c>
      <c r="D2816" s="2">
        <v>100</v>
      </c>
      <c r="E2816" s="2"/>
      <c r="F2816" s="4" t="str">
        <f>HYPERLINK("./Results/DLO\20191001_1.2.840.113619.2.416.209243786893483978695900150116539228423_310_512_512_\Osteo_Sarco_1.png","RPT")</f>
        <v>RPT</v>
      </c>
      <c r="G2816" s="3">
        <v>119</v>
      </c>
      <c r="H2816" s="3"/>
    </row>
    <row r="2817" spans="1:8" x14ac:dyDescent="0.3">
      <c r="A2817" s="2">
        <v>9001509</v>
      </c>
      <c r="B2817" s="2">
        <v>32</v>
      </c>
      <c r="C2817" s="2" t="s">
        <v>6</v>
      </c>
      <c r="D2817" s="2">
        <v>100</v>
      </c>
      <c r="E2817" s="2"/>
      <c r="F2817" s="4" t="str">
        <f>HYPERLINK("./Results/DLO\20180801_1.2.840.113619.2.94.485650834948.2.9014667.19561892.1_2_512_512_\Osteo_Sarco_1.png","RPT")</f>
        <v>RPT</v>
      </c>
      <c r="G2817" s="3">
        <v>100</v>
      </c>
      <c r="H2817" s="3"/>
    </row>
    <row r="2818" spans="1:8" x14ac:dyDescent="0.3">
      <c r="A2818" s="2">
        <v>9001866</v>
      </c>
      <c r="B2818" s="2">
        <v>40</v>
      </c>
      <c r="C2818" s="2" t="s">
        <v>6</v>
      </c>
      <c r="D2818" s="2">
        <v>100</v>
      </c>
      <c r="E2818" s="2"/>
      <c r="F2818" s="4" t="str">
        <f>HYPERLINK("./Results/DLO\20190801_1.3.12.2.1107.5.1.4.54310.30000019082622275389000043275_10_512_512_\Osteo_Sarco_1.png","RPT")</f>
        <v>RPT</v>
      </c>
      <c r="G2818" s="3">
        <v>118</v>
      </c>
      <c r="H2818" s="3"/>
    </row>
    <row r="2819" spans="1:8" x14ac:dyDescent="0.3">
      <c r="A2819" s="2">
        <v>9002440</v>
      </c>
      <c r="B2819" s="2">
        <v>55</v>
      </c>
      <c r="C2819" s="2" t="s">
        <v>6</v>
      </c>
      <c r="D2819" s="2">
        <v>100</v>
      </c>
      <c r="E2819" s="2"/>
      <c r="F2819" s="4" t="str">
        <f>HYPERLINK("./Results/DLO\20180701_1.2.840.113619.2.311.149525423213644679275422438566367921682_304_512_512_\Osteo_Sarco_1.png","RPT")</f>
        <v>RPT</v>
      </c>
      <c r="G2819" s="3">
        <v>127</v>
      </c>
      <c r="H2819" s="3"/>
    </row>
    <row r="2820" spans="1:8" x14ac:dyDescent="0.3">
      <c r="A2820" s="2">
        <v>9002443</v>
      </c>
      <c r="B2820" s="2">
        <v>58</v>
      </c>
      <c r="C2820" s="2" t="s">
        <v>5</v>
      </c>
      <c r="D2820" s="2">
        <v>120</v>
      </c>
      <c r="E2820" s="2"/>
      <c r="F2820" s="4" t="str">
        <f>HYPERLINK("./Results/DLO\20180101_1.2.410.100011.172.16.68.201.6365292863522553821.3_3_512_512_\Osteo_Sarco_1.png","RPT")</f>
        <v>RPT</v>
      </c>
      <c r="G2820" s="3">
        <v>136</v>
      </c>
      <c r="H2820" s="3"/>
    </row>
    <row r="2821" spans="1:8" x14ac:dyDescent="0.3">
      <c r="A2821" s="2">
        <v>9002443</v>
      </c>
      <c r="B2821" s="2">
        <v>58</v>
      </c>
      <c r="C2821" s="2" t="s">
        <v>5</v>
      </c>
      <c r="D2821" s="2">
        <v>120</v>
      </c>
      <c r="E2821" s="2"/>
      <c r="F2821" s="4" t="str">
        <f>HYPERLINK("./Results/DLO\20180101_1.2.410.100011.172.16.68.201.6365292863522553821.1_1_512_512_\Osteo_Sarco_1.png","RPT")</f>
        <v>RPT</v>
      </c>
      <c r="G2821" s="3">
        <v>135</v>
      </c>
      <c r="H2821" s="3"/>
    </row>
    <row r="2822" spans="1:8" x14ac:dyDescent="0.3">
      <c r="A2822" s="2">
        <v>9002443</v>
      </c>
      <c r="B2822" s="2">
        <v>58</v>
      </c>
      <c r="C2822" s="2" t="s">
        <v>5</v>
      </c>
      <c r="D2822" s="2">
        <v>120</v>
      </c>
      <c r="E2822" s="2"/>
      <c r="F2822" s="4" t="str">
        <f>HYPERLINK("./Results/DLO\20180101_1.2.410.100011.172.16.68.201.6365292863522553821.4_4_512_512_\Osteo_Sarco_1.png","RPT")</f>
        <v>RPT</v>
      </c>
      <c r="G2822" s="3">
        <v>135</v>
      </c>
      <c r="H2822" s="3"/>
    </row>
    <row r="2823" spans="1:8" x14ac:dyDescent="0.3">
      <c r="A2823" s="2">
        <v>9002443</v>
      </c>
      <c r="B2823" s="2">
        <v>58</v>
      </c>
      <c r="C2823" s="2" t="s">
        <v>5</v>
      </c>
      <c r="D2823" s="2">
        <v>120</v>
      </c>
      <c r="E2823" s="2"/>
      <c r="F2823" s="4" t="str">
        <f>HYPERLINK("./Results/DLO\20180101_1.2.410.100011.172.16.68.201.6365292863522553821.2_2_512_512_\Osteo_Sarco_1.png","RPT")</f>
        <v>RPT</v>
      </c>
      <c r="G2823" s="3">
        <v>132</v>
      </c>
      <c r="H2823" s="3"/>
    </row>
    <row r="2824" spans="1:8" x14ac:dyDescent="0.3">
      <c r="A2824" s="2">
        <v>9002483</v>
      </c>
      <c r="B2824" s="2">
        <v>50</v>
      </c>
      <c r="C2824" s="2" t="s">
        <v>6</v>
      </c>
      <c r="D2824" s="2">
        <v>100</v>
      </c>
      <c r="E2824" s="2"/>
      <c r="F2824" s="4" t="str">
        <f>HYPERLINK("./Results/DLO\20180601_1.3.12.2.1107.5.1.4.65253.30000018062419204736100008137_2_512_512_\Osteo_Sarco_1.png","RPT")</f>
        <v>RPT</v>
      </c>
      <c r="G2824" s="3">
        <v>122</v>
      </c>
      <c r="H2824" s="3"/>
    </row>
    <row r="2825" spans="1:8" x14ac:dyDescent="0.3">
      <c r="A2825" s="2">
        <v>9002483</v>
      </c>
      <c r="B2825" s="2">
        <v>50</v>
      </c>
      <c r="C2825" s="2" t="s">
        <v>6</v>
      </c>
      <c r="D2825" s="2">
        <v>100</v>
      </c>
      <c r="E2825" s="2"/>
      <c r="F2825" s="4" t="str">
        <f>HYPERLINK("./Results/DLO\20180601_1.3.12.2.1107.5.1.4.65253.30000018062419204736100009128_9_512_512_\Osteo_Sarco_1.png","RPT")</f>
        <v>RPT</v>
      </c>
      <c r="G2825" s="3">
        <v>122</v>
      </c>
      <c r="H2825" s="3"/>
    </row>
    <row r="2826" spans="1:8" x14ac:dyDescent="0.3">
      <c r="A2826" s="2">
        <v>9002483</v>
      </c>
      <c r="B2826" s="2">
        <v>50</v>
      </c>
      <c r="C2826" s="2" t="s">
        <v>6</v>
      </c>
      <c r="D2826" s="2">
        <v>100</v>
      </c>
      <c r="E2826" s="2"/>
      <c r="F2826" s="4" t="str">
        <f>HYPERLINK("./Results/DLO\20180601_1.3.12.2.1107.5.1.4.65253.30000018062419204736100008251_5_512_512_\Osteo_Sarco_1.png","RPT")</f>
        <v>RPT</v>
      </c>
      <c r="G2826" s="3">
        <v>121</v>
      </c>
      <c r="H2826" s="3"/>
    </row>
    <row r="2827" spans="1:8" x14ac:dyDescent="0.3">
      <c r="A2827" s="2">
        <v>9002483</v>
      </c>
      <c r="B2827" s="2">
        <v>50</v>
      </c>
      <c r="C2827" s="2" t="s">
        <v>6</v>
      </c>
      <c r="D2827" s="2">
        <v>100</v>
      </c>
      <c r="E2827" s="2"/>
      <c r="F2827" s="4" t="str">
        <f>HYPERLINK("./Results/DLO\20180601_1.3.12.2.1107.5.1.4.65253.30000018062419204736100008849_7_512_512_\Osteo_Sarco_1.png","RPT")</f>
        <v>RPT</v>
      </c>
      <c r="G2827" s="3">
        <v>120</v>
      </c>
      <c r="H2827" s="3"/>
    </row>
    <row r="2828" spans="1:8" x14ac:dyDescent="0.3">
      <c r="A2828" s="2">
        <v>9002545</v>
      </c>
      <c r="B2828" s="2">
        <v>47</v>
      </c>
      <c r="C2828" s="2" t="s">
        <v>6</v>
      </c>
      <c r="D2828" s="2">
        <v>100</v>
      </c>
      <c r="E2828" s="2"/>
      <c r="F2828" s="4" t="str">
        <f>HYPERLINK("./Results/DLO\20200101_1.3.46.670589.33.1.63715198964325611800001.4811360589118981655_201_512_512_\Osteo_Sarco_1.png","RPT")</f>
        <v>RPT</v>
      </c>
      <c r="G2828" s="3">
        <v>103</v>
      </c>
      <c r="H2828" s="3"/>
    </row>
    <row r="2829" spans="1:8" x14ac:dyDescent="0.3">
      <c r="A2829" s="2">
        <v>9002712</v>
      </c>
      <c r="B2829" s="2">
        <v>43</v>
      </c>
      <c r="C2829" s="2" t="s">
        <v>6</v>
      </c>
      <c r="D2829" s="2">
        <v>100</v>
      </c>
      <c r="E2829" s="2"/>
      <c r="F2829" s="4" t="str">
        <f>HYPERLINK("./Results/DLO\20180601_1.2.840.113619.2.94.485650834948.2.8907199.19296764.1_2_512_512_\Osteo_Sarco_1.png","RPT")</f>
        <v>RPT</v>
      </c>
      <c r="G2829" s="3">
        <v>110</v>
      </c>
      <c r="H2829" s="3"/>
    </row>
    <row r="2830" spans="1:8" x14ac:dyDescent="0.3">
      <c r="A2830" s="2">
        <v>9002806</v>
      </c>
      <c r="B2830" s="2">
        <v>58</v>
      </c>
      <c r="C2830" s="2" t="s">
        <v>5</v>
      </c>
      <c r="D2830" s="2">
        <v>100</v>
      </c>
      <c r="E2830" s="2"/>
      <c r="F2830" s="4" t="str">
        <f>HYPERLINK("./Results/DLO\20180701_1.3.46.670589.33.1.63667679872915102800001.4848591074710443006_201_512_512_\Osteo_Sarco_1.png","RPT")</f>
        <v>RPT</v>
      </c>
      <c r="G2830" s="3">
        <v>152</v>
      </c>
      <c r="H2830" s="3"/>
    </row>
    <row r="2831" spans="1:8" x14ac:dyDescent="0.3">
      <c r="A2831" s="2">
        <v>9002860</v>
      </c>
      <c r="B2831" s="2">
        <v>62</v>
      </c>
      <c r="C2831" s="2" t="s">
        <v>6</v>
      </c>
      <c r="D2831" s="2">
        <v>100</v>
      </c>
      <c r="E2831" s="2"/>
      <c r="F2831" s="4" t="str">
        <f>HYPERLINK("./Results/DLO\20190101_1.3.12.2.1107.5.1.4.65253.30000018123019150732100084806_3_512_512_\Osteo_Sarco_1.png","RPT")</f>
        <v>RPT</v>
      </c>
      <c r="G2831" s="3">
        <v>79</v>
      </c>
      <c r="H2831" s="3"/>
    </row>
    <row r="2832" spans="1:8" x14ac:dyDescent="0.3">
      <c r="A2832" s="2">
        <v>9003060</v>
      </c>
      <c r="B2832" s="2">
        <v>60</v>
      </c>
      <c r="C2832" s="2" t="s">
        <v>6</v>
      </c>
      <c r="D2832" s="2">
        <v>140</v>
      </c>
      <c r="E2832" s="2"/>
      <c r="F2832" s="4" t="str">
        <f>HYPERLINK("./Results/DLO\20180301_1.2.840.113619.2.416.74729133252759317334600029862047556683_3_512_512_\Osteo_Sarco_1.png","RPT")</f>
        <v>RPT</v>
      </c>
      <c r="G2832" s="3">
        <v>101</v>
      </c>
      <c r="H2832" s="3"/>
    </row>
    <row r="2833" spans="1:8" x14ac:dyDescent="0.3">
      <c r="A2833" s="2">
        <v>9003060</v>
      </c>
      <c r="B2833" s="2">
        <v>60</v>
      </c>
      <c r="C2833" s="2" t="s">
        <v>6</v>
      </c>
      <c r="D2833" s="2">
        <v>140</v>
      </c>
      <c r="E2833" s="2"/>
      <c r="F2833" s="4" t="str">
        <f>HYPERLINK("./Results/DLO\20180301_1.2.840.113619.2.416.195219648201120292412170511955955458081_2_512_512_\Osteo_Sarco_1.png","RPT")</f>
        <v>RPT</v>
      </c>
      <c r="G2833" s="3">
        <v>99</v>
      </c>
      <c r="H2833" s="3"/>
    </row>
    <row r="2834" spans="1:8" x14ac:dyDescent="0.3">
      <c r="A2834" s="2">
        <v>9003229</v>
      </c>
      <c r="B2834" s="2">
        <v>67</v>
      </c>
      <c r="C2834" s="2" t="s">
        <v>5</v>
      </c>
      <c r="D2834" s="2">
        <v>100</v>
      </c>
      <c r="E2834" s="2"/>
      <c r="F2834" s="4" t="str">
        <f>HYPERLINK("./Results/DLO\20180601_1.2.840.113619.2.311.251164018455320886620181451626165739830_2_512_512_\Osteo_Sarco_1.png","RPT")</f>
        <v>RPT</v>
      </c>
      <c r="G2834" s="3">
        <v>74</v>
      </c>
      <c r="H2834" s="3"/>
    </row>
    <row r="2835" spans="1:8" x14ac:dyDescent="0.3">
      <c r="A2835" s="2">
        <v>9003229</v>
      </c>
      <c r="B2835" s="2">
        <v>67</v>
      </c>
      <c r="C2835" s="2" t="s">
        <v>5</v>
      </c>
      <c r="D2835" s="2">
        <v>100</v>
      </c>
      <c r="E2835" s="2"/>
      <c r="F2835" s="4" t="str">
        <f>HYPERLINK("./Results/DLO\20180601_1.2.840.113619.2.311.182049442256006276481542567147398661420_301_512_512_\Osteo_Sarco_1.png","RPT")</f>
        <v>RPT</v>
      </c>
      <c r="G2835" s="3">
        <v>73</v>
      </c>
      <c r="H2835" s="3"/>
    </row>
    <row r="2836" spans="1:8" x14ac:dyDescent="0.3">
      <c r="A2836" s="2">
        <v>9003229</v>
      </c>
      <c r="B2836" s="2">
        <v>67</v>
      </c>
      <c r="C2836" s="2" t="s">
        <v>5</v>
      </c>
      <c r="D2836" s="2">
        <v>100</v>
      </c>
      <c r="E2836" s="2"/>
      <c r="F2836" s="4" t="str">
        <f>HYPERLINK("./Results/DLO\20180601_1.2.840.113619.2.311.272396038590331126332112757001422471473_306_512_512_\Osteo_Sarco_1.png","RPT")</f>
        <v>RPT</v>
      </c>
      <c r="G2836" s="3">
        <v>71</v>
      </c>
      <c r="H2836" s="3"/>
    </row>
    <row r="2837" spans="1:8" x14ac:dyDescent="0.3">
      <c r="A2837" s="2">
        <v>9003581</v>
      </c>
      <c r="B2837" s="2">
        <v>54</v>
      </c>
      <c r="C2837" s="2" t="s">
        <v>6</v>
      </c>
      <c r="D2837" s="2">
        <v>100</v>
      </c>
      <c r="E2837" s="2"/>
      <c r="F2837" s="4" t="str">
        <f>HYPERLINK("./Results/DLO\20180701_1.3.12.2.1107.5.1.4.54310.30000018071523233209300006203_2_512_512_\Osteo_Sarco_1.png","RPT")</f>
        <v>RPT</v>
      </c>
      <c r="G2837" s="3">
        <v>92</v>
      </c>
      <c r="H2837" s="3"/>
    </row>
    <row r="2838" spans="1:8" x14ac:dyDescent="0.3">
      <c r="A2838" s="2">
        <v>9003758</v>
      </c>
      <c r="B2838" s="2">
        <v>71</v>
      </c>
      <c r="C2838" s="2" t="s">
        <v>5</v>
      </c>
      <c r="D2838" s="2">
        <v>100</v>
      </c>
      <c r="E2838" s="2"/>
      <c r="F2838" s="4" t="str">
        <f>HYPERLINK("./Results/DLO\20180301_1.2.840.113619.2.416.143878988888883905804157114777652243471_301_512_512_\Osteo_Sarco_1.png","RPT")</f>
        <v>RPT</v>
      </c>
      <c r="G2838" s="3">
        <v>132</v>
      </c>
      <c r="H2838" s="3"/>
    </row>
    <row r="2839" spans="1:8" x14ac:dyDescent="0.3">
      <c r="A2839" s="2">
        <v>9003758</v>
      </c>
      <c r="B2839" s="2">
        <v>71</v>
      </c>
      <c r="C2839" s="2" t="s">
        <v>5</v>
      </c>
      <c r="D2839" s="2">
        <v>100</v>
      </c>
      <c r="E2839" s="2"/>
      <c r="F2839" s="4" t="str">
        <f>HYPERLINK("./Results/DLO\20180301_1.2.840.113619.2.416.273500446796026859860975468821710879545_302_512_512_\Osteo_Sarco_1.png","RPT")</f>
        <v>RPT</v>
      </c>
      <c r="G2839" s="3">
        <v>125</v>
      </c>
      <c r="H2839" s="3"/>
    </row>
    <row r="2840" spans="1:8" x14ac:dyDescent="0.3">
      <c r="A2840" s="2">
        <v>9003837</v>
      </c>
      <c r="B2840" s="2">
        <v>48</v>
      </c>
      <c r="C2840" s="2" t="s">
        <v>5</v>
      </c>
      <c r="D2840" s="2">
        <v>100</v>
      </c>
      <c r="E2840" s="2"/>
      <c r="F2840" s="4" t="str">
        <f>HYPERLINK("./Results/DLO\20180801_1.3.12.2.1107.5.1.4.54310.30000018080223110143700060420_2_512_512_\Osteo_Sarco_1.png","RPT")</f>
        <v>RPT</v>
      </c>
      <c r="G2840" s="3">
        <v>120</v>
      </c>
      <c r="H2840" s="3"/>
    </row>
    <row r="2841" spans="1:8" x14ac:dyDescent="0.3">
      <c r="A2841" s="2">
        <v>9003856</v>
      </c>
      <c r="B2841" s="2">
        <v>41</v>
      </c>
      <c r="C2841" s="2" t="s">
        <v>6</v>
      </c>
      <c r="D2841" s="2">
        <v>100</v>
      </c>
      <c r="E2841" s="2"/>
      <c r="F2841" s="4" t="str">
        <f>HYPERLINK("./Results/DLO\20180701_1.2.840.113619.2.311.197416948679076719078315897870889530718_303_512_512_\Osteo_Sarco_1.png","RPT")</f>
        <v>RPT</v>
      </c>
      <c r="G2841" s="3">
        <v>104</v>
      </c>
      <c r="H2841" s="3"/>
    </row>
    <row r="2842" spans="1:8" x14ac:dyDescent="0.3">
      <c r="A2842" s="2">
        <v>9004300</v>
      </c>
      <c r="B2842" s="2">
        <v>45</v>
      </c>
      <c r="C2842" s="2" t="s">
        <v>5</v>
      </c>
      <c r="D2842" s="2">
        <v>100</v>
      </c>
      <c r="E2842" s="2"/>
      <c r="F2842" s="4" t="str">
        <f>HYPERLINK("./Results/DLO\20190301_1.3.46.670589.33.1.63687383464116001200001.5394824218075298103_201_512_512_\Osteo_Sarco_1.png","RPT")</f>
        <v>RPT</v>
      </c>
      <c r="G2842" s="3">
        <v>162</v>
      </c>
      <c r="H2842" s="3"/>
    </row>
    <row r="2843" spans="1:8" x14ac:dyDescent="0.3">
      <c r="A2843" s="2">
        <v>9004300</v>
      </c>
      <c r="B2843" s="2">
        <v>45</v>
      </c>
      <c r="C2843" s="2" t="s">
        <v>5</v>
      </c>
      <c r="D2843" s="2">
        <v>100</v>
      </c>
      <c r="E2843" s="2"/>
      <c r="F2843" s="4" t="str">
        <f>HYPERLINK("./Results/DLO\20190301_1.3.46.670589.33.1.63687383580471656400001.4950214717612475876_301_512_512_\Osteo_Sarco_1.png","RPT")</f>
        <v>RPT</v>
      </c>
      <c r="G2843" s="3">
        <v>162</v>
      </c>
      <c r="H2843" s="3"/>
    </row>
    <row r="2844" spans="1:8" x14ac:dyDescent="0.3">
      <c r="A2844" s="2">
        <v>9004621</v>
      </c>
      <c r="B2844" s="2">
        <v>29</v>
      </c>
      <c r="C2844" s="2" t="s">
        <v>6</v>
      </c>
      <c r="D2844" s="2">
        <v>120</v>
      </c>
      <c r="E2844" s="2"/>
      <c r="F2844" s="4" t="str">
        <f>HYPERLINK("./Results/DLO\20180901_1.3.12.2.1107.5.1.4.65253.30000018090723371405500001707_7_512_512_\Osteo_Sarco_1.png","RPT")</f>
        <v>RPT</v>
      </c>
      <c r="G2844" s="3">
        <v>107</v>
      </c>
      <c r="H2844" s="3"/>
    </row>
    <row r="2845" spans="1:8" x14ac:dyDescent="0.3">
      <c r="A2845" s="2">
        <v>9004621</v>
      </c>
      <c r="B2845" s="2">
        <v>29</v>
      </c>
      <c r="C2845" s="2" t="s">
        <v>6</v>
      </c>
      <c r="D2845" s="2">
        <v>120</v>
      </c>
      <c r="E2845" s="2"/>
      <c r="F2845" s="4" t="str">
        <f>HYPERLINK("./Results/DLO\20180901_1.3.12.2.1107.5.1.4.65253.30000018090720354500700010491_8_512_512_\Osteo_Sarco_1.png","RPT")</f>
        <v>RPT</v>
      </c>
      <c r="G2845" s="3">
        <v>106</v>
      </c>
      <c r="H2845" s="3"/>
    </row>
    <row r="2846" spans="1:8" x14ac:dyDescent="0.3">
      <c r="A2846" s="2">
        <v>9004621</v>
      </c>
      <c r="B2846" s="2">
        <v>29</v>
      </c>
      <c r="C2846" s="2" t="s">
        <v>6</v>
      </c>
      <c r="D2846" s="2">
        <v>120</v>
      </c>
      <c r="E2846" s="2"/>
      <c r="F2846" s="4" t="str">
        <f>HYPERLINK("./Results/DLO\20180901_1.3.12.2.1107.5.1.4.65253.30000018090720354500700009382_5_512_512_\Osteo_Sarco_1.png","RPT")</f>
        <v>RPT</v>
      </c>
      <c r="G2846" s="3">
        <v>102</v>
      </c>
      <c r="H2846" s="3"/>
    </row>
    <row r="2847" spans="1:8" x14ac:dyDescent="0.3">
      <c r="A2847" s="2">
        <v>9004621</v>
      </c>
      <c r="B2847" s="2">
        <v>29</v>
      </c>
      <c r="C2847" s="2" t="s">
        <v>6</v>
      </c>
      <c r="D2847" s="2">
        <v>100</v>
      </c>
      <c r="E2847" s="2"/>
      <c r="F2847" s="4" t="str">
        <f>HYPERLINK("./Results/DLO\20180901_1.3.12.2.1107.5.1.4.65253.30000018090720354500700009232_2_512_512_\Osteo_Sarco_1.png","RPT")</f>
        <v>RPT</v>
      </c>
      <c r="G2847" s="3">
        <v>101</v>
      </c>
      <c r="H2847" s="3"/>
    </row>
    <row r="2848" spans="1:8" x14ac:dyDescent="0.3">
      <c r="A2848" s="2">
        <v>9004662</v>
      </c>
      <c r="B2848" s="2">
        <v>73</v>
      </c>
      <c r="C2848" s="2" t="s">
        <v>6</v>
      </c>
      <c r="D2848" s="2">
        <v>100</v>
      </c>
      <c r="E2848" s="2"/>
      <c r="F2848" s="4" t="str">
        <f>HYPERLINK("./Results/DLO\20180701_1.3.12.2.1107.5.1.4.65253.30000018072219342987300077888_7_512_512_\Osteo_Sarco_1.png","RPT")</f>
        <v>RPT</v>
      </c>
      <c r="G2848" s="3">
        <v>114</v>
      </c>
      <c r="H2848" s="3"/>
    </row>
    <row r="2849" spans="1:8" x14ac:dyDescent="0.3">
      <c r="A2849" s="2">
        <v>9004662</v>
      </c>
      <c r="B2849" s="2">
        <v>73</v>
      </c>
      <c r="C2849" s="2" t="s">
        <v>6</v>
      </c>
      <c r="D2849" s="2">
        <v>100</v>
      </c>
      <c r="E2849" s="2"/>
      <c r="F2849" s="4" t="str">
        <f>HYPERLINK("./Results/DLO\20180701_1.3.12.2.1107.5.1.4.65253.30000018072219342987300077401_2_512_512_\Osteo_Sarco_1.png","RPT")</f>
        <v>RPT</v>
      </c>
      <c r="G2849" s="3">
        <v>107</v>
      </c>
      <c r="H2849" s="3"/>
    </row>
    <row r="2850" spans="1:8" x14ac:dyDescent="0.3">
      <c r="A2850" s="2">
        <v>9004831</v>
      </c>
      <c r="B2850" s="2">
        <v>53</v>
      </c>
      <c r="C2850" s="2" t="s">
        <v>5</v>
      </c>
      <c r="D2850" s="2">
        <v>100</v>
      </c>
      <c r="E2850" s="2"/>
      <c r="F2850" s="4" t="str">
        <f>HYPERLINK("./Results/DLO\20180801_1.2.840.113619.2.416.156429046946269221155985849466674029870_301_512_512_\Osteo_Sarco_1.png","RPT")</f>
        <v>RPT</v>
      </c>
      <c r="G2850" s="3">
        <v>189</v>
      </c>
      <c r="H2850" s="3"/>
    </row>
    <row r="2851" spans="1:8" x14ac:dyDescent="0.3">
      <c r="A2851" s="2">
        <v>9004831</v>
      </c>
      <c r="B2851" s="2">
        <v>53</v>
      </c>
      <c r="C2851" s="2" t="s">
        <v>5</v>
      </c>
      <c r="D2851" s="2">
        <v>100</v>
      </c>
      <c r="E2851" s="2"/>
      <c r="F2851" s="4" t="str">
        <f>HYPERLINK("./Results/DLO\20180801_1.2.840.113619.2.416.253779508177256683904655984544188560711_302_512_512_\Osteo_Sarco_1.png","RPT")</f>
        <v>RPT</v>
      </c>
      <c r="G2851" s="3">
        <v>188</v>
      </c>
      <c r="H2851" s="3"/>
    </row>
    <row r="2852" spans="1:8" x14ac:dyDescent="0.3">
      <c r="A2852" s="2">
        <v>9004831</v>
      </c>
      <c r="B2852" s="2">
        <v>53</v>
      </c>
      <c r="C2852" s="2" t="s">
        <v>5</v>
      </c>
      <c r="D2852" s="2">
        <v>120</v>
      </c>
      <c r="E2852" s="2"/>
      <c r="F2852" s="4" t="str">
        <f>HYPERLINK("./Results/DLO\20180801_1.2.840.113619.2.416.312529578319469588535659149993802778408_2_512_512_\Osteo_Sarco_1.png","RPT")</f>
        <v>RPT</v>
      </c>
      <c r="G2852" s="3">
        <v>188</v>
      </c>
      <c r="H2852" s="3"/>
    </row>
    <row r="2853" spans="1:8" x14ac:dyDescent="0.3">
      <c r="A2853" s="2">
        <v>9004831</v>
      </c>
      <c r="B2853" s="2">
        <v>53</v>
      </c>
      <c r="C2853" s="2" t="s">
        <v>5</v>
      </c>
      <c r="D2853" s="2">
        <v>100</v>
      </c>
      <c r="E2853" s="2"/>
      <c r="F2853" s="4" t="str">
        <f>HYPERLINK("./Results/DLO\20180801_1.2.840.113619.2.416.69130401182643086306008767671220253378_305_512_512_\Osteo_Sarco_1.png","RPT")</f>
        <v>RPT</v>
      </c>
      <c r="G2853" s="3">
        <v>188</v>
      </c>
      <c r="H2853" s="3"/>
    </row>
    <row r="2854" spans="1:8" x14ac:dyDescent="0.3">
      <c r="A2854" s="2">
        <v>9004941</v>
      </c>
      <c r="B2854" s="2">
        <v>68</v>
      </c>
      <c r="C2854" s="2" t="s">
        <v>5</v>
      </c>
      <c r="D2854" s="2">
        <v>130</v>
      </c>
      <c r="E2854" s="2"/>
      <c r="F2854" s="4" t="str">
        <f>HYPERLINK("./Results/DLO\20180401_1.3.12.2.1107.5.1.4.32603.30000018041100392156300003444_9_512_512_\Osteo_Sarco_1.png","RPT")</f>
        <v>RPT</v>
      </c>
      <c r="G2854" s="3">
        <v>136</v>
      </c>
      <c r="H2854" s="3"/>
    </row>
    <row r="2855" spans="1:8" x14ac:dyDescent="0.3">
      <c r="A2855" s="2">
        <v>9004941</v>
      </c>
      <c r="B2855" s="2">
        <v>68</v>
      </c>
      <c r="C2855" s="2" t="s">
        <v>5</v>
      </c>
      <c r="D2855" s="2">
        <v>130</v>
      </c>
      <c r="E2855" s="2"/>
      <c r="F2855" s="4" t="str">
        <f>HYPERLINK("./Results/DLO\20180401_1.3.12.2.1107.5.1.4.32603.30000018041100392156300003090_6_512_512_\Osteo_Sarco_1.png","RPT")</f>
        <v>RPT</v>
      </c>
      <c r="G2855" s="3">
        <v>134</v>
      </c>
      <c r="H2855" s="3"/>
    </row>
    <row r="2856" spans="1:8" x14ac:dyDescent="0.3">
      <c r="A2856" s="2">
        <v>9004941</v>
      </c>
      <c r="B2856" s="2">
        <v>68</v>
      </c>
      <c r="C2856" s="2" t="s">
        <v>5</v>
      </c>
      <c r="D2856" s="2">
        <v>130</v>
      </c>
      <c r="E2856" s="2"/>
      <c r="F2856" s="4" t="str">
        <f>HYPERLINK("./Results/DLO\20180401_1.3.12.2.1107.5.1.4.32603.30000018041100392156300002932_4_512_512_\Osteo_Sarco_1.png","RPT")</f>
        <v>RPT</v>
      </c>
      <c r="G2856" s="3">
        <v>133</v>
      </c>
      <c r="H2856" s="3"/>
    </row>
    <row r="2857" spans="1:8" x14ac:dyDescent="0.3">
      <c r="A2857" s="2">
        <v>9004941</v>
      </c>
      <c r="B2857" s="2">
        <v>68</v>
      </c>
      <c r="C2857" s="2" t="s">
        <v>5</v>
      </c>
      <c r="D2857" s="2">
        <v>130</v>
      </c>
      <c r="E2857" s="2"/>
      <c r="F2857" s="4" t="str">
        <f>HYPERLINK("./Results/DLO\20180401_1.3.12.2.1107.5.1.4.32603.30000018041100392156300003011_5_512_512_\Osteo_Sarco_1.png","RPT")</f>
        <v>RPT</v>
      </c>
      <c r="G2857" s="3">
        <v>133</v>
      </c>
      <c r="H2857" s="3"/>
    </row>
    <row r="2858" spans="1:8" x14ac:dyDescent="0.3">
      <c r="A2858" s="2">
        <v>9005549</v>
      </c>
      <c r="B2858" s="2">
        <v>52</v>
      </c>
      <c r="C2858" s="2" t="s">
        <v>6</v>
      </c>
      <c r="D2858" s="2">
        <v>100</v>
      </c>
      <c r="E2858" s="2"/>
      <c r="F2858" s="4" t="str">
        <f>HYPERLINK("./Results/DLO\20180801_1.3.12.2.1107.5.1.4.54310.30000018080100141850000010687_2_512_512_\Osteo_Sarco_1.png","RPT")</f>
        <v>RPT</v>
      </c>
      <c r="G2858" s="3">
        <v>88</v>
      </c>
      <c r="H2858" s="3"/>
    </row>
    <row r="2859" spans="1:8" x14ac:dyDescent="0.3">
      <c r="A2859" s="2">
        <v>9005615</v>
      </c>
      <c r="B2859" s="2">
        <v>56</v>
      </c>
      <c r="C2859" s="2" t="s">
        <v>5</v>
      </c>
      <c r="D2859" s="2">
        <v>100</v>
      </c>
      <c r="E2859" s="2"/>
      <c r="F2859" s="4" t="str">
        <f>HYPERLINK("./Results/DLO\20180601_1.2.840.113619.2.416.108539495164853926490717002888298625987_302_512_512_\Osteo_Sarco_1.png","RPT")</f>
        <v>RPT</v>
      </c>
      <c r="G2859" s="3">
        <v>147</v>
      </c>
      <c r="H2859" s="3"/>
    </row>
    <row r="2860" spans="1:8" x14ac:dyDescent="0.3">
      <c r="A2860" s="2">
        <v>9005615</v>
      </c>
      <c r="B2860" s="2">
        <v>56</v>
      </c>
      <c r="C2860" s="2" t="s">
        <v>5</v>
      </c>
      <c r="D2860" s="2">
        <v>100</v>
      </c>
      <c r="E2860" s="2"/>
      <c r="F2860" s="4" t="str">
        <f>HYPERLINK("./Results/DLO\20180601_1.2.840.113619.2.416.10277551774599038985034936990122505850_301_512_512_\Osteo_Sarco_1.png","RPT")</f>
        <v>RPT</v>
      </c>
      <c r="G2860" s="3">
        <v>144</v>
      </c>
      <c r="H2860" s="3"/>
    </row>
    <row r="2861" spans="1:8" x14ac:dyDescent="0.3">
      <c r="A2861" s="2">
        <v>9005713</v>
      </c>
      <c r="B2861" s="2">
        <v>48</v>
      </c>
      <c r="C2861" s="2" t="s">
        <v>6</v>
      </c>
      <c r="D2861" s="2">
        <v>100</v>
      </c>
      <c r="E2861" s="2"/>
      <c r="F2861" s="4" t="str">
        <f>HYPERLINK("./Results/DLO\20180101_1.2.840.113619.2.94.485650834948.2.8620284.18593769.1_2_512_512_\Osteo_Sarco_1.png","RPT")</f>
        <v>RPT</v>
      </c>
      <c r="G2861" s="3">
        <v>100</v>
      </c>
      <c r="H2861" s="3"/>
    </row>
    <row r="2862" spans="1:8" x14ac:dyDescent="0.3">
      <c r="A2862" s="2">
        <v>9005746</v>
      </c>
      <c r="B2862" s="2">
        <v>51</v>
      </c>
      <c r="C2862" s="2" t="s">
        <v>6</v>
      </c>
      <c r="D2862" s="2">
        <v>100</v>
      </c>
      <c r="E2862" s="2"/>
      <c r="F2862" s="4" t="str">
        <f>HYPERLINK("./Results/DLO\20180801_1.2.840.113619.2.94.485650834948.2.8992257.19506121.1_2_512_512_\Osteo_Sarco_1.png","RPT")</f>
        <v>RPT</v>
      </c>
      <c r="G2862" s="3">
        <v>104</v>
      </c>
      <c r="H2862" s="3"/>
    </row>
    <row r="2863" spans="1:8" x14ac:dyDescent="0.3">
      <c r="A2863" s="2">
        <v>9005823</v>
      </c>
      <c r="B2863" s="2">
        <v>63</v>
      </c>
      <c r="C2863" s="2" t="s">
        <v>6</v>
      </c>
      <c r="D2863" s="2">
        <v>100</v>
      </c>
      <c r="E2863" s="2"/>
      <c r="F2863" s="4" t="str">
        <f>HYPERLINK("./Results/DLO\20180401_1.3.12.2.1107.5.1.4.65253.30000018042120041257300058298_7_512_512_\Osteo_Sarco_1.png","RPT")</f>
        <v>RPT</v>
      </c>
      <c r="G2863" s="3">
        <v>102</v>
      </c>
      <c r="H2863" s="3"/>
    </row>
    <row r="2864" spans="1:8" x14ac:dyDescent="0.3">
      <c r="A2864" s="2">
        <v>9005823</v>
      </c>
      <c r="B2864" s="2">
        <v>63</v>
      </c>
      <c r="C2864" s="2" t="s">
        <v>6</v>
      </c>
      <c r="D2864" s="2">
        <v>100</v>
      </c>
      <c r="E2864" s="2"/>
      <c r="F2864" s="4" t="str">
        <f>HYPERLINK("./Results/DLO\20180401_1.3.12.2.1107.5.1.4.65253.30000018042120041257300058547_9_512_512_\Osteo_Sarco_1.png","RPT")</f>
        <v>RPT</v>
      </c>
      <c r="G2864" s="3">
        <v>102</v>
      </c>
      <c r="H2864" s="3"/>
    </row>
    <row r="2865" spans="1:8" x14ac:dyDescent="0.3">
      <c r="A2865" s="2">
        <v>9005823</v>
      </c>
      <c r="B2865" s="2">
        <v>63</v>
      </c>
      <c r="C2865" s="2" t="s">
        <v>6</v>
      </c>
      <c r="D2865" s="2">
        <v>100</v>
      </c>
      <c r="E2865" s="2"/>
      <c r="F2865" s="4" t="str">
        <f>HYPERLINK("./Results/DLO\20180401_1.3.12.2.1107.5.1.4.65253.30000018042120041257300057848_5_512_512_\Osteo_Sarco_1.png","RPT")</f>
        <v>RPT</v>
      </c>
      <c r="G2865" s="3">
        <v>101</v>
      </c>
      <c r="H2865" s="3"/>
    </row>
    <row r="2866" spans="1:8" x14ac:dyDescent="0.3">
      <c r="A2866" s="2">
        <v>9005823</v>
      </c>
      <c r="B2866" s="2">
        <v>63</v>
      </c>
      <c r="C2866" s="2" t="s">
        <v>6</v>
      </c>
      <c r="D2866" s="2">
        <v>100</v>
      </c>
      <c r="E2866" s="2"/>
      <c r="F2866" s="4" t="str">
        <f>HYPERLINK("./Results/DLO\20180401_1.3.12.2.1107.5.1.4.65253.30000018042120041257300057765_2_512_512_\Osteo_Sarco_1.png","RPT")</f>
        <v>RPT</v>
      </c>
      <c r="G2866" s="3">
        <v>98</v>
      </c>
      <c r="H2866" s="3"/>
    </row>
    <row r="2867" spans="1:8" x14ac:dyDescent="0.3">
      <c r="A2867" s="2">
        <v>9005877</v>
      </c>
      <c r="B2867" s="2">
        <v>52</v>
      </c>
      <c r="C2867" s="2" t="s">
        <v>5</v>
      </c>
      <c r="D2867" s="2">
        <v>100</v>
      </c>
      <c r="E2867" s="2"/>
      <c r="F2867" s="4" t="str">
        <f>HYPERLINK("./Results/DLO\20180101_1.3.46.670589.33.1.63651957362174181200001.4795407560222357677_601_512_512_\Osteo_Sarco_1.png","RPT")</f>
        <v>RPT</v>
      </c>
      <c r="G2867" s="3">
        <v>153</v>
      </c>
      <c r="H2867" s="3"/>
    </row>
    <row r="2868" spans="1:8" x14ac:dyDescent="0.3">
      <c r="A2868" s="2">
        <v>9005942</v>
      </c>
      <c r="B2868" s="2">
        <v>51</v>
      </c>
      <c r="C2868" s="2" t="s">
        <v>5</v>
      </c>
      <c r="D2868" s="2">
        <v>120</v>
      </c>
      <c r="E2868" s="2"/>
      <c r="F2868" s="4" t="str">
        <f>HYPERLINK("./Results/DLO\20190101_1.2.840.113619.2.416.156368497399710772769259127856733677752_2_512_512_\Osteo_Sarco_1.png","RPT")</f>
        <v>RPT</v>
      </c>
      <c r="G2868" s="3">
        <v>164</v>
      </c>
      <c r="H2868" s="3"/>
    </row>
    <row r="2869" spans="1:8" x14ac:dyDescent="0.3">
      <c r="A2869" s="2">
        <v>9005942</v>
      </c>
      <c r="B2869" s="2">
        <v>51</v>
      </c>
      <c r="C2869" s="2" t="s">
        <v>5</v>
      </c>
      <c r="D2869" s="2">
        <v>140</v>
      </c>
      <c r="E2869" s="2"/>
      <c r="F2869" s="4" t="str">
        <f>HYPERLINK("./Results/DLO\20190101_1.2.840.113619.2.416.192909793917863076039924481329894043442_302_512_512_\Osteo_Sarco_1.png","RPT")</f>
        <v>RPT</v>
      </c>
      <c r="G2869" s="3">
        <v>151</v>
      </c>
      <c r="H2869" s="3"/>
    </row>
    <row r="2870" spans="1:8" x14ac:dyDescent="0.3">
      <c r="A2870" s="2">
        <v>9006224</v>
      </c>
      <c r="B2870" s="2">
        <v>54</v>
      </c>
      <c r="C2870" s="2" t="s">
        <v>6</v>
      </c>
      <c r="D2870" s="2">
        <v>100</v>
      </c>
      <c r="E2870" s="2"/>
      <c r="F2870" s="4" t="str">
        <f>HYPERLINK("./Results/DLO\20180801_1.3.12.2.1107.5.1.4.54310.30000018080523331884300010600_2_512_512_\Osteo_Sarco_1.png","RPT")</f>
        <v>RPT</v>
      </c>
      <c r="G2870" s="3">
        <v>114</v>
      </c>
      <c r="H2870" s="3"/>
    </row>
    <row r="2871" spans="1:8" x14ac:dyDescent="0.3">
      <c r="A2871" s="2">
        <v>9006270</v>
      </c>
      <c r="B2871" s="2">
        <v>77</v>
      </c>
      <c r="C2871" s="2" t="s">
        <v>5</v>
      </c>
      <c r="D2871" s="2">
        <v>120</v>
      </c>
      <c r="E2871" s="2"/>
      <c r="F2871" s="4" t="str">
        <f>HYPERLINK("./Results/DLO\20180201_1.2.392.200036.9116.2.5.1.37.2430416450.1517811323.429289_2_512_512_\Osteo_Sarco_1.png","RPT")</f>
        <v>RPT</v>
      </c>
      <c r="G2871" s="3">
        <v>116</v>
      </c>
      <c r="H2871" s="3"/>
    </row>
    <row r="2872" spans="1:8" x14ac:dyDescent="0.3">
      <c r="A2872" s="2">
        <v>9006270</v>
      </c>
      <c r="B2872" s="2">
        <v>77</v>
      </c>
      <c r="C2872" s="2" t="s">
        <v>5</v>
      </c>
      <c r="D2872" s="2">
        <v>120</v>
      </c>
      <c r="E2872" s="2"/>
      <c r="F2872" s="4" t="str">
        <f>HYPERLINK("./Results/DLO\20180201_1.2.392.200036.9116.2.5.1.37.2430416450.1517811644.704376_6_512_512_\Osteo_Sarco_1.png","RPT")</f>
        <v>RPT</v>
      </c>
      <c r="G2872" s="3">
        <v>116</v>
      </c>
      <c r="H2872" s="3"/>
    </row>
    <row r="2873" spans="1:8" x14ac:dyDescent="0.3">
      <c r="A2873" s="2">
        <v>9006270</v>
      </c>
      <c r="B2873" s="2">
        <v>77</v>
      </c>
      <c r="C2873" s="2" t="s">
        <v>5</v>
      </c>
      <c r="D2873" s="2">
        <v>120</v>
      </c>
      <c r="E2873" s="2"/>
      <c r="F2873" s="4" t="str">
        <f>HYPERLINK("./Results/DLO\20180201_1.2.392.200036.9116.2.5.1.37.2430416450.1517811493.683864_4_512_512_\Osteo_Sarco_1.png","RPT")</f>
        <v>RPT</v>
      </c>
      <c r="G2873" s="3">
        <v>112</v>
      </c>
      <c r="H2873" s="3"/>
    </row>
    <row r="2874" spans="1:8" x14ac:dyDescent="0.3">
      <c r="A2874" s="2">
        <v>9006270</v>
      </c>
      <c r="B2874" s="2">
        <v>77</v>
      </c>
      <c r="C2874" s="2" t="s">
        <v>5</v>
      </c>
      <c r="D2874" s="2">
        <v>120</v>
      </c>
      <c r="E2874" s="2"/>
      <c r="F2874" s="4" t="str">
        <f>HYPERLINK("./Results/DLO\20180201_1.2.392.200036.9116.2.5.1.37.2430416450.1517811568.561618_5_512_512_\Osteo_Sarco_1.png","RPT")</f>
        <v>RPT</v>
      </c>
      <c r="G2874" s="3">
        <v>112</v>
      </c>
      <c r="H2874" s="3"/>
    </row>
    <row r="2875" spans="1:8" x14ac:dyDescent="0.3">
      <c r="A2875" s="2">
        <v>9006602</v>
      </c>
      <c r="B2875" s="2">
        <v>54</v>
      </c>
      <c r="C2875" s="2" t="s">
        <v>6</v>
      </c>
      <c r="D2875" s="2">
        <v>140</v>
      </c>
      <c r="E2875" s="2"/>
      <c r="F2875" s="4" t="str">
        <f>HYPERLINK("./Results/DLO\20180701_1.2.840.113619.2.416.52898339157480214140526600251560252852_303_512_512_\Osteo_Sarco_1.png","RPT")</f>
        <v>RPT</v>
      </c>
      <c r="G2875" s="3">
        <v>102</v>
      </c>
      <c r="H2875" s="3"/>
    </row>
    <row r="2876" spans="1:8" x14ac:dyDescent="0.3">
      <c r="A2876" s="2">
        <v>9006602</v>
      </c>
      <c r="B2876" s="2">
        <v>54</v>
      </c>
      <c r="C2876" s="2" t="s">
        <v>6</v>
      </c>
      <c r="D2876" s="2">
        <v>140</v>
      </c>
      <c r="E2876" s="2"/>
      <c r="F2876" s="4" t="str">
        <f>HYPERLINK("./Results/DLO\20180701_1.2.840.113619.2.416.64288250998333458989894875832761641229_302_512_512_\Osteo_Sarco_1.png","RPT")</f>
        <v>RPT</v>
      </c>
      <c r="G2876" s="3">
        <v>101</v>
      </c>
      <c r="H2876" s="3"/>
    </row>
    <row r="2877" spans="1:8" x14ac:dyDescent="0.3">
      <c r="A2877" s="2">
        <v>9006753</v>
      </c>
      <c r="B2877" s="2">
        <v>77</v>
      </c>
      <c r="C2877" s="2" t="s">
        <v>5</v>
      </c>
      <c r="D2877" s="2">
        <v>100</v>
      </c>
      <c r="E2877" s="2"/>
      <c r="F2877" s="4" t="str">
        <f>HYPERLINK("./Results/DLO\20180101_1.2.840.113619.2.94.485650834948.2.8579014.18492188.1_2_512_512_\Osteo_Sarco_1.png","RPT")</f>
        <v>RPT</v>
      </c>
      <c r="G2877" s="3">
        <v>120</v>
      </c>
      <c r="H2877" s="3"/>
    </row>
    <row r="2878" spans="1:8" x14ac:dyDescent="0.3">
      <c r="A2878" s="2">
        <v>9006793</v>
      </c>
      <c r="B2878" s="2">
        <v>23</v>
      </c>
      <c r="C2878" s="2" t="s">
        <v>5</v>
      </c>
      <c r="D2878" s="2">
        <v>110</v>
      </c>
      <c r="E2878" s="2"/>
      <c r="F2878" s="4" t="str">
        <f>HYPERLINK("./Results/DLO\20180101_1.3.12.2.1107.5.1.4.43978.30000017111808145832800095805_2_512_512_\Osteo_Sarco_1.png","RPT")</f>
        <v>RPT</v>
      </c>
      <c r="G2878" s="3">
        <v>158</v>
      </c>
      <c r="H2878" s="3"/>
    </row>
    <row r="2879" spans="1:8" x14ac:dyDescent="0.3">
      <c r="A2879" s="2">
        <v>9006793</v>
      </c>
      <c r="B2879" s="2">
        <v>23</v>
      </c>
      <c r="C2879" s="2" t="s">
        <v>5</v>
      </c>
      <c r="D2879" s="2">
        <v>130</v>
      </c>
      <c r="E2879" s="2"/>
      <c r="F2879" s="4" t="str">
        <f>HYPERLINK("./Results/DLO\20180101_1.3.12.2.1107.5.1.4.43978.30000017111808145832800095911_4_512_512_\Osteo_Sarco_1.png","RPT")</f>
        <v>RPT</v>
      </c>
      <c r="G2879" s="3">
        <v>158</v>
      </c>
      <c r="H2879" s="3"/>
    </row>
    <row r="2880" spans="1:8" x14ac:dyDescent="0.3">
      <c r="A2880" s="2">
        <v>9006984</v>
      </c>
      <c r="B2880" s="2">
        <v>62</v>
      </c>
      <c r="C2880" s="2" t="s">
        <v>6</v>
      </c>
      <c r="D2880" s="2">
        <v>100</v>
      </c>
      <c r="E2880" s="2"/>
      <c r="F2880" s="4" t="str">
        <f>HYPERLINK("./Results/DLO\20190801_1.3.12.2.1107.5.1.4.54310.30000019080723041839000047422_7_512_512_\Osteo_Sarco_1.png","RPT")</f>
        <v>RPT</v>
      </c>
      <c r="G2880" s="3">
        <v>107</v>
      </c>
      <c r="H2880" s="3"/>
    </row>
    <row r="2881" spans="1:8" x14ac:dyDescent="0.3">
      <c r="A2881" s="2">
        <v>9007181</v>
      </c>
      <c r="B2881" s="2">
        <v>41</v>
      </c>
      <c r="C2881" s="2" t="s">
        <v>6</v>
      </c>
      <c r="D2881" s="2">
        <v>100</v>
      </c>
      <c r="E2881" s="2"/>
      <c r="F2881" s="4" t="str">
        <f>HYPERLINK("./Results/DLO\20180801_1.2.840.113619.2.94.485650834948.2.8999521.19524041.1_2_512_512_\Osteo_Sarco_1.png","RPT")</f>
        <v>RPT</v>
      </c>
      <c r="G2881" s="3">
        <v>119</v>
      </c>
      <c r="H2881" s="3"/>
    </row>
    <row r="2882" spans="1:8" x14ac:dyDescent="0.3">
      <c r="A2882" s="2">
        <v>9007487</v>
      </c>
      <c r="B2882" s="2">
        <v>60</v>
      </c>
      <c r="C2882" s="2" t="s">
        <v>5</v>
      </c>
      <c r="D2882" s="2">
        <v>100</v>
      </c>
      <c r="E2882" s="2"/>
      <c r="F2882" s="4" t="str">
        <f>HYPERLINK("./Results/DLO\20190301_1.3.12.2.1107.5.1.4.65253.30000019032320075768000015266_3_512_512_\Osteo_Sarco_1.png","RPT")</f>
        <v>RPT</v>
      </c>
      <c r="G2882" s="3">
        <v>147</v>
      </c>
      <c r="H2882" s="3"/>
    </row>
    <row r="2883" spans="1:8" x14ac:dyDescent="0.3">
      <c r="A2883" s="2">
        <v>9007487</v>
      </c>
      <c r="B2883" s="2">
        <v>60</v>
      </c>
      <c r="C2883" s="2" t="s">
        <v>5</v>
      </c>
      <c r="D2883" s="2">
        <v>100</v>
      </c>
      <c r="E2883" s="2"/>
      <c r="F2883" s="4" t="str">
        <f>HYPERLINK("./Results/DLO\20190301_1.3.12.2.1107.5.1.4.65253.30000019032320075768000015086_2_512_512_\Osteo_Sarco_1.png","RPT")</f>
        <v>RPT</v>
      </c>
      <c r="G2883" s="3">
        <v>146</v>
      </c>
      <c r="H2883" s="3"/>
    </row>
    <row r="2884" spans="1:8" x14ac:dyDescent="0.3">
      <c r="A2884" s="2">
        <v>9007728</v>
      </c>
      <c r="B2884" s="2">
        <v>66</v>
      </c>
      <c r="C2884" s="2" t="s">
        <v>5</v>
      </c>
      <c r="D2884" s="2">
        <v>100</v>
      </c>
      <c r="E2884" s="2"/>
      <c r="F2884" s="4" t="str">
        <f>HYPERLINK("./Results/DLO\20180901_1.3.12.2.1107.5.1.4.54310.30000018091023324887500007106_2_512_512_\Osteo_Sarco_1.png","RPT")</f>
        <v>RPT</v>
      </c>
      <c r="G2884" s="3">
        <v>140</v>
      </c>
      <c r="H2884" s="3"/>
    </row>
    <row r="2885" spans="1:8" x14ac:dyDescent="0.3">
      <c r="A2885" s="2">
        <v>9007773</v>
      </c>
      <c r="B2885" s="2">
        <v>54</v>
      </c>
      <c r="C2885" s="2" t="s">
        <v>5</v>
      </c>
      <c r="D2885" s="2">
        <v>120</v>
      </c>
      <c r="E2885" s="2"/>
      <c r="F2885" s="4" t="str">
        <f>HYPERLINK("./Results/DLO\20180101_1.2.410.100011.172.16.68.201.6365101806058368361.2_2_512_512_\Osteo_Sarco_1.png","RPT")</f>
        <v>RPT</v>
      </c>
      <c r="G2885" s="3">
        <v>167</v>
      </c>
      <c r="H2885" s="3"/>
    </row>
    <row r="2886" spans="1:8" x14ac:dyDescent="0.3">
      <c r="A2886" s="2">
        <v>9007773</v>
      </c>
      <c r="B2886" s="2">
        <v>54</v>
      </c>
      <c r="C2886" s="2" t="s">
        <v>5</v>
      </c>
      <c r="D2886" s="2">
        <v>120</v>
      </c>
      <c r="E2886" s="2"/>
      <c r="F2886" s="4" t="str">
        <f>HYPERLINK("./Results/DLO\20180101_1.2.410.100011.172.16.68.201.6365101806058368361.3_3_512_512_\Osteo_Sarco_1.png","RPT")</f>
        <v>RPT</v>
      </c>
      <c r="G2886" s="3">
        <v>166</v>
      </c>
      <c r="H2886" s="3"/>
    </row>
    <row r="2887" spans="1:8" x14ac:dyDescent="0.3">
      <c r="A2887" s="2">
        <v>9007773</v>
      </c>
      <c r="B2887" s="2">
        <v>54</v>
      </c>
      <c r="C2887" s="2" t="s">
        <v>5</v>
      </c>
      <c r="D2887" s="2">
        <v>120</v>
      </c>
      <c r="E2887" s="2"/>
      <c r="F2887" s="4" t="str">
        <f>HYPERLINK("./Results/DLO\20180101_1.2.410.100011.172.16.68.201.6365101806058368361.5_5_512_512_\Osteo_Sarco_1.png","RPT")</f>
        <v>RPT</v>
      </c>
      <c r="G2887" s="3">
        <v>166</v>
      </c>
      <c r="H2887" s="3"/>
    </row>
    <row r="2888" spans="1:8" x14ac:dyDescent="0.3">
      <c r="A2888" s="2">
        <v>9008184</v>
      </c>
      <c r="B2888" s="2">
        <v>50</v>
      </c>
      <c r="C2888" s="2" t="s">
        <v>5</v>
      </c>
      <c r="D2888" s="2">
        <v>100</v>
      </c>
      <c r="E2888" s="2"/>
      <c r="F2888" s="4" t="str">
        <f>HYPERLINK("./Results/DLO\20180601_1.3.12.2.1107.5.1.4.65253.30000018062519201171800065899_7_512_512_\Osteo_Sarco_1.png","RPT")</f>
        <v>RPT</v>
      </c>
      <c r="G2888" s="3">
        <v>131</v>
      </c>
      <c r="H2888" s="3"/>
    </row>
    <row r="2889" spans="1:8" x14ac:dyDescent="0.3">
      <c r="A2889" s="2">
        <v>9008184</v>
      </c>
      <c r="B2889" s="2">
        <v>50</v>
      </c>
      <c r="C2889" s="2" t="s">
        <v>5</v>
      </c>
      <c r="D2889" s="2">
        <v>100</v>
      </c>
      <c r="E2889" s="2"/>
      <c r="F2889" s="4" t="str">
        <f>HYPERLINK("./Results/DLO\20180601_1.3.12.2.1107.5.1.4.65253.30000018062519201171800066178_9_512_512_\Osteo_Sarco_1.png","RPT")</f>
        <v>RPT</v>
      </c>
      <c r="G2889" s="3">
        <v>131</v>
      </c>
      <c r="H2889" s="3"/>
    </row>
    <row r="2890" spans="1:8" x14ac:dyDescent="0.3">
      <c r="A2890" s="2">
        <v>9008184</v>
      </c>
      <c r="B2890" s="2">
        <v>50</v>
      </c>
      <c r="C2890" s="2" t="s">
        <v>5</v>
      </c>
      <c r="D2890" s="2">
        <v>100</v>
      </c>
      <c r="E2890" s="2"/>
      <c r="F2890" s="4" t="str">
        <f>HYPERLINK("./Results/DLO\20180601_1.3.12.2.1107.5.1.4.65253.30000018062519201171800065439_5_512_512_\Osteo_Sarco_1.png","RPT")</f>
        <v>RPT</v>
      </c>
      <c r="G2890" s="3">
        <v>127</v>
      </c>
      <c r="H2890" s="3"/>
    </row>
    <row r="2891" spans="1:8" x14ac:dyDescent="0.3">
      <c r="A2891" s="2">
        <v>9008184</v>
      </c>
      <c r="B2891" s="2">
        <v>50</v>
      </c>
      <c r="C2891" s="2" t="s">
        <v>5</v>
      </c>
      <c r="D2891" s="2">
        <v>100</v>
      </c>
      <c r="E2891" s="2"/>
      <c r="F2891" s="4" t="str">
        <f>HYPERLINK("./Results/DLO\20180601_1.3.12.2.1107.5.1.4.65253.30000018062519201171800065176_3_512_512_\Osteo_Sarco_1.png","RPT")</f>
        <v>RPT</v>
      </c>
      <c r="G2891" s="3">
        <v>126</v>
      </c>
      <c r="H2891" s="3"/>
    </row>
    <row r="2892" spans="1:8" x14ac:dyDescent="0.3">
      <c r="A2892" s="2">
        <v>9008531</v>
      </c>
      <c r="B2892" s="2">
        <v>50</v>
      </c>
      <c r="C2892" s="2" t="s">
        <v>6</v>
      </c>
      <c r="D2892" s="2">
        <v>100</v>
      </c>
      <c r="E2892" s="2"/>
      <c r="F2892" s="4" t="str">
        <f>HYPERLINK("./Results/DLO\20180801_1.2.840.113619.2.94.485650834948.2.8995077.19513158.1_2_512_512_\Osteo_Sarco_1.png","RPT")</f>
        <v>RPT</v>
      </c>
      <c r="G2892" s="3">
        <v>101</v>
      </c>
      <c r="H2892" s="3"/>
    </row>
    <row r="2893" spans="1:8" x14ac:dyDescent="0.3">
      <c r="A2893" s="2">
        <v>9008774</v>
      </c>
      <c r="B2893" s="2">
        <v>52</v>
      </c>
      <c r="C2893" s="2" t="s">
        <v>5</v>
      </c>
      <c r="D2893" s="2">
        <v>100</v>
      </c>
      <c r="E2893" s="2"/>
      <c r="F2893" s="4" t="str">
        <f>HYPERLINK("./Results/DLO\20190401_1.3.12.2.1107.5.1.4.65253.30000019042505363431300009040_3_512_512_\Osteo_Sarco_1.png","RPT")</f>
        <v>RPT</v>
      </c>
      <c r="G2893" s="3">
        <v>143</v>
      </c>
      <c r="H2893" s="3"/>
    </row>
    <row r="2894" spans="1:8" x14ac:dyDescent="0.3">
      <c r="A2894" s="2">
        <v>9008774</v>
      </c>
      <c r="B2894" s="2">
        <v>52</v>
      </c>
      <c r="C2894" s="2" t="s">
        <v>5</v>
      </c>
      <c r="D2894" s="2">
        <v>100</v>
      </c>
      <c r="E2894" s="2"/>
      <c r="F2894" s="4" t="str">
        <f>HYPERLINK("./Results/DLO\20190401_1.3.12.2.1107.5.1.4.65253.30000019042505363431300008886_2_512_512_\Osteo_Sarco_1.png","RPT")</f>
        <v>RPT</v>
      </c>
      <c r="G2894" s="3">
        <v>125</v>
      </c>
      <c r="H2894" s="3"/>
    </row>
    <row r="2895" spans="1:8" x14ac:dyDescent="0.3">
      <c r="A2895" s="2">
        <v>9008942</v>
      </c>
      <c r="B2895" s="2">
        <v>61</v>
      </c>
      <c r="C2895" s="2" t="s">
        <v>5</v>
      </c>
      <c r="D2895" s="2">
        <v>120</v>
      </c>
      <c r="E2895" s="2"/>
      <c r="F2895" s="4" t="str">
        <f>HYPERLINK("./Results/DLO\20190101_1.3.12.2.1107.5.1.4.54310.30000019010923263304600008836_7_512_512_\Osteo_Sarco_1.png","RPT")</f>
        <v>RPT</v>
      </c>
      <c r="G2895" s="3">
        <v>168</v>
      </c>
      <c r="H2895" s="3"/>
    </row>
    <row r="2896" spans="1:8" x14ac:dyDescent="0.3">
      <c r="A2896" s="2">
        <v>9008942</v>
      </c>
      <c r="B2896" s="2">
        <v>61</v>
      </c>
      <c r="C2896" s="2" t="s">
        <v>5</v>
      </c>
      <c r="D2896" s="2">
        <v>120</v>
      </c>
      <c r="E2896" s="2"/>
      <c r="F2896" s="4" t="str">
        <f>HYPERLINK("./Results/DLO\20190101_1.3.12.2.1107.5.1.4.54310.30000019010923263304600009121_9_512_512_\Osteo_Sarco_1.png","RPT")</f>
        <v>RPT</v>
      </c>
      <c r="G2896" s="3">
        <v>167</v>
      </c>
      <c r="H2896" s="3"/>
    </row>
    <row r="2897" spans="1:8" x14ac:dyDescent="0.3">
      <c r="A2897" s="2">
        <v>9008942</v>
      </c>
      <c r="B2897" s="2">
        <v>61</v>
      </c>
      <c r="C2897" s="2" t="s">
        <v>5</v>
      </c>
      <c r="D2897" s="2">
        <v>100</v>
      </c>
      <c r="E2897" s="2"/>
      <c r="F2897" s="4" t="str">
        <f>HYPERLINK("./Results/DLO\20190101_1.3.12.2.1107.5.1.4.54310.30000019010923263304600008359_3_512_512_\Osteo_Sarco_1.png","RPT")</f>
        <v>RPT</v>
      </c>
      <c r="G2897" s="3">
        <v>165</v>
      </c>
      <c r="H2897" s="3"/>
    </row>
    <row r="2898" spans="1:8" x14ac:dyDescent="0.3">
      <c r="A2898" s="2">
        <v>9008942</v>
      </c>
      <c r="B2898" s="2">
        <v>61</v>
      </c>
      <c r="C2898" s="2" t="s">
        <v>5</v>
      </c>
      <c r="D2898" s="2">
        <v>120</v>
      </c>
      <c r="E2898" s="2"/>
      <c r="F2898" s="4" t="str">
        <f>HYPERLINK("./Results/DLO\20190101_1.3.12.2.1107.5.1.4.54310.30000019010923263304600008455_5_512_512_\Osteo_Sarco_1.png","RPT")</f>
        <v>RPT</v>
      </c>
      <c r="G2898" s="3">
        <v>165</v>
      </c>
      <c r="H2898" s="3"/>
    </row>
    <row r="2899" spans="1:8" x14ac:dyDescent="0.3">
      <c r="A2899" s="2">
        <v>9009940</v>
      </c>
      <c r="B2899" s="2">
        <v>58</v>
      </c>
      <c r="C2899" s="2" t="s">
        <v>5</v>
      </c>
      <c r="D2899" s="2">
        <v>100</v>
      </c>
      <c r="E2899" s="2"/>
      <c r="F2899" s="4" t="str">
        <f>HYPERLINK("./Results/DLO\20180101_1.2.840.113619.2.416.275192118121543213622361560071275841048_2_512_512_\Osteo_Sarco_1.png","RPT")</f>
        <v>RPT</v>
      </c>
      <c r="G2899" s="3">
        <v>161</v>
      </c>
      <c r="H2899" s="3"/>
    </row>
    <row r="2900" spans="1:8" x14ac:dyDescent="0.3">
      <c r="A2900" s="2">
        <v>9010079</v>
      </c>
      <c r="B2900" s="2">
        <v>48</v>
      </c>
      <c r="C2900" s="2" t="s">
        <v>6</v>
      </c>
      <c r="D2900" s="2">
        <v>100</v>
      </c>
      <c r="E2900" s="2"/>
      <c r="F2900" s="4" t="str">
        <f>HYPERLINK("./Results/DLO\20190901_1.3.12.2.1107.5.1.4.54310.30000019090522532218700008565_7_512_512_\Osteo_Sarco_1.png","RPT")</f>
        <v>RPT</v>
      </c>
      <c r="G2900" s="3">
        <v>119</v>
      </c>
      <c r="H2900" s="3"/>
    </row>
    <row r="2901" spans="1:8" x14ac:dyDescent="0.3">
      <c r="A2901" s="2">
        <v>9010079</v>
      </c>
      <c r="B2901" s="2">
        <v>48</v>
      </c>
      <c r="C2901" s="2" t="s">
        <v>6</v>
      </c>
      <c r="D2901" s="2">
        <v>100</v>
      </c>
      <c r="E2901" s="2"/>
      <c r="F2901" s="4" t="str">
        <f>HYPERLINK("./Results/DLO\20190901_1.3.12.2.1107.5.1.4.54310.30000019090522532218700008831_9_512_512_\Osteo_Sarco_1.png","RPT")</f>
        <v>RPT</v>
      </c>
      <c r="G2901" s="3">
        <v>119</v>
      </c>
      <c r="H2901" s="3"/>
    </row>
    <row r="2902" spans="1:8" x14ac:dyDescent="0.3">
      <c r="A2902" s="2">
        <v>9010079</v>
      </c>
      <c r="B2902" s="2">
        <v>48</v>
      </c>
      <c r="C2902" s="2" t="s">
        <v>6</v>
      </c>
      <c r="D2902" s="2">
        <v>100</v>
      </c>
      <c r="E2902" s="2"/>
      <c r="F2902" s="4" t="str">
        <f>HYPERLINK("./Results/DLO\20190901_1.3.12.2.1107.5.1.4.54310.30000019090522532218700008223_5_512_512_\Osteo_Sarco_1.png","RPT")</f>
        <v>RPT</v>
      </c>
      <c r="G2902" s="3">
        <v>118</v>
      </c>
      <c r="H2902" s="3"/>
    </row>
    <row r="2903" spans="1:8" x14ac:dyDescent="0.3">
      <c r="A2903" s="2">
        <v>9010079</v>
      </c>
      <c r="B2903" s="2">
        <v>48</v>
      </c>
      <c r="C2903" s="2" t="s">
        <v>6</v>
      </c>
      <c r="D2903" s="2">
        <v>100</v>
      </c>
      <c r="E2903" s="2"/>
      <c r="F2903" s="4" t="str">
        <f>HYPERLINK("./Results/DLO\20190901_1.3.12.2.1107.5.1.4.54310.30000019090522532218700008137_3_512_512_\Osteo_Sarco_1.png","RPT")</f>
        <v>RPT</v>
      </c>
      <c r="G2903" s="3">
        <v>117</v>
      </c>
      <c r="H2903" s="3"/>
    </row>
    <row r="2904" spans="1:8" x14ac:dyDescent="0.3">
      <c r="A2904" s="2">
        <v>9010931</v>
      </c>
      <c r="B2904" s="2">
        <v>68</v>
      </c>
      <c r="C2904" s="2" t="s">
        <v>5</v>
      </c>
      <c r="D2904" s="2">
        <v>120</v>
      </c>
      <c r="E2904" s="2"/>
      <c r="F2904" s="4" t="str">
        <f>HYPERLINK("./Results/DLO\20180601_1.3.12.2.1107.5.1.4.54310.30000018062723123140600036205_9_512_512_\Osteo_Sarco_1.png","RPT")</f>
        <v>RPT</v>
      </c>
      <c r="G2904" s="3">
        <v>136</v>
      </c>
      <c r="H2904" s="3"/>
    </row>
    <row r="2905" spans="1:8" x14ac:dyDescent="0.3">
      <c r="A2905" s="2">
        <v>9010931</v>
      </c>
      <c r="B2905" s="2">
        <v>68</v>
      </c>
      <c r="C2905" s="2" t="s">
        <v>5</v>
      </c>
      <c r="D2905" s="2">
        <v>120</v>
      </c>
      <c r="E2905" s="2"/>
      <c r="F2905" s="4" t="str">
        <f>HYPERLINK("./Results/DLO\20180601_1.3.12.2.1107.5.1.4.54310.30000018062723123140600035937_7_512_512_\Osteo_Sarco_1.png","RPT")</f>
        <v>RPT</v>
      </c>
      <c r="G2905" s="3">
        <v>135</v>
      </c>
      <c r="H2905" s="3"/>
    </row>
    <row r="2906" spans="1:8" x14ac:dyDescent="0.3">
      <c r="A2906" s="2">
        <v>9010931</v>
      </c>
      <c r="B2906" s="2">
        <v>68</v>
      </c>
      <c r="C2906" s="2" t="s">
        <v>5</v>
      </c>
      <c r="D2906" s="2">
        <v>120</v>
      </c>
      <c r="E2906" s="2"/>
      <c r="F2906" s="4" t="str">
        <f>HYPERLINK("./Results/DLO\20180601_1.3.12.2.1107.5.1.4.54310.30000018062723123140600035604_5_512_512_\Osteo_Sarco_1.png","RPT")</f>
        <v>RPT</v>
      </c>
      <c r="G2906" s="3">
        <v>134</v>
      </c>
      <c r="H2906" s="3"/>
    </row>
    <row r="2907" spans="1:8" x14ac:dyDescent="0.3">
      <c r="A2907" s="2">
        <v>9010931</v>
      </c>
      <c r="B2907" s="2">
        <v>68</v>
      </c>
      <c r="C2907" s="2" t="s">
        <v>5</v>
      </c>
      <c r="D2907" s="2">
        <v>100</v>
      </c>
      <c r="E2907" s="2"/>
      <c r="F2907" s="4" t="str">
        <f>HYPERLINK("./Results/DLO\20180601_1.3.12.2.1107.5.1.4.54310.30000018062723123140600035520_3_512_512_\Osteo_Sarco_1.png","RPT")</f>
        <v>RPT</v>
      </c>
      <c r="G2907" s="3">
        <v>133</v>
      </c>
      <c r="H2907" s="3"/>
    </row>
    <row r="2908" spans="1:8" x14ac:dyDescent="0.3">
      <c r="A2908" s="2">
        <v>9014233</v>
      </c>
      <c r="B2908" s="2">
        <v>49</v>
      </c>
      <c r="C2908" s="2" t="s">
        <v>5</v>
      </c>
      <c r="D2908" s="2">
        <v>100</v>
      </c>
      <c r="E2908" s="2"/>
      <c r="F2908" s="4" t="str">
        <f>HYPERLINK("./Results/DLO\20190401_1.3.12.2.1107.5.1.4.65253.30000019042221032679800063955_2_512_512_\Osteo_Sarco_1.png","RPT")</f>
        <v>RPT</v>
      </c>
      <c r="G2908" s="3">
        <v>141</v>
      </c>
      <c r="H2908" s="3"/>
    </row>
    <row r="2909" spans="1:8" x14ac:dyDescent="0.3">
      <c r="A2909" s="2">
        <v>9014233</v>
      </c>
      <c r="B2909" s="2">
        <v>49</v>
      </c>
      <c r="C2909" s="2" t="s">
        <v>5</v>
      </c>
      <c r="D2909" s="2">
        <v>100</v>
      </c>
      <c r="E2909" s="2"/>
      <c r="F2909" s="4" t="str">
        <f>HYPERLINK("./Results/DLO\20190401_1.3.12.2.1107.5.1.4.65253.30000019042221032679800064121_3_512_512_\Osteo_Sarco_1.png","RPT")</f>
        <v>RPT</v>
      </c>
      <c r="G2909" s="3">
        <v>141</v>
      </c>
      <c r="H2909" s="3"/>
    </row>
    <row r="2910" spans="1:8" x14ac:dyDescent="0.3">
      <c r="A2910" s="2">
        <v>9016462</v>
      </c>
      <c r="B2910" s="2">
        <v>67</v>
      </c>
      <c r="C2910" s="2" t="s">
        <v>6</v>
      </c>
      <c r="D2910" s="2">
        <v>120</v>
      </c>
      <c r="E2910" s="2"/>
      <c r="F2910" s="4" t="str">
        <f>HYPERLINK("./Results/DLO\20190401_1.2.410.100011.172.16.68.114.6369782892688550201.4_4_512_512_\Osteo_Sarco_1.png","RPT")</f>
        <v>RPT</v>
      </c>
      <c r="G2910" s="3">
        <v>119</v>
      </c>
      <c r="H2910" s="3"/>
    </row>
    <row r="2911" spans="1:8" x14ac:dyDescent="0.3">
      <c r="A2911" s="2">
        <v>9016462</v>
      </c>
      <c r="B2911" s="2">
        <v>67</v>
      </c>
      <c r="C2911" s="2" t="s">
        <v>6</v>
      </c>
      <c r="D2911" s="2">
        <v>120</v>
      </c>
      <c r="E2911" s="2"/>
      <c r="F2911" s="4" t="str">
        <f>HYPERLINK("./Results/DLO\20190401_1.2.410.100011.172.16.68.114.6369782892688550201.5_5_512_512_\Osteo_Sarco_1.png","RPT")</f>
        <v>RPT</v>
      </c>
      <c r="G2911" s="3">
        <v>118</v>
      </c>
      <c r="H2911" s="3"/>
    </row>
    <row r="2912" spans="1:8" x14ac:dyDescent="0.3">
      <c r="A2912" s="2">
        <v>9016462</v>
      </c>
      <c r="B2912" s="2">
        <v>67</v>
      </c>
      <c r="C2912" s="2" t="s">
        <v>6</v>
      </c>
      <c r="D2912" s="2">
        <v>120</v>
      </c>
      <c r="E2912" s="2"/>
      <c r="F2912" s="4" t="str">
        <f>HYPERLINK("./Results/DLO\20190401_1.2.410.100011.172.16.68.114.6369782892688550201.3_3_512_512_\Osteo_Sarco_1.png","RPT")</f>
        <v>RPT</v>
      </c>
      <c r="G2912" s="3">
        <v>113</v>
      </c>
      <c r="H2912" s="3"/>
    </row>
    <row r="2913" spans="1:8" x14ac:dyDescent="0.3">
      <c r="A2913" s="2">
        <v>9016462</v>
      </c>
      <c r="B2913" s="2">
        <v>66</v>
      </c>
      <c r="C2913" s="2" t="s">
        <v>6</v>
      </c>
      <c r="D2913" s="2">
        <v>140</v>
      </c>
      <c r="E2913" s="2"/>
      <c r="F2913" s="4" t="str">
        <f>HYPERLINK("./Results/DLO\20180401_1.2.840.113619.2.416.147547523624704393994572793784030796510_304_512_512_\Osteo_Sarco_1.png","RPT")</f>
        <v>RPT</v>
      </c>
      <c r="G2913" s="3">
        <v>103</v>
      </c>
      <c r="H2913" s="3"/>
    </row>
    <row r="2914" spans="1:8" x14ac:dyDescent="0.3">
      <c r="A2914" s="2">
        <v>9016462</v>
      </c>
      <c r="B2914" s="2">
        <v>66</v>
      </c>
      <c r="C2914" s="2" t="s">
        <v>6</v>
      </c>
      <c r="D2914" s="2">
        <v>140</v>
      </c>
      <c r="E2914" s="2"/>
      <c r="F2914" s="4" t="str">
        <f>HYPERLINK("./Results/DLO\20180401_1.2.840.113619.2.416.88611845847429583076009485872747988695_2_512_512_\Osteo_Sarco_1.png","RPT")</f>
        <v>RPT</v>
      </c>
      <c r="G2914" s="3">
        <v>103</v>
      </c>
      <c r="H2914" s="3"/>
    </row>
    <row r="2915" spans="1:8" x14ac:dyDescent="0.3">
      <c r="A2915" s="2">
        <v>9016462</v>
      </c>
      <c r="B2915" s="2">
        <v>66</v>
      </c>
      <c r="C2915" s="2" t="s">
        <v>6</v>
      </c>
      <c r="D2915" s="2">
        <v>140</v>
      </c>
      <c r="E2915" s="2"/>
      <c r="F2915" s="4" t="str">
        <f>HYPERLINK("./Results/DLO\20180401_1.2.840.113619.2.416.196525983875407804370304445040004007248_308_512_512_\Osteo_Sarco_1.png","RPT")</f>
        <v>RPT</v>
      </c>
      <c r="G2915" s="3">
        <v>88</v>
      </c>
      <c r="H2915" s="3"/>
    </row>
    <row r="2916" spans="1:8" x14ac:dyDescent="0.3">
      <c r="A2916" s="2">
        <v>9016733</v>
      </c>
      <c r="B2916" s="2">
        <v>45</v>
      </c>
      <c r="C2916" s="2" t="s">
        <v>6</v>
      </c>
      <c r="D2916" s="2">
        <v>100</v>
      </c>
      <c r="E2916" s="2"/>
      <c r="F2916" s="4" t="str">
        <f>HYPERLINK("./Results/DLO\20180401_1.2.840.113619.2.94.485650834948.2.8798029.19029189.1_2_512_512_\Osteo_Sarco_1.png","RPT")</f>
        <v>RPT</v>
      </c>
      <c r="G2916" s="3">
        <v>113</v>
      </c>
      <c r="H2916" s="3"/>
    </row>
    <row r="2917" spans="1:8" x14ac:dyDescent="0.3">
      <c r="A2917" s="2">
        <v>9019142</v>
      </c>
      <c r="B2917" s="2">
        <v>49</v>
      </c>
      <c r="C2917" s="2" t="s">
        <v>5</v>
      </c>
      <c r="D2917" s="2">
        <v>100</v>
      </c>
      <c r="E2917" s="2"/>
      <c r="F2917" s="4" t="str">
        <f>HYPERLINK("./Results/DLO\20180901_1.3.12.2.1107.5.1.4.65253.30000018090119141895000015270_2_512_512_\Osteo_Sarco_1.png","RPT")</f>
        <v>RPT</v>
      </c>
      <c r="G2917" s="3">
        <v>172</v>
      </c>
      <c r="H2917" s="3"/>
    </row>
    <row r="2918" spans="1:8" x14ac:dyDescent="0.3">
      <c r="A2918" s="2">
        <v>9019142</v>
      </c>
      <c r="B2918" s="2">
        <v>49</v>
      </c>
      <c r="C2918" s="2" t="s">
        <v>5</v>
      </c>
      <c r="D2918" s="2">
        <v>100</v>
      </c>
      <c r="E2918" s="2"/>
      <c r="F2918" s="4" t="str">
        <f>HYPERLINK("./Results/DLO\20180901_1.3.12.2.1107.5.1.4.65253.30000018090119141895000015450_3_512_512_\Osteo_Sarco_1.png","RPT")</f>
        <v>RPT</v>
      </c>
      <c r="G2918" s="3">
        <v>172</v>
      </c>
      <c r="H2918" s="3"/>
    </row>
    <row r="2919" spans="1:8" x14ac:dyDescent="0.3">
      <c r="A2919" s="2">
        <v>9019431</v>
      </c>
      <c r="B2919" s="2">
        <v>71</v>
      </c>
      <c r="C2919" s="2" t="s">
        <v>5</v>
      </c>
      <c r="D2919" s="2">
        <v>100</v>
      </c>
      <c r="E2919" s="2"/>
      <c r="F2919" s="4" t="str">
        <f>HYPERLINK("./Results/DLO\20190801_1.3.12.2.1107.5.1.4.54310.30000019081822233132800006767_7_512_512_\Osteo_Sarco_1.png","RPT")</f>
        <v>RPT</v>
      </c>
      <c r="G2919" s="3">
        <v>132</v>
      </c>
      <c r="H2919" s="3"/>
    </row>
    <row r="2920" spans="1:8" x14ac:dyDescent="0.3">
      <c r="A2920" s="2">
        <v>9019431</v>
      </c>
      <c r="B2920" s="2">
        <v>71</v>
      </c>
      <c r="C2920" s="2" t="s">
        <v>5</v>
      </c>
      <c r="D2920" s="2">
        <v>100</v>
      </c>
      <c r="E2920" s="2"/>
      <c r="F2920" s="4" t="str">
        <f>HYPERLINK("./Results/DLO\20190801_1.3.12.2.1107.5.1.4.54310.30000019081822233132800007046_9_512_512_\Osteo_Sarco_1.png","RPT")</f>
        <v>RPT</v>
      </c>
      <c r="G2920" s="3">
        <v>132</v>
      </c>
      <c r="H2920" s="3"/>
    </row>
    <row r="2921" spans="1:8" x14ac:dyDescent="0.3">
      <c r="A2921" s="2">
        <v>9019431</v>
      </c>
      <c r="B2921" s="2">
        <v>71</v>
      </c>
      <c r="C2921" s="2" t="s">
        <v>5</v>
      </c>
      <c r="D2921" s="2">
        <v>100</v>
      </c>
      <c r="E2921" s="2"/>
      <c r="F2921" s="4" t="str">
        <f>HYPERLINK("./Results/DLO\20190801_1.3.12.2.1107.5.1.4.54310.30000019081822233132800006409_5_512_512_\Osteo_Sarco_1.png","RPT")</f>
        <v>RPT</v>
      </c>
      <c r="G2921" s="3">
        <v>130</v>
      </c>
      <c r="H2921" s="3"/>
    </row>
    <row r="2922" spans="1:8" x14ac:dyDescent="0.3">
      <c r="A2922" s="2">
        <v>9019431</v>
      </c>
      <c r="B2922" s="2">
        <v>71</v>
      </c>
      <c r="C2922" s="2" t="s">
        <v>5</v>
      </c>
      <c r="D2922" s="2">
        <v>100</v>
      </c>
      <c r="E2922" s="2"/>
      <c r="F2922" s="4" t="str">
        <f>HYPERLINK("./Results/DLO\20190801_1.3.12.2.1107.5.1.4.54310.30000019081822233132800006318_3_512_512_\Osteo_Sarco_1.png","RPT")</f>
        <v>RPT</v>
      </c>
      <c r="G2922" s="3">
        <v>128</v>
      </c>
      <c r="H2922" s="3"/>
    </row>
    <row r="2923" spans="1:8" x14ac:dyDescent="0.3">
      <c r="A2923" s="2">
        <v>9019512</v>
      </c>
      <c r="B2923" s="2">
        <v>57</v>
      </c>
      <c r="C2923" s="2" t="s">
        <v>5</v>
      </c>
      <c r="D2923" s="2">
        <v>100</v>
      </c>
      <c r="E2923" s="2"/>
      <c r="F2923" s="4" t="str">
        <f>HYPERLINK("./Results/DLO\20180801_1.3.46.670589.33.1.63669495324014819500001.5708848782296969758_201_512_512_\Osteo_Sarco_1.png","RPT")</f>
        <v>RPT</v>
      </c>
      <c r="G2923" s="3">
        <v>164</v>
      </c>
      <c r="H2923" s="3"/>
    </row>
    <row r="2924" spans="1:8" x14ac:dyDescent="0.3">
      <c r="A2924" s="2">
        <v>9020569</v>
      </c>
      <c r="B2924" s="2">
        <v>70</v>
      </c>
      <c r="C2924" s="2" t="s">
        <v>5</v>
      </c>
      <c r="D2924" s="2">
        <v>120</v>
      </c>
      <c r="E2924" s="2"/>
      <c r="F2924" s="4" t="str">
        <f>HYPERLINK("./Results/DLO\20180901_1.3.12.2.1107.5.1.4.54310.30000018090523113204600026700_9_512_512_\Osteo_Sarco_1.png","RPT")</f>
        <v>RPT</v>
      </c>
      <c r="G2924" s="3">
        <v>112</v>
      </c>
      <c r="H2924" s="3"/>
    </row>
    <row r="2925" spans="1:8" x14ac:dyDescent="0.3">
      <c r="A2925" s="2">
        <v>9020569</v>
      </c>
      <c r="B2925" s="2">
        <v>70</v>
      </c>
      <c r="C2925" s="2" t="s">
        <v>5</v>
      </c>
      <c r="D2925" s="2">
        <v>120</v>
      </c>
      <c r="E2925" s="2"/>
      <c r="F2925" s="4" t="str">
        <f>HYPERLINK("./Results/DLO\20180901_1.3.12.2.1107.5.1.4.54310.30000018090523113204600026092_5_512_512_\Osteo_Sarco_1.png","RPT")</f>
        <v>RPT</v>
      </c>
      <c r="G2925" s="3">
        <v>109</v>
      </c>
      <c r="H2925" s="3"/>
    </row>
    <row r="2926" spans="1:8" x14ac:dyDescent="0.3">
      <c r="A2926" s="2">
        <v>9020569</v>
      </c>
      <c r="B2926" s="2">
        <v>70</v>
      </c>
      <c r="C2926" s="2" t="s">
        <v>5</v>
      </c>
      <c r="D2926" s="2">
        <v>120</v>
      </c>
      <c r="E2926" s="2"/>
      <c r="F2926" s="4" t="str">
        <f>HYPERLINK("./Results/DLO\20180901_1.3.12.2.1107.5.1.4.54310.30000018090523113204600026425_7_512_512_\Osteo_Sarco_1.png","RPT")</f>
        <v>RPT</v>
      </c>
      <c r="G2926" s="3">
        <v>109</v>
      </c>
      <c r="H2926" s="3"/>
    </row>
    <row r="2927" spans="1:8" x14ac:dyDescent="0.3">
      <c r="A2927" s="2">
        <v>9020569</v>
      </c>
      <c r="B2927" s="2">
        <v>70</v>
      </c>
      <c r="C2927" s="2" t="s">
        <v>5</v>
      </c>
      <c r="D2927" s="2">
        <v>100</v>
      </c>
      <c r="E2927" s="2"/>
      <c r="F2927" s="4" t="str">
        <f>HYPERLINK("./Results/DLO\20180901_1.3.12.2.1107.5.1.4.54310.30000018090523113204600026008_3_512_512_\Osteo_Sarco_1.png","RPT")</f>
        <v>RPT</v>
      </c>
      <c r="G2927" s="3">
        <v>107</v>
      </c>
      <c r="H2927" s="3"/>
    </row>
    <row r="2928" spans="1:8" x14ac:dyDescent="0.3">
      <c r="A2928" s="2">
        <v>9023220</v>
      </c>
      <c r="B2928" s="2">
        <v>68</v>
      </c>
      <c r="C2928" s="2" t="s">
        <v>6</v>
      </c>
      <c r="D2928" s="2">
        <v>140</v>
      </c>
      <c r="E2928" s="2"/>
      <c r="F2928" s="4" t="str">
        <f>HYPERLINK("./Results/DLO\20180701_1.2.840.113619.2.416.200333663771346013140289057146049484139_302_512_512_\Osteo_Sarco_1.png","RPT")</f>
        <v>RPT</v>
      </c>
      <c r="G2928" s="3">
        <v>111</v>
      </c>
      <c r="H2928" s="3"/>
    </row>
    <row r="2929" spans="1:8" x14ac:dyDescent="0.3">
      <c r="A2929" s="2">
        <v>9023220</v>
      </c>
      <c r="B2929" s="2">
        <v>68</v>
      </c>
      <c r="C2929" s="2" t="s">
        <v>6</v>
      </c>
      <c r="D2929" s="2">
        <v>140</v>
      </c>
      <c r="E2929" s="2"/>
      <c r="F2929" s="4" t="str">
        <f>HYPERLINK("./Results/DLO\20180701_1.2.840.113619.2.416.186606319220972980744738501497708544948_303_512_512_\Osteo_Sarco_1.png","RPT")</f>
        <v>RPT</v>
      </c>
      <c r="G2929" s="3">
        <v>104</v>
      </c>
      <c r="H2929" s="3"/>
    </row>
    <row r="2930" spans="1:8" x14ac:dyDescent="0.3">
      <c r="A2930" s="2">
        <v>9032217</v>
      </c>
      <c r="B2930" s="2">
        <v>44</v>
      </c>
      <c r="C2930" s="2" t="s">
        <v>6</v>
      </c>
      <c r="D2930" s="2">
        <v>100</v>
      </c>
      <c r="E2930" s="2"/>
      <c r="F2930" s="4" t="str">
        <f>HYPERLINK("./Results/DLO\20180201_1.3.12.2.1107.5.1.4.54310.30000018021323092489000035901_2_512_512_\Osteo_Sarco_1.png","RPT")</f>
        <v>RPT</v>
      </c>
      <c r="G2930" s="3">
        <v>95</v>
      </c>
      <c r="H2930" s="3"/>
    </row>
    <row r="2931" spans="1:8" x14ac:dyDescent="0.3">
      <c r="A2931" s="2">
        <v>9036035</v>
      </c>
      <c r="B2931" s="2">
        <v>65</v>
      </c>
      <c r="C2931" s="2" t="s">
        <v>6</v>
      </c>
      <c r="D2931" s="2">
        <v>100</v>
      </c>
      <c r="E2931" s="2"/>
      <c r="F2931" s="4" t="str">
        <f>HYPERLINK("./Results/DLO\20190101_1.3.12.2.1107.5.1.4.65253.30000019010721143784700057030_3_512_512_\Osteo_Sarco_1.png","RPT")</f>
        <v>RPT</v>
      </c>
      <c r="G2931" s="3">
        <v>85</v>
      </c>
      <c r="H2931" s="3"/>
    </row>
    <row r="2932" spans="1:8" x14ac:dyDescent="0.3">
      <c r="A2932" s="2">
        <v>9036035</v>
      </c>
      <c r="B2932" s="2">
        <v>65</v>
      </c>
      <c r="C2932" s="2" t="s">
        <v>6</v>
      </c>
      <c r="D2932" s="2">
        <v>100</v>
      </c>
      <c r="E2932" s="2"/>
      <c r="F2932" s="4" t="str">
        <f>HYPERLINK("./Results/DLO\20190101_1.3.12.2.1107.5.1.4.65253.30000019010721143784700056882_2_512_512_\Osteo_Sarco_1.png","RPT")</f>
        <v>RPT</v>
      </c>
      <c r="G2932" s="3">
        <v>84</v>
      </c>
      <c r="H2932" s="3"/>
    </row>
    <row r="2933" spans="1:8" x14ac:dyDescent="0.3">
      <c r="A2933" s="2">
        <v>9050363</v>
      </c>
      <c r="B2933" s="2">
        <v>61</v>
      </c>
      <c r="C2933" s="2" t="s">
        <v>5</v>
      </c>
      <c r="D2933" s="2">
        <v>120</v>
      </c>
      <c r="E2933" s="2"/>
      <c r="F2933" s="4" t="str">
        <f>HYPERLINK("./Results/DLO\20190601_1.3.12.2.1107.5.1.4.54310.30000019061322155054600014521_5_512_512_\Osteo_Sarco_1.png","RPT")</f>
        <v>RPT</v>
      </c>
      <c r="G2933" s="3">
        <v>155</v>
      </c>
      <c r="H2933" s="3"/>
    </row>
    <row r="2934" spans="1:8" x14ac:dyDescent="0.3">
      <c r="A2934" s="2">
        <v>9050363</v>
      </c>
      <c r="B2934" s="2">
        <v>61</v>
      </c>
      <c r="C2934" s="2" t="s">
        <v>5</v>
      </c>
      <c r="D2934" s="2">
        <v>120</v>
      </c>
      <c r="E2934" s="2"/>
      <c r="F2934" s="4" t="str">
        <f>HYPERLINK("./Results/DLO\20190601_1.3.12.2.1107.5.1.4.54310.30000019061322155054600015210_9_512_512_\Osteo_Sarco_1.png","RPT")</f>
        <v>RPT</v>
      </c>
      <c r="G2934" s="3">
        <v>155</v>
      </c>
      <c r="H2934" s="3"/>
    </row>
    <row r="2935" spans="1:8" x14ac:dyDescent="0.3">
      <c r="A2935" s="2">
        <v>9050363</v>
      </c>
      <c r="B2935" s="2">
        <v>61</v>
      </c>
      <c r="C2935" s="2" t="s">
        <v>5</v>
      </c>
      <c r="D2935" s="2">
        <v>100</v>
      </c>
      <c r="E2935" s="2"/>
      <c r="F2935" s="4" t="str">
        <f>HYPERLINK("./Results/DLO\20190601_1.3.12.2.1107.5.1.4.54310.30000019061322155054600014422_3_512_512_\Osteo_Sarco_1.png","RPT")</f>
        <v>RPT</v>
      </c>
      <c r="G2935" s="3">
        <v>152</v>
      </c>
      <c r="H2935" s="3"/>
    </row>
    <row r="2936" spans="1:8" x14ac:dyDescent="0.3">
      <c r="A2936" s="2">
        <v>9085933</v>
      </c>
      <c r="B2936" s="2">
        <v>24</v>
      </c>
      <c r="C2936" s="2" t="s">
        <v>6</v>
      </c>
      <c r="D2936" s="2">
        <v>100</v>
      </c>
      <c r="E2936" s="2"/>
      <c r="F2936" s="4" t="str">
        <f>HYPERLINK("./Results/DLO\20190901_1.3.12.2.1107.5.1.4.54310.30000019091621180282800082609_2_512_512_\Osteo_Sarco_1.png","RPT")</f>
        <v>RPT</v>
      </c>
      <c r="G2936" s="3">
        <v>128</v>
      </c>
      <c r="H2936" s="3"/>
    </row>
    <row r="2937" spans="1:8" x14ac:dyDescent="0.3">
      <c r="A2937" s="2">
        <v>9085933</v>
      </c>
      <c r="B2937" s="2">
        <v>24</v>
      </c>
      <c r="C2937" s="2" t="s">
        <v>6</v>
      </c>
      <c r="D2937" s="2">
        <v>100</v>
      </c>
      <c r="E2937" s="2"/>
      <c r="F2937" s="4" t="str">
        <f>HYPERLINK("./Results/DLO\20190901_1.3.12.2.1107.5.1.4.54310.30000019091621180282800082701_5_512_512_\Osteo_Sarco_1.png","RPT")</f>
        <v>RPT</v>
      </c>
      <c r="G2937" s="3">
        <v>128</v>
      </c>
      <c r="H2937" s="3"/>
    </row>
    <row r="2938" spans="1:8" x14ac:dyDescent="0.3">
      <c r="A2938" s="2">
        <v>9085933</v>
      </c>
      <c r="B2938" s="2">
        <v>24</v>
      </c>
      <c r="C2938" s="2" t="s">
        <v>6</v>
      </c>
      <c r="D2938" s="2">
        <v>100</v>
      </c>
      <c r="E2938" s="2"/>
      <c r="F2938" s="4" t="str">
        <f>HYPERLINK("./Results/DLO\20190901_1.3.12.2.1107.5.1.4.54310.30000019091621180282800083045_7_512_512_\Osteo_Sarco_1.png","RPT")</f>
        <v>RPT</v>
      </c>
      <c r="G2938" s="3">
        <v>128</v>
      </c>
      <c r="H2938" s="3"/>
    </row>
    <row r="2939" spans="1:8" x14ac:dyDescent="0.3">
      <c r="A2939" s="2">
        <v>9085933</v>
      </c>
      <c r="B2939" s="2">
        <v>24</v>
      </c>
      <c r="C2939" s="2" t="s">
        <v>6</v>
      </c>
      <c r="D2939" s="2">
        <v>100</v>
      </c>
      <c r="E2939" s="2"/>
      <c r="F2939" s="4" t="str">
        <f>HYPERLINK("./Results/DLO\20190901_1.3.12.2.1107.5.1.4.54310.30000019091621180282800083298_9_512_512_\Osteo_Sarco_1.png","RPT")</f>
        <v>RPT</v>
      </c>
      <c r="G2939" s="3">
        <v>128</v>
      </c>
      <c r="H2939" s="3"/>
    </row>
    <row r="2940" spans="1:8" x14ac:dyDescent="0.3">
      <c r="A2940" s="2">
        <v>9092368</v>
      </c>
      <c r="B2940" s="2">
        <v>45</v>
      </c>
      <c r="C2940" s="2" t="s">
        <v>6</v>
      </c>
      <c r="D2940" s="2">
        <v>100</v>
      </c>
      <c r="E2940" s="2"/>
      <c r="F2940" s="4" t="str">
        <f>HYPERLINK("./Results/DLO\20190701_1.3.12.2.1107.5.1.4.54310.30000019071823200842100039763_3_512_512_\Osteo_Sarco_1.png","RPT")</f>
        <v>RPT</v>
      </c>
      <c r="G2940" s="3">
        <v>132</v>
      </c>
      <c r="H2940" s="3"/>
    </row>
    <row r="2941" spans="1:8" x14ac:dyDescent="0.3">
      <c r="A2941" s="2">
        <v>9092368</v>
      </c>
      <c r="B2941" s="2">
        <v>45</v>
      </c>
      <c r="C2941" s="2" t="s">
        <v>6</v>
      </c>
      <c r="D2941" s="2">
        <v>100</v>
      </c>
      <c r="E2941" s="2"/>
      <c r="F2941" s="4" t="str">
        <f>HYPERLINK("./Results/DLO\20190701_1.3.12.2.1107.5.1.4.54310.30000019071823200842100039597_2_512_512_\Osteo_Sarco_1.png","RPT")</f>
        <v>RPT</v>
      </c>
      <c r="G2941" s="3">
        <v>131</v>
      </c>
      <c r="H2941" s="3"/>
    </row>
    <row r="2942" spans="1:8" x14ac:dyDescent="0.3">
      <c r="A2942" s="2">
        <v>9145432</v>
      </c>
      <c r="B2942" s="2">
        <v>39</v>
      </c>
      <c r="C2942" s="2" t="s">
        <v>5</v>
      </c>
      <c r="D2942" s="2">
        <v>100</v>
      </c>
      <c r="E2942" s="2"/>
      <c r="F2942" s="4" t="str">
        <f>HYPERLINK("./Results/DLO\20190201_1.2.840.113619.2.416.11260384073100089246209532193487332438_304_512_512_\Osteo_Sarco_1.png","RPT")</f>
        <v>RPT</v>
      </c>
      <c r="G2942" s="3">
        <v>166</v>
      </c>
      <c r="H2942" s="3"/>
    </row>
    <row r="2943" spans="1:8" x14ac:dyDescent="0.3">
      <c r="A2943" s="2">
        <v>9145432</v>
      </c>
      <c r="B2943" s="2">
        <v>39</v>
      </c>
      <c r="C2943" s="2" t="s">
        <v>5</v>
      </c>
      <c r="D2943" s="2">
        <v>100</v>
      </c>
      <c r="E2943" s="2"/>
      <c r="F2943" s="4" t="str">
        <f>HYPERLINK("./Results/DLO\20190201_1.2.840.113619.2.416.286444429103534874309391188281848041470_2_512_512_\Osteo_Sarco_1.png","RPT")</f>
        <v>RPT</v>
      </c>
      <c r="G2943" s="3">
        <v>164</v>
      </c>
      <c r="H2943" s="3"/>
    </row>
    <row r="2944" spans="1:8" x14ac:dyDescent="0.3">
      <c r="A2944" s="2">
        <v>9261678</v>
      </c>
      <c r="B2944" s="2">
        <v>50</v>
      </c>
      <c r="C2944" s="2" t="s">
        <v>5</v>
      </c>
      <c r="D2944" s="2">
        <v>100</v>
      </c>
      <c r="E2944" s="2"/>
      <c r="F2944" s="4" t="str">
        <f>HYPERLINK("./Results/DLO\20190401_1.3.12.2.1107.5.1.4.65253.30000019042718450073100033743_4_512_512_\Osteo_Sarco_1.png","RPT")</f>
        <v>RPT</v>
      </c>
      <c r="G2944" s="3">
        <v>197</v>
      </c>
      <c r="H2944" s="3"/>
    </row>
    <row r="2945" spans="1:8" x14ac:dyDescent="0.3">
      <c r="A2945" s="2">
        <v>9261678</v>
      </c>
      <c r="B2945" s="2">
        <v>50</v>
      </c>
      <c r="C2945" s="2" t="s">
        <v>5</v>
      </c>
      <c r="D2945" s="2">
        <v>100</v>
      </c>
      <c r="E2945" s="2"/>
      <c r="F2945" s="4" t="str">
        <f>HYPERLINK("./Results/DLO\20190401_1.3.12.2.1107.5.1.4.65253.30000019042718450073100034283_6_512_512_\Osteo_Sarco_1.png","RPT")</f>
        <v>RPT</v>
      </c>
      <c r="G2945" s="3">
        <v>197</v>
      </c>
      <c r="H2945" s="3"/>
    </row>
    <row r="2946" spans="1:8" x14ac:dyDescent="0.3">
      <c r="A2946" s="2">
        <v>9420974</v>
      </c>
      <c r="B2946" s="2">
        <v>53</v>
      </c>
      <c r="C2946" s="2" t="s">
        <v>5</v>
      </c>
      <c r="D2946" s="2">
        <v>100</v>
      </c>
      <c r="E2946" s="2"/>
      <c r="F2946" s="4" t="str">
        <f>HYPERLINK("./Results/DLO\20180601_1.2.410.100011.172.24.16.217.6366862792600706941.2_2_512_512_\Osteo_Sarco_1.png","RPT")</f>
        <v>RPT</v>
      </c>
      <c r="G2946" s="3">
        <v>201</v>
      </c>
      <c r="H2946" s="3"/>
    </row>
    <row r="2947" spans="1:8" x14ac:dyDescent="0.3">
      <c r="A2947" s="2">
        <v>9421021</v>
      </c>
      <c r="B2947" s="2">
        <v>59</v>
      </c>
      <c r="C2947" s="2" t="s">
        <v>6</v>
      </c>
      <c r="D2947" s="2">
        <v>100</v>
      </c>
      <c r="E2947" s="2"/>
      <c r="F2947" s="4" t="str">
        <f>HYPERLINK("./Results/DLO\20180801_1.3.46.670589.33.1.63670358428178962300001.5482168023966956485_201_512_512_\Osteo_Sarco_1.png","RPT")</f>
        <v>RPT</v>
      </c>
      <c r="G2947" s="3">
        <v>141</v>
      </c>
      <c r="H2947" s="3"/>
    </row>
    <row r="2948" spans="1:8" x14ac:dyDescent="0.3">
      <c r="A2948" s="2">
        <v>9421181</v>
      </c>
      <c r="B2948" s="2">
        <v>38</v>
      </c>
      <c r="C2948" s="2" t="s">
        <v>6</v>
      </c>
      <c r="D2948" s="2">
        <v>100</v>
      </c>
      <c r="E2948" s="2"/>
      <c r="F2948" s="4" t="str">
        <f>HYPERLINK("./Results/DLO\20180801_1.3.46.670589.33.1.63669145796550992100001.5216036111274301210_201_512_512_\Osteo_Sarco_1.png","RPT")</f>
        <v>RPT</v>
      </c>
      <c r="G2948" s="3">
        <v>107</v>
      </c>
      <c r="H2948" s="3"/>
    </row>
    <row r="2949" spans="1:8" x14ac:dyDescent="0.3">
      <c r="A2949" s="2">
        <v>9421799</v>
      </c>
      <c r="B2949" s="2">
        <v>52</v>
      </c>
      <c r="C2949" s="2" t="s">
        <v>6</v>
      </c>
      <c r="D2949" s="2">
        <v>100</v>
      </c>
      <c r="E2949" s="2"/>
      <c r="F2949" s="4" t="str">
        <f>HYPERLINK("./Results/DLO\20180801_1.3.12.2.1107.5.1.4.65253.30000018081702304903100002053_2_512_512_\Osteo_Sarco_1.png","RPT")</f>
        <v>RPT</v>
      </c>
      <c r="G2949" s="3">
        <v>100</v>
      </c>
      <c r="H2949" s="3"/>
    </row>
    <row r="2950" spans="1:8" x14ac:dyDescent="0.3">
      <c r="A2950" s="2">
        <v>9421813</v>
      </c>
      <c r="B2950" s="2">
        <v>50</v>
      </c>
      <c r="C2950" s="2" t="s">
        <v>6</v>
      </c>
      <c r="D2950" s="2">
        <v>100</v>
      </c>
      <c r="E2950" s="2"/>
      <c r="F2950" s="4" t="str">
        <f>HYPERLINK("./Results/DLO\20180801_1.2.840.113619.2.416.135912128810461162660543902294750844506_301_512_512_\Osteo_Sarco_1.png","RPT")</f>
        <v>RPT</v>
      </c>
      <c r="G2950" s="3">
        <v>96</v>
      </c>
      <c r="H2950" s="3"/>
    </row>
    <row r="2951" spans="1:8" x14ac:dyDescent="0.3">
      <c r="A2951" s="2">
        <v>9421813</v>
      </c>
      <c r="B2951" s="2">
        <v>50</v>
      </c>
      <c r="C2951" s="2" t="s">
        <v>6</v>
      </c>
      <c r="D2951" s="2">
        <v>100</v>
      </c>
      <c r="E2951" s="2"/>
      <c r="F2951" s="4" t="str">
        <f>HYPERLINK("./Results/DLO\20180801_1.2.840.113619.2.416.94532779456922353563268229772151815507_302_512_512_\Osteo_Sarco_1.png","RPT")</f>
        <v>RPT</v>
      </c>
      <c r="G2951" s="3">
        <v>95</v>
      </c>
      <c r="H2951" s="3"/>
    </row>
    <row r="2952" spans="1:8" x14ac:dyDescent="0.3">
      <c r="A2952" s="2">
        <v>9422344</v>
      </c>
      <c r="B2952" s="2">
        <v>39</v>
      </c>
      <c r="C2952" s="2" t="s">
        <v>6</v>
      </c>
      <c r="D2952" s="2">
        <v>100</v>
      </c>
      <c r="E2952" s="2"/>
      <c r="F2952" s="4" t="str">
        <f>HYPERLINK("./Results/DLO\20190901_1.3.12.2.1107.5.1.4.54310.30000019091721201029600034159_10_512_512_\Osteo_Sarco_1.png","RPT")</f>
        <v>RPT</v>
      </c>
      <c r="G2952" s="3">
        <v>94</v>
      </c>
      <c r="H2952" s="3"/>
    </row>
    <row r="2953" spans="1:8" x14ac:dyDescent="0.3">
      <c r="A2953" s="2">
        <v>9422393</v>
      </c>
      <c r="B2953" s="2">
        <v>63</v>
      </c>
      <c r="C2953" s="2" t="s">
        <v>6</v>
      </c>
      <c r="D2953" s="2">
        <v>120</v>
      </c>
      <c r="E2953" s="2"/>
      <c r="F2953" s="4" t="str">
        <f>HYPERLINK("./Results/DLO\20180801_1.2.410.100011.172.16.68.202.6367069753201390101.4.4_4_512_512_\Osteo_Sarco_1.png","RPT")</f>
        <v>RPT</v>
      </c>
      <c r="G2953" s="3">
        <v>117</v>
      </c>
      <c r="H2953" s="3"/>
    </row>
    <row r="2954" spans="1:8" x14ac:dyDescent="0.3">
      <c r="A2954" s="2">
        <v>9422393</v>
      </c>
      <c r="B2954" s="2">
        <v>63</v>
      </c>
      <c r="C2954" s="2" t="s">
        <v>6</v>
      </c>
      <c r="D2954" s="2">
        <v>120</v>
      </c>
      <c r="E2954" s="2"/>
      <c r="F2954" s="4" t="str">
        <f>HYPERLINK("./Results/DLO\20180801_1.2.410.100011.172.16.68.202.6367069753201390101.3.3_3_512_512_\Osteo_Sarco_1.png","RPT")</f>
        <v>RPT</v>
      </c>
      <c r="G2954" s="3">
        <v>115</v>
      </c>
      <c r="H2954" s="3"/>
    </row>
    <row r="2955" spans="1:8" x14ac:dyDescent="0.3">
      <c r="A2955" s="2">
        <v>9422450</v>
      </c>
      <c r="B2955" s="2">
        <v>53</v>
      </c>
      <c r="C2955" s="2" t="s">
        <v>6</v>
      </c>
      <c r="D2955" s="2">
        <v>130</v>
      </c>
      <c r="E2955" s="2"/>
      <c r="F2955" s="4" t="str">
        <f>HYPERLINK("./Results/DLO\20180801_1.3.12.2.1107.5.1.4.27299.30000018082322304557000002930_3_512_512_\Osteo_Sarco_1.png","RPT")</f>
        <v>RPT</v>
      </c>
      <c r="G2955" s="3">
        <v>147</v>
      </c>
      <c r="H2955" s="3"/>
    </row>
    <row r="2956" spans="1:8" x14ac:dyDescent="0.3">
      <c r="A2956" s="2">
        <v>9422450</v>
      </c>
      <c r="B2956" s="2">
        <v>53</v>
      </c>
      <c r="C2956" s="2" t="s">
        <v>6</v>
      </c>
      <c r="D2956" s="2">
        <v>130</v>
      </c>
      <c r="E2956" s="2"/>
      <c r="F2956" s="4" t="str">
        <f>HYPERLINK("./Results/DLO\20180801_1.3.12.2.1107.5.1.4.27299.30000018082322304557000002864_2_512_512_\Osteo_Sarco_1.png","RPT")</f>
        <v>RPT</v>
      </c>
      <c r="G2956" s="3">
        <v>132</v>
      </c>
      <c r="H2956" s="3"/>
    </row>
    <row r="2957" spans="1:8" x14ac:dyDescent="0.3">
      <c r="A2957" s="2">
        <v>9424177</v>
      </c>
      <c r="B2957" s="2">
        <v>43</v>
      </c>
      <c r="C2957" s="2" t="s">
        <v>6</v>
      </c>
      <c r="D2957" s="2">
        <v>100</v>
      </c>
      <c r="E2957" s="2"/>
      <c r="F2957" s="4" t="str">
        <f>HYPERLINK("./Results/DLO\20180801_1.2.840.113619.2.311.188301274076675883214206062940447600472_304_512_512_\Osteo_Sarco_1.png","RPT")</f>
        <v>RPT</v>
      </c>
      <c r="G2957" s="3">
        <v>167</v>
      </c>
      <c r="H2957" s="3"/>
    </row>
    <row r="2958" spans="1:8" x14ac:dyDescent="0.3">
      <c r="A2958" s="2">
        <v>9424203</v>
      </c>
      <c r="B2958" s="2">
        <v>57</v>
      </c>
      <c r="C2958" s="2" t="s">
        <v>5</v>
      </c>
      <c r="D2958" s="2">
        <v>120</v>
      </c>
      <c r="E2958" s="2"/>
      <c r="F2958" s="4" t="str">
        <f>HYPERLINK("./Results/DLO\20180801_1.2.410.100011.172.24.16.217.6367121888527125142.4_4_512_512_\Osteo_Sarco_1.png","RPT")</f>
        <v>RPT</v>
      </c>
      <c r="G2958" s="3">
        <v>199</v>
      </c>
      <c r="H2958" s="3"/>
    </row>
    <row r="2959" spans="1:8" x14ac:dyDescent="0.3">
      <c r="A2959" s="2">
        <v>9424203</v>
      </c>
      <c r="B2959" s="2">
        <v>57</v>
      </c>
      <c r="C2959" s="2" t="s">
        <v>5</v>
      </c>
      <c r="D2959" s="2">
        <v>120</v>
      </c>
      <c r="E2959" s="2"/>
      <c r="F2959" s="4" t="str">
        <f>HYPERLINK("./Results/DLO\20180801_1.2.410.100011.172.24.16.217.6367121888527125142.2_2_512_512_\Osteo_Sarco_1.png","RPT")</f>
        <v>RPT</v>
      </c>
      <c r="G2959" s="3">
        <v>198</v>
      </c>
      <c r="H2959" s="3"/>
    </row>
    <row r="2960" spans="1:8" x14ac:dyDescent="0.3">
      <c r="A2960" s="2">
        <v>9424203</v>
      </c>
      <c r="B2960" s="2">
        <v>57</v>
      </c>
      <c r="C2960" s="2" t="s">
        <v>5</v>
      </c>
      <c r="D2960" s="2">
        <v>120</v>
      </c>
      <c r="E2960" s="2"/>
      <c r="F2960" s="4" t="str">
        <f>HYPERLINK("./Results/DLO\20180801_1.2.410.100011.172.24.16.217.6367121888527125142.3_3_512_512_\Osteo_Sarco_1.png","RPT")</f>
        <v>RPT</v>
      </c>
      <c r="G2960" s="3">
        <v>197</v>
      </c>
      <c r="H2960" s="3"/>
    </row>
    <row r="2961" spans="1:8" x14ac:dyDescent="0.3">
      <c r="A2961" s="2">
        <v>9424203</v>
      </c>
      <c r="B2961" s="2">
        <v>57</v>
      </c>
      <c r="C2961" s="2" t="s">
        <v>5</v>
      </c>
      <c r="D2961" s="2">
        <v>120</v>
      </c>
      <c r="E2961" s="2"/>
      <c r="F2961" s="4" t="str">
        <f>HYPERLINK("./Results/DLO\20180801_1.2.410.100011.172.24.16.217.6367121888527125142.5_5_512_512_\Osteo_Sarco_1.png","RPT")</f>
        <v>RPT</v>
      </c>
      <c r="G2961" s="3">
        <v>193</v>
      </c>
      <c r="H2961" s="3"/>
    </row>
    <row r="2962" spans="1:8" x14ac:dyDescent="0.3">
      <c r="A2962" s="2">
        <v>9424215</v>
      </c>
      <c r="B2962" s="2">
        <v>48</v>
      </c>
      <c r="C2962" s="2" t="s">
        <v>6</v>
      </c>
      <c r="D2962" s="2">
        <v>100</v>
      </c>
      <c r="E2962" s="2"/>
      <c r="F2962" s="4" t="str">
        <f>HYPERLINK("./Results/DLO\20180901_1.2.840.113619.2.94.485650834948.2.9057855.19669711.1_2_512_512_\Osteo_Sarco_1.png","RPT")</f>
        <v>RPT</v>
      </c>
      <c r="G2962" s="3">
        <v>109</v>
      </c>
      <c r="H2962" s="3"/>
    </row>
    <row r="2963" spans="1:8" x14ac:dyDescent="0.3">
      <c r="A2963" s="2">
        <v>9424229</v>
      </c>
      <c r="B2963" s="2">
        <v>46</v>
      </c>
      <c r="C2963" s="2" t="s">
        <v>6</v>
      </c>
      <c r="D2963" s="2">
        <v>100</v>
      </c>
      <c r="E2963" s="2"/>
      <c r="F2963" s="4" t="str">
        <f>HYPERLINK("./Results/DLO\20180901_1.2.840.113619.2.311.253947421889818580533693732061585494351_303_512_512_\Osteo_Sarco_1.png","RPT")</f>
        <v>RPT</v>
      </c>
      <c r="G2963" s="3">
        <v>115</v>
      </c>
      <c r="H2963" s="3"/>
    </row>
    <row r="2964" spans="1:8" x14ac:dyDescent="0.3">
      <c r="A2964" s="2">
        <v>9424232</v>
      </c>
      <c r="B2964" s="2">
        <v>56</v>
      </c>
      <c r="C2964" s="2" t="s">
        <v>6</v>
      </c>
      <c r="D2964" s="2">
        <v>100</v>
      </c>
      <c r="E2964" s="2"/>
      <c r="F2964" s="4" t="str">
        <f>HYPERLINK("./Results/DLO\20180901_1.2.840.113619.2.94.485650834948.2.9063105.19682428.1_2_512_512_\Osteo_Sarco_1.png","RPT")</f>
        <v>RPT</v>
      </c>
      <c r="G2964" s="3">
        <v>91</v>
      </c>
      <c r="H2964" s="3"/>
    </row>
    <row r="2965" spans="1:8" x14ac:dyDescent="0.3">
      <c r="A2965" s="2">
        <v>9424240</v>
      </c>
      <c r="B2965" s="2">
        <v>48</v>
      </c>
      <c r="C2965" s="2" t="s">
        <v>5</v>
      </c>
      <c r="D2965" s="2">
        <v>120</v>
      </c>
      <c r="E2965" s="2"/>
      <c r="F2965" s="4" t="str">
        <f>HYPERLINK("./Results/DLO\20180801_1.2.410.100011.172.16.68.202.6367182391539436881.2.4_4_512_512_\Osteo_Sarco_1.png","RPT")</f>
        <v>RPT</v>
      </c>
      <c r="G2965" s="3">
        <v>199</v>
      </c>
      <c r="H2965" s="3"/>
    </row>
    <row r="2966" spans="1:8" x14ac:dyDescent="0.3">
      <c r="A2966" s="2">
        <v>9424240</v>
      </c>
      <c r="B2966" s="2">
        <v>48</v>
      </c>
      <c r="C2966" s="2" t="s">
        <v>5</v>
      </c>
      <c r="D2966" s="2">
        <v>120</v>
      </c>
      <c r="E2966" s="2"/>
      <c r="F2966" s="4" t="str">
        <f>HYPERLINK("./Results/DLO\20180801_1.2.410.100011.172.16.68.202.6367182391539436881.3.5_5_512_512_\Osteo_Sarco_1.png","RPT")</f>
        <v>RPT</v>
      </c>
      <c r="G2966" s="3">
        <v>195</v>
      </c>
      <c r="H2966" s="3"/>
    </row>
    <row r="2967" spans="1:8" x14ac:dyDescent="0.3">
      <c r="A2967" s="2">
        <v>9424240</v>
      </c>
      <c r="B2967" s="2">
        <v>48</v>
      </c>
      <c r="C2967" s="2" t="s">
        <v>5</v>
      </c>
      <c r="D2967" s="2">
        <v>120</v>
      </c>
      <c r="E2967" s="2"/>
      <c r="F2967" s="4" t="str">
        <f>HYPERLINK("./Results/DLO\20180801_1.2.410.100011.172.16.68.202.6367182391539436881.4.6_6_512_512_\Osteo_Sarco_1.png","RPT")</f>
        <v>RPT</v>
      </c>
      <c r="G2967" s="3">
        <v>195</v>
      </c>
      <c r="H2967" s="3"/>
    </row>
    <row r="2968" spans="1:8" x14ac:dyDescent="0.3">
      <c r="A2968" s="2">
        <v>9424249</v>
      </c>
      <c r="B2968" s="2">
        <v>45</v>
      </c>
      <c r="C2968" s="2" t="s">
        <v>6</v>
      </c>
      <c r="D2968" s="2">
        <v>100</v>
      </c>
      <c r="E2968" s="2"/>
      <c r="F2968" s="4" t="str">
        <f>HYPERLINK("./Results/DLO\20180801_1.2.840.113619.2.311.190273225759436619182068126857805940586_304_512_512_\Osteo_Sarco_1.png","RPT")</f>
        <v>RPT</v>
      </c>
      <c r="G2968" s="3">
        <v>119</v>
      </c>
      <c r="H2968" s="3"/>
    </row>
    <row r="2969" spans="1:8" x14ac:dyDescent="0.3">
      <c r="A2969" s="2">
        <v>9424267</v>
      </c>
      <c r="B2969" s="2">
        <v>41</v>
      </c>
      <c r="C2969" s="2" t="s">
        <v>6</v>
      </c>
      <c r="D2969" s="2">
        <v>100</v>
      </c>
      <c r="E2969" s="2"/>
      <c r="F2969" s="4" t="str">
        <f>HYPERLINK("./Results/DLO\20180901_1.3.12.2.1107.5.1.4.54310.30000018090500190828100013527_2_512_512_\Osteo_Sarco_1.png","RPT")</f>
        <v>RPT</v>
      </c>
      <c r="G2969" s="3">
        <v>100</v>
      </c>
      <c r="H2969" s="3"/>
    </row>
    <row r="2970" spans="1:8" x14ac:dyDescent="0.3">
      <c r="A2970" s="2">
        <v>9424286</v>
      </c>
      <c r="B2970" s="2">
        <v>46</v>
      </c>
      <c r="C2970" s="2" t="s">
        <v>6</v>
      </c>
      <c r="D2970" s="2">
        <v>100</v>
      </c>
      <c r="E2970" s="2"/>
      <c r="F2970" s="4" t="str">
        <f>HYPERLINK("./Results/DLO\20180801_1.3.12.2.1107.5.1.4.54310.30000018082900102528100005093_2_512_512_\Osteo_Sarco_1.png","RPT")</f>
        <v>RPT</v>
      </c>
      <c r="G2970" s="3">
        <v>96</v>
      </c>
      <c r="H2970" s="3"/>
    </row>
    <row r="2971" spans="1:8" x14ac:dyDescent="0.3">
      <c r="A2971" s="2">
        <v>9424298</v>
      </c>
      <c r="B2971" s="2">
        <v>53</v>
      </c>
      <c r="C2971" s="2" t="s">
        <v>6</v>
      </c>
      <c r="D2971" s="2">
        <v>140</v>
      </c>
      <c r="E2971" s="2"/>
      <c r="F2971" s="4" t="str">
        <f>HYPERLINK("./Results/DLO\20191001_1.2.840.113619.2.416.64112446119769938079487534700245674763_302_512_512_\Osteo_Sarco_1.png","RPT")</f>
        <v>RPT</v>
      </c>
      <c r="G2971" s="3">
        <v>95</v>
      </c>
      <c r="H2971" s="3"/>
    </row>
    <row r="2972" spans="1:8" x14ac:dyDescent="0.3">
      <c r="A2972" s="2">
        <v>9424298</v>
      </c>
      <c r="B2972" s="2">
        <v>53</v>
      </c>
      <c r="C2972" s="2" t="s">
        <v>6</v>
      </c>
      <c r="D2972" s="2">
        <v>140</v>
      </c>
      <c r="E2972" s="2"/>
      <c r="F2972" s="4" t="str">
        <f>HYPERLINK("./Results/DLO\20191001_1.2.840.113619.2.416.67718687606195946905587955840237593817_303_512_512_\Osteo_Sarco_1.png","RPT")</f>
        <v>RPT</v>
      </c>
      <c r="G2972" s="3">
        <v>95</v>
      </c>
      <c r="H2972" s="3"/>
    </row>
    <row r="2973" spans="1:8" x14ac:dyDescent="0.3">
      <c r="A2973" s="2">
        <v>9424574</v>
      </c>
      <c r="B2973" s="2">
        <v>20</v>
      </c>
      <c r="C2973" s="2" t="s">
        <v>6</v>
      </c>
      <c r="D2973" s="2">
        <v>140</v>
      </c>
      <c r="E2973" s="2"/>
      <c r="F2973" s="4" t="str">
        <f>HYPERLINK("./Results/DLO\20180701_1.2.840.113619.2.416.115185713019484330239006441265692047615_301_512_512_\Osteo_Sarco_1.png","RPT")</f>
        <v>RPT</v>
      </c>
      <c r="G2973" s="3">
        <v>112</v>
      </c>
      <c r="H2973" s="3"/>
    </row>
    <row r="2974" spans="1:8" x14ac:dyDescent="0.3">
      <c r="A2974" s="2">
        <v>9424574</v>
      </c>
      <c r="B2974" s="2">
        <v>20</v>
      </c>
      <c r="C2974" s="2" t="s">
        <v>6</v>
      </c>
      <c r="D2974" s="2">
        <v>140</v>
      </c>
      <c r="E2974" s="2"/>
      <c r="F2974" s="4" t="str">
        <f>HYPERLINK("./Results/DLO\20180701_1.2.840.113619.2.416.39858411676848457993075408911445401157_303_512_512_\Osteo_Sarco_1.png","RPT")</f>
        <v>RPT</v>
      </c>
      <c r="G2974" s="3">
        <v>112</v>
      </c>
      <c r="H2974" s="3"/>
    </row>
    <row r="2975" spans="1:8" x14ac:dyDescent="0.3">
      <c r="A2975" s="2">
        <v>9424730</v>
      </c>
      <c r="B2975" s="2">
        <v>29</v>
      </c>
      <c r="C2975" s="2" t="s">
        <v>6</v>
      </c>
      <c r="D2975" s="2">
        <v>100</v>
      </c>
      <c r="E2975" s="2"/>
      <c r="F2975" s="4" t="str">
        <f>HYPERLINK("./Results/DLO\20180901_1.3.12.2.1107.5.1.4.65253.30000018090720354500700016712_3_512_512_\Osteo_Sarco_1.png","RPT")</f>
        <v>RPT</v>
      </c>
      <c r="G2975" s="3">
        <v>99</v>
      </c>
      <c r="H2975" s="3"/>
    </row>
    <row r="2976" spans="1:8" x14ac:dyDescent="0.3">
      <c r="A2976" s="2">
        <v>9424730</v>
      </c>
      <c r="B2976" s="2">
        <v>29</v>
      </c>
      <c r="C2976" s="2" t="s">
        <v>6</v>
      </c>
      <c r="D2976" s="2">
        <v>100</v>
      </c>
      <c r="E2976" s="2"/>
      <c r="F2976" s="4" t="str">
        <f>HYPERLINK("./Results/DLO\20180901_1.3.12.2.1107.5.1.4.65253.30000018090720354500700016562_2_512_512_\Osteo_Sarco_1.png","RPT")</f>
        <v>RPT</v>
      </c>
      <c r="G2976" s="3">
        <v>98</v>
      </c>
      <c r="H2976" s="3"/>
    </row>
    <row r="2977" spans="1:8" x14ac:dyDescent="0.3">
      <c r="A2977" s="2">
        <v>9424905</v>
      </c>
      <c r="B2977" s="2">
        <v>57</v>
      </c>
      <c r="C2977" s="2" t="s">
        <v>6</v>
      </c>
      <c r="D2977" s="2">
        <v>140</v>
      </c>
      <c r="E2977" s="2"/>
      <c r="F2977" s="4" t="str">
        <f>HYPERLINK("./Results/DLO\20190501_1.2.840.113619.2.416.33410193558354959282466931588649819809_303_512_512_\Osteo_Sarco_1.png","RPT")</f>
        <v>RPT</v>
      </c>
      <c r="G2977" s="3">
        <v>115</v>
      </c>
      <c r="H2977" s="3"/>
    </row>
    <row r="2978" spans="1:8" x14ac:dyDescent="0.3">
      <c r="A2978" s="2">
        <v>9424905</v>
      </c>
      <c r="B2978" s="2">
        <v>57</v>
      </c>
      <c r="C2978" s="2" t="s">
        <v>6</v>
      </c>
      <c r="D2978" s="2">
        <v>140</v>
      </c>
      <c r="E2978" s="2"/>
      <c r="F2978" s="4" t="str">
        <f>HYPERLINK("./Results/DLO\20190501_1.2.840.113619.2.416.268779397548373440774245618392218310060_306_512_512_\Osteo_Sarco_1.png","RPT")</f>
        <v>RPT</v>
      </c>
      <c r="G2978" s="3">
        <v>111</v>
      </c>
      <c r="H2978" s="3"/>
    </row>
    <row r="2979" spans="1:8" x14ac:dyDescent="0.3">
      <c r="A2979" s="2">
        <v>9424905</v>
      </c>
      <c r="B2979" s="2">
        <v>57</v>
      </c>
      <c r="C2979" s="2" t="s">
        <v>6</v>
      </c>
      <c r="D2979" s="2">
        <v>140</v>
      </c>
      <c r="E2979" s="2"/>
      <c r="F2979" s="4" t="str">
        <f>HYPERLINK("./Results/DLO\20190501_1.2.840.113619.2.416.289469794756787021789644709246613785472_301_512_512_\Osteo_Sarco_1.png","RPT")</f>
        <v>RPT</v>
      </c>
      <c r="G2979" s="3">
        <v>109</v>
      </c>
      <c r="H2979" s="3"/>
    </row>
    <row r="2980" spans="1:8" x14ac:dyDescent="0.3">
      <c r="A2980" s="2">
        <v>9424905</v>
      </c>
      <c r="B2980" s="2">
        <v>57</v>
      </c>
      <c r="C2980" s="2" t="s">
        <v>6</v>
      </c>
      <c r="D2980" s="2">
        <v>140</v>
      </c>
      <c r="E2980" s="2"/>
      <c r="F2980" s="4" t="str">
        <f>HYPERLINK("./Results/DLO\20190501_1.2.840.113619.2.416.205783549642260306260722083402635644556_2_512_512_\Osteo_Sarco_1.png","RPT")</f>
        <v>RPT</v>
      </c>
      <c r="G2980" s="3">
        <v>105</v>
      </c>
      <c r="H2980" s="3"/>
    </row>
    <row r="2981" spans="1:8" x14ac:dyDescent="0.3">
      <c r="A2981" s="2">
        <v>9425760</v>
      </c>
      <c r="B2981" s="2">
        <v>50</v>
      </c>
      <c r="C2981" s="2" t="s">
        <v>5</v>
      </c>
      <c r="D2981" s="2">
        <v>100</v>
      </c>
      <c r="E2981" s="2"/>
      <c r="F2981" s="4" t="str">
        <f>HYPERLINK("./Results/DLO\20180801_1.3.12.2.1107.5.1.4.54310.30000018080623173053100040903_3_512_512_\Osteo_Sarco_1.png","RPT")</f>
        <v>RPT</v>
      </c>
      <c r="G2981" s="3">
        <v>176</v>
      </c>
      <c r="H2981" s="3"/>
    </row>
    <row r="2982" spans="1:8" x14ac:dyDescent="0.3">
      <c r="A2982" s="2">
        <v>9425760</v>
      </c>
      <c r="B2982" s="2">
        <v>50</v>
      </c>
      <c r="C2982" s="2" t="s">
        <v>5</v>
      </c>
      <c r="D2982" s="2">
        <v>120</v>
      </c>
      <c r="E2982" s="2"/>
      <c r="F2982" s="4" t="str">
        <f>HYPERLINK("./Results/DLO\20180801_1.3.12.2.1107.5.1.4.54310.30000018080623173053100041650_9_512_512_\Osteo_Sarco_1.png","RPT")</f>
        <v>RPT</v>
      </c>
      <c r="G2982" s="3">
        <v>175</v>
      </c>
      <c r="H2982" s="3"/>
    </row>
    <row r="2983" spans="1:8" x14ac:dyDescent="0.3">
      <c r="A2983" s="2">
        <v>9425760</v>
      </c>
      <c r="B2983" s="2">
        <v>50</v>
      </c>
      <c r="C2983" s="2" t="s">
        <v>5</v>
      </c>
      <c r="D2983" s="2">
        <v>120</v>
      </c>
      <c r="E2983" s="2"/>
      <c r="F2983" s="4" t="str">
        <f>HYPERLINK("./Results/DLO\20180801_1.3.12.2.1107.5.1.4.54310.30000018080623173053100040998_5_512_512_\Osteo_Sarco_1.png","RPT")</f>
        <v>RPT</v>
      </c>
      <c r="G2983" s="3">
        <v>174</v>
      </c>
      <c r="H2983" s="3"/>
    </row>
    <row r="2984" spans="1:8" x14ac:dyDescent="0.3">
      <c r="A2984" s="2">
        <v>9425760</v>
      </c>
      <c r="B2984" s="2">
        <v>50</v>
      </c>
      <c r="C2984" s="2" t="s">
        <v>5</v>
      </c>
      <c r="D2984" s="2">
        <v>120</v>
      </c>
      <c r="E2984" s="2"/>
      <c r="F2984" s="4" t="str">
        <f>HYPERLINK("./Results/DLO\20180801_1.3.12.2.1107.5.1.4.54310.30000018080623173053100041375_7_512_512_\Osteo_Sarco_1.png","RPT")</f>
        <v>RPT</v>
      </c>
      <c r="G2984" s="3">
        <v>174</v>
      </c>
      <c r="H2984" s="3"/>
    </row>
    <row r="2985" spans="1:8" x14ac:dyDescent="0.3">
      <c r="A2985" s="2">
        <v>9430212</v>
      </c>
      <c r="B2985" s="2">
        <v>64</v>
      </c>
      <c r="C2985" s="2" t="s">
        <v>6</v>
      </c>
      <c r="D2985" s="2">
        <v>120</v>
      </c>
      <c r="E2985" s="2"/>
      <c r="F2985" s="4" t="str">
        <f>HYPERLINK("./Results/DLO\20180701_1.2.410.100011.172.24.80.187.6366924628645257351.2_2_512_512_\Osteo_Sarco_1.png","RPT")</f>
        <v>RPT</v>
      </c>
      <c r="G2985" s="3">
        <v>113</v>
      </c>
      <c r="H2985" s="3"/>
    </row>
    <row r="2986" spans="1:8" x14ac:dyDescent="0.3">
      <c r="A2986" s="2">
        <v>9430212</v>
      </c>
      <c r="B2986" s="2">
        <v>64</v>
      </c>
      <c r="C2986" s="2" t="s">
        <v>6</v>
      </c>
      <c r="D2986" s="2">
        <v>120</v>
      </c>
      <c r="E2986" s="2"/>
      <c r="F2986" s="4" t="str">
        <f>HYPERLINK("./Results/DLO\20180701_1.2.410.100011.172.24.80.187.6366924628645257351.1_1_512_512_\Osteo_Sarco_1.png","RPT")</f>
        <v>RPT</v>
      </c>
      <c r="G2986" s="3">
        <v>109</v>
      </c>
      <c r="H2986" s="3"/>
    </row>
    <row r="2987" spans="1:8" x14ac:dyDescent="0.3">
      <c r="A2987" s="2">
        <v>9430708</v>
      </c>
      <c r="B2987" s="2">
        <v>51</v>
      </c>
      <c r="C2987" s="2" t="s">
        <v>6</v>
      </c>
      <c r="D2987" s="2">
        <v>120</v>
      </c>
      <c r="E2987" s="2"/>
      <c r="F2987" s="4" t="str">
        <f>HYPERLINK("./Results/DLO\20180901_1.3.46.670589.33.1.63672175896120363400001.5570906216457701925_601_512_512_\Osteo_Sarco_1.png","RPT")</f>
        <v>RPT</v>
      </c>
      <c r="G2987" s="3">
        <v>127</v>
      </c>
      <c r="H2987" s="3"/>
    </row>
    <row r="2988" spans="1:8" x14ac:dyDescent="0.3">
      <c r="A2988" s="2">
        <v>9432556</v>
      </c>
      <c r="B2988" s="2">
        <v>40</v>
      </c>
      <c r="C2988" s="2" t="s">
        <v>5</v>
      </c>
      <c r="D2988" s="2">
        <v>100</v>
      </c>
      <c r="E2988" s="2"/>
      <c r="F2988" s="4" t="str">
        <f>HYPERLINK("./Results/DLO\20181101_1.3.46.670589.33.1.63678738590672849200001.5585514201982582640_201_512_512_\Osteo_Sarco_1.png","RPT")</f>
        <v>RPT</v>
      </c>
      <c r="G2988" s="3">
        <v>158</v>
      </c>
      <c r="H2988" s="3"/>
    </row>
    <row r="2989" spans="1:8" x14ac:dyDescent="0.3">
      <c r="A2989" s="2">
        <v>9432613</v>
      </c>
      <c r="B2989" s="2">
        <v>46</v>
      </c>
      <c r="C2989" s="2" t="s">
        <v>6</v>
      </c>
      <c r="D2989" s="2">
        <v>100</v>
      </c>
      <c r="E2989" s="2"/>
      <c r="F2989" s="4" t="str">
        <f>HYPERLINK("./Results/DLO\20180901_1.3.46.670589.33.1.63672782676705680400001.5686538560351112000_201_512_512_\Osteo_Sarco_1.png","RPT")</f>
        <v>RPT</v>
      </c>
      <c r="G2989" s="3">
        <v>92</v>
      </c>
      <c r="H2989" s="3"/>
    </row>
    <row r="2990" spans="1:8" x14ac:dyDescent="0.3">
      <c r="A2990" s="2">
        <v>9432648</v>
      </c>
      <c r="B2990" s="2">
        <v>36</v>
      </c>
      <c r="C2990" s="2" t="s">
        <v>5</v>
      </c>
      <c r="D2990" s="2">
        <v>120</v>
      </c>
      <c r="E2990" s="2"/>
      <c r="F2990" s="4" t="str">
        <f>HYPERLINK("./Results/DLO\20180901_1.3.46.670589.33.1.63672772709432585000001.5501420480735241335_201_512_512_\Osteo_Sarco_1.png","RPT")</f>
        <v>RPT</v>
      </c>
      <c r="G2990" s="3">
        <v>173</v>
      </c>
      <c r="H2990" s="3"/>
    </row>
    <row r="2991" spans="1:8" x14ac:dyDescent="0.3">
      <c r="A2991" s="2">
        <v>9438674</v>
      </c>
      <c r="B2991" s="2">
        <v>61</v>
      </c>
      <c r="C2991" s="2" t="s">
        <v>5</v>
      </c>
      <c r="D2991" s="2">
        <v>120</v>
      </c>
      <c r="E2991" s="2"/>
      <c r="F2991" s="4" t="str">
        <f>HYPERLINK("./Results/DLO\20190301_1.3.12.2.1107.5.1.4.54310.30000019030423323884300039425_9_512_512_\Osteo_Sarco_1.png","RPT")</f>
        <v>RPT</v>
      </c>
      <c r="G2991" s="3">
        <v>123</v>
      </c>
      <c r="H2991" s="3"/>
    </row>
    <row r="2992" spans="1:8" x14ac:dyDescent="0.3">
      <c r="A2992" s="2">
        <v>9438674</v>
      </c>
      <c r="B2992" s="2">
        <v>61</v>
      </c>
      <c r="C2992" s="2" t="s">
        <v>5</v>
      </c>
      <c r="D2992" s="2">
        <v>120</v>
      </c>
      <c r="E2992" s="2"/>
      <c r="F2992" s="4" t="str">
        <f>HYPERLINK("./Results/DLO\20190301_1.3.12.2.1107.5.1.4.54310.30000019030423323884300038846_5_512_512_\Osteo_Sarco_1.png","RPT")</f>
        <v>RPT</v>
      </c>
      <c r="G2992" s="3">
        <v>122</v>
      </c>
      <c r="H2992" s="3"/>
    </row>
    <row r="2993" spans="1:8" x14ac:dyDescent="0.3">
      <c r="A2993" s="2">
        <v>9438674</v>
      </c>
      <c r="B2993" s="2">
        <v>61</v>
      </c>
      <c r="C2993" s="2" t="s">
        <v>5</v>
      </c>
      <c r="D2993" s="2">
        <v>120</v>
      </c>
      <c r="E2993" s="2"/>
      <c r="F2993" s="4" t="str">
        <f>HYPERLINK("./Results/DLO\20190301_1.3.12.2.1107.5.1.4.54310.30000019030423323884300039156_7_512_512_\Osteo_Sarco_1.png","RPT")</f>
        <v>RPT</v>
      </c>
      <c r="G2993" s="3">
        <v>122</v>
      </c>
      <c r="H2993" s="3"/>
    </row>
    <row r="2994" spans="1:8" x14ac:dyDescent="0.3">
      <c r="A2994" s="2">
        <v>9438674</v>
      </c>
      <c r="B2994" s="2">
        <v>61</v>
      </c>
      <c r="C2994" s="2" t="s">
        <v>5</v>
      </c>
      <c r="D2994" s="2">
        <v>100</v>
      </c>
      <c r="E2994" s="2"/>
      <c r="F2994" s="4" t="str">
        <f>HYPERLINK("./Results/DLO\20190301_1.3.12.2.1107.5.1.4.54310.30000019030423323884300038767_3_512_512_\Osteo_Sarco_1.png","RPT")</f>
        <v>RPT</v>
      </c>
      <c r="G2994" s="3">
        <v>121</v>
      </c>
      <c r="H2994" s="3"/>
    </row>
    <row r="2995" spans="1:8" x14ac:dyDescent="0.3">
      <c r="A2995" s="2">
        <v>9438736</v>
      </c>
      <c r="B2995" s="2">
        <v>66</v>
      </c>
      <c r="C2995" s="2" t="s">
        <v>5</v>
      </c>
      <c r="D2995" s="2">
        <v>100</v>
      </c>
      <c r="E2995" s="2"/>
      <c r="F2995" s="4" t="str">
        <f>HYPERLINK("./Results/DLO\20191201_1.3.12.2.1107.5.1.4.54310.30000019120421024428100050892_7_512_512_\Osteo_Sarco_1.png","RPT")</f>
        <v>RPT</v>
      </c>
      <c r="G2995" s="3">
        <v>134</v>
      </c>
      <c r="H2995" s="3"/>
    </row>
    <row r="2996" spans="1:8" x14ac:dyDescent="0.3">
      <c r="A2996" s="2">
        <v>9438736</v>
      </c>
      <c r="B2996" s="2">
        <v>66</v>
      </c>
      <c r="C2996" s="2" t="s">
        <v>5</v>
      </c>
      <c r="D2996" s="2">
        <v>100</v>
      </c>
      <c r="E2996" s="2"/>
      <c r="F2996" s="4" t="str">
        <f>HYPERLINK("./Results/DLO\20191201_1.3.12.2.1107.5.1.4.54310.30000019120421024428100050559_5_512_512_\Osteo_Sarco_1.png","RPT")</f>
        <v>RPT</v>
      </c>
      <c r="G2996" s="3">
        <v>133</v>
      </c>
      <c r="H2996" s="3"/>
    </row>
    <row r="2997" spans="1:8" x14ac:dyDescent="0.3">
      <c r="A2997" s="2">
        <v>9438736</v>
      </c>
      <c r="B2997" s="2">
        <v>66</v>
      </c>
      <c r="C2997" s="2" t="s">
        <v>5</v>
      </c>
      <c r="D2997" s="2">
        <v>100</v>
      </c>
      <c r="E2997" s="2"/>
      <c r="F2997" s="4" t="str">
        <f>HYPERLINK("./Results/DLO\20191201_1.3.12.2.1107.5.1.4.54310.30000019120421024428100051158_9_512_512_\Osteo_Sarco_1.png","RPT")</f>
        <v>RPT</v>
      </c>
      <c r="G2997" s="3">
        <v>133</v>
      </c>
      <c r="H2997" s="3"/>
    </row>
    <row r="2998" spans="1:8" x14ac:dyDescent="0.3">
      <c r="A2998" s="2">
        <v>9438736</v>
      </c>
      <c r="B2998" s="2">
        <v>66</v>
      </c>
      <c r="C2998" s="2" t="s">
        <v>5</v>
      </c>
      <c r="D2998" s="2">
        <v>100</v>
      </c>
      <c r="E2998" s="2"/>
      <c r="F2998" s="4" t="str">
        <f>HYPERLINK("./Results/DLO\20191201_1.3.12.2.1107.5.1.4.54310.30000019120421024428100050475_3_512_512_\Osteo_Sarco_1.png","RPT")</f>
        <v>RPT</v>
      </c>
      <c r="G2998" s="3">
        <v>132</v>
      </c>
      <c r="H2998" s="3"/>
    </row>
    <row r="2999" spans="1:8" x14ac:dyDescent="0.3">
      <c r="A2999" s="2">
        <v>9440805</v>
      </c>
      <c r="B2999" s="2">
        <v>40</v>
      </c>
      <c r="C2999" s="2" t="s">
        <v>6</v>
      </c>
      <c r="D2999" s="2">
        <v>100</v>
      </c>
      <c r="E2999" s="2"/>
      <c r="F2999" s="4" t="str">
        <f>HYPERLINK("./Results/DLO\20180901_1.3.12.2.1107.5.1.4.65253.30000018091320460370100000142_3_512_512_\Osteo_Sarco_1.png","RPT")</f>
        <v>RPT</v>
      </c>
      <c r="G2999" s="3">
        <v>105</v>
      </c>
      <c r="H2999" s="3"/>
    </row>
    <row r="3000" spans="1:8" x14ac:dyDescent="0.3">
      <c r="A3000" s="2">
        <v>9440805</v>
      </c>
      <c r="B3000" s="2">
        <v>40</v>
      </c>
      <c r="C3000" s="2" t="s">
        <v>6</v>
      </c>
      <c r="D3000" s="2">
        <v>100</v>
      </c>
      <c r="E3000" s="2"/>
      <c r="F3000" s="4" t="str">
        <f>HYPERLINK("./Results/DLO\20180901_1.3.12.2.1107.5.1.4.65253.30000018091320460370100000000_2_512_512_\Osteo_Sarco_1.png","RPT")</f>
        <v>RPT</v>
      </c>
      <c r="G3000" s="3">
        <v>101</v>
      </c>
      <c r="H3000" s="3"/>
    </row>
    <row r="3001" spans="1:8" x14ac:dyDescent="0.3">
      <c r="A3001" s="2">
        <v>9440888</v>
      </c>
      <c r="B3001" s="2">
        <v>51</v>
      </c>
      <c r="C3001" s="2" t="s">
        <v>5</v>
      </c>
      <c r="D3001" s="2">
        <v>100</v>
      </c>
      <c r="E3001" s="2"/>
      <c r="F3001" s="4" t="str">
        <f>HYPERLINK("./Results/DLO\20180901_1.3.12.2.1107.5.1.4.65253.30000018091419524330600025542_9_512_512_\Osteo_Sarco_1.png","RPT")</f>
        <v>RPT</v>
      </c>
      <c r="G3001" s="3">
        <v>134</v>
      </c>
      <c r="H3001" s="3"/>
    </row>
    <row r="3002" spans="1:8" x14ac:dyDescent="0.3">
      <c r="A3002" s="2">
        <v>9440888</v>
      </c>
      <c r="B3002" s="2">
        <v>51</v>
      </c>
      <c r="C3002" s="2" t="s">
        <v>5</v>
      </c>
      <c r="D3002" s="2">
        <v>100</v>
      </c>
      <c r="E3002" s="2"/>
      <c r="F3002" s="4" t="str">
        <f>HYPERLINK("./Results/DLO\20180901_1.3.12.2.1107.5.1.4.65253.30000018091419524330600025272_7_512_512_\Osteo_Sarco_1.png","RPT")</f>
        <v>RPT</v>
      </c>
      <c r="G3002" s="3">
        <v>133</v>
      </c>
      <c r="H3002" s="3"/>
    </row>
    <row r="3003" spans="1:8" x14ac:dyDescent="0.3">
      <c r="A3003" s="2">
        <v>9440888</v>
      </c>
      <c r="B3003" s="2">
        <v>51</v>
      </c>
      <c r="C3003" s="2" t="s">
        <v>5</v>
      </c>
      <c r="D3003" s="2">
        <v>100</v>
      </c>
      <c r="E3003" s="2"/>
      <c r="F3003" s="4" t="str">
        <f>HYPERLINK("./Results/DLO\20180901_1.3.12.2.1107.5.1.4.65253.30000018091419524330600024758_5_512_512_\Osteo_Sarco_1.png","RPT")</f>
        <v>RPT</v>
      </c>
      <c r="G3003" s="3">
        <v>131</v>
      </c>
      <c r="H3003" s="3"/>
    </row>
    <row r="3004" spans="1:8" x14ac:dyDescent="0.3">
      <c r="A3004" s="2">
        <v>9440888</v>
      </c>
      <c r="B3004" s="2">
        <v>51</v>
      </c>
      <c r="C3004" s="2" t="s">
        <v>5</v>
      </c>
      <c r="D3004" s="2">
        <v>100</v>
      </c>
      <c r="E3004" s="2"/>
      <c r="F3004" s="4" t="str">
        <f>HYPERLINK("./Results/DLO\20180901_1.3.12.2.1107.5.1.4.65253.30000018091419524330600024660_2_512_512_\Osteo_Sarco_1.png","RPT")</f>
        <v>RPT</v>
      </c>
      <c r="G3004" s="3">
        <v>129</v>
      </c>
      <c r="H3004" s="3"/>
    </row>
    <row r="3005" spans="1:8" x14ac:dyDescent="0.3">
      <c r="A3005" s="2">
        <v>9440897</v>
      </c>
      <c r="B3005" s="2">
        <v>51</v>
      </c>
      <c r="C3005" s="2" t="s">
        <v>5</v>
      </c>
      <c r="D3005" s="2">
        <v>100</v>
      </c>
      <c r="E3005" s="2"/>
      <c r="F3005" s="4" t="str">
        <f>HYPERLINK("./Results/DLO\20181001_1.3.46.670589.33.1.63673986895013558500001.5281117178331231830_201_512_512_\Osteo_Sarco_1.png","RPT")</f>
        <v>RPT</v>
      </c>
      <c r="G3005" s="3">
        <v>175</v>
      </c>
      <c r="H3005" s="3"/>
    </row>
    <row r="3006" spans="1:8" x14ac:dyDescent="0.3">
      <c r="A3006" s="2">
        <v>9440976</v>
      </c>
      <c r="B3006" s="2">
        <v>54</v>
      </c>
      <c r="C3006" s="2" t="s">
        <v>6</v>
      </c>
      <c r="D3006" s="2">
        <v>100</v>
      </c>
      <c r="E3006" s="2"/>
      <c r="F3006" s="4" t="str">
        <f>HYPERLINK("./Results/DLO\20180901_1.3.12.2.1107.5.1.4.54310.30000018092800164720300003316_2_512_512_\Osteo_Sarco_1.png","RPT")</f>
        <v>RPT</v>
      </c>
      <c r="G3006" s="3">
        <v>94</v>
      </c>
      <c r="H3006" s="3"/>
    </row>
    <row r="3007" spans="1:8" x14ac:dyDescent="0.3">
      <c r="A3007" s="2">
        <v>9441542</v>
      </c>
      <c r="B3007" s="2">
        <v>66</v>
      </c>
      <c r="C3007" s="2" t="s">
        <v>6</v>
      </c>
      <c r="D3007" s="2">
        <v>140</v>
      </c>
      <c r="E3007" s="2"/>
      <c r="F3007" s="4" t="str">
        <f>HYPERLINK("./Results/DLO\20180901_1.2.840.113619.2.416.90706723634923607324091129357355019574_302_512_512_\Osteo_Sarco_1.png","RPT")</f>
        <v>RPT</v>
      </c>
      <c r="G3007" s="3">
        <v>107</v>
      </c>
      <c r="H3007" s="3"/>
    </row>
    <row r="3008" spans="1:8" x14ac:dyDescent="0.3">
      <c r="A3008" s="2">
        <v>9441542</v>
      </c>
      <c r="B3008" s="2">
        <v>66</v>
      </c>
      <c r="C3008" s="2" t="s">
        <v>6</v>
      </c>
      <c r="D3008" s="2">
        <v>120</v>
      </c>
      <c r="E3008" s="2"/>
      <c r="F3008" s="4" t="str">
        <f>HYPERLINK("./Results/DLO\20180901_1.2.840.113619.2.416.86048857489733908281006699189076627611_2_512_512_\Osteo_Sarco_1.png","RPT")</f>
        <v>RPT</v>
      </c>
      <c r="G3008" s="3">
        <v>105</v>
      </c>
      <c r="H3008" s="3"/>
    </row>
    <row r="3009" spans="1:8" x14ac:dyDescent="0.3">
      <c r="A3009" s="2">
        <v>9441896</v>
      </c>
      <c r="B3009" s="2">
        <v>61</v>
      </c>
      <c r="C3009" s="2" t="s">
        <v>5</v>
      </c>
      <c r="D3009" s="2">
        <v>120</v>
      </c>
      <c r="E3009" s="2"/>
      <c r="F3009" s="4" t="str">
        <f>HYPERLINK("./Results/DLO\_1.2.410.100011.172.24.16.220.6367407155974301291.2.2_2_512_512_\Osteo_Sarco_1.png","RPT")</f>
        <v>RPT</v>
      </c>
      <c r="G3009" s="3">
        <v>169</v>
      </c>
      <c r="H3009" s="3"/>
    </row>
    <row r="3010" spans="1:8" x14ac:dyDescent="0.3">
      <c r="A3010" s="2">
        <v>9441959</v>
      </c>
      <c r="B3010" s="2">
        <v>72</v>
      </c>
      <c r="C3010" s="2" t="s">
        <v>5</v>
      </c>
      <c r="D3010" s="2">
        <v>140</v>
      </c>
      <c r="E3010" s="2"/>
      <c r="F3010" s="4" t="str">
        <f>HYPERLINK("./Results/DLO\20191201_1.2.840.113619.2.416.157758448267188729921749467757175062542_306_512_512_\Osteo_Sarco_1.png","RPT")</f>
        <v>RPT</v>
      </c>
      <c r="G3010" s="3">
        <v>192</v>
      </c>
      <c r="H3010" s="3"/>
    </row>
    <row r="3011" spans="1:8" x14ac:dyDescent="0.3">
      <c r="A3011" s="2">
        <v>9441959</v>
      </c>
      <c r="B3011" s="2">
        <v>72</v>
      </c>
      <c r="C3011" s="2" t="s">
        <v>5</v>
      </c>
      <c r="D3011" s="2">
        <v>140</v>
      </c>
      <c r="E3011" s="2"/>
      <c r="F3011" s="4" t="str">
        <f>HYPERLINK("./Results/DLO\20191201_1.2.840.113619.2.416.64973516331283547494267427413243655368_303_512_512_\Osteo_Sarco_1.png","RPT")</f>
        <v>RPT</v>
      </c>
      <c r="G3011" s="3">
        <v>191</v>
      </c>
      <c r="H3011" s="3"/>
    </row>
    <row r="3012" spans="1:8" x14ac:dyDescent="0.3">
      <c r="A3012" s="2">
        <v>9441959</v>
      </c>
      <c r="B3012" s="2">
        <v>72</v>
      </c>
      <c r="C3012" s="2" t="s">
        <v>5</v>
      </c>
      <c r="D3012" s="2">
        <v>140</v>
      </c>
      <c r="E3012" s="2"/>
      <c r="F3012" s="4" t="str">
        <f>HYPERLINK("./Results/DLO\20191201_1.2.840.113619.2.416.279909386184721941803329266525627890558_301_512_512_\Osteo_Sarco_1.png","RPT")</f>
        <v>RPT</v>
      </c>
      <c r="G3012" s="3">
        <v>190</v>
      </c>
      <c r="H3012" s="3"/>
    </row>
    <row r="3013" spans="1:8" x14ac:dyDescent="0.3">
      <c r="A3013" s="2">
        <v>9441959</v>
      </c>
      <c r="B3013" s="2">
        <v>72</v>
      </c>
      <c r="C3013" s="2" t="s">
        <v>5</v>
      </c>
      <c r="D3013" s="2">
        <v>140</v>
      </c>
      <c r="E3013" s="2"/>
      <c r="F3013" s="4" t="str">
        <f>HYPERLINK("./Results/DLO\20191201_1.2.840.113619.2.416.299647628771858683735508499177859691875_2_512_512_\Osteo_Sarco_1.png","RPT")</f>
        <v>RPT</v>
      </c>
      <c r="G3013" s="3">
        <v>187</v>
      </c>
      <c r="H3013" s="3"/>
    </row>
    <row r="3014" spans="1:8" x14ac:dyDescent="0.3">
      <c r="A3014" s="2">
        <v>9442945</v>
      </c>
      <c r="B3014" s="2">
        <v>74</v>
      </c>
      <c r="C3014" s="2" t="s">
        <v>6</v>
      </c>
      <c r="D3014" s="2">
        <v>120</v>
      </c>
      <c r="E3014" s="2"/>
      <c r="F3014" s="4" t="str">
        <f>HYPERLINK("./Results/DLO\20180501_1.2.410.100011.172.16.68.202.6367296689126617241.3.3_3_512_512_\Osteo_Sarco_1.png","RPT")</f>
        <v>RPT</v>
      </c>
      <c r="G3014" s="3">
        <v>114</v>
      </c>
      <c r="H3014" s="3"/>
    </row>
    <row r="3015" spans="1:8" x14ac:dyDescent="0.3">
      <c r="A3015" s="2">
        <v>9442945</v>
      </c>
      <c r="B3015" s="2">
        <v>74</v>
      </c>
      <c r="C3015" s="2" t="s">
        <v>6</v>
      </c>
      <c r="D3015" s="2">
        <v>120</v>
      </c>
      <c r="E3015" s="2"/>
      <c r="F3015" s="4" t="str">
        <f>HYPERLINK("./Results/DLO\20180501_1.2.410.100011.172.16.68.202.6367296689126617241.2.2_2_512_512_\Osteo_Sarco_1.png","RPT")</f>
        <v>RPT</v>
      </c>
      <c r="G3015" s="3">
        <v>113</v>
      </c>
      <c r="H3015" s="3"/>
    </row>
    <row r="3016" spans="1:8" x14ac:dyDescent="0.3">
      <c r="A3016" s="2">
        <v>9444634</v>
      </c>
      <c r="B3016" s="2">
        <v>74</v>
      </c>
      <c r="C3016" s="2" t="s">
        <v>6</v>
      </c>
      <c r="D3016" s="2">
        <v>100</v>
      </c>
      <c r="E3016" s="2"/>
      <c r="F3016" s="4" t="str">
        <f>HYPERLINK("./Results/DLO\20190401_1.3.46.670589.33.1.63689734399560864200001.4624246536500057311_201_512_512_\Osteo_Sarco_1.png","RPT")</f>
        <v>RPT</v>
      </c>
      <c r="G3016" s="3">
        <v>105</v>
      </c>
      <c r="H3016" s="3"/>
    </row>
    <row r="3017" spans="1:8" x14ac:dyDescent="0.3">
      <c r="A3017" s="2">
        <v>9444634</v>
      </c>
      <c r="B3017" s="2">
        <v>74</v>
      </c>
      <c r="C3017" s="2" t="s">
        <v>6</v>
      </c>
      <c r="D3017" s="2">
        <v>100</v>
      </c>
      <c r="E3017" s="2"/>
      <c r="F3017" s="4" t="str">
        <f>HYPERLINK("./Results/DLO\20190401_1.3.46.670589.33.1.63689734513255367100001.5565621488823277177_301_512_512_\Osteo_Sarco_1.png","RPT")</f>
        <v>RPT</v>
      </c>
      <c r="G3017" s="3">
        <v>103</v>
      </c>
      <c r="H3017" s="3"/>
    </row>
    <row r="3018" spans="1:8" x14ac:dyDescent="0.3">
      <c r="A3018" s="2">
        <v>9444742</v>
      </c>
      <c r="B3018" s="2">
        <v>37</v>
      </c>
      <c r="C3018" s="2" t="s">
        <v>6</v>
      </c>
      <c r="D3018" s="2">
        <v>100</v>
      </c>
      <c r="E3018" s="2"/>
      <c r="F3018" s="4" t="str">
        <f>HYPERLINK("./Results/DLO\20181101_1.3.12.2.1107.5.1.4.65253.30000018112521135692300016530_2_512_512_\Osteo_Sarco_1.png","RPT")</f>
        <v>RPT</v>
      </c>
      <c r="G3018" s="3">
        <v>86</v>
      </c>
      <c r="H3018" s="3"/>
    </row>
    <row r="3019" spans="1:8" x14ac:dyDescent="0.3">
      <c r="A3019" s="2">
        <v>9466484</v>
      </c>
      <c r="B3019" s="2">
        <v>48</v>
      </c>
      <c r="C3019" s="2" t="s">
        <v>5</v>
      </c>
      <c r="D3019" s="2">
        <v>100</v>
      </c>
      <c r="E3019" s="2"/>
      <c r="F3019" s="4" t="str">
        <f>HYPERLINK("./Results/DLO\20181001_1.3.12.2.1107.5.1.4.65253.30000018101918161339600003986_2_512_512_\Osteo_Sarco_1.png","RPT")</f>
        <v>RPT</v>
      </c>
      <c r="G3019" s="3">
        <v>157</v>
      </c>
      <c r="H3019" s="3"/>
    </row>
    <row r="3020" spans="1:8" x14ac:dyDescent="0.3">
      <c r="A3020" s="2">
        <v>9466763</v>
      </c>
      <c r="B3020" s="2">
        <v>48</v>
      </c>
      <c r="C3020" s="2" t="s">
        <v>6</v>
      </c>
      <c r="D3020" s="2">
        <v>100</v>
      </c>
      <c r="E3020" s="2"/>
      <c r="F3020" s="4" t="str">
        <f>HYPERLINK("./Results/DLO\20181001_1.2.840.113619.2.311.258266666919461930339035337969880325694_303_512_512_\Osteo_Sarco_1.png","RPT")</f>
        <v>RPT</v>
      </c>
      <c r="G3020" s="3">
        <v>131</v>
      </c>
      <c r="H3020" s="3"/>
    </row>
    <row r="3021" spans="1:8" x14ac:dyDescent="0.3">
      <c r="A3021" s="2">
        <v>9466854</v>
      </c>
      <c r="B3021" s="2">
        <v>44</v>
      </c>
      <c r="C3021" s="2" t="s">
        <v>6</v>
      </c>
      <c r="D3021" s="2">
        <v>100</v>
      </c>
      <c r="E3021" s="2"/>
      <c r="F3021" s="4" t="str">
        <f>HYPERLINK("./Results/DLO\20181001_1.2.410.100011.172.16.68.202.6367433798945270991.5.7_7_512_512_\Osteo_Sarco_1.png","RPT")</f>
        <v>RPT</v>
      </c>
      <c r="G3021" s="3">
        <v>136</v>
      </c>
      <c r="H3021" s="3"/>
    </row>
    <row r="3022" spans="1:8" x14ac:dyDescent="0.3">
      <c r="A3022" s="2">
        <v>9466854</v>
      </c>
      <c r="B3022" s="2">
        <v>44</v>
      </c>
      <c r="C3022" s="2" t="s">
        <v>6</v>
      </c>
      <c r="D3022" s="2">
        <v>100</v>
      </c>
      <c r="E3022" s="2"/>
      <c r="F3022" s="4" t="str">
        <f>HYPERLINK("./Results/DLO\20181001_1.2.410.100011.172.16.68.202.6367433798945270991.6.8_8_512_512_\Osteo_Sarco_1.png","RPT")</f>
        <v>RPT</v>
      </c>
      <c r="G3022" s="3">
        <v>135</v>
      </c>
      <c r="H3022" s="3"/>
    </row>
    <row r="3023" spans="1:8" x14ac:dyDescent="0.3">
      <c r="A3023" s="2">
        <v>9466854</v>
      </c>
      <c r="B3023" s="2">
        <v>44</v>
      </c>
      <c r="C3023" s="2" t="s">
        <v>6</v>
      </c>
      <c r="D3023" s="2">
        <v>100</v>
      </c>
      <c r="E3023" s="2"/>
      <c r="F3023" s="4" t="str">
        <f>HYPERLINK("./Results/DLO\20181001_1.2.410.100011.172.16.68.202.6367433798945270991.3.5_5_512_512_\Osteo_Sarco_1.png","RPT")</f>
        <v>RPT</v>
      </c>
      <c r="G3023" s="3">
        <v>134</v>
      </c>
      <c r="H3023" s="3"/>
    </row>
    <row r="3024" spans="1:8" x14ac:dyDescent="0.3">
      <c r="A3024" s="2">
        <v>9466854</v>
      </c>
      <c r="B3024" s="2">
        <v>44</v>
      </c>
      <c r="C3024" s="2" t="s">
        <v>6</v>
      </c>
      <c r="D3024" s="2">
        <v>100</v>
      </c>
      <c r="E3024" s="2"/>
      <c r="F3024" s="4" t="str">
        <f>HYPERLINK("./Results/DLO\20181001_1.2.410.100011.172.16.68.202.6367433798945270991.4.6_6_512_512_\Osteo_Sarco_1.png","RPT")</f>
        <v>RPT</v>
      </c>
      <c r="G3024" s="3">
        <v>134</v>
      </c>
      <c r="H3024" s="3"/>
    </row>
    <row r="3025" spans="1:8" x14ac:dyDescent="0.3">
      <c r="A3025" s="2">
        <v>9466854</v>
      </c>
      <c r="B3025" s="2">
        <v>44</v>
      </c>
      <c r="C3025" s="2" t="s">
        <v>6</v>
      </c>
      <c r="D3025" s="2">
        <v>100</v>
      </c>
      <c r="E3025" s="2"/>
      <c r="F3025" s="4" t="str">
        <f>HYPERLINK("./Results/DLO\20181001_1.2.410.100011.172.16.68.202.6367433798945270991.2.4_4_512_512_\Osteo_Sarco_1.png","RPT")</f>
        <v>RPT</v>
      </c>
      <c r="G3025" s="3">
        <v>133</v>
      </c>
      <c r="H3025" s="3"/>
    </row>
    <row r="3026" spans="1:8" x14ac:dyDescent="0.3">
      <c r="A3026" s="2">
        <v>9467453</v>
      </c>
      <c r="B3026" s="2">
        <v>44</v>
      </c>
      <c r="C3026" s="2" t="s">
        <v>5</v>
      </c>
      <c r="D3026" s="2">
        <v>100</v>
      </c>
      <c r="E3026" s="2"/>
      <c r="F3026" s="4" t="str">
        <f>HYPERLINK("./Results/DLO\20180801_1.2.410.100011.172.24.80.187.6367458657761989633.5_5_512_512_\Osteo_Sarco_1.png","RPT")</f>
        <v>RPT</v>
      </c>
      <c r="G3026" s="3">
        <v>141</v>
      </c>
      <c r="H3026" s="3"/>
    </row>
    <row r="3027" spans="1:8" x14ac:dyDescent="0.3">
      <c r="A3027" s="2">
        <v>9467453</v>
      </c>
      <c r="B3027" s="2">
        <v>44</v>
      </c>
      <c r="C3027" s="2" t="s">
        <v>5</v>
      </c>
      <c r="D3027" s="2">
        <v>90</v>
      </c>
      <c r="E3027" s="2"/>
      <c r="F3027" s="4" t="str">
        <f>HYPERLINK("./Results/DLO\20180801_1.2.410.100011.172.24.80.187.6367458657761989633.4_4_512_512_\Osteo_Sarco_1.png","RPT")</f>
        <v>RPT</v>
      </c>
      <c r="G3027" s="3">
        <v>140</v>
      </c>
      <c r="H3027" s="3"/>
    </row>
    <row r="3028" spans="1:8" x14ac:dyDescent="0.3">
      <c r="A3028" s="2">
        <v>9467453</v>
      </c>
      <c r="B3028" s="2">
        <v>44</v>
      </c>
      <c r="C3028" s="2" t="s">
        <v>5</v>
      </c>
      <c r="D3028" s="2">
        <v>100</v>
      </c>
      <c r="E3028" s="2"/>
      <c r="F3028" s="4" t="str">
        <f>HYPERLINK("./Results/DLO\20180801_1.2.410.100011.172.24.80.187.6367458657761989633.2_2_512_512_\Osteo_Sarco_1.png","RPT")</f>
        <v>RPT</v>
      </c>
      <c r="G3028" s="3">
        <v>137</v>
      </c>
      <c r="H3028" s="3"/>
    </row>
    <row r="3029" spans="1:8" x14ac:dyDescent="0.3">
      <c r="A3029" s="2">
        <v>9467496</v>
      </c>
      <c r="B3029" s="2">
        <v>52</v>
      </c>
      <c r="C3029" s="2" t="s">
        <v>5</v>
      </c>
      <c r="D3029" s="2">
        <v>100</v>
      </c>
      <c r="E3029" s="2"/>
      <c r="F3029" s="4" t="str">
        <f>HYPERLINK("./Results/DLO\20181201_1.3.12.2.1107.5.1.4.54310.30000018122323111123400048313_3_512_512_\Osteo_Sarco_1.png","RPT")</f>
        <v>RPT</v>
      </c>
      <c r="G3029" s="3">
        <v>154</v>
      </c>
      <c r="H3029" s="3"/>
    </row>
    <row r="3030" spans="1:8" x14ac:dyDescent="0.3">
      <c r="A3030" s="2">
        <v>9467496</v>
      </c>
      <c r="B3030" s="2">
        <v>52</v>
      </c>
      <c r="C3030" s="2" t="s">
        <v>5</v>
      </c>
      <c r="D3030" s="2">
        <v>100</v>
      </c>
      <c r="E3030" s="2"/>
      <c r="F3030" s="4" t="str">
        <f>HYPERLINK("./Results/DLO\20181201_1.3.12.2.1107.5.1.4.54310.30000018122323111123400048143_2_512_512_\Osteo_Sarco_1.png","RPT")</f>
        <v>RPT</v>
      </c>
      <c r="G3030" s="3">
        <v>153</v>
      </c>
      <c r="H3030" s="3"/>
    </row>
    <row r="3031" spans="1:8" x14ac:dyDescent="0.3">
      <c r="A3031" s="2">
        <v>9467509</v>
      </c>
      <c r="B3031" s="2">
        <v>34</v>
      </c>
      <c r="C3031" s="2" t="s">
        <v>5</v>
      </c>
      <c r="D3031" s="2">
        <v>120</v>
      </c>
      <c r="E3031" s="2"/>
      <c r="F3031" s="4" t="str">
        <f>HYPERLINK("./Results/DLO\20181001_1.2.392.200036.9116.2.5.1.37.2429916360.1538376967.838511_10_512_512_\Osteo_Sarco_1.png","RPT")</f>
        <v>RPT</v>
      </c>
      <c r="G3031" s="3">
        <v>166</v>
      </c>
      <c r="H3031" s="3"/>
    </row>
    <row r="3032" spans="1:8" x14ac:dyDescent="0.3">
      <c r="A3032" s="2">
        <v>9467509</v>
      </c>
      <c r="B3032" s="2">
        <v>34</v>
      </c>
      <c r="C3032" s="2" t="s">
        <v>5</v>
      </c>
      <c r="D3032" s="2">
        <v>120</v>
      </c>
      <c r="E3032" s="2"/>
      <c r="F3032" s="4" t="str">
        <f>HYPERLINK("./Results/DLO\20181001_1.2.392.200036.9116.2.5.1.37.2429916360.1538376389.290549_5_512_512_\Osteo_Sarco_1.png","RPT")</f>
        <v>RPT</v>
      </c>
      <c r="G3032" s="3">
        <v>161</v>
      </c>
      <c r="H3032" s="3"/>
    </row>
    <row r="3033" spans="1:8" x14ac:dyDescent="0.3">
      <c r="A3033" s="2">
        <v>9467509</v>
      </c>
      <c r="B3033" s="2">
        <v>34</v>
      </c>
      <c r="C3033" s="2" t="s">
        <v>5</v>
      </c>
      <c r="D3033" s="2">
        <v>120</v>
      </c>
      <c r="E3033" s="2"/>
      <c r="F3033" s="4" t="str">
        <f>HYPERLINK("./Results/DLO\20181001_1.2.392.200036.9116.2.5.1.37.2429916360.1538376443.675927_6_512_512_\Osteo_Sarco_1.png","RPT")</f>
        <v>RPT</v>
      </c>
      <c r="G3033" s="3">
        <v>161</v>
      </c>
      <c r="H3033" s="3"/>
    </row>
    <row r="3034" spans="1:8" x14ac:dyDescent="0.3">
      <c r="A3034" s="2">
        <v>9467509</v>
      </c>
      <c r="B3034" s="2">
        <v>34</v>
      </c>
      <c r="C3034" s="2" t="s">
        <v>5</v>
      </c>
      <c r="D3034" s="2">
        <v>120</v>
      </c>
      <c r="E3034" s="2"/>
      <c r="F3034" s="4" t="str">
        <f>HYPERLINK("./Results/DLO\20181001_1.2.392.200036.9116.2.5.1.37.2429916360.1538376291.569828_3_512_512_\Osteo_Sarco_1.png","RPT")</f>
        <v>RPT</v>
      </c>
      <c r="G3034" s="3">
        <v>160</v>
      </c>
      <c r="H3034" s="3"/>
    </row>
    <row r="3035" spans="1:8" x14ac:dyDescent="0.3">
      <c r="A3035" s="2">
        <v>9473084</v>
      </c>
      <c r="B3035" s="2">
        <v>51</v>
      </c>
      <c r="C3035" s="2" t="s">
        <v>6</v>
      </c>
      <c r="D3035" s="2">
        <v>100</v>
      </c>
      <c r="E3035" s="2"/>
      <c r="F3035" s="4" t="str">
        <f>HYPERLINK("./Results/DLO\20191001_1.2.410.100011.172.16.44.21.6370613018064966633.2_2_512_512_\Osteo_Sarco_1.png","RPT")</f>
        <v>RPT</v>
      </c>
      <c r="G3035" s="3">
        <v>27</v>
      </c>
      <c r="H3035" s="3"/>
    </row>
    <row r="3036" spans="1:8" x14ac:dyDescent="0.3">
      <c r="A3036" s="2">
        <v>9474469</v>
      </c>
      <c r="B3036" s="2">
        <v>51</v>
      </c>
      <c r="C3036" s="2" t="s">
        <v>6</v>
      </c>
      <c r="D3036" s="2">
        <v>100</v>
      </c>
      <c r="E3036" s="2"/>
      <c r="F3036" s="4" t="str">
        <f>HYPERLINK("./Results/DLO\20191101_1.2.840.113619.2.416.38301159312692718604705257561967570693_310_512_512_\Osteo_Sarco_1.png","RPT")</f>
        <v>RPT</v>
      </c>
      <c r="G3036" s="3">
        <v>121</v>
      </c>
      <c r="H3036" s="3"/>
    </row>
    <row r="3037" spans="1:8" x14ac:dyDescent="0.3">
      <c r="A3037" s="2">
        <v>9476121</v>
      </c>
      <c r="B3037" s="2">
        <v>53</v>
      </c>
      <c r="C3037" s="2" t="s">
        <v>5</v>
      </c>
      <c r="D3037" s="2">
        <v>100</v>
      </c>
      <c r="E3037" s="2"/>
      <c r="F3037" s="4" t="str">
        <f>HYPERLINK("./Results/DLO\20181001_1.2.840.113619.2.311.48323757932053548337317886059441124874_4_512_512_\Osteo_Sarco_1.png","RPT")</f>
        <v>RPT</v>
      </c>
      <c r="G3037" s="3">
        <v>167</v>
      </c>
      <c r="H3037" s="3"/>
    </row>
    <row r="3038" spans="1:8" x14ac:dyDescent="0.3">
      <c r="A3038" s="2">
        <v>9476121</v>
      </c>
      <c r="B3038" s="2">
        <v>53</v>
      </c>
      <c r="C3038" s="2" t="s">
        <v>5</v>
      </c>
      <c r="D3038" s="2">
        <v>100</v>
      </c>
      <c r="E3038" s="2"/>
      <c r="F3038" s="4" t="str">
        <f>HYPERLINK("./Results/DLO\20181001_1.2.840.113619.2.311.322593134372542991025114793811389595314_2_512_512_\Osteo_Sarco_1.png","RPT")</f>
        <v>RPT</v>
      </c>
      <c r="G3038" s="3">
        <v>165</v>
      </c>
      <c r="H3038" s="3"/>
    </row>
    <row r="3039" spans="1:8" x14ac:dyDescent="0.3">
      <c r="A3039" s="2">
        <v>9476121</v>
      </c>
      <c r="B3039" s="2">
        <v>53</v>
      </c>
      <c r="C3039" s="2" t="s">
        <v>5</v>
      </c>
      <c r="D3039" s="2">
        <v>100</v>
      </c>
      <c r="E3039" s="2"/>
      <c r="F3039" s="4" t="str">
        <f>HYPERLINK("./Results/DLO\20181001_1.2.840.113619.2.311.396924771492085515697897328950828389_311_512_512_\Osteo_Sarco_1.png","RPT")</f>
        <v>RPT</v>
      </c>
      <c r="G3039" s="3">
        <v>165</v>
      </c>
      <c r="H3039" s="3"/>
    </row>
    <row r="3040" spans="1:8" x14ac:dyDescent="0.3">
      <c r="A3040" s="2">
        <v>9476121</v>
      </c>
      <c r="B3040" s="2">
        <v>53</v>
      </c>
      <c r="C3040" s="2" t="s">
        <v>5</v>
      </c>
      <c r="D3040" s="2">
        <v>100</v>
      </c>
      <c r="E3040" s="2"/>
      <c r="F3040" s="4" t="str">
        <f>HYPERLINK("./Results/DLO\20181001_1.2.840.113619.2.311.204784972297731416300493721657870450791_312_512_512_\Osteo_Sarco_1.png","RPT")</f>
        <v>RPT</v>
      </c>
      <c r="G3040" s="3">
        <v>164</v>
      </c>
      <c r="H3040" s="3"/>
    </row>
    <row r="3041" spans="1:8" x14ac:dyDescent="0.3">
      <c r="A3041" s="2">
        <v>9479088</v>
      </c>
      <c r="B3041" s="2">
        <v>52</v>
      </c>
      <c r="C3041" s="2" t="s">
        <v>6</v>
      </c>
      <c r="D3041" s="2">
        <v>100</v>
      </c>
      <c r="E3041" s="2"/>
      <c r="F3041" s="4" t="str">
        <f>HYPERLINK("./Results/DLO\20191201_1.3.12.2.1107.5.1.4.54310.30000019120121175873400039066_10_512_512_\Osteo_Sarco_1.png","RPT")</f>
        <v>RPT</v>
      </c>
      <c r="G3041" s="3">
        <v>107</v>
      </c>
      <c r="H3041" s="3"/>
    </row>
    <row r="3042" spans="1:8" x14ac:dyDescent="0.3">
      <c r="A3042" s="2">
        <v>9481396</v>
      </c>
      <c r="B3042" s="2">
        <v>48</v>
      </c>
      <c r="C3042" s="2" t="s">
        <v>6</v>
      </c>
      <c r="D3042" s="2">
        <v>100</v>
      </c>
      <c r="E3042" s="2"/>
      <c r="F3042" s="4" t="str">
        <f>HYPERLINK("./Results/DLO\20181001_1.2.840.113619.2.94.485650834948.2.9170831.19943781.1_2_512_512_\Osteo_Sarco_1.png","RPT")</f>
        <v>RPT</v>
      </c>
      <c r="G3042" s="3">
        <v>123</v>
      </c>
      <c r="H3042" s="3"/>
    </row>
    <row r="3043" spans="1:8" x14ac:dyDescent="0.3">
      <c r="A3043" s="2">
        <v>9481478</v>
      </c>
      <c r="B3043" s="2">
        <v>41</v>
      </c>
      <c r="C3043" s="2" t="s">
        <v>6</v>
      </c>
      <c r="D3043" s="2">
        <v>100</v>
      </c>
      <c r="E3043" s="2"/>
      <c r="F3043" s="4" t="str">
        <f>HYPERLINK("./Results/DLO\20181101_1.2.840.113619.2.416.214155776927894422781100970798746546930_304_512_512_\Osteo_Sarco_1.png","RPT")</f>
        <v>RPT</v>
      </c>
      <c r="G3043" s="3">
        <v>89</v>
      </c>
      <c r="H3043" s="3"/>
    </row>
    <row r="3044" spans="1:8" x14ac:dyDescent="0.3">
      <c r="A3044" s="2">
        <v>9485957</v>
      </c>
      <c r="B3044" s="2">
        <v>60</v>
      </c>
      <c r="C3044" s="2" t="s">
        <v>5</v>
      </c>
      <c r="D3044" s="2">
        <v>100</v>
      </c>
      <c r="E3044" s="2"/>
      <c r="F3044" s="4" t="str">
        <f>HYPERLINK("./Results/DLO\20181001_1.3.12.2.1107.5.1.4.65253.30000018103018572732600013091_3_512_512_\Osteo_Sarco_1.png","RPT")</f>
        <v>RPT</v>
      </c>
      <c r="G3044" s="3">
        <v>160</v>
      </c>
      <c r="H3044" s="3"/>
    </row>
    <row r="3045" spans="1:8" x14ac:dyDescent="0.3">
      <c r="A3045" s="2">
        <v>9485957</v>
      </c>
      <c r="B3045" s="2">
        <v>60</v>
      </c>
      <c r="C3045" s="2" t="s">
        <v>5</v>
      </c>
      <c r="D3045" s="2">
        <v>100</v>
      </c>
      <c r="E3045" s="2"/>
      <c r="F3045" s="4" t="str">
        <f>HYPERLINK("./Results/DLO\20181001_1.3.12.2.1107.5.1.4.65253.30000018103018572732600012931_2_512_512_\Osteo_Sarco_1.png","RPT")</f>
        <v>RPT</v>
      </c>
      <c r="G3045" s="3">
        <v>157</v>
      </c>
      <c r="H3045" s="3"/>
    </row>
    <row r="3046" spans="1:8" x14ac:dyDescent="0.3">
      <c r="A3046" s="2">
        <v>9486038</v>
      </c>
      <c r="B3046" s="2">
        <v>35</v>
      </c>
      <c r="C3046" s="2" t="s">
        <v>6</v>
      </c>
      <c r="D3046" s="2">
        <v>100</v>
      </c>
      <c r="E3046" s="2"/>
      <c r="F3046" s="4" t="str">
        <f>HYPERLINK("./Results/DLO\20181201_1.2.840.113619.2.311.142946798872187234499047758958446345556_304_512_512_\Osteo_Sarco_1.png","RPT")</f>
        <v>RPT</v>
      </c>
      <c r="G3046" s="3">
        <v>110</v>
      </c>
      <c r="H3046" s="3"/>
    </row>
    <row r="3047" spans="1:8" x14ac:dyDescent="0.3">
      <c r="A3047" s="2">
        <v>9488459</v>
      </c>
      <c r="B3047" s="2">
        <v>57</v>
      </c>
      <c r="C3047" s="2" t="s">
        <v>6</v>
      </c>
      <c r="D3047" s="2">
        <v>100</v>
      </c>
      <c r="E3047" s="2"/>
      <c r="F3047" s="4" t="str">
        <f>HYPERLINK("./Results/DLO\20181001_1.2.840.113619.2.94.485650834948.2.9154805.19904112.1_2_512_512_\Osteo_Sarco_1.png","RPT")</f>
        <v>RPT</v>
      </c>
      <c r="G3047" s="3">
        <v>92</v>
      </c>
      <c r="H3047" s="3"/>
    </row>
    <row r="3048" spans="1:8" x14ac:dyDescent="0.3">
      <c r="A3048" s="2">
        <v>9490135</v>
      </c>
      <c r="B3048" s="2">
        <v>62</v>
      </c>
      <c r="C3048" s="2" t="s">
        <v>6</v>
      </c>
      <c r="D3048" s="2">
        <v>100</v>
      </c>
      <c r="E3048" s="2"/>
      <c r="F3048" s="4" t="str">
        <f>HYPERLINK("./Results/DLO\20181201_1.2.840.113619.2.416.332916763253681142077931761286327884687_302_512_512_\Osteo_Sarco_1.png","RPT")</f>
        <v>RPT</v>
      </c>
      <c r="G3048" s="3">
        <v>121</v>
      </c>
      <c r="H3048" s="3"/>
    </row>
    <row r="3049" spans="1:8" x14ac:dyDescent="0.3">
      <c r="A3049" s="2">
        <v>9490135</v>
      </c>
      <c r="B3049" s="2">
        <v>62</v>
      </c>
      <c r="C3049" s="2" t="s">
        <v>6</v>
      </c>
      <c r="D3049" s="2">
        <v>100</v>
      </c>
      <c r="E3049" s="2"/>
      <c r="F3049" s="4" t="str">
        <f>HYPERLINK("./Results/DLO\20181201_1.2.840.113619.2.416.254003209397964596344712981335219159154_301_512_512_\Osteo_Sarco_1.png","RPT")</f>
        <v>RPT</v>
      </c>
      <c r="G3049" s="3">
        <v>119</v>
      </c>
      <c r="H3049" s="3"/>
    </row>
    <row r="3050" spans="1:8" x14ac:dyDescent="0.3">
      <c r="A3050" s="2">
        <v>9491115</v>
      </c>
      <c r="B3050" s="2">
        <v>62</v>
      </c>
      <c r="C3050" s="2" t="s">
        <v>6</v>
      </c>
      <c r="D3050" s="2">
        <v>120</v>
      </c>
      <c r="E3050" s="2"/>
      <c r="F3050" s="4" t="str">
        <f>HYPERLINK("./Results/DLO\20181101_1.3.12.2.1107.5.1.4.65420.30000018113000395387000000737_4_512_512_\Osteo_Sarco_1.png","RPT")</f>
        <v>RPT</v>
      </c>
      <c r="G3050" s="3">
        <v>104</v>
      </c>
      <c r="H3050" s="3"/>
    </row>
    <row r="3051" spans="1:8" x14ac:dyDescent="0.3">
      <c r="A3051" s="2">
        <v>9491115</v>
      </c>
      <c r="B3051" s="2">
        <v>62</v>
      </c>
      <c r="C3051" s="2" t="s">
        <v>6</v>
      </c>
      <c r="D3051" s="2">
        <v>120</v>
      </c>
      <c r="E3051" s="2"/>
      <c r="F3051" s="4" t="str">
        <f>HYPERLINK("./Results/DLO\20181101_1.3.12.2.1107.5.1.4.65420.30000018113000395387000001302_6_512_512_\Osteo_Sarco_1.png","RPT")</f>
        <v>RPT</v>
      </c>
      <c r="G3051" s="3">
        <v>102</v>
      </c>
      <c r="H3051" s="3"/>
    </row>
    <row r="3052" spans="1:8" x14ac:dyDescent="0.3">
      <c r="A3052" s="2">
        <v>9491285</v>
      </c>
      <c r="B3052" s="2">
        <v>70</v>
      </c>
      <c r="C3052" s="2" t="s">
        <v>5</v>
      </c>
      <c r="D3052" s="2">
        <v>140</v>
      </c>
      <c r="E3052" s="2"/>
      <c r="F3052" s="4" t="str">
        <f>HYPERLINK("./Results/DLO\20181001_1.2.840.113619.2.416.252771929453304689496103020961827668547_308_512_512_\Osteo_Sarco_1.png","RPT")</f>
        <v>RPT</v>
      </c>
      <c r="G3052" s="3">
        <v>170</v>
      </c>
      <c r="H3052" s="3"/>
    </row>
    <row r="3053" spans="1:8" x14ac:dyDescent="0.3">
      <c r="A3053" s="2">
        <v>9491285</v>
      </c>
      <c r="B3053" s="2">
        <v>70</v>
      </c>
      <c r="C3053" s="2" t="s">
        <v>5</v>
      </c>
      <c r="D3053" s="2">
        <v>140</v>
      </c>
      <c r="E3053" s="2"/>
      <c r="F3053" s="4" t="str">
        <f>HYPERLINK("./Results/DLO\20181001_1.2.840.113619.2.416.294433177210654459266256338865226893316_303_512_512_\Osteo_Sarco_1.png","RPT")</f>
        <v>RPT</v>
      </c>
      <c r="G3053" s="3">
        <v>166</v>
      </c>
      <c r="H3053" s="3"/>
    </row>
    <row r="3054" spans="1:8" x14ac:dyDescent="0.3">
      <c r="A3054" s="2">
        <v>9491285</v>
      </c>
      <c r="B3054" s="2">
        <v>70</v>
      </c>
      <c r="C3054" s="2" t="s">
        <v>5</v>
      </c>
      <c r="D3054" s="2">
        <v>140</v>
      </c>
      <c r="E3054" s="2"/>
      <c r="F3054" s="4" t="str">
        <f>HYPERLINK("./Results/DLO\20181001_1.2.840.113619.2.416.311212645867930551648200188316487616216_305_512_512_\Osteo_Sarco_1.png","RPT")</f>
        <v>RPT</v>
      </c>
      <c r="G3054" s="3">
        <v>126</v>
      </c>
      <c r="H3054" s="3"/>
    </row>
    <row r="3055" spans="1:8" x14ac:dyDescent="0.3">
      <c r="A3055" s="2">
        <v>9491311</v>
      </c>
      <c r="B3055" s="2">
        <v>51</v>
      </c>
      <c r="C3055" s="2" t="s">
        <v>6</v>
      </c>
      <c r="D3055" s="2">
        <v>100</v>
      </c>
      <c r="E3055" s="2"/>
      <c r="F3055" s="4" t="str">
        <f>HYPERLINK("./Results/DLO\20181001_1.2.840.113619.2.311.173920350124221142588646260979156867410_304_512_512_\Osteo_Sarco_1.png","RPT")</f>
        <v>RPT</v>
      </c>
      <c r="G3055" s="3">
        <v>90</v>
      </c>
      <c r="H3055" s="3"/>
    </row>
    <row r="3056" spans="1:8" x14ac:dyDescent="0.3">
      <c r="A3056" s="2">
        <v>9493244</v>
      </c>
      <c r="B3056" s="2">
        <v>46</v>
      </c>
      <c r="C3056" s="2" t="s">
        <v>6</v>
      </c>
      <c r="D3056" s="2">
        <v>100</v>
      </c>
      <c r="E3056" s="2"/>
      <c r="F3056" s="4" t="str">
        <f>HYPERLINK("./Results/DLO\20181001_1.2.840.113619.2.311.152955756853914909637151572926174080909_304_512_512_\Osteo_Sarco_1.png","RPT")</f>
        <v>RPT</v>
      </c>
      <c r="G3056" s="3">
        <v>100</v>
      </c>
      <c r="H3056" s="3"/>
    </row>
    <row r="3057" spans="1:8" x14ac:dyDescent="0.3">
      <c r="A3057" s="2">
        <v>9493637</v>
      </c>
      <c r="B3057" s="2">
        <v>41</v>
      </c>
      <c r="C3057" s="2" t="s">
        <v>6</v>
      </c>
      <c r="D3057" s="2">
        <v>100</v>
      </c>
      <c r="E3057" s="2"/>
      <c r="F3057" s="4" t="str">
        <f>HYPERLINK("./Results/DLO\20181001_1.2.840.113619.2.311.40082382207522776779908418122121477669_303_512_512_\Osteo_Sarco_1.png","RPT")</f>
        <v>RPT</v>
      </c>
      <c r="G3057" s="3">
        <v>84</v>
      </c>
      <c r="H3057" s="3"/>
    </row>
    <row r="3058" spans="1:8" x14ac:dyDescent="0.3">
      <c r="A3058" s="2">
        <v>9493649</v>
      </c>
      <c r="B3058" s="2">
        <v>36</v>
      </c>
      <c r="C3058" s="2" t="s">
        <v>6</v>
      </c>
      <c r="D3058" s="2">
        <v>100</v>
      </c>
      <c r="E3058" s="2"/>
      <c r="F3058" s="4" t="str">
        <f>HYPERLINK("./Results/DLO\20181001_1.2.840.113619.2.311.12406477006833149080973326969372597523_304_512_512_\Osteo_Sarco_1.png","RPT")</f>
        <v>RPT</v>
      </c>
      <c r="G3058" s="3">
        <v>124</v>
      </c>
      <c r="H3058" s="3"/>
    </row>
    <row r="3059" spans="1:8" x14ac:dyDescent="0.3">
      <c r="A3059" s="2">
        <v>9496382</v>
      </c>
      <c r="B3059" s="2">
        <v>51</v>
      </c>
      <c r="C3059" s="2" t="s">
        <v>6</v>
      </c>
      <c r="D3059" s="2">
        <v>100</v>
      </c>
      <c r="E3059" s="2"/>
      <c r="F3059" s="4" t="str">
        <f>HYPERLINK("./Results/DLO\20181201_1.2.840.113619.2.94.485650834948.2.9302101.20268762.1_2_512_512_\Osteo_Sarco_1.png","RPT")</f>
        <v>RPT</v>
      </c>
      <c r="G3059" s="3">
        <v>82</v>
      </c>
      <c r="H3059" s="3"/>
    </row>
    <row r="3060" spans="1:8" x14ac:dyDescent="0.3">
      <c r="A3060" s="2">
        <v>9497336</v>
      </c>
      <c r="B3060" s="2">
        <v>50</v>
      </c>
      <c r="C3060" s="2" t="s">
        <v>5</v>
      </c>
      <c r="D3060" s="2">
        <v>100</v>
      </c>
      <c r="E3060" s="2"/>
      <c r="F3060" s="4" t="str">
        <f>HYPERLINK("./Results/DLO\20181201_1.3.46.670589.33.1.63680031167983442300001.5213381357138615784_201_512_512_\Osteo_Sarco_1.png","RPT")</f>
        <v>RPT</v>
      </c>
      <c r="G3060" s="3">
        <v>172</v>
      </c>
      <c r="H3060" s="3"/>
    </row>
    <row r="3061" spans="1:8" x14ac:dyDescent="0.3">
      <c r="A3061" s="2">
        <v>9497453</v>
      </c>
      <c r="B3061" s="2">
        <v>63</v>
      </c>
      <c r="C3061" s="2" t="s">
        <v>5</v>
      </c>
      <c r="D3061" s="2">
        <v>140</v>
      </c>
      <c r="E3061" s="2"/>
      <c r="F3061" s="4" t="str">
        <f>HYPERLINK("./Results/DLO\20181101_1.2.840.113619.2.416.124395222776790968561580422766172659785_302_512_512_\Osteo_Sarco_1.png","RPT")</f>
        <v>RPT</v>
      </c>
      <c r="G3061" s="3">
        <v>159</v>
      </c>
      <c r="H3061" s="3"/>
    </row>
    <row r="3062" spans="1:8" x14ac:dyDescent="0.3">
      <c r="A3062" s="2">
        <v>9497453</v>
      </c>
      <c r="B3062" s="2">
        <v>63</v>
      </c>
      <c r="C3062" s="2" t="s">
        <v>5</v>
      </c>
      <c r="D3062" s="2">
        <v>140</v>
      </c>
      <c r="E3062" s="2"/>
      <c r="F3062" s="4" t="str">
        <f>HYPERLINK("./Results/DLO\20181101_1.2.840.113619.2.416.153943729788764857659723500575883577792_303_512_512_\Osteo_Sarco_1.png","RPT")</f>
        <v>RPT</v>
      </c>
      <c r="G3062" s="3">
        <v>159</v>
      </c>
      <c r="H3062" s="3"/>
    </row>
    <row r="3063" spans="1:8" x14ac:dyDescent="0.3">
      <c r="A3063" s="2">
        <v>9498843</v>
      </c>
      <c r="B3063" s="2">
        <v>44</v>
      </c>
      <c r="C3063" s="2" t="s">
        <v>5</v>
      </c>
      <c r="D3063" s="2">
        <v>100</v>
      </c>
      <c r="E3063" s="2"/>
      <c r="F3063" s="4" t="str">
        <f>HYPERLINK("./Results/DLO\20181001_1.2.410.100011.172.16.68.202.6367676216446955631.5.7_7_512_512_\Osteo_Sarco_1.png","RPT")</f>
        <v>RPT</v>
      </c>
      <c r="G3063" s="3">
        <v>174</v>
      </c>
      <c r="H3063" s="3"/>
    </row>
    <row r="3064" spans="1:8" x14ac:dyDescent="0.3">
      <c r="A3064" s="2">
        <v>9498843</v>
      </c>
      <c r="B3064" s="2">
        <v>44</v>
      </c>
      <c r="C3064" s="2" t="s">
        <v>5</v>
      </c>
      <c r="D3064" s="2">
        <v>100</v>
      </c>
      <c r="E3064" s="2"/>
      <c r="F3064" s="4" t="str">
        <f>HYPERLINK("./Results/DLO\20181001_1.2.410.100011.172.16.68.202.6367676216446955631.4.6_6_512_512_\Osteo_Sarco_1.png","RPT")</f>
        <v>RPT</v>
      </c>
      <c r="G3064" s="3">
        <v>173</v>
      </c>
      <c r="H3064" s="3"/>
    </row>
    <row r="3065" spans="1:8" x14ac:dyDescent="0.3">
      <c r="A3065" s="2">
        <v>9498843</v>
      </c>
      <c r="B3065" s="2">
        <v>44</v>
      </c>
      <c r="C3065" s="2" t="s">
        <v>5</v>
      </c>
      <c r="D3065" s="2">
        <v>100</v>
      </c>
      <c r="E3065" s="2"/>
      <c r="F3065" s="4" t="str">
        <f>HYPERLINK("./Results/DLO\20181001_1.2.410.100011.172.16.68.202.6367676216446955631.3.5_5_512_512_\Osteo_Sarco_1.png","RPT")</f>
        <v>RPT</v>
      </c>
      <c r="G3065" s="3">
        <v>172</v>
      </c>
      <c r="H3065" s="3"/>
    </row>
    <row r="3066" spans="1:8" x14ac:dyDescent="0.3">
      <c r="A3066" s="2">
        <v>9498843</v>
      </c>
      <c r="B3066" s="2">
        <v>44</v>
      </c>
      <c r="C3066" s="2" t="s">
        <v>5</v>
      </c>
      <c r="D3066" s="2">
        <v>100</v>
      </c>
      <c r="E3066" s="2"/>
      <c r="F3066" s="4" t="str">
        <f>HYPERLINK("./Results/DLO\20181001_1.2.410.100011.172.16.68.202.6367676216446955631.2.4_4_512_512_\Osteo_Sarco_1.png","RPT")</f>
        <v>RPT</v>
      </c>
      <c r="G3066" s="3">
        <v>168</v>
      </c>
      <c r="H3066" s="3"/>
    </row>
    <row r="3067" spans="1:8" x14ac:dyDescent="0.3">
      <c r="A3067" s="2">
        <v>9500760</v>
      </c>
      <c r="B3067" s="2">
        <v>34</v>
      </c>
      <c r="C3067" s="2" t="s">
        <v>6</v>
      </c>
      <c r="D3067" s="2">
        <v>100</v>
      </c>
      <c r="E3067" s="2"/>
      <c r="F3067" s="4" t="str">
        <f>HYPERLINK("./Results/DLO\20181101_1.2.410.100011.172.24.16.221.6367717532536364532.1_1_512_512_\Osteo_Sarco_1.png","RPT")</f>
        <v>RPT</v>
      </c>
      <c r="G3067" s="3">
        <v>96</v>
      </c>
      <c r="H3067" s="3"/>
    </row>
    <row r="3068" spans="1:8" x14ac:dyDescent="0.3">
      <c r="A3068" s="2">
        <v>9503421</v>
      </c>
      <c r="B3068" s="2">
        <v>44</v>
      </c>
      <c r="C3068" s="2" t="s">
        <v>6</v>
      </c>
      <c r="D3068" s="2">
        <v>100</v>
      </c>
      <c r="E3068" s="2"/>
      <c r="F3068" s="4" t="str">
        <f>HYPERLINK("./Results/DLO\20191101_1.3.12.2.1107.5.1.4.54310.30000019112421230878100048577_10_512_512_\Osteo_Sarco_1.png","RPT")</f>
        <v>RPT</v>
      </c>
      <c r="G3068" s="3">
        <v>93</v>
      </c>
      <c r="H3068" s="3"/>
    </row>
    <row r="3069" spans="1:8" x14ac:dyDescent="0.3">
      <c r="A3069" s="2">
        <v>9504964</v>
      </c>
      <c r="B3069" s="2">
        <v>53</v>
      </c>
      <c r="C3069" s="2" t="s">
        <v>5</v>
      </c>
      <c r="D3069" s="2">
        <v>120</v>
      </c>
      <c r="E3069" s="2"/>
      <c r="F3069" s="4" t="str">
        <f>HYPERLINK("./Results/DLO\20190401_1.3.12.2.1107.5.1.4.54310.30000019042523095350000002920_9_512_512_\Osteo_Sarco_1.png","RPT")</f>
        <v>RPT</v>
      </c>
      <c r="G3069" s="3">
        <v>155</v>
      </c>
      <c r="H3069" s="3"/>
    </row>
    <row r="3070" spans="1:8" x14ac:dyDescent="0.3">
      <c r="A3070" s="2">
        <v>9504964</v>
      </c>
      <c r="B3070" s="2">
        <v>53</v>
      </c>
      <c r="C3070" s="2" t="s">
        <v>5</v>
      </c>
      <c r="D3070" s="2">
        <v>120</v>
      </c>
      <c r="E3070" s="2"/>
      <c r="F3070" s="4" t="str">
        <f>HYPERLINK("./Results/DLO\20190401_1.3.12.2.1107.5.1.4.54310.30000019042523095350000002646_7_512_512_\Osteo_Sarco_1.png","RPT")</f>
        <v>RPT</v>
      </c>
      <c r="G3070" s="3">
        <v>154</v>
      </c>
      <c r="H3070" s="3"/>
    </row>
    <row r="3071" spans="1:8" x14ac:dyDescent="0.3">
      <c r="A3071" s="2">
        <v>9504964</v>
      </c>
      <c r="B3071" s="2">
        <v>53</v>
      </c>
      <c r="C3071" s="2" t="s">
        <v>5</v>
      </c>
      <c r="D3071" s="2">
        <v>100</v>
      </c>
      <c r="E3071" s="2"/>
      <c r="F3071" s="4" t="str">
        <f>HYPERLINK("./Results/DLO\20190401_1.3.12.2.1107.5.1.4.54310.30000019042523095350000002147_3_512_512_\Osteo_Sarco_1.png","RPT")</f>
        <v>RPT</v>
      </c>
      <c r="G3071" s="3">
        <v>152</v>
      </c>
      <c r="H3071" s="3"/>
    </row>
    <row r="3072" spans="1:8" x14ac:dyDescent="0.3">
      <c r="A3072" s="2">
        <v>9504964</v>
      </c>
      <c r="B3072" s="2">
        <v>53</v>
      </c>
      <c r="C3072" s="2" t="s">
        <v>5</v>
      </c>
      <c r="D3072" s="2">
        <v>120</v>
      </c>
      <c r="E3072" s="2"/>
      <c r="F3072" s="4" t="str">
        <f>HYPERLINK("./Results/DLO\20190401_1.3.12.2.1107.5.1.4.54310.30000019042523095350000002248_5_512_512_\Osteo_Sarco_1.png","RPT")</f>
        <v>RPT</v>
      </c>
      <c r="G3072" s="3">
        <v>152</v>
      </c>
      <c r="H3072" s="3"/>
    </row>
    <row r="3073" spans="1:8" x14ac:dyDescent="0.3">
      <c r="A3073" s="2">
        <v>9507221</v>
      </c>
      <c r="B3073" s="2">
        <v>49</v>
      </c>
      <c r="C3073" s="2" t="s">
        <v>6</v>
      </c>
      <c r="D3073" s="2">
        <v>100</v>
      </c>
      <c r="E3073" s="2"/>
      <c r="F3073" s="4" t="str">
        <f>HYPERLINK("./Results/DLO\20181101_1.2.840.113619.2.311.190024955141583090092460008190367421687_304_512_512_\Osteo_Sarco_1.png","RPT")</f>
        <v>RPT</v>
      </c>
      <c r="G3073" s="3">
        <v>124</v>
      </c>
      <c r="H3073" s="3"/>
    </row>
    <row r="3074" spans="1:8" x14ac:dyDescent="0.3">
      <c r="A3074" s="2">
        <v>9508634</v>
      </c>
      <c r="B3074" s="2">
        <v>61</v>
      </c>
      <c r="C3074" s="2" t="s">
        <v>5</v>
      </c>
      <c r="D3074" s="2">
        <v>120</v>
      </c>
      <c r="E3074" s="2"/>
      <c r="F3074" s="4" t="str">
        <f>HYPERLINK("./Results/DLO\20181001_1.2.410.100011.172.16.68.202.6367839105603336211.5.701_701_512_512_\Osteo_Sarco_1.png","RPT")</f>
        <v>RPT</v>
      </c>
      <c r="G3074" s="3">
        <v>182</v>
      </c>
      <c r="H3074" s="3"/>
    </row>
    <row r="3075" spans="1:8" x14ac:dyDescent="0.3">
      <c r="A3075" s="2">
        <v>9508634</v>
      </c>
      <c r="B3075" s="2">
        <v>61</v>
      </c>
      <c r="C3075" s="2" t="s">
        <v>5</v>
      </c>
      <c r="D3075" s="2">
        <v>120</v>
      </c>
      <c r="E3075" s="2"/>
      <c r="F3075" s="4" t="str">
        <f>HYPERLINK("./Results/DLO\20181001_1.2.410.100011.172.16.68.202.6367839105603336211.3.501_501_512_512_\Osteo_Sarco_1.png","RPT")</f>
        <v>RPT</v>
      </c>
      <c r="G3075" s="3">
        <v>181</v>
      </c>
      <c r="H3075" s="3"/>
    </row>
    <row r="3076" spans="1:8" x14ac:dyDescent="0.3">
      <c r="A3076" s="2">
        <v>9508634</v>
      </c>
      <c r="B3076" s="2">
        <v>61</v>
      </c>
      <c r="C3076" s="2" t="s">
        <v>5</v>
      </c>
      <c r="D3076" s="2">
        <v>120</v>
      </c>
      <c r="E3076" s="2"/>
      <c r="F3076" s="4" t="str">
        <f>HYPERLINK("./Results/DLO\20181001_1.2.410.100011.172.16.68.202.6367839105603336211.4.601_601_512_512_\Osteo_Sarco_1.png","RPT")</f>
        <v>RPT</v>
      </c>
      <c r="G3076" s="3">
        <v>181</v>
      </c>
      <c r="H3076" s="3"/>
    </row>
    <row r="3077" spans="1:8" x14ac:dyDescent="0.3">
      <c r="A3077" s="2">
        <v>9508634</v>
      </c>
      <c r="B3077" s="2">
        <v>61</v>
      </c>
      <c r="C3077" s="2" t="s">
        <v>5</v>
      </c>
      <c r="D3077" s="2">
        <v>120</v>
      </c>
      <c r="E3077" s="2"/>
      <c r="F3077" s="4" t="str">
        <f>HYPERLINK("./Results/DLO\20181001_1.2.410.100011.172.16.68.202.6367839105603336211.2.201_201_512_512_\Osteo_Sarco_1.png","RPT")</f>
        <v>RPT</v>
      </c>
      <c r="G3077" s="3">
        <v>177</v>
      </c>
      <c r="H3077" s="3"/>
    </row>
    <row r="3078" spans="1:8" x14ac:dyDescent="0.3">
      <c r="A3078" s="2">
        <v>9512147</v>
      </c>
      <c r="B3078" s="2">
        <v>50</v>
      </c>
      <c r="C3078" s="2" t="s">
        <v>6</v>
      </c>
      <c r="D3078" s="2">
        <v>120</v>
      </c>
      <c r="E3078" s="2"/>
      <c r="F3078" s="4" t="str">
        <f>HYPERLINK("./Results/DLO\20181101_1.2.392.200036.9116.2.6.1.48.1211376315.1541656071.989730_9_512_512_\Osteo_Sarco_1.png","RPT")</f>
        <v>RPT</v>
      </c>
      <c r="G3078" s="3">
        <v>111</v>
      </c>
      <c r="H3078" s="3"/>
    </row>
    <row r="3079" spans="1:8" x14ac:dyDescent="0.3">
      <c r="A3079" s="2">
        <v>9512147</v>
      </c>
      <c r="B3079" s="2">
        <v>50</v>
      </c>
      <c r="C3079" s="2" t="s">
        <v>6</v>
      </c>
      <c r="D3079" s="2">
        <v>120</v>
      </c>
      <c r="E3079" s="2"/>
      <c r="F3079" s="4" t="str">
        <f>HYPERLINK("./Results/DLO\20181101_1.2.392.200036.9116.2.6.1.48.1211387233.1541655907.274540_6_512_512_\Osteo_Sarco_1.png","RPT")</f>
        <v>RPT</v>
      </c>
      <c r="G3079" s="3">
        <v>110</v>
      </c>
      <c r="H3079" s="3"/>
    </row>
    <row r="3080" spans="1:8" x14ac:dyDescent="0.3">
      <c r="A3080" s="2">
        <v>9512147</v>
      </c>
      <c r="B3080" s="2">
        <v>50</v>
      </c>
      <c r="C3080" s="2" t="s">
        <v>6</v>
      </c>
      <c r="D3080" s="2">
        <v>120</v>
      </c>
      <c r="E3080" s="2"/>
      <c r="F3080" s="4" t="str">
        <f>HYPERLINK("./Results/DLO\20181101_1.2.392.200036.9116.2.6.1.48.1211376315.1541655618.827320_3_512_512_\Osteo_Sarco_1.png","RPT")</f>
        <v>RPT</v>
      </c>
      <c r="G3080" s="3">
        <v>106</v>
      </c>
      <c r="H3080" s="3"/>
    </row>
    <row r="3081" spans="1:8" x14ac:dyDescent="0.3">
      <c r="A3081" s="2">
        <v>9512147</v>
      </c>
      <c r="B3081" s="2">
        <v>50</v>
      </c>
      <c r="C3081" s="2" t="s">
        <v>6</v>
      </c>
      <c r="D3081" s="2">
        <v>100</v>
      </c>
      <c r="E3081" s="2"/>
      <c r="F3081" s="4" t="str">
        <f>HYPERLINK("./Results/DLO\20181101_1.2.392.200036.9116.2.6.1.48.1211376315.1541655562.943088_2_512_512_\Osteo_Sarco_1.png","RPT")</f>
        <v>RPT</v>
      </c>
      <c r="G3081" s="3">
        <v>103</v>
      </c>
      <c r="H3081" s="3"/>
    </row>
    <row r="3082" spans="1:8" x14ac:dyDescent="0.3">
      <c r="A3082" s="2">
        <v>9513954</v>
      </c>
      <c r="B3082" s="2">
        <v>28</v>
      </c>
      <c r="C3082" s="2" t="s">
        <v>5</v>
      </c>
      <c r="D3082" s="2">
        <v>100</v>
      </c>
      <c r="E3082" s="2"/>
      <c r="F3082" s="4" t="str">
        <f>HYPERLINK("./Results/DLO\20200201_1.3.46.670589.33.1.63716927572575420500001.5692608831589494600_201_512_512_\Osteo_Sarco_1.png","RPT")</f>
        <v>RPT</v>
      </c>
      <c r="G3082" s="3">
        <v>152</v>
      </c>
      <c r="H3082" s="3"/>
    </row>
    <row r="3083" spans="1:8" x14ac:dyDescent="0.3">
      <c r="A3083" s="2">
        <v>9515260</v>
      </c>
      <c r="B3083" s="2">
        <v>63</v>
      </c>
      <c r="C3083" s="2" t="s">
        <v>6</v>
      </c>
      <c r="D3083" s="2">
        <v>80</v>
      </c>
      <c r="E3083" s="2"/>
      <c r="F3083" s="4" t="str">
        <f>HYPERLINK("./Results/DLO\20190901_1.3.12.2.1107.5.1.4.65253.30000019091218471390500006991_3_512_512_\Osteo_Sarco_1.png","RPT")</f>
        <v>RPT</v>
      </c>
      <c r="G3083" s="3">
        <v>110</v>
      </c>
      <c r="H3083" s="3"/>
    </row>
    <row r="3084" spans="1:8" x14ac:dyDescent="0.3">
      <c r="A3084" s="2">
        <v>9515260</v>
      </c>
      <c r="B3084" s="2">
        <v>63</v>
      </c>
      <c r="C3084" s="2" t="s">
        <v>6</v>
      </c>
      <c r="D3084" s="2">
        <v>100</v>
      </c>
      <c r="E3084" s="2"/>
      <c r="F3084" s="4" t="str">
        <f>HYPERLINK("./Results/DLO\20190901_1.3.12.2.1107.5.1.4.65253.30000019091218471390500006801_2_512_512_\Osteo_Sarco_1.png","RPT")</f>
        <v>RPT</v>
      </c>
      <c r="G3084" s="3">
        <v>109</v>
      </c>
      <c r="H3084" s="3"/>
    </row>
    <row r="3085" spans="1:8" x14ac:dyDescent="0.3">
      <c r="A3085" s="2">
        <v>9515861</v>
      </c>
      <c r="B3085" s="2">
        <v>69</v>
      </c>
      <c r="C3085" s="2" t="s">
        <v>5</v>
      </c>
      <c r="D3085" s="2">
        <v>100</v>
      </c>
      <c r="E3085" s="2"/>
      <c r="F3085" s="4" t="str">
        <f>HYPERLINK("./Results/DLO\20190601_1.3.12.2.1107.5.1.4.54310.30000019062322103253100033408_2_512_512_\Osteo_Sarco_1.png","RPT")</f>
        <v>RPT</v>
      </c>
      <c r="G3085" s="3">
        <v>144</v>
      </c>
      <c r="H3085" s="3"/>
    </row>
    <row r="3086" spans="1:8" x14ac:dyDescent="0.3">
      <c r="A3086" s="2">
        <v>9516295</v>
      </c>
      <c r="B3086" s="2">
        <v>46</v>
      </c>
      <c r="C3086" s="2" t="s">
        <v>6</v>
      </c>
      <c r="D3086" s="2">
        <v>100</v>
      </c>
      <c r="E3086" s="2"/>
      <c r="F3086" s="4" t="str">
        <f>HYPERLINK("./Results/DLO\20181201_1.2.840.113619.2.311.37684559473679560544431753667569005994_304_512_512_\Osteo_Sarco_1.png","RPT")</f>
        <v>RPT</v>
      </c>
      <c r="G3086" s="3">
        <v>123</v>
      </c>
      <c r="H3086" s="3"/>
    </row>
    <row r="3087" spans="1:8" x14ac:dyDescent="0.3">
      <c r="A3087" s="2">
        <v>9516453</v>
      </c>
      <c r="B3087" s="2">
        <v>53</v>
      </c>
      <c r="C3087" s="2" t="s">
        <v>6</v>
      </c>
      <c r="D3087" s="2">
        <v>100</v>
      </c>
      <c r="E3087" s="2"/>
      <c r="F3087" s="4" t="str">
        <f>HYPERLINK("./Results/DLO\20181201_1.3.46.670589.33.1.63680378753779581400001.5597165153796169301_201_512_512_\Osteo_Sarco_1.png","RPT")</f>
        <v>RPT</v>
      </c>
      <c r="G3087" s="3">
        <v>117</v>
      </c>
      <c r="H3087" s="3"/>
    </row>
    <row r="3088" spans="1:8" x14ac:dyDescent="0.3">
      <c r="A3088" s="2">
        <v>9518320</v>
      </c>
      <c r="B3088" s="2">
        <v>40</v>
      </c>
      <c r="C3088" s="2" t="s">
        <v>5</v>
      </c>
      <c r="D3088" s="2">
        <v>100</v>
      </c>
      <c r="E3088" s="2"/>
      <c r="F3088" s="4" t="str">
        <f>HYPERLINK("./Results/DLO\20191201_1.3.46.670589.33.1.63712341551343209400001.4732100910361666900_201_512_512_\Osteo_Sarco_1.png","RPT")</f>
        <v>RPT</v>
      </c>
      <c r="G3088" s="3">
        <v>160</v>
      </c>
      <c r="H3088" s="3"/>
    </row>
    <row r="3089" spans="1:8" x14ac:dyDescent="0.3">
      <c r="A3089" s="2">
        <v>9518476</v>
      </c>
      <c r="B3089" s="2">
        <v>52</v>
      </c>
      <c r="C3089" s="2" t="s">
        <v>6</v>
      </c>
      <c r="D3089" s="2">
        <v>100</v>
      </c>
      <c r="E3089" s="2"/>
      <c r="F3089" s="4" t="str">
        <f>HYPERLINK("./Results/DLO\20181201_1.2.840.113619.2.311.176022638150598838612551448957335166655_304_512_512_\Osteo_Sarco_1.png","RPT")</f>
        <v>RPT</v>
      </c>
      <c r="G3089" s="3">
        <v>111</v>
      </c>
      <c r="H3089" s="3"/>
    </row>
    <row r="3090" spans="1:8" x14ac:dyDescent="0.3">
      <c r="A3090" s="2">
        <v>9520170</v>
      </c>
      <c r="B3090" s="2">
        <v>59</v>
      </c>
      <c r="C3090" s="2" t="s">
        <v>6</v>
      </c>
      <c r="D3090" s="2">
        <v>100</v>
      </c>
      <c r="E3090" s="2"/>
      <c r="F3090" s="4" t="str">
        <f>HYPERLINK("./Results/DLO\20190101_1.3.46.670589.33.1.63682718295180449600001.4904439648820910448_601_512_512_\Osteo_Sarco_1.png","RPT")</f>
        <v>RPT</v>
      </c>
      <c r="G3090" s="3">
        <v>94</v>
      </c>
      <c r="H3090" s="3"/>
    </row>
    <row r="3091" spans="1:8" x14ac:dyDescent="0.3">
      <c r="A3091" s="2">
        <v>9521289</v>
      </c>
      <c r="B3091" s="2">
        <v>54</v>
      </c>
      <c r="C3091" s="2" t="s">
        <v>6</v>
      </c>
      <c r="D3091" s="2">
        <v>100</v>
      </c>
      <c r="E3091" s="2"/>
      <c r="F3091" s="4" t="str">
        <f>HYPERLINK("./Results/DLO\20181201_1.3.12.2.1107.5.1.4.54310.30000018121000053173400010768_2_512_512_\Osteo_Sarco_1.png","RPT")</f>
        <v>RPT</v>
      </c>
      <c r="G3091" s="3">
        <v>114</v>
      </c>
      <c r="H3091" s="3"/>
    </row>
    <row r="3092" spans="1:8" x14ac:dyDescent="0.3">
      <c r="A3092" s="2">
        <v>9523633</v>
      </c>
      <c r="B3092" s="2">
        <v>56</v>
      </c>
      <c r="C3092" s="2" t="s">
        <v>6</v>
      </c>
      <c r="D3092" s="2">
        <v>100</v>
      </c>
      <c r="E3092" s="2"/>
      <c r="F3092" s="4" t="str">
        <f>HYPERLINK("./Results/DLO\20190401_1.3.12.2.1107.5.1.4.65253.30000019040419163826100040899_7_512_512_\Osteo_Sarco_1.png","RPT")</f>
        <v>RPT</v>
      </c>
      <c r="G3092" s="3">
        <v>119</v>
      </c>
      <c r="H3092" s="3"/>
    </row>
    <row r="3093" spans="1:8" x14ac:dyDescent="0.3">
      <c r="A3093" s="2">
        <v>9523633</v>
      </c>
      <c r="B3093" s="2">
        <v>56</v>
      </c>
      <c r="C3093" s="2" t="s">
        <v>6</v>
      </c>
      <c r="D3093" s="2">
        <v>100</v>
      </c>
      <c r="E3093" s="2"/>
      <c r="F3093" s="4" t="str">
        <f>HYPERLINK("./Results/DLO\20190401_1.3.12.2.1107.5.1.4.65253.30000019040419163826100041070_8_512_512_\Osteo_Sarco_1.png","RPT")</f>
        <v>RPT</v>
      </c>
      <c r="G3093" s="3">
        <v>119</v>
      </c>
      <c r="H3093" s="3"/>
    </row>
    <row r="3094" spans="1:8" x14ac:dyDescent="0.3">
      <c r="A3094" s="2">
        <v>9523633</v>
      </c>
      <c r="B3094" s="2">
        <v>56</v>
      </c>
      <c r="C3094" s="2" t="s">
        <v>6</v>
      </c>
      <c r="D3094" s="2">
        <v>100</v>
      </c>
      <c r="E3094" s="2"/>
      <c r="F3094" s="4" t="str">
        <f>HYPERLINK("./Results/DLO\20190401_1.3.12.2.1107.5.1.4.65253.30000019040419163826100040392_5_512_512_\Osteo_Sarco_1.png","RPT")</f>
        <v>RPT</v>
      </c>
      <c r="G3094" s="3">
        <v>117</v>
      </c>
      <c r="H3094" s="3"/>
    </row>
    <row r="3095" spans="1:8" x14ac:dyDescent="0.3">
      <c r="A3095" s="2">
        <v>9523633</v>
      </c>
      <c r="B3095" s="2">
        <v>56</v>
      </c>
      <c r="C3095" s="2" t="s">
        <v>6</v>
      </c>
      <c r="D3095" s="2">
        <v>100</v>
      </c>
      <c r="E3095" s="2"/>
      <c r="F3095" s="4" t="str">
        <f>HYPERLINK("./Results/DLO\20190401_1.3.12.2.1107.5.1.4.65253.30000019040419163826100040295_2_512_512_\Osteo_Sarco_1.png","RPT")</f>
        <v>RPT</v>
      </c>
      <c r="G3095" s="3">
        <v>115</v>
      </c>
      <c r="H3095" s="3"/>
    </row>
    <row r="3096" spans="1:8" x14ac:dyDescent="0.3">
      <c r="A3096" s="2">
        <v>9524838</v>
      </c>
      <c r="B3096" s="2">
        <v>72</v>
      </c>
      <c r="C3096" s="2" t="s">
        <v>6</v>
      </c>
      <c r="D3096" s="2">
        <v>100</v>
      </c>
      <c r="E3096" s="2"/>
      <c r="F3096" s="4" t="str">
        <f>HYPERLINK("./Results/DLO\20181201_1.3.12.2.1107.5.1.4.65253.30000018120222042451200003109_2_512_512_\Osteo_Sarco_1.png","RPT")</f>
        <v>RPT</v>
      </c>
      <c r="G3096" s="3">
        <v>91</v>
      </c>
      <c r="H3096" s="3"/>
    </row>
    <row r="3097" spans="1:8" x14ac:dyDescent="0.3">
      <c r="A3097" s="2">
        <v>9525277</v>
      </c>
      <c r="B3097" s="2">
        <v>48</v>
      </c>
      <c r="C3097" s="2" t="s">
        <v>5</v>
      </c>
      <c r="D3097" s="2">
        <v>140</v>
      </c>
      <c r="E3097" s="2"/>
      <c r="F3097" s="4" t="str">
        <f>HYPERLINK("./Results/DLO\20190601_1.2.840.113619.2.416.311730258253771590541850767432633271938_302_512_512_\Osteo_Sarco_1.png","RPT")</f>
        <v>RPT</v>
      </c>
      <c r="G3097" s="3">
        <v>193</v>
      </c>
      <c r="H3097" s="3"/>
    </row>
    <row r="3098" spans="1:8" x14ac:dyDescent="0.3">
      <c r="A3098" s="2">
        <v>9525277</v>
      </c>
      <c r="B3098" s="2">
        <v>48</v>
      </c>
      <c r="C3098" s="2" t="s">
        <v>5</v>
      </c>
      <c r="D3098" s="2">
        <v>140</v>
      </c>
      <c r="E3098" s="2"/>
      <c r="F3098" s="4" t="str">
        <f>HYPERLINK("./Results/DLO\20190601_1.2.840.113619.2.416.76364746843810777901790957175891721335_303_512_512_\Osteo_Sarco_1.png","RPT")</f>
        <v>RPT</v>
      </c>
      <c r="G3098" s="3">
        <v>172</v>
      </c>
      <c r="H3098" s="3"/>
    </row>
    <row r="3099" spans="1:8" x14ac:dyDescent="0.3">
      <c r="A3099" s="2">
        <v>9526643</v>
      </c>
      <c r="B3099" s="2">
        <v>39</v>
      </c>
      <c r="C3099" s="2" t="s">
        <v>6</v>
      </c>
      <c r="D3099" s="2">
        <v>100</v>
      </c>
      <c r="E3099" s="2"/>
      <c r="F3099" s="4" t="str">
        <f>HYPERLINK("./Results/DLO\20181201_1.2.840.113619.2.94.485650834948.2.9256284.20156624.1_2_512_512_\Osteo_Sarco_1.png","RPT")</f>
        <v>RPT</v>
      </c>
      <c r="G3099" s="3">
        <v>148</v>
      </c>
      <c r="H3099" s="3"/>
    </row>
    <row r="3100" spans="1:8" x14ac:dyDescent="0.3">
      <c r="A3100" s="2">
        <v>9526825</v>
      </c>
      <c r="B3100" s="2">
        <v>53</v>
      </c>
      <c r="C3100" s="2" t="s">
        <v>5</v>
      </c>
      <c r="D3100" s="2">
        <v>120</v>
      </c>
      <c r="E3100" s="2"/>
      <c r="F3100" s="4" t="str">
        <f>HYPERLINK("./Results/DLO\20181201_1.3.12.2.1107.5.1.4.54310.30000018120623274431200061304_9_512_512_\Osteo_Sarco_1.png","RPT")</f>
        <v>RPT</v>
      </c>
      <c r="G3100" s="3">
        <v>130</v>
      </c>
      <c r="H3100" s="3"/>
    </row>
    <row r="3101" spans="1:8" x14ac:dyDescent="0.3">
      <c r="A3101" s="2">
        <v>9526825</v>
      </c>
      <c r="B3101" s="2">
        <v>53</v>
      </c>
      <c r="C3101" s="2" t="s">
        <v>5</v>
      </c>
      <c r="D3101" s="2">
        <v>120</v>
      </c>
      <c r="E3101" s="2"/>
      <c r="F3101" s="4" t="str">
        <f>HYPERLINK("./Results/DLO\20181201_1.3.12.2.1107.5.1.4.54310.30000018120623274431200060664_5_512_512_\Osteo_Sarco_1.png","RPT")</f>
        <v>RPT</v>
      </c>
      <c r="G3101" s="3">
        <v>129</v>
      </c>
      <c r="H3101" s="3"/>
    </row>
    <row r="3102" spans="1:8" x14ac:dyDescent="0.3">
      <c r="A3102" s="2">
        <v>9526825</v>
      </c>
      <c r="B3102" s="2">
        <v>53</v>
      </c>
      <c r="C3102" s="2" t="s">
        <v>5</v>
      </c>
      <c r="D3102" s="2">
        <v>120</v>
      </c>
      <c r="E3102" s="2"/>
      <c r="F3102" s="4" t="str">
        <f>HYPERLINK("./Results/DLO\20181201_1.3.12.2.1107.5.1.4.54310.30000018120623274431200061074_7_512_512_\Osteo_Sarco_1.png","RPT")</f>
        <v>RPT</v>
      </c>
      <c r="G3102" s="3">
        <v>127</v>
      </c>
      <c r="H3102" s="3"/>
    </row>
    <row r="3103" spans="1:8" x14ac:dyDescent="0.3">
      <c r="A3103" s="2">
        <v>9526825</v>
      </c>
      <c r="B3103" s="2">
        <v>53</v>
      </c>
      <c r="C3103" s="2" t="s">
        <v>5</v>
      </c>
      <c r="D3103" s="2">
        <v>100</v>
      </c>
      <c r="E3103" s="2"/>
      <c r="F3103" s="4" t="str">
        <f>HYPERLINK("./Results/DLO\20181201_1.3.12.2.1107.5.1.4.54310.30000018120623274431200060561_3_512_512_\Osteo_Sarco_1.png","RPT")</f>
        <v>RPT</v>
      </c>
      <c r="G3103" s="3">
        <v>126</v>
      </c>
      <c r="H3103" s="3"/>
    </row>
    <row r="3104" spans="1:8" x14ac:dyDescent="0.3">
      <c r="A3104" s="2">
        <v>9528006</v>
      </c>
      <c r="B3104" s="2">
        <v>49</v>
      </c>
      <c r="C3104" s="2" t="s">
        <v>6</v>
      </c>
      <c r="D3104" s="2">
        <v>100</v>
      </c>
      <c r="E3104" s="2"/>
      <c r="F3104" s="4" t="str">
        <f>HYPERLINK("./Results/DLO\20181201_1.2.840.113619.2.311.174942032801462104219960313209803875597_304_512_512_\Osteo_Sarco_1.png","RPT")</f>
        <v>RPT</v>
      </c>
      <c r="G3104" s="3">
        <v>104</v>
      </c>
      <c r="H3104" s="3"/>
    </row>
    <row r="3105" spans="1:8" x14ac:dyDescent="0.3">
      <c r="A3105" s="2">
        <v>9528010</v>
      </c>
      <c r="B3105" s="2">
        <v>60</v>
      </c>
      <c r="C3105" s="2" t="s">
        <v>5</v>
      </c>
      <c r="D3105" s="2">
        <v>100</v>
      </c>
      <c r="E3105" s="2"/>
      <c r="F3105" s="4" t="str">
        <f>HYPERLINK("./Results/DLO\20190101_1.3.46.670589.33.1.63682538317682145900001.4817309626651682940_201_512_512_\Osteo_Sarco_1.png","RPT")</f>
        <v>RPT</v>
      </c>
      <c r="G3105" s="3">
        <v>148</v>
      </c>
      <c r="H3105" s="3"/>
    </row>
    <row r="3106" spans="1:8" x14ac:dyDescent="0.3">
      <c r="A3106" s="2">
        <v>9528165</v>
      </c>
      <c r="B3106" s="2">
        <v>60</v>
      </c>
      <c r="C3106" s="2" t="s">
        <v>6</v>
      </c>
      <c r="D3106" s="2">
        <v>100</v>
      </c>
      <c r="E3106" s="2"/>
      <c r="F3106" s="4" t="str">
        <f>HYPERLINK("./Results/DLO\20181201_1.3.12.2.1107.5.1.4.54310.30000018121623584253100003195_2_512_512_\Osteo_Sarco_1.png","RPT")</f>
        <v>RPT</v>
      </c>
      <c r="G3106" s="3">
        <v>90</v>
      </c>
      <c r="H3106" s="3"/>
    </row>
    <row r="3107" spans="1:8" x14ac:dyDescent="0.3">
      <c r="A3107" s="2">
        <v>9529065</v>
      </c>
      <c r="B3107" s="2">
        <v>40</v>
      </c>
      <c r="C3107" s="2" t="s">
        <v>5</v>
      </c>
      <c r="D3107" s="2">
        <v>100</v>
      </c>
      <c r="E3107" s="2"/>
      <c r="F3107" s="4" t="str">
        <f>HYPERLINK("./Results/DLO\20181201_1.3.46.670589.33.1.63681417777591674100001.5184510700061143948_201_512_512_\Osteo_Sarco_1.png","RPT")</f>
        <v>RPT</v>
      </c>
      <c r="G3107" s="3">
        <v>161</v>
      </c>
      <c r="H3107" s="3"/>
    </row>
    <row r="3108" spans="1:8" x14ac:dyDescent="0.3">
      <c r="A3108" s="2">
        <v>9534458</v>
      </c>
      <c r="B3108" s="2">
        <v>34</v>
      </c>
      <c r="C3108" s="2" t="s">
        <v>6</v>
      </c>
      <c r="D3108" s="2">
        <v>120</v>
      </c>
      <c r="E3108" s="2"/>
      <c r="F3108" s="4" t="str">
        <f>HYPERLINK("./Results/DLO\20181201_1.2.410.100011.172.16.68.201.6368064548328727224.3_3_512_512_\Osteo_Sarco_1.png","RPT")</f>
        <v>RPT</v>
      </c>
      <c r="G3108" s="3">
        <v>104</v>
      </c>
      <c r="H3108" s="3"/>
    </row>
    <row r="3109" spans="1:8" x14ac:dyDescent="0.3">
      <c r="A3109" s="2">
        <v>9534458</v>
      </c>
      <c r="B3109" s="2">
        <v>34</v>
      </c>
      <c r="C3109" s="2" t="s">
        <v>6</v>
      </c>
      <c r="D3109" s="2">
        <v>120</v>
      </c>
      <c r="E3109" s="2"/>
      <c r="F3109" s="4" t="str">
        <f>HYPERLINK("./Results/DLO\20181201_1.2.410.100011.172.16.68.201.6368064548328727224.2_2_512_512_\Osteo_Sarco_1.png","RPT")</f>
        <v>RPT</v>
      </c>
      <c r="G3109" s="3">
        <v>102</v>
      </c>
      <c r="H3109" s="3"/>
    </row>
    <row r="3110" spans="1:8" x14ac:dyDescent="0.3">
      <c r="A3110" s="2">
        <v>9535394</v>
      </c>
      <c r="B3110" s="2">
        <v>42</v>
      </c>
      <c r="C3110" s="2" t="s">
        <v>5</v>
      </c>
      <c r="D3110" s="2">
        <v>100</v>
      </c>
      <c r="E3110" s="2"/>
      <c r="F3110" s="4" t="str">
        <f>HYPERLINK("./Results/DLO\20190801_1.2.840.113619.2.416.200991251121145167266277870290351234733_310_512_512_\Osteo_Sarco_1.png","RPT")</f>
        <v>RPT</v>
      </c>
      <c r="G3110" s="3">
        <v>155</v>
      </c>
      <c r="H3110" s="3"/>
    </row>
    <row r="3111" spans="1:8" x14ac:dyDescent="0.3">
      <c r="A3111" s="2">
        <v>9537594</v>
      </c>
      <c r="B3111" s="2">
        <v>75</v>
      </c>
      <c r="C3111" s="2" t="s">
        <v>5</v>
      </c>
      <c r="D3111" s="2">
        <v>140</v>
      </c>
      <c r="E3111" s="2"/>
      <c r="F3111" s="4" t="str">
        <f>HYPERLINK("./Results/DLO\20191101_1.2.840.113619.2.416.83153036366993995261319826747528337452_2_512_512_\Osteo_Sarco_1.png","RPT")</f>
        <v>RPT</v>
      </c>
      <c r="G3111" s="3">
        <v>144</v>
      </c>
      <c r="H3111" s="3"/>
    </row>
    <row r="3112" spans="1:8" x14ac:dyDescent="0.3">
      <c r="A3112" s="2">
        <v>9537594</v>
      </c>
      <c r="B3112" s="2">
        <v>75</v>
      </c>
      <c r="C3112" s="2" t="s">
        <v>5</v>
      </c>
      <c r="D3112" s="2">
        <v>140</v>
      </c>
      <c r="E3112" s="2"/>
      <c r="F3112" s="4" t="str">
        <f>HYPERLINK("./Results/DLO\20191101_1.2.840.113619.2.416.191003906098103563575155623271232382797_303_512_512_\Osteo_Sarco_1.png","RPT")</f>
        <v>RPT</v>
      </c>
      <c r="G3112" s="3">
        <v>123</v>
      </c>
      <c r="H3112" s="3"/>
    </row>
    <row r="3113" spans="1:8" x14ac:dyDescent="0.3">
      <c r="A3113" s="2">
        <v>9540871</v>
      </c>
      <c r="B3113" s="2">
        <v>47</v>
      </c>
      <c r="C3113" s="2" t="s">
        <v>6</v>
      </c>
      <c r="D3113" s="2">
        <v>100</v>
      </c>
      <c r="E3113" s="2"/>
      <c r="F3113" s="4" t="str">
        <f>HYPERLINK("./Results/DLO\20191001_1.2.840.113619.2.416.326153312104720191872543192337971100485_314_512_512_\Osteo_Sarco_1.png","RPT")</f>
        <v>RPT</v>
      </c>
      <c r="G3113" s="3">
        <v>107</v>
      </c>
      <c r="H3113" s="3"/>
    </row>
    <row r="3114" spans="1:8" x14ac:dyDescent="0.3">
      <c r="A3114" s="2">
        <v>9543000</v>
      </c>
      <c r="B3114" s="2">
        <v>64</v>
      </c>
      <c r="C3114" s="2" t="s">
        <v>6</v>
      </c>
      <c r="D3114" s="2">
        <v>100</v>
      </c>
      <c r="E3114" s="2"/>
      <c r="F3114" s="4" t="str">
        <f>HYPERLINK("./Results/DLO\20181201_1.2.410.100011.172.16.68.201.63681506760527168719.2_2_512_512_\Osteo_Sarco_1.png","RPT")</f>
        <v>RPT</v>
      </c>
      <c r="G3114" s="3">
        <v>110</v>
      </c>
      <c r="H3114" s="3"/>
    </row>
    <row r="3115" spans="1:8" x14ac:dyDescent="0.3">
      <c r="A3115" s="2">
        <v>9543175</v>
      </c>
      <c r="B3115" s="2">
        <v>56</v>
      </c>
      <c r="C3115" s="2" t="s">
        <v>6</v>
      </c>
      <c r="D3115" s="2">
        <v>100</v>
      </c>
      <c r="E3115" s="2"/>
      <c r="F3115" s="4" t="str">
        <f>HYPERLINK("./Results/DLO\20190101_1.3.12.2.1107.5.1.4.65253.30000019012420445121800014870_2_512_512_\Osteo_Sarco_1.png","RPT")</f>
        <v>RPT</v>
      </c>
      <c r="G3115" s="3">
        <v>93</v>
      </c>
      <c r="H3115" s="3"/>
    </row>
    <row r="3116" spans="1:8" x14ac:dyDescent="0.3">
      <c r="A3116" s="2">
        <v>9544148</v>
      </c>
      <c r="B3116" s="2">
        <v>70</v>
      </c>
      <c r="C3116" s="2" t="s">
        <v>6</v>
      </c>
      <c r="D3116" s="2">
        <v>120</v>
      </c>
      <c r="E3116" s="2"/>
      <c r="F3116" s="4" t="str">
        <f>HYPERLINK("./Results/DLO\20181201_1.3.12.2.1107.5.1.4.73156.30000018122023011178500013754_2_512_512_\Osteo_Sarco_1.png","RPT")</f>
        <v>RPT</v>
      </c>
      <c r="G3116" s="3">
        <v>110</v>
      </c>
      <c r="H3116" s="3"/>
    </row>
    <row r="3117" spans="1:8" x14ac:dyDescent="0.3">
      <c r="A3117" s="2">
        <v>9545040</v>
      </c>
      <c r="B3117" s="2">
        <v>76</v>
      </c>
      <c r="C3117" s="2" t="s">
        <v>6</v>
      </c>
      <c r="D3117" s="2">
        <v>100</v>
      </c>
      <c r="E3117" s="2"/>
      <c r="F3117" s="4" t="str">
        <f>HYPERLINK("./Results/DLO\20181201_1.3.12.2.1107.5.1.4.65253.30000018122119073249200034263_8_512_512_\Osteo_Sarco_1.png","RPT")</f>
        <v>RPT</v>
      </c>
      <c r="G3117" s="3">
        <v>96</v>
      </c>
      <c r="H3117" s="3"/>
    </row>
    <row r="3118" spans="1:8" x14ac:dyDescent="0.3">
      <c r="A3118" s="2">
        <v>9545040</v>
      </c>
      <c r="B3118" s="2">
        <v>76</v>
      </c>
      <c r="C3118" s="2" t="s">
        <v>6</v>
      </c>
      <c r="D3118" s="2">
        <v>100</v>
      </c>
      <c r="E3118" s="2"/>
      <c r="F3118" s="4" t="str">
        <f>HYPERLINK("./Results/DLO\20181201_1.3.12.2.1107.5.1.4.65253.30000018122119135859800001158_2_512_512_\Osteo_Sarco_1.png","RPT")</f>
        <v>RPT</v>
      </c>
      <c r="G3118" s="3">
        <v>94</v>
      </c>
      <c r="H3118" s="3"/>
    </row>
    <row r="3119" spans="1:8" x14ac:dyDescent="0.3">
      <c r="A3119" s="2">
        <v>9545544</v>
      </c>
      <c r="B3119" s="2">
        <v>47</v>
      </c>
      <c r="C3119" s="2" t="s">
        <v>5</v>
      </c>
      <c r="D3119" s="2">
        <v>120</v>
      </c>
      <c r="E3119" s="2"/>
      <c r="F3119" s="4" t="str">
        <f>HYPERLINK("./Results/DLO\20190101_1.2.840.113619.2.416.203800578477860793613151575928896547356_2_512_512_\Osteo_Sarco_1.png","RPT")</f>
        <v>RPT</v>
      </c>
      <c r="G3119" s="3">
        <v>172</v>
      </c>
      <c r="H3119" s="3"/>
    </row>
    <row r="3120" spans="1:8" x14ac:dyDescent="0.3">
      <c r="A3120" s="2">
        <v>9545544</v>
      </c>
      <c r="B3120" s="2">
        <v>47</v>
      </c>
      <c r="C3120" s="2" t="s">
        <v>5</v>
      </c>
      <c r="D3120" s="2">
        <v>140</v>
      </c>
      <c r="E3120" s="2"/>
      <c r="F3120" s="4" t="str">
        <f>HYPERLINK("./Results/DLO\20190101_1.2.840.113619.2.416.282542927309783466201171305317542553905_305_512_512_\Osteo_Sarco_1.png","RPT")</f>
        <v>RPT</v>
      </c>
      <c r="G3120" s="3">
        <v>172</v>
      </c>
      <c r="H3120" s="3"/>
    </row>
    <row r="3121" spans="1:8" x14ac:dyDescent="0.3">
      <c r="A3121" s="2">
        <v>9545544</v>
      </c>
      <c r="B3121" s="2">
        <v>47</v>
      </c>
      <c r="C3121" s="2" t="s">
        <v>5</v>
      </c>
      <c r="D3121" s="2">
        <v>140</v>
      </c>
      <c r="E3121" s="2"/>
      <c r="F3121" s="4" t="str">
        <f>HYPERLINK("./Results/DLO\20190101_1.2.840.113619.2.416.258012605596404132535398360178514532306_302_512_512_\Osteo_Sarco_1.png","RPT")</f>
        <v>RPT</v>
      </c>
      <c r="G3121" s="3">
        <v>171</v>
      </c>
      <c r="H3121" s="3"/>
    </row>
    <row r="3122" spans="1:8" x14ac:dyDescent="0.3">
      <c r="A3122" s="2">
        <v>9549878</v>
      </c>
      <c r="B3122" s="2">
        <v>60</v>
      </c>
      <c r="C3122" s="2" t="s">
        <v>5</v>
      </c>
      <c r="D3122" s="2">
        <v>100</v>
      </c>
      <c r="E3122" s="2"/>
      <c r="F3122" s="4" t="str">
        <f>HYPERLINK("./Results/DLO\20200501_1.3.12.2.1107.5.1.4.54310.30000020051922585582800021224_5_512_512_\Osteo_Sarco_1.png","RPT")</f>
        <v>RPT</v>
      </c>
      <c r="G3122" s="3">
        <v>211</v>
      </c>
      <c r="H3122" s="3"/>
    </row>
    <row r="3123" spans="1:8" x14ac:dyDescent="0.3">
      <c r="A3123" s="2">
        <v>9549908</v>
      </c>
      <c r="B3123" s="2">
        <v>64</v>
      </c>
      <c r="C3123" s="2" t="s">
        <v>5</v>
      </c>
      <c r="D3123" s="2">
        <v>100</v>
      </c>
      <c r="E3123" s="2"/>
      <c r="F3123" s="4" t="str">
        <f>HYPERLINK("./Results/DLO\20190501_1.3.12.2.1107.5.1.4.65253.30000019051319530377800248612_2_512_512_\Osteo_Sarco_1.png","RPT")</f>
        <v>RPT</v>
      </c>
      <c r="G3123" s="3">
        <v>125</v>
      </c>
      <c r="H3123" s="3"/>
    </row>
    <row r="3124" spans="1:8" x14ac:dyDescent="0.3">
      <c r="A3124" s="2">
        <v>9549908</v>
      </c>
      <c r="B3124" s="2">
        <v>64</v>
      </c>
      <c r="C3124" s="2" t="s">
        <v>5</v>
      </c>
      <c r="D3124" s="2">
        <v>100</v>
      </c>
      <c r="E3124" s="2"/>
      <c r="F3124" s="4" t="str">
        <f>HYPERLINK("./Results/DLO\20190501_1.3.12.2.1107.5.1.4.65253.30000019051319530377800248775_3_512_512_\Osteo_Sarco_1.png","RPT")</f>
        <v>RPT</v>
      </c>
      <c r="G3124" s="3">
        <v>125</v>
      </c>
      <c r="H3124" s="3"/>
    </row>
    <row r="3125" spans="1:8" x14ac:dyDescent="0.3">
      <c r="A3125" s="2">
        <v>9550963</v>
      </c>
      <c r="B3125" s="2">
        <v>62</v>
      </c>
      <c r="C3125" s="2" t="s">
        <v>5</v>
      </c>
      <c r="D3125" s="2">
        <v>100</v>
      </c>
      <c r="E3125" s="2"/>
      <c r="F3125" s="4" t="str">
        <f>HYPERLINK("./Results/DLO\20190101_1.2.840.113619.2.94.485650834948.2.9354138.20400905.1_2_512_512_\Osteo_Sarco_1.png","RPT")</f>
        <v>RPT</v>
      </c>
      <c r="G3125" s="3">
        <v>138</v>
      </c>
      <c r="H3125" s="3"/>
    </row>
    <row r="3126" spans="1:8" x14ac:dyDescent="0.3">
      <c r="A3126" s="2">
        <v>9555807</v>
      </c>
      <c r="B3126" s="2">
        <v>45</v>
      </c>
      <c r="C3126" s="2" t="s">
        <v>5</v>
      </c>
      <c r="D3126" s="2">
        <v>100</v>
      </c>
      <c r="E3126" s="2"/>
      <c r="F3126" s="4" t="str">
        <f>HYPERLINK("./Results/DLO\20190101_1.2.840.113619.2.416.119583779989768571457110247158424112951_302_512_512_\Osteo_Sarco_1.png","RPT")</f>
        <v>RPT</v>
      </c>
      <c r="G3126" s="3">
        <v>182</v>
      </c>
      <c r="H3126" s="3"/>
    </row>
    <row r="3127" spans="1:8" x14ac:dyDescent="0.3">
      <c r="A3127" s="2">
        <v>9555807</v>
      </c>
      <c r="B3127" s="2">
        <v>45</v>
      </c>
      <c r="C3127" s="2" t="s">
        <v>5</v>
      </c>
      <c r="D3127" s="2">
        <v>100</v>
      </c>
      <c r="E3127" s="2"/>
      <c r="F3127" s="4" t="str">
        <f>HYPERLINK("./Results/DLO\20190101_1.2.840.113619.2.416.128011958102112953196995400122806811442_301_512_512_\Osteo_Sarco_1.png","RPT")</f>
        <v>RPT</v>
      </c>
      <c r="G3127" s="3">
        <v>178</v>
      </c>
      <c r="H3127" s="3"/>
    </row>
    <row r="3128" spans="1:8" x14ac:dyDescent="0.3">
      <c r="A3128" s="2">
        <v>9555920</v>
      </c>
      <c r="B3128" s="2">
        <v>56</v>
      </c>
      <c r="C3128" s="2" t="s">
        <v>5</v>
      </c>
      <c r="D3128" s="2">
        <v>100</v>
      </c>
      <c r="E3128" s="2"/>
      <c r="F3128" s="4" t="str">
        <f>HYPERLINK("./Results/DLO\20181201_1.2.410.100011.172.16.68.202.6368374864724174322.6.6_6_512_512_\Osteo_Sarco_1.png","RPT")</f>
        <v>RPT</v>
      </c>
      <c r="G3128" s="3">
        <v>1</v>
      </c>
      <c r="H3128" s="3"/>
    </row>
    <row r="3129" spans="1:8" x14ac:dyDescent="0.3">
      <c r="A3129" s="2">
        <v>9563555</v>
      </c>
      <c r="B3129" s="2">
        <v>70</v>
      </c>
      <c r="C3129" s="2" t="s">
        <v>6</v>
      </c>
      <c r="D3129" s="2">
        <v>100</v>
      </c>
      <c r="E3129" s="2"/>
      <c r="F3129" s="4" t="str">
        <f>HYPERLINK("./Results/DLO\20190101_1.2.840.113619.2.311.194688058160560982204991836490121557774_4_512_512_\Osteo_Sarco_1.png","RPT")</f>
        <v>RPT</v>
      </c>
      <c r="G3129" s="3">
        <v>121</v>
      </c>
      <c r="H3129" s="3"/>
    </row>
    <row r="3130" spans="1:8" x14ac:dyDescent="0.3">
      <c r="A3130" s="2">
        <v>9563555</v>
      </c>
      <c r="B3130" s="2">
        <v>70</v>
      </c>
      <c r="C3130" s="2" t="s">
        <v>6</v>
      </c>
      <c r="D3130" s="2">
        <v>100</v>
      </c>
      <c r="E3130" s="2"/>
      <c r="F3130" s="4" t="str">
        <f>HYPERLINK("./Results/DLO\20190101_1.2.840.113619.2.311.18573457515187309525157187586365788380_304_512_512_\Osteo_Sarco_1.png","RPT")</f>
        <v>RPT</v>
      </c>
      <c r="G3130" s="3">
        <v>120</v>
      </c>
      <c r="H3130" s="3"/>
    </row>
    <row r="3131" spans="1:8" x14ac:dyDescent="0.3">
      <c r="A3131" s="2">
        <v>9563555</v>
      </c>
      <c r="B3131" s="2">
        <v>70</v>
      </c>
      <c r="C3131" s="2" t="s">
        <v>6</v>
      </c>
      <c r="D3131" s="2">
        <v>100</v>
      </c>
      <c r="E3131" s="2"/>
      <c r="F3131" s="4" t="str">
        <f>HYPERLINK("./Results/DLO\20190101_1.2.840.113619.2.311.270571338495570147260436258235010949022_2_512_512_\Osteo_Sarco_1.png","RPT")</f>
        <v>RPT</v>
      </c>
      <c r="G3131" s="3">
        <v>117</v>
      </c>
      <c r="H3131" s="3"/>
    </row>
    <row r="3132" spans="1:8" x14ac:dyDescent="0.3">
      <c r="A3132" s="2">
        <v>9564277</v>
      </c>
      <c r="B3132" s="2">
        <v>69</v>
      </c>
      <c r="C3132" s="2" t="s">
        <v>5</v>
      </c>
      <c r="D3132" s="2">
        <v>120</v>
      </c>
      <c r="E3132" s="2"/>
      <c r="F3132" s="4" t="str">
        <f>HYPERLINK("./Results/DLO\20190101_1.3.12.2.1107.5.1.4.54310.30000019011323092907800054084_9_512_512_\Osteo_Sarco_1.png","RPT")</f>
        <v>RPT</v>
      </c>
      <c r="G3132" s="3">
        <v>166</v>
      </c>
      <c r="H3132" s="3"/>
    </row>
    <row r="3133" spans="1:8" x14ac:dyDescent="0.3">
      <c r="A3133" s="2">
        <v>9564277</v>
      </c>
      <c r="B3133" s="2">
        <v>69</v>
      </c>
      <c r="C3133" s="2" t="s">
        <v>5</v>
      </c>
      <c r="D3133" s="2">
        <v>120</v>
      </c>
      <c r="E3133" s="2"/>
      <c r="F3133" s="4" t="str">
        <f>HYPERLINK("./Results/DLO\20190101_1.3.12.2.1107.5.1.4.54310.30000019011323092907800053803_7_512_512_\Osteo_Sarco_1.png","RPT")</f>
        <v>RPT</v>
      </c>
      <c r="G3133" s="3">
        <v>163</v>
      </c>
      <c r="H3133" s="3"/>
    </row>
    <row r="3134" spans="1:8" x14ac:dyDescent="0.3">
      <c r="A3134" s="2">
        <v>9564277</v>
      </c>
      <c r="B3134" s="2">
        <v>69</v>
      </c>
      <c r="C3134" s="2" t="s">
        <v>5</v>
      </c>
      <c r="D3134" s="2">
        <v>100</v>
      </c>
      <c r="E3134" s="2"/>
      <c r="F3134" s="4" t="str">
        <f>HYPERLINK("./Results/DLO\20190101_1.3.12.2.1107.5.1.4.54310.30000019011323092907800053428_3_512_512_\Osteo_Sarco_1.png","RPT")</f>
        <v>RPT</v>
      </c>
      <c r="G3134" s="3">
        <v>162</v>
      </c>
      <c r="H3134" s="3"/>
    </row>
    <row r="3135" spans="1:8" x14ac:dyDescent="0.3">
      <c r="A3135" s="2">
        <v>9564277</v>
      </c>
      <c r="B3135" s="2">
        <v>69</v>
      </c>
      <c r="C3135" s="2" t="s">
        <v>5</v>
      </c>
      <c r="D3135" s="2">
        <v>120</v>
      </c>
      <c r="E3135" s="2"/>
      <c r="F3135" s="4" t="str">
        <f>HYPERLINK("./Results/DLO\20190101_1.3.12.2.1107.5.1.4.54310.30000019011323092907800053505_5_512_512_\Osteo_Sarco_1.png","RPT")</f>
        <v>RPT</v>
      </c>
      <c r="G3135" s="3">
        <v>162</v>
      </c>
      <c r="H3135" s="3"/>
    </row>
    <row r="3136" spans="1:8" x14ac:dyDescent="0.3">
      <c r="A3136" s="2">
        <v>9567056</v>
      </c>
      <c r="B3136" s="2">
        <v>51</v>
      </c>
      <c r="C3136" s="2" t="s">
        <v>5</v>
      </c>
      <c r="D3136" s="2">
        <v>120</v>
      </c>
      <c r="E3136" s="2"/>
      <c r="F3136" s="4" t="str">
        <f>HYPERLINK("./Results/DLO\20190101_1.2.410.100011.172.24.16.221.6368367370268355002.3_3_512_512_\Osteo_Sarco_1.png","RPT")</f>
        <v>RPT</v>
      </c>
      <c r="G3136" s="3">
        <v>6</v>
      </c>
      <c r="H3136" s="3"/>
    </row>
    <row r="3137" spans="1:8" x14ac:dyDescent="0.3">
      <c r="A3137" s="2">
        <v>9567235</v>
      </c>
      <c r="B3137" s="2">
        <v>68</v>
      </c>
      <c r="C3137" s="2" t="s">
        <v>5</v>
      </c>
      <c r="D3137" s="2">
        <v>100</v>
      </c>
      <c r="E3137" s="2"/>
      <c r="F3137" s="4" t="str">
        <f>HYPERLINK("./Results/DLO\20190401_1.3.12.2.1107.5.1.4.65253.30000019040419163826100029206_2_512_512_\Osteo_Sarco_1.png","RPT")</f>
        <v>RPT</v>
      </c>
      <c r="G3137" s="3">
        <v>110</v>
      </c>
      <c r="H3137" s="3"/>
    </row>
    <row r="3138" spans="1:8" x14ac:dyDescent="0.3">
      <c r="A3138" s="2">
        <v>9569551</v>
      </c>
      <c r="B3138" s="2">
        <v>53</v>
      </c>
      <c r="C3138" s="2" t="s">
        <v>6</v>
      </c>
      <c r="D3138" s="2">
        <v>100</v>
      </c>
      <c r="E3138" s="2"/>
      <c r="F3138" s="4" t="str">
        <f>HYPERLINK("./Results/DLO\20190201_1.3.46.670589.33.1.63684609678123710700001.4908380791392930996_201_512_512_\Osteo_Sarco_1.png","RPT")</f>
        <v>RPT</v>
      </c>
      <c r="G3138" s="3">
        <v>108</v>
      </c>
      <c r="H3138" s="3"/>
    </row>
    <row r="3139" spans="1:8" x14ac:dyDescent="0.3">
      <c r="A3139" s="2">
        <v>9571397</v>
      </c>
      <c r="B3139" s="2">
        <v>54</v>
      </c>
      <c r="C3139" s="2" t="s">
        <v>5</v>
      </c>
      <c r="D3139" s="2">
        <v>140</v>
      </c>
      <c r="E3139" s="2"/>
      <c r="F3139" s="4" t="str">
        <f>HYPERLINK("./Results/DLO\20200201_1.2.840.113619.2.416.330275803427762887790428147622570895715_302_512_512_\Osteo_Sarco_1.png","RPT")</f>
        <v>RPT</v>
      </c>
      <c r="G3139" s="3">
        <v>161</v>
      </c>
      <c r="H3139" s="3"/>
    </row>
    <row r="3140" spans="1:8" x14ac:dyDescent="0.3">
      <c r="A3140" s="2">
        <v>9571397</v>
      </c>
      <c r="B3140" s="2">
        <v>54</v>
      </c>
      <c r="C3140" s="2" t="s">
        <v>5</v>
      </c>
      <c r="D3140" s="2">
        <v>120</v>
      </c>
      <c r="E3140" s="2"/>
      <c r="F3140" s="4" t="str">
        <f>HYPERLINK("./Results/DLO\20200201_1.2.840.113619.2.416.85868861422871981803661318416373588832_2_512_512_\Osteo_Sarco_1.png","RPT")</f>
        <v>RPT</v>
      </c>
      <c r="G3140" s="3">
        <v>161</v>
      </c>
      <c r="H3140" s="3"/>
    </row>
    <row r="3141" spans="1:8" x14ac:dyDescent="0.3">
      <c r="A3141" s="2">
        <v>9573815</v>
      </c>
      <c r="B3141" s="2">
        <v>48</v>
      </c>
      <c r="C3141" s="2" t="s">
        <v>5</v>
      </c>
      <c r="D3141" s="2">
        <v>100</v>
      </c>
      <c r="E3141" s="2"/>
      <c r="F3141" s="4" t="str">
        <f>HYPERLINK("./Results/DLO\20190501_1.3.12.2.1107.5.1.4.54310.30000019050721174979600033969_2_512_512_\Osteo_Sarco_1.png","RPT")</f>
        <v>RPT</v>
      </c>
      <c r="G3141" s="3">
        <v>141</v>
      </c>
      <c r="H3141" s="3"/>
    </row>
    <row r="3142" spans="1:8" x14ac:dyDescent="0.3">
      <c r="A3142" s="2">
        <v>9576157</v>
      </c>
      <c r="B3142" s="2">
        <v>67</v>
      </c>
      <c r="C3142" s="2" t="s">
        <v>5</v>
      </c>
      <c r="D3142" s="2">
        <v>140</v>
      </c>
      <c r="E3142" s="2"/>
      <c r="F3142" s="4" t="str">
        <f>HYPERLINK("./Results/DLO\20191001_1.2.840.113619.2.416.135804622203193725988424160633629128246_303_512_512_\Osteo_Sarco_1.png","RPT")</f>
        <v>RPT</v>
      </c>
      <c r="G3142" s="3">
        <v>131</v>
      </c>
      <c r="H3142" s="3"/>
    </row>
    <row r="3143" spans="1:8" x14ac:dyDescent="0.3">
      <c r="A3143" s="2">
        <v>9576157</v>
      </c>
      <c r="B3143" s="2">
        <v>67</v>
      </c>
      <c r="C3143" s="2" t="s">
        <v>5</v>
      </c>
      <c r="D3143" s="2">
        <v>140</v>
      </c>
      <c r="E3143" s="2"/>
      <c r="F3143" s="4" t="str">
        <f>HYPERLINK("./Results/DLO\20191001_1.2.840.113619.2.416.20818251096881620173499735008766507414_306_512_512_\Osteo_Sarco_1.png","RPT")</f>
        <v>RPT</v>
      </c>
      <c r="G3143" s="3">
        <v>127</v>
      </c>
      <c r="H3143" s="3"/>
    </row>
    <row r="3144" spans="1:8" x14ac:dyDescent="0.3">
      <c r="A3144" s="2">
        <v>9576157</v>
      </c>
      <c r="B3144" s="2">
        <v>67</v>
      </c>
      <c r="C3144" s="2" t="s">
        <v>5</v>
      </c>
      <c r="D3144" s="2">
        <v>140</v>
      </c>
      <c r="E3144" s="2"/>
      <c r="F3144" s="4" t="str">
        <f>HYPERLINK("./Results/DLO\20191001_1.2.840.113619.2.416.160949817812731264837669078741906382440_2_512_512_\Osteo_Sarco_1.png","RPT")</f>
        <v>RPT</v>
      </c>
      <c r="G3144" s="3">
        <v>123</v>
      </c>
      <c r="H3144" s="3"/>
    </row>
    <row r="3145" spans="1:8" x14ac:dyDescent="0.3">
      <c r="A3145" s="2">
        <v>9576157</v>
      </c>
      <c r="B3145" s="2">
        <v>67</v>
      </c>
      <c r="C3145" s="2" t="s">
        <v>5</v>
      </c>
      <c r="D3145" s="2">
        <v>140</v>
      </c>
      <c r="E3145" s="2"/>
      <c r="F3145" s="4" t="str">
        <f>HYPERLINK("./Results/DLO\20191001_1.2.840.113619.2.416.154239375060395704025959543034901395455_301_512_512_\Osteo_Sarco_1.png","RPT")</f>
        <v>RPT</v>
      </c>
      <c r="G3145" s="3">
        <v>122</v>
      </c>
      <c r="H3145" s="3"/>
    </row>
    <row r="3146" spans="1:8" x14ac:dyDescent="0.3">
      <c r="A3146" s="2">
        <v>9577058</v>
      </c>
      <c r="B3146" s="2">
        <v>64</v>
      </c>
      <c r="C3146" s="2" t="s">
        <v>5</v>
      </c>
      <c r="D3146" s="2">
        <v>100</v>
      </c>
      <c r="E3146" s="2"/>
      <c r="F3146" s="4" t="str">
        <f>HYPERLINK("./Results/DLO\20190301_1.2.840.113619.2.311.244873303197898923209191553278041194559_304_512_512_\Osteo_Sarco_1.png","RPT")</f>
        <v>RPT</v>
      </c>
      <c r="G3146" s="3">
        <v>162</v>
      </c>
      <c r="H3146" s="3"/>
    </row>
    <row r="3147" spans="1:8" x14ac:dyDescent="0.3">
      <c r="A3147" s="2">
        <v>9577928</v>
      </c>
      <c r="B3147" s="2">
        <v>36</v>
      </c>
      <c r="C3147" s="2" t="s">
        <v>6</v>
      </c>
      <c r="D3147" s="2">
        <v>100</v>
      </c>
      <c r="E3147" s="2"/>
      <c r="F3147" s="4" t="str">
        <f>HYPERLINK("./Results/DLO\20190301_1.3.46.670589.33.1.63688245957778741200001.5752415587529754063_201_512_512_\Osteo_Sarco_1.png","RPT")</f>
        <v>RPT</v>
      </c>
      <c r="G3147" s="3">
        <v>77</v>
      </c>
      <c r="H3147" s="3"/>
    </row>
    <row r="3148" spans="1:8" x14ac:dyDescent="0.3">
      <c r="A3148" s="2">
        <v>9585540</v>
      </c>
      <c r="B3148" s="2">
        <v>46</v>
      </c>
      <c r="C3148" s="2" t="s">
        <v>6</v>
      </c>
      <c r="D3148" s="2">
        <v>100</v>
      </c>
      <c r="E3148" s="2"/>
      <c r="F3148" s="4" t="str">
        <f>HYPERLINK("./Results/DLO\20190301_1.3.46.670589.33.1.63687979144025703900001.4752186296317719774_201_512_512_\Osteo_Sarco_1.png","RPT")</f>
        <v>RPT</v>
      </c>
      <c r="G3148" s="3">
        <v>102</v>
      </c>
      <c r="H3148" s="3"/>
    </row>
    <row r="3149" spans="1:8" x14ac:dyDescent="0.3">
      <c r="A3149" s="2">
        <v>9585540</v>
      </c>
      <c r="B3149" s="2">
        <v>46</v>
      </c>
      <c r="C3149" s="2" t="s">
        <v>6</v>
      </c>
      <c r="D3149" s="2">
        <v>100</v>
      </c>
      <c r="E3149" s="2"/>
      <c r="F3149" s="4" t="str">
        <f>HYPERLINK("./Results/DLO\20190301_1.3.46.670589.33.1.63687979410845965200001.5390124499395492939_701_512_512_\Osteo_Sarco_1.png","RPT")</f>
        <v>RPT</v>
      </c>
      <c r="G3149" s="3">
        <v>102</v>
      </c>
      <c r="H3149" s="3"/>
    </row>
    <row r="3150" spans="1:8" x14ac:dyDescent="0.3">
      <c r="A3150" s="2">
        <v>9585614</v>
      </c>
      <c r="B3150" s="2">
        <v>42</v>
      </c>
      <c r="C3150" s="2" t="s">
        <v>5</v>
      </c>
      <c r="D3150" s="2">
        <v>100</v>
      </c>
      <c r="E3150" s="2"/>
      <c r="F3150" s="4" t="str">
        <f>HYPERLINK("./Results/DLO\20190201_1.3.46.670589.33.1.63686858280383658100001.4911062842061016257_601_512_512_\Osteo_Sarco_1.png","RPT")</f>
        <v>RPT</v>
      </c>
      <c r="G3150" s="3">
        <v>197</v>
      </c>
      <c r="H3150" s="3"/>
    </row>
    <row r="3151" spans="1:8" x14ac:dyDescent="0.3">
      <c r="A3151" s="2">
        <v>9585937</v>
      </c>
      <c r="B3151" s="2">
        <v>59</v>
      </c>
      <c r="C3151" s="2" t="s">
        <v>6</v>
      </c>
      <c r="D3151" s="2">
        <v>90</v>
      </c>
      <c r="E3151" s="2"/>
      <c r="F3151" s="4" t="str">
        <f>HYPERLINK("./Results/DLO\20190101_1.2.410.100011.172.16.68.202.6368556863762361063.4.4_4_512_512_\Osteo_Sarco_1.png","RPT")</f>
        <v>RPT</v>
      </c>
      <c r="G3151" s="3">
        <v>88</v>
      </c>
      <c r="H3151" s="3"/>
    </row>
    <row r="3152" spans="1:8" x14ac:dyDescent="0.3">
      <c r="A3152" s="2">
        <v>9585937</v>
      </c>
      <c r="B3152" s="2">
        <v>59</v>
      </c>
      <c r="C3152" s="2" t="s">
        <v>6</v>
      </c>
      <c r="D3152" s="2">
        <v>90</v>
      </c>
      <c r="E3152" s="2"/>
      <c r="F3152" s="4" t="str">
        <f>HYPERLINK("./Results/DLO\20190101_1.2.410.100011.172.16.68.202.6368556863762361063.2.2_2_512_512_\Osteo_Sarco_1.png","RPT")</f>
        <v>RPT</v>
      </c>
      <c r="G3152" s="3">
        <v>87</v>
      </c>
      <c r="H3152" s="3"/>
    </row>
    <row r="3153" spans="1:8" x14ac:dyDescent="0.3">
      <c r="A3153" s="2">
        <v>9585937</v>
      </c>
      <c r="B3153" s="2">
        <v>59</v>
      </c>
      <c r="C3153" s="2" t="s">
        <v>6</v>
      </c>
      <c r="D3153" s="2">
        <v>90</v>
      </c>
      <c r="E3153" s="2"/>
      <c r="F3153" s="4" t="str">
        <f>HYPERLINK("./Results/DLO\20190101_1.2.410.100011.172.16.68.202.6368556863762361063.5.5_5_512_512_\Osteo_Sarco_1.png","RPT")</f>
        <v>RPT</v>
      </c>
      <c r="G3153" s="3">
        <v>87</v>
      </c>
      <c r="H3153" s="3"/>
    </row>
    <row r="3154" spans="1:8" x14ac:dyDescent="0.3">
      <c r="A3154" s="2">
        <v>9589702</v>
      </c>
      <c r="B3154" s="2">
        <v>59</v>
      </c>
      <c r="C3154" s="2" t="s">
        <v>6</v>
      </c>
      <c r="D3154" s="2">
        <v>100</v>
      </c>
      <c r="E3154" s="2"/>
      <c r="F3154" s="4" t="str">
        <f>HYPERLINK("./Results/DLO\20190201_1.3.12.2.1107.5.1.4.54310.30000019021023283385900055721_2_512_512_\Osteo_Sarco_1.png","RPT")</f>
        <v>RPT</v>
      </c>
      <c r="G3154" s="3">
        <v>131</v>
      </c>
      <c r="H3154" s="3"/>
    </row>
    <row r="3155" spans="1:8" x14ac:dyDescent="0.3">
      <c r="A3155" s="2">
        <v>9589915</v>
      </c>
      <c r="B3155" s="2">
        <v>61</v>
      </c>
      <c r="C3155" s="2" t="s">
        <v>5</v>
      </c>
      <c r="D3155" s="2">
        <v>100</v>
      </c>
      <c r="E3155" s="2"/>
      <c r="F3155" s="4" t="str">
        <f>HYPERLINK("./Results/DLO\20190801_1.2.840.113619.2.416.264314464883090231994753840998189392794_311_512_512_\Osteo_Sarco_1.png","RPT")</f>
        <v>RPT</v>
      </c>
      <c r="G3155" s="3">
        <v>116</v>
      </c>
      <c r="H3155" s="3"/>
    </row>
    <row r="3156" spans="1:8" x14ac:dyDescent="0.3">
      <c r="A3156" s="2">
        <v>9589915</v>
      </c>
      <c r="B3156" s="2">
        <v>61</v>
      </c>
      <c r="C3156" s="2" t="s">
        <v>5</v>
      </c>
      <c r="D3156" s="2">
        <v>100</v>
      </c>
      <c r="E3156" s="2"/>
      <c r="F3156" s="4" t="str">
        <f>HYPERLINK("./Results/DLO\20190801_1.2.840.113619.2.416.49257436276846129315789986892108304775_302_512_512_\Osteo_Sarco_1.png","RPT")</f>
        <v>RPT</v>
      </c>
      <c r="G3156" s="3">
        <v>101</v>
      </c>
      <c r="H3156" s="3"/>
    </row>
    <row r="3157" spans="1:8" x14ac:dyDescent="0.3">
      <c r="A3157" s="2">
        <v>9591479</v>
      </c>
      <c r="B3157" s="2">
        <v>39</v>
      </c>
      <c r="C3157" s="2" t="s">
        <v>5</v>
      </c>
      <c r="D3157" s="2">
        <v>100</v>
      </c>
      <c r="E3157" s="2"/>
      <c r="F3157" s="4" t="str">
        <f>HYPERLINK("./Results/DLO\20190301_1.3.46.670589.33.1.63687630850180449300001.4877935569811879297_201_512_512_\Osteo_Sarco_1.png","RPT")</f>
        <v>RPT</v>
      </c>
      <c r="G3157" s="3">
        <v>163</v>
      </c>
      <c r="H3157" s="3"/>
    </row>
    <row r="3158" spans="1:8" x14ac:dyDescent="0.3">
      <c r="A3158" s="2">
        <v>9592946</v>
      </c>
      <c r="B3158" s="2">
        <v>47</v>
      </c>
      <c r="C3158" s="2" t="s">
        <v>6</v>
      </c>
      <c r="D3158" s="2">
        <v>100</v>
      </c>
      <c r="E3158" s="2"/>
      <c r="F3158" s="4" t="str">
        <f>HYPERLINK("./Results/DLO\20190201_1.2.840.113619.2.416.161385867065672303530446059245426213796_304_512_512_\Osteo_Sarco_1.png","RPT")</f>
        <v>RPT</v>
      </c>
      <c r="G3158" s="3">
        <v>103</v>
      </c>
      <c r="H3158" s="3"/>
    </row>
    <row r="3159" spans="1:8" x14ac:dyDescent="0.3">
      <c r="A3159" s="2">
        <v>9594132</v>
      </c>
      <c r="B3159" s="2">
        <v>71</v>
      </c>
      <c r="C3159" s="2" t="s">
        <v>5</v>
      </c>
      <c r="D3159" s="2">
        <v>100</v>
      </c>
      <c r="E3159" s="2"/>
      <c r="F3159" s="4" t="str">
        <f>HYPERLINK("./Results/DLO\20190301_1.3.12.2.1107.5.1.4.54310.30000019031723585393700003023_2_512_512_\Osteo_Sarco_1.png","RPT")</f>
        <v>RPT</v>
      </c>
      <c r="G3159" s="3">
        <v>121</v>
      </c>
      <c r="H3159" s="3"/>
    </row>
    <row r="3160" spans="1:8" x14ac:dyDescent="0.3">
      <c r="A3160" s="2">
        <v>9595378</v>
      </c>
      <c r="B3160" s="2">
        <v>33</v>
      </c>
      <c r="C3160" s="2" t="s">
        <v>5</v>
      </c>
      <c r="D3160" s="2">
        <v>100</v>
      </c>
      <c r="E3160" s="2"/>
      <c r="F3160" s="4" t="str">
        <f>HYPERLINK("./Results/DLO\20190701_1.3.12.2.1107.5.1.4.54310.30000019070721291192100019703_2_512_512_\Osteo_Sarco_1.png","RPT")</f>
        <v>RPT</v>
      </c>
      <c r="G3160" s="3">
        <v>137</v>
      </c>
      <c r="H3160" s="3"/>
    </row>
    <row r="3161" spans="1:8" x14ac:dyDescent="0.3">
      <c r="A3161" s="2">
        <v>9597346</v>
      </c>
      <c r="B3161" s="2">
        <v>44</v>
      </c>
      <c r="C3161" s="2" t="s">
        <v>5</v>
      </c>
      <c r="D3161" s="2">
        <v>100</v>
      </c>
      <c r="E3161" s="2"/>
      <c r="F3161" s="4" t="str">
        <f>HYPERLINK("./Results/DLO\20191201_1.3.46.670589.33.1.63712613524991873700001.4783894656958690372_201_512_512_\Osteo_Sarco_1.png","RPT")</f>
        <v>RPT</v>
      </c>
      <c r="G3161" s="3">
        <v>170</v>
      </c>
      <c r="H3161" s="3"/>
    </row>
    <row r="3162" spans="1:8" x14ac:dyDescent="0.3">
      <c r="A3162" s="2">
        <v>9597426</v>
      </c>
      <c r="B3162" s="2">
        <v>42</v>
      </c>
      <c r="C3162" s="2" t="s">
        <v>6</v>
      </c>
      <c r="D3162" s="2">
        <v>100</v>
      </c>
      <c r="E3162" s="2"/>
      <c r="F3162" s="4" t="str">
        <f>HYPERLINK("./Results/DLO\20190201_1.3.12.2.1107.5.1.4.54310.30000019022423353610900003453_2_512_512_\Osteo_Sarco_1.png","RPT")</f>
        <v>RPT</v>
      </c>
      <c r="G3162" s="3">
        <v>97</v>
      </c>
      <c r="H3162" s="3"/>
    </row>
    <row r="3163" spans="1:8" x14ac:dyDescent="0.3">
      <c r="A3163" s="2">
        <v>9597542</v>
      </c>
      <c r="B3163" s="2">
        <v>56</v>
      </c>
      <c r="C3163" s="2" t="s">
        <v>5</v>
      </c>
      <c r="D3163" s="2">
        <v>100</v>
      </c>
      <c r="E3163" s="2"/>
      <c r="F3163" s="4" t="str">
        <f>HYPERLINK("./Results/DLO\20190201_1.3.46.670589.33.1.63686446459925534500001.5267914279351538873_201_512_512_\Osteo_Sarco_1.png","RPT")</f>
        <v>RPT</v>
      </c>
      <c r="G3163" s="3">
        <v>136</v>
      </c>
      <c r="H3163" s="3"/>
    </row>
    <row r="3164" spans="1:8" x14ac:dyDescent="0.3">
      <c r="A3164" s="2">
        <v>9597542</v>
      </c>
      <c r="B3164" s="2">
        <v>56</v>
      </c>
      <c r="C3164" s="2" t="s">
        <v>5</v>
      </c>
      <c r="D3164" s="2">
        <v>100</v>
      </c>
      <c r="E3164" s="2"/>
      <c r="F3164" s="4" t="str">
        <f>HYPERLINK("./Results/DLO\20190201_1.3.46.670589.33.1.63686446542467255600001.5209056647395928655_501_512_512_\Osteo_Sarco_1.png","RPT")</f>
        <v>RPT</v>
      </c>
      <c r="G3164" s="3">
        <v>135</v>
      </c>
      <c r="H3164" s="3"/>
    </row>
    <row r="3165" spans="1:8" x14ac:dyDescent="0.3">
      <c r="A3165" s="2">
        <v>9597542</v>
      </c>
      <c r="B3165" s="2">
        <v>56</v>
      </c>
      <c r="C3165" s="2" t="s">
        <v>5</v>
      </c>
      <c r="D3165" s="2">
        <v>100</v>
      </c>
      <c r="E3165" s="2"/>
      <c r="F3165" s="4" t="str">
        <f>HYPERLINK("./Results/DLO\20190201_1.3.46.670589.33.1.63686446601767647400001.4877128637818133351_601_512_512_\Osteo_Sarco_1.png","RPT")</f>
        <v>RPT</v>
      </c>
      <c r="G3165" s="3">
        <v>135</v>
      </c>
      <c r="H3165" s="3"/>
    </row>
    <row r="3166" spans="1:8" x14ac:dyDescent="0.3">
      <c r="A3166" s="2">
        <v>9597542</v>
      </c>
      <c r="B3166" s="2">
        <v>56</v>
      </c>
      <c r="C3166" s="2" t="s">
        <v>5</v>
      </c>
      <c r="D3166" s="2">
        <v>100</v>
      </c>
      <c r="E3166" s="2"/>
      <c r="F3166" s="4" t="str">
        <f>HYPERLINK("./Results/DLO\20190201_1.3.46.670589.33.1.63686446679895116000001.5138507482153836103_701_512_512_\Osteo_Sarco_1.png","RPT")</f>
        <v>RPT</v>
      </c>
      <c r="G3166" s="3">
        <v>135</v>
      </c>
      <c r="H3166" s="3"/>
    </row>
    <row r="3167" spans="1:8" x14ac:dyDescent="0.3">
      <c r="A3167" s="2">
        <v>9601229</v>
      </c>
      <c r="B3167" s="2">
        <v>59</v>
      </c>
      <c r="C3167" s="2" t="s">
        <v>6</v>
      </c>
      <c r="D3167" s="2">
        <v>100</v>
      </c>
      <c r="E3167" s="2"/>
      <c r="F3167" s="4" t="str">
        <f>HYPERLINK("./Results/DLO\20200101_1.2.840.113619.2.416.187095922914466320967073925811668164565_310_512_512_\Osteo_Sarco_1.png","RPT")</f>
        <v>RPT</v>
      </c>
      <c r="G3167" s="3">
        <v>121</v>
      </c>
      <c r="H3167" s="3"/>
    </row>
    <row r="3168" spans="1:8" x14ac:dyDescent="0.3">
      <c r="A3168" s="2">
        <v>9601284</v>
      </c>
      <c r="B3168" s="2">
        <v>59</v>
      </c>
      <c r="C3168" s="2" t="s">
        <v>6</v>
      </c>
      <c r="D3168" s="2">
        <v>100</v>
      </c>
      <c r="E3168" s="2"/>
      <c r="F3168" s="4" t="str">
        <f>HYPERLINK("./Results/DLO\20190201_1.2.840.113619.2.311.129928327079861903905589953539221480249_304_512_512_\Osteo_Sarco_1.png","RPT")</f>
        <v>RPT</v>
      </c>
      <c r="G3168" s="3">
        <v>117</v>
      </c>
      <c r="H3168" s="3"/>
    </row>
    <row r="3169" spans="1:8" x14ac:dyDescent="0.3">
      <c r="A3169" s="2">
        <v>9603907</v>
      </c>
      <c r="B3169" s="2">
        <v>48</v>
      </c>
      <c r="C3169" s="2" t="s">
        <v>6</v>
      </c>
      <c r="D3169" s="2">
        <v>100</v>
      </c>
      <c r="E3169" s="2"/>
      <c r="F3169" s="4" t="str">
        <f>HYPERLINK("./Results/DLO\20190201_1.2.840.113619.2.416.211250741092334447772662459244074300928_306_512_512_\Osteo_Sarco_1.png","RPT")</f>
        <v>RPT</v>
      </c>
      <c r="G3169" s="3">
        <v>92</v>
      </c>
      <c r="H3169" s="3"/>
    </row>
    <row r="3170" spans="1:8" x14ac:dyDescent="0.3">
      <c r="A3170" s="2">
        <v>9603907</v>
      </c>
      <c r="B3170" s="2">
        <v>48</v>
      </c>
      <c r="C3170" s="2" t="s">
        <v>6</v>
      </c>
      <c r="D3170" s="2">
        <v>100</v>
      </c>
      <c r="E3170" s="2"/>
      <c r="F3170" s="4" t="str">
        <f>HYPERLINK("./Results/DLO\20190201_1.2.840.113619.2.416.79169744586833040963606399749993046317_301_512_512_\Osteo_Sarco_1.png","RPT")</f>
        <v>RPT</v>
      </c>
      <c r="G3170" s="3">
        <v>89</v>
      </c>
      <c r="H3170" s="3"/>
    </row>
    <row r="3171" spans="1:8" x14ac:dyDescent="0.3">
      <c r="A3171" s="2">
        <v>9603907</v>
      </c>
      <c r="B3171" s="2">
        <v>48</v>
      </c>
      <c r="C3171" s="2" t="s">
        <v>6</v>
      </c>
      <c r="D3171" s="2">
        <v>100</v>
      </c>
      <c r="E3171" s="2"/>
      <c r="F3171" s="4" t="str">
        <f>HYPERLINK("./Results/DLO\20190201_1.2.840.113619.2.416.324865513740032703529555246938255617861_2_512_512_\Osteo_Sarco_1.png","RPT")</f>
        <v>RPT</v>
      </c>
      <c r="G3171" s="3">
        <v>88</v>
      </c>
      <c r="H3171" s="3"/>
    </row>
    <row r="3172" spans="1:8" x14ac:dyDescent="0.3">
      <c r="A3172" s="2">
        <v>9605649</v>
      </c>
      <c r="B3172" s="2">
        <v>64</v>
      </c>
      <c r="C3172" s="2" t="s">
        <v>6</v>
      </c>
      <c r="D3172" s="2">
        <v>120</v>
      </c>
      <c r="E3172" s="2"/>
      <c r="F3172" s="4" t="str">
        <f>HYPERLINK("./Results/DLO\20190201_1.2.410.100011.172.16.68.202.6368737830782688362.2.2_2_512_512_\Osteo_Sarco_1.png","RPT")</f>
        <v>RPT</v>
      </c>
      <c r="G3172" s="3">
        <v>113</v>
      </c>
      <c r="H3172" s="3"/>
    </row>
    <row r="3173" spans="1:8" x14ac:dyDescent="0.3">
      <c r="A3173" s="2">
        <v>9605649</v>
      </c>
      <c r="B3173" s="2">
        <v>64</v>
      </c>
      <c r="C3173" s="2" t="s">
        <v>6</v>
      </c>
      <c r="D3173" s="2">
        <v>120</v>
      </c>
      <c r="E3173" s="2"/>
      <c r="F3173" s="4" t="str">
        <f>HYPERLINK("./Results/DLO\20190201_1.2.410.100011.172.16.68.202.6368737830782688362.1.1_1_512_512_\Osteo_Sarco_1.png","RPT")</f>
        <v>RPT</v>
      </c>
      <c r="G3173" s="3">
        <v>112</v>
      </c>
      <c r="H3173" s="3"/>
    </row>
    <row r="3174" spans="1:8" x14ac:dyDescent="0.3">
      <c r="A3174" s="2">
        <v>9606517</v>
      </c>
      <c r="B3174" s="2">
        <v>48</v>
      </c>
      <c r="C3174" s="2" t="s">
        <v>6</v>
      </c>
      <c r="D3174" s="2">
        <v>100</v>
      </c>
      <c r="E3174" s="2"/>
      <c r="F3174" s="4" t="str">
        <f>HYPERLINK("./Results/DLO\20190301_1.3.46.670589.33.1.63688241920280809600001.5421323507686777707_201_512_512_\Osteo_Sarco_1.png","RPT")</f>
        <v>RPT</v>
      </c>
      <c r="G3174" s="3">
        <v>128</v>
      </c>
      <c r="H3174" s="3"/>
    </row>
    <row r="3175" spans="1:8" x14ac:dyDescent="0.3">
      <c r="A3175" s="2">
        <v>9606568</v>
      </c>
      <c r="B3175" s="2">
        <v>58</v>
      </c>
      <c r="C3175" s="2" t="s">
        <v>6</v>
      </c>
      <c r="D3175" s="2">
        <v>100</v>
      </c>
      <c r="E3175" s="2"/>
      <c r="F3175" s="4" t="str">
        <f>HYPERLINK("./Results/DLO\20190301_1.2.840.113619.2.311.1081545390122300537118693958127065218_304_512_512_\Osteo_Sarco_1.png","RPT")</f>
        <v>RPT</v>
      </c>
      <c r="G3175" s="3">
        <v>120</v>
      </c>
      <c r="H3175" s="3"/>
    </row>
    <row r="3176" spans="1:8" x14ac:dyDescent="0.3">
      <c r="A3176" s="2">
        <v>9606769</v>
      </c>
      <c r="B3176" s="2">
        <v>66</v>
      </c>
      <c r="C3176" s="2" t="s">
        <v>5</v>
      </c>
      <c r="D3176" s="2">
        <v>120</v>
      </c>
      <c r="E3176" s="2"/>
      <c r="F3176" s="4" t="str">
        <f>HYPERLINK("./Results/DLO\20191101_1.2.410.100011.172.24.16.218.6371148364124582971.4_4_512_512_\Osteo_Sarco_1.png","RPT")</f>
        <v>RPT</v>
      </c>
      <c r="G3176" s="3">
        <v>132</v>
      </c>
      <c r="H3176" s="3"/>
    </row>
    <row r="3177" spans="1:8" x14ac:dyDescent="0.3">
      <c r="A3177" s="2">
        <v>9606769</v>
      </c>
      <c r="B3177" s="2">
        <v>66</v>
      </c>
      <c r="C3177" s="2" t="s">
        <v>5</v>
      </c>
      <c r="D3177" s="2">
        <v>120</v>
      </c>
      <c r="E3177" s="2"/>
      <c r="F3177" s="4" t="str">
        <f>HYPERLINK("./Results/DLO\20191101_1.2.410.100011.172.24.16.218.6371148364124582971.3_3_512_512_\Osteo_Sarco_1.png","RPT")</f>
        <v>RPT</v>
      </c>
      <c r="G3177" s="3">
        <v>131</v>
      </c>
      <c r="H3177" s="3"/>
    </row>
    <row r="3178" spans="1:8" x14ac:dyDescent="0.3">
      <c r="A3178" s="2">
        <v>9606769</v>
      </c>
      <c r="B3178" s="2">
        <v>66</v>
      </c>
      <c r="C3178" s="2" t="s">
        <v>5</v>
      </c>
      <c r="D3178" s="2">
        <v>120</v>
      </c>
      <c r="E3178" s="2"/>
      <c r="F3178" s="4" t="str">
        <f>HYPERLINK("./Results/DLO\20191101_1.2.410.100011.172.24.16.218.6371148364124582971.2_2_512_512_\Osteo_Sarco_1.png","RPT")</f>
        <v>RPT</v>
      </c>
      <c r="G3178" s="3">
        <v>128</v>
      </c>
      <c r="H3178" s="3"/>
    </row>
    <row r="3179" spans="1:8" x14ac:dyDescent="0.3">
      <c r="A3179" s="2">
        <v>9606774</v>
      </c>
      <c r="B3179" s="2">
        <v>44</v>
      </c>
      <c r="C3179" s="2" t="s">
        <v>6</v>
      </c>
      <c r="D3179" s="2">
        <v>120</v>
      </c>
      <c r="E3179" s="2"/>
      <c r="F3179" s="4" t="str">
        <f>HYPERLINK("./Results/DLO\20190101_1.2.410.100011.172.24.16.218.6368737637069224454.4_4_512_512_\Osteo_Sarco_1.png","RPT")</f>
        <v>RPT</v>
      </c>
      <c r="G3179" s="3">
        <v>108</v>
      </c>
      <c r="H3179" s="3"/>
    </row>
    <row r="3180" spans="1:8" x14ac:dyDescent="0.3">
      <c r="A3180" s="2">
        <v>9606774</v>
      </c>
      <c r="B3180" s="2">
        <v>44</v>
      </c>
      <c r="C3180" s="2" t="s">
        <v>6</v>
      </c>
      <c r="D3180" s="2">
        <v>120</v>
      </c>
      <c r="E3180" s="2"/>
      <c r="F3180" s="4" t="str">
        <f>HYPERLINK("./Results/DLO\20190101_1.2.410.100011.172.24.16.218.6368737637069224454.2_2_512_512_\Osteo_Sarco_1.png","RPT")</f>
        <v>RPT</v>
      </c>
      <c r="G3180" s="3">
        <v>105</v>
      </c>
      <c r="H3180" s="3"/>
    </row>
    <row r="3181" spans="1:8" x14ac:dyDescent="0.3">
      <c r="A3181" s="2">
        <v>9612576</v>
      </c>
      <c r="B3181" s="2">
        <v>65</v>
      </c>
      <c r="C3181" s="2" t="s">
        <v>6</v>
      </c>
      <c r="D3181" s="2">
        <v>100</v>
      </c>
      <c r="E3181" s="2"/>
      <c r="F3181" s="4" t="str">
        <f>HYPERLINK("./Results/DLO\20190301_1.2.840.113619.2.94.485650834948.2.9442859.20630090.1_2_512_512_\Osteo_Sarco_1.png","RPT")</f>
        <v>RPT</v>
      </c>
      <c r="G3181" s="3">
        <v>114</v>
      </c>
      <c r="H3181" s="3"/>
    </row>
    <row r="3182" spans="1:8" x14ac:dyDescent="0.3">
      <c r="A3182" s="2">
        <v>9612809</v>
      </c>
      <c r="B3182" s="2">
        <v>47</v>
      </c>
      <c r="C3182" s="2" t="s">
        <v>6</v>
      </c>
      <c r="D3182" s="2">
        <v>120</v>
      </c>
      <c r="E3182" s="2"/>
      <c r="F3182" s="4" t="str">
        <f>HYPERLINK("./Results/DLO\20190201_1.2.410.100011.172.16.68.201.6368799414526024733.3_3_512_512_\Osteo_Sarco_1.png","RPT")</f>
        <v>RPT</v>
      </c>
      <c r="G3182" s="3">
        <v>104</v>
      </c>
      <c r="H3182" s="3"/>
    </row>
    <row r="3183" spans="1:8" x14ac:dyDescent="0.3">
      <c r="A3183" s="2">
        <v>9612809</v>
      </c>
      <c r="B3183" s="2">
        <v>47</v>
      </c>
      <c r="C3183" s="2" t="s">
        <v>6</v>
      </c>
      <c r="D3183" s="2">
        <v>120</v>
      </c>
      <c r="E3183" s="2"/>
      <c r="F3183" s="4" t="str">
        <f>HYPERLINK("./Results/DLO\20190201_1.2.410.100011.172.16.68.201.6368799414526024733.2_2_512_512_\Osteo_Sarco_1.png","RPT")</f>
        <v>RPT</v>
      </c>
      <c r="G3183" s="3">
        <v>101</v>
      </c>
      <c r="H3183" s="3"/>
    </row>
    <row r="3184" spans="1:8" x14ac:dyDescent="0.3">
      <c r="A3184" s="2">
        <v>9614974</v>
      </c>
      <c r="B3184" s="2">
        <v>47</v>
      </c>
      <c r="C3184" s="2" t="s">
        <v>6</v>
      </c>
      <c r="D3184" s="2">
        <v>100</v>
      </c>
      <c r="E3184" s="2"/>
      <c r="F3184" s="4" t="str">
        <f>HYPERLINK("./Results/DLO\20190301_1.3.12.2.1107.5.1.4.54310.30000019031223532048400004993_2_512_512_\Osteo_Sarco_1.png","RPT")</f>
        <v>RPT</v>
      </c>
      <c r="G3184" s="3">
        <v>113</v>
      </c>
      <c r="H3184" s="3"/>
    </row>
    <row r="3185" spans="1:8" x14ac:dyDescent="0.3">
      <c r="A3185" s="2">
        <v>9618374</v>
      </c>
      <c r="B3185" s="2">
        <v>60</v>
      </c>
      <c r="C3185" s="2" t="s">
        <v>5</v>
      </c>
      <c r="D3185" s="2">
        <v>100</v>
      </c>
      <c r="E3185" s="2"/>
      <c r="F3185" s="4" t="str">
        <f>HYPERLINK("./Results/DLO\20190201_1.2.410.100011.172.24.16.218.6368885823871030593.3_3_512_512_\Osteo_Sarco_1.png","RPT")</f>
        <v>RPT</v>
      </c>
      <c r="G3185" s="3">
        <v>178</v>
      </c>
      <c r="H3185" s="3"/>
    </row>
    <row r="3186" spans="1:8" x14ac:dyDescent="0.3">
      <c r="A3186" s="2">
        <v>9618374</v>
      </c>
      <c r="B3186" s="2">
        <v>60</v>
      </c>
      <c r="C3186" s="2" t="s">
        <v>5</v>
      </c>
      <c r="D3186" s="2">
        <v>100</v>
      </c>
      <c r="E3186" s="2"/>
      <c r="F3186" s="4" t="str">
        <f>HYPERLINK("./Results/DLO\20190201_1.2.410.100011.172.24.16.218.6368885823871030593.2_2_512_512_\Osteo_Sarco_1.png","RPT")</f>
        <v>RPT</v>
      </c>
      <c r="G3186" s="3">
        <v>177</v>
      </c>
      <c r="H3186" s="3"/>
    </row>
    <row r="3187" spans="1:8" x14ac:dyDescent="0.3">
      <c r="A3187" s="2">
        <v>9619353</v>
      </c>
      <c r="B3187" s="2">
        <v>68</v>
      </c>
      <c r="C3187" s="2" t="s">
        <v>6</v>
      </c>
      <c r="D3187" s="2">
        <v>100</v>
      </c>
      <c r="E3187" s="2"/>
      <c r="F3187" s="4" t="str">
        <f>HYPERLINK("./Results/DLO\20190401_1.3.12.2.1107.5.1.4.54310.30000019042123324396800044998_2_512_512_\Osteo_Sarco_1.png","RPT")</f>
        <v>RPT</v>
      </c>
      <c r="G3187" s="3">
        <v>96</v>
      </c>
      <c r="H3187" s="3"/>
    </row>
    <row r="3188" spans="1:8" x14ac:dyDescent="0.3">
      <c r="A3188" s="2">
        <v>9619584</v>
      </c>
      <c r="B3188" s="2">
        <v>47</v>
      </c>
      <c r="C3188" s="2" t="s">
        <v>6</v>
      </c>
      <c r="D3188" s="2">
        <v>100</v>
      </c>
      <c r="E3188" s="2"/>
      <c r="F3188" s="4" t="str">
        <f>HYPERLINK("./Results/DLO\20190301_1.2.840.113619.2.94.485650834948.2.9464393.20685007.1_2_512_512_\Osteo_Sarco_1.png","RPT")</f>
        <v>RPT</v>
      </c>
      <c r="G3188" s="3">
        <v>112</v>
      </c>
      <c r="H3188" s="3"/>
    </row>
    <row r="3189" spans="1:8" x14ac:dyDescent="0.3">
      <c r="A3189" s="2">
        <v>9619604</v>
      </c>
      <c r="B3189" s="2">
        <v>59</v>
      </c>
      <c r="C3189" s="2" t="s">
        <v>5</v>
      </c>
      <c r="D3189" s="2">
        <v>140</v>
      </c>
      <c r="E3189" s="2"/>
      <c r="F3189" s="4" t="str">
        <f>HYPERLINK("./Results/DLO\20190301_1.2.840.113619.2.416.277661789294989678321932277208671256152_306_512_512_\Osteo_Sarco_1.png","RPT")</f>
        <v>RPT</v>
      </c>
      <c r="G3189" s="3">
        <v>139</v>
      </c>
      <c r="H3189" s="3"/>
    </row>
    <row r="3190" spans="1:8" x14ac:dyDescent="0.3">
      <c r="A3190" s="2">
        <v>9619604</v>
      </c>
      <c r="B3190" s="2">
        <v>59</v>
      </c>
      <c r="C3190" s="2" t="s">
        <v>5</v>
      </c>
      <c r="D3190" s="2">
        <v>140</v>
      </c>
      <c r="E3190" s="2"/>
      <c r="F3190" s="4" t="str">
        <f>HYPERLINK("./Results/DLO\20190301_1.2.840.113619.2.416.200916481292242738931286810751527099995_303_512_512_\Osteo_Sarco_1.png","RPT")</f>
        <v>RPT</v>
      </c>
      <c r="G3190" s="3">
        <v>138</v>
      </c>
      <c r="H3190" s="3"/>
    </row>
    <row r="3191" spans="1:8" x14ac:dyDescent="0.3">
      <c r="A3191" s="2">
        <v>9619604</v>
      </c>
      <c r="B3191" s="2">
        <v>59</v>
      </c>
      <c r="C3191" s="2" t="s">
        <v>5</v>
      </c>
      <c r="D3191" s="2">
        <v>140</v>
      </c>
      <c r="E3191" s="2"/>
      <c r="F3191" s="4" t="str">
        <f>HYPERLINK("./Results/DLO\20190301_1.2.840.113619.2.416.26756462943966107985725752541798581801_301_512_512_\Osteo_Sarco_1.png","RPT")</f>
        <v>RPT</v>
      </c>
      <c r="G3191" s="3">
        <v>137</v>
      </c>
      <c r="H3191" s="3"/>
    </row>
    <row r="3192" spans="1:8" x14ac:dyDescent="0.3">
      <c r="A3192" s="2">
        <v>9619604</v>
      </c>
      <c r="B3192" s="2">
        <v>59</v>
      </c>
      <c r="C3192" s="2" t="s">
        <v>5</v>
      </c>
      <c r="D3192" s="2">
        <v>140</v>
      </c>
      <c r="E3192" s="2"/>
      <c r="F3192" s="4" t="str">
        <f>HYPERLINK("./Results/DLO\20190301_1.2.840.113619.2.416.197261901715763328860528837941739078632_2_512_512_\Osteo_Sarco_1.png","RPT")</f>
        <v>RPT</v>
      </c>
      <c r="G3192" s="3">
        <v>135</v>
      </c>
      <c r="H3192" s="3"/>
    </row>
    <row r="3193" spans="1:8" x14ac:dyDescent="0.3">
      <c r="A3193" s="2">
        <v>9620516</v>
      </c>
      <c r="B3193" s="2">
        <v>61</v>
      </c>
      <c r="C3193" s="2" t="s">
        <v>5</v>
      </c>
      <c r="D3193" s="2">
        <v>100</v>
      </c>
      <c r="E3193" s="2"/>
      <c r="F3193" s="4" t="str">
        <f>HYPERLINK("./Results/DLO\20190301_1.2.840.113619.2.416.253973774803964743691892563652659157222_304_512_512_\Osteo_Sarco_1.png","RPT")</f>
        <v>RPT</v>
      </c>
      <c r="G3193" s="3">
        <v>173</v>
      </c>
      <c r="H3193" s="3"/>
    </row>
    <row r="3194" spans="1:8" x14ac:dyDescent="0.3">
      <c r="A3194" s="2">
        <v>9620516</v>
      </c>
      <c r="B3194" s="2">
        <v>61</v>
      </c>
      <c r="C3194" s="2" t="s">
        <v>5</v>
      </c>
      <c r="D3194" s="2">
        <v>100</v>
      </c>
      <c r="E3194" s="2"/>
      <c r="F3194" s="4" t="str">
        <f>HYPERLINK("./Results/DLO\20190301_1.2.840.113619.2.416.195292063288017918379686333550195850316_303_512_512_\Osteo_Sarco_1.png","RPT")</f>
        <v>RPT</v>
      </c>
      <c r="G3194" s="3">
        <v>167</v>
      </c>
      <c r="H3194" s="3"/>
    </row>
    <row r="3195" spans="1:8" x14ac:dyDescent="0.3">
      <c r="A3195" s="2">
        <v>9620516</v>
      </c>
      <c r="B3195" s="2">
        <v>61</v>
      </c>
      <c r="C3195" s="2" t="s">
        <v>5</v>
      </c>
      <c r="D3195" s="2">
        <v>100</v>
      </c>
      <c r="E3195" s="2"/>
      <c r="F3195" s="4" t="str">
        <f>HYPERLINK("./Results/DLO\20190301_1.2.840.113619.2.416.250992546058450698177045917484945301511_2_512_512_\Osteo_Sarco_1.png","RPT")</f>
        <v>RPT</v>
      </c>
      <c r="G3195" s="3">
        <v>167</v>
      </c>
      <c r="H3195" s="3"/>
    </row>
    <row r="3196" spans="1:8" x14ac:dyDescent="0.3">
      <c r="A3196" s="2">
        <v>9620564</v>
      </c>
      <c r="B3196" s="2">
        <v>67</v>
      </c>
      <c r="C3196" s="2" t="s">
        <v>5</v>
      </c>
      <c r="D3196" s="2">
        <v>120</v>
      </c>
      <c r="E3196" s="2"/>
      <c r="F3196" s="4" t="str">
        <f>HYPERLINK("./Results/DLO\20190301_1.2.410.100011.172.16.68.201.6368936616857076782.4_4_512_512_\Osteo_Sarco_1.png","RPT")</f>
        <v>RPT</v>
      </c>
      <c r="G3196" s="3">
        <v>166</v>
      </c>
      <c r="H3196" s="3"/>
    </row>
    <row r="3197" spans="1:8" x14ac:dyDescent="0.3">
      <c r="A3197" s="2">
        <v>9620564</v>
      </c>
      <c r="B3197" s="2">
        <v>67</v>
      </c>
      <c r="C3197" s="2" t="s">
        <v>5</v>
      </c>
      <c r="D3197" s="2">
        <v>120</v>
      </c>
      <c r="E3197" s="2"/>
      <c r="F3197" s="4" t="str">
        <f>HYPERLINK("./Results/DLO\20190301_1.2.410.100011.172.16.68.201.6368936616857076782.3_3_512_512_\Osteo_Sarco_1.png","RPT")</f>
        <v>RPT</v>
      </c>
      <c r="G3197" s="3">
        <v>165</v>
      </c>
      <c r="H3197" s="3"/>
    </row>
    <row r="3198" spans="1:8" x14ac:dyDescent="0.3">
      <c r="A3198" s="2">
        <v>9620564</v>
      </c>
      <c r="B3198" s="2">
        <v>67</v>
      </c>
      <c r="C3198" s="2" t="s">
        <v>5</v>
      </c>
      <c r="D3198" s="2">
        <v>120</v>
      </c>
      <c r="E3198" s="2"/>
      <c r="F3198" s="4" t="str">
        <f>HYPERLINK("./Results/DLO\20190301_1.2.410.100011.172.16.68.201.6368936616857076782.2_2_512_512_\Osteo_Sarco_1.png","RPT")</f>
        <v>RPT</v>
      </c>
      <c r="G3198" s="3">
        <v>162</v>
      </c>
      <c r="H3198" s="3"/>
    </row>
    <row r="3199" spans="1:8" x14ac:dyDescent="0.3">
      <c r="A3199" s="2">
        <v>9621668</v>
      </c>
      <c r="B3199" s="2">
        <v>38</v>
      </c>
      <c r="C3199" s="2" t="s">
        <v>6</v>
      </c>
      <c r="D3199" s="2">
        <v>100</v>
      </c>
      <c r="E3199" s="2"/>
      <c r="F3199" s="4" t="str">
        <f>HYPERLINK("./Results/DLO\20190301_1.2.840.113619.2.311.323778572236644445970390947216178163033_304_512_512_\Osteo_Sarco_1.png","RPT")</f>
        <v>RPT</v>
      </c>
      <c r="G3199" s="3">
        <v>117</v>
      </c>
      <c r="H3199" s="3"/>
    </row>
    <row r="3200" spans="1:8" x14ac:dyDescent="0.3">
      <c r="A3200" s="2">
        <v>9621721</v>
      </c>
      <c r="B3200" s="2">
        <v>75</v>
      </c>
      <c r="C3200" s="2" t="s">
        <v>6</v>
      </c>
      <c r="D3200" s="2">
        <v>100</v>
      </c>
      <c r="E3200" s="2"/>
      <c r="F3200" s="4" t="str">
        <f>HYPERLINK("./Results/DLO\20190701_1.3.12.2.1107.5.1.4.65253.30000019071319043319600005017_2_512_512_\Osteo_Sarco_1.png","RPT")</f>
        <v>RPT</v>
      </c>
      <c r="G3200" s="3">
        <v>97</v>
      </c>
      <c r="H3200" s="3"/>
    </row>
    <row r="3201" spans="1:8" x14ac:dyDescent="0.3">
      <c r="A3201" s="2">
        <v>9621754</v>
      </c>
      <c r="B3201" s="2">
        <v>65</v>
      </c>
      <c r="C3201" s="2" t="s">
        <v>6</v>
      </c>
      <c r="D3201" s="2">
        <v>120</v>
      </c>
      <c r="E3201" s="2"/>
      <c r="F3201" s="4" t="str">
        <f>HYPERLINK("./Results/DLO\20190401_1.3.12.2.1107.5.1.4.65253.30000019040319532025400053125_14_512_512_\Osteo_Sarco_1.png","RPT")</f>
        <v>RPT</v>
      </c>
      <c r="G3201" s="3">
        <v>99</v>
      </c>
      <c r="H3201" s="3"/>
    </row>
    <row r="3202" spans="1:8" x14ac:dyDescent="0.3">
      <c r="A3202" s="2">
        <v>9621754</v>
      </c>
      <c r="B3202" s="2">
        <v>65</v>
      </c>
      <c r="C3202" s="2" t="s">
        <v>6</v>
      </c>
      <c r="D3202" s="2">
        <v>120</v>
      </c>
      <c r="E3202" s="2"/>
      <c r="F3202" s="4" t="str">
        <f>HYPERLINK("./Results/DLO\20190401_1.3.12.2.1107.5.1.4.65253.30000019040319532025400053044_13_512_512_\Osteo_Sarco_1.png","RPT")</f>
        <v>RPT</v>
      </c>
      <c r="G3202" s="3">
        <v>95</v>
      </c>
      <c r="H3202" s="3"/>
    </row>
    <row r="3203" spans="1:8" x14ac:dyDescent="0.3">
      <c r="A3203" s="2">
        <v>9623536</v>
      </c>
      <c r="B3203" s="2">
        <v>41</v>
      </c>
      <c r="C3203" s="2" t="s">
        <v>6</v>
      </c>
      <c r="D3203" s="2">
        <v>100</v>
      </c>
      <c r="E3203" s="2"/>
      <c r="F3203" s="4" t="str">
        <f>HYPERLINK("./Results/DLO\20190301_1.3.12.2.1107.5.1.4.54310.30000019032123303645300067950_4_512_512_\Osteo_Sarco_1.png","RPT")</f>
        <v>RPT</v>
      </c>
      <c r="G3203" s="3">
        <v>92</v>
      </c>
      <c r="H3203" s="3"/>
    </row>
    <row r="3204" spans="1:8" x14ac:dyDescent="0.3">
      <c r="A3204" s="2">
        <v>9623536</v>
      </c>
      <c r="B3204" s="2">
        <v>41</v>
      </c>
      <c r="C3204" s="2" t="s">
        <v>6</v>
      </c>
      <c r="D3204" s="2">
        <v>100</v>
      </c>
      <c r="E3204" s="2"/>
      <c r="F3204" s="4" t="str">
        <f>HYPERLINK("./Results/DLO\20190301_1.3.12.2.1107.5.1.4.54310.30000019032123303645300070249_6_512_512_\Osteo_Sarco_1.png","RPT")</f>
        <v>RPT</v>
      </c>
      <c r="G3204" s="3">
        <v>91</v>
      </c>
      <c r="H3204" s="3"/>
    </row>
    <row r="3205" spans="1:8" x14ac:dyDescent="0.3">
      <c r="A3205" s="2">
        <v>9624799</v>
      </c>
      <c r="B3205" s="2">
        <v>46</v>
      </c>
      <c r="C3205" s="2" t="s">
        <v>6</v>
      </c>
      <c r="D3205" s="2">
        <v>130</v>
      </c>
      <c r="E3205" s="2"/>
      <c r="F3205" s="4" t="str">
        <f>HYPERLINK("./Results/DLO\20190501_1.2.410.100011.172.24.16.221.6369464899784905961.2_2_512_512_\Osteo_Sarco_1.png","RPT")</f>
        <v>RPT</v>
      </c>
      <c r="G3205" s="3">
        <v>124</v>
      </c>
      <c r="H3205" s="3"/>
    </row>
    <row r="3206" spans="1:8" x14ac:dyDescent="0.3">
      <c r="A3206" s="2">
        <v>9624799</v>
      </c>
      <c r="B3206" s="2">
        <v>46</v>
      </c>
      <c r="C3206" s="2" t="s">
        <v>6</v>
      </c>
      <c r="D3206" s="2">
        <v>130</v>
      </c>
      <c r="E3206" s="2"/>
      <c r="F3206" s="4" t="str">
        <f>HYPERLINK("./Results/DLO\20190501_1.2.410.100011.172.24.16.221.6369464899784905961.3_3_512_512_\Osteo_Sarco_1.png","RPT")</f>
        <v>RPT</v>
      </c>
      <c r="G3206" s="3">
        <v>124</v>
      </c>
      <c r="H3206" s="3"/>
    </row>
    <row r="3207" spans="1:8" x14ac:dyDescent="0.3">
      <c r="A3207" s="2">
        <v>9625936</v>
      </c>
      <c r="B3207" s="2">
        <v>63</v>
      </c>
      <c r="C3207" s="2" t="s">
        <v>6</v>
      </c>
      <c r="D3207" s="2">
        <v>120</v>
      </c>
      <c r="E3207" s="2"/>
      <c r="F3207" s="4" t="str">
        <f>HYPERLINK("./Results/DLO\20190301_1.2.410.100011.172.16.44.21.6368871989007745064.6_6_512_512_\Osteo_Sarco_1.png","RPT")</f>
        <v>RPT</v>
      </c>
      <c r="G3207" s="3">
        <v>110</v>
      </c>
      <c r="H3207" s="3"/>
    </row>
    <row r="3208" spans="1:8" x14ac:dyDescent="0.3">
      <c r="A3208" s="2">
        <v>9625936</v>
      </c>
      <c r="B3208" s="2">
        <v>63</v>
      </c>
      <c r="C3208" s="2" t="s">
        <v>6</v>
      </c>
      <c r="D3208" s="2">
        <v>120</v>
      </c>
      <c r="E3208" s="2"/>
      <c r="F3208" s="4" t="str">
        <f>HYPERLINK("./Results/DLO\20190301_1.2.410.100011.172.16.44.21.6368871989007745064.5_5_512_512_\Osteo_Sarco_1.png","RPT")</f>
        <v>RPT</v>
      </c>
      <c r="G3208" s="3">
        <v>109</v>
      </c>
      <c r="H3208" s="3"/>
    </row>
    <row r="3209" spans="1:8" x14ac:dyDescent="0.3">
      <c r="A3209" s="2">
        <v>9625936</v>
      </c>
      <c r="B3209" s="2">
        <v>63</v>
      </c>
      <c r="C3209" s="2" t="s">
        <v>6</v>
      </c>
      <c r="D3209" s="2">
        <v>120</v>
      </c>
      <c r="E3209" s="2"/>
      <c r="F3209" s="4" t="str">
        <f>HYPERLINK("./Results/DLO\20190301_1.2.410.100011.172.16.44.21.6368871989007745064.3_3_512_512_\Osteo_Sarco_1.png","RPT")</f>
        <v>RPT</v>
      </c>
      <c r="G3209" s="3">
        <v>108</v>
      </c>
      <c r="H3209" s="3"/>
    </row>
    <row r="3210" spans="1:8" x14ac:dyDescent="0.3">
      <c r="A3210" s="2">
        <v>9625936</v>
      </c>
      <c r="B3210" s="2">
        <v>63</v>
      </c>
      <c r="C3210" s="2" t="s">
        <v>6</v>
      </c>
      <c r="D3210" s="2">
        <v>120</v>
      </c>
      <c r="E3210" s="2"/>
      <c r="F3210" s="4" t="str">
        <f>HYPERLINK("./Results/DLO\20190301_1.2.410.100011.172.16.44.21.6368871989007745064.2_2_512_512_\Osteo_Sarco_1.png","RPT")</f>
        <v>RPT</v>
      </c>
      <c r="G3210" s="3">
        <v>107</v>
      </c>
      <c r="H3210" s="3"/>
    </row>
    <row r="3211" spans="1:8" x14ac:dyDescent="0.3">
      <c r="A3211" s="2">
        <v>9625991</v>
      </c>
      <c r="B3211" s="2">
        <v>45</v>
      </c>
      <c r="C3211" s="2" t="s">
        <v>5</v>
      </c>
      <c r="D3211" s="2">
        <v>80</v>
      </c>
      <c r="E3211" s="2"/>
      <c r="F3211" s="4" t="str">
        <f>HYPERLINK("./Results/DLO\20190301_1.2.410.100011.172.16.68.202.6368869825899709021.2.2_2_512_512_\Osteo_Sarco_1.png","RPT")</f>
        <v>RPT</v>
      </c>
      <c r="G3211" s="3">
        <v>124</v>
      </c>
      <c r="H3211" s="3"/>
    </row>
    <row r="3212" spans="1:8" x14ac:dyDescent="0.3">
      <c r="A3212" s="2">
        <v>9626988</v>
      </c>
      <c r="B3212" s="2">
        <v>31</v>
      </c>
      <c r="C3212" s="2" t="s">
        <v>5</v>
      </c>
      <c r="D3212" s="2">
        <v>100</v>
      </c>
      <c r="E3212" s="2"/>
      <c r="F3212" s="4" t="str">
        <f>HYPERLINK("./Results/DLO\20190301_1.3.12.2.1107.5.1.4.65253.30000019032015023695200012477_2_512_512_\Osteo_Sarco_1.png","RPT")</f>
        <v>RPT</v>
      </c>
      <c r="G3212" s="3">
        <v>147</v>
      </c>
      <c r="H3212" s="3"/>
    </row>
    <row r="3213" spans="1:8" x14ac:dyDescent="0.3">
      <c r="A3213" s="2">
        <v>9628081</v>
      </c>
      <c r="B3213" s="2">
        <v>58</v>
      </c>
      <c r="C3213" s="2" t="s">
        <v>6</v>
      </c>
      <c r="D3213" s="2">
        <v>100</v>
      </c>
      <c r="E3213" s="2"/>
      <c r="F3213" s="4" t="str">
        <f>HYPERLINK("./Results/DLO\20190301_1.2.840.113619.2.94.485650834948.2.9486268.20740822.1_2_512_512_\Osteo_Sarco_1.png","RPT")</f>
        <v>RPT</v>
      </c>
      <c r="G3213" s="3">
        <v>105</v>
      </c>
      <c r="H3213" s="3"/>
    </row>
    <row r="3214" spans="1:8" x14ac:dyDescent="0.3">
      <c r="A3214" s="2">
        <v>9630086</v>
      </c>
      <c r="B3214" s="2">
        <v>51</v>
      </c>
      <c r="C3214" s="2" t="s">
        <v>5</v>
      </c>
      <c r="D3214" s="2">
        <v>100</v>
      </c>
      <c r="E3214" s="2"/>
      <c r="F3214" s="4" t="str">
        <f>HYPERLINK("./Results/DLO\20190301_1.2.410.100011.172.24.16.218.6369067058915620291.5_5_512_512_\Osteo_Sarco_1.png","RPT")</f>
        <v>RPT</v>
      </c>
      <c r="G3214" s="3">
        <v>185</v>
      </c>
      <c r="H3214" s="3"/>
    </row>
    <row r="3215" spans="1:8" x14ac:dyDescent="0.3">
      <c r="A3215" s="2">
        <v>9630086</v>
      </c>
      <c r="B3215" s="2">
        <v>51</v>
      </c>
      <c r="C3215" s="2" t="s">
        <v>5</v>
      </c>
      <c r="D3215" s="2">
        <v>100</v>
      </c>
      <c r="E3215" s="2"/>
      <c r="F3215" s="4" t="str">
        <f>HYPERLINK("./Results/DLO\20190301_1.2.410.100011.172.24.16.218.6369067058915620291.3_3_512_512_\Osteo_Sarco_1.png","RPT")</f>
        <v>RPT</v>
      </c>
      <c r="G3215" s="3">
        <v>183</v>
      </c>
      <c r="H3215" s="3"/>
    </row>
    <row r="3216" spans="1:8" x14ac:dyDescent="0.3">
      <c r="A3216" s="2">
        <v>9630086</v>
      </c>
      <c r="B3216" s="2">
        <v>51</v>
      </c>
      <c r="C3216" s="2" t="s">
        <v>5</v>
      </c>
      <c r="D3216" s="2">
        <v>100</v>
      </c>
      <c r="E3216" s="2"/>
      <c r="F3216" s="4" t="str">
        <f>HYPERLINK("./Results/DLO\20190301_1.2.410.100011.172.24.16.218.6369067058915620291.4_4_512_512_\Osteo_Sarco_1.png","RPT")</f>
        <v>RPT</v>
      </c>
      <c r="G3216" s="3">
        <v>182</v>
      </c>
      <c r="H3216" s="3"/>
    </row>
    <row r="3217" spans="1:8" x14ac:dyDescent="0.3">
      <c r="A3217" s="2">
        <v>9630086</v>
      </c>
      <c r="B3217" s="2">
        <v>51</v>
      </c>
      <c r="C3217" s="2" t="s">
        <v>5</v>
      </c>
      <c r="D3217" s="2">
        <v>100</v>
      </c>
      <c r="E3217" s="2"/>
      <c r="F3217" s="4" t="str">
        <f>HYPERLINK("./Results/DLO\20190301_1.2.410.100011.172.24.16.218.6369067058915620291.2_2_512_512_\Osteo_Sarco_1.png","RPT")</f>
        <v>RPT</v>
      </c>
      <c r="G3217" s="3">
        <v>177</v>
      </c>
      <c r="H3217" s="3"/>
    </row>
    <row r="3218" spans="1:8" x14ac:dyDescent="0.3">
      <c r="A3218" s="2">
        <v>9630094</v>
      </c>
      <c r="B3218" s="2">
        <v>38</v>
      </c>
      <c r="C3218" s="2" t="s">
        <v>5</v>
      </c>
      <c r="D3218" s="2">
        <v>140</v>
      </c>
      <c r="E3218" s="2"/>
      <c r="F3218" s="4" t="str">
        <f>HYPERLINK("./Results/DLO\20190301_1.2.840.113619.2.416.207970201499535406356139548997092422774_304_512_512_\Osteo_Sarco_1.png","RPT")</f>
        <v>RPT</v>
      </c>
      <c r="G3218" s="3">
        <v>181</v>
      </c>
      <c r="H3218" s="3"/>
    </row>
    <row r="3219" spans="1:8" x14ac:dyDescent="0.3">
      <c r="A3219" s="2">
        <v>9630094</v>
      </c>
      <c r="B3219" s="2">
        <v>38</v>
      </c>
      <c r="C3219" s="2" t="s">
        <v>5</v>
      </c>
      <c r="D3219" s="2">
        <v>140</v>
      </c>
      <c r="E3219" s="2"/>
      <c r="F3219" s="4" t="str">
        <f>HYPERLINK("./Results/DLO\20190301_1.2.840.113619.2.416.48981140897456558392430846170291263924_303_512_512_\Osteo_Sarco_1.png","RPT")</f>
        <v>RPT</v>
      </c>
      <c r="G3219" s="3">
        <v>166</v>
      </c>
      <c r="H3219" s="3"/>
    </row>
    <row r="3220" spans="1:8" x14ac:dyDescent="0.3">
      <c r="A3220" s="2">
        <v>9630094</v>
      </c>
      <c r="B3220" s="2">
        <v>38</v>
      </c>
      <c r="C3220" s="2" t="s">
        <v>5</v>
      </c>
      <c r="D3220" s="2">
        <v>140</v>
      </c>
      <c r="E3220" s="2"/>
      <c r="F3220" s="4" t="str">
        <f>HYPERLINK("./Results/DLO\20190301_1.2.840.113619.2.416.248781008016639192661493420982632732845_301_512_512_\Osteo_Sarco_1.png","RPT")</f>
        <v>RPT</v>
      </c>
      <c r="G3220" s="3">
        <v>164</v>
      </c>
      <c r="H3220" s="3"/>
    </row>
    <row r="3221" spans="1:8" x14ac:dyDescent="0.3">
      <c r="A3221" s="2">
        <v>9631370</v>
      </c>
      <c r="B3221" s="2">
        <v>52</v>
      </c>
      <c r="C3221" s="2" t="s">
        <v>6</v>
      </c>
      <c r="D3221" s="2">
        <v>100</v>
      </c>
      <c r="E3221" s="2"/>
      <c r="F3221" s="4" t="str">
        <f>HYPERLINK("./Results/DLO\20190301_1.3.12.2.1107.5.1.4.54310.30000019032700090260900008231_2_512_512_\Osteo_Sarco_1.png","RPT")</f>
        <v>RPT</v>
      </c>
      <c r="G3221" s="3">
        <v>108</v>
      </c>
      <c r="H3221" s="3"/>
    </row>
    <row r="3222" spans="1:8" x14ac:dyDescent="0.3">
      <c r="A3222" s="2">
        <v>9632636</v>
      </c>
      <c r="B3222" s="2">
        <v>55</v>
      </c>
      <c r="C3222" s="2" t="s">
        <v>5</v>
      </c>
      <c r="D3222" s="2">
        <v>100</v>
      </c>
      <c r="E3222" s="2"/>
      <c r="F3222" s="4" t="str">
        <f>HYPERLINK("./Results/DLO\20200501_1.3.12.2.1107.5.1.4.65253.30000020050920122728800012411_2_512_512_\Osteo_Sarco_1.png","RPT")</f>
        <v>RPT</v>
      </c>
      <c r="G3222" s="3">
        <v>136</v>
      </c>
      <c r="H3222" s="3"/>
    </row>
    <row r="3223" spans="1:8" x14ac:dyDescent="0.3">
      <c r="A3223" s="2">
        <v>9632640</v>
      </c>
      <c r="B3223" s="2">
        <v>53</v>
      </c>
      <c r="C3223" s="2" t="s">
        <v>6</v>
      </c>
      <c r="D3223" s="2">
        <v>120</v>
      </c>
      <c r="E3223" s="2"/>
      <c r="F3223" s="4" t="str">
        <f>HYPERLINK("./Results/DLO\_1.2.410.100011.172.24.16.221.6368937643066444951.3_3_512_512_\Osteo_Sarco_1.png","RPT")</f>
        <v>RPT</v>
      </c>
      <c r="G3223" s="3">
        <v>97</v>
      </c>
      <c r="H3223" s="3"/>
    </row>
    <row r="3224" spans="1:8" x14ac:dyDescent="0.3">
      <c r="A3224" s="2">
        <v>9632640</v>
      </c>
      <c r="B3224" s="2">
        <v>53</v>
      </c>
      <c r="C3224" s="2" t="s">
        <v>6</v>
      </c>
      <c r="D3224" s="2">
        <v>120</v>
      </c>
      <c r="E3224" s="2"/>
      <c r="F3224" s="4" t="str">
        <f>HYPERLINK("./Results/DLO\_1.2.410.100011.172.24.16.221.6368937643066444951.2_2_512_512_\Osteo_Sarco_1.png","RPT")</f>
        <v>RPT</v>
      </c>
      <c r="G3224" s="3">
        <v>96</v>
      </c>
      <c r="H3224" s="3"/>
    </row>
    <row r="3225" spans="1:8" x14ac:dyDescent="0.3">
      <c r="A3225" s="2">
        <v>9632668</v>
      </c>
      <c r="B3225" s="2">
        <v>77</v>
      </c>
      <c r="C3225" s="2" t="s">
        <v>6</v>
      </c>
      <c r="D3225" s="2">
        <v>100</v>
      </c>
      <c r="E3225" s="2"/>
      <c r="F3225" s="4" t="str">
        <f>HYPERLINK("./Results/DLO\20190401_1.2.840.113619.2.311.63143454428418316884155720374328808121_304_512_512_\Osteo_Sarco_1.png","RPT")</f>
        <v>RPT</v>
      </c>
      <c r="G3225" s="3">
        <v>72</v>
      </c>
      <c r="H3225" s="3"/>
    </row>
    <row r="3226" spans="1:8" x14ac:dyDescent="0.3">
      <c r="A3226" s="2">
        <v>9640120</v>
      </c>
      <c r="B3226" s="2">
        <v>43</v>
      </c>
      <c r="C3226" s="2" t="s">
        <v>6</v>
      </c>
      <c r="D3226" s="2">
        <v>100</v>
      </c>
      <c r="E3226" s="2"/>
      <c r="F3226" s="4" t="str">
        <f>HYPERLINK("./Results/DLO\20190401_1.2.840.113619.2.94.485650834948.2.9531244.20857394.1_2_512_512_\Osteo_Sarco_1.png","RPT")</f>
        <v>RPT</v>
      </c>
      <c r="G3226" s="3">
        <v>104</v>
      </c>
      <c r="H3226" s="3"/>
    </row>
    <row r="3227" spans="1:8" x14ac:dyDescent="0.3">
      <c r="A3227" s="2">
        <v>9640243</v>
      </c>
      <c r="B3227" s="2">
        <v>48</v>
      </c>
      <c r="C3227" s="2" t="s">
        <v>6</v>
      </c>
      <c r="D3227" s="2">
        <v>100</v>
      </c>
      <c r="E3227" s="2"/>
      <c r="F3227" s="4" t="str">
        <f>HYPERLINK("./Results/DLO\20190401_1.3.12.2.1107.5.1.4.54310.30000019041623401839000006507_2_512_512_\Osteo_Sarco_1.png","RPT")</f>
        <v>RPT</v>
      </c>
      <c r="G3227" s="3">
        <v>95</v>
      </c>
      <c r="H3227" s="3"/>
    </row>
    <row r="3228" spans="1:8" x14ac:dyDescent="0.3">
      <c r="A3228" s="2">
        <v>9642965</v>
      </c>
      <c r="B3228" s="2">
        <v>36</v>
      </c>
      <c r="C3228" s="2" t="s">
        <v>5</v>
      </c>
      <c r="D3228" s="2">
        <v>120</v>
      </c>
      <c r="E3228" s="2"/>
      <c r="F3228" s="4" t="str">
        <f>HYPERLINK("./Results/DLO\20190401_1.2.410.100011.172.16.44.21.6369034440145276882.2_2_512_512_\Osteo_Sarco_1.png","RPT")</f>
        <v>RPT</v>
      </c>
      <c r="G3228" s="3">
        <v>155</v>
      </c>
      <c r="H3228" s="3"/>
    </row>
    <row r="3229" spans="1:8" x14ac:dyDescent="0.3">
      <c r="A3229" s="2">
        <v>9642965</v>
      </c>
      <c r="B3229" s="2">
        <v>36</v>
      </c>
      <c r="C3229" s="2" t="s">
        <v>5</v>
      </c>
      <c r="D3229" s="2">
        <v>120</v>
      </c>
      <c r="E3229" s="2"/>
      <c r="F3229" s="4" t="str">
        <f>HYPERLINK("./Results/DLO\20190401_1.2.410.100011.172.16.44.21.6369034440145276882.3_3_512_512_\Osteo_Sarco_1.png","RPT")</f>
        <v>RPT</v>
      </c>
      <c r="G3229" s="3">
        <v>155</v>
      </c>
      <c r="H3229" s="3"/>
    </row>
    <row r="3230" spans="1:8" x14ac:dyDescent="0.3">
      <c r="A3230" s="2">
        <v>9643137</v>
      </c>
      <c r="B3230" s="2">
        <v>51</v>
      </c>
      <c r="C3230" s="2" t="s">
        <v>6</v>
      </c>
      <c r="D3230" s="2">
        <v>100</v>
      </c>
      <c r="E3230" s="2"/>
      <c r="F3230" s="4" t="str">
        <f>HYPERLINK("./Results/DLO\20190301_1.3.12.2.1107.5.1.4.73861.30000019032123104050100011417_6_512_512_\Osteo_Sarco_1.png","RPT")</f>
        <v>RPT</v>
      </c>
      <c r="G3230" s="3">
        <v>126</v>
      </c>
      <c r="H3230" s="3"/>
    </row>
    <row r="3231" spans="1:8" x14ac:dyDescent="0.3">
      <c r="A3231" s="2">
        <v>9643137</v>
      </c>
      <c r="B3231" s="2">
        <v>51</v>
      </c>
      <c r="C3231" s="2" t="s">
        <v>6</v>
      </c>
      <c r="D3231" s="2">
        <v>100</v>
      </c>
      <c r="E3231" s="2"/>
      <c r="F3231" s="4" t="str">
        <f>HYPERLINK("./Results/DLO\20190301_1.3.12.2.1107.5.1.4.73861.30000019032123104050100010274_5_512_512_\Osteo_Sarco_1.png","RPT")</f>
        <v>RPT</v>
      </c>
      <c r="G3231" s="3">
        <v>124</v>
      </c>
      <c r="H3231" s="3"/>
    </row>
    <row r="3232" spans="1:8" x14ac:dyDescent="0.3">
      <c r="A3232" s="2">
        <v>9643137</v>
      </c>
      <c r="B3232" s="2">
        <v>51</v>
      </c>
      <c r="C3232" s="2" t="s">
        <v>6</v>
      </c>
      <c r="D3232" s="2">
        <v>100</v>
      </c>
      <c r="E3232" s="2"/>
      <c r="F3232" s="4" t="str">
        <f>HYPERLINK("./Results/DLO\20190301_1.3.12.2.1107.5.1.4.73861.30000019032123104050100009411_3_512_512_\Osteo_Sarco_1.png","RPT")</f>
        <v>RPT</v>
      </c>
      <c r="G3232" s="3">
        <v>122</v>
      </c>
      <c r="H3232" s="3"/>
    </row>
    <row r="3233" spans="1:8" x14ac:dyDescent="0.3">
      <c r="A3233" s="2">
        <v>9643203</v>
      </c>
      <c r="B3233" s="2">
        <v>54</v>
      </c>
      <c r="C3233" s="2" t="s">
        <v>5</v>
      </c>
      <c r="D3233" s="2">
        <v>120</v>
      </c>
      <c r="E3233" s="2"/>
      <c r="F3233" s="4" t="str">
        <f>HYPERLINK("./Results/DLO\20190601_1.2.410.100011.172.16.64.21.6370085427979076201.2_2_512_512_\Osteo_Sarco_1.png","RPT")</f>
        <v>RPT</v>
      </c>
      <c r="G3233" s="3">
        <v>168</v>
      </c>
      <c r="H3233" s="3"/>
    </row>
    <row r="3234" spans="1:8" x14ac:dyDescent="0.3">
      <c r="A3234" s="2">
        <v>9643203</v>
      </c>
      <c r="B3234" s="2">
        <v>54</v>
      </c>
      <c r="C3234" s="2" t="s">
        <v>5</v>
      </c>
      <c r="D3234" s="2">
        <v>120</v>
      </c>
      <c r="E3234" s="2"/>
      <c r="F3234" s="4" t="str">
        <f>HYPERLINK("./Results/DLO\20190601_1.2.410.100011.172.16.64.21.6370085427979076201.3_3_512_512_\Osteo_Sarco_1.png","RPT")</f>
        <v>RPT</v>
      </c>
      <c r="G3234" s="3">
        <v>166</v>
      </c>
      <c r="H3234" s="3"/>
    </row>
    <row r="3235" spans="1:8" x14ac:dyDescent="0.3">
      <c r="A3235" s="2">
        <v>9643203</v>
      </c>
      <c r="B3235" s="2">
        <v>54</v>
      </c>
      <c r="C3235" s="2" t="s">
        <v>5</v>
      </c>
      <c r="D3235" s="2">
        <v>120</v>
      </c>
      <c r="E3235" s="2"/>
      <c r="F3235" s="4" t="str">
        <f>HYPERLINK("./Results/DLO\20190601_1.2.410.100011.172.16.64.21.6370085427979076201.4_4_512_512_\Osteo_Sarco_1.png","RPT")</f>
        <v>RPT</v>
      </c>
      <c r="G3235" s="3">
        <v>166</v>
      </c>
      <c r="H3235" s="3"/>
    </row>
    <row r="3236" spans="1:8" x14ac:dyDescent="0.3">
      <c r="A3236" s="2">
        <v>9643269</v>
      </c>
      <c r="B3236" s="2">
        <v>70</v>
      </c>
      <c r="C3236" s="2" t="s">
        <v>5</v>
      </c>
      <c r="D3236" s="2">
        <v>100</v>
      </c>
      <c r="E3236" s="2"/>
      <c r="F3236" s="4" t="str">
        <f>HYPERLINK("./Results/DLO\20190401_1.3.12.2.1107.5.1.4.54310.30000019042223330837500052563_4_512_512_\Osteo_Sarco_1.png","RPT")</f>
        <v>RPT</v>
      </c>
      <c r="G3236" s="3">
        <v>143</v>
      </c>
      <c r="H3236" s="3"/>
    </row>
    <row r="3237" spans="1:8" x14ac:dyDescent="0.3">
      <c r="A3237" s="2">
        <v>9643269</v>
      </c>
      <c r="B3237" s="2">
        <v>70</v>
      </c>
      <c r="C3237" s="2" t="s">
        <v>5</v>
      </c>
      <c r="D3237" s="2">
        <v>100</v>
      </c>
      <c r="E3237" s="2"/>
      <c r="F3237" s="4" t="str">
        <f>HYPERLINK("./Results/DLO\20190401_1.3.12.2.1107.5.1.4.54310.30000019042223330837500052983_6_512_512_\Osteo_Sarco_1.png","RPT")</f>
        <v>RPT</v>
      </c>
      <c r="G3237" s="3">
        <v>142</v>
      </c>
      <c r="H3237" s="3"/>
    </row>
    <row r="3238" spans="1:8" x14ac:dyDescent="0.3">
      <c r="A3238" s="2">
        <v>9644631</v>
      </c>
      <c r="B3238" s="2">
        <v>59</v>
      </c>
      <c r="C3238" s="2" t="s">
        <v>5</v>
      </c>
      <c r="D3238" s="2">
        <v>120</v>
      </c>
      <c r="E3238" s="2"/>
      <c r="F3238" s="4" t="str">
        <f>HYPERLINK("./Results/DLO\20190401_1.2.410.100011.172.24.16.217.6369039897552818481.4_4_512_512_\Osteo_Sarco_1.png","RPT")</f>
        <v>RPT</v>
      </c>
      <c r="G3238" s="3">
        <v>151</v>
      </c>
      <c r="H3238" s="3"/>
    </row>
    <row r="3239" spans="1:8" x14ac:dyDescent="0.3">
      <c r="A3239" s="2">
        <v>9644631</v>
      </c>
      <c r="B3239" s="2">
        <v>59</v>
      </c>
      <c r="C3239" s="2" t="s">
        <v>5</v>
      </c>
      <c r="D3239" s="2">
        <v>120</v>
      </c>
      <c r="E3239" s="2"/>
      <c r="F3239" s="4" t="str">
        <f>HYPERLINK("./Results/DLO\20190401_1.2.410.100011.172.24.16.217.6369039897552818481.3_3_512_512_\Osteo_Sarco_1.png","RPT")</f>
        <v>RPT</v>
      </c>
      <c r="G3239" s="3">
        <v>150</v>
      </c>
      <c r="H3239" s="3"/>
    </row>
    <row r="3240" spans="1:8" x14ac:dyDescent="0.3">
      <c r="A3240" s="2">
        <v>9644631</v>
      </c>
      <c r="B3240" s="2">
        <v>59</v>
      </c>
      <c r="C3240" s="2" t="s">
        <v>5</v>
      </c>
      <c r="D3240" s="2">
        <v>120</v>
      </c>
      <c r="E3240" s="2"/>
      <c r="F3240" s="4" t="str">
        <f>HYPERLINK("./Results/DLO\20190401_1.2.410.100011.172.24.16.217.6369039897552818481.5_5_512_512_\Osteo_Sarco_1.png","RPT")</f>
        <v>RPT</v>
      </c>
      <c r="G3240" s="3">
        <v>150</v>
      </c>
      <c r="H3240" s="3"/>
    </row>
    <row r="3241" spans="1:8" x14ac:dyDescent="0.3">
      <c r="A3241" s="2">
        <v>9644631</v>
      </c>
      <c r="B3241" s="2">
        <v>59</v>
      </c>
      <c r="C3241" s="2" t="s">
        <v>5</v>
      </c>
      <c r="D3241" s="2">
        <v>120</v>
      </c>
      <c r="E3241" s="2"/>
      <c r="F3241" s="4" t="str">
        <f>HYPERLINK("./Results/DLO\20190401_1.2.410.100011.172.24.16.217.6369039897552818481.2_2_512_512_\Osteo_Sarco_1.png","RPT")</f>
        <v>RPT</v>
      </c>
      <c r="G3241" s="3">
        <v>142</v>
      </c>
      <c r="H3241" s="3"/>
    </row>
    <row r="3242" spans="1:8" x14ac:dyDescent="0.3">
      <c r="A3242" s="2">
        <v>9645539</v>
      </c>
      <c r="B3242" s="2">
        <v>39</v>
      </c>
      <c r="C3242" s="2" t="s">
        <v>6</v>
      </c>
      <c r="D3242" s="2">
        <v>100</v>
      </c>
      <c r="E3242" s="2"/>
      <c r="F3242" s="4" t="str">
        <f>HYPERLINK("./Results/DLO\20190401_1.3.12.2.1107.5.1.4.54310.30000019041623401839000011287_2_512_512_\Osteo_Sarco_1.png","RPT")</f>
        <v>RPT</v>
      </c>
      <c r="G3242" s="3">
        <v>91</v>
      </c>
      <c r="H3242" s="3"/>
    </row>
    <row r="3243" spans="1:8" x14ac:dyDescent="0.3">
      <c r="A3243" s="2">
        <v>9646961</v>
      </c>
      <c r="B3243" s="2">
        <v>66</v>
      </c>
      <c r="C3243" s="2" t="s">
        <v>6</v>
      </c>
      <c r="D3243" s="2">
        <v>120</v>
      </c>
      <c r="E3243" s="2"/>
      <c r="F3243" s="4" t="str">
        <f>HYPERLINK("./Results/DLO\20190401_1.2.410.100011.172.24.16.217.6369100228301571513.2_2_512_512_\Osteo_Sarco_1.png","RPT")</f>
        <v>RPT</v>
      </c>
      <c r="G3243" s="3">
        <v>97</v>
      </c>
      <c r="H3243" s="3"/>
    </row>
    <row r="3244" spans="1:8" x14ac:dyDescent="0.3">
      <c r="A3244" s="2">
        <v>9646961</v>
      </c>
      <c r="B3244" s="2">
        <v>66</v>
      </c>
      <c r="C3244" s="2" t="s">
        <v>6</v>
      </c>
      <c r="D3244" s="2">
        <v>120</v>
      </c>
      <c r="E3244" s="2"/>
      <c r="F3244" s="4" t="str">
        <f>HYPERLINK("./Results/DLO\20190401_1.2.410.100011.172.24.16.217.6369100228301571513.3_3_512_512_\Osteo_Sarco_1.png","RPT")</f>
        <v>RPT</v>
      </c>
      <c r="G3244" s="3">
        <v>96</v>
      </c>
      <c r="H3244" s="3"/>
    </row>
    <row r="3245" spans="1:8" x14ac:dyDescent="0.3">
      <c r="A3245" s="2">
        <v>9648870</v>
      </c>
      <c r="B3245" s="2">
        <v>69</v>
      </c>
      <c r="C3245" s="2" t="s">
        <v>6</v>
      </c>
      <c r="D3245" s="2">
        <v>100</v>
      </c>
      <c r="E3245" s="2"/>
      <c r="F3245" s="4" t="str">
        <f>HYPERLINK("./Results/DLO\20190401_1.3.12.2.1107.5.1.4.65253.30000019041320084743000005430_3_512_512_\Osteo_Sarco_1.png","RPT")</f>
        <v>RPT</v>
      </c>
      <c r="G3245" s="3">
        <v>118</v>
      </c>
      <c r="H3245" s="3"/>
    </row>
    <row r="3246" spans="1:8" x14ac:dyDescent="0.3">
      <c r="A3246" s="2">
        <v>9648870</v>
      </c>
      <c r="B3246" s="2">
        <v>69</v>
      </c>
      <c r="C3246" s="2" t="s">
        <v>6</v>
      </c>
      <c r="D3246" s="2">
        <v>100</v>
      </c>
      <c r="E3246" s="2"/>
      <c r="F3246" s="4" t="str">
        <f>HYPERLINK("./Results/DLO\20190401_1.3.12.2.1107.5.1.4.65253.30000019041320084743000005272_2_512_512_\Osteo_Sarco_1.png","RPT")</f>
        <v>RPT</v>
      </c>
      <c r="G3246" s="3">
        <v>116</v>
      </c>
      <c r="H3246" s="3"/>
    </row>
    <row r="3247" spans="1:8" x14ac:dyDescent="0.3">
      <c r="A3247" s="2">
        <v>9653409</v>
      </c>
      <c r="B3247" s="2">
        <v>74</v>
      </c>
      <c r="C3247" s="2" t="s">
        <v>5</v>
      </c>
      <c r="D3247" s="2">
        <v>120</v>
      </c>
      <c r="E3247" s="2"/>
      <c r="F3247" s="4" t="str">
        <f>HYPERLINK("./Results/DLO\20200201_1.2.840.113619.2.416.255235884606713660927062738716896276699_2_512_512_\Osteo_Sarco_1.png","RPT")</f>
        <v>RPT</v>
      </c>
      <c r="G3247" s="3">
        <v>158</v>
      </c>
      <c r="H3247" s="3"/>
    </row>
    <row r="3248" spans="1:8" x14ac:dyDescent="0.3">
      <c r="A3248" s="2">
        <v>9653409</v>
      </c>
      <c r="B3248" s="2">
        <v>74</v>
      </c>
      <c r="C3248" s="2" t="s">
        <v>5</v>
      </c>
      <c r="D3248" s="2">
        <v>120</v>
      </c>
      <c r="E3248" s="2"/>
      <c r="F3248" s="4" t="str">
        <f>HYPERLINK("./Results/DLO\20190401_1.2.410.100011.172.24.16.218.6369333445689222382.2_2_512_512_\Osteo_Sarco_1.png","RPT")</f>
        <v>RPT</v>
      </c>
      <c r="G3248" s="3">
        <v>150</v>
      </c>
      <c r="H3248" s="3"/>
    </row>
    <row r="3249" spans="1:8" x14ac:dyDescent="0.3">
      <c r="A3249" s="2">
        <v>9653409</v>
      </c>
      <c r="B3249" s="2">
        <v>74</v>
      </c>
      <c r="C3249" s="2" t="s">
        <v>5</v>
      </c>
      <c r="D3249" s="2">
        <v>120</v>
      </c>
      <c r="E3249" s="2"/>
      <c r="F3249" s="4" t="str">
        <f>HYPERLINK("./Results/DLO\20190401_1.2.410.100011.172.24.16.218.6369333445689222382.3_3_512_512_\Osteo_Sarco_1.png","RPT")</f>
        <v>RPT</v>
      </c>
      <c r="G3249" s="3">
        <v>150</v>
      </c>
      <c r="H3249" s="3"/>
    </row>
    <row r="3250" spans="1:8" x14ac:dyDescent="0.3">
      <c r="A3250" s="2">
        <v>9653409</v>
      </c>
      <c r="B3250" s="2">
        <v>74</v>
      </c>
      <c r="C3250" s="2" t="s">
        <v>5</v>
      </c>
      <c r="D3250" s="2">
        <v>140</v>
      </c>
      <c r="E3250" s="2"/>
      <c r="F3250" s="4" t="str">
        <f>HYPERLINK("./Results/DLO\20200201_1.2.840.113619.2.416.115513054916175122978467203766144412963_302_512_512_\Osteo_Sarco_1.png","RPT")</f>
        <v>RPT</v>
      </c>
      <c r="G3250" s="3">
        <v>148</v>
      </c>
      <c r="H3250" s="3"/>
    </row>
    <row r="3251" spans="1:8" x14ac:dyDescent="0.3">
      <c r="A3251" s="2">
        <v>9653410</v>
      </c>
      <c r="B3251" s="2">
        <v>56</v>
      </c>
      <c r="C3251" s="2" t="s">
        <v>6</v>
      </c>
      <c r="D3251" s="2">
        <v>100</v>
      </c>
      <c r="E3251" s="2"/>
      <c r="F3251" s="4" t="str">
        <f>HYPERLINK("./Results/DLO\20190401_1.2.840.113619.2.416.305022112754260968978989791228291925715_306_512_512_\Osteo_Sarco_1.png","RPT")</f>
        <v>RPT</v>
      </c>
      <c r="G3251" s="3">
        <v>150</v>
      </c>
      <c r="H3251" s="3"/>
    </row>
    <row r="3252" spans="1:8" x14ac:dyDescent="0.3">
      <c r="A3252" s="2">
        <v>9654475</v>
      </c>
      <c r="B3252" s="2">
        <v>31</v>
      </c>
      <c r="C3252" s="2" t="s">
        <v>6</v>
      </c>
      <c r="D3252" s="2">
        <v>140</v>
      </c>
      <c r="E3252" s="2"/>
      <c r="F3252" s="4" t="str">
        <f>HYPERLINK("./Results/DLO\20190401_1.2.840.113619.2.311.273921884674041307190402678732582541464_308_512_512_\Osteo_Sarco_1.png","RPT")</f>
        <v>RPT</v>
      </c>
      <c r="G3252" s="3">
        <v>122</v>
      </c>
      <c r="H3252" s="3"/>
    </row>
    <row r="3253" spans="1:8" x14ac:dyDescent="0.3">
      <c r="A3253" s="2">
        <v>9654475</v>
      </c>
      <c r="B3253" s="2">
        <v>31</v>
      </c>
      <c r="C3253" s="2" t="s">
        <v>6</v>
      </c>
      <c r="D3253" s="2">
        <v>140</v>
      </c>
      <c r="E3253" s="2"/>
      <c r="F3253" s="4" t="str">
        <f>HYPERLINK("./Results/DLO\20190401_1.2.840.113619.2.311.304946206309276519116924300555576925576_309_512_512_\Osteo_Sarco_1.png","RPT")</f>
        <v>RPT</v>
      </c>
      <c r="G3253" s="3">
        <v>107</v>
      </c>
      <c r="H3253" s="3"/>
    </row>
    <row r="3254" spans="1:8" x14ac:dyDescent="0.3">
      <c r="A3254" s="2">
        <v>9656252</v>
      </c>
      <c r="B3254" s="2">
        <v>43</v>
      </c>
      <c r="C3254" s="2" t="s">
        <v>6</v>
      </c>
      <c r="D3254" s="2">
        <v>100</v>
      </c>
      <c r="E3254" s="2"/>
      <c r="F3254" s="4" t="str">
        <f>HYPERLINK("./Results/DLO\20190501_1.2.840.113619.2.416.207188839133121664561782471849562205462_310_512_512_\Osteo_Sarco_1.png","RPT")</f>
        <v>RPT</v>
      </c>
      <c r="G3254" s="3">
        <v>90</v>
      </c>
      <c r="H3254" s="3"/>
    </row>
    <row r="3255" spans="1:8" x14ac:dyDescent="0.3">
      <c r="A3255" s="2">
        <v>9657678</v>
      </c>
      <c r="B3255" s="2">
        <v>38</v>
      </c>
      <c r="C3255" s="2" t="s">
        <v>6</v>
      </c>
      <c r="D3255" s="2">
        <v>140</v>
      </c>
      <c r="E3255" s="2"/>
      <c r="F3255" s="4" t="str">
        <f>HYPERLINK("./Results/DLO\20190401_1.2.840.113619.2.311.266670706377243996025879752278676132700_307_512_512_\Osteo_Sarco_1.png","RPT")</f>
        <v>RPT</v>
      </c>
      <c r="G3255" s="3">
        <v>93</v>
      </c>
      <c r="H3255" s="3"/>
    </row>
    <row r="3256" spans="1:8" x14ac:dyDescent="0.3">
      <c r="A3256" s="2">
        <v>9657767</v>
      </c>
      <c r="B3256" s="2">
        <v>32</v>
      </c>
      <c r="C3256" s="2" t="s">
        <v>5</v>
      </c>
      <c r="D3256" s="2">
        <v>100</v>
      </c>
      <c r="E3256" s="2"/>
      <c r="F3256" s="4" t="str">
        <f>HYPERLINK("./Results/DLO\20191001_1.3.12.2.1107.5.1.4.65253.30000019103020295683500044048_2_512_512_\Osteo_Sarco_1.png","RPT")</f>
        <v>RPT</v>
      </c>
      <c r="G3256" s="3">
        <v>206</v>
      </c>
      <c r="H3256" s="3"/>
    </row>
    <row r="3257" spans="1:8" x14ac:dyDescent="0.3">
      <c r="A3257" s="2">
        <v>9657788</v>
      </c>
      <c r="B3257" s="2">
        <v>78</v>
      </c>
      <c r="C3257" s="2" t="s">
        <v>5</v>
      </c>
      <c r="D3257" s="2">
        <v>120</v>
      </c>
      <c r="E3257" s="2"/>
      <c r="F3257" s="4" t="str">
        <f>HYPERLINK("./Results/DLO\20190401_1.2.410.100011.172.24.16.218.6369393945021439994.4_4_512_512_\Osteo_Sarco_1.png","RPT")</f>
        <v>RPT</v>
      </c>
      <c r="G3257" s="3">
        <v>145</v>
      </c>
      <c r="H3257" s="3"/>
    </row>
    <row r="3258" spans="1:8" x14ac:dyDescent="0.3">
      <c r="A3258" s="2">
        <v>9657788</v>
      </c>
      <c r="B3258" s="2">
        <v>78</v>
      </c>
      <c r="C3258" s="2" t="s">
        <v>5</v>
      </c>
      <c r="D3258" s="2">
        <v>120</v>
      </c>
      <c r="E3258" s="2"/>
      <c r="F3258" s="4" t="str">
        <f>HYPERLINK("./Results/DLO\20190401_1.2.410.100011.172.24.16.218.6369393945021439994.3_3_512_512_\Osteo_Sarco_1.png","RPT")</f>
        <v>RPT</v>
      </c>
      <c r="G3258" s="3">
        <v>143</v>
      </c>
      <c r="H3258" s="3"/>
    </row>
    <row r="3259" spans="1:8" x14ac:dyDescent="0.3">
      <c r="A3259" s="2">
        <v>9657788</v>
      </c>
      <c r="B3259" s="2">
        <v>78</v>
      </c>
      <c r="C3259" s="2" t="s">
        <v>5</v>
      </c>
      <c r="D3259" s="2">
        <v>120</v>
      </c>
      <c r="E3259" s="2"/>
      <c r="F3259" s="4" t="str">
        <f>HYPERLINK("./Results/DLO\20190401_1.2.410.100011.172.24.16.218.6369393945021439994.2_2_512_512_\Osteo_Sarco_1.png","RPT")</f>
        <v>RPT</v>
      </c>
      <c r="G3259" s="3">
        <v>142</v>
      </c>
      <c r="H3259" s="3"/>
    </row>
    <row r="3260" spans="1:8" x14ac:dyDescent="0.3">
      <c r="A3260" s="2">
        <v>9658097</v>
      </c>
      <c r="B3260" s="2">
        <v>63</v>
      </c>
      <c r="C3260" s="2" t="s">
        <v>6</v>
      </c>
      <c r="D3260" s="2">
        <v>100</v>
      </c>
      <c r="E3260" s="2"/>
      <c r="F3260" s="4" t="str">
        <f>HYPERLINK("./Results/DLO\20190701_1.2.840.113619.2.416.164133535479079767189190766821113420835_310_512_512_\Osteo_Sarco_1.png","RPT")</f>
        <v>RPT</v>
      </c>
      <c r="G3260" s="3">
        <v>102</v>
      </c>
      <c r="H3260" s="3"/>
    </row>
    <row r="3261" spans="1:8" x14ac:dyDescent="0.3">
      <c r="A3261" s="2">
        <v>9659832</v>
      </c>
      <c r="B3261" s="2">
        <v>51</v>
      </c>
      <c r="C3261" s="2" t="s">
        <v>5</v>
      </c>
      <c r="D3261" s="2">
        <v>100</v>
      </c>
      <c r="E3261" s="2"/>
      <c r="F3261" s="4" t="str">
        <f>HYPERLINK("./Results/DLO\20190501_1.3.46.670589.33.1.63693686687692733600001.4938821129419097815_201_512_512_\Osteo_Sarco_1.png","RPT")</f>
        <v>RPT</v>
      </c>
      <c r="G3261" s="3">
        <v>135</v>
      </c>
      <c r="H3261" s="3"/>
    </row>
    <row r="3262" spans="1:8" x14ac:dyDescent="0.3">
      <c r="A3262" s="2">
        <v>9662872</v>
      </c>
      <c r="B3262" s="2">
        <v>50</v>
      </c>
      <c r="C3262" s="2" t="s">
        <v>6</v>
      </c>
      <c r="D3262" s="2">
        <v>100</v>
      </c>
      <c r="E3262" s="2"/>
      <c r="F3262" s="4" t="str">
        <f>HYPERLINK("./Results/DLO\20200201_1.2.840.113619.2.416.79664595993845094161855511974045282020_310_512_512_\Osteo_Sarco_1.png","RPT")</f>
        <v>RPT</v>
      </c>
      <c r="G3262" s="3">
        <v>113</v>
      </c>
      <c r="H3262" s="3"/>
    </row>
    <row r="3263" spans="1:8" x14ac:dyDescent="0.3">
      <c r="A3263" s="2">
        <v>9664028</v>
      </c>
      <c r="B3263" s="2">
        <v>50</v>
      </c>
      <c r="C3263" s="2" t="s">
        <v>6</v>
      </c>
      <c r="D3263" s="2">
        <v>100</v>
      </c>
      <c r="E3263" s="2"/>
      <c r="F3263" s="4" t="str">
        <f>HYPERLINK("./Results/DLO\20190601_1.3.12.2.1107.5.1.4.65253.30000019061720200326000005281_2_512_512_\Osteo_Sarco_1.png","RPT")</f>
        <v>RPT</v>
      </c>
      <c r="G3263" s="3">
        <v>104</v>
      </c>
      <c r="H3263" s="3"/>
    </row>
    <row r="3264" spans="1:8" x14ac:dyDescent="0.3">
      <c r="A3264" s="2">
        <v>9665760</v>
      </c>
      <c r="B3264" s="2">
        <v>50</v>
      </c>
      <c r="C3264" s="2" t="s">
        <v>5</v>
      </c>
      <c r="D3264" s="2">
        <v>120</v>
      </c>
      <c r="E3264" s="2"/>
      <c r="F3264" s="4" t="str">
        <f>HYPERLINK("./Results/DLO\20190501_1.3.12.2.1107.5.1.4.54310.30000019050821334617100072879_2_512_512_\Osteo_Sarco_1.png","RPT")</f>
        <v>RPT</v>
      </c>
      <c r="G3264" s="3">
        <v>211</v>
      </c>
      <c r="H3264" s="3"/>
    </row>
    <row r="3265" spans="1:8" x14ac:dyDescent="0.3">
      <c r="A3265" s="2">
        <v>9665760</v>
      </c>
      <c r="B3265" s="2">
        <v>50</v>
      </c>
      <c r="C3265" s="2" t="s">
        <v>5</v>
      </c>
      <c r="D3265" s="2">
        <v>120</v>
      </c>
      <c r="E3265" s="2"/>
      <c r="F3265" s="4" t="str">
        <f>HYPERLINK("./Results/DLO\20190501_1.3.12.2.1107.5.1.4.54310.30000019050821334617100073064_5_512_512_\Osteo_Sarco_1.png","RPT")</f>
        <v>RPT</v>
      </c>
      <c r="G3265" s="3">
        <v>211</v>
      </c>
      <c r="H3265" s="3"/>
    </row>
    <row r="3266" spans="1:8" x14ac:dyDescent="0.3">
      <c r="A3266" s="2">
        <v>9665760</v>
      </c>
      <c r="B3266" s="2">
        <v>50</v>
      </c>
      <c r="C3266" s="2" t="s">
        <v>5</v>
      </c>
      <c r="D3266" s="2">
        <v>120</v>
      </c>
      <c r="E3266" s="2"/>
      <c r="F3266" s="4" t="str">
        <f>HYPERLINK("./Results/DLO\20190501_1.3.12.2.1107.5.1.4.54310.30000019050821334617100074333_9_512_512_\Osteo_Sarco_1.png","RPT")</f>
        <v>RPT</v>
      </c>
      <c r="G3266" s="3">
        <v>210</v>
      </c>
      <c r="H3266" s="3"/>
    </row>
    <row r="3267" spans="1:8" x14ac:dyDescent="0.3">
      <c r="A3267" s="2">
        <v>9666989</v>
      </c>
      <c r="B3267" s="2">
        <v>38</v>
      </c>
      <c r="C3267" s="2" t="s">
        <v>6</v>
      </c>
      <c r="D3267" s="2">
        <v>100</v>
      </c>
      <c r="E3267" s="2"/>
      <c r="F3267" s="4" t="str">
        <f>HYPERLINK("./Results/DLO\20190801_1.3.12.2.1107.5.1.4.54310.30000019081822233132800041564_8_512_512_\Osteo_Sarco_1.png","RPT")</f>
        <v>RPT</v>
      </c>
      <c r="G3267" s="3">
        <v>125</v>
      </c>
      <c r="H3267" s="3"/>
    </row>
    <row r="3268" spans="1:8" x14ac:dyDescent="0.3">
      <c r="A3268" s="2">
        <v>9666989</v>
      </c>
      <c r="B3268" s="2">
        <v>38</v>
      </c>
      <c r="C3268" s="2" t="s">
        <v>6</v>
      </c>
      <c r="D3268" s="2">
        <v>100</v>
      </c>
      <c r="E3268" s="2"/>
      <c r="F3268" s="4" t="str">
        <f>HYPERLINK("./Results/DLO\20190801_1.3.12.2.1107.5.1.4.54310.30000019081822233132800040586_2_512_512_\Osteo_Sarco_1.png","RPT")</f>
        <v>RPT</v>
      </c>
      <c r="G3268" s="3">
        <v>123</v>
      </c>
      <c r="H3268" s="3"/>
    </row>
    <row r="3269" spans="1:8" x14ac:dyDescent="0.3">
      <c r="A3269" s="2">
        <v>9667967</v>
      </c>
      <c r="B3269" s="2">
        <v>79</v>
      </c>
      <c r="C3269" s="2" t="s">
        <v>6</v>
      </c>
      <c r="D3269" s="2">
        <v>120</v>
      </c>
      <c r="E3269" s="2"/>
      <c r="F3269" s="4" t="str">
        <f>HYPERLINK("./Results/DLO\20190401_1.2.410.100011.172.16.64.22.6369281536012373573.3_3_512_512_\Osteo_Sarco_1.png","RPT")</f>
        <v>RPT</v>
      </c>
      <c r="G3269" s="3">
        <v>124</v>
      </c>
      <c r="H3269" s="3"/>
    </row>
    <row r="3270" spans="1:8" x14ac:dyDescent="0.3">
      <c r="A3270" s="2">
        <v>9667967</v>
      </c>
      <c r="B3270" s="2">
        <v>79</v>
      </c>
      <c r="C3270" s="2" t="s">
        <v>6</v>
      </c>
      <c r="D3270" s="2">
        <v>120</v>
      </c>
      <c r="E3270" s="2"/>
      <c r="F3270" s="4" t="str">
        <f>HYPERLINK("./Results/DLO\20190401_1.2.410.100011.172.16.64.22.6369281536012373573.2_2_512_512_\Osteo_Sarco_1.png","RPT")</f>
        <v>RPT</v>
      </c>
      <c r="G3270" s="3">
        <v>119</v>
      </c>
      <c r="H3270" s="3"/>
    </row>
    <row r="3271" spans="1:8" x14ac:dyDescent="0.3">
      <c r="A3271" s="2">
        <v>9669385</v>
      </c>
      <c r="B3271" s="2">
        <v>55</v>
      </c>
      <c r="C3271" s="2" t="s">
        <v>6</v>
      </c>
      <c r="D3271" s="2">
        <v>100</v>
      </c>
      <c r="E3271" s="2"/>
      <c r="F3271" s="4" t="str">
        <f>HYPERLINK("./Results/DLO\20190501_1.2.840.113619.2.416.116883814098503416780403959640158876712_310_512_512_\Osteo_Sarco_1.png","RPT")</f>
        <v>RPT</v>
      </c>
      <c r="G3271" s="3">
        <v>156</v>
      </c>
      <c r="H3271" s="3"/>
    </row>
    <row r="3272" spans="1:8" x14ac:dyDescent="0.3">
      <c r="A3272" s="2">
        <v>9670730</v>
      </c>
      <c r="B3272" s="2">
        <v>43</v>
      </c>
      <c r="C3272" s="2" t="s">
        <v>6</v>
      </c>
      <c r="D3272" s="2">
        <v>100</v>
      </c>
      <c r="E3272" s="2"/>
      <c r="F3272" s="4" t="str">
        <f>HYPERLINK("./Results/DLO\20190501_1.2.840.113619.2.416.162405290722500233380788644962623513492_310_512_512_\Osteo_Sarco_1.png","RPT")</f>
        <v>RPT</v>
      </c>
      <c r="G3272" s="3">
        <v>108</v>
      </c>
      <c r="H3272" s="3"/>
    </row>
    <row r="3273" spans="1:8" x14ac:dyDescent="0.3">
      <c r="A3273" s="2">
        <v>9670885</v>
      </c>
      <c r="B3273" s="2">
        <v>63</v>
      </c>
      <c r="C3273" s="2" t="s">
        <v>6</v>
      </c>
      <c r="D3273" s="2">
        <v>100</v>
      </c>
      <c r="E3273" s="2"/>
      <c r="F3273" s="4" t="str">
        <f>HYPERLINK("./Results/DLO\20190501_1.3.12.2.1107.5.1.4.54310.30000019051421202614000046826_6_512_512_\Osteo_Sarco_1.png","RPT")</f>
        <v>RPT</v>
      </c>
      <c r="G3273" s="3">
        <v>82</v>
      </c>
      <c r="H3273" s="3"/>
    </row>
    <row r="3274" spans="1:8" x14ac:dyDescent="0.3">
      <c r="A3274" s="2">
        <v>9672180</v>
      </c>
      <c r="B3274" s="2">
        <v>78</v>
      </c>
      <c r="C3274" s="2" t="s">
        <v>5</v>
      </c>
      <c r="D3274" s="2">
        <v>100</v>
      </c>
      <c r="E3274" s="2"/>
      <c r="F3274" s="4" t="str">
        <f>HYPERLINK("./Results/DLO\20190601_1.3.12.2.1107.5.1.4.65253.30000019060908254536000005122_6_512_512_\Osteo_Sarco_1.png","RPT")</f>
        <v>RPT</v>
      </c>
      <c r="G3274" s="3">
        <v>113</v>
      </c>
      <c r="H3274" s="3"/>
    </row>
    <row r="3275" spans="1:8" x14ac:dyDescent="0.3">
      <c r="A3275" s="2">
        <v>9672180</v>
      </c>
      <c r="B3275" s="2">
        <v>78</v>
      </c>
      <c r="C3275" s="2" t="s">
        <v>5</v>
      </c>
      <c r="D3275" s="2">
        <v>100</v>
      </c>
      <c r="E3275" s="2"/>
      <c r="F3275" s="4" t="str">
        <f>HYPERLINK("./Results/DLO\20190601_1.3.12.2.1107.5.1.4.65253.30000019060908254536000004684_4_512_512_\Osteo_Sarco_1.png","RPT")</f>
        <v>RPT</v>
      </c>
      <c r="G3275" s="3">
        <v>112</v>
      </c>
      <c r="H3275" s="3"/>
    </row>
    <row r="3276" spans="1:8" x14ac:dyDescent="0.3">
      <c r="A3276" s="2">
        <v>9672260</v>
      </c>
      <c r="B3276" s="2">
        <v>41</v>
      </c>
      <c r="C3276" s="2" t="s">
        <v>6</v>
      </c>
      <c r="D3276" s="2">
        <v>100</v>
      </c>
      <c r="E3276" s="2"/>
      <c r="F3276" s="4" t="str">
        <f>HYPERLINK("./Results/DLO\20190501_1.2.840.113619.2.416.321765488984543616189021177002282970164_310_512_512_\Osteo_Sarco_1.png","RPT")</f>
        <v>RPT</v>
      </c>
      <c r="G3276" s="3">
        <v>107</v>
      </c>
      <c r="H3276" s="3"/>
    </row>
    <row r="3277" spans="1:8" x14ac:dyDescent="0.3">
      <c r="A3277" s="2">
        <v>9673004</v>
      </c>
      <c r="B3277" s="2">
        <v>79</v>
      </c>
      <c r="C3277" s="2" t="s">
        <v>5</v>
      </c>
      <c r="D3277" s="2">
        <v>100</v>
      </c>
      <c r="E3277" s="2"/>
      <c r="F3277" s="4" t="str">
        <f>HYPERLINK("./Results/DLO\20180901_1.2.840.113619.2.311.267884456696032660635580836410138374390_2_512_512_\Osteo_Sarco_1.png","RPT")</f>
        <v>RPT</v>
      </c>
      <c r="G3277" s="3">
        <v>133</v>
      </c>
      <c r="H3277" s="3"/>
    </row>
    <row r="3278" spans="1:8" x14ac:dyDescent="0.3">
      <c r="A3278" s="2">
        <v>9673004</v>
      </c>
      <c r="B3278" s="2">
        <v>79</v>
      </c>
      <c r="C3278" s="2" t="s">
        <v>5</v>
      </c>
      <c r="D3278" s="2">
        <v>100</v>
      </c>
      <c r="E3278" s="2"/>
      <c r="F3278" s="4" t="str">
        <f>HYPERLINK("./Results/DLO\20180901_1.2.840.113619.2.311.134282668679294739687551101612628638016_303_512_512_\Osteo_Sarco_1.png","RPT")</f>
        <v>RPT</v>
      </c>
      <c r="G3278" s="3">
        <v>130</v>
      </c>
      <c r="H3278" s="3"/>
    </row>
    <row r="3279" spans="1:8" x14ac:dyDescent="0.3">
      <c r="A3279" s="2">
        <v>9676819</v>
      </c>
      <c r="B3279" s="2">
        <v>49</v>
      </c>
      <c r="C3279" s="2" t="s">
        <v>5</v>
      </c>
      <c r="D3279" s="2">
        <v>140</v>
      </c>
      <c r="E3279" s="2"/>
      <c r="F3279" s="4" t="str">
        <f>HYPERLINK("./Results/DLO\20190501_1.2.840.113619.2.416.309795499568428956103062629472180573754_301_512_512_\Osteo_Sarco_1.png","RPT")</f>
        <v>RPT</v>
      </c>
      <c r="G3279" s="3">
        <v>225</v>
      </c>
      <c r="H3279" s="3"/>
    </row>
    <row r="3280" spans="1:8" x14ac:dyDescent="0.3">
      <c r="A3280" s="2">
        <v>9676819</v>
      </c>
      <c r="B3280" s="2">
        <v>49</v>
      </c>
      <c r="C3280" s="2" t="s">
        <v>5</v>
      </c>
      <c r="D3280" s="2">
        <v>140</v>
      </c>
      <c r="E3280" s="2"/>
      <c r="F3280" s="4" t="str">
        <f>HYPERLINK("./Results/DLO\20190501_1.2.840.113619.2.416.60782201743891993584223884531217680381_303_512_512_\Osteo_Sarco_1.png","RPT")</f>
        <v>RPT</v>
      </c>
      <c r="G3280" s="3">
        <v>225</v>
      </c>
      <c r="H3280" s="3"/>
    </row>
    <row r="3281" spans="1:8" x14ac:dyDescent="0.3">
      <c r="A3281" s="2">
        <v>9676819</v>
      </c>
      <c r="B3281" s="2">
        <v>49</v>
      </c>
      <c r="C3281" s="2" t="s">
        <v>5</v>
      </c>
      <c r="D3281" s="2">
        <v>140</v>
      </c>
      <c r="E3281" s="2"/>
      <c r="F3281" s="4" t="str">
        <f>HYPERLINK("./Results/DLO\20190501_1.2.840.113619.2.416.162323942434601735733626023287318086150_304_512_512_\Osteo_Sarco_1.png","RPT")</f>
        <v>RPT</v>
      </c>
      <c r="G3281" s="3">
        <v>224</v>
      </c>
      <c r="H3281" s="3"/>
    </row>
    <row r="3282" spans="1:8" x14ac:dyDescent="0.3">
      <c r="A3282" s="2">
        <v>9678098</v>
      </c>
      <c r="B3282" s="2">
        <v>58</v>
      </c>
      <c r="C3282" s="2" t="s">
        <v>6</v>
      </c>
      <c r="D3282" s="2">
        <v>100</v>
      </c>
      <c r="E3282" s="2"/>
      <c r="F3282" s="4" t="str">
        <f>HYPERLINK("./Results/DLO\20190501_1.2.410.100011.172.16.64.21.6369402425603911753.4_4_512_512_\Osteo_Sarco_1.png","RPT")</f>
        <v>RPT</v>
      </c>
      <c r="G3282" s="3">
        <v>100</v>
      </c>
      <c r="H3282" s="3"/>
    </row>
    <row r="3283" spans="1:8" x14ac:dyDescent="0.3">
      <c r="A3283" s="2">
        <v>9678098</v>
      </c>
      <c r="B3283" s="2">
        <v>58</v>
      </c>
      <c r="C3283" s="2" t="s">
        <v>6</v>
      </c>
      <c r="D3283" s="2">
        <v>100</v>
      </c>
      <c r="E3283" s="2"/>
      <c r="F3283" s="4" t="str">
        <f>HYPERLINK("./Results/DLO\20190501_1.2.410.100011.172.16.64.21.6369402425603911753.3_3_512_512_\Osteo_Sarco_1.png","RPT")</f>
        <v>RPT</v>
      </c>
      <c r="G3283" s="3">
        <v>98</v>
      </c>
      <c r="H3283" s="3"/>
    </row>
    <row r="3284" spans="1:8" x14ac:dyDescent="0.3">
      <c r="A3284" s="2">
        <v>9678098</v>
      </c>
      <c r="B3284" s="2">
        <v>58</v>
      </c>
      <c r="C3284" s="2" t="s">
        <v>6</v>
      </c>
      <c r="D3284" s="2">
        <v>100</v>
      </c>
      <c r="E3284" s="2"/>
      <c r="F3284" s="4" t="str">
        <f>HYPERLINK("./Results/DLO\20190501_1.2.410.100011.172.16.64.21.6369402425603911753.2_2_512_512_\Osteo_Sarco_1.png","RPT")</f>
        <v>RPT</v>
      </c>
      <c r="G3284" s="3">
        <v>93</v>
      </c>
      <c r="H3284" s="3"/>
    </row>
    <row r="3285" spans="1:8" x14ac:dyDescent="0.3">
      <c r="A3285" s="2">
        <v>9678263</v>
      </c>
      <c r="B3285" s="2">
        <v>55</v>
      </c>
      <c r="C3285" s="2" t="s">
        <v>5</v>
      </c>
      <c r="D3285" s="2">
        <v>100</v>
      </c>
      <c r="E3285" s="2"/>
      <c r="F3285" s="4" t="str">
        <f>HYPERLINK("./Results/DLO\20190501_1.3.12.2.1107.5.1.4.65253.30000019051319530377800093790_4_512_512_\Osteo_Sarco_1.png","RPT")</f>
        <v>RPT</v>
      </c>
      <c r="G3285" s="3">
        <v>154</v>
      </c>
      <c r="H3285" s="3"/>
    </row>
    <row r="3286" spans="1:8" x14ac:dyDescent="0.3">
      <c r="A3286" s="2">
        <v>9678263</v>
      </c>
      <c r="B3286" s="2">
        <v>55</v>
      </c>
      <c r="C3286" s="2" t="s">
        <v>5</v>
      </c>
      <c r="D3286" s="2">
        <v>100</v>
      </c>
      <c r="E3286" s="2"/>
      <c r="F3286" s="4" t="str">
        <f>HYPERLINK("./Results/DLO\20190501_1.3.12.2.1107.5.1.4.65253.30000019051319530377800094663_9_512_512_\Osteo_Sarco_1.png","RPT")</f>
        <v>RPT</v>
      </c>
      <c r="G3286" s="3">
        <v>153</v>
      </c>
      <c r="H3286" s="3"/>
    </row>
    <row r="3287" spans="1:8" x14ac:dyDescent="0.3">
      <c r="A3287" s="2">
        <v>9678263</v>
      </c>
      <c r="B3287" s="2">
        <v>55</v>
      </c>
      <c r="C3287" s="2" t="s">
        <v>5</v>
      </c>
      <c r="D3287" s="2">
        <v>100</v>
      </c>
      <c r="E3287" s="2"/>
      <c r="F3287" s="4" t="str">
        <f>HYPERLINK("./Results/DLO\20190501_1.3.12.2.1107.5.1.4.65253.30000019051319530377800095372_14_512_512_\Osteo_Sarco_1.png","RPT")</f>
        <v>RPT</v>
      </c>
      <c r="G3287" s="3">
        <v>153</v>
      </c>
      <c r="H3287" s="3"/>
    </row>
    <row r="3288" spans="1:8" x14ac:dyDescent="0.3">
      <c r="A3288" s="2">
        <v>9679638</v>
      </c>
      <c r="B3288" s="2">
        <v>49</v>
      </c>
      <c r="C3288" s="2" t="s">
        <v>5</v>
      </c>
      <c r="D3288" s="2">
        <v>120</v>
      </c>
      <c r="E3288" s="2"/>
      <c r="F3288" s="4" t="str">
        <f>HYPERLINK("./Results/DLO\20190501_1.2.410.100011.172.16.64.21.6369420111957064162.3_3_512_512_\Osteo_Sarco_1.png","RPT")</f>
        <v>RPT</v>
      </c>
      <c r="G3288" s="3">
        <v>184</v>
      </c>
      <c r="H3288" s="3"/>
    </row>
    <row r="3289" spans="1:8" x14ac:dyDescent="0.3">
      <c r="A3289" s="2">
        <v>9679638</v>
      </c>
      <c r="B3289" s="2">
        <v>49</v>
      </c>
      <c r="C3289" s="2" t="s">
        <v>5</v>
      </c>
      <c r="D3289" s="2">
        <v>120</v>
      </c>
      <c r="E3289" s="2"/>
      <c r="F3289" s="4" t="str">
        <f>HYPERLINK("./Results/DLO\20190501_1.2.410.100011.172.16.64.21.6369420111957064162.4_4_512_512_\Osteo_Sarco_1.png","RPT")</f>
        <v>RPT</v>
      </c>
      <c r="G3289" s="3">
        <v>182</v>
      </c>
      <c r="H3289" s="3"/>
    </row>
    <row r="3290" spans="1:8" x14ac:dyDescent="0.3">
      <c r="A3290" s="2">
        <v>9679638</v>
      </c>
      <c r="B3290" s="2">
        <v>49</v>
      </c>
      <c r="C3290" s="2" t="s">
        <v>5</v>
      </c>
      <c r="D3290" s="2">
        <v>120</v>
      </c>
      <c r="E3290" s="2"/>
      <c r="F3290" s="4" t="str">
        <f>HYPERLINK("./Results/DLO\20190501_1.2.410.100011.172.16.64.21.6369420111957064162.2_2_512_512_\Osteo_Sarco_1.png","RPT")</f>
        <v>RPT</v>
      </c>
      <c r="G3290" s="3">
        <v>181</v>
      </c>
      <c r="H3290" s="3"/>
    </row>
    <row r="3291" spans="1:8" x14ac:dyDescent="0.3">
      <c r="A3291" s="2">
        <v>9681110</v>
      </c>
      <c r="B3291" s="2">
        <v>45</v>
      </c>
      <c r="C3291" s="2" t="s">
        <v>6</v>
      </c>
      <c r="D3291" s="2">
        <v>120</v>
      </c>
      <c r="E3291" s="2"/>
      <c r="F3291" s="4" t="str">
        <f>HYPERLINK("./Results/DLO\20190501_1.2.410.100011.172.24.16.221.6369454835336988731.3_3_512_512_\Osteo_Sarco_1.png","RPT")</f>
        <v>RPT</v>
      </c>
      <c r="G3291" s="3">
        <v>127</v>
      </c>
      <c r="H3291" s="3"/>
    </row>
    <row r="3292" spans="1:8" x14ac:dyDescent="0.3">
      <c r="A3292" s="2">
        <v>9681923</v>
      </c>
      <c r="B3292" s="2">
        <v>46</v>
      </c>
      <c r="C3292" s="2" t="s">
        <v>5</v>
      </c>
      <c r="D3292" s="2">
        <v>120</v>
      </c>
      <c r="E3292" s="2"/>
      <c r="F3292" s="4" t="str">
        <f>HYPERLINK("./Results/DLO\20190501_1.2.410.100011.172.16.44.21.6369379923752863441.2_2_512_512_\Osteo_Sarco_1.png","RPT")</f>
        <v>RPT</v>
      </c>
      <c r="G3292" s="3">
        <v>153</v>
      </c>
      <c r="H3292" s="3"/>
    </row>
    <row r="3293" spans="1:8" x14ac:dyDescent="0.3">
      <c r="A3293" s="2">
        <v>9681923</v>
      </c>
      <c r="B3293" s="2">
        <v>46</v>
      </c>
      <c r="C3293" s="2" t="s">
        <v>5</v>
      </c>
      <c r="D3293" s="2">
        <v>120</v>
      </c>
      <c r="E3293" s="2"/>
      <c r="F3293" s="4" t="str">
        <f>HYPERLINK("./Results/DLO\20190501_1.2.410.100011.172.16.44.21.6369379923752863441.1_1_512_512_\Osteo_Sarco_1.png","RPT")</f>
        <v>RPT</v>
      </c>
      <c r="G3293" s="3">
        <v>143</v>
      </c>
      <c r="H3293" s="3"/>
    </row>
    <row r="3294" spans="1:8" x14ac:dyDescent="0.3">
      <c r="A3294" s="2">
        <v>9683040</v>
      </c>
      <c r="B3294" s="2">
        <v>64</v>
      </c>
      <c r="C3294" s="2" t="s">
        <v>5</v>
      </c>
      <c r="D3294" s="2">
        <v>100</v>
      </c>
      <c r="E3294" s="2"/>
      <c r="F3294" s="4" t="str">
        <f>HYPERLINK("./Results/DLO\20190901_1.3.12.2.1107.5.1.4.54310.30000019090421365968700056545_7_512_512_\Osteo_Sarco_1.png","RPT")</f>
        <v>RPT</v>
      </c>
      <c r="G3294" s="3">
        <v>148</v>
      </c>
      <c r="H3294" s="3"/>
    </row>
    <row r="3295" spans="1:8" x14ac:dyDescent="0.3">
      <c r="A3295" s="2">
        <v>9683040</v>
      </c>
      <c r="B3295" s="2">
        <v>64</v>
      </c>
      <c r="C3295" s="2" t="s">
        <v>5</v>
      </c>
      <c r="D3295" s="2">
        <v>100</v>
      </c>
      <c r="E3295" s="2"/>
      <c r="F3295" s="4" t="str">
        <f>HYPERLINK("./Results/DLO\20190901_1.3.12.2.1107.5.1.4.54310.30000019090421365968700056212_5_512_512_\Osteo_Sarco_1.png","RPT")</f>
        <v>RPT</v>
      </c>
      <c r="G3295" s="3">
        <v>147</v>
      </c>
      <c r="H3295" s="3"/>
    </row>
    <row r="3296" spans="1:8" x14ac:dyDescent="0.3">
      <c r="A3296" s="2">
        <v>9683040</v>
      </c>
      <c r="B3296" s="2">
        <v>64</v>
      </c>
      <c r="C3296" s="2" t="s">
        <v>5</v>
      </c>
      <c r="D3296" s="2">
        <v>100</v>
      </c>
      <c r="E3296" s="2"/>
      <c r="F3296" s="4" t="str">
        <f>HYPERLINK("./Results/DLO\20190901_1.3.12.2.1107.5.1.4.54310.30000019090421365968700056128_2_512_512_\Osteo_Sarco_1.png","RPT")</f>
        <v>RPT</v>
      </c>
      <c r="G3296" s="3">
        <v>146</v>
      </c>
      <c r="H3296" s="3"/>
    </row>
    <row r="3297" spans="1:8" x14ac:dyDescent="0.3">
      <c r="A3297" s="2">
        <v>9683040</v>
      </c>
      <c r="B3297" s="2">
        <v>64</v>
      </c>
      <c r="C3297" s="2" t="s">
        <v>5</v>
      </c>
      <c r="D3297" s="2">
        <v>100</v>
      </c>
      <c r="E3297" s="2"/>
      <c r="F3297" s="4" t="str">
        <f>HYPERLINK("./Results/DLO\20190901_1.3.12.2.1107.5.1.4.54310.30000019090421365968700056809_9_512_512_\Osteo_Sarco_1.png","RPT")</f>
        <v>RPT</v>
      </c>
      <c r="G3297" s="3">
        <v>146</v>
      </c>
      <c r="H3297" s="3"/>
    </row>
    <row r="3298" spans="1:8" x14ac:dyDescent="0.3">
      <c r="A3298" s="2">
        <v>9684610</v>
      </c>
      <c r="B3298" s="2">
        <v>42</v>
      </c>
      <c r="C3298" s="2" t="s">
        <v>5</v>
      </c>
      <c r="D3298" s="2">
        <v>100</v>
      </c>
      <c r="E3298" s="2"/>
      <c r="F3298" s="4" t="str">
        <f>HYPERLINK("./Results/DLO\20190801_1.3.46.670589.33.1.63700853490913533400001.4833944019984539635_201_512_512_\Osteo_Sarco_1.png","RPT")</f>
        <v>RPT</v>
      </c>
      <c r="G3298" s="3">
        <v>157</v>
      </c>
      <c r="H3298" s="3"/>
    </row>
    <row r="3299" spans="1:8" x14ac:dyDescent="0.3">
      <c r="A3299" s="2">
        <v>9684651</v>
      </c>
      <c r="B3299" s="2">
        <v>59</v>
      </c>
      <c r="C3299" s="2" t="s">
        <v>6</v>
      </c>
      <c r="D3299" s="2">
        <v>100</v>
      </c>
      <c r="E3299" s="2"/>
      <c r="F3299" s="4" t="str">
        <f>HYPERLINK("./Results/DLO\20190601_1.3.12.2.1107.5.1.4.65253.30000019060919561741600050058_3_512_512_\Osteo_Sarco_1.png","RPT")</f>
        <v>RPT</v>
      </c>
      <c r="G3299" s="3">
        <v>115</v>
      </c>
      <c r="H3299" s="3"/>
    </row>
    <row r="3300" spans="1:8" x14ac:dyDescent="0.3">
      <c r="A3300" s="2">
        <v>9684651</v>
      </c>
      <c r="B3300" s="2">
        <v>59</v>
      </c>
      <c r="C3300" s="2" t="s">
        <v>6</v>
      </c>
      <c r="D3300" s="2">
        <v>100</v>
      </c>
      <c r="E3300" s="2"/>
      <c r="F3300" s="4" t="str">
        <f>HYPERLINK("./Results/DLO\20190601_1.3.12.2.1107.5.1.4.65253.30000019060919561741600049900_2_512_512_\Osteo_Sarco_1.png","RPT")</f>
        <v>RPT</v>
      </c>
      <c r="G3300" s="3">
        <v>109</v>
      </c>
      <c r="H3300" s="3"/>
    </row>
    <row r="3301" spans="1:8" x14ac:dyDescent="0.3">
      <c r="A3301" s="2">
        <v>9685648</v>
      </c>
      <c r="B3301" s="2">
        <v>48</v>
      </c>
      <c r="C3301" s="2" t="s">
        <v>5</v>
      </c>
      <c r="D3301" s="2">
        <v>120</v>
      </c>
      <c r="E3301" s="2"/>
      <c r="F3301" s="4" t="str">
        <f>HYPERLINK("./Results/DLO\20190201_1.3.12.2.1107.5.1.4.95097.30000019021818582983300019739_6_512_512_\Osteo_Sarco_1.png","RPT")</f>
        <v>RPT</v>
      </c>
      <c r="G3301" s="3">
        <v>151</v>
      </c>
      <c r="H3301" s="3"/>
    </row>
    <row r="3302" spans="1:8" x14ac:dyDescent="0.3">
      <c r="A3302" s="2">
        <v>9685648</v>
      </c>
      <c r="B3302" s="2">
        <v>48</v>
      </c>
      <c r="C3302" s="2" t="s">
        <v>5</v>
      </c>
      <c r="D3302" s="2">
        <v>80</v>
      </c>
      <c r="E3302" s="2"/>
      <c r="F3302" s="4" t="str">
        <f>HYPERLINK("./Results/DLO\20190201_1.3.12.2.1107.5.1.4.95097.30000019021818582983300019478_4_512_512_\Osteo_Sarco_1.png","RPT")</f>
        <v>RPT</v>
      </c>
      <c r="G3302" s="3">
        <v>148</v>
      </c>
      <c r="H3302" s="3"/>
    </row>
    <row r="3303" spans="1:8" x14ac:dyDescent="0.3">
      <c r="A3303" s="2">
        <v>9685667</v>
      </c>
      <c r="B3303" s="2">
        <v>56</v>
      </c>
      <c r="C3303" s="2" t="s">
        <v>6</v>
      </c>
      <c r="D3303" s="2">
        <v>100</v>
      </c>
      <c r="E3303" s="2"/>
      <c r="F3303" s="4" t="str">
        <f>HYPERLINK("./Results/DLO\20190601_1.3.12.2.1107.5.1.4.54310.30000019061622243689000050032_4_512_512_\Osteo_Sarco_1.png","RPT")</f>
        <v>RPT</v>
      </c>
      <c r="G3303" s="3">
        <v>105</v>
      </c>
      <c r="H3303" s="3"/>
    </row>
    <row r="3304" spans="1:8" x14ac:dyDescent="0.3">
      <c r="A3304" s="2">
        <v>9685667</v>
      </c>
      <c r="B3304" s="2">
        <v>56</v>
      </c>
      <c r="C3304" s="2" t="s">
        <v>6</v>
      </c>
      <c r="D3304" s="2">
        <v>100</v>
      </c>
      <c r="E3304" s="2"/>
      <c r="F3304" s="4" t="str">
        <f>HYPERLINK("./Results/DLO\20190601_1.3.12.2.1107.5.1.4.54310.30000019061622243689000050434_6_512_512_\Osteo_Sarco_1.png","RPT")</f>
        <v>RPT</v>
      </c>
      <c r="G3304" s="3">
        <v>105</v>
      </c>
      <c r="H3304" s="3"/>
    </row>
    <row r="3305" spans="1:8" x14ac:dyDescent="0.3">
      <c r="A3305" s="2">
        <v>9685687</v>
      </c>
      <c r="B3305" s="2">
        <v>47</v>
      </c>
      <c r="C3305" s="2" t="s">
        <v>6</v>
      </c>
      <c r="D3305" s="2">
        <v>100</v>
      </c>
      <c r="E3305" s="2"/>
      <c r="F3305" s="4" t="str">
        <f>HYPERLINK("./Results/DLO\20190501_1.2.840.113619.2.416.195732379996258754631039466069666900768_310_512_512_\Osteo_Sarco_1.png","RPT")</f>
        <v>RPT</v>
      </c>
      <c r="G3305" s="3">
        <v>131</v>
      </c>
      <c r="H3305" s="3"/>
    </row>
    <row r="3306" spans="1:8" x14ac:dyDescent="0.3">
      <c r="A3306" s="2">
        <v>9686852</v>
      </c>
      <c r="B3306" s="2">
        <v>45</v>
      </c>
      <c r="C3306" s="2" t="s">
        <v>5</v>
      </c>
      <c r="D3306" s="2">
        <v>100</v>
      </c>
      <c r="E3306" s="2"/>
      <c r="F3306" s="4" t="str">
        <f>HYPERLINK("./Results/DLO\20190501_1.3.12.2.1107.5.1.4.65253.30000019052819441403100046783_8_512_512_\Osteo_Sarco_1.png","RPT")</f>
        <v>RPT</v>
      </c>
      <c r="G3306" s="3">
        <v>185</v>
      </c>
      <c r="H3306" s="3"/>
    </row>
    <row r="3307" spans="1:8" x14ac:dyDescent="0.3">
      <c r="A3307" s="2">
        <v>9686852</v>
      </c>
      <c r="B3307" s="2">
        <v>45</v>
      </c>
      <c r="C3307" s="2" t="s">
        <v>5</v>
      </c>
      <c r="D3307" s="2">
        <v>100</v>
      </c>
      <c r="E3307" s="2"/>
      <c r="F3307" s="4" t="str">
        <f>HYPERLINK("./Results/DLO\20190501_1.3.12.2.1107.5.1.4.65253.30000019052819441403100046151_5_512_512_\Osteo_Sarco_1.png","RPT")</f>
        <v>RPT</v>
      </c>
      <c r="G3307" s="3">
        <v>184</v>
      </c>
      <c r="H3307" s="3"/>
    </row>
    <row r="3308" spans="1:8" x14ac:dyDescent="0.3">
      <c r="A3308" s="2">
        <v>9686852</v>
      </c>
      <c r="B3308" s="2">
        <v>45</v>
      </c>
      <c r="C3308" s="2" t="s">
        <v>5</v>
      </c>
      <c r="D3308" s="2">
        <v>100</v>
      </c>
      <c r="E3308" s="2"/>
      <c r="F3308" s="4" t="str">
        <f>HYPERLINK("./Results/DLO\20190501_1.3.12.2.1107.5.1.4.65253.30000019052819441403100046611_7_512_512_\Osteo_Sarco_1.png","RPT")</f>
        <v>RPT</v>
      </c>
      <c r="G3308" s="3">
        <v>184</v>
      </c>
      <c r="H3308" s="3"/>
    </row>
    <row r="3309" spans="1:8" x14ac:dyDescent="0.3">
      <c r="A3309" s="2">
        <v>9686852</v>
      </c>
      <c r="B3309" s="2">
        <v>45</v>
      </c>
      <c r="C3309" s="2" t="s">
        <v>5</v>
      </c>
      <c r="D3309" s="2">
        <v>100</v>
      </c>
      <c r="E3309" s="2"/>
      <c r="F3309" s="4" t="str">
        <f>HYPERLINK("./Results/DLO\20190501_1.3.12.2.1107.5.1.4.65253.30000019052819441403100046063_2_512_512_\Osteo_Sarco_1.png","RPT")</f>
        <v>RPT</v>
      </c>
      <c r="G3309" s="3">
        <v>183</v>
      </c>
      <c r="H3309" s="3"/>
    </row>
    <row r="3310" spans="1:8" x14ac:dyDescent="0.3">
      <c r="A3310" s="2">
        <v>9689839</v>
      </c>
      <c r="B3310" s="2">
        <v>52</v>
      </c>
      <c r="C3310" s="2" t="s">
        <v>5</v>
      </c>
      <c r="D3310" s="2">
        <v>100</v>
      </c>
      <c r="E3310" s="2"/>
      <c r="F3310" s="4" t="str">
        <f>HYPERLINK("./Results/DLO\20190501_1.2.410.100011.172.16.44.21.6369457621526332111.3_3_512_512_\Osteo_Sarco_1.png","RPT")</f>
        <v>RPT</v>
      </c>
      <c r="G3310" s="3">
        <v>119</v>
      </c>
      <c r="H3310" s="3"/>
    </row>
    <row r="3311" spans="1:8" x14ac:dyDescent="0.3">
      <c r="A3311" s="2">
        <v>9689839</v>
      </c>
      <c r="B3311" s="2">
        <v>52</v>
      </c>
      <c r="C3311" s="2" t="s">
        <v>5</v>
      </c>
      <c r="D3311" s="2">
        <v>100</v>
      </c>
      <c r="E3311" s="2"/>
      <c r="F3311" s="4" t="str">
        <f>HYPERLINK("./Results/DLO\20190501_1.2.410.100011.172.16.44.21.6369457621526332111.2_2_512_512_\Osteo_Sarco_1.png","RPT")</f>
        <v>RPT</v>
      </c>
      <c r="G3311" s="3">
        <v>117</v>
      </c>
      <c r="H3311" s="3"/>
    </row>
    <row r="3312" spans="1:8" x14ac:dyDescent="0.3">
      <c r="A3312" s="2">
        <v>9689853</v>
      </c>
      <c r="B3312" s="2">
        <v>60</v>
      </c>
      <c r="C3312" s="2" t="s">
        <v>6</v>
      </c>
      <c r="D3312" s="2">
        <v>100</v>
      </c>
      <c r="E3312" s="2"/>
      <c r="F3312" s="4" t="str">
        <f>HYPERLINK("./Results/DLO\20190601_1.3.12.2.1107.5.1.4.54310.30000019061821272012500065127_6_512_512_\Osteo_Sarco_1.png","RPT")</f>
        <v>RPT</v>
      </c>
      <c r="G3312" s="3">
        <v>125</v>
      </c>
      <c r="H3312" s="3"/>
    </row>
    <row r="3313" spans="1:8" x14ac:dyDescent="0.3">
      <c r="A3313" s="2">
        <v>9692157</v>
      </c>
      <c r="B3313" s="2">
        <v>39</v>
      </c>
      <c r="C3313" s="2" t="s">
        <v>6</v>
      </c>
      <c r="D3313" s="2">
        <v>140</v>
      </c>
      <c r="E3313" s="2"/>
      <c r="F3313" s="4" t="str">
        <f>HYPERLINK("./Results/DLO\20190501_1.2.840.113619.2.416.10879934267137237560729495605897469823_301_512_512_\Osteo_Sarco_1.png","RPT")</f>
        <v>RPT</v>
      </c>
      <c r="G3313" s="3">
        <v>95</v>
      </c>
      <c r="H3313" s="3"/>
    </row>
    <row r="3314" spans="1:8" x14ac:dyDescent="0.3">
      <c r="A3314" s="2">
        <v>9692157</v>
      </c>
      <c r="B3314" s="2">
        <v>39</v>
      </c>
      <c r="C3314" s="2" t="s">
        <v>6</v>
      </c>
      <c r="D3314" s="2">
        <v>140</v>
      </c>
      <c r="E3314" s="2"/>
      <c r="F3314" s="4" t="str">
        <f>HYPERLINK("./Results/DLO\20190501_1.2.840.113619.2.416.205595717641029728175869373314852995598_303_512_512_\Osteo_Sarco_1.png","RPT")</f>
        <v>RPT</v>
      </c>
      <c r="G3314" s="3">
        <v>95</v>
      </c>
      <c r="H3314" s="3"/>
    </row>
    <row r="3315" spans="1:8" x14ac:dyDescent="0.3">
      <c r="A3315" s="2">
        <v>9692157</v>
      </c>
      <c r="B3315" s="2">
        <v>39</v>
      </c>
      <c r="C3315" s="2" t="s">
        <v>6</v>
      </c>
      <c r="D3315" s="2">
        <v>140</v>
      </c>
      <c r="E3315" s="2"/>
      <c r="F3315" s="4" t="str">
        <f>HYPERLINK("./Results/DLO\20190501_1.2.840.113619.2.416.94777467668996454635819526517034317942_304_512_512_\Osteo_Sarco_1.png","RPT")</f>
        <v>RPT</v>
      </c>
      <c r="G3315" s="3">
        <v>95</v>
      </c>
      <c r="H3315" s="3"/>
    </row>
    <row r="3316" spans="1:8" x14ac:dyDescent="0.3">
      <c r="A3316" s="2">
        <v>9694476</v>
      </c>
      <c r="B3316" s="2">
        <v>65</v>
      </c>
      <c r="C3316" s="2" t="s">
        <v>6</v>
      </c>
      <c r="D3316" s="2">
        <v>100</v>
      </c>
      <c r="E3316" s="2"/>
      <c r="F3316" s="4" t="str">
        <f>HYPERLINK("./Results/DLO\20190501_1.3.12.2.1107.5.1.4.65253.30000019053020461533200033661_5_512_512_\Osteo_Sarco_1.png","RPT")</f>
        <v>RPT</v>
      </c>
      <c r="G3316" s="3">
        <v>85</v>
      </c>
      <c r="H3316" s="3"/>
    </row>
    <row r="3317" spans="1:8" x14ac:dyDescent="0.3">
      <c r="A3317" s="2">
        <v>9694476</v>
      </c>
      <c r="B3317" s="2">
        <v>65</v>
      </c>
      <c r="C3317" s="2" t="s">
        <v>6</v>
      </c>
      <c r="D3317" s="2">
        <v>100</v>
      </c>
      <c r="E3317" s="2"/>
      <c r="F3317" s="4" t="str">
        <f>HYPERLINK("./Results/DLO\20190501_1.3.12.2.1107.5.1.4.65253.30000019053020461533200034286_7_512_512_\Osteo_Sarco_1.png","RPT")</f>
        <v>RPT</v>
      </c>
      <c r="G3317" s="3">
        <v>84</v>
      </c>
      <c r="H3317" s="3"/>
    </row>
    <row r="3318" spans="1:8" x14ac:dyDescent="0.3">
      <c r="A3318" s="2">
        <v>9694476</v>
      </c>
      <c r="B3318" s="2">
        <v>65</v>
      </c>
      <c r="C3318" s="2" t="s">
        <v>6</v>
      </c>
      <c r="D3318" s="2">
        <v>100</v>
      </c>
      <c r="E3318" s="2"/>
      <c r="F3318" s="4" t="str">
        <f>HYPERLINK("./Results/DLO\20190501_1.3.12.2.1107.5.1.4.65253.30000019053020461533200033504_2_512_512_\Osteo_Sarco_1.png","RPT")</f>
        <v>RPT</v>
      </c>
      <c r="G3318" s="3">
        <v>83</v>
      </c>
      <c r="H3318" s="3"/>
    </row>
    <row r="3319" spans="1:8" x14ac:dyDescent="0.3">
      <c r="A3319" s="2">
        <v>9701651</v>
      </c>
      <c r="B3319" s="2">
        <v>72</v>
      </c>
      <c r="C3319" s="2" t="s">
        <v>5</v>
      </c>
      <c r="D3319" s="2">
        <v>100</v>
      </c>
      <c r="E3319" s="2"/>
      <c r="F3319" s="4" t="str">
        <f>HYPERLINK("./Results/DLO\20180301_1.2.840.113619.2.416.178120150484347771373453736573202154259_2_512_512_\Osteo_Sarco_1.png","RPT")</f>
        <v>RPT</v>
      </c>
      <c r="G3319" s="3">
        <v>117</v>
      </c>
      <c r="H3319" s="3"/>
    </row>
    <row r="3320" spans="1:8" x14ac:dyDescent="0.3">
      <c r="A3320" s="2">
        <v>9701651</v>
      </c>
      <c r="B3320" s="2">
        <v>72</v>
      </c>
      <c r="C3320" s="2" t="s">
        <v>5</v>
      </c>
      <c r="D3320" s="2">
        <v>100</v>
      </c>
      <c r="E3320" s="2"/>
      <c r="F3320" s="4" t="str">
        <f>HYPERLINK("./Results/DLO\20180301_1.2.840.113619.2.416.250278448695490410208438688090850232510_304_512_512_\Osteo_Sarco_1.png","RPT")</f>
        <v>RPT</v>
      </c>
      <c r="G3320" s="3">
        <v>117</v>
      </c>
      <c r="H3320" s="3"/>
    </row>
    <row r="3321" spans="1:8" x14ac:dyDescent="0.3">
      <c r="A3321" s="2">
        <v>9702400</v>
      </c>
      <c r="B3321" s="2">
        <v>50</v>
      </c>
      <c r="C3321" s="2" t="s">
        <v>6</v>
      </c>
      <c r="D3321" s="2">
        <v>140</v>
      </c>
      <c r="E3321" s="2"/>
      <c r="F3321" s="4" t="str">
        <f>HYPERLINK("./Results/DLO\20190601_1.2.840.113619.2.416.285681964450742283362879124052839400301_304_512_512_\Osteo_Sarco_1.png","RPT")</f>
        <v>RPT</v>
      </c>
      <c r="G3321" s="3">
        <v>108</v>
      </c>
      <c r="H3321" s="3"/>
    </row>
    <row r="3322" spans="1:8" x14ac:dyDescent="0.3">
      <c r="A3322" s="2">
        <v>9702400</v>
      </c>
      <c r="B3322" s="2">
        <v>50</v>
      </c>
      <c r="C3322" s="2" t="s">
        <v>6</v>
      </c>
      <c r="D3322" s="2">
        <v>140</v>
      </c>
      <c r="E3322" s="2"/>
      <c r="F3322" s="4" t="str">
        <f>HYPERLINK("./Results/DLO\20190601_1.2.840.113619.2.416.237256800439826659450183504044913479804_301_512_512_\Osteo_Sarco_1.png","RPT")</f>
        <v>RPT</v>
      </c>
      <c r="G3322" s="3">
        <v>107</v>
      </c>
      <c r="H3322" s="3"/>
    </row>
    <row r="3323" spans="1:8" x14ac:dyDescent="0.3">
      <c r="A3323" s="2">
        <v>9702400</v>
      </c>
      <c r="B3323" s="2">
        <v>50</v>
      </c>
      <c r="C3323" s="2" t="s">
        <v>6</v>
      </c>
      <c r="D3323" s="2">
        <v>140</v>
      </c>
      <c r="E3323" s="2"/>
      <c r="F3323" s="4" t="str">
        <f>HYPERLINK("./Results/DLO\20190601_1.2.840.113619.2.416.45178591108733940854499789739669118808_303_512_512_\Osteo_Sarco_1.png","RPT")</f>
        <v>RPT</v>
      </c>
      <c r="G3323" s="3">
        <v>106</v>
      </c>
      <c r="H3323" s="3"/>
    </row>
    <row r="3324" spans="1:8" x14ac:dyDescent="0.3">
      <c r="A3324" s="2">
        <v>9710144</v>
      </c>
      <c r="B3324" s="2">
        <v>35</v>
      </c>
      <c r="C3324" s="2" t="s">
        <v>6</v>
      </c>
      <c r="D3324" s="2">
        <v>100</v>
      </c>
      <c r="E3324" s="2"/>
      <c r="F3324" s="4" t="str">
        <f>HYPERLINK("./Results/DLO\20190601_1.3.46.670589.33.1.63697058268492346300001.4721233988044066095_701_512_512_\Osteo_Sarco_1.png","RPT")</f>
        <v>RPT</v>
      </c>
      <c r="G3324" s="3">
        <v>95</v>
      </c>
      <c r="H3324" s="3"/>
    </row>
    <row r="3325" spans="1:8" x14ac:dyDescent="0.3">
      <c r="A3325" s="2">
        <v>9710144</v>
      </c>
      <c r="B3325" s="2">
        <v>35</v>
      </c>
      <c r="C3325" s="2" t="s">
        <v>6</v>
      </c>
      <c r="D3325" s="2">
        <v>100</v>
      </c>
      <c r="E3325" s="2"/>
      <c r="F3325" s="4" t="str">
        <f>HYPERLINK("./Results/DLO\20190601_1.3.46.670589.33.1.63697058017743004200001.5484693132324612091_201_512_512_\Osteo_Sarco_1.png","RPT")</f>
        <v>RPT</v>
      </c>
      <c r="G3325" s="3">
        <v>91</v>
      </c>
      <c r="H3325" s="3"/>
    </row>
    <row r="3326" spans="1:8" x14ac:dyDescent="0.3">
      <c r="A3326" s="2">
        <v>9710144</v>
      </c>
      <c r="B3326" s="2">
        <v>35</v>
      </c>
      <c r="C3326" s="2" t="s">
        <v>6</v>
      </c>
      <c r="D3326" s="2">
        <v>100</v>
      </c>
      <c r="E3326" s="2"/>
      <c r="F3326" s="4" t="str">
        <f>HYPERLINK("./Results/DLO\20190601_1.3.46.670589.33.1.63697058102958878300001.5143901231332209425_501_512_512_\Osteo_Sarco_1.png","RPT")</f>
        <v>RPT</v>
      </c>
      <c r="G3326" s="3">
        <v>91</v>
      </c>
      <c r="H3326" s="3"/>
    </row>
    <row r="3327" spans="1:8" x14ac:dyDescent="0.3">
      <c r="A3327" s="2">
        <v>9710144</v>
      </c>
      <c r="B3327" s="2">
        <v>35</v>
      </c>
      <c r="C3327" s="2" t="s">
        <v>6</v>
      </c>
      <c r="D3327" s="2">
        <v>100</v>
      </c>
      <c r="E3327" s="2"/>
      <c r="F3327" s="4" t="str">
        <f>HYPERLINK("./Results/DLO\20190601_1.3.46.670589.33.1.63697058162689294700001.5705197991174710399_601_512_512_\Osteo_Sarco_1.png","RPT")</f>
        <v>RPT</v>
      </c>
      <c r="G3327" s="3">
        <v>85</v>
      </c>
      <c r="H3327" s="3"/>
    </row>
    <row r="3328" spans="1:8" x14ac:dyDescent="0.3">
      <c r="A3328" s="2">
        <v>9710296</v>
      </c>
      <c r="B3328" s="2">
        <v>63</v>
      </c>
      <c r="C3328" s="2" t="s">
        <v>6</v>
      </c>
      <c r="D3328" s="2">
        <v>140</v>
      </c>
      <c r="E3328" s="2"/>
      <c r="F3328" s="4" t="str">
        <f>HYPERLINK("./Results/DLO\20191001_1.2.840.113619.2.416.16811647723584416541822804272608459388_306_512_512_\Osteo_Sarco_1.png","RPT")</f>
        <v>RPT</v>
      </c>
      <c r="G3328" s="3">
        <v>101</v>
      </c>
      <c r="H3328" s="3"/>
    </row>
    <row r="3329" spans="1:8" x14ac:dyDescent="0.3">
      <c r="A3329" s="2">
        <v>9710296</v>
      </c>
      <c r="B3329" s="2">
        <v>63</v>
      </c>
      <c r="C3329" s="2" t="s">
        <v>6</v>
      </c>
      <c r="D3329" s="2">
        <v>140</v>
      </c>
      <c r="E3329" s="2"/>
      <c r="F3329" s="4" t="str">
        <f>HYPERLINK("./Results/DLO\20191001_1.2.840.113619.2.416.244108501545414047033494785879676605526_303_512_512_\Osteo_Sarco_1.png","RPT")</f>
        <v>RPT</v>
      </c>
      <c r="G3329" s="3">
        <v>99</v>
      </c>
      <c r="H3329" s="3"/>
    </row>
    <row r="3330" spans="1:8" x14ac:dyDescent="0.3">
      <c r="A3330" s="2">
        <v>9710296</v>
      </c>
      <c r="B3330" s="2">
        <v>63</v>
      </c>
      <c r="C3330" s="2" t="s">
        <v>6</v>
      </c>
      <c r="D3330" s="2">
        <v>140</v>
      </c>
      <c r="E3330" s="2"/>
      <c r="F3330" s="4" t="str">
        <f>HYPERLINK("./Results/DLO\20191001_1.2.840.113619.2.416.282184727864654409606553092903676653965_301_512_512_\Osteo_Sarco_1.png","RPT")</f>
        <v>RPT</v>
      </c>
      <c r="G3330" s="3">
        <v>97</v>
      </c>
      <c r="H3330" s="3"/>
    </row>
    <row r="3331" spans="1:8" x14ac:dyDescent="0.3">
      <c r="A3331" s="2">
        <v>9710296</v>
      </c>
      <c r="B3331" s="2">
        <v>63</v>
      </c>
      <c r="C3331" s="2" t="s">
        <v>6</v>
      </c>
      <c r="D3331" s="2">
        <v>140</v>
      </c>
      <c r="E3331" s="2"/>
      <c r="F3331" s="4" t="str">
        <f>HYPERLINK("./Results/DLO\20191001_1.2.840.113619.2.416.329379721149758016995622996522191249618_3_512_512_\Osteo_Sarco_1.png","RPT")</f>
        <v>RPT</v>
      </c>
      <c r="G3331" s="3">
        <v>97</v>
      </c>
      <c r="H3331" s="3"/>
    </row>
    <row r="3332" spans="1:8" x14ac:dyDescent="0.3">
      <c r="A3332" s="2">
        <v>9713380</v>
      </c>
      <c r="B3332" s="2">
        <v>38</v>
      </c>
      <c r="C3332" s="2" t="s">
        <v>6</v>
      </c>
      <c r="D3332" s="2">
        <v>100</v>
      </c>
      <c r="E3332" s="2"/>
      <c r="F3332" s="4" t="str">
        <f>HYPERLINK("./Results/DLO\20190701_1.3.12.2.1107.5.1.4.54310.30000019063022203612500046644_4_512_512_\Osteo_Sarco_1.png","RPT")</f>
        <v>RPT</v>
      </c>
      <c r="G3332" s="3">
        <v>105</v>
      </c>
      <c r="H3332" s="3"/>
    </row>
    <row r="3333" spans="1:8" x14ac:dyDescent="0.3">
      <c r="A3333" s="2">
        <v>9713380</v>
      </c>
      <c r="B3333" s="2">
        <v>38</v>
      </c>
      <c r="C3333" s="2" t="s">
        <v>6</v>
      </c>
      <c r="D3333" s="2">
        <v>100</v>
      </c>
      <c r="E3333" s="2"/>
      <c r="F3333" s="4" t="str">
        <f>HYPERLINK("./Results/DLO\20190701_1.3.12.2.1107.5.1.4.54310.30000019063022203612500047057_6_512_512_\Osteo_Sarco_1.png","RPT")</f>
        <v>RPT</v>
      </c>
      <c r="G3333" s="3">
        <v>104</v>
      </c>
      <c r="H3333" s="3"/>
    </row>
    <row r="3334" spans="1:8" x14ac:dyDescent="0.3">
      <c r="A3334" s="2">
        <v>9713482</v>
      </c>
      <c r="B3334" s="2">
        <v>59</v>
      </c>
      <c r="C3334" s="2" t="s">
        <v>5</v>
      </c>
      <c r="D3334" s="2">
        <v>140</v>
      </c>
      <c r="E3334" s="2"/>
      <c r="F3334" s="4" t="str">
        <f>HYPERLINK("./Results/DLO\20190701_1.2.840.113619.2.416.271158480034740167518150588897505672609_306_512_512_\Osteo_Sarco_1.png","RPT")</f>
        <v>RPT</v>
      </c>
      <c r="G3334" s="3">
        <v>134</v>
      </c>
      <c r="H3334" s="3"/>
    </row>
    <row r="3335" spans="1:8" x14ac:dyDescent="0.3">
      <c r="A3335" s="2">
        <v>9713482</v>
      </c>
      <c r="B3335" s="2">
        <v>59</v>
      </c>
      <c r="C3335" s="2" t="s">
        <v>5</v>
      </c>
      <c r="D3335" s="2">
        <v>140</v>
      </c>
      <c r="E3335" s="2"/>
      <c r="F3335" s="4" t="str">
        <f>HYPERLINK("./Results/DLO\20190701_1.2.840.113619.2.416.66748528488586610808114604878292433766_303_512_512_\Osteo_Sarco_1.png","RPT")</f>
        <v>RPT</v>
      </c>
      <c r="G3335" s="3">
        <v>134</v>
      </c>
      <c r="H3335" s="3"/>
    </row>
    <row r="3336" spans="1:8" x14ac:dyDescent="0.3">
      <c r="A3336" s="2">
        <v>9713482</v>
      </c>
      <c r="B3336" s="2">
        <v>59</v>
      </c>
      <c r="C3336" s="2" t="s">
        <v>5</v>
      </c>
      <c r="D3336" s="2">
        <v>140</v>
      </c>
      <c r="E3336" s="2"/>
      <c r="F3336" s="4" t="str">
        <f>HYPERLINK("./Results/DLO\20190701_1.2.840.113619.2.416.16231983505549778447587672490338676621_301_512_512_\Osteo_Sarco_1.png","RPT")</f>
        <v>RPT</v>
      </c>
      <c r="G3336" s="3">
        <v>131</v>
      </c>
      <c r="H3336" s="3"/>
    </row>
    <row r="3337" spans="1:8" x14ac:dyDescent="0.3">
      <c r="A3337" s="2">
        <v>9713482</v>
      </c>
      <c r="B3337" s="2">
        <v>59</v>
      </c>
      <c r="C3337" s="2" t="s">
        <v>5</v>
      </c>
      <c r="D3337" s="2">
        <v>140</v>
      </c>
      <c r="E3337" s="2"/>
      <c r="F3337" s="4" t="str">
        <f>HYPERLINK("./Results/DLO\20190701_1.2.840.113619.2.416.210303707671550836674028989330070229401_2_512_512_\Osteo_Sarco_1.png","RPT")</f>
        <v>RPT</v>
      </c>
      <c r="G3337" s="3">
        <v>131</v>
      </c>
      <c r="H3337" s="3"/>
    </row>
    <row r="3338" spans="1:8" x14ac:dyDescent="0.3">
      <c r="A3338" s="2">
        <v>9715511</v>
      </c>
      <c r="B3338" s="2">
        <v>54</v>
      </c>
      <c r="C3338" s="2" t="s">
        <v>5</v>
      </c>
      <c r="D3338" s="2">
        <v>100</v>
      </c>
      <c r="E3338" s="2"/>
      <c r="F3338" s="4" t="str">
        <f>HYPERLINK("./Results/DLO\20190601_1.2.410.100011.172.24.16.221.6369722386194201721.2_2_512_512_\Osteo_Sarco_1.png","RPT")</f>
        <v>RPT</v>
      </c>
      <c r="G3338" s="3">
        <v>141</v>
      </c>
      <c r="H3338" s="3"/>
    </row>
    <row r="3339" spans="1:8" x14ac:dyDescent="0.3">
      <c r="A3339" s="2">
        <v>9715511</v>
      </c>
      <c r="B3339" s="2">
        <v>54</v>
      </c>
      <c r="C3339" s="2" t="s">
        <v>5</v>
      </c>
      <c r="D3339" s="2">
        <v>100</v>
      </c>
      <c r="E3339" s="2"/>
      <c r="F3339" s="4" t="str">
        <f>HYPERLINK("./Results/DLO\20190601_1.2.410.100011.172.24.16.221.6369722386194201721.3_3_512_512_\Osteo_Sarco_1.png","RPT")</f>
        <v>RPT</v>
      </c>
      <c r="G3339" s="3">
        <v>139</v>
      </c>
      <c r="H3339" s="3"/>
    </row>
    <row r="3340" spans="1:8" x14ac:dyDescent="0.3">
      <c r="A3340" s="2">
        <v>9715511</v>
      </c>
      <c r="B3340" s="2">
        <v>54</v>
      </c>
      <c r="C3340" s="2" t="s">
        <v>5</v>
      </c>
      <c r="D3340" s="2">
        <v>100</v>
      </c>
      <c r="E3340" s="2"/>
      <c r="F3340" s="4" t="str">
        <f>HYPERLINK("./Results/DLO\20190601_1.2.410.100011.172.24.16.221.6369722386194201721.4_4_512_512_\Osteo_Sarco_1.png","RPT")</f>
        <v>RPT</v>
      </c>
      <c r="G3340" s="3">
        <v>139</v>
      </c>
      <c r="H3340" s="3"/>
    </row>
    <row r="3341" spans="1:8" x14ac:dyDescent="0.3">
      <c r="A3341" s="2">
        <v>9716824</v>
      </c>
      <c r="B3341" s="2">
        <v>46</v>
      </c>
      <c r="C3341" s="2" t="s">
        <v>5</v>
      </c>
      <c r="D3341" s="2">
        <v>100</v>
      </c>
      <c r="E3341" s="2"/>
      <c r="F3341" s="4" t="str">
        <f>HYPERLINK("./Results/DLO\20200301_1.3.12.2.1107.5.1.4.54310.30000020030222261332800003853_2_512_512_\Osteo_Sarco_1.png","RPT")</f>
        <v>RPT</v>
      </c>
      <c r="G3341" s="3">
        <v>187</v>
      </c>
      <c r="H3341" s="3"/>
    </row>
    <row r="3342" spans="1:8" x14ac:dyDescent="0.3">
      <c r="A3342" s="2">
        <v>9716824</v>
      </c>
      <c r="B3342" s="2">
        <v>46</v>
      </c>
      <c r="C3342" s="2" t="s">
        <v>5</v>
      </c>
      <c r="D3342" s="2">
        <v>100</v>
      </c>
      <c r="E3342" s="2"/>
      <c r="F3342" s="4" t="str">
        <f>HYPERLINK("./Results/DLO\20200301_1.3.12.2.1107.5.1.4.54310.30000020030222261332800004015_3_512_512_\Osteo_Sarco_1.png","RPT")</f>
        <v>RPT</v>
      </c>
      <c r="G3342" s="3">
        <v>187</v>
      </c>
      <c r="H3342" s="3"/>
    </row>
    <row r="3343" spans="1:8" x14ac:dyDescent="0.3">
      <c r="A3343" s="2">
        <v>9718151</v>
      </c>
      <c r="B3343" s="2">
        <v>61</v>
      </c>
      <c r="C3343" s="2" t="s">
        <v>6</v>
      </c>
      <c r="D3343" s="2">
        <v>100</v>
      </c>
      <c r="E3343" s="2"/>
      <c r="F3343" s="4" t="str">
        <f>HYPERLINK("./Results/DLO\20190701_1.3.12.2.1107.5.1.4.54310.30000019063022203612500042405_6_512_512_\Osteo_Sarco_1.png","RPT")</f>
        <v>RPT</v>
      </c>
      <c r="G3343" s="3">
        <v>129</v>
      </c>
      <c r="H3343" s="3"/>
    </row>
    <row r="3344" spans="1:8" x14ac:dyDescent="0.3">
      <c r="A3344" s="2">
        <v>9722231</v>
      </c>
      <c r="B3344" s="2">
        <v>63</v>
      </c>
      <c r="C3344" s="2" t="s">
        <v>5</v>
      </c>
      <c r="D3344" s="2">
        <v>100</v>
      </c>
      <c r="E3344" s="2"/>
      <c r="F3344" s="4" t="str">
        <f>HYPERLINK("./Results/DLO\20190701_1.2.410.200069.80820110082.1130114.20250419114610061355_7413_512_512_\Osteo_Sarco_1.png","RPT")</f>
        <v>RPT</v>
      </c>
      <c r="G3344" s="3">
        <v>141</v>
      </c>
      <c r="H3344" s="3"/>
    </row>
    <row r="3345" spans="1:8" x14ac:dyDescent="0.3">
      <c r="A3345" s="2">
        <v>9722231</v>
      </c>
      <c r="B3345" s="2">
        <v>63</v>
      </c>
      <c r="C3345" s="2" t="s">
        <v>5</v>
      </c>
      <c r="D3345" s="2">
        <v>100</v>
      </c>
      <c r="E3345" s="2"/>
      <c r="F3345" s="4" t="str">
        <f>HYPERLINK("./Results/DLO\20190701_1.3.12.2.1107.5.1.4.65253.30000019070818395746600013773_4_512_512_\Osteo_Sarco_1.png","RPT")</f>
        <v>RPT</v>
      </c>
      <c r="G3345" s="3">
        <v>141</v>
      </c>
      <c r="H3345" s="3"/>
    </row>
    <row r="3346" spans="1:8" x14ac:dyDescent="0.3">
      <c r="A3346" s="2">
        <v>9722231</v>
      </c>
      <c r="B3346" s="2">
        <v>63</v>
      </c>
      <c r="C3346" s="2" t="s">
        <v>5</v>
      </c>
      <c r="D3346" s="2">
        <v>100</v>
      </c>
      <c r="E3346" s="2"/>
      <c r="F3346" s="4" t="str">
        <f>HYPERLINK("./Results/DLO\20190701_1.3.12.2.1107.5.1.4.65253.30000019070818395746600015407_6_512_512_\Osteo_Sarco_1.png","RPT")</f>
        <v>RPT</v>
      </c>
      <c r="G3346" s="3">
        <v>141</v>
      </c>
      <c r="H3346" s="3"/>
    </row>
    <row r="3347" spans="1:8" x14ac:dyDescent="0.3">
      <c r="A3347" s="2">
        <v>9727137</v>
      </c>
      <c r="B3347" s="2">
        <v>66</v>
      </c>
      <c r="C3347" s="2" t="s">
        <v>5</v>
      </c>
      <c r="D3347" s="2">
        <v>100</v>
      </c>
      <c r="E3347" s="2"/>
      <c r="F3347" s="4" t="str">
        <f>HYPERLINK("./Results/DLO\20190701_1.3.12.2.1107.5.1.4.54310.30000019070721291192100051737_6_512_512_\Osteo_Sarco_1.png","RPT")</f>
        <v>RPT</v>
      </c>
      <c r="G3347" s="3">
        <v>95</v>
      </c>
      <c r="H3347" s="3"/>
    </row>
    <row r="3348" spans="1:8" x14ac:dyDescent="0.3">
      <c r="A3348" s="2">
        <v>9727137</v>
      </c>
      <c r="B3348" s="2">
        <v>66</v>
      </c>
      <c r="C3348" s="2" t="s">
        <v>5</v>
      </c>
      <c r="D3348" s="2">
        <v>100</v>
      </c>
      <c r="E3348" s="2"/>
      <c r="F3348" s="4" t="str">
        <f>HYPERLINK("./Results/DLO\20190701_1.3.12.2.1107.5.1.4.54310.30000019070721291192100051365_4_512_512_\Osteo_Sarco_1.png","RPT")</f>
        <v>RPT</v>
      </c>
      <c r="G3348" s="3">
        <v>94</v>
      </c>
      <c r="H3348" s="3"/>
    </row>
    <row r="3349" spans="1:8" x14ac:dyDescent="0.3">
      <c r="A3349" s="2">
        <v>9728889</v>
      </c>
      <c r="B3349" s="2">
        <v>38</v>
      </c>
      <c r="C3349" s="2" t="s">
        <v>6</v>
      </c>
      <c r="D3349" s="2">
        <v>100</v>
      </c>
      <c r="E3349" s="2"/>
      <c r="F3349" s="4" t="str">
        <f>HYPERLINK("./Results/DLO\20190701_1.2.840.113619.2.416.293407023531150046616968310172133605664_310_512_512_\Osteo_Sarco_1.png","RPT")</f>
        <v>RPT</v>
      </c>
      <c r="G3349" s="3">
        <v>103</v>
      </c>
      <c r="H3349" s="3"/>
    </row>
    <row r="3350" spans="1:8" x14ac:dyDescent="0.3">
      <c r="A3350" s="2">
        <v>9728951</v>
      </c>
      <c r="B3350" s="2">
        <v>58</v>
      </c>
      <c r="C3350" s="2" t="s">
        <v>6</v>
      </c>
      <c r="D3350" s="2">
        <v>100</v>
      </c>
      <c r="E3350" s="2"/>
      <c r="F3350" s="4" t="str">
        <f>HYPERLINK("./Results/DLO\20190601_1.2.410.100011.172.16.64.21.6369843152207513842.2_2_512_512_\Osteo_Sarco_1.png","RPT")</f>
        <v>RPT</v>
      </c>
      <c r="G3350" s="3">
        <v>96</v>
      </c>
      <c r="H3350" s="3"/>
    </row>
    <row r="3351" spans="1:8" x14ac:dyDescent="0.3">
      <c r="A3351" s="2">
        <v>9728951</v>
      </c>
      <c r="B3351" s="2">
        <v>58</v>
      </c>
      <c r="C3351" s="2" t="s">
        <v>6</v>
      </c>
      <c r="D3351" s="2">
        <v>100</v>
      </c>
      <c r="E3351" s="2"/>
      <c r="F3351" s="4" t="str">
        <f>HYPERLINK("./Results/DLO\20190601_1.2.410.100011.172.16.64.21.6369843152207513842.3_3_512_512_\Osteo_Sarco_1.png","RPT")</f>
        <v>RPT</v>
      </c>
      <c r="G3351" s="3">
        <v>96</v>
      </c>
      <c r="H3351" s="3"/>
    </row>
    <row r="3352" spans="1:8" x14ac:dyDescent="0.3">
      <c r="A3352" s="2">
        <v>9729016</v>
      </c>
      <c r="B3352" s="2">
        <v>51</v>
      </c>
      <c r="C3352" s="2" t="s">
        <v>5</v>
      </c>
      <c r="D3352" s="2">
        <v>120</v>
      </c>
      <c r="E3352" s="2"/>
      <c r="F3352" s="4" t="str">
        <f>HYPERLINK("./Results/DLO\20190601_1.2.410.100011.172.24.16.218.6369838918617103113.2_2_512_512_\Osteo_Sarco_1.png","RPT")</f>
        <v>RPT</v>
      </c>
      <c r="G3352" s="3">
        <v>159</v>
      </c>
      <c r="H3352" s="3"/>
    </row>
    <row r="3353" spans="1:8" x14ac:dyDescent="0.3">
      <c r="A3353" s="2">
        <v>9729016</v>
      </c>
      <c r="B3353" s="2">
        <v>51</v>
      </c>
      <c r="C3353" s="2" t="s">
        <v>5</v>
      </c>
      <c r="D3353" s="2">
        <v>120</v>
      </c>
      <c r="E3353" s="2"/>
      <c r="F3353" s="4" t="str">
        <f>HYPERLINK("./Results/DLO\20190601_1.2.410.100011.172.24.16.218.6369838918617103113.3_3_512_512_\Osteo_Sarco_1.png","RPT")</f>
        <v>RPT</v>
      </c>
      <c r="G3353" s="3">
        <v>159</v>
      </c>
      <c r="H3353" s="3"/>
    </row>
    <row r="3354" spans="1:8" x14ac:dyDescent="0.3">
      <c r="A3354" s="2">
        <v>9731443</v>
      </c>
      <c r="B3354" s="2">
        <v>59</v>
      </c>
      <c r="C3354" s="2" t="s">
        <v>6</v>
      </c>
      <c r="D3354" s="2">
        <v>120</v>
      </c>
      <c r="E3354" s="2"/>
      <c r="F3354" s="4" t="str">
        <f>HYPERLINK("./Results/DLO\20190701_1.2.410.100011.172.24.16.218.6369879527103967222.3_3_512_512_\Osteo_Sarco_1.png","RPT")</f>
        <v>RPT</v>
      </c>
      <c r="G3354" s="3">
        <v>93</v>
      </c>
      <c r="H3354" s="3"/>
    </row>
    <row r="3355" spans="1:8" x14ac:dyDescent="0.3">
      <c r="A3355" s="2">
        <v>9731443</v>
      </c>
      <c r="B3355" s="2">
        <v>59</v>
      </c>
      <c r="C3355" s="2" t="s">
        <v>6</v>
      </c>
      <c r="D3355" s="2">
        <v>120</v>
      </c>
      <c r="E3355" s="2"/>
      <c r="F3355" s="4" t="str">
        <f>HYPERLINK("./Results/DLO\20190701_1.2.410.100011.172.24.16.218.6369879527103967222.2_2_512_512_\Osteo_Sarco_1.png","RPT")</f>
        <v>RPT</v>
      </c>
      <c r="G3355" s="3">
        <v>90</v>
      </c>
      <c r="H3355" s="3"/>
    </row>
    <row r="3356" spans="1:8" x14ac:dyDescent="0.3">
      <c r="A3356" s="2">
        <v>9732595</v>
      </c>
      <c r="B3356" s="2">
        <v>71</v>
      </c>
      <c r="C3356" s="2" t="s">
        <v>5</v>
      </c>
      <c r="D3356" s="2">
        <v>100</v>
      </c>
      <c r="E3356" s="2"/>
      <c r="F3356" s="4" t="str">
        <f>HYPERLINK("./Results/DLO\20190701_1.2.410.100011.172.24.16.218.6369878026676547681.3_3_512_512_\Osteo_Sarco_1.png","RPT")</f>
        <v>RPT</v>
      </c>
      <c r="G3356" s="3">
        <v>143</v>
      </c>
      <c r="H3356" s="3"/>
    </row>
    <row r="3357" spans="1:8" x14ac:dyDescent="0.3">
      <c r="A3357" s="2">
        <v>9732595</v>
      </c>
      <c r="B3357" s="2">
        <v>71</v>
      </c>
      <c r="C3357" s="2" t="s">
        <v>5</v>
      </c>
      <c r="D3357" s="2">
        <v>100</v>
      </c>
      <c r="E3357" s="2"/>
      <c r="F3357" s="4" t="str">
        <f>HYPERLINK("./Results/DLO\20190701_1.2.410.100011.172.24.16.218.6369878026676547681.1_1_512_512_\Osteo_Sarco_1.png","RPT")</f>
        <v>RPT</v>
      </c>
      <c r="G3357" s="3">
        <v>141</v>
      </c>
      <c r="H3357" s="3"/>
    </row>
    <row r="3358" spans="1:8" x14ac:dyDescent="0.3">
      <c r="A3358" s="2">
        <v>9732595</v>
      </c>
      <c r="B3358" s="2">
        <v>71</v>
      </c>
      <c r="C3358" s="2" t="s">
        <v>5</v>
      </c>
      <c r="D3358" s="2">
        <v>100</v>
      </c>
      <c r="E3358" s="2"/>
      <c r="F3358" s="4" t="str">
        <f>HYPERLINK("./Results/DLO\20190701_1.2.410.100011.172.24.16.218.6369878026676547681.2_2_512_512_\Osteo_Sarco_1.png","RPT")</f>
        <v>RPT</v>
      </c>
      <c r="G3358" s="3">
        <v>140</v>
      </c>
      <c r="H3358" s="3"/>
    </row>
    <row r="3359" spans="1:8" x14ac:dyDescent="0.3">
      <c r="A3359" s="2">
        <v>9738005</v>
      </c>
      <c r="B3359" s="2">
        <v>61</v>
      </c>
      <c r="C3359" s="2" t="s">
        <v>6</v>
      </c>
      <c r="D3359" s="2">
        <v>100</v>
      </c>
      <c r="E3359" s="2"/>
      <c r="F3359" s="4" t="str">
        <f>HYPERLINK("./Results/DLO\20190701_1.3.12.2.1107.5.1.4.54310.30000019072121195101500043006_7_512_512_\Osteo_Sarco_1.png","RPT")</f>
        <v>RPT</v>
      </c>
      <c r="G3359" s="3">
        <v>107</v>
      </c>
      <c r="H3359" s="3"/>
    </row>
    <row r="3360" spans="1:8" x14ac:dyDescent="0.3">
      <c r="A3360" s="2">
        <v>9739190</v>
      </c>
      <c r="B3360" s="2">
        <v>40</v>
      </c>
      <c r="C3360" s="2" t="s">
        <v>6</v>
      </c>
      <c r="D3360" s="2">
        <v>100</v>
      </c>
      <c r="E3360" s="2"/>
      <c r="F3360" s="4" t="str">
        <f>HYPERLINK("./Results/DLO\20190701_1.2.840.113619.2.416.294430773721640252847544762112197445307_310_512_512_\Osteo_Sarco_1.png","RPT")</f>
        <v>RPT</v>
      </c>
      <c r="G3360" s="3">
        <v>92</v>
      </c>
      <c r="H3360" s="3"/>
    </row>
    <row r="3361" spans="1:8" x14ac:dyDescent="0.3">
      <c r="A3361" s="2">
        <v>9740012</v>
      </c>
      <c r="B3361" s="2">
        <v>69</v>
      </c>
      <c r="C3361" s="2" t="s">
        <v>6</v>
      </c>
      <c r="D3361" s="2">
        <v>100</v>
      </c>
      <c r="E3361" s="2"/>
      <c r="F3361" s="4" t="str">
        <f>HYPERLINK("./Results/DLO\20190701_1.3.12.2.1107.5.1.4.65253.30000019071820134931800073743_3_512_512_\Osteo_Sarco_1.png","RPT")</f>
        <v>RPT</v>
      </c>
      <c r="G3361" s="3">
        <v>123</v>
      </c>
      <c r="H3361" s="3"/>
    </row>
    <row r="3362" spans="1:8" x14ac:dyDescent="0.3">
      <c r="A3362" s="2">
        <v>9740012</v>
      </c>
      <c r="B3362" s="2">
        <v>69</v>
      </c>
      <c r="C3362" s="2" t="s">
        <v>6</v>
      </c>
      <c r="D3362" s="2">
        <v>100</v>
      </c>
      <c r="E3362" s="2"/>
      <c r="F3362" s="4" t="str">
        <f>HYPERLINK("./Results/DLO\20190701_1.3.12.2.1107.5.1.4.65253.30000019071820134931800073590_2_512_512_\Osteo_Sarco_1.png","RPT")</f>
        <v>RPT</v>
      </c>
      <c r="G3362" s="3">
        <v>120</v>
      </c>
      <c r="H3362" s="3"/>
    </row>
    <row r="3363" spans="1:8" x14ac:dyDescent="0.3">
      <c r="A3363" s="2">
        <v>9740034</v>
      </c>
      <c r="B3363" s="2">
        <v>42</v>
      </c>
      <c r="C3363" s="2" t="s">
        <v>5</v>
      </c>
      <c r="D3363" s="2">
        <v>140</v>
      </c>
      <c r="E3363" s="2"/>
      <c r="F3363" s="4" t="str">
        <f>HYPERLINK("./Results/DLO\20190701_1.2.840.113619.2.416.329292242598148040995771657248530355126_304_512_512_\Osteo_Sarco_1.png","RPT")</f>
        <v>RPT</v>
      </c>
      <c r="G3363" s="3">
        <v>137</v>
      </c>
      <c r="H3363" s="3"/>
    </row>
    <row r="3364" spans="1:8" x14ac:dyDescent="0.3">
      <c r="A3364" s="2">
        <v>9740034</v>
      </c>
      <c r="B3364" s="2">
        <v>42</v>
      </c>
      <c r="C3364" s="2" t="s">
        <v>5</v>
      </c>
      <c r="D3364" s="2">
        <v>140</v>
      </c>
      <c r="E3364" s="2"/>
      <c r="F3364" s="4" t="str">
        <f>HYPERLINK("./Results/DLO\20190701_1.2.840.113619.2.416.115178111093528109435961023562781787364_303_512_512_\Osteo_Sarco_1.png","RPT")</f>
        <v>RPT</v>
      </c>
      <c r="G3364" s="3">
        <v>128</v>
      </c>
      <c r="H3364" s="3"/>
    </row>
    <row r="3365" spans="1:8" x14ac:dyDescent="0.3">
      <c r="A3365" s="2">
        <v>9740034</v>
      </c>
      <c r="B3365" s="2">
        <v>42</v>
      </c>
      <c r="C3365" s="2" t="s">
        <v>5</v>
      </c>
      <c r="D3365" s="2">
        <v>140</v>
      </c>
      <c r="E3365" s="2"/>
      <c r="F3365" s="4" t="str">
        <f>HYPERLINK("./Results/DLO\20190701_1.2.840.113619.2.416.96820411759969881614783105966859148846_301_512_512_\Osteo_Sarco_1.png","RPT")</f>
        <v>RPT</v>
      </c>
      <c r="G3365" s="3">
        <v>126</v>
      </c>
      <c r="H3365" s="3"/>
    </row>
    <row r="3366" spans="1:8" x14ac:dyDescent="0.3">
      <c r="A3366" s="2">
        <v>9741190</v>
      </c>
      <c r="B3366" s="2">
        <v>53</v>
      </c>
      <c r="C3366" s="2" t="s">
        <v>6</v>
      </c>
      <c r="D3366" s="2">
        <v>140</v>
      </c>
      <c r="E3366" s="2"/>
      <c r="F3366" s="4" t="str">
        <f>HYPERLINK("./Results/DLO\20190701_1.2.840.113619.2.416.222442430234192268194316071821787109767_306_512_512_\Osteo_Sarco_1.png","RPT")</f>
        <v>RPT</v>
      </c>
      <c r="G3366" s="3">
        <v>118</v>
      </c>
      <c r="H3366" s="3"/>
    </row>
    <row r="3367" spans="1:8" x14ac:dyDescent="0.3">
      <c r="A3367" s="2">
        <v>9741190</v>
      </c>
      <c r="B3367" s="2">
        <v>53</v>
      </c>
      <c r="C3367" s="2" t="s">
        <v>6</v>
      </c>
      <c r="D3367" s="2">
        <v>140</v>
      </c>
      <c r="E3367" s="2"/>
      <c r="F3367" s="4" t="str">
        <f>HYPERLINK("./Results/DLO\20190701_1.2.840.113619.2.416.42488047017885370197388490867671627984_303_512_512_\Osteo_Sarco_1.png","RPT")</f>
        <v>RPT</v>
      </c>
      <c r="G3367" s="3">
        <v>117</v>
      </c>
      <c r="H3367" s="3"/>
    </row>
    <row r="3368" spans="1:8" x14ac:dyDescent="0.3">
      <c r="A3368" s="2">
        <v>9741190</v>
      </c>
      <c r="B3368" s="2">
        <v>53</v>
      </c>
      <c r="C3368" s="2" t="s">
        <v>6</v>
      </c>
      <c r="D3368" s="2">
        <v>140</v>
      </c>
      <c r="E3368" s="2"/>
      <c r="F3368" s="4" t="str">
        <f>HYPERLINK("./Results/DLO\20190701_1.2.840.113619.2.416.273590507295127621952141041553961812739_2_512_512_\Osteo_Sarco_1.png","RPT")</f>
        <v>RPT</v>
      </c>
      <c r="G3368" s="3">
        <v>115</v>
      </c>
      <c r="H3368" s="3"/>
    </row>
    <row r="3369" spans="1:8" x14ac:dyDescent="0.3">
      <c r="A3369" s="2">
        <v>9741190</v>
      </c>
      <c r="B3369" s="2">
        <v>53</v>
      </c>
      <c r="C3369" s="2" t="s">
        <v>6</v>
      </c>
      <c r="D3369" s="2">
        <v>140</v>
      </c>
      <c r="E3369" s="2"/>
      <c r="F3369" s="4" t="str">
        <f>HYPERLINK("./Results/DLO\20190701_1.2.840.113619.2.416.318964232958587788477513449401527711039_301_512_512_\Osteo_Sarco_1.png","RPT")</f>
        <v>RPT</v>
      </c>
      <c r="G3369" s="3">
        <v>115</v>
      </c>
      <c r="H3369" s="3"/>
    </row>
    <row r="3370" spans="1:8" x14ac:dyDescent="0.3">
      <c r="A3370" s="2">
        <v>9742179</v>
      </c>
      <c r="B3370" s="2">
        <v>58</v>
      </c>
      <c r="C3370" s="2" t="s">
        <v>6</v>
      </c>
      <c r="D3370" s="2">
        <v>100</v>
      </c>
      <c r="E3370" s="2"/>
      <c r="F3370" s="4" t="str">
        <f>HYPERLINK("./Results/DLO\20190701_1.2.840.113619.2.416.6976744883034041937941250016987251467_310_512_512_\Osteo_Sarco_1.png","RPT")</f>
        <v>RPT</v>
      </c>
      <c r="G3370" s="3">
        <v>104</v>
      </c>
      <c r="H3370" s="3"/>
    </row>
    <row r="3371" spans="1:8" x14ac:dyDescent="0.3">
      <c r="A3371" s="2">
        <v>9743538</v>
      </c>
      <c r="B3371" s="2">
        <v>50</v>
      </c>
      <c r="C3371" s="2" t="s">
        <v>6</v>
      </c>
      <c r="D3371" s="2">
        <v>100</v>
      </c>
      <c r="E3371" s="2"/>
      <c r="F3371" s="4" t="str">
        <f>HYPERLINK("./Results/DLO\20190701_1.2.840.113619.2.416.93235453295020490928931367556489544654_310_512_512_\Osteo_Sarco_1.png","RPT")</f>
        <v>RPT</v>
      </c>
      <c r="G3371" s="3">
        <v>103</v>
      </c>
      <c r="H3371" s="3"/>
    </row>
    <row r="3372" spans="1:8" x14ac:dyDescent="0.3">
      <c r="A3372" s="2">
        <v>9744098</v>
      </c>
      <c r="B3372" s="2">
        <v>52</v>
      </c>
      <c r="C3372" s="2" t="s">
        <v>6</v>
      </c>
      <c r="D3372" s="2">
        <v>100</v>
      </c>
      <c r="E3372" s="2"/>
      <c r="F3372" s="4" t="str">
        <f>HYPERLINK("./Results/DLO\20190701_1.2.840.113619.2.416.130251020407729089765873000498227651148_310_512_512_\Osteo_Sarco_1.png","RPT")</f>
        <v>RPT</v>
      </c>
      <c r="G3372" s="3">
        <v>117</v>
      </c>
      <c r="H3372" s="3"/>
    </row>
    <row r="3373" spans="1:8" x14ac:dyDescent="0.3">
      <c r="A3373" s="2">
        <v>9744561</v>
      </c>
      <c r="B3373" s="2">
        <v>62</v>
      </c>
      <c r="C3373" s="2" t="s">
        <v>5</v>
      </c>
      <c r="D3373" s="2">
        <v>100</v>
      </c>
      <c r="E3373" s="2"/>
      <c r="F3373" s="4" t="str">
        <f>HYPERLINK("./Results/DLO\20190801_1.3.12.2.1107.5.1.4.65253.30000019080319364173000056438_3_512_512_\Osteo_Sarco_1.png","RPT")</f>
        <v>RPT</v>
      </c>
      <c r="G3373" s="3">
        <v>134</v>
      </c>
      <c r="H3373" s="3"/>
    </row>
    <row r="3374" spans="1:8" x14ac:dyDescent="0.3">
      <c r="A3374" s="2">
        <v>9744561</v>
      </c>
      <c r="B3374" s="2">
        <v>62</v>
      </c>
      <c r="C3374" s="2" t="s">
        <v>5</v>
      </c>
      <c r="D3374" s="2">
        <v>100</v>
      </c>
      <c r="E3374" s="2"/>
      <c r="F3374" s="4" t="str">
        <f>HYPERLINK("./Results/DLO\20190801_1.3.12.2.1107.5.1.4.65253.30000019080319364173000056282_2_512_512_\Osteo_Sarco_1.png","RPT")</f>
        <v>RPT</v>
      </c>
      <c r="G3374" s="3">
        <v>132</v>
      </c>
      <c r="H3374" s="3"/>
    </row>
    <row r="3375" spans="1:8" x14ac:dyDescent="0.3">
      <c r="A3375" s="2">
        <v>9745674</v>
      </c>
      <c r="B3375" s="2">
        <v>61</v>
      </c>
      <c r="C3375" s="2" t="s">
        <v>6</v>
      </c>
      <c r="D3375" s="2">
        <v>120</v>
      </c>
      <c r="E3375" s="2"/>
      <c r="F3375" s="4" t="str">
        <f>HYPERLINK("./Results/DLO\20190701_1.2.410.100011.172.16.68.114.6370197229896228986.4_4_512_512_\Osteo_Sarco_1.png","RPT")</f>
        <v>RPT</v>
      </c>
      <c r="G3375" s="3">
        <v>107</v>
      </c>
      <c r="H3375" s="3"/>
    </row>
    <row r="3376" spans="1:8" x14ac:dyDescent="0.3">
      <c r="A3376" s="2">
        <v>9745674</v>
      </c>
      <c r="B3376" s="2">
        <v>61</v>
      </c>
      <c r="C3376" s="2" t="s">
        <v>6</v>
      </c>
      <c r="D3376" s="2">
        <v>120</v>
      </c>
      <c r="E3376" s="2"/>
      <c r="F3376" s="4" t="str">
        <f>HYPERLINK("./Results/DLO\20190701_1.2.410.100011.172.16.68.114.6370197229896228986.3_3_512_512_\Osteo_Sarco_1.png","RPT")</f>
        <v>RPT</v>
      </c>
      <c r="G3376" s="3">
        <v>105</v>
      </c>
      <c r="H3376" s="3"/>
    </row>
    <row r="3377" spans="1:8" x14ac:dyDescent="0.3">
      <c r="A3377" s="2">
        <v>9745674</v>
      </c>
      <c r="B3377" s="2">
        <v>61</v>
      </c>
      <c r="C3377" s="2" t="s">
        <v>6</v>
      </c>
      <c r="D3377" s="2">
        <v>120</v>
      </c>
      <c r="E3377" s="2"/>
      <c r="F3377" s="4" t="str">
        <f>HYPERLINK("./Results/DLO\20190701_1.2.410.100011.172.16.68.114.6370197229896228986.2_2_512_512_\Osteo_Sarco_1.png","RPT")</f>
        <v>RPT</v>
      </c>
      <c r="G3377" s="3">
        <v>103</v>
      </c>
      <c r="H3377" s="3"/>
    </row>
    <row r="3378" spans="1:8" x14ac:dyDescent="0.3">
      <c r="A3378" s="2">
        <v>9745889</v>
      </c>
      <c r="B3378" s="2">
        <v>32</v>
      </c>
      <c r="C3378" s="2" t="s">
        <v>6</v>
      </c>
      <c r="D3378" s="2">
        <v>100</v>
      </c>
      <c r="E3378" s="2"/>
      <c r="F3378" s="4" t="str">
        <f>HYPERLINK("./Results/DLO\20190801_1.2.840.113619.2.416.57721096500131610202539504464710165920_310_512_512_\Osteo_Sarco_1.png","RPT")</f>
        <v>RPT</v>
      </c>
      <c r="G3378" s="3">
        <v>104</v>
      </c>
      <c r="H3378" s="3"/>
    </row>
    <row r="3379" spans="1:8" x14ac:dyDescent="0.3">
      <c r="A3379" s="2">
        <v>9746592</v>
      </c>
      <c r="B3379" s="2">
        <v>56</v>
      </c>
      <c r="C3379" s="2" t="s">
        <v>6</v>
      </c>
      <c r="D3379" s="2">
        <v>100</v>
      </c>
      <c r="E3379" s="2"/>
      <c r="F3379" s="4" t="str">
        <f>HYPERLINK("./Results/DLO\20190801_1.2.840.113619.2.416.102100766577587175984091874384364118896_310_512_512_\Osteo_Sarco_1.png","RPT")</f>
        <v>RPT</v>
      </c>
      <c r="G3379" s="3">
        <v>97</v>
      </c>
      <c r="H3379" s="3"/>
    </row>
    <row r="3380" spans="1:8" x14ac:dyDescent="0.3">
      <c r="A3380" s="2">
        <v>9749816</v>
      </c>
      <c r="B3380" s="2">
        <v>57</v>
      </c>
      <c r="C3380" s="2" t="s">
        <v>5</v>
      </c>
      <c r="D3380" s="2">
        <v>100</v>
      </c>
      <c r="E3380" s="2"/>
      <c r="F3380" s="4" t="str">
        <f>HYPERLINK("./Results/DLO\20200301_1.3.12.2.1107.5.1.4.54310.30000020032422394403100023186_2_512_512_\Osteo_Sarco_1.png","RPT")</f>
        <v>RPT</v>
      </c>
      <c r="G3380" s="3">
        <v>186</v>
      </c>
      <c r="H3380" s="3"/>
    </row>
    <row r="3381" spans="1:8" x14ac:dyDescent="0.3">
      <c r="A3381" s="2">
        <v>9749816</v>
      </c>
      <c r="B3381" s="2">
        <v>57</v>
      </c>
      <c r="C3381" s="2" t="s">
        <v>5</v>
      </c>
      <c r="D3381" s="2">
        <v>100</v>
      </c>
      <c r="E3381" s="2"/>
      <c r="F3381" s="4" t="str">
        <f>HYPERLINK("./Results/DLO\20200301_1.3.12.2.1107.5.1.4.54310.30000020032422394403100024404_8_512_512_\Osteo_Sarco_1.png","RPT")</f>
        <v>RPT</v>
      </c>
      <c r="G3381" s="3">
        <v>186</v>
      </c>
      <c r="H3381" s="3"/>
    </row>
    <row r="3382" spans="1:8" x14ac:dyDescent="0.3">
      <c r="A3382" s="2">
        <v>9749862</v>
      </c>
      <c r="B3382" s="2">
        <v>58</v>
      </c>
      <c r="C3382" s="2" t="s">
        <v>6</v>
      </c>
      <c r="D3382" s="2">
        <v>140</v>
      </c>
      <c r="E3382" s="2"/>
      <c r="F3382" s="4" t="str">
        <f>HYPERLINK("./Results/DLO\20190801_1.2.840.113619.2.416.113793659344368483535328495971701282486_301_512_512_\Osteo_Sarco_1.png","RPT")</f>
        <v>RPT</v>
      </c>
      <c r="G3382" s="3">
        <v>104</v>
      </c>
      <c r="H3382" s="3"/>
    </row>
    <row r="3383" spans="1:8" x14ac:dyDescent="0.3">
      <c r="A3383" s="2">
        <v>9749862</v>
      </c>
      <c r="B3383" s="2">
        <v>58</v>
      </c>
      <c r="C3383" s="2" t="s">
        <v>6</v>
      </c>
      <c r="D3383" s="2">
        <v>140</v>
      </c>
      <c r="E3383" s="2"/>
      <c r="F3383" s="4" t="str">
        <f>HYPERLINK("./Results/DLO\20190801_1.2.840.113619.2.416.204529627171851261088186879420697700336_304_512_512_\Osteo_Sarco_1.png","RPT")</f>
        <v>RPT</v>
      </c>
      <c r="G3383" s="3">
        <v>98</v>
      </c>
      <c r="H3383" s="3"/>
    </row>
    <row r="3384" spans="1:8" x14ac:dyDescent="0.3">
      <c r="A3384" s="2">
        <v>9749862</v>
      </c>
      <c r="B3384" s="2">
        <v>58</v>
      </c>
      <c r="C3384" s="2" t="s">
        <v>6</v>
      </c>
      <c r="D3384" s="2">
        <v>140</v>
      </c>
      <c r="E3384" s="2"/>
      <c r="F3384" s="4" t="str">
        <f>HYPERLINK("./Results/DLO\20190801_1.2.840.113619.2.416.194777257318077830711151194996994946818_303_512_512_\Osteo_Sarco_1.png","RPT")</f>
        <v>RPT</v>
      </c>
      <c r="G3384" s="3">
        <v>89</v>
      </c>
      <c r="H3384" s="3"/>
    </row>
    <row r="3385" spans="1:8" x14ac:dyDescent="0.3">
      <c r="A3385" s="2">
        <v>9750400</v>
      </c>
      <c r="B3385" s="2">
        <v>55</v>
      </c>
      <c r="C3385" s="2" t="s">
        <v>6</v>
      </c>
      <c r="D3385" s="2">
        <v>140</v>
      </c>
      <c r="E3385" s="2"/>
      <c r="F3385" s="4" t="str">
        <f>HYPERLINK("./Results/DLO\20190801_1.2.840.113619.2.416.54717052078753581091704873557885283795_304_512_512_\Osteo_Sarco_1.png","RPT")</f>
        <v>RPT</v>
      </c>
      <c r="G3385" s="3">
        <v>86</v>
      </c>
      <c r="H3385" s="3"/>
    </row>
    <row r="3386" spans="1:8" x14ac:dyDescent="0.3">
      <c r="A3386" s="2">
        <v>9750400</v>
      </c>
      <c r="B3386" s="2">
        <v>55</v>
      </c>
      <c r="C3386" s="2" t="s">
        <v>6</v>
      </c>
      <c r="D3386" s="2">
        <v>140</v>
      </c>
      <c r="E3386" s="2"/>
      <c r="F3386" s="4" t="str">
        <f>HYPERLINK("./Results/DLO\20190801_1.2.840.113619.2.416.129284542366046566805572074119138930182_303_512_512_\Osteo_Sarco_1.png","RPT")</f>
        <v>RPT</v>
      </c>
      <c r="G3386" s="3">
        <v>85</v>
      </c>
      <c r="H3386" s="3"/>
    </row>
    <row r="3387" spans="1:8" x14ac:dyDescent="0.3">
      <c r="A3387" s="2">
        <v>9750400</v>
      </c>
      <c r="B3387" s="2">
        <v>55</v>
      </c>
      <c r="C3387" s="2" t="s">
        <v>6</v>
      </c>
      <c r="D3387" s="2">
        <v>140</v>
      </c>
      <c r="E3387" s="2"/>
      <c r="F3387" s="4" t="str">
        <f>HYPERLINK("./Results/DLO\20190801_1.2.840.113619.2.416.309569394027859348540896442116455757782_301_512_512_\Osteo_Sarco_1.png","RPT")</f>
        <v>RPT</v>
      </c>
      <c r="G3387" s="3">
        <v>84</v>
      </c>
      <c r="H3387" s="3"/>
    </row>
    <row r="3388" spans="1:8" x14ac:dyDescent="0.3">
      <c r="A3388" s="2">
        <v>9751838</v>
      </c>
      <c r="B3388" s="2">
        <v>35</v>
      </c>
      <c r="C3388" s="2" t="s">
        <v>6</v>
      </c>
      <c r="D3388" s="2">
        <v>100</v>
      </c>
      <c r="E3388" s="2"/>
      <c r="F3388" s="4" t="str">
        <f>HYPERLINK("./Results/DLO\20190701_1.2.410.100011.172.24.16.217.6370119634253552782.2_2_512_512_\Osteo_Sarco_1.png","RPT")</f>
        <v>RPT</v>
      </c>
      <c r="G3388" s="3">
        <v>109</v>
      </c>
      <c r="H3388" s="3"/>
    </row>
    <row r="3389" spans="1:8" x14ac:dyDescent="0.3">
      <c r="A3389" s="2">
        <v>9751838</v>
      </c>
      <c r="B3389" s="2">
        <v>35</v>
      </c>
      <c r="C3389" s="2" t="s">
        <v>6</v>
      </c>
      <c r="D3389" s="2">
        <v>100</v>
      </c>
      <c r="E3389" s="2"/>
      <c r="F3389" s="4" t="str">
        <f>HYPERLINK("./Results/DLO\20190701_1.2.410.100011.172.24.16.217.6370119634253552782.3_3_512_512_\Osteo_Sarco_1.png","RPT")</f>
        <v>RPT</v>
      </c>
      <c r="G3389" s="3">
        <v>109</v>
      </c>
      <c r="H3389" s="3"/>
    </row>
    <row r="3390" spans="1:8" x14ac:dyDescent="0.3">
      <c r="A3390" s="2">
        <v>9751939</v>
      </c>
      <c r="B3390" s="2">
        <v>44</v>
      </c>
      <c r="C3390" s="2" t="s">
        <v>6</v>
      </c>
      <c r="D3390" s="2">
        <v>100</v>
      </c>
      <c r="E3390" s="2"/>
      <c r="F3390" s="4" t="str">
        <f>HYPERLINK("./Results/DLO\20190801_1.3.12.2.1107.5.1.4.54310.30000019080123031557800006172_3_512_512_\Osteo_Sarco_1.png","RPT")</f>
        <v>RPT</v>
      </c>
      <c r="G3390" s="3">
        <v>127</v>
      </c>
      <c r="H3390" s="3"/>
    </row>
    <row r="3391" spans="1:8" x14ac:dyDescent="0.3">
      <c r="A3391" s="2">
        <v>9751939</v>
      </c>
      <c r="B3391" s="2">
        <v>44</v>
      </c>
      <c r="C3391" s="2" t="s">
        <v>6</v>
      </c>
      <c r="D3391" s="2">
        <v>100</v>
      </c>
      <c r="E3391" s="2"/>
      <c r="F3391" s="4" t="str">
        <f>HYPERLINK("./Results/DLO\20190801_1.3.12.2.1107.5.1.4.54310.30000019080123031557800006251_5_512_512_\Osteo_Sarco_1.png","RPT")</f>
        <v>RPT</v>
      </c>
      <c r="G3391" s="3">
        <v>127</v>
      </c>
      <c r="H3391" s="3"/>
    </row>
    <row r="3392" spans="1:8" x14ac:dyDescent="0.3">
      <c r="A3392" s="2">
        <v>9751939</v>
      </c>
      <c r="B3392" s="2">
        <v>44</v>
      </c>
      <c r="C3392" s="2" t="s">
        <v>6</v>
      </c>
      <c r="D3392" s="2">
        <v>100</v>
      </c>
      <c r="E3392" s="2"/>
      <c r="F3392" s="4" t="str">
        <f>HYPERLINK("./Results/DLO\20190801_1.3.12.2.1107.5.1.4.54310.30000019080123031557800006827_9_512_512_\Osteo_Sarco_1.png","RPT")</f>
        <v>RPT</v>
      </c>
      <c r="G3392" s="3">
        <v>127</v>
      </c>
      <c r="H3392" s="3"/>
    </row>
    <row r="3393" spans="1:8" x14ac:dyDescent="0.3">
      <c r="A3393" s="2">
        <v>9751939</v>
      </c>
      <c r="B3393" s="2">
        <v>44</v>
      </c>
      <c r="C3393" s="2" t="s">
        <v>6</v>
      </c>
      <c r="D3393" s="2">
        <v>100</v>
      </c>
      <c r="E3393" s="2"/>
      <c r="F3393" s="4" t="str">
        <f>HYPERLINK("./Results/DLO\20190801_1.3.12.2.1107.5.1.4.54310.30000019080123031557800006564_7_512_512_\Osteo_Sarco_1.png","RPT")</f>
        <v>RPT</v>
      </c>
      <c r="G3393" s="3">
        <v>126</v>
      </c>
      <c r="H3393" s="3"/>
    </row>
    <row r="3394" spans="1:8" x14ac:dyDescent="0.3">
      <c r="A3394" s="2">
        <v>9753834</v>
      </c>
      <c r="B3394" s="2">
        <v>38</v>
      </c>
      <c r="C3394" s="2" t="s">
        <v>6</v>
      </c>
      <c r="D3394" s="2">
        <v>100</v>
      </c>
      <c r="E3394" s="2"/>
      <c r="F3394" s="4" t="str">
        <f>HYPERLINK("./Results/DLO\20190801_1.3.12.2.1107.5.1.4.54310.30000019082606111698400010020_9_512_512_\Osteo_Sarco_1.png","RPT")</f>
        <v>RPT</v>
      </c>
      <c r="G3394" s="3">
        <v>100</v>
      </c>
      <c r="H3394" s="3"/>
    </row>
    <row r="3395" spans="1:8" x14ac:dyDescent="0.3">
      <c r="A3395" s="2">
        <v>9753834</v>
      </c>
      <c r="B3395" s="2">
        <v>38</v>
      </c>
      <c r="C3395" s="2" t="s">
        <v>6</v>
      </c>
      <c r="D3395" s="2">
        <v>100</v>
      </c>
      <c r="E3395" s="2"/>
      <c r="F3395" s="4" t="str">
        <f>HYPERLINK("./Results/DLO\20190801_1.3.12.2.1107.5.1.4.54310.30000019082606111698400009389_3_512_512_\Osteo_Sarco_1.png","RPT")</f>
        <v>RPT</v>
      </c>
      <c r="G3395" s="3">
        <v>97</v>
      </c>
      <c r="H3395" s="3"/>
    </row>
    <row r="3396" spans="1:8" x14ac:dyDescent="0.3">
      <c r="A3396" s="2">
        <v>9753834</v>
      </c>
      <c r="B3396" s="2">
        <v>38</v>
      </c>
      <c r="C3396" s="2" t="s">
        <v>6</v>
      </c>
      <c r="D3396" s="2">
        <v>100</v>
      </c>
      <c r="E3396" s="2"/>
      <c r="F3396" s="4" t="str">
        <f>HYPERLINK("./Results/DLO\20190801_1.3.12.2.1107.5.1.4.54310.30000019082606111698400009466_5_512_512_\Osteo_Sarco_1.png","RPT")</f>
        <v>RPT</v>
      </c>
      <c r="G3396" s="3">
        <v>97</v>
      </c>
      <c r="H3396" s="3"/>
    </row>
    <row r="3397" spans="1:8" x14ac:dyDescent="0.3">
      <c r="A3397" s="2">
        <v>9753834</v>
      </c>
      <c r="B3397" s="2">
        <v>38</v>
      </c>
      <c r="C3397" s="2" t="s">
        <v>6</v>
      </c>
      <c r="D3397" s="2">
        <v>100</v>
      </c>
      <c r="E3397" s="2"/>
      <c r="F3397" s="4" t="str">
        <f>HYPERLINK("./Results/DLO\20190801_1.3.12.2.1107.5.1.4.54310.30000019082606111698400009784_7_512_512_\Osteo_Sarco_1.png","RPT")</f>
        <v>RPT</v>
      </c>
      <c r="G3397" s="3">
        <v>97</v>
      </c>
      <c r="H3397" s="3"/>
    </row>
    <row r="3398" spans="1:8" x14ac:dyDescent="0.3">
      <c r="A3398" s="2">
        <v>9753880</v>
      </c>
      <c r="B3398" s="2">
        <v>44</v>
      </c>
      <c r="C3398" s="2" t="s">
        <v>6</v>
      </c>
      <c r="D3398" s="2">
        <v>100</v>
      </c>
      <c r="E3398" s="2"/>
      <c r="F3398" s="4" t="str">
        <f>HYPERLINK("./Results/DLO\20190801_1.2.840.113619.2.416.307503012593731610074247635009727403672_310_512_512_\Osteo_Sarco_1.png","RPT")</f>
        <v>RPT</v>
      </c>
      <c r="G3398" s="3">
        <v>116</v>
      </c>
      <c r="H3398" s="3"/>
    </row>
    <row r="3399" spans="1:8" x14ac:dyDescent="0.3">
      <c r="A3399" s="2">
        <v>9754706</v>
      </c>
      <c r="B3399" s="2">
        <v>56</v>
      </c>
      <c r="C3399" s="2" t="s">
        <v>6</v>
      </c>
      <c r="D3399" s="2">
        <v>100</v>
      </c>
      <c r="E3399" s="2"/>
      <c r="F3399" s="4" t="str">
        <f>HYPERLINK("./Results/DLO\20190801_1.2.840.113619.2.416.125736505068487395361068771581070620536_310_512_512_\Osteo_Sarco_1.png","RPT")</f>
        <v>RPT</v>
      </c>
      <c r="G3399" s="3">
        <v>118</v>
      </c>
      <c r="H3399" s="3"/>
    </row>
    <row r="3400" spans="1:8" x14ac:dyDescent="0.3">
      <c r="A3400" s="2">
        <v>9754717</v>
      </c>
      <c r="B3400" s="2">
        <v>51</v>
      </c>
      <c r="C3400" s="2" t="s">
        <v>5</v>
      </c>
      <c r="D3400" s="2">
        <v>100</v>
      </c>
      <c r="E3400" s="2"/>
      <c r="F3400" s="4" t="str">
        <f>HYPERLINK("./Results/DLO\20190901_1.3.46.670589.33.1.63703103628148071200001.5560155820348455069_201_512_512_\Osteo_Sarco_1.png","RPT")</f>
        <v>RPT</v>
      </c>
      <c r="G3400" s="3">
        <v>165</v>
      </c>
      <c r="H3400" s="3"/>
    </row>
    <row r="3401" spans="1:8" x14ac:dyDescent="0.3">
      <c r="A3401" s="2">
        <v>9756117</v>
      </c>
      <c r="B3401" s="2">
        <v>60</v>
      </c>
      <c r="C3401" s="2" t="s">
        <v>5</v>
      </c>
      <c r="D3401" s="2">
        <v>100</v>
      </c>
      <c r="E3401" s="2"/>
      <c r="F3401" s="4" t="str">
        <f>HYPERLINK("./Results/DLO\20190901_1.3.12.2.1107.5.1.4.65253.30000019083019581583200123559_6_512_512_\Osteo_Sarco_1.png","RPT")</f>
        <v>RPT</v>
      </c>
      <c r="G3401" s="3">
        <v>125</v>
      </c>
      <c r="H3401" s="3"/>
    </row>
    <row r="3402" spans="1:8" x14ac:dyDescent="0.3">
      <c r="A3402" s="2">
        <v>9756117</v>
      </c>
      <c r="B3402" s="2">
        <v>60</v>
      </c>
      <c r="C3402" s="2" t="s">
        <v>5</v>
      </c>
      <c r="D3402" s="2">
        <v>100</v>
      </c>
      <c r="E3402" s="2"/>
      <c r="F3402" s="4" t="str">
        <f>HYPERLINK("./Results/DLO\20190901_1.3.12.2.1107.5.1.4.65253.30000019083019581583200123089_4_512_512_\Osteo_Sarco_1.png","RPT")</f>
        <v>RPT</v>
      </c>
      <c r="G3402" s="3">
        <v>124</v>
      </c>
      <c r="H3402" s="3"/>
    </row>
    <row r="3403" spans="1:8" x14ac:dyDescent="0.3">
      <c r="A3403" s="2">
        <v>9756163</v>
      </c>
      <c r="B3403" s="2">
        <v>37</v>
      </c>
      <c r="C3403" s="2" t="s">
        <v>6</v>
      </c>
      <c r="D3403" s="2">
        <v>120</v>
      </c>
      <c r="E3403" s="2"/>
      <c r="F3403" s="4" t="str">
        <f>HYPERLINK("./Results/DLO\20190801_1.2.410.100011.172.24.16.220.6370085378167068452.5_5_512_512_\Osteo_Sarco_1.png","RPT")</f>
        <v>RPT</v>
      </c>
      <c r="G3403" s="3">
        <v>124</v>
      </c>
      <c r="H3403" s="3"/>
    </row>
    <row r="3404" spans="1:8" x14ac:dyDescent="0.3">
      <c r="A3404" s="2">
        <v>9756163</v>
      </c>
      <c r="B3404" s="2">
        <v>37</v>
      </c>
      <c r="C3404" s="2" t="s">
        <v>6</v>
      </c>
      <c r="D3404" s="2">
        <v>120</v>
      </c>
      <c r="E3404" s="2"/>
      <c r="F3404" s="4" t="str">
        <f>HYPERLINK("./Results/DLO\20190801_1.2.410.100011.172.24.16.220.6370085378167068452.4_4_512_512_\Osteo_Sarco_1.png","RPT")</f>
        <v>RPT</v>
      </c>
      <c r="G3404" s="3">
        <v>123</v>
      </c>
      <c r="H3404" s="3"/>
    </row>
    <row r="3405" spans="1:8" x14ac:dyDescent="0.3">
      <c r="A3405" s="2">
        <v>9756163</v>
      </c>
      <c r="B3405" s="2">
        <v>37</v>
      </c>
      <c r="C3405" s="2" t="s">
        <v>6</v>
      </c>
      <c r="D3405" s="2">
        <v>120</v>
      </c>
      <c r="E3405" s="2"/>
      <c r="F3405" s="4" t="str">
        <f>HYPERLINK("./Results/DLO\20190801_1.2.410.100011.172.24.16.220.6370085378167068452.3_3_512_512_\Osteo_Sarco_1.png","RPT")</f>
        <v>RPT</v>
      </c>
      <c r="G3405" s="3">
        <v>122</v>
      </c>
      <c r="H3405" s="3"/>
    </row>
    <row r="3406" spans="1:8" x14ac:dyDescent="0.3">
      <c r="A3406" s="2">
        <v>9756163</v>
      </c>
      <c r="B3406" s="2">
        <v>37</v>
      </c>
      <c r="C3406" s="2" t="s">
        <v>6</v>
      </c>
      <c r="D3406" s="2">
        <v>120</v>
      </c>
      <c r="E3406" s="2"/>
      <c r="F3406" s="4" t="str">
        <f>HYPERLINK("./Results/DLO\20190801_1.2.410.100011.172.24.16.220.6370085378167068452.2_2_512_512_\Osteo_Sarco_1.png","RPT")</f>
        <v>RPT</v>
      </c>
      <c r="G3406" s="3">
        <v>121</v>
      </c>
      <c r="H3406" s="3"/>
    </row>
    <row r="3407" spans="1:8" x14ac:dyDescent="0.3">
      <c r="A3407" s="2">
        <v>9758419</v>
      </c>
      <c r="B3407" s="2">
        <v>80</v>
      </c>
      <c r="C3407" s="2" t="s">
        <v>5</v>
      </c>
      <c r="D3407" s="2">
        <v>140</v>
      </c>
      <c r="E3407" s="2"/>
      <c r="F3407" s="4" t="str">
        <f>HYPERLINK("./Results/DLO\20190801_1.2.840.113619.2.416.306134719800986260491290785087610674148_303_512_512_\Osteo_Sarco_1.png","RPT")</f>
        <v>RPT</v>
      </c>
      <c r="G3407" s="3">
        <v>163</v>
      </c>
      <c r="H3407" s="3"/>
    </row>
    <row r="3408" spans="1:8" x14ac:dyDescent="0.3">
      <c r="A3408" s="2">
        <v>9758419</v>
      </c>
      <c r="B3408" s="2">
        <v>80</v>
      </c>
      <c r="C3408" s="2" t="s">
        <v>5</v>
      </c>
      <c r="D3408" s="2">
        <v>140</v>
      </c>
      <c r="E3408" s="2"/>
      <c r="F3408" s="4" t="str">
        <f>HYPERLINK("./Results/DLO\20190801_1.2.840.113619.2.416.329069019848105468122865550250733944192_304_512_512_\Osteo_Sarco_1.png","RPT")</f>
        <v>RPT</v>
      </c>
      <c r="G3408" s="3">
        <v>163</v>
      </c>
      <c r="H3408" s="3"/>
    </row>
    <row r="3409" spans="1:8" x14ac:dyDescent="0.3">
      <c r="A3409" s="2">
        <v>9758419</v>
      </c>
      <c r="B3409" s="2">
        <v>80</v>
      </c>
      <c r="C3409" s="2" t="s">
        <v>5</v>
      </c>
      <c r="D3409" s="2">
        <v>140</v>
      </c>
      <c r="E3409" s="2"/>
      <c r="F3409" s="4" t="str">
        <f>HYPERLINK("./Results/DLO\20190801_1.2.840.113619.2.416.286574181363589332348389918786502983916_301_512_512_\Osteo_Sarco_1.png","RPT")</f>
        <v>RPT</v>
      </c>
      <c r="G3409" s="3">
        <v>160</v>
      </c>
      <c r="H3409" s="3"/>
    </row>
    <row r="3410" spans="1:8" x14ac:dyDescent="0.3">
      <c r="A3410" s="2">
        <v>9759456</v>
      </c>
      <c r="B3410" s="2">
        <v>49</v>
      </c>
      <c r="C3410" s="2" t="s">
        <v>6</v>
      </c>
      <c r="D3410" s="2">
        <v>120</v>
      </c>
      <c r="E3410" s="2"/>
      <c r="F3410" s="4" t="str">
        <f>HYPERLINK("./Results/DLO\20190701_1.2.410.100011.172.24.16.217.6370121526885205127.3_3_512_512_\Osteo_Sarco_1.png","RPT")</f>
        <v>RPT</v>
      </c>
      <c r="G3410" s="3">
        <v>122</v>
      </c>
      <c r="H3410" s="3"/>
    </row>
    <row r="3411" spans="1:8" x14ac:dyDescent="0.3">
      <c r="A3411" s="2">
        <v>9759456</v>
      </c>
      <c r="B3411" s="2">
        <v>49</v>
      </c>
      <c r="C3411" s="2" t="s">
        <v>6</v>
      </c>
      <c r="D3411" s="2">
        <v>120</v>
      </c>
      <c r="E3411" s="2"/>
      <c r="F3411" s="4" t="str">
        <f>HYPERLINK("./Results/DLO\20190701_1.2.410.100011.172.24.16.217.6370121526885205127.2_2_512_512_\Osteo_Sarco_1.png","RPT")</f>
        <v>RPT</v>
      </c>
      <c r="G3411" s="3">
        <v>121</v>
      </c>
      <c r="H3411" s="3"/>
    </row>
    <row r="3412" spans="1:8" x14ac:dyDescent="0.3">
      <c r="A3412" s="2">
        <v>9761446</v>
      </c>
      <c r="B3412" s="2">
        <v>39</v>
      </c>
      <c r="C3412" s="2" t="s">
        <v>5</v>
      </c>
      <c r="D3412" s="2">
        <v>100</v>
      </c>
      <c r="E3412" s="2"/>
      <c r="F3412" s="4" t="str">
        <f>HYPERLINK("./Results/DLO\20191001_1.3.46.670589.33.1.63707420811423841000001.4928433525527421914_201_512_512_\Osteo_Sarco_1.png","RPT")</f>
        <v>RPT</v>
      </c>
      <c r="G3412" s="3">
        <v>176</v>
      </c>
      <c r="H3412" s="3"/>
    </row>
    <row r="3413" spans="1:8" x14ac:dyDescent="0.3">
      <c r="A3413" s="2">
        <v>9762874</v>
      </c>
      <c r="B3413" s="2">
        <v>56</v>
      </c>
      <c r="C3413" s="2" t="s">
        <v>6</v>
      </c>
      <c r="D3413" s="2">
        <v>140</v>
      </c>
      <c r="E3413" s="2"/>
      <c r="F3413" s="4" t="str">
        <f>HYPERLINK("./Results/DLO\20190801_1.2.840.113619.2.416.242960696636961702862260222634989392386_304_512_512_\Osteo_Sarco_1.png","RPT")</f>
        <v>RPT</v>
      </c>
      <c r="G3413" s="3">
        <v>119</v>
      </c>
      <c r="H3413" s="3"/>
    </row>
    <row r="3414" spans="1:8" x14ac:dyDescent="0.3">
      <c r="A3414" s="2">
        <v>9762874</v>
      </c>
      <c r="B3414" s="2">
        <v>56</v>
      </c>
      <c r="C3414" s="2" t="s">
        <v>6</v>
      </c>
      <c r="D3414" s="2">
        <v>140</v>
      </c>
      <c r="E3414" s="2"/>
      <c r="F3414" s="4" t="str">
        <f>HYPERLINK("./Results/DLO\20190801_1.2.840.113619.2.416.19556000680456300130896310692842474636_303_512_512_\Osteo_Sarco_1.png","RPT")</f>
        <v>RPT</v>
      </c>
      <c r="G3414" s="3">
        <v>115</v>
      </c>
      <c r="H3414" s="3"/>
    </row>
    <row r="3415" spans="1:8" x14ac:dyDescent="0.3">
      <c r="A3415" s="2">
        <v>9762874</v>
      </c>
      <c r="B3415" s="2">
        <v>56</v>
      </c>
      <c r="C3415" s="2" t="s">
        <v>6</v>
      </c>
      <c r="D3415" s="2">
        <v>140</v>
      </c>
      <c r="E3415" s="2"/>
      <c r="F3415" s="4" t="str">
        <f>HYPERLINK("./Results/DLO\20190801_1.2.840.113619.2.416.109203557892300628436229572083077891780_301_512_512_\Osteo_Sarco_1.png","RPT")</f>
        <v>RPT</v>
      </c>
      <c r="G3415" s="3">
        <v>88</v>
      </c>
      <c r="H3415" s="3"/>
    </row>
    <row r="3416" spans="1:8" x14ac:dyDescent="0.3">
      <c r="A3416" s="2">
        <v>9763058</v>
      </c>
      <c r="B3416" s="2">
        <v>59</v>
      </c>
      <c r="C3416" s="2" t="s">
        <v>5</v>
      </c>
      <c r="D3416" s="2">
        <v>100</v>
      </c>
      <c r="E3416" s="2"/>
      <c r="F3416" s="4" t="str">
        <f>HYPERLINK("./Results/DLO\20190801_1.3.12.2.1107.5.1.4.54310.30000019081822233132800039423_4_512_512_\Osteo_Sarco_1.png","RPT")</f>
        <v>RPT</v>
      </c>
      <c r="G3416" s="3">
        <v>174</v>
      </c>
      <c r="H3416" s="3"/>
    </row>
    <row r="3417" spans="1:8" x14ac:dyDescent="0.3">
      <c r="A3417" s="2">
        <v>9763058</v>
      </c>
      <c r="B3417" s="2">
        <v>59</v>
      </c>
      <c r="C3417" s="2" t="s">
        <v>5</v>
      </c>
      <c r="D3417" s="2">
        <v>100</v>
      </c>
      <c r="E3417" s="2"/>
      <c r="F3417" s="4" t="str">
        <f>HYPERLINK("./Results/DLO\20190801_1.3.12.2.1107.5.1.4.54310.30000019081822233132800039852_6_512_512_\Osteo_Sarco_1.png","RPT")</f>
        <v>RPT</v>
      </c>
      <c r="G3417" s="3">
        <v>173</v>
      </c>
      <c r="H3417" s="3"/>
    </row>
    <row r="3418" spans="1:8" x14ac:dyDescent="0.3">
      <c r="A3418" s="2">
        <v>9763954</v>
      </c>
      <c r="B3418" s="2">
        <v>62</v>
      </c>
      <c r="C3418" s="2" t="s">
        <v>5</v>
      </c>
      <c r="D3418" s="2">
        <v>110</v>
      </c>
      <c r="E3418" s="2"/>
      <c r="F3418" s="4" t="str">
        <f>HYPERLINK("./Results/DLO\20190801_1.2.410.100011.172.16.64.21.6370206691011901341.5_5_512_512_\Osteo_Sarco_1.png","RPT")</f>
        <v>RPT</v>
      </c>
      <c r="G3418" s="3">
        <v>157</v>
      </c>
      <c r="H3418" s="3"/>
    </row>
    <row r="3419" spans="1:8" x14ac:dyDescent="0.3">
      <c r="A3419" s="2">
        <v>9763954</v>
      </c>
      <c r="B3419" s="2">
        <v>62</v>
      </c>
      <c r="C3419" s="2" t="s">
        <v>5</v>
      </c>
      <c r="D3419" s="2">
        <v>110</v>
      </c>
      <c r="E3419" s="2"/>
      <c r="F3419" s="4" t="str">
        <f>HYPERLINK("./Results/DLO\20190801_1.2.410.100011.172.16.64.21.6370206691011901341.4_4_512_512_\Osteo_Sarco_1.png","RPT")</f>
        <v>RPT</v>
      </c>
      <c r="G3419" s="3">
        <v>156</v>
      </c>
      <c r="H3419" s="3"/>
    </row>
    <row r="3420" spans="1:8" x14ac:dyDescent="0.3">
      <c r="A3420" s="2">
        <v>9763954</v>
      </c>
      <c r="B3420" s="2">
        <v>62</v>
      </c>
      <c r="C3420" s="2" t="s">
        <v>5</v>
      </c>
      <c r="D3420" s="2">
        <v>110</v>
      </c>
      <c r="E3420" s="2"/>
      <c r="F3420" s="4" t="str">
        <f>HYPERLINK("./Results/DLO\20190801_1.2.410.100011.172.16.64.21.6370206691011901341.2_2_512_512_\Osteo_Sarco_1.png","RPT")</f>
        <v>RPT</v>
      </c>
      <c r="G3420" s="3">
        <v>155</v>
      </c>
      <c r="H3420" s="3"/>
    </row>
    <row r="3421" spans="1:8" x14ac:dyDescent="0.3">
      <c r="A3421" s="2">
        <v>9763954</v>
      </c>
      <c r="B3421" s="2">
        <v>62</v>
      </c>
      <c r="C3421" s="2" t="s">
        <v>5</v>
      </c>
      <c r="D3421" s="2">
        <v>110</v>
      </c>
      <c r="E3421" s="2"/>
      <c r="F3421" s="4" t="str">
        <f>HYPERLINK("./Results/DLO\20190801_1.2.410.100011.172.16.64.21.6370206691011901341.7_7_512_512_\Osteo_Sarco_1.png","RPT")</f>
        <v>RPT</v>
      </c>
      <c r="G3421" s="3">
        <v>155</v>
      </c>
      <c r="H3421" s="3"/>
    </row>
    <row r="3422" spans="1:8" x14ac:dyDescent="0.3">
      <c r="A3422" s="2">
        <v>9764072</v>
      </c>
      <c r="B3422" s="2">
        <v>45</v>
      </c>
      <c r="C3422" s="2" t="s">
        <v>5</v>
      </c>
      <c r="D3422" s="2">
        <v>100</v>
      </c>
      <c r="E3422" s="2"/>
      <c r="F3422" s="4" t="str">
        <f>HYPERLINK("./Results/DLO\20191101_1.3.12.2.1107.5.1.4.65253.30000019112020361423300056216_2_512_512_\Osteo_Sarco_1.png","RPT")</f>
        <v>RPT</v>
      </c>
      <c r="G3422" s="3">
        <v>159</v>
      </c>
      <c r="H3422" s="3"/>
    </row>
    <row r="3423" spans="1:8" x14ac:dyDescent="0.3">
      <c r="A3423" s="2">
        <v>9764072</v>
      </c>
      <c r="B3423" s="2">
        <v>45</v>
      </c>
      <c r="C3423" s="2" t="s">
        <v>5</v>
      </c>
      <c r="D3423" s="2">
        <v>100</v>
      </c>
      <c r="E3423" s="2"/>
      <c r="F3423" s="4" t="str">
        <f>HYPERLINK("./Results/DLO\20191101_1.3.12.2.1107.5.1.4.65253.30000019112020361423300057062_3_512_512_\Osteo_Sarco_1.png","RPT")</f>
        <v>RPT</v>
      </c>
      <c r="G3423" s="3">
        <v>159</v>
      </c>
      <c r="H3423" s="3"/>
    </row>
    <row r="3424" spans="1:8" x14ac:dyDescent="0.3">
      <c r="A3424" s="2">
        <v>9767575</v>
      </c>
      <c r="B3424" s="2">
        <v>43</v>
      </c>
      <c r="C3424" s="2" t="s">
        <v>6</v>
      </c>
      <c r="D3424" s="2">
        <v>100</v>
      </c>
      <c r="E3424" s="2"/>
      <c r="F3424" s="4" t="str">
        <f>HYPERLINK("./Results/DLO\20190801_1.2.840.113619.2.416.9560022449676709303416022352845701726_310_512_512_\Osteo_Sarco_1.png","RPT")</f>
        <v>RPT</v>
      </c>
      <c r="G3424" s="3">
        <v>104</v>
      </c>
      <c r="H3424" s="3"/>
    </row>
    <row r="3425" spans="1:8" x14ac:dyDescent="0.3">
      <c r="A3425" s="2">
        <v>9769201</v>
      </c>
      <c r="B3425" s="2">
        <v>61</v>
      </c>
      <c r="C3425" s="2" t="s">
        <v>6</v>
      </c>
      <c r="D3425" s="2">
        <v>100</v>
      </c>
      <c r="E3425" s="2"/>
      <c r="F3425" s="4" t="str">
        <f>HYPERLINK("./Results/DLO\20190801_1.2.410.100011.172.16.68.114.6370205834462428601.3_3_512_512_\Osteo_Sarco_1.png","RPT")</f>
        <v>RPT</v>
      </c>
      <c r="G3425" s="3">
        <v>103</v>
      </c>
      <c r="H3425" s="3"/>
    </row>
    <row r="3426" spans="1:8" x14ac:dyDescent="0.3">
      <c r="A3426" s="2">
        <v>9769201</v>
      </c>
      <c r="B3426" s="2">
        <v>61</v>
      </c>
      <c r="C3426" s="2" t="s">
        <v>6</v>
      </c>
      <c r="D3426" s="2">
        <v>100</v>
      </c>
      <c r="E3426" s="2"/>
      <c r="F3426" s="4" t="str">
        <f>HYPERLINK("./Results/DLO\20190801_1.2.410.100011.172.16.68.114.6370205834462428601.8_8_512_512_\Osteo_Sarco_1.png","RPT")</f>
        <v>RPT</v>
      </c>
      <c r="G3426" s="3">
        <v>103</v>
      </c>
      <c r="H3426" s="3"/>
    </row>
    <row r="3427" spans="1:8" x14ac:dyDescent="0.3">
      <c r="A3427" s="2">
        <v>9769201</v>
      </c>
      <c r="B3427" s="2">
        <v>61</v>
      </c>
      <c r="C3427" s="2" t="s">
        <v>6</v>
      </c>
      <c r="D3427" s="2">
        <v>80</v>
      </c>
      <c r="E3427" s="2"/>
      <c r="F3427" s="4" t="str">
        <f>HYPERLINK("./Results/DLO\20190801_1.2.410.100011.172.16.68.114.6370205834462428601.2_2_512_512_\Osteo_Sarco_1.png","RPT")</f>
        <v>RPT</v>
      </c>
      <c r="G3427" s="3">
        <v>101</v>
      </c>
      <c r="H3427" s="3"/>
    </row>
    <row r="3428" spans="1:8" x14ac:dyDescent="0.3">
      <c r="A3428" s="2">
        <v>9770408</v>
      </c>
      <c r="B3428" s="2">
        <v>42</v>
      </c>
      <c r="C3428" s="2" t="s">
        <v>6</v>
      </c>
      <c r="D3428" s="2">
        <v>100</v>
      </c>
      <c r="E3428" s="2"/>
      <c r="F3428" s="4" t="str">
        <f>HYPERLINK("./Results/DLO\20190801_1.3.46.670589.33.1.63702423190120457300001.5729959237664088067_301_512_512_\Osteo_Sarco_1.png","RPT")</f>
        <v>RPT</v>
      </c>
      <c r="G3428" s="3">
        <v>84</v>
      </c>
      <c r="H3428" s="3"/>
    </row>
    <row r="3429" spans="1:8" x14ac:dyDescent="0.3">
      <c r="A3429" s="2">
        <v>9770424</v>
      </c>
      <c r="B3429" s="2">
        <v>61</v>
      </c>
      <c r="C3429" s="2" t="s">
        <v>5</v>
      </c>
      <c r="D3429" s="2">
        <v>140</v>
      </c>
      <c r="E3429" s="2"/>
      <c r="F3429" s="4" t="str">
        <f>HYPERLINK("./Results/DLO\20190801_1.2.840.113619.2.416.190467994225576952320435452906802792617_306_512_512_\Osteo_Sarco_1.png","RPT")</f>
        <v>RPT</v>
      </c>
      <c r="G3429" s="3">
        <v>165</v>
      </c>
      <c r="H3429" s="3"/>
    </row>
    <row r="3430" spans="1:8" x14ac:dyDescent="0.3">
      <c r="A3430" s="2">
        <v>9770424</v>
      </c>
      <c r="B3430" s="2">
        <v>61</v>
      </c>
      <c r="C3430" s="2" t="s">
        <v>5</v>
      </c>
      <c r="D3430" s="2">
        <v>140</v>
      </c>
      <c r="E3430" s="2"/>
      <c r="F3430" s="4" t="str">
        <f>HYPERLINK("./Results/DLO\20190801_1.2.840.113619.2.416.164230930172891983170313765396269018052_303_512_512_\Osteo_Sarco_1.png","RPT")</f>
        <v>RPT</v>
      </c>
      <c r="G3430" s="3">
        <v>162</v>
      </c>
      <c r="H3430" s="3"/>
    </row>
    <row r="3431" spans="1:8" x14ac:dyDescent="0.3">
      <c r="A3431" s="2">
        <v>9770424</v>
      </c>
      <c r="B3431" s="2">
        <v>61</v>
      </c>
      <c r="C3431" s="2" t="s">
        <v>5</v>
      </c>
      <c r="D3431" s="2">
        <v>140</v>
      </c>
      <c r="E3431" s="2"/>
      <c r="F3431" s="4" t="str">
        <f>HYPERLINK("./Results/DLO\20190801_1.2.840.113619.2.416.114164509715339134885448186618378529465_2_512_512_\Osteo_Sarco_1.png","RPT")</f>
        <v>RPT</v>
      </c>
      <c r="G3431" s="3">
        <v>161</v>
      </c>
      <c r="H3431" s="3"/>
    </row>
    <row r="3432" spans="1:8" x14ac:dyDescent="0.3">
      <c r="A3432" s="2">
        <v>9770424</v>
      </c>
      <c r="B3432" s="2">
        <v>61</v>
      </c>
      <c r="C3432" s="2" t="s">
        <v>5</v>
      </c>
      <c r="D3432" s="2">
        <v>140</v>
      </c>
      <c r="E3432" s="2"/>
      <c r="F3432" s="4" t="str">
        <f>HYPERLINK("./Results/DLO\20190801_1.2.840.113619.2.416.254622867896805555826531351430173986213_301_512_512_\Osteo_Sarco_1.png","RPT")</f>
        <v>RPT</v>
      </c>
      <c r="G3432" s="3">
        <v>161</v>
      </c>
      <c r="H3432" s="3"/>
    </row>
    <row r="3433" spans="1:8" x14ac:dyDescent="0.3">
      <c r="A3433" s="2">
        <v>9772574</v>
      </c>
      <c r="B3433" s="2">
        <v>62</v>
      </c>
      <c r="C3433" s="2" t="s">
        <v>6</v>
      </c>
      <c r="D3433" s="2">
        <v>100</v>
      </c>
      <c r="E3433" s="2"/>
      <c r="F3433" s="4" t="str">
        <f>HYPERLINK("./Results/DLO\20190901_1.3.12.2.1107.5.1.4.65253.30000019090921314081500000936_2_512_512_\Osteo_Sarco_1.png","RPT")</f>
        <v>RPT</v>
      </c>
      <c r="G3433" s="3">
        <v>83</v>
      </c>
      <c r="H3433" s="3"/>
    </row>
    <row r="3434" spans="1:8" x14ac:dyDescent="0.3">
      <c r="A3434" s="2">
        <v>9774381</v>
      </c>
      <c r="B3434" s="2">
        <v>61</v>
      </c>
      <c r="C3434" s="2" t="s">
        <v>6</v>
      </c>
      <c r="D3434" s="2">
        <v>100</v>
      </c>
      <c r="E3434" s="2"/>
      <c r="F3434" s="4" t="str">
        <f>HYPERLINK("./Results/DLO\20190901_1.3.12.2.1107.5.1.4.54310.30000019091521212910900049879_7_512_512_\Osteo_Sarco_1.png","RPT")</f>
        <v>RPT</v>
      </c>
      <c r="G3434" s="3">
        <v>106</v>
      </c>
      <c r="H3434" s="3"/>
    </row>
    <row r="3435" spans="1:8" x14ac:dyDescent="0.3">
      <c r="A3435" s="2">
        <v>9775039</v>
      </c>
      <c r="B3435" s="2">
        <v>50</v>
      </c>
      <c r="C3435" s="2" t="s">
        <v>6</v>
      </c>
      <c r="D3435" s="2">
        <v>100</v>
      </c>
      <c r="E3435" s="2"/>
      <c r="F3435" s="4" t="str">
        <f>HYPERLINK("./Results/DLO\20190901_1.2.840.113619.2.416.177462769389706689025406291411393786607_310_512_512_\Osteo_Sarco_1.png","RPT")</f>
        <v>RPT</v>
      </c>
      <c r="G3435" s="3">
        <v>130</v>
      </c>
      <c r="H3435" s="3"/>
    </row>
    <row r="3436" spans="1:8" x14ac:dyDescent="0.3">
      <c r="A3436" s="2">
        <v>9775977</v>
      </c>
      <c r="B3436" s="2">
        <v>54</v>
      </c>
      <c r="C3436" s="2" t="s">
        <v>5</v>
      </c>
      <c r="D3436" s="2">
        <v>120</v>
      </c>
      <c r="E3436" s="2"/>
      <c r="F3436" s="4" t="str">
        <f>HYPERLINK("./Results/DLO\20190901_1.2.840.113619.2.416.263560504814801003585854674763127791979_2_512_512_\Osteo_Sarco_1.png","RPT")</f>
        <v>RPT</v>
      </c>
      <c r="G3436" s="3">
        <v>149</v>
      </c>
      <c r="H3436" s="3"/>
    </row>
    <row r="3437" spans="1:8" x14ac:dyDescent="0.3">
      <c r="A3437" s="2">
        <v>9779411</v>
      </c>
      <c r="B3437" s="2">
        <v>46</v>
      </c>
      <c r="C3437" s="2" t="s">
        <v>6</v>
      </c>
      <c r="D3437" s="2">
        <v>100</v>
      </c>
      <c r="E3437" s="2"/>
      <c r="F3437" s="4" t="str">
        <f>HYPERLINK("./Results/DLO\20190901_1.2.840.113619.2.416.328441274030069012663558522874520093759_310_512_512_\Osteo_Sarco_1.png","RPT")</f>
        <v>RPT</v>
      </c>
      <c r="G3437" s="3">
        <v>117</v>
      </c>
      <c r="H3437" s="3"/>
    </row>
    <row r="3438" spans="1:8" x14ac:dyDescent="0.3">
      <c r="A3438" s="2">
        <v>9783611</v>
      </c>
      <c r="B3438" s="2">
        <v>47</v>
      </c>
      <c r="C3438" s="2" t="s">
        <v>6</v>
      </c>
      <c r="D3438" s="2">
        <v>100</v>
      </c>
      <c r="E3438" s="2"/>
      <c r="F3438" s="4" t="str">
        <f>HYPERLINK("./Results/DLO\20190901_1.2.840.113619.2.416.39754929046021605577443328902064442044_310_512_512_\Osteo_Sarco_1.png","RPT")</f>
        <v>RPT</v>
      </c>
      <c r="G3438" s="3">
        <v>104</v>
      </c>
      <c r="H3438" s="3"/>
    </row>
    <row r="3439" spans="1:8" x14ac:dyDescent="0.3">
      <c r="A3439" s="2">
        <v>9783654</v>
      </c>
      <c r="B3439" s="2">
        <v>59</v>
      </c>
      <c r="C3439" s="2" t="s">
        <v>5</v>
      </c>
      <c r="D3439" s="2">
        <v>100</v>
      </c>
      <c r="E3439" s="2"/>
      <c r="F3439" s="4" t="str">
        <f>HYPERLINK("./Results/DLO\20190901_1.3.12.2.1107.5.1.4.54310.30000019090421365968700000000_2_512_512_\Osteo_Sarco_1.png","RPT")</f>
        <v>RPT</v>
      </c>
      <c r="G3439" s="3">
        <v>142</v>
      </c>
      <c r="H3439" s="3"/>
    </row>
    <row r="3440" spans="1:8" x14ac:dyDescent="0.3">
      <c r="A3440" s="2">
        <v>9784473</v>
      </c>
      <c r="B3440" s="2">
        <v>64</v>
      </c>
      <c r="C3440" s="2" t="s">
        <v>5</v>
      </c>
      <c r="D3440" s="2">
        <v>100</v>
      </c>
      <c r="E3440" s="2"/>
      <c r="F3440" s="4" t="str">
        <f>HYPERLINK("./Results/DLO\20191001_1.3.46.670589.33.1.63705775147077758300001.4758655725568748592_201_512_512_\Osteo_Sarco_1.png","RPT")</f>
        <v>RPT</v>
      </c>
      <c r="G3440" s="3">
        <v>150</v>
      </c>
      <c r="H3440" s="3"/>
    </row>
    <row r="3441" spans="1:8" x14ac:dyDescent="0.3">
      <c r="A3441" s="2">
        <v>9784614</v>
      </c>
      <c r="B3441" s="2">
        <v>45</v>
      </c>
      <c r="C3441" s="2" t="s">
        <v>6</v>
      </c>
      <c r="D3441" s="2">
        <v>100</v>
      </c>
      <c r="E3441" s="2"/>
      <c r="F3441" s="4" t="str">
        <f>HYPERLINK("./Results/DLO\20190901_1.2.840.113619.2.416.88516085353270368408171170585876511757_310_512_512_\Osteo_Sarco_1.png","RPT")</f>
        <v>RPT</v>
      </c>
      <c r="G3441" s="3">
        <v>102</v>
      </c>
      <c r="H3441" s="3"/>
    </row>
    <row r="3442" spans="1:8" x14ac:dyDescent="0.3">
      <c r="A3442" s="2">
        <v>9788389</v>
      </c>
      <c r="B3442" s="2">
        <v>72</v>
      </c>
      <c r="C3442" s="2" t="s">
        <v>5</v>
      </c>
      <c r="D3442" s="2">
        <v>120</v>
      </c>
      <c r="E3442" s="2"/>
      <c r="F3442" s="4" t="str">
        <f>HYPERLINK("./Results/DLO\20190901_1.2.410.100011.172.24.16.220.6370371883370669284.4_4_512_512_\Osteo_Sarco_1.png","RPT")</f>
        <v>RPT</v>
      </c>
      <c r="G3442" s="3">
        <v>109</v>
      </c>
      <c r="H3442" s="3"/>
    </row>
    <row r="3443" spans="1:8" x14ac:dyDescent="0.3">
      <c r="A3443" s="2">
        <v>9788389</v>
      </c>
      <c r="B3443" s="2">
        <v>72</v>
      </c>
      <c r="C3443" s="2" t="s">
        <v>5</v>
      </c>
      <c r="D3443" s="2">
        <v>120</v>
      </c>
      <c r="E3443" s="2"/>
      <c r="F3443" s="4" t="str">
        <f>HYPERLINK("./Results/DLO\20190901_1.2.410.100011.172.24.16.220.6370371883370669284.3_3_512_512_\Osteo_Sarco_1.png","RPT")</f>
        <v>RPT</v>
      </c>
      <c r="G3443" s="3">
        <v>105</v>
      </c>
      <c r="H3443" s="3"/>
    </row>
    <row r="3444" spans="1:8" x14ac:dyDescent="0.3">
      <c r="A3444" s="2">
        <v>9788389</v>
      </c>
      <c r="B3444" s="2">
        <v>72</v>
      </c>
      <c r="C3444" s="2" t="s">
        <v>5</v>
      </c>
      <c r="D3444" s="2">
        <v>120</v>
      </c>
      <c r="E3444" s="2"/>
      <c r="F3444" s="4" t="str">
        <f>HYPERLINK("./Results/DLO\20190901_1.2.410.100011.172.24.16.220.6370371883370669284.2_2_512_512_\Osteo_Sarco_1.png","RPT")</f>
        <v>RPT</v>
      </c>
      <c r="G3444" s="3">
        <v>100</v>
      </c>
      <c r="H3444" s="3"/>
    </row>
    <row r="3445" spans="1:8" x14ac:dyDescent="0.3">
      <c r="A3445" s="2">
        <v>9788506</v>
      </c>
      <c r="B3445" s="2">
        <v>44</v>
      </c>
      <c r="C3445" s="2" t="s">
        <v>6</v>
      </c>
      <c r="D3445" s="2">
        <v>100</v>
      </c>
      <c r="E3445" s="2"/>
      <c r="F3445" s="4" t="str">
        <f>HYPERLINK("./Results/DLO\20190901_1.2.840.113619.2.416.115762736448691432353728699725869766473_310_512_512_\Osteo_Sarco_1.png","RPT")</f>
        <v>RPT</v>
      </c>
      <c r="G3445" s="3">
        <v>99</v>
      </c>
      <c r="H3445" s="3"/>
    </row>
    <row r="3446" spans="1:8" x14ac:dyDescent="0.3">
      <c r="A3446" s="2">
        <v>9789440</v>
      </c>
      <c r="B3446" s="2">
        <v>48</v>
      </c>
      <c r="C3446" s="2" t="s">
        <v>5</v>
      </c>
      <c r="D3446" s="2">
        <v>140</v>
      </c>
      <c r="E3446" s="2"/>
      <c r="F3446" s="4" t="str">
        <f>HYPERLINK("./Results/DLO\20190901_1.2.410.100011.172.16.64.21.6370421893895622681.5_5_512_512_\Osteo_Sarco_1.png","RPT")</f>
        <v>RPT</v>
      </c>
      <c r="G3446" s="3">
        <v>200</v>
      </c>
      <c r="H3446" s="3"/>
    </row>
    <row r="3447" spans="1:8" x14ac:dyDescent="0.3">
      <c r="A3447" s="2">
        <v>9789440</v>
      </c>
      <c r="B3447" s="2">
        <v>48</v>
      </c>
      <c r="C3447" s="2" t="s">
        <v>5</v>
      </c>
      <c r="D3447" s="2">
        <v>140</v>
      </c>
      <c r="E3447" s="2"/>
      <c r="F3447" s="4" t="str">
        <f>HYPERLINK("./Results/DLO\20190901_1.2.410.100011.172.16.64.21.6370421893895622681.4_4_512_512_\Osteo_Sarco_1.png","RPT")</f>
        <v>RPT</v>
      </c>
      <c r="G3447" s="3">
        <v>199</v>
      </c>
      <c r="H3447" s="3"/>
    </row>
    <row r="3448" spans="1:8" x14ac:dyDescent="0.3">
      <c r="A3448" s="2">
        <v>9789440</v>
      </c>
      <c r="B3448" s="2">
        <v>48</v>
      </c>
      <c r="C3448" s="2" t="s">
        <v>5</v>
      </c>
      <c r="D3448" s="2">
        <v>140</v>
      </c>
      <c r="E3448" s="2"/>
      <c r="F3448" s="4" t="str">
        <f>HYPERLINK("./Results/DLO\20190901_1.2.410.100011.172.16.64.21.6370421893895622681.3_3_512_512_\Osteo_Sarco_1.png","RPT")</f>
        <v>RPT</v>
      </c>
      <c r="G3448" s="3">
        <v>198</v>
      </c>
      <c r="H3448" s="3"/>
    </row>
    <row r="3449" spans="1:8" x14ac:dyDescent="0.3">
      <c r="A3449" s="2">
        <v>9789440</v>
      </c>
      <c r="B3449" s="2">
        <v>48</v>
      </c>
      <c r="C3449" s="2" t="s">
        <v>5</v>
      </c>
      <c r="D3449" s="2">
        <v>140</v>
      </c>
      <c r="E3449" s="2"/>
      <c r="F3449" s="4" t="str">
        <f>HYPERLINK("./Results/DLO\20190901_1.2.410.100011.172.16.64.21.6370421893895622681.2_2_512_512_\Osteo_Sarco_1.png","RPT")</f>
        <v>RPT</v>
      </c>
      <c r="G3449" s="3">
        <v>197</v>
      </c>
      <c r="H3449" s="3"/>
    </row>
    <row r="3450" spans="1:8" x14ac:dyDescent="0.3">
      <c r="A3450" s="2">
        <v>9791821</v>
      </c>
      <c r="B3450" s="2">
        <v>45</v>
      </c>
      <c r="C3450" s="2" t="s">
        <v>6</v>
      </c>
      <c r="D3450" s="2">
        <v>100</v>
      </c>
      <c r="E3450" s="2"/>
      <c r="F3450" s="4" t="str">
        <f>HYPERLINK("./Results/DLO\20190901_1.2.840.113619.2.416.68637676144253916718486292614525854412_306_512_512_\Osteo_Sarco_1.png","RPT")</f>
        <v>RPT</v>
      </c>
      <c r="G3450" s="3">
        <v>95</v>
      </c>
      <c r="H3450" s="3"/>
    </row>
    <row r="3451" spans="1:8" x14ac:dyDescent="0.3">
      <c r="A3451" s="2">
        <v>9793253</v>
      </c>
      <c r="B3451" s="2">
        <v>55</v>
      </c>
      <c r="C3451" s="2" t="s">
        <v>6</v>
      </c>
      <c r="D3451" s="2">
        <v>100</v>
      </c>
      <c r="E3451" s="2"/>
      <c r="F3451" s="4" t="str">
        <f>HYPERLINK("./Results/DLO\20191101_1.3.46.670589.33.1.63710014364779256700001.5147744739380040103_201_512_512_\Osteo_Sarco_1.png","RPT")</f>
        <v>RPT</v>
      </c>
      <c r="G3451" s="3">
        <v>92</v>
      </c>
      <c r="H3451" s="3"/>
    </row>
    <row r="3452" spans="1:8" x14ac:dyDescent="0.3">
      <c r="A3452" s="2">
        <v>9794780</v>
      </c>
      <c r="B3452" s="2">
        <v>52</v>
      </c>
      <c r="C3452" s="2" t="s">
        <v>6</v>
      </c>
      <c r="D3452" s="2">
        <v>100</v>
      </c>
      <c r="E3452" s="2"/>
      <c r="F3452" s="4" t="str">
        <f>HYPERLINK("./Results/DLO\20190901_1.2.840.113619.2.416.121468167658701175785333874545072760164_310_512_512_\Osteo_Sarco_1.png","RPT")</f>
        <v>RPT</v>
      </c>
      <c r="G3452" s="3">
        <v>99</v>
      </c>
      <c r="H3452" s="3"/>
    </row>
    <row r="3453" spans="1:8" x14ac:dyDescent="0.3">
      <c r="A3453" s="2">
        <v>9794840</v>
      </c>
      <c r="B3453" s="2">
        <v>51</v>
      </c>
      <c r="C3453" s="2" t="s">
        <v>6</v>
      </c>
      <c r="D3453" s="2">
        <v>100</v>
      </c>
      <c r="E3453" s="2"/>
      <c r="F3453" s="4" t="str">
        <f>HYPERLINK("./Results/DLO\20191001_1.3.46.670589.33.1.63706987364294623600001.5262020440454113104_201_512_512_\Osteo_Sarco_1.png","RPT")</f>
        <v>RPT</v>
      </c>
      <c r="G3453" s="3">
        <v>103</v>
      </c>
      <c r="H3453" s="3"/>
    </row>
    <row r="3454" spans="1:8" x14ac:dyDescent="0.3">
      <c r="A3454" s="2">
        <v>9794940</v>
      </c>
      <c r="B3454" s="2">
        <v>47</v>
      </c>
      <c r="C3454" s="2" t="s">
        <v>6</v>
      </c>
      <c r="D3454" s="2">
        <v>100</v>
      </c>
      <c r="E3454" s="2"/>
      <c r="F3454" s="4" t="str">
        <f>HYPERLINK("./Results/DLO\20190901_1.2.840.113619.2.416.54633350882917600642288650352819709600_310_512_512_\Osteo_Sarco_1.png","RPT")</f>
        <v>RPT</v>
      </c>
      <c r="G3454" s="3">
        <v>113</v>
      </c>
      <c r="H3454" s="3"/>
    </row>
    <row r="3455" spans="1:8" x14ac:dyDescent="0.3">
      <c r="A3455" s="2">
        <v>9796202</v>
      </c>
      <c r="B3455" s="2">
        <v>50</v>
      </c>
      <c r="C3455" s="2" t="s">
        <v>6</v>
      </c>
      <c r="D3455" s="2">
        <v>100</v>
      </c>
      <c r="E3455" s="2"/>
      <c r="F3455" s="4" t="str">
        <f>HYPERLINK("./Results/DLO\20190901_1.2.840.113619.2.416.111037688110134752019717619425886871445_310_512_512_\Osteo_Sarco_1.png","RPT")</f>
        <v>RPT</v>
      </c>
      <c r="G3455" s="3">
        <v>108</v>
      </c>
      <c r="H3455" s="3"/>
    </row>
    <row r="3456" spans="1:8" x14ac:dyDescent="0.3">
      <c r="A3456" s="2">
        <v>9806429</v>
      </c>
      <c r="B3456" s="2">
        <v>42</v>
      </c>
      <c r="C3456" s="2" t="s">
        <v>6</v>
      </c>
      <c r="D3456" s="2">
        <v>100</v>
      </c>
      <c r="E3456" s="2"/>
      <c r="F3456" s="4" t="str">
        <f>HYPERLINK("./Results/DLO\20191001_1.2.840.113619.2.416.235575204901170551088112827426949554805_310_512_512_\Osteo_Sarco_1.png","RPT")</f>
        <v>RPT</v>
      </c>
      <c r="G3456" s="3">
        <v>105</v>
      </c>
      <c r="H3456" s="3"/>
    </row>
    <row r="3457" spans="1:8" x14ac:dyDescent="0.3">
      <c r="A3457" s="2">
        <v>9807855</v>
      </c>
      <c r="B3457" s="2">
        <v>60</v>
      </c>
      <c r="C3457" s="2" t="s">
        <v>5</v>
      </c>
      <c r="D3457" s="2">
        <v>120</v>
      </c>
      <c r="E3457" s="2"/>
      <c r="F3457" s="4" t="str">
        <f>HYPERLINK("./Results/DLO\20190901_1.2.410.100011.172.24.16.221.63706047759418153610.5_5_512_512_\Osteo_Sarco_1.png","RPT")</f>
        <v>RPT</v>
      </c>
      <c r="G3457" s="3">
        <v>174</v>
      </c>
      <c r="H3457" s="3"/>
    </row>
    <row r="3458" spans="1:8" x14ac:dyDescent="0.3">
      <c r="A3458" s="2">
        <v>9807855</v>
      </c>
      <c r="B3458" s="2">
        <v>60</v>
      </c>
      <c r="C3458" s="2" t="s">
        <v>5</v>
      </c>
      <c r="D3458" s="2">
        <v>120</v>
      </c>
      <c r="E3458" s="2"/>
      <c r="F3458" s="4" t="str">
        <f>HYPERLINK("./Results/DLO\20190901_1.2.410.100011.172.24.16.221.63706047759418153610.2_2_512_512_\Osteo_Sarco_1.png","RPT")</f>
        <v>RPT</v>
      </c>
      <c r="G3458" s="3">
        <v>173</v>
      </c>
      <c r="H3458" s="3"/>
    </row>
    <row r="3459" spans="1:8" x14ac:dyDescent="0.3">
      <c r="A3459" s="2">
        <v>9807855</v>
      </c>
      <c r="B3459" s="2">
        <v>60</v>
      </c>
      <c r="C3459" s="2" t="s">
        <v>5</v>
      </c>
      <c r="D3459" s="2">
        <v>120</v>
      </c>
      <c r="E3459" s="2"/>
      <c r="F3459" s="4" t="str">
        <f>HYPERLINK("./Results/DLO\20190901_1.2.410.100011.172.24.16.221.63706047759418153610.3_3_512_512_\Osteo_Sarco_1.png","RPT")</f>
        <v>RPT</v>
      </c>
      <c r="G3459" s="3">
        <v>172</v>
      </c>
      <c r="H3459" s="3"/>
    </row>
    <row r="3460" spans="1:8" x14ac:dyDescent="0.3">
      <c r="A3460" s="2">
        <v>9807855</v>
      </c>
      <c r="B3460" s="2">
        <v>60</v>
      </c>
      <c r="C3460" s="2" t="s">
        <v>5</v>
      </c>
      <c r="D3460" s="2">
        <v>120</v>
      </c>
      <c r="E3460" s="2"/>
      <c r="F3460" s="4" t="str">
        <f>HYPERLINK("./Results/DLO\20190901_1.2.410.100011.172.24.16.221.63706047759418153610.4_4_512_512_\Osteo_Sarco_1.png","RPT")</f>
        <v>RPT</v>
      </c>
      <c r="G3460" s="3">
        <v>172</v>
      </c>
      <c r="H3460" s="3"/>
    </row>
    <row r="3461" spans="1:8" x14ac:dyDescent="0.3">
      <c r="A3461" s="2">
        <v>9807868</v>
      </c>
      <c r="B3461" s="2">
        <v>17</v>
      </c>
      <c r="C3461" s="2" t="s">
        <v>6</v>
      </c>
      <c r="D3461" s="2">
        <v>120</v>
      </c>
      <c r="E3461" s="2"/>
      <c r="F3461" s="4" t="str">
        <f>HYPERLINK("./Results/DLO\20190901_1.2.410.100011.172.16.68.114.6370561459745562263.3_3_512_512_\Osteo_Sarco_1.png","RPT")</f>
        <v>RPT</v>
      </c>
      <c r="G3461" s="3">
        <v>155</v>
      </c>
      <c r="H3461" s="3"/>
    </row>
    <row r="3462" spans="1:8" x14ac:dyDescent="0.3">
      <c r="A3462" s="2">
        <v>9807868</v>
      </c>
      <c r="B3462" s="2">
        <v>17</v>
      </c>
      <c r="C3462" s="2" t="s">
        <v>6</v>
      </c>
      <c r="D3462" s="2">
        <v>120</v>
      </c>
      <c r="E3462" s="2"/>
      <c r="F3462" s="4" t="str">
        <f>HYPERLINK("./Results/DLO\20190901_1.2.410.100011.172.16.68.114.6370561459745562263.2_2_512_512_\Osteo_Sarco_1.png","RPT")</f>
        <v>RPT</v>
      </c>
      <c r="G3462" s="3">
        <v>153</v>
      </c>
      <c r="H3462" s="3"/>
    </row>
    <row r="3463" spans="1:8" x14ac:dyDescent="0.3">
      <c r="A3463" s="2">
        <v>9811101</v>
      </c>
      <c r="B3463" s="2">
        <v>49</v>
      </c>
      <c r="C3463" s="2" t="s">
        <v>6</v>
      </c>
      <c r="D3463" s="2">
        <v>100</v>
      </c>
      <c r="E3463" s="2"/>
      <c r="F3463" s="4" t="str">
        <f>HYPERLINK("./Results/DLO\20191001_1.2.840.113619.2.416.280766121830506419097866880599263974047_310_512_512_\Osteo_Sarco_1.png","RPT")</f>
        <v>RPT</v>
      </c>
      <c r="G3463" s="3">
        <v>129</v>
      </c>
      <c r="H3463" s="3"/>
    </row>
    <row r="3464" spans="1:8" x14ac:dyDescent="0.3">
      <c r="A3464" s="2">
        <v>9811101</v>
      </c>
      <c r="B3464" s="2">
        <v>49</v>
      </c>
      <c r="C3464" s="2" t="s">
        <v>6</v>
      </c>
      <c r="D3464" s="2">
        <v>100</v>
      </c>
      <c r="E3464" s="2"/>
      <c r="F3464" s="4" t="str">
        <f>HYPERLINK("./Results/DLO\20191001_1.2.840.113619.2.416.300399548390147711282144621560457279294_312_512_512_\Osteo_Sarco_1.png","RPT")</f>
        <v>RPT</v>
      </c>
      <c r="G3464" s="3">
        <v>129</v>
      </c>
      <c r="H3464" s="3"/>
    </row>
    <row r="3465" spans="1:8" x14ac:dyDescent="0.3">
      <c r="A3465" s="2">
        <v>9811263</v>
      </c>
      <c r="B3465" s="2">
        <v>68</v>
      </c>
      <c r="C3465" s="2" t="s">
        <v>6</v>
      </c>
      <c r="D3465" s="2">
        <v>100</v>
      </c>
      <c r="E3465" s="2"/>
      <c r="F3465" s="4" t="str">
        <f>HYPERLINK("./Results/DLO\20191001_1.3.12.2.1107.5.1.4.54310.30000019102222394959300056450_6_512_512_\Osteo_Sarco_1.png","RPT")</f>
        <v>RPT</v>
      </c>
      <c r="G3465" s="3">
        <v>104</v>
      </c>
      <c r="H3465" s="3"/>
    </row>
    <row r="3466" spans="1:8" x14ac:dyDescent="0.3">
      <c r="A3466" s="2">
        <v>9811263</v>
      </c>
      <c r="B3466" s="2">
        <v>68</v>
      </c>
      <c r="C3466" s="2" t="s">
        <v>6</v>
      </c>
      <c r="D3466" s="2">
        <v>100</v>
      </c>
      <c r="E3466" s="2"/>
      <c r="F3466" s="4" t="str">
        <f>HYPERLINK("./Results/DLO\20191001_1.3.12.2.1107.5.1.4.54310.30000019102222394959300056085_4_512_512_\Osteo_Sarco_1.png","RPT")</f>
        <v>RPT</v>
      </c>
      <c r="G3466" s="3">
        <v>103</v>
      </c>
      <c r="H3466" s="3"/>
    </row>
    <row r="3467" spans="1:8" x14ac:dyDescent="0.3">
      <c r="A3467" s="2">
        <v>9812531</v>
      </c>
      <c r="B3467" s="2">
        <v>46</v>
      </c>
      <c r="C3467" s="2" t="s">
        <v>6</v>
      </c>
      <c r="D3467" s="2">
        <v>100</v>
      </c>
      <c r="E3467" s="2"/>
      <c r="F3467" s="4" t="str">
        <f>HYPERLINK("./Results/DLO\20191101_1.3.46.670589.33.1.63708562921867970100001.4966688928073187375_301_512_512_\Osteo_Sarco_1.png","RPT")</f>
        <v>RPT</v>
      </c>
      <c r="G3467" s="3">
        <v>123</v>
      </c>
      <c r="H3467" s="3"/>
    </row>
    <row r="3468" spans="1:8" x14ac:dyDescent="0.3">
      <c r="A3468" s="2">
        <v>9814061</v>
      </c>
      <c r="B3468" s="2">
        <v>66</v>
      </c>
      <c r="C3468" s="2" t="s">
        <v>5</v>
      </c>
      <c r="D3468" s="2">
        <v>100</v>
      </c>
      <c r="E3468" s="2"/>
      <c r="F3468" s="4" t="str">
        <f>HYPERLINK("./Results/DLO\20191001_1.3.12.2.1107.5.1.4.65253.30000019102220114824900006596_10_512_512_\Osteo_Sarco_1.png","RPT")</f>
        <v>RPT</v>
      </c>
      <c r="G3468" s="3">
        <v>164</v>
      </c>
      <c r="H3468" s="3"/>
    </row>
    <row r="3469" spans="1:8" x14ac:dyDescent="0.3">
      <c r="A3469" s="2">
        <v>9814061</v>
      </c>
      <c r="B3469" s="2">
        <v>66</v>
      </c>
      <c r="C3469" s="2" t="s">
        <v>5</v>
      </c>
      <c r="D3469" s="2">
        <v>100</v>
      </c>
      <c r="E3469" s="2"/>
      <c r="F3469" s="4" t="str">
        <f>HYPERLINK("./Results/DLO\20191001_1.3.12.2.1107.5.1.4.65253.30000019102220114824900006330_8_512_512_\Osteo_Sarco_1.png","RPT")</f>
        <v>RPT</v>
      </c>
      <c r="G3469" s="3">
        <v>162</v>
      </c>
      <c r="H3469" s="3"/>
    </row>
    <row r="3470" spans="1:8" x14ac:dyDescent="0.3">
      <c r="A3470" s="2">
        <v>9814061</v>
      </c>
      <c r="B3470" s="2">
        <v>66</v>
      </c>
      <c r="C3470" s="2" t="s">
        <v>5</v>
      </c>
      <c r="D3470" s="2">
        <v>100</v>
      </c>
      <c r="E3470" s="2"/>
      <c r="F3470" s="4" t="str">
        <f>HYPERLINK("./Results/DLO\20191001_1.3.12.2.1107.5.1.4.65253.30000019102220114824900005866_6_512_512_\Osteo_Sarco_1.png","RPT")</f>
        <v>RPT</v>
      </c>
      <c r="G3470" s="3">
        <v>161</v>
      </c>
      <c r="H3470" s="3"/>
    </row>
    <row r="3471" spans="1:8" x14ac:dyDescent="0.3">
      <c r="A3471" s="2">
        <v>9814061</v>
      </c>
      <c r="B3471" s="2">
        <v>66</v>
      </c>
      <c r="C3471" s="2" t="s">
        <v>5</v>
      </c>
      <c r="D3471" s="2">
        <v>100</v>
      </c>
      <c r="E3471" s="2"/>
      <c r="F3471" s="4" t="str">
        <f>HYPERLINK("./Results/DLO\20191001_1.3.12.2.1107.5.1.4.65253.30000019102220114824900005782_2_512_512_\Osteo_Sarco_1.png","RPT")</f>
        <v>RPT</v>
      </c>
      <c r="G3471" s="3">
        <v>158</v>
      </c>
      <c r="H3471" s="3"/>
    </row>
    <row r="3472" spans="1:8" x14ac:dyDescent="0.3">
      <c r="A3472" s="2">
        <v>9814189</v>
      </c>
      <c r="B3472" s="2">
        <v>51</v>
      </c>
      <c r="C3472" s="2" t="s">
        <v>5</v>
      </c>
      <c r="D3472" s="2">
        <v>100</v>
      </c>
      <c r="E3472" s="2"/>
      <c r="F3472" s="4" t="str">
        <f>HYPERLINK("./Results/DLO\20191101_1.3.46.670589.33.1.63709147963670257500001.5243940770719695223_201_512_512_\Osteo_Sarco_1.png","RPT")</f>
        <v>RPT</v>
      </c>
      <c r="G3472" s="3">
        <v>160</v>
      </c>
      <c r="H3472" s="3"/>
    </row>
    <row r="3473" spans="1:8" x14ac:dyDescent="0.3">
      <c r="A3473" s="2">
        <v>9815006</v>
      </c>
      <c r="B3473" s="2">
        <v>48</v>
      </c>
      <c r="C3473" s="2" t="s">
        <v>6</v>
      </c>
      <c r="D3473" s="2">
        <v>100</v>
      </c>
      <c r="E3473" s="2"/>
      <c r="F3473" s="4" t="str">
        <f>HYPERLINK("./Results/DLO\20191001_1.2.840.113619.2.416.239642084555420603718462095455023089307_310_512_512_\Osteo_Sarco_1.png","RPT")</f>
        <v>RPT</v>
      </c>
      <c r="G3473" s="3">
        <v>102</v>
      </c>
      <c r="H3473" s="3"/>
    </row>
    <row r="3474" spans="1:8" x14ac:dyDescent="0.3">
      <c r="A3474" s="2">
        <v>9817176</v>
      </c>
      <c r="B3474" s="2">
        <v>64</v>
      </c>
      <c r="C3474" s="2" t="s">
        <v>6</v>
      </c>
      <c r="D3474" s="2">
        <v>100</v>
      </c>
      <c r="E3474" s="2"/>
      <c r="F3474" s="4" t="str">
        <f>HYPERLINK("./Results/DLO\20191001_1.3.12.2.1107.5.1.4.65253.30000019102020073045200105732_6_512_512_\Osteo_Sarco_1.png","RPT")</f>
        <v>RPT</v>
      </c>
      <c r="G3474" s="3">
        <v>122</v>
      </c>
      <c r="H3474" s="3"/>
    </row>
    <row r="3475" spans="1:8" x14ac:dyDescent="0.3">
      <c r="A3475" s="2">
        <v>9817176</v>
      </c>
      <c r="B3475" s="2">
        <v>64</v>
      </c>
      <c r="C3475" s="2" t="s">
        <v>6</v>
      </c>
      <c r="D3475" s="2">
        <v>100</v>
      </c>
      <c r="E3475" s="2"/>
      <c r="F3475" s="4" t="str">
        <f>HYPERLINK("./Results/DLO\20191001_1.3.12.2.1107.5.1.4.65253.30000019102020073045200105136_4_512_512_\Osteo_Sarco_1.png","RPT")</f>
        <v>RPT</v>
      </c>
      <c r="G3475" s="3">
        <v>121</v>
      </c>
      <c r="H3475" s="3"/>
    </row>
    <row r="3476" spans="1:8" x14ac:dyDescent="0.3">
      <c r="A3476" s="2">
        <v>9819742</v>
      </c>
      <c r="B3476" s="2">
        <v>27</v>
      </c>
      <c r="C3476" s="2" t="s">
        <v>6</v>
      </c>
      <c r="D3476" s="2">
        <v>100</v>
      </c>
      <c r="E3476" s="2"/>
      <c r="F3476" s="4" t="str">
        <f>HYPERLINK("./Results/DLO\20191001_1.3.12.2.1107.5.1.4.65253.30000019102319130874000003540_2_512_512_\Osteo_Sarco_1.png","RPT")</f>
        <v>RPT</v>
      </c>
      <c r="G3476" s="3">
        <v>96</v>
      </c>
      <c r="H3476" s="3"/>
    </row>
    <row r="3477" spans="1:8" x14ac:dyDescent="0.3">
      <c r="A3477" s="2">
        <v>9820791</v>
      </c>
      <c r="B3477" s="2">
        <v>76</v>
      </c>
      <c r="C3477" s="2" t="s">
        <v>5</v>
      </c>
      <c r="D3477" s="2">
        <v>100</v>
      </c>
      <c r="E3477" s="2"/>
      <c r="F3477" s="4" t="str">
        <f>HYPERLINK("./Results/DLO\20191001_1.3.12.2.1107.5.1.4.65253.30000019102319130874000002328_2_512_512_\Osteo_Sarco_1.png","RPT")</f>
        <v>RPT</v>
      </c>
      <c r="G3477" s="3">
        <v>138</v>
      </c>
      <c r="H3477" s="3"/>
    </row>
    <row r="3478" spans="1:8" x14ac:dyDescent="0.3">
      <c r="A3478" s="2">
        <v>9822683</v>
      </c>
      <c r="B3478" s="2">
        <v>46</v>
      </c>
      <c r="C3478" s="2" t="s">
        <v>6</v>
      </c>
      <c r="D3478" s="2">
        <v>100</v>
      </c>
      <c r="E3478" s="2"/>
      <c r="F3478" s="4" t="str">
        <f>HYPERLINK("./Results/DLO\20191001_1.3.12.2.1107.5.1.4.65253.30000019101821091323300045886_3_512_512_\Osteo_Sarco_1.png","RPT")</f>
        <v>RPT</v>
      </c>
      <c r="G3478" s="3">
        <v>101</v>
      </c>
      <c r="H3478" s="3"/>
    </row>
    <row r="3479" spans="1:8" x14ac:dyDescent="0.3">
      <c r="A3479" s="2">
        <v>9822683</v>
      </c>
      <c r="B3479" s="2">
        <v>46</v>
      </c>
      <c r="C3479" s="2" t="s">
        <v>6</v>
      </c>
      <c r="D3479" s="2">
        <v>100</v>
      </c>
      <c r="E3479" s="2"/>
      <c r="F3479" s="4" t="str">
        <f>HYPERLINK("./Results/DLO\20191001_1.3.12.2.1107.5.1.4.65253.30000019101821091323300045743_2_512_512_\Osteo_Sarco_1.png","RPT")</f>
        <v>RPT</v>
      </c>
      <c r="G3479" s="3">
        <v>99</v>
      </c>
      <c r="H3479" s="3"/>
    </row>
    <row r="3480" spans="1:8" x14ac:dyDescent="0.3">
      <c r="A3480" s="2">
        <v>9823134</v>
      </c>
      <c r="B3480" s="2">
        <v>19</v>
      </c>
      <c r="C3480" s="2" t="s">
        <v>5</v>
      </c>
      <c r="D3480" s="2">
        <v>100</v>
      </c>
      <c r="E3480" s="2"/>
      <c r="F3480" s="4" t="str">
        <f>HYPERLINK("./Results/DLO\20191001_1.3.12.2.1107.5.1.4.65253.30000019101923425220600003103_5_512_512_\Osteo_Sarco_1.png","RPT")</f>
        <v>RPT</v>
      </c>
      <c r="G3480" s="3">
        <v>157</v>
      </c>
      <c r="H3480" s="3"/>
    </row>
    <row r="3481" spans="1:8" x14ac:dyDescent="0.3">
      <c r="A3481" s="2">
        <v>9823134</v>
      </c>
      <c r="B3481" s="2">
        <v>19</v>
      </c>
      <c r="C3481" s="2" t="s">
        <v>5</v>
      </c>
      <c r="D3481" s="2">
        <v>100</v>
      </c>
      <c r="E3481" s="2"/>
      <c r="F3481" s="4" t="str">
        <f>HYPERLINK("./Results/DLO\20191001_1.3.12.2.1107.5.1.4.65253.30000019101923425220600002926_2_512_512_\Osteo_Sarco_1.png","RPT")</f>
        <v>RPT</v>
      </c>
      <c r="G3481" s="3">
        <v>156</v>
      </c>
      <c r="H3481" s="3"/>
    </row>
    <row r="3482" spans="1:8" x14ac:dyDescent="0.3">
      <c r="A3482" s="2">
        <v>9823134</v>
      </c>
      <c r="B3482" s="2">
        <v>19</v>
      </c>
      <c r="C3482" s="2" t="s">
        <v>5</v>
      </c>
      <c r="D3482" s="2">
        <v>100</v>
      </c>
      <c r="E3482" s="2"/>
      <c r="F3482" s="4" t="str">
        <f>HYPERLINK("./Results/DLO\20191001_1.3.12.2.1107.5.1.4.65253.30000019101923425220600003408_8_512_512_\Osteo_Sarco_1.png","RPT")</f>
        <v>RPT</v>
      </c>
      <c r="G3482" s="3">
        <v>154</v>
      </c>
      <c r="H3482" s="3"/>
    </row>
    <row r="3483" spans="1:8" x14ac:dyDescent="0.3">
      <c r="A3483" s="2">
        <v>9823134</v>
      </c>
      <c r="B3483" s="2">
        <v>19</v>
      </c>
      <c r="C3483" s="2" t="s">
        <v>5</v>
      </c>
      <c r="D3483" s="2">
        <v>100</v>
      </c>
      <c r="E3483" s="2"/>
      <c r="F3483" s="4" t="str">
        <f>HYPERLINK("./Results/DLO\20191001_1.3.12.2.1107.5.1.4.65253.30000019101920583038300067973_15_512_512_\Osteo_Sarco_1.png","RPT")</f>
        <v>RPT</v>
      </c>
      <c r="G3483" s="3">
        <v>134</v>
      </c>
      <c r="H3483" s="3"/>
    </row>
    <row r="3484" spans="1:8" x14ac:dyDescent="0.3">
      <c r="A3484" s="2">
        <v>9823402</v>
      </c>
      <c r="B3484" s="2">
        <v>67</v>
      </c>
      <c r="C3484" s="2" t="s">
        <v>5</v>
      </c>
      <c r="D3484" s="2">
        <v>100</v>
      </c>
      <c r="E3484" s="2"/>
      <c r="F3484" s="4" t="str">
        <f>HYPERLINK("./Results/DLO\20191201_1.2.840.113619.2.416.105405238692954636322104919181581189496_310_512_512_\Osteo_Sarco_1.png","RPT")</f>
        <v>RPT</v>
      </c>
      <c r="G3484" s="3">
        <v>159</v>
      </c>
      <c r="H3484" s="3"/>
    </row>
    <row r="3485" spans="1:8" x14ac:dyDescent="0.3">
      <c r="A3485" s="2">
        <v>9825626</v>
      </c>
      <c r="B3485" s="2">
        <v>35</v>
      </c>
      <c r="C3485" s="2" t="s">
        <v>6</v>
      </c>
      <c r="D3485" s="2">
        <v>100</v>
      </c>
      <c r="E3485" s="2"/>
      <c r="F3485" s="4" t="str">
        <f>HYPERLINK("./Results/DLO\20191001_1.2.840.113619.2.416.94197313878895141056357684216050190554_310_512_512_\Osteo_Sarco_1.png","RPT")</f>
        <v>RPT</v>
      </c>
      <c r="G3485" s="3">
        <v>101</v>
      </c>
      <c r="H3485" s="3"/>
    </row>
    <row r="3486" spans="1:8" x14ac:dyDescent="0.3">
      <c r="A3486" s="2">
        <v>9825906</v>
      </c>
      <c r="B3486" s="2">
        <v>46</v>
      </c>
      <c r="C3486" s="2" t="s">
        <v>5</v>
      </c>
      <c r="D3486" s="2">
        <v>100</v>
      </c>
      <c r="E3486" s="2"/>
      <c r="F3486" s="4" t="str">
        <f>HYPERLINK("./Results/DLO\20191101_1.3.46.670589.33.1.63708799100160621400001.4964894487692852412_201_512_512_\Osteo_Sarco_1.png","RPT")</f>
        <v>RPT</v>
      </c>
      <c r="G3486" s="3">
        <v>153</v>
      </c>
      <c r="H3486" s="3"/>
    </row>
    <row r="3487" spans="1:8" x14ac:dyDescent="0.3">
      <c r="A3487" s="2">
        <v>9829884</v>
      </c>
      <c r="B3487" s="2">
        <v>35</v>
      </c>
      <c r="C3487" s="2" t="s">
        <v>5</v>
      </c>
      <c r="D3487" s="2">
        <v>100</v>
      </c>
      <c r="E3487" s="2"/>
      <c r="F3487" s="4" t="str">
        <f>HYPERLINK("./Results/DLO\20200501_1.3.12.2.1107.5.1.4.54310.30000020052722380034300020117_12_512_512_\Osteo_Sarco_1.png","RPT")</f>
        <v>RPT</v>
      </c>
      <c r="G3487" s="3">
        <v>169</v>
      </c>
      <c r="H3487" s="3"/>
    </row>
    <row r="3488" spans="1:8" x14ac:dyDescent="0.3">
      <c r="A3488" s="2">
        <v>9832186</v>
      </c>
      <c r="B3488" s="2">
        <v>67</v>
      </c>
      <c r="C3488" s="2" t="s">
        <v>6</v>
      </c>
      <c r="D3488" s="2">
        <v>100</v>
      </c>
      <c r="E3488" s="2"/>
      <c r="F3488" s="4" t="str">
        <f>HYPERLINK("./Results/DLO\20191101_1.2.840.113619.2.416.35332897924285766919360998210923878815_310_512_512_\Osteo_Sarco_1.png","RPT")</f>
        <v>RPT</v>
      </c>
      <c r="G3488" s="3">
        <v>84</v>
      </c>
      <c r="H3488" s="3"/>
    </row>
    <row r="3489" spans="1:8" x14ac:dyDescent="0.3">
      <c r="A3489" s="2">
        <v>9832208</v>
      </c>
      <c r="B3489" s="2">
        <v>65</v>
      </c>
      <c r="C3489" s="2" t="s">
        <v>6</v>
      </c>
      <c r="D3489" s="2">
        <v>100</v>
      </c>
      <c r="E3489" s="2"/>
      <c r="F3489" s="4" t="str">
        <f>HYPERLINK("./Results/DLO\20191101_1.2.840.113619.2.416.71320876313347252845131569694001945336_306_512_512_\Osteo_Sarco_1.png","RPT")</f>
        <v>RPT</v>
      </c>
      <c r="G3489" s="3">
        <v>122</v>
      </c>
      <c r="H3489" s="3"/>
    </row>
    <row r="3490" spans="1:8" x14ac:dyDescent="0.3">
      <c r="A3490" s="2">
        <v>9833162</v>
      </c>
      <c r="B3490" s="2">
        <v>65</v>
      </c>
      <c r="C3490" s="2" t="s">
        <v>5</v>
      </c>
      <c r="D3490" s="2">
        <v>120</v>
      </c>
      <c r="E3490" s="2"/>
      <c r="F3490" s="4" t="str">
        <f>HYPERLINK("./Results/DLO\20191101_1.2.840.113619.2.416.72628910945360134467433300226978963851_2_512_512_\Osteo_Sarco_1.png","RPT")</f>
        <v>RPT</v>
      </c>
      <c r="G3490" s="3">
        <v>148</v>
      </c>
      <c r="H3490" s="3"/>
    </row>
    <row r="3491" spans="1:8" x14ac:dyDescent="0.3">
      <c r="A3491" s="2">
        <v>9833208</v>
      </c>
      <c r="B3491" s="2">
        <v>50</v>
      </c>
      <c r="C3491" s="2" t="s">
        <v>5</v>
      </c>
      <c r="D3491" s="2">
        <v>100</v>
      </c>
      <c r="E3491" s="2"/>
      <c r="F3491" s="4" t="str">
        <f>HYPERLINK("./Results/DLO\20191101_1.3.12.2.1107.5.1.4.54310.30000019110621322968700070515_2_512_512_\Osteo_Sarco_1.png","RPT")</f>
        <v>RPT</v>
      </c>
      <c r="G3491" s="3">
        <v>193</v>
      </c>
      <c r="H3491" s="3"/>
    </row>
    <row r="3492" spans="1:8" x14ac:dyDescent="0.3">
      <c r="A3492" s="2">
        <v>9834040</v>
      </c>
      <c r="B3492" s="2">
        <v>77</v>
      </c>
      <c r="C3492" s="2" t="s">
        <v>5</v>
      </c>
      <c r="D3492" s="2">
        <v>100</v>
      </c>
      <c r="E3492" s="2"/>
      <c r="F3492" s="4" t="str">
        <f>HYPERLINK("./Results/DLO\20191101_1.3.12.2.1107.5.1.4.54310.30000019112521162262500000787_4_512_512_\Osteo_Sarco_1.png","RPT")</f>
        <v>RPT</v>
      </c>
      <c r="G3492" s="3">
        <v>144</v>
      </c>
      <c r="H3492" s="3"/>
    </row>
    <row r="3493" spans="1:8" x14ac:dyDescent="0.3">
      <c r="A3493" s="2">
        <v>9834040</v>
      </c>
      <c r="B3493" s="2">
        <v>77</v>
      </c>
      <c r="C3493" s="2" t="s">
        <v>5</v>
      </c>
      <c r="D3493" s="2">
        <v>100</v>
      </c>
      <c r="E3493" s="2"/>
      <c r="F3493" s="4" t="str">
        <f>HYPERLINK("./Results/DLO\20191101_1.3.12.2.1107.5.1.4.54310.30000019112521162262500000467_2_512_512_\Osteo_Sarco_1.png","RPT")</f>
        <v>RPT</v>
      </c>
      <c r="G3493" s="3">
        <v>142</v>
      </c>
      <c r="H3493" s="3"/>
    </row>
    <row r="3494" spans="1:8" x14ac:dyDescent="0.3">
      <c r="A3494" s="2">
        <v>9835015</v>
      </c>
      <c r="B3494" s="2">
        <v>37</v>
      </c>
      <c r="C3494" s="2" t="s">
        <v>5</v>
      </c>
      <c r="D3494" s="2">
        <v>100</v>
      </c>
      <c r="E3494" s="2"/>
      <c r="F3494" s="4" t="str">
        <f>HYPERLINK("./Results/DLO\20191201_1.3.46.670589.33.1.63713121475170043100001.5243764223618219396_201_512_512_\Osteo_Sarco_1.png","RPT")</f>
        <v>RPT</v>
      </c>
      <c r="G3494" s="3">
        <v>174</v>
      </c>
      <c r="H3494" s="3"/>
    </row>
    <row r="3495" spans="1:8" x14ac:dyDescent="0.3">
      <c r="A3495" s="2">
        <v>9837198</v>
      </c>
      <c r="B3495" s="2">
        <v>44</v>
      </c>
      <c r="C3495" s="2" t="s">
        <v>6</v>
      </c>
      <c r="D3495" s="2">
        <v>100</v>
      </c>
      <c r="E3495" s="2"/>
      <c r="F3495" s="4" t="str">
        <f>HYPERLINK("./Results/DLO\20191101_1.2.840.113619.2.416.228330064788718031106281828147036759136_310_512_512_\Osteo_Sarco_1.png","RPT")</f>
        <v>RPT</v>
      </c>
      <c r="G3495" s="3">
        <v>105</v>
      </c>
      <c r="H3495" s="3"/>
    </row>
    <row r="3496" spans="1:8" x14ac:dyDescent="0.3">
      <c r="A3496" s="2">
        <v>9838226</v>
      </c>
      <c r="B3496" s="2">
        <v>71</v>
      </c>
      <c r="C3496" s="2" t="s">
        <v>6</v>
      </c>
      <c r="D3496" s="2">
        <v>100</v>
      </c>
      <c r="E3496" s="2"/>
      <c r="F3496" s="4" t="str">
        <f>HYPERLINK("./Results/DLO\20191101_1.2.840.113619.2.416.277597838875436572900990895221757144278_310_512_512_\Osteo_Sarco_1.png","RPT")</f>
        <v>RPT</v>
      </c>
      <c r="G3496" s="3">
        <v>108</v>
      </c>
      <c r="H3496" s="3"/>
    </row>
    <row r="3497" spans="1:8" x14ac:dyDescent="0.3">
      <c r="A3497" s="2">
        <v>9839224</v>
      </c>
      <c r="B3497" s="2">
        <v>68</v>
      </c>
      <c r="C3497" s="2" t="s">
        <v>6</v>
      </c>
      <c r="D3497" s="2">
        <v>140</v>
      </c>
      <c r="E3497" s="2"/>
      <c r="F3497" s="4" t="str">
        <f>HYPERLINK("./Results/DLO\20191101_1.2.840.113619.2.416.266544596303639833980691571081374263124_301_512_512_\Osteo_Sarco_1.png","RPT")</f>
        <v>RPT</v>
      </c>
      <c r="G3497" s="3">
        <v>94</v>
      </c>
      <c r="H3497" s="3"/>
    </row>
    <row r="3498" spans="1:8" x14ac:dyDescent="0.3">
      <c r="A3498" s="2">
        <v>9839224</v>
      </c>
      <c r="B3498" s="2">
        <v>68</v>
      </c>
      <c r="C3498" s="2" t="s">
        <v>6</v>
      </c>
      <c r="D3498" s="2">
        <v>140</v>
      </c>
      <c r="E3498" s="2"/>
      <c r="F3498" s="4" t="str">
        <f>HYPERLINK("./Results/DLO\20191101_1.2.840.113619.2.416.250381317185997475260434721668617835109_304_512_512_\Osteo_Sarco_1.png","RPT")</f>
        <v>RPT</v>
      </c>
      <c r="G3498" s="3">
        <v>70</v>
      </c>
      <c r="H3498" s="3"/>
    </row>
    <row r="3499" spans="1:8" x14ac:dyDescent="0.3">
      <c r="A3499" s="2">
        <v>9839224</v>
      </c>
      <c r="B3499" s="2">
        <v>68</v>
      </c>
      <c r="C3499" s="2" t="s">
        <v>6</v>
      </c>
      <c r="D3499" s="2">
        <v>140</v>
      </c>
      <c r="E3499" s="2"/>
      <c r="F3499" s="4" t="str">
        <f>HYPERLINK("./Results/DLO\20191101_1.2.840.113619.2.416.86354356620531993878842257607374673254_303_512_512_\Osteo_Sarco_1.png","RPT")</f>
        <v>RPT</v>
      </c>
      <c r="G3499" s="3">
        <v>66</v>
      </c>
      <c r="H3499" s="3"/>
    </row>
    <row r="3500" spans="1:8" x14ac:dyDescent="0.3">
      <c r="A3500" s="2">
        <v>9839344</v>
      </c>
      <c r="B3500" s="2">
        <v>37</v>
      </c>
      <c r="C3500" s="2" t="s">
        <v>5</v>
      </c>
      <c r="D3500" s="2">
        <v>100</v>
      </c>
      <c r="E3500" s="2"/>
      <c r="F3500" s="4" t="str">
        <f>HYPERLINK("./Results/DLO\20191101_1.3.12.2.1107.5.1.4.54310.30000019112821370418700000751_2_512_512_\Osteo_Sarco_1.png","RPT")</f>
        <v>RPT</v>
      </c>
      <c r="G3500" s="3">
        <v>167</v>
      </c>
      <c r="H3500" s="3"/>
    </row>
    <row r="3501" spans="1:8" x14ac:dyDescent="0.3">
      <c r="A3501" s="2">
        <v>9840327</v>
      </c>
      <c r="B3501" s="2">
        <v>45</v>
      </c>
      <c r="C3501" s="2" t="s">
        <v>6</v>
      </c>
      <c r="D3501" s="2">
        <v>100</v>
      </c>
      <c r="E3501" s="2"/>
      <c r="F3501" s="4" t="str">
        <f>HYPERLINK("./Results/DLO\20191101_1.2.840.113619.2.416.165932418533477488080651505982937581186_310_512_512_\Osteo_Sarco_1.png","RPT")</f>
        <v>RPT</v>
      </c>
      <c r="G3501" s="3">
        <v>113</v>
      </c>
      <c r="H3501" s="3"/>
    </row>
    <row r="3502" spans="1:8" x14ac:dyDescent="0.3">
      <c r="A3502" s="2">
        <v>9843392</v>
      </c>
      <c r="B3502" s="2">
        <v>59</v>
      </c>
      <c r="C3502" s="2" t="s">
        <v>5</v>
      </c>
      <c r="D3502" s="2">
        <v>100</v>
      </c>
      <c r="E3502" s="2"/>
      <c r="F3502" s="4" t="str">
        <f>HYPERLINK("./Results/DLO\20191101_1.3.12.2.1107.5.1.4.65253.30000019111418062746000046606_2_512_512_\Osteo_Sarco_1.png","RPT")</f>
        <v>RPT</v>
      </c>
      <c r="G3502" s="3">
        <v>155</v>
      </c>
      <c r="H3502" s="3"/>
    </row>
    <row r="3503" spans="1:8" x14ac:dyDescent="0.3">
      <c r="A3503" s="2">
        <v>9843422</v>
      </c>
      <c r="B3503" s="2">
        <v>40</v>
      </c>
      <c r="C3503" s="2" t="s">
        <v>5</v>
      </c>
      <c r="D3503" s="2">
        <v>140</v>
      </c>
      <c r="E3503" s="2"/>
      <c r="F3503" s="4" t="str">
        <f>HYPERLINK("./Results/DLO\20191201_1.2.840.113619.2.416.138392757624419813458479849643999707462_2_512_512_\Osteo_Sarco_1.png","RPT")</f>
        <v>RPT</v>
      </c>
      <c r="G3503" s="3">
        <v>192</v>
      </c>
      <c r="H3503" s="3"/>
    </row>
    <row r="3504" spans="1:8" x14ac:dyDescent="0.3">
      <c r="A3504" s="2">
        <v>9843422</v>
      </c>
      <c r="B3504" s="2">
        <v>40</v>
      </c>
      <c r="C3504" s="2" t="s">
        <v>5</v>
      </c>
      <c r="D3504" s="2">
        <v>140</v>
      </c>
      <c r="E3504" s="2"/>
      <c r="F3504" s="4" t="str">
        <f>HYPERLINK("./Results/DLO\20191201_1.2.840.113619.2.416.17441119119428627862612704215486949541_306_512_512_\Osteo_Sarco_1.png","RPT")</f>
        <v>RPT</v>
      </c>
      <c r="G3504" s="3">
        <v>192</v>
      </c>
      <c r="H3504" s="3"/>
    </row>
    <row r="3505" spans="1:8" x14ac:dyDescent="0.3">
      <c r="A3505" s="2">
        <v>9843422</v>
      </c>
      <c r="B3505" s="2">
        <v>40</v>
      </c>
      <c r="C3505" s="2" t="s">
        <v>5</v>
      </c>
      <c r="D3505" s="2">
        <v>140</v>
      </c>
      <c r="E3505" s="2"/>
      <c r="F3505" s="4" t="str">
        <f>HYPERLINK("./Results/DLO\20191201_1.2.840.113619.2.416.199153907023607398991909320561037007851_303_512_512_\Osteo_Sarco_1.png","RPT")</f>
        <v>RPT</v>
      </c>
      <c r="G3505" s="3">
        <v>191</v>
      </c>
      <c r="H3505" s="3"/>
    </row>
    <row r="3506" spans="1:8" x14ac:dyDescent="0.3">
      <c r="A3506" s="2">
        <v>9843422</v>
      </c>
      <c r="B3506" s="2">
        <v>40</v>
      </c>
      <c r="C3506" s="2" t="s">
        <v>5</v>
      </c>
      <c r="D3506" s="2">
        <v>140</v>
      </c>
      <c r="E3506" s="2"/>
      <c r="F3506" s="4" t="str">
        <f>HYPERLINK("./Results/DLO\20191201_1.2.840.113619.2.416.252559535814655746147947892541863777892_301_512_512_\Osteo_Sarco_1.png","RPT")</f>
        <v>RPT</v>
      </c>
      <c r="G3506" s="3">
        <v>189</v>
      </c>
      <c r="H3506" s="3"/>
    </row>
    <row r="3507" spans="1:8" x14ac:dyDescent="0.3">
      <c r="A3507" s="2">
        <v>9843428</v>
      </c>
      <c r="B3507" s="2">
        <v>55</v>
      </c>
      <c r="C3507" s="2" t="s">
        <v>5</v>
      </c>
      <c r="D3507" s="2">
        <v>100</v>
      </c>
      <c r="E3507" s="2"/>
      <c r="F3507" s="4" t="str">
        <f>HYPERLINK("./Results/DLO\20191201_1.3.46.670589.33.1.63711910836352357500001.4683200484931882393_201_512_512_\Osteo_Sarco_1.png","RPT")</f>
        <v>RPT</v>
      </c>
      <c r="G3507" s="3">
        <v>142</v>
      </c>
      <c r="H3507" s="3"/>
    </row>
    <row r="3508" spans="1:8" x14ac:dyDescent="0.3">
      <c r="A3508" s="2">
        <v>9844369</v>
      </c>
      <c r="B3508" s="2">
        <v>32</v>
      </c>
      <c r="C3508" s="2" t="s">
        <v>6</v>
      </c>
      <c r="D3508" s="2">
        <v>100</v>
      </c>
      <c r="E3508" s="2"/>
      <c r="F3508" s="4" t="str">
        <f>HYPERLINK("./Results/DLO\20191101_1.2.840.113619.2.416.330998339567574467322175224707135373238_310_512_512_\Osteo_Sarco_1.png","RPT")</f>
        <v>RPT</v>
      </c>
      <c r="G3508" s="3">
        <v>102</v>
      </c>
      <c r="H3508" s="3"/>
    </row>
    <row r="3509" spans="1:8" x14ac:dyDescent="0.3">
      <c r="A3509" s="2">
        <v>9844479</v>
      </c>
      <c r="B3509" s="2">
        <v>46</v>
      </c>
      <c r="C3509" s="2" t="s">
        <v>6</v>
      </c>
      <c r="D3509" s="2">
        <v>140</v>
      </c>
      <c r="E3509" s="2"/>
      <c r="F3509" s="4" t="str">
        <f>HYPERLINK("./Results/DLO\20191101_1.2.840.113619.2.416.236989088711872215202797930152522332249_304_512_512_\Osteo_Sarco_1.png","RPT")</f>
        <v>RPT</v>
      </c>
      <c r="G3509" s="3">
        <v>124</v>
      </c>
      <c r="H3509" s="3"/>
    </row>
    <row r="3510" spans="1:8" x14ac:dyDescent="0.3">
      <c r="A3510" s="2">
        <v>9844479</v>
      </c>
      <c r="B3510" s="2">
        <v>46</v>
      </c>
      <c r="C3510" s="2" t="s">
        <v>6</v>
      </c>
      <c r="D3510" s="2">
        <v>140</v>
      </c>
      <c r="E3510" s="2"/>
      <c r="F3510" s="4" t="str">
        <f>HYPERLINK("./Results/DLO\20191101_1.2.840.113619.2.416.68280319040028890167470215460928594224_301_512_512_\Osteo_Sarco_1.png","RPT")</f>
        <v>RPT</v>
      </c>
      <c r="G3510" s="3">
        <v>120</v>
      </c>
      <c r="H3510" s="3"/>
    </row>
    <row r="3511" spans="1:8" x14ac:dyDescent="0.3">
      <c r="A3511" s="2">
        <v>9844479</v>
      </c>
      <c r="B3511" s="2">
        <v>46</v>
      </c>
      <c r="C3511" s="2" t="s">
        <v>6</v>
      </c>
      <c r="D3511" s="2">
        <v>140</v>
      </c>
      <c r="E3511" s="2"/>
      <c r="F3511" s="4" t="str">
        <f>HYPERLINK("./Results/DLO\20191101_1.2.840.113619.2.416.207482768057575730481778182107043508045_303_512_512_\Osteo_Sarco_1.png","RPT")</f>
        <v>RPT</v>
      </c>
      <c r="G3511" s="3">
        <v>111</v>
      </c>
      <c r="H3511" s="3"/>
    </row>
    <row r="3512" spans="1:8" x14ac:dyDescent="0.3">
      <c r="A3512" s="2">
        <v>9850610</v>
      </c>
      <c r="B3512" s="2">
        <v>81</v>
      </c>
      <c r="C3512" s="2" t="s">
        <v>5</v>
      </c>
      <c r="D3512" s="2">
        <v>100</v>
      </c>
      <c r="E3512" s="2"/>
      <c r="F3512" s="4" t="str">
        <f>HYPERLINK("./Results/DLO\20200601_1.3.12.2.1107.5.1.4.54310.30000020062222191839000044216_2_512_512_\Osteo_Sarco_1.png","RPT")</f>
        <v>RPT</v>
      </c>
      <c r="G3512" s="3">
        <v>96</v>
      </c>
      <c r="H3512" s="3"/>
    </row>
    <row r="3513" spans="1:8" x14ac:dyDescent="0.3">
      <c r="A3513" s="2">
        <v>9850610</v>
      </c>
      <c r="B3513" s="2">
        <v>81</v>
      </c>
      <c r="C3513" s="2" t="s">
        <v>5</v>
      </c>
      <c r="D3513" s="2">
        <v>100</v>
      </c>
      <c r="E3513" s="2"/>
      <c r="F3513" s="4" t="str">
        <f>HYPERLINK("./Results/DLO\20200601_1.3.12.2.1107.5.1.4.54310.30000020062222191839000045006_9_512_512_\Osteo_Sarco_1.png","RPT")</f>
        <v>RPT</v>
      </c>
      <c r="G3513" s="3">
        <v>63</v>
      </c>
      <c r="H3513" s="3"/>
    </row>
    <row r="3514" spans="1:8" x14ac:dyDescent="0.3">
      <c r="A3514" s="2">
        <v>9850610</v>
      </c>
      <c r="B3514" s="2">
        <v>81</v>
      </c>
      <c r="C3514" s="2" t="s">
        <v>5</v>
      </c>
      <c r="D3514" s="2">
        <v>100</v>
      </c>
      <c r="E3514" s="2"/>
      <c r="F3514" s="4" t="str">
        <f>HYPERLINK("./Results/DLO\20200601_1.3.12.2.1107.5.1.4.54310.30000020062222191839000044706_7_512_512_\Osteo_Sarco_1.png","RPT")</f>
        <v>RPT</v>
      </c>
      <c r="G3514" s="3">
        <v>59</v>
      </c>
      <c r="H3514" s="3"/>
    </row>
    <row r="3515" spans="1:8" x14ac:dyDescent="0.3">
      <c r="A3515" s="2">
        <v>9850610</v>
      </c>
      <c r="B3515" s="2">
        <v>81</v>
      </c>
      <c r="C3515" s="2" t="s">
        <v>5</v>
      </c>
      <c r="D3515" s="2">
        <v>100</v>
      </c>
      <c r="E3515" s="2"/>
      <c r="F3515" s="4" t="str">
        <f>HYPERLINK("./Results/DLO\20200601_1.3.12.2.1107.5.1.4.54310.30000020062222191839000044314_5_512_512_\Osteo_Sarco_1.png","RPT")</f>
        <v>RPT</v>
      </c>
      <c r="G3515" s="3">
        <v>8</v>
      </c>
      <c r="H3515" s="3"/>
    </row>
    <row r="3516" spans="1:8" x14ac:dyDescent="0.3">
      <c r="A3516" s="2">
        <v>9851504</v>
      </c>
      <c r="B3516" s="2">
        <v>45</v>
      </c>
      <c r="C3516" s="2" t="s">
        <v>6</v>
      </c>
      <c r="D3516" s="2">
        <v>100</v>
      </c>
      <c r="E3516" s="2"/>
      <c r="F3516" s="4" t="str">
        <f>HYPERLINK("./Results/DLO\20191101_1.2.840.113619.2.416.248011718704473119366885865136332055559_310_512_512_\Osteo_Sarco_1.png","RPT")</f>
        <v>RPT</v>
      </c>
      <c r="G3516" s="3">
        <v>109</v>
      </c>
      <c r="H3516" s="3"/>
    </row>
    <row r="3517" spans="1:8" x14ac:dyDescent="0.3">
      <c r="A3517" s="2">
        <v>9852335</v>
      </c>
      <c r="B3517" s="2">
        <v>58</v>
      </c>
      <c r="C3517" s="2" t="s">
        <v>6</v>
      </c>
      <c r="D3517" s="2">
        <v>100</v>
      </c>
      <c r="E3517" s="2"/>
      <c r="F3517" s="4" t="str">
        <f>HYPERLINK("./Results/DLO\20191101_1.2.840.113619.2.416.278272186728087961951062854446878500532_310_512_512_\Osteo_Sarco_1.png","RPT")</f>
        <v>RPT</v>
      </c>
      <c r="G3517" s="3">
        <v>118</v>
      </c>
      <c r="H3517" s="3"/>
    </row>
    <row r="3518" spans="1:8" x14ac:dyDescent="0.3">
      <c r="A3518" s="2">
        <v>9853914</v>
      </c>
      <c r="B3518" s="2">
        <v>66</v>
      </c>
      <c r="C3518" s="2" t="s">
        <v>5</v>
      </c>
      <c r="D3518" s="2">
        <v>100</v>
      </c>
      <c r="E3518" s="2"/>
      <c r="F3518" s="4" t="str">
        <f>HYPERLINK("./Results/DLO\20191201_1.3.46.670589.33.1.63711049804469782900001.4627041820548518348_601_512_512_\Osteo_Sarco_1.png","RPT")</f>
        <v>RPT</v>
      </c>
      <c r="G3518" s="3">
        <v>157</v>
      </c>
      <c r="H3518" s="3"/>
    </row>
    <row r="3519" spans="1:8" x14ac:dyDescent="0.3">
      <c r="A3519" s="2">
        <v>9854078</v>
      </c>
      <c r="B3519" s="2">
        <v>40</v>
      </c>
      <c r="C3519" s="2" t="s">
        <v>6</v>
      </c>
      <c r="D3519" s="2">
        <v>100</v>
      </c>
      <c r="E3519" s="2"/>
      <c r="F3519" s="4" t="str">
        <f>HYPERLINK("./Results/DLO\20191201_1.3.46.670589.33.1.63710898611286712000001.5116461671438736136_701_512_512_\Osteo_Sarco_1.png","RPT")</f>
        <v>RPT</v>
      </c>
      <c r="G3519" s="3">
        <v>98</v>
      </c>
      <c r="H3519" s="3"/>
    </row>
    <row r="3520" spans="1:8" x14ac:dyDescent="0.3">
      <c r="A3520" s="2">
        <v>9854078</v>
      </c>
      <c r="B3520" s="2">
        <v>40</v>
      </c>
      <c r="C3520" s="2" t="s">
        <v>6</v>
      </c>
      <c r="D3520" s="2">
        <v>100</v>
      </c>
      <c r="E3520" s="2"/>
      <c r="F3520" s="4" t="str">
        <f>HYPERLINK("./Results/DLO\20191201_1.3.46.670589.33.1.63710898456250844400001.5715816216285327833_501_512_512_\Osteo_Sarco_1.png","RPT")</f>
        <v>RPT</v>
      </c>
      <c r="G3520" s="3">
        <v>97</v>
      </c>
      <c r="H3520" s="3"/>
    </row>
    <row r="3521" spans="1:8" x14ac:dyDescent="0.3">
      <c r="A3521" s="2">
        <v>9854078</v>
      </c>
      <c r="B3521" s="2">
        <v>40</v>
      </c>
      <c r="C3521" s="2" t="s">
        <v>6</v>
      </c>
      <c r="D3521" s="2">
        <v>100</v>
      </c>
      <c r="E3521" s="2"/>
      <c r="F3521" s="4" t="str">
        <f>HYPERLINK("./Results/DLO\20191201_1.3.46.670589.33.1.63710898510724960200001.5036295447670102634_601_512_512_\Osteo_Sarco_1.png","RPT")</f>
        <v>RPT</v>
      </c>
      <c r="G3521" s="3">
        <v>96</v>
      </c>
      <c r="H3521" s="3"/>
    </row>
    <row r="3522" spans="1:8" x14ac:dyDescent="0.3">
      <c r="A3522" s="2">
        <v>9854078</v>
      </c>
      <c r="B3522" s="2">
        <v>40</v>
      </c>
      <c r="C3522" s="2" t="s">
        <v>6</v>
      </c>
      <c r="D3522" s="2">
        <v>100</v>
      </c>
      <c r="E3522" s="2"/>
      <c r="F3522" s="4" t="str">
        <f>HYPERLINK("./Results/DLO\20191201_1.3.46.670589.33.1.63710898354030997800001.5330313058770449455_201_512_512_\Osteo_Sarco_1.png","RPT")</f>
        <v>RPT</v>
      </c>
      <c r="G3522" s="3">
        <v>95</v>
      </c>
      <c r="H3522" s="3"/>
    </row>
    <row r="3523" spans="1:8" x14ac:dyDescent="0.3">
      <c r="A3523" s="2">
        <v>9856487</v>
      </c>
      <c r="B3523" s="2">
        <v>78</v>
      </c>
      <c r="C3523" s="2" t="s">
        <v>6</v>
      </c>
      <c r="D3523" s="2">
        <v>140</v>
      </c>
      <c r="E3523" s="2"/>
      <c r="F3523" s="4" t="str">
        <f>HYPERLINK("./Results/DLO\20200101_1.2.840.113619.2.416.132170227767367582867388257213796670937_302_512_512_\Osteo_Sarco_1.png","RPT")</f>
        <v>RPT</v>
      </c>
      <c r="G3523" s="3">
        <v>94</v>
      </c>
      <c r="H3523" s="3"/>
    </row>
    <row r="3524" spans="1:8" x14ac:dyDescent="0.3">
      <c r="A3524" s="2">
        <v>9856487</v>
      </c>
      <c r="B3524" s="2">
        <v>78</v>
      </c>
      <c r="C3524" s="2" t="s">
        <v>6</v>
      </c>
      <c r="D3524" s="2">
        <v>120</v>
      </c>
      <c r="E3524" s="2"/>
      <c r="F3524" s="4" t="str">
        <f>HYPERLINK("./Results/DLO\20200101_1.2.840.113619.2.416.77774913476859426476665582288583938516_2_512_512_\Osteo_Sarco_1.png","RPT")</f>
        <v>RPT</v>
      </c>
      <c r="G3524" s="3">
        <v>93</v>
      </c>
      <c r="H3524" s="3"/>
    </row>
    <row r="3525" spans="1:8" x14ac:dyDescent="0.3">
      <c r="A3525" s="2">
        <v>9856514</v>
      </c>
      <c r="B3525" s="2">
        <v>35</v>
      </c>
      <c r="C3525" s="2" t="s">
        <v>6</v>
      </c>
      <c r="D3525" s="2">
        <v>140</v>
      </c>
      <c r="E3525" s="2"/>
      <c r="F3525" s="4" t="str">
        <f>HYPERLINK("./Results/DLO\20191201_1.2.840.113619.2.416.122182593574005278727463283054038307429_303_512_512_\Osteo_Sarco_1.png","RPT")</f>
        <v>RPT</v>
      </c>
      <c r="G3525" s="3">
        <v>135</v>
      </c>
      <c r="H3525" s="3"/>
    </row>
    <row r="3526" spans="1:8" x14ac:dyDescent="0.3">
      <c r="A3526" s="2">
        <v>9856514</v>
      </c>
      <c r="B3526" s="2">
        <v>35</v>
      </c>
      <c r="C3526" s="2" t="s">
        <v>6</v>
      </c>
      <c r="D3526" s="2">
        <v>140</v>
      </c>
      <c r="E3526" s="2"/>
      <c r="F3526" s="4" t="str">
        <f>HYPERLINK("./Results/DLO\20191201_1.2.840.113619.2.416.232024374449477986934326777691051259243_302_512_512_\Osteo_Sarco_1.png","RPT")</f>
        <v>RPT</v>
      </c>
      <c r="G3526" s="3">
        <v>135</v>
      </c>
      <c r="H3526" s="3"/>
    </row>
    <row r="3527" spans="1:8" x14ac:dyDescent="0.3">
      <c r="A3527" s="2">
        <v>9859413</v>
      </c>
      <c r="B3527" s="2">
        <v>56</v>
      </c>
      <c r="C3527" s="2" t="s">
        <v>5</v>
      </c>
      <c r="D3527" s="2">
        <v>140</v>
      </c>
      <c r="E3527" s="2"/>
      <c r="F3527" s="4" t="str">
        <f>HYPERLINK("./Results/DLO\20191201_1.2.840.113619.2.416.249193587514752265638466361247379038963_304_512_512_\Osteo_Sarco_1.png","RPT")</f>
        <v>RPT</v>
      </c>
      <c r="G3527" s="3">
        <v>151</v>
      </c>
      <c r="H3527" s="3"/>
    </row>
    <row r="3528" spans="1:8" x14ac:dyDescent="0.3">
      <c r="A3528" s="2">
        <v>9859413</v>
      </c>
      <c r="B3528" s="2">
        <v>56</v>
      </c>
      <c r="C3528" s="2" t="s">
        <v>5</v>
      </c>
      <c r="D3528" s="2">
        <v>140</v>
      </c>
      <c r="E3528" s="2"/>
      <c r="F3528" s="4" t="str">
        <f>HYPERLINK("./Results/DLO\20191201_1.2.840.113619.2.416.19221782754664131917269779094038345925_301_512_512_\Osteo_Sarco_1.png","RPT")</f>
        <v>RPT</v>
      </c>
      <c r="G3528" s="3">
        <v>147</v>
      </c>
      <c r="H3528" s="3"/>
    </row>
    <row r="3529" spans="1:8" x14ac:dyDescent="0.3">
      <c r="A3529" s="2">
        <v>9859413</v>
      </c>
      <c r="B3529" s="2">
        <v>56</v>
      </c>
      <c r="C3529" s="2" t="s">
        <v>5</v>
      </c>
      <c r="D3529" s="2">
        <v>140</v>
      </c>
      <c r="E3529" s="2"/>
      <c r="F3529" s="4" t="str">
        <f>HYPERLINK("./Results/DLO\20191201_1.2.840.113619.2.416.39946084440859715205748740922743520374_303_512_512_\Osteo_Sarco_1.png","RPT")</f>
        <v>RPT</v>
      </c>
      <c r="G3529" s="3">
        <v>147</v>
      </c>
      <c r="H3529" s="3"/>
    </row>
    <row r="3530" spans="1:8" x14ac:dyDescent="0.3">
      <c r="A3530" s="2">
        <v>9860299</v>
      </c>
      <c r="B3530" s="2">
        <v>66</v>
      </c>
      <c r="C3530" s="2" t="s">
        <v>6</v>
      </c>
      <c r="D3530" s="2">
        <v>100</v>
      </c>
      <c r="E3530" s="2"/>
      <c r="F3530" s="4" t="str">
        <f>HYPERLINK("./Results/DLO\20191201_1.2.410.100011.172.24.16.221.6371218414650501061.4_4_512_512_\Osteo_Sarco_1.png","RPT")</f>
        <v>RPT</v>
      </c>
      <c r="G3530" s="3">
        <v>112</v>
      </c>
      <c r="H3530" s="3"/>
    </row>
    <row r="3531" spans="1:8" x14ac:dyDescent="0.3">
      <c r="A3531" s="2">
        <v>9860299</v>
      </c>
      <c r="B3531" s="2">
        <v>66</v>
      </c>
      <c r="C3531" s="2" t="s">
        <v>6</v>
      </c>
      <c r="D3531" s="2">
        <v>100</v>
      </c>
      <c r="E3531" s="2"/>
      <c r="F3531" s="4" t="str">
        <f>HYPERLINK("./Results/DLO\20191201_1.2.410.100011.172.24.16.221.6371218414650501061.3_3_512_512_\Osteo_Sarco_1.png","RPT")</f>
        <v>RPT</v>
      </c>
      <c r="G3531" s="3">
        <v>108</v>
      </c>
      <c r="H3531" s="3"/>
    </row>
    <row r="3532" spans="1:8" x14ac:dyDescent="0.3">
      <c r="A3532" s="2">
        <v>9860301</v>
      </c>
      <c r="B3532" s="2">
        <v>62</v>
      </c>
      <c r="C3532" s="2" t="s">
        <v>5</v>
      </c>
      <c r="D3532" s="2">
        <v>100</v>
      </c>
      <c r="E3532" s="2"/>
      <c r="F3532" s="4" t="str">
        <f>HYPERLINK("./Results/DLO\20191201_1.3.12.2.1107.5.1.4.54310.30000019120222244193700077824_6_512_512_\Osteo_Sarco_1.png","RPT")</f>
        <v>RPT</v>
      </c>
      <c r="G3532" s="3">
        <v>184</v>
      </c>
      <c r="H3532" s="3"/>
    </row>
    <row r="3533" spans="1:8" x14ac:dyDescent="0.3">
      <c r="A3533" s="2">
        <v>9860301</v>
      </c>
      <c r="B3533" s="2">
        <v>62</v>
      </c>
      <c r="C3533" s="2" t="s">
        <v>5</v>
      </c>
      <c r="D3533" s="2">
        <v>100</v>
      </c>
      <c r="E3533" s="2"/>
      <c r="F3533" s="4" t="str">
        <f>HYPERLINK("./Results/DLO\20191201_1.3.12.2.1107.5.1.4.54310.30000019120222244193700077379_4_512_512_\Osteo_Sarco_1.png","RPT")</f>
        <v>RPT</v>
      </c>
      <c r="G3533" s="3">
        <v>155</v>
      </c>
      <c r="H3533" s="3"/>
    </row>
    <row r="3534" spans="1:8" x14ac:dyDescent="0.3">
      <c r="A3534" s="2">
        <v>9862742</v>
      </c>
      <c r="B3534" s="2">
        <v>64</v>
      </c>
      <c r="C3534" s="2" t="s">
        <v>5</v>
      </c>
      <c r="D3534" s="2">
        <v>120</v>
      </c>
      <c r="E3534" s="2"/>
      <c r="F3534" s="4" t="str">
        <f>HYPERLINK("./Results/DLO\20191201_1.2.410.100011.172.16.44.21.6371107262238108142.1_1_512_512_\Osteo_Sarco_1.png","RPT")</f>
        <v>RPT</v>
      </c>
      <c r="G3534" s="3">
        <v>144</v>
      </c>
      <c r="H3534" s="3"/>
    </row>
    <row r="3535" spans="1:8" x14ac:dyDescent="0.3">
      <c r="A3535" s="2">
        <v>9862742</v>
      </c>
      <c r="B3535" s="2">
        <v>64</v>
      </c>
      <c r="C3535" s="2" t="s">
        <v>5</v>
      </c>
      <c r="D3535" s="2">
        <v>120</v>
      </c>
      <c r="E3535" s="2"/>
      <c r="F3535" s="4" t="str">
        <f>HYPERLINK("./Results/DLO\20191201_1.2.410.100011.172.16.44.21.6371107262238208153.2_2_512_512_\Osteo_Sarco_1.png","RPT")</f>
        <v>RPT</v>
      </c>
      <c r="G3535" s="3">
        <v>142</v>
      </c>
      <c r="H3535" s="3"/>
    </row>
    <row r="3536" spans="1:8" x14ac:dyDescent="0.3">
      <c r="A3536" s="2">
        <v>9862843</v>
      </c>
      <c r="B3536" s="2">
        <v>62</v>
      </c>
      <c r="C3536" s="2" t="s">
        <v>5</v>
      </c>
      <c r="D3536" s="2">
        <v>120</v>
      </c>
      <c r="E3536" s="2"/>
      <c r="F3536" s="4" t="str">
        <f>HYPERLINK("./Results/DLO\20191201_1.2.410.100011.172.24.16.221.6371148137800736712.8_8_512_512_\Osteo_Sarco_1.png","RPT")</f>
        <v>RPT</v>
      </c>
      <c r="G3536" s="3">
        <v>179</v>
      </c>
      <c r="H3536" s="3"/>
    </row>
    <row r="3537" spans="1:8" x14ac:dyDescent="0.3">
      <c r="A3537" s="2">
        <v>9862843</v>
      </c>
      <c r="B3537" s="2">
        <v>62</v>
      </c>
      <c r="C3537" s="2" t="s">
        <v>5</v>
      </c>
      <c r="D3537" s="2">
        <v>120</v>
      </c>
      <c r="E3537" s="2"/>
      <c r="F3537" s="4" t="str">
        <f>HYPERLINK("./Results/DLO\20191201_1.2.410.100011.172.24.16.221.6371148137800736712.2_2_512_512_\Osteo_Sarco_1.png","RPT")</f>
        <v>RPT</v>
      </c>
      <c r="G3537" s="3">
        <v>166</v>
      </c>
      <c r="H3537" s="3"/>
    </row>
    <row r="3538" spans="1:8" x14ac:dyDescent="0.3">
      <c r="A3538" s="2">
        <v>9862843</v>
      </c>
      <c r="B3538" s="2">
        <v>62</v>
      </c>
      <c r="C3538" s="2" t="s">
        <v>5</v>
      </c>
      <c r="D3538" s="2">
        <v>120</v>
      </c>
      <c r="E3538" s="2"/>
      <c r="F3538" s="4" t="str">
        <f>HYPERLINK("./Results/DLO\20191201_1.2.410.100011.172.24.16.221.6371148137800736712.4_4_512_512_\Osteo_Sarco_1.png","RPT")</f>
        <v>RPT</v>
      </c>
      <c r="G3538" s="3">
        <v>165</v>
      </c>
      <c r="H3538" s="3"/>
    </row>
    <row r="3539" spans="1:8" x14ac:dyDescent="0.3">
      <c r="A3539" s="2">
        <v>9862843</v>
      </c>
      <c r="B3539" s="2">
        <v>62</v>
      </c>
      <c r="C3539" s="2" t="s">
        <v>5</v>
      </c>
      <c r="D3539" s="2">
        <v>120</v>
      </c>
      <c r="E3539" s="2"/>
      <c r="F3539" s="4" t="str">
        <f>HYPERLINK("./Results/DLO\20191201_1.2.410.100011.172.24.16.221.6371148137800736712.3_3_512_512_\Osteo_Sarco_1.png","RPT")</f>
        <v>RPT</v>
      </c>
      <c r="G3539" s="3">
        <v>164</v>
      </c>
      <c r="H3539" s="3"/>
    </row>
    <row r="3540" spans="1:8" x14ac:dyDescent="0.3">
      <c r="A3540" s="2">
        <v>9862882</v>
      </c>
      <c r="B3540" s="2">
        <v>27</v>
      </c>
      <c r="C3540" s="2" t="s">
        <v>5</v>
      </c>
      <c r="D3540" s="2">
        <v>120</v>
      </c>
      <c r="E3540" s="2"/>
      <c r="F3540" s="4" t="str">
        <f>HYPERLINK("./Results/DLO\20191101_1.2.410.100011.172.16.68.114.6371278936555193733.3_3_512_512_\Osteo_Sarco_1.png","RPT")</f>
        <v>RPT</v>
      </c>
      <c r="G3540" s="3">
        <v>133</v>
      </c>
      <c r="H3540" s="3"/>
    </row>
    <row r="3541" spans="1:8" x14ac:dyDescent="0.3">
      <c r="A3541" s="2">
        <v>9862882</v>
      </c>
      <c r="B3541" s="2">
        <v>27</v>
      </c>
      <c r="C3541" s="2" t="s">
        <v>5</v>
      </c>
      <c r="D3541" s="2">
        <v>120</v>
      </c>
      <c r="E3541" s="2"/>
      <c r="F3541" s="4" t="str">
        <f>HYPERLINK("./Results/DLO\20191101_1.2.410.100011.172.16.68.114.6371278936555193733.2_2_512_512_\Osteo_Sarco_1.png","RPT")</f>
        <v>RPT</v>
      </c>
      <c r="G3541" s="3">
        <v>131</v>
      </c>
      <c r="H3541" s="3"/>
    </row>
    <row r="3542" spans="1:8" x14ac:dyDescent="0.3">
      <c r="A3542" s="2">
        <v>9863353</v>
      </c>
      <c r="B3542" s="2">
        <v>64</v>
      </c>
      <c r="C3542" s="2" t="s">
        <v>5</v>
      </c>
      <c r="D3542" s="2">
        <v>100</v>
      </c>
      <c r="E3542" s="2"/>
      <c r="F3542" s="4" t="str">
        <f>HYPERLINK("./Results/DLO\20191201_1.2.410.100011.172.24.16.220.6371234156833306522.2_2_512_512_\Osteo_Sarco_1.png","RPT")</f>
        <v>RPT</v>
      </c>
      <c r="G3542" s="3">
        <v>178</v>
      </c>
      <c r="H3542" s="3"/>
    </row>
    <row r="3543" spans="1:8" x14ac:dyDescent="0.3">
      <c r="A3543" s="2">
        <v>9863353</v>
      </c>
      <c r="B3543" s="2">
        <v>64</v>
      </c>
      <c r="C3543" s="2" t="s">
        <v>5</v>
      </c>
      <c r="D3543" s="2">
        <v>120</v>
      </c>
      <c r="E3543" s="2"/>
      <c r="F3543" s="4" t="str">
        <f>HYPERLINK("./Results/DLO\20191201_1.2.410.100011.172.24.16.220.6371234156833306522.6_6_512_512_\Osteo_Sarco_1.png","RPT")</f>
        <v>RPT</v>
      </c>
      <c r="G3543" s="3">
        <v>177</v>
      </c>
      <c r="H3543" s="3"/>
    </row>
    <row r="3544" spans="1:8" x14ac:dyDescent="0.3">
      <c r="A3544" s="2">
        <v>9863353</v>
      </c>
      <c r="B3544" s="2">
        <v>64</v>
      </c>
      <c r="C3544" s="2" t="s">
        <v>5</v>
      </c>
      <c r="D3544" s="2">
        <v>120</v>
      </c>
      <c r="E3544" s="2"/>
      <c r="F3544" s="4" t="str">
        <f>HYPERLINK("./Results/DLO\20191201_1.2.410.100011.172.24.16.220.6371234156833306522.3_3_512_512_\Osteo_Sarco_1.png","RPT")</f>
        <v>RPT</v>
      </c>
      <c r="G3544" s="3">
        <v>175</v>
      </c>
      <c r="H3544" s="3"/>
    </row>
    <row r="3545" spans="1:8" x14ac:dyDescent="0.3">
      <c r="A3545" s="2">
        <v>9863353</v>
      </c>
      <c r="B3545" s="2">
        <v>64</v>
      </c>
      <c r="C3545" s="2" t="s">
        <v>5</v>
      </c>
      <c r="D3545" s="2">
        <v>120</v>
      </c>
      <c r="E3545" s="2"/>
      <c r="F3545" s="4" t="str">
        <f>HYPERLINK("./Results/DLO\20191201_1.2.410.100011.172.24.16.220.6371234156833306522.4_4_512_512_\Osteo_Sarco_1.png","RPT")</f>
        <v>RPT</v>
      </c>
      <c r="G3545" s="3">
        <v>175</v>
      </c>
      <c r="H3545" s="3"/>
    </row>
    <row r="3546" spans="1:8" x14ac:dyDescent="0.3">
      <c r="A3546" s="2">
        <v>9863353</v>
      </c>
      <c r="B3546" s="2">
        <v>64</v>
      </c>
      <c r="C3546" s="2" t="s">
        <v>5</v>
      </c>
      <c r="D3546" s="2">
        <v>120</v>
      </c>
      <c r="E3546" s="2"/>
      <c r="F3546" s="4" t="str">
        <f>HYPERLINK("./Results/DLO\20191201_1.2.410.100011.172.24.16.220.6371234156833306522.5_5_512_512_\Osteo_Sarco_1.png","RPT")</f>
        <v>RPT</v>
      </c>
      <c r="G3546" s="3">
        <v>157</v>
      </c>
      <c r="H3546" s="3"/>
    </row>
    <row r="3547" spans="1:8" x14ac:dyDescent="0.3">
      <c r="A3547" s="2">
        <v>9863719</v>
      </c>
      <c r="B3547" s="2">
        <v>51</v>
      </c>
      <c r="C3547" s="2" t="s">
        <v>6</v>
      </c>
      <c r="D3547" s="2">
        <v>100</v>
      </c>
      <c r="E3547" s="2"/>
      <c r="F3547" s="4" t="str">
        <f>HYPERLINK("./Results/DLO\20191201_1.2.840.113619.2.416.326426005363077451787127786750940676555_310_512_512_\Osteo_Sarco_1.png","RPT")</f>
        <v>RPT</v>
      </c>
      <c r="G3547" s="3">
        <v>117</v>
      </c>
      <c r="H3547" s="3"/>
    </row>
    <row r="3548" spans="1:8" x14ac:dyDescent="0.3">
      <c r="A3548" s="2">
        <v>9863749</v>
      </c>
      <c r="B3548" s="2">
        <v>68</v>
      </c>
      <c r="C3548" s="2" t="s">
        <v>5</v>
      </c>
      <c r="D3548" s="2">
        <v>100</v>
      </c>
      <c r="E3548" s="2"/>
      <c r="F3548" s="4" t="str">
        <f>HYPERLINK("./Results/DLO\20191201_1.3.12.2.1107.5.1.4.54310.30000019120822065890600063708_6_512_512_\Osteo_Sarco_1.png","RPT")</f>
        <v>RPT</v>
      </c>
      <c r="G3548" s="3">
        <v>132</v>
      </c>
      <c r="H3548" s="3"/>
    </row>
    <row r="3549" spans="1:8" x14ac:dyDescent="0.3">
      <c r="A3549" s="2">
        <v>9863749</v>
      </c>
      <c r="B3549" s="2">
        <v>68</v>
      </c>
      <c r="C3549" s="2" t="s">
        <v>5</v>
      </c>
      <c r="D3549" s="2">
        <v>100</v>
      </c>
      <c r="E3549" s="2"/>
      <c r="F3549" s="4" t="str">
        <f>HYPERLINK("./Results/DLO\20191201_1.3.12.2.1107.5.1.4.54310.30000019120822065890600063239_4_512_512_\Osteo_Sarco_1.png","RPT")</f>
        <v>RPT</v>
      </c>
      <c r="G3549" s="3">
        <v>131</v>
      </c>
      <c r="H3549" s="3"/>
    </row>
    <row r="3550" spans="1:8" x14ac:dyDescent="0.3">
      <c r="A3550" s="2">
        <v>9869766</v>
      </c>
      <c r="B3550" s="2">
        <v>56</v>
      </c>
      <c r="C3550" s="2" t="s">
        <v>6</v>
      </c>
      <c r="D3550" s="2">
        <v>120</v>
      </c>
      <c r="E3550" s="2"/>
      <c r="F3550" s="4" t="str">
        <f>HYPERLINK("./Results/DLO\20191101_1.2.410.100011.172.24.16.220.6371217088142140131.5_5_512_512_\Osteo_Sarco_1.png","RPT")</f>
        <v>RPT</v>
      </c>
      <c r="G3550" s="3">
        <v>91</v>
      </c>
      <c r="H3550" s="3"/>
    </row>
    <row r="3551" spans="1:8" x14ac:dyDescent="0.3">
      <c r="A3551" s="2">
        <v>9869766</v>
      </c>
      <c r="B3551" s="2">
        <v>56</v>
      </c>
      <c r="C3551" s="2" t="s">
        <v>6</v>
      </c>
      <c r="D3551" s="2">
        <v>120</v>
      </c>
      <c r="E3551" s="2"/>
      <c r="F3551" s="4" t="str">
        <f>HYPERLINK("./Results/DLO\20191101_1.2.410.100011.172.24.16.220.6371217088142140131.4_4_512_512_\Osteo_Sarco_1.png","RPT")</f>
        <v>RPT</v>
      </c>
      <c r="G3551" s="3">
        <v>90</v>
      </c>
      <c r="H3551" s="3"/>
    </row>
    <row r="3552" spans="1:8" x14ac:dyDescent="0.3">
      <c r="A3552" s="2">
        <v>9869766</v>
      </c>
      <c r="B3552" s="2">
        <v>56</v>
      </c>
      <c r="C3552" s="2" t="s">
        <v>6</v>
      </c>
      <c r="D3552" s="2">
        <v>120</v>
      </c>
      <c r="E3552" s="2"/>
      <c r="F3552" s="4" t="str">
        <f>HYPERLINK("./Results/DLO\20191101_1.2.410.100011.172.24.16.220.6371217088142140131.3_3_512_512_\Osteo_Sarco_1.png","RPT")</f>
        <v>RPT</v>
      </c>
      <c r="G3552" s="3">
        <v>89</v>
      </c>
      <c r="H3552" s="3"/>
    </row>
    <row r="3553" spans="1:8" x14ac:dyDescent="0.3">
      <c r="A3553" s="2">
        <v>9869766</v>
      </c>
      <c r="B3553" s="2">
        <v>56</v>
      </c>
      <c r="C3553" s="2" t="s">
        <v>6</v>
      </c>
      <c r="D3553" s="2">
        <v>120</v>
      </c>
      <c r="E3553" s="2"/>
      <c r="F3553" s="4" t="str">
        <f>HYPERLINK("./Results/DLO\20191101_1.2.410.100011.172.24.16.220.6371217088142140131.2_2_512_512_\Osteo_Sarco_1.png","RPT")</f>
        <v>RPT</v>
      </c>
      <c r="G3553" s="3">
        <v>87</v>
      </c>
      <c r="H3553" s="3"/>
    </row>
    <row r="3554" spans="1:8" x14ac:dyDescent="0.3">
      <c r="A3554" s="2">
        <v>9869884</v>
      </c>
      <c r="B3554" s="2">
        <v>38</v>
      </c>
      <c r="C3554" s="2" t="s">
        <v>5</v>
      </c>
      <c r="D3554" s="2">
        <v>100</v>
      </c>
      <c r="E3554" s="2"/>
      <c r="F3554" s="4" t="str">
        <f>HYPERLINK("./Results/DLO\20191201_1.3.12.2.1107.5.1.4.54310.30000019122221242184300040386_6_512_512_\Osteo_Sarco_1.png","RPT")</f>
        <v>RPT</v>
      </c>
      <c r="G3554" s="3">
        <v>129</v>
      </c>
      <c r="H3554" s="3"/>
    </row>
    <row r="3555" spans="1:8" x14ac:dyDescent="0.3">
      <c r="A3555" s="2">
        <v>9869884</v>
      </c>
      <c r="B3555" s="2">
        <v>38</v>
      </c>
      <c r="C3555" s="2" t="s">
        <v>5</v>
      </c>
      <c r="D3555" s="2">
        <v>100</v>
      </c>
      <c r="E3555" s="2"/>
      <c r="F3555" s="4" t="str">
        <f>HYPERLINK("./Results/DLO\20191201_1.3.12.2.1107.5.1.4.54310.30000019122221242184300039996_4_512_512_\Osteo_Sarco_1.png","RPT")</f>
        <v>RPT</v>
      </c>
      <c r="G3555" s="3">
        <v>127</v>
      </c>
      <c r="H3555" s="3"/>
    </row>
    <row r="3556" spans="1:8" x14ac:dyDescent="0.3">
      <c r="A3556" s="2">
        <v>9870874</v>
      </c>
      <c r="B3556" s="2">
        <v>76</v>
      </c>
      <c r="C3556" s="2" t="s">
        <v>6</v>
      </c>
      <c r="D3556" s="2">
        <v>100</v>
      </c>
      <c r="E3556" s="2"/>
      <c r="F3556" s="4" t="str">
        <f>HYPERLINK("./Results/DLO\20191201_1.3.12.2.1107.5.1.4.65253.30000019122021324259600003470_6_512_512_\Osteo_Sarco_1.png","RPT")</f>
        <v>RPT</v>
      </c>
      <c r="G3556" s="3">
        <v>70</v>
      </c>
      <c r="H3556" s="3"/>
    </row>
    <row r="3557" spans="1:8" x14ac:dyDescent="0.3">
      <c r="A3557" s="2">
        <v>9870874</v>
      </c>
      <c r="B3557" s="2">
        <v>76</v>
      </c>
      <c r="C3557" s="2" t="s">
        <v>6</v>
      </c>
      <c r="D3557" s="2">
        <v>100</v>
      </c>
      <c r="E3557" s="2"/>
      <c r="F3557" s="4" t="str">
        <f>HYPERLINK("./Results/DLO\20191201_1.3.12.2.1107.5.1.4.65253.30000019122021324259600002978_4_512_512_\Osteo_Sarco_1.png","RPT")</f>
        <v>RPT</v>
      </c>
      <c r="G3557" s="3">
        <v>67</v>
      </c>
      <c r="H3557" s="3"/>
    </row>
    <row r="3558" spans="1:8" x14ac:dyDescent="0.3">
      <c r="A3558" s="2">
        <v>9870938</v>
      </c>
      <c r="B3558" s="2">
        <v>58</v>
      </c>
      <c r="C3558" s="2" t="s">
        <v>5</v>
      </c>
      <c r="D3558" s="2">
        <v>140</v>
      </c>
      <c r="E3558" s="2"/>
      <c r="F3558" s="4" t="str">
        <f>HYPERLINK("./Results/DLO\20191201_1.2.840.113619.2.416.290627167160332851734024922497096414062_304_512_512_\Osteo_Sarco_1.png","RPT")</f>
        <v>RPT</v>
      </c>
      <c r="G3558" s="3">
        <v>145</v>
      </c>
      <c r="H3558" s="3"/>
    </row>
    <row r="3559" spans="1:8" x14ac:dyDescent="0.3">
      <c r="A3559" s="2">
        <v>9870938</v>
      </c>
      <c r="B3559" s="2">
        <v>58</v>
      </c>
      <c r="C3559" s="2" t="s">
        <v>5</v>
      </c>
      <c r="D3559" s="2">
        <v>140</v>
      </c>
      <c r="E3559" s="2"/>
      <c r="F3559" s="4" t="str">
        <f>HYPERLINK("./Results/DLO\20191201_1.2.840.113619.2.416.40581638450964465108671766699782044053_303_512_512_\Osteo_Sarco_1.png","RPT")</f>
        <v>RPT</v>
      </c>
      <c r="G3559" s="3">
        <v>143</v>
      </c>
      <c r="H3559" s="3"/>
    </row>
    <row r="3560" spans="1:8" x14ac:dyDescent="0.3">
      <c r="A3560" s="2">
        <v>9870938</v>
      </c>
      <c r="B3560" s="2">
        <v>58</v>
      </c>
      <c r="C3560" s="2" t="s">
        <v>5</v>
      </c>
      <c r="D3560" s="2">
        <v>140</v>
      </c>
      <c r="E3560" s="2"/>
      <c r="F3560" s="4" t="str">
        <f>HYPERLINK("./Results/DLO\20191201_1.2.840.113619.2.416.237446796034210753821202586911315189840_301_512_512_\Osteo_Sarco_1.png","RPT")</f>
        <v>RPT</v>
      </c>
      <c r="G3560" s="3">
        <v>140</v>
      </c>
      <c r="H3560" s="3"/>
    </row>
    <row r="3561" spans="1:8" x14ac:dyDescent="0.3">
      <c r="A3561" s="2">
        <v>9871034</v>
      </c>
      <c r="B3561" s="2">
        <v>66</v>
      </c>
      <c r="C3561" s="2" t="s">
        <v>6</v>
      </c>
      <c r="D3561" s="2">
        <v>140</v>
      </c>
      <c r="E3561" s="2"/>
      <c r="F3561" s="4" t="str">
        <f>HYPERLINK("./Results/DLO\20191201_1.2.840.113619.2.416.278941144563387211292638632717936548329_304_512_512_\Osteo_Sarco_1.png","RPT")</f>
        <v>RPT</v>
      </c>
      <c r="G3561" s="3">
        <v>100</v>
      </c>
      <c r="H3561" s="3"/>
    </row>
    <row r="3562" spans="1:8" x14ac:dyDescent="0.3">
      <c r="A3562" s="2">
        <v>9871034</v>
      </c>
      <c r="B3562" s="2">
        <v>66</v>
      </c>
      <c r="C3562" s="2" t="s">
        <v>6</v>
      </c>
      <c r="D3562" s="2">
        <v>140</v>
      </c>
      <c r="E3562" s="2"/>
      <c r="F3562" s="4" t="str">
        <f>HYPERLINK("./Results/DLO\20191201_1.2.840.113619.2.416.319705638106570184584432185898820471466_303_512_512_\Osteo_Sarco_1.png","RPT")</f>
        <v>RPT</v>
      </c>
      <c r="G3562" s="3">
        <v>85</v>
      </c>
      <c r="H3562" s="3"/>
    </row>
    <row r="3563" spans="1:8" x14ac:dyDescent="0.3">
      <c r="A3563" s="2">
        <v>9871034</v>
      </c>
      <c r="B3563" s="2">
        <v>66</v>
      </c>
      <c r="C3563" s="2" t="s">
        <v>6</v>
      </c>
      <c r="D3563" s="2">
        <v>140</v>
      </c>
      <c r="E3563" s="2"/>
      <c r="F3563" s="4" t="str">
        <f>HYPERLINK("./Results/DLO\20191201_1.2.840.113619.2.416.69702136267390000446976880107335428805_301_512_512_\Osteo_Sarco_1.png","RPT")</f>
        <v>RPT</v>
      </c>
      <c r="G3563" s="3">
        <v>84</v>
      </c>
      <c r="H3563" s="3"/>
    </row>
    <row r="3564" spans="1:8" x14ac:dyDescent="0.3">
      <c r="A3564" s="2">
        <v>9871060</v>
      </c>
      <c r="B3564" s="2">
        <v>49</v>
      </c>
      <c r="C3564" s="2" t="s">
        <v>6</v>
      </c>
      <c r="D3564" s="2">
        <v>100</v>
      </c>
      <c r="E3564" s="2"/>
      <c r="F3564" s="4" t="str">
        <f>HYPERLINK("./Results/DLO\20191201_1.3.12.2.1107.5.1.4.65253.30000019121718134503300063631_2_512_512_\Osteo_Sarco_1.png","RPT")</f>
        <v>RPT</v>
      </c>
      <c r="G3564" s="3">
        <v>86</v>
      </c>
      <c r="H3564" s="3"/>
    </row>
    <row r="3565" spans="1:8" x14ac:dyDescent="0.3">
      <c r="A3565" s="2">
        <v>9872556</v>
      </c>
      <c r="B3565" s="2">
        <v>46</v>
      </c>
      <c r="C3565" s="2" t="s">
        <v>6</v>
      </c>
      <c r="D3565" s="2">
        <v>100</v>
      </c>
      <c r="E3565" s="2"/>
      <c r="F3565" s="4" t="str">
        <f>HYPERLINK("./Results/DLO\20191201_1.2.840.113619.2.416.23644531757178331350921016499397019825_310_512_512_\Osteo_Sarco_1.png","RPT")</f>
        <v>RPT</v>
      </c>
      <c r="G3565" s="3">
        <v>93</v>
      </c>
      <c r="H3565" s="3"/>
    </row>
    <row r="3566" spans="1:8" x14ac:dyDescent="0.3">
      <c r="A3566" s="2">
        <v>9879180</v>
      </c>
      <c r="B3566" s="2">
        <v>60</v>
      </c>
      <c r="C3566" s="2" t="s">
        <v>5</v>
      </c>
      <c r="D3566" s="2">
        <v>140</v>
      </c>
      <c r="E3566" s="2"/>
      <c r="F3566" s="4" t="str">
        <f>HYPERLINK("./Results/DLO\20191201_1.2.840.113619.2.416.82445497899176597202155245908240043541_303_512_512_\Osteo_Sarco_1.png","RPT")</f>
        <v>RPT</v>
      </c>
      <c r="G3566" s="3">
        <v>152</v>
      </c>
      <c r="H3566" s="3"/>
    </row>
    <row r="3567" spans="1:8" x14ac:dyDescent="0.3">
      <c r="A3567" s="2">
        <v>9879180</v>
      </c>
      <c r="B3567" s="2">
        <v>60</v>
      </c>
      <c r="C3567" s="2" t="s">
        <v>5</v>
      </c>
      <c r="D3567" s="2">
        <v>140</v>
      </c>
      <c r="E3567" s="2"/>
      <c r="F3567" s="4" t="str">
        <f>HYPERLINK("./Results/DLO\20191201_1.2.840.113619.2.416.309760718532235135516556454016447752625_301_512_512_\Osteo_Sarco_1.png","RPT")</f>
        <v>RPT</v>
      </c>
      <c r="G3567" s="3">
        <v>149</v>
      </c>
      <c r="H3567" s="3"/>
    </row>
    <row r="3568" spans="1:8" x14ac:dyDescent="0.3">
      <c r="A3568" s="2">
        <v>9879180</v>
      </c>
      <c r="B3568" s="2">
        <v>60</v>
      </c>
      <c r="C3568" s="2" t="s">
        <v>5</v>
      </c>
      <c r="D3568" s="2">
        <v>140</v>
      </c>
      <c r="E3568" s="2"/>
      <c r="F3568" s="4" t="str">
        <f>HYPERLINK("./Results/DLO\20191201_1.2.840.113619.2.416.156231070428044787321815260169446528773_304_512_512_\Osteo_Sarco_1.png","RPT")</f>
        <v>RPT</v>
      </c>
      <c r="G3568" s="3">
        <v>148</v>
      </c>
      <c r="H3568" s="3"/>
    </row>
    <row r="3569" spans="1:8" x14ac:dyDescent="0.3">
      <c r="A3569" s="2">
        <v>9879216</v>
      </c>
      <c r="B3569" s="2">
        <v>33</v>
      </c>
      <c r="C3569" s="2" t="s">
        <v>5</v>
      </c>
      <c r="D3569" s="2">
        <v>120</v>
      </c>
      <c r="E3569" s="2"/>
      <c r="F3569" s="4" t="str">
        <f>HYPERLINK("./Results/DLO\20191201_1.2.410.100011.172.24.16.218.6371338412552983456.3_3_512_512_\Osteo_Sarco_1.png","RPT")</f>
        <v>RPT</v>
      </c>
      <c r="G3569" s="3">
        <v>183</v>
      </c>
      <c r="H3569" s="3"/>
    </row>
    <row r="3570" spans="1:8" x14ac:dyDescent="0.3">
      <c r="A3570" s="2">
        <v>9880104</v>
      </c>
      <c r="B3570" s="2">
        <v>46</v>
      </c>
      <c r="C3570" s="2" t="s">
        <v>6</v>
      </c>
      <c r="D3570" s="2">
        <v>100</v>
      </c>
      <c r="E3570" s="2"/>
      <c r="F3570" s="4" t="str">
        <f>HYPERLINK("./Results/DLO\20181201_1.2.840.113619.2.94.485650834948.2.9255904.20155570.1_2_512_512_\Osteo_Sarco_1.png","RPT")</f>
        <v>RPT</v>
      </c>
      <c r="G3570" s="3">
        <v>122</v>
      </c>
      <c r="H3570" s="3"/>
    </row>
    <row r="3571" spans="1:8" x14ac:dyDescent="0.3">
      <c r="A3571" s="2">
        <v>9881837</v>
      </c>
      <c r="B3571" s="2">
        <v>40</v>
      </c>
      <c r="C3571" s="2" t="s">
        <v>5</v>
      </c>
      <c r="D3571" s="2">
        <v>140</v>
      </c>
      <c r="E3571" s="2"/>
      <c r="F3571" s="4" t="str">
        <f>HYPERLINK("./Results/DLO\20191201_1.2.840.113619.2.416.11619654753047213122601574411473649717_304_512_512_\Osteo_Sarco_1.png","RPT")</f>
        <v>RPT</v>
      </c>
      <c r="G3571" s="3">
        <v>184</v>
      </c>
      <c r="H3571" s="3"/>
    </row>
    <row r="3572" spans="1:8" x14ac:dyDescent="0.3">
      <c r="A3572" s="2">
        <v>9881837</v>
      </c>
      <c r="B3572" s="2">
        <v>40</v>
      </c>
      <c r="C3572" s="2" t="s">
        <v>5</v>
      </c>
      <c r="D3572" s="2">
        <v>140</v>
      </c>
      <c r="E3572" s="2"/>
      <c r="F3572" s="4" t="str">
        <f>HYPERLINK("./Results/DLO\20191201_1.2.840.113619.2.416.271308461351025008462470897946330831580_303_512_512_\Osteo_Sarco_1.png","RPT")</f>
        <v>RPT</v>
      </c>
      <c r="G3572" s="3">
        <v>183</v>
      </c>
      <c r="H3572" s="3"/>
    </row>
    <row r="3573" spans="1:8" x14ac:dyDescent="0.3">
      <c r="A3573" s="2">
        <v>9881837</v>
      </c>
      <c r="B3573" s="2">
        <v>40</v>
      </c>
      <c r="C3573" s="2" t="s">
        <v>5</v>
      </c>
      <c r="D3573" s="2">
        <v>140</v>
      </c>
      <c r="E3573" s="2"/>
      <c r="F3573" s="4" t="str">
        <f>HYPERLINK("./Results/DLO\20191201_1.2.840.113619.2.416.245573245642797384321276361668534312145_301_512_512_\Osteo_Sarco_1.png","RPT")</f>
        <v>RPT</v>
      </c>
      <c r="G3573" s="3">
        <v>182</v>
      </c>
      <c r="H3573" s="3"/>
    </row>
    <row r="3574" spans="1:8" x14ac:dyDescent="0.3">
      <c r="A3574" s="2">
        <v>9886843</v>
      </c>
      <c r="B3574" s="2">
        <v>51</v>
      </c>
      <c r="C3574" s="2" t="s">
        <v>6</v>
      </c>
      <c r="D3574" s="2">
        <v>140</v>
      </c>
      <c r="E3574" s="2"/>
      <c r="F3574" s="4" t="str">
        <f>HYPERLINK("./Results/DLO\20200201_1.2.840.113619.2.416.75212298910463127959068625605364412841_303_512_512_\Osteo_Sarco_1.png","RPT")</f>
        <v>RPT</v>
      </c>
      <c r="G3574" s="3">
        <v>96</v>
      </c>
      <c r="H3574" s="3"/>
    </row>
    <row r="3575" spans="1:8" x14ac:dyDescent="0.3">
      <c r="A3575" s="2">
        <v>9886843</v>
      </c>
      <c r="B3575" s="2">
        <v>51</v>
      </c>
      <c r="C3575" s="2" t="s">
        <v>6</v>
      </c>
      <c r="D3575" s="2">
        <v>140</v>
      </c>
      <c r="E3575" s="2"/>
      <c r="F3575" s="4" t="str">
        <f>HYPERLINK("./Results/DLO\20200201_1.2.840.113619.2.416.238088592130649117597200791530600557915_302_512_512_\Osteo_Sarco_1.png","RPT")</f>
        <v>RPT</v>
      </c>
      <c r="G3575" s="3">
        <v>91</v>
      </c>
      <c r="H3575" s="3"/>
    </row>
    <row r="3576" spans="1:8" x14ac:dyDescent="0.3">
      <c r="A3576" s="2">
        <v>9887347</v>
      </c>
      <c r="B3576" s="2">
        <v>44</v>
      </c>
      <c r="C3576" s="2" t="s">
        <v>6</v>
      </c>
      <c r="D3576" s="2">
        <v>100</v>
      </c>
      <c r="E3576" s="2"/>
      <c r="F3576" s="4" t="str">
        <f>HYPERLINK("./Results/DLO\20200301_1.2.840.113619.2.416.208671703034456590939755698124408032357_312_512_512_\Osteo_Sarco_1.png","RPT")</f>
        <v>RPT</v>
      </c>
      <c r="G3576" s="3">
        <v>116</v>
      </c>
      <c r="H3576" s="3"/>
    </row>
    <row r="3577" spans="1:8" x14ac:dyDescent="0.3">
      <c r="A3577" s="2">
        <v>9889534</v>
      </c>
      <c r="B3577" s="2">
        <v>57</v>
      </c>
      <c r="C3577" s="2" t="s">
        <v>5</v>
      </c>
      <c r="D3577" s="2">
        <v>120</v>
      </c>
      <c r="E3577" s="2"/>
      <c r="F3577" s="4" t="str">
        <f>HYPERLINK("./Results/DLO\20191201_1.2.410.100011.172.24.16.221.6371398199617016787.3_3_512_512_\Osteo_Sarco_1.png","RPT")</f>
        <v>RPT</v>
      </c>
      <c r="G3577" s="3">
        <v>200</v>
      </c>
      <c r="H3577" s="3"/>
    </row>
    <row r="3578" spans="1:8" x14ac:dyDescent="0.3">
      <c r="A3578" s="2">
        <v>9889534</v>
      </c>
      <c r="B3578" s="2">
        <v>57</v>
      </c>
      <c r="C3578" s="2" t="s">
        <v>5</v>
      </c>
      <c r="D3578" s="2">
        <v>120</v>
      </c>
      <c r="E3578" s="2"/>
      <c r="F3578" s="4" t="str">
        <f>HYPERLINK("./Results/DLO\20191201_1.2.410.100011.172.24.16.221.6371398199617016787.4_4_512_512_\Osteo_Sarco_1.png","RPT")</f>
        <v>RPT</v>
      </c>
      <c r="G3578" s="3">
        <v>197</v>
      </c>
      <c r="H3578" s="3"/>
    </row>
    <row r="3579" spans="1:8" x14ac:dyDescent="0.3">
      <c r="A3579" s="2">
        <v>9889534</v>
      </c>
      <c r="B3579" s="2">
        <v>57</v>
      </c>
      <c r="C3579" s="2" t="s">
        <v>5</v>
      </c>
      <c r="D3579" s="2">
        <v>100</v>
      </c>
      <c r="E3579" s="2"/>
      <c r="F3579" s="4" t="str">
        <f>HYPERLINK("./Results/DLO\20191201_1.2.410.100011.172.24.16.221.6371398199617016787.2_2_512_512_\Osteo_Sarco_1.png","RPT")</f>
        <v>RPT</v>
      </c>
      <c r="G3579" s="3">
        <v>195</v>
      </c>
      <c r="H3579" s="3"/>
    </row>
    <row r="3580" spans="1:8" x14ac:dyDescent="0.3">
      <c r="A3580" s="2">
        <v>9894125</v>
      </c>
      <c r="B3580" s="2">
        <v>58</v>
      </c>
      <c r="C3580" s="2" t="s">
        <v>5</v>
      </c>
      <c r="D3580" s="2">
        <v>100</v>
      </c>
      <c r="E3580" s="2"/>
      <c r="F3580" s="4" t="str">
        <f>HYPERLINK("./Results/DLO\20200201_1.3.12.2.1107.5.1.4.65253.30000020020220085805700066748_2_512_512_\Osteo_Sarco_1.png","RPT")</f>
        <v>RPT</v>
      </c>
      <c r="G3580" s="3">
        <v>155</v>
      </c>
      <c r="H3580" s="3"/>
    </row>
    <row r="3581" spans="1:8" x14ac:dyDescent="0.3">
      <c r="A3581" s="2">
        <v>9894125</v>
      </c>
      <c r="B3581" s="2">
        <v>58</v>
      </c>
      <c r="C3581" s="2" t="s">
        <v>5</v>
      </c>
      <c r="D3581" s="2">
        <v>100</v>
      </c>
      <c r="E3581" s="2"/>
      <c r="F3581" s="4" t="str">
        <f>HYPERLINK("./Results/DLO\20200201_1.3.12.2.1107.5.1.4.65253.30000020020220085805700067675_7_512_512_\Osteo_Sarco_1.png","RPT")</f>
        <v>RPT</v>
      </c>
      <c r="G3581" s="3">
        <v>155</v>
      </c>
      <c r="H3581" s="3"/>
    </row>
    <row r="3582" spans="1:8" x14ac:dyDescent="0.3">
      <c r="A3582" s="2">
        <v>9894125</v>
      </c>
      <c r="B3582" s="2">
        <v>58</v>
      </c>
      <c r="C3582" s="2" t="s">
        <v>5</v>
      </c>
      <c r="D3582" s="2">
        <v>100</v>
      </c>
      <c r="E3582" s="2"/>
      <c r="F3582" s="4" t="str">
        <f>HYPERLINK("./Results/DLO\20200201_1.3.12.2.1107.5.1.4.65253.30000020020220085805700066934_5_512_512_\Osteo_Sarco_1.png","RPT")</f>
        <v>RPT</v>
      </c>
      <c r="G3582" s="3">
        <v>153</v>
      </c>
      <c r="H3582" s="3"/>
    </row>
    <row r="3583" spans="1:8" x14ac:dyDescent="0.3">
      <c r="A3583" s="2">
        <v>9896772</v>
      </c>
      <c r="B3583" s="2">
        <v>67</v>
      </c>
      <c r="C3583" s="2" t="s">
        <v>5</v>
      </c>
      <c r="D3583" s="2">
        <v>120</v>
      </c>
      <c r="E3583" s="2"/>
      <c r="F3583" s="4" t="str">
        <f>HYPERLINK("./Results/DLO\20200101_1.2.410.100011.172.24.16.221.6371511072592455131.6_6_512_512_\Osteo_Sarco_1.png","RPT")</f>
        <v>RPT</v>
      </c>
      <c r="G3583" s="3">
        <v>145</v>
      </c>
      <c r="H3583" s="3"/>
    </row>
    <row r="3584" spans="1:8" x14ac:dyDescent="0.3">
      <c r="A3584" s="2">
        <v>9896772</v>
      </c>
      <c r="B3584" s="2">
        <v>67</v>
      </c>
      <c r="C3584" s="2" t="s">
        <v>5</v>
      </c>
      <c r="D3584" s="2">
        <v>100</v>
      </c>
      <c r="E3584" s="2"/>
      <c r="F3584" s="4" t="str">
        <f>HYPERLINK("./Results/DLO\20200101_1.2.410.100011.172.24.16.221.6371511072592455131.2_2_512_512_\Osteo_Sarco_1.png","RPT")</f>
        <v>RPT</v>
      </c>
      <c r="G3584" s="3">
        <v>144</v>
      </c>
      <c r="H3584" s="3"/>
    </row>
    <row r="3585" spans="1:8" x14ac:dyDescent="0.3">
      <c r="A3585" s="2">
        <v>9900694</v>
      </c>
      <c r="B3585" s="2">
        <v>64</v>
      </c>
      <c r="C3585" s="2" t="s">
        <v>6</v>
      </c>
      <c r="D3585" s="2">
        <v>100</v>
      </c>
      <c r="E3585" s="2"/>
      <c r="F3585" s="4" t="str">
        <f>HYPERLINK("./Results/DLO\20200101_1.3.12.2.1107.5.1.4.54310.30000020012223193617100029992_6_512_512_\Osteo_Sarco_1.png","RPT")</f>
        <v>RPT</v>
      </c>
      <c r="G3585" s="3">
        <v>103</v>
      </c>
      <c r="H3585" s="3"/>
    </row>
    <row r="3586" spans="1:8" x14ac:dyDescent="0.3">
      <c r="A3586" s="2">
        <v>9900694</v>
      </c>
      <c r="B3586" s="2">
        <v>64</v>
      </c>
      <c r="C3586" s="2" t="s">
        <v>6</v>
      </c>
      <c r="D3586" s="2">
        <v>100</v>
      </c>
      <c r="E3586" s="2"/>
      <c r="F3586" s="4" t="str">
        <f>HYPERLINK("./Results/DLO\20200101_1.3.12.2.1107.5.1.4.54310.30000020012223193617100029578_4_512_512_\Osteo_Sarco_1.png","RPT")</f>
        <v>RPT</v>
      </c>
      <c r="G3586" s="3">
        <v>100</v>
      </c>
      <c r="H3586" s="3"/>
    </row>
    <row r="3587" spans="1:8" x14ac:dyDescent="0.3">
      <c r="A3587" s="2">
        <v>9901549</v>
      </c>
      <c r="B3587" s="2">
        <v>30</v>
      </c>
      <c r="C3587" s="2" t="s">
        <v>6</v>
      </c>
      <c r="D3587" s="2">
        <v>100</v>
      </c>
      <c r="E3587" s="2"/>
      <c r="F3587" s="4" t="str">
        <f>HYPERLINK("./Results/DLO\20200201_1.3.12.2.1107.5.1.4.54310.30000020020422310098400053295_7_512_512_\Osteo_Sarco_1.png","RPT")</f>
        <v>RPT</v>
      </c>
      <c r="G3587" s="3">
        <v>106</v>
      </c>
      <c r="H3587" s="3"/>
    </row>
    <row r="3588" spans="1:8" x14ac:dyDescent="0.3">
      <c r="A3588" s="2">
        <v>9904614</v>
      </c>
      <c r="B3588" s="2">
        <v>29</v>
      </c>
      <c r="C3588" s="2" t="s">
        <v>5</v>
      </c>
      <c r="D3588" s="2">
        <v>100</v>
      </c>
      <c r="E3588" s="2"/>
      <c r="F3588" s="4" t="str">
        <f>HYPERLINK("./Results/DLO\20200201_1.3.12.2.1107.5.1.4.65253.30000020021817032729400043618_2_512_512_\Osteo_Sarco_1.png","RPT")</f>
        <v>RPT</v>
      </c>
      <c r="G3588" s="3">
        <v>178</v>
      </c>
      <c r="H3588" s="3"/>
    </row>
    <row r="3589" spans="1:8" x14ac:dyDescent="0.3">
      <c r="A3589" s="2">
        <v>9908767</v>
      </c>
      <c r="B3589" s="2">
        <v>56</v>
      </c>
      <c r="C3589" s="2" t="s">
        <v>6</v>
      </c>
      <c r="D3589" s="2">
        <v>100</v>
      </c>
      <c r="E3589" s="2"/>
      <c r="F3589" s="4" t="str">
        <f>HYPERLINK("./Results/DLO\20200101_1.2.410.100011.172.24.16.217.6371597823707017232.4_4_512_512_\Osteo_Sarco_1.png","RPT")</f>
        <v>RPT</v>
      </c>
      <c r="G3589" s="3">
        <v>128</v>
      </c>
      <c r="H3589" s="3"/>
    </row>
    <row r="3590" spans="1:8" x14ac:dyDescent="0.3">
      <c r="A3590" s="2">
        <v>9908767</v>
      </c>
      <c r="B3590" s="2">
        <v>56</v>
      </c>
      <c r="C3590" s="2" t="s">
        <v>6</v>
      </c>
      <c r="D3590" s="2">
        <v>100</v>
      </c>
      <c r="E3590" s="2"/>
      <c r="F3590" s="4" t="str">
        <f>HYPERLINK("./Results/DLO\20200101_1.2.410.100011.172.24.16.217.6371597823707017232.2_2_512_512_\Osteo_Sarco_1.png","RPT")</f>
        <v>RPT</v>
      </c>
      <c r="G3590" s="3">
        <v>126</v>
      </c>
      <c r="H3590" s="3"/>
    </row>
    <row r="3591" spans="1:8" x14ac:dyDescent="0.3">
      <c r="A3591" s="2">
        <v>9908767</v>
      </c>
      <c r="B3591" s="2">
        <v>56</v>
      </c>
      <c r="C3591" s="2" t="s">
        <v>6</v>
      </c>
      <c r="D3591" s="2">
        <v>100</v>
      </c>
      <c r="E3591" s="2"/>
      <c r="F3591" s="4" t="str">
        <f>HYPERLINK("./Results/DLO\20200101_1.2.410.100011.172.24.16.217.6371597823707017232.3_3_512_512_\Osteo_Sarco_1.png","RPT")</f>
        <v>RPT</v>
      </c>
      <c r="G3591" s="3">
        <v>116</v>
      </c>
      <c r="H3591" s="3"/>
    </row>
    <row r="3592" spans="1:8" x14ac:dyDescent="0.3">
      <c r="A3592" s="2">
        <v>9912449</v>
      </c>
      <c r="B3592" s="2">
        <v>36</v>
      </c>
      <c r="C3592" s="2" t="s">
        <v>6</v>
      </c>
      <c r="D3592" s="2">
        <v>100</v>
      </c>
      <c r="E3592" s="2"/>
      <c r="F3592" s="4" t="str">
        <f>HYPERLINK("./Results/DLO\20200201_1.2.840.113619.2.416.265961893536154367310147539876545175773_310_512_512_\Osteo_Sarco_1.png","RPT")</f>
        <v>RPT</v>
      </c>
      <c r="G3592" s="3">
        <v>145</v>
      </c>
      <c r="H3592" s="3"/>
    </row>
    <row r="3593" spans="1:8" x14ac:dyDescent="0.3">
      <c r="A3593" s="2">
        <v>9915257</v>
      </c>
      <c r="B3593" s="2">
        <v>59</v>
      </c>
      <c r="C3593" s="2" t="s">
        <v>6</v>
      </c>
      <c r="D3593" s="2">
        <v>100</v>
      </c>
      <c r="E3593" s="2"/>
      <c r="F3593" s="4" t="str">
        <f>HYPERLINK("./Results/DLO\20200201_1.3.12.2.1107.5.1.4.54310.30000020020522331550000031479_4_512_512_\Osteo_Sarco_1.png","RPT")</f>
        <v>RPT</v>
      </c>
      <c r="G3593" s="3">
        <v>100</v>
      </c>
      <c r="H3593" s="3"/>
    </row>
    <row r="3594" spans="1:8" x14ac:dyDescent="0.3">
      <c r="A3594" s="2">
        <v>9915257</v>
      </c>
      <c r="B3594" s="2">
        <v>59</v>
      </c>
      <c r="C3594" s="2" t="s">
        <v>6</v>
      </c>
      <c r="D3594" s="2">
        <v>100</v>
      </c>
      <c r="E3594" s="2"/>
      <c r="F3594" s="4" t="str">
        <f>HYPERLINK("./Results/DLO\20200201_1.3.12.2.1107.5.1.4.54310.30000020020522331550000031892_6_512_512_\Osteo_Sarco_1.png","RPT")</f>
        <v>RPT</v>
      </c>
      <c r="G3594" s="3">
        <v>100</v>
      </c>
      <c r="H3594" s="3"/>
    </row>
    <row r="3595" spans="1:8" x14ac:dyDescent="0.3">
      <c r="A3595" s="2">
        <v>9921395</v>
      </c>
      <c r="B3595" s="2">
        <v>60</v>
      </c>
      <c r="C3595" s="2" t="s">
        <v>6</v>
      </c>
      <c r="D3595" s="2">
        <v>100</v>
      </c>
      <c r="E3595" s="2"/>
      <c r="F3595" s="4" t="str">
        <f>HYPERLINK("./Results/DLO\20200201_1.2.840.113619.2.416.67414024434838251621776672239756853138_311_512_512_\Osteo_Sarco_1.png","RPT")</f>
        <v>RPT</v>
      </c>
      <c r="G3595" s="3">
        <v>106</v>
      </c>
      <c r="H3595" s="3"/>
    </row>
    <row r="3596" spans="1:8" x14ac:dyDescent="0.3">
      <c r="A3596" s="2">
        <v>9921395</v>
      </c>
      <c r="B3596" s="2">
        <v>60</v>
      </c>
      <c r="C3596" s="2" t="s">
        <v>6</v>
      </c>
      <c r="D3596" s="2">
        <v>100</v>
      </c>
      <c r="E3596" s="2"/>
      <c r="F3596" s="4" t="str">
        <f>HYPERLINK("./Results/DLO\20200201_1.2.840.113619.2.416.202935343883310697483295870049165756731_313_512_512_\Osteo_Sarco_1.png","RPT")</f>
        <v>RPT</v>
      </c>
      <c r="G3596" s="3">
        <v>105</v>
      </c>
      <c r="H3596" s="3"/>
    </row>
    <row r="3597" spans="1:8" x14ac:dyDescent="0.3">
      <c r="A3597" s="2">
        <v>9921395</v>
      </c>
      <c r="B3597" s="2">
        <v>60</v>
      </c>
      <c r="C3597" s="2" t="s">
        <v>6</v>
      </c>
      <c r="D3597" s="2">
        <v>100</v>
      </c>
      <c r="E3597" s="2"/>
      <c r="F3597" s="4" t="str">
        <f>HYPERLINK("./Results/DLO\20200201_1.2.840.113619.2.416.203300564946585595068280908026477282875_302_512_512_\Osteo_Sarco_1.png","RPT")</f>
        <v>RPT</v>
      </c>
      <c r="G3597" s="3">
        <v>102</v>
      </c>
      <c r="H3597" s="3"/>
    </row>
    <row r="3598" spans="1:8" x14ac:dyDescent="0.3">
      <c r="A3598" s="2">
        <v>9921406</v>
      </c>
      <c r="B3598" s="2">
        <v>27</v>
      </c>
      <c r="C3598" s="2" t="s">
        <v>5</v>
      </c>
      <c r="D3598" s="2">
        <v>100</v>
      </c>
      <c r="E3598" s="2"/>
      <c r="F3598" s="4" t="str">
        <f>HYPERLINK("./Results/DLO\20200301_1.3.12.2.1107.5.1.4.54310.30000020030123260962500069160_6_512_512_\Osteo_Sarco_1.png","RPT")</f>
        <v>RPT</v>
      </c>
      <c r="G3598" s="3">
        <v>135</v>
      </c>
      <c r="H3598" s="3"/>
    </row>
    <row r="3599" spans="1:8" x14ac:dyDescent="0.3">
      <c r="A3599" s="2">
        <v>9923056</v>
      </c>
      <c r="B3599" s="2">
        <v>46</v>
      </c>
      <c r="C3599" s="2" t="s">
        <v>6</v>
      </c>
      <c r="D3599" s="2">
        <v>100</v>
      </c>
      <c r="E3599" s="2"/>
      <c r="F3599" s="4" t="str">
        <f>HYPERLINK("./Results/DLO\20200201_1.2.840.113619.2.416.228955714513664664403467259697375450164_310_512_512_\Osteo_Sarco_1.png","RPT")</f>
        <v>RPT</v>
      </c>
      <c r="G3599" s="3">
        <v>112</v>
      </c>
      <c r="H3599" s="3"/>
    </row>
    <row r="3600" spans="1:8" x14ac:dyDescent="0.3">
      <c r="A3600" s="2">
        <v>9925941</v>
      </c>
      <c r="B3600" s="2">
        <v>57</v>
      </c>
      <c r="C3600" s="2" t="s">
        <v>5</v>
      </c>
      <c r="D3600" s="2">
        <v>100</v>
      </c>
      <c r="E3600" s="2"/>
      <c r="F3600" s="4" t="str">
        <f>HYPERLINK("./Results/DLO\20200501_1.3.46.670589.33.1.63725735519090781100001.4948965571379115583_601_512_512_\Osteo_Sarco_1.png","RPT")</f>
        <v>RPT</v>
      </c>
      <c r="G3600" s="3">
        <v>229</v>
      </c>
      <c r="H3600" s="3"/>
    </row>
    <row r="3601" spans="1:8" x14ac:dyDescent="0.3">
      <c r="A3601" s="2">
        <v>9926692</v>
      </c>
      <c r="B3601" s="2">
        <v>59</v>
      </c>
      <c r="C3601" s="2" t="s">
        <v>6</v>
      </c>
      <c r="D3601" s="2">
        <v>100</v>
      </c>
      <c r="E3601" s="2"/>
      <c r="F3601" s="4" t="str">
        <f>HYPERLINK("./Results/DLO\20200201_1.3.12.2.1107.5.1.4.92118.30000020021901261106400000650_5_512_512_\Osteo_Sarco_1.png","RPT")</f>
        <v>RPT</v>
      </c>
      <c r="G3601" s="3">
        <v>104</v>
      </c>
      <c r="H3601" s="3"/>
    </row>
    <row r="3602" spans="1:8" x14ac:dyDescent="0.3">
      <c r="A3602" s="2">
        <v>9926692</v>
      </c>
      <c r="B3602" s="2">
        <v>59</v>
      </c>
      <c r="C3602" s="2" t="s">
        <v>6</v>
      </c>
      <c r="D3602" s="2">
        <v>100</v>
      </c>
      <c r="E3602" s="2"/>
      <c r="F3602" s="4" t="str">
        <f>HYPERLINK("./Results/DLO\20200201_1.3.12.2.1107.5.1.4.92118.30000020021901261106400000552_4_512_512_\Osteo_Sarco_1.png","RPT")</f>
        <v>RPT</v>
      </c>
      <c r="G3602" s="3">
        <v>102</v>
      </c>
      <c r="H3602" s="3"/>
    </row>
    <row r="3603" spans="1:8" x14ac:dyDescent="0.3">
      <c r="A3603" s="2">
        <v>9927741</v>
      </c>
      <c r="B3603" s="2">
        <v>78</v>
      </c>
      <c r="C3603" s="2" t="s">
        <v>5</v>
      </c>
      <c r="D3603" s="2">
        <v>100</v>
      </c>
      <c r="E3603" s="2"/>
      <c r="F3603" s="4" t="str">
        <f>HYPERLINK("./Results/DLO\20200201_1.3.12.2.1107.5.1.4.54310.30000020022521280475000025628_7_512_512_\Osteo_Sarco_1.png","RPT")</f>
        <v>RPT</v>
      </c>
      <c r="G3603" s="3">
        <v>152</v>
      </c>
      <c r="H3603" s="3"/>
    </row>
    <row r="3604" spans="1:8" x14ac:dyDescent="0.3">
      <c r="A3604" s="2">
        <v>9930443</v>
      </c>
      <c r="B3604" s="2">
        <v>62</v>
      </c>
      <c r="C3604" s="2" t="s">
        <v>5</v>
      </c>
      <c r="D3604" s="2">
        <v>120</v>
      </c>
      <c r="E3604" s="2"/>
      <c r="F3604" s="4" t="str">
        <f>HYPERLINK("./Results/DLO\20200201_1.2.410.100011.172.16.64.21.6371830712107110761.5_5_512_512_\Osteo_Sarco_1.png","RPT")</f>
        <v>RPT</v>
      </c>
      <c r="G3604" s="3">
        <v>130</v>
      </c>
      <c r="H3604" s="3"/>
    </row>
    <row r="3605" spans="1:8" x14ac:dyDescent="0.3">
      <c r="A3605" s="2">
        <v>9930443</v>
      </c>
      <c r="B3605" s="2">
        <v>62</v>
      </c>
      <c r="C3605" s="2" t="s">
        <v>5</v>
      </c>
      <c r="D3605" s="2">
        <v>120</v>
      </c>
      <c r="E3605" s="2"/>
      <c r="F3605" s="4" t="str">
        <f>HYPERLINK("./Results/DLO\20200201_1.2.410.100011.172.16.64.21.6371830712107110761.6_6_512_512_\Osteo_Sarco_1.png","RPT")</f>
        <v>RPT</v>
      </c>
      <c r="G3605" s="3">
        <v>130</v>
      </c>
      <c r="H3605" s="3"/>
    </row>
    <row r="3606" spans="1:8" x14ac:dyDescent="0.3">
      <c r="A3606" s="2">
        <v>9930443</v>
      </c>
      <c r="B3606" s="2">
        <v>62</v>
      </c>
      <c r="C3606" s="2" t="s">
        <v>5</v>
      </c>
      <c r="D3606" s="2">
        <v>120</v>
      </c>
      <c r="E3606" s="2"/>
      <c r="F3606" s="4" t="str">
        <f>HYPERLINK("./Results/DLO\20200201_1.2.410.100011.172.16.64.21.6371830712107110761.4_4_512_512_\Osteo_Sarco_1.png","RPT")</f>
        <v>RPT</v>
      </c>
      <c r="G3606" s="3">
        <v>128</v>
      </c>
      <c r="H3606" s="3"/>
    </row>
    <row r="3607" spans="1:8" x14ac:dyDescent="0.3">
      <c r="A3607" s="2">
        <v>9930443</v>
      </c>
      <c r="B3607" s="2">
        <v>62</v>
      </c>
      <c r="C3607" s="2" t="s">
        <v>5</v>
      </c>
      <c r="D3607" s="2">
        <v>120</v>
      </c>
      <c r="E3607" s="2"/>
      <c r="F3607" s="4" t="str">
        <f>HYPERLINK("./Results/DLO\20200201_1.2.410.100011.172.16.64.21.6371830712107110761.3_3_512_512_\Osteo_Sarco_1.png","RPT")</f>
        <v>RPT</v>
      </c>
      <c r="G3607" s="3">
        <v>127</v>
      </c>
      <c r="H3607" s="3"/>
    </row>
    <row r="3608" spans="1:8" x14ac:dyDescent="0.3">
      <c r="A3608" s="2">
        <v>9930443</v>
      </c>
      <c r="B3608" s="2">
        <v>62</v>
      </c>
      <c r="C3608" s="2" t="s">
        <v>5</v>
      </c>
      <c r="D3608" s="2">
        <v>120</v>
      </c>
      <c r="E3608" s="2"/>
      <c r="F3608" s="4" t="str">
        <f>HYPERLINK("./Results/DLO\20200201_1.2.410.100011.172.16.64.21.6371830712107110761.2_2_512_512_\Osteo_Sarco_1.png","RPT")</f>
        <v>RPT</v>
      </c>
      <c r="G3608" s="3">
        <v>125</v>
      </c>
      <c r="H3608" s="3"/>
    </row>
    <row r="3609" spans="1:8" x14ac:dyDescent="0.3">
      <c r="A3609" s="2">
        <v>9930495</v>
      </c>
      <c r="B3609" s="2">
        <v>43</v>
      </c>
      <c r="C3609" s="2" t="s">
        <v>6</v>
      </c>
      <c r="D3609" s="2">
        <v>100</v>
      </c>
      <c r="E3609" s="2"/>
      <c r="F3609" s="4" t="str">
        <f>HYPERLINK("./Results/DLO\20200201_1.2.840.113619.2.416.171091668177241859271738682812175709667_310_512_512_\Osteo_Sarco_1.png","RPT")</f>
        <v>RPT</v>
      </c>
      <c r="G3609" s="3">
        <v>109</v>
      </c>
      <c r="H3609" s="3"/>
    </row>
    <row r="3610" spans="1:8" x14ac:dyDescent="0.3">
      <c r="A3610" s="2">
        <v>9938400</v>
      </c>
      <c r="B3610" s="2">
        <v>25</v>
      </c>
      <c r="C3610" s="2" t="s">
        <v>6</v>
      </c>
      <c r="D3610" s="2">
        <v>100</v>
      </c>
      <c r="E3610" s="2"/>
      <c r="F3610" s="4" t="str">
        <f>HYPERLINK("./Results/DLO\20200301_1.2.840.113619.2.416.181898529078480544296000131346873824497_310_512_512_\Osteo_Sarco_1.png","RPT")</f>
        <v>RPT</v>
      </c>
      <c r="G3610" s="3">
        <v>104</v>
      </c>
      <c r="H3610" s="3"/>
    </row>
    <row r="3611" spans="1:8" x14ac:dyDescent="0.3">
      <c r="A3611" s="2">
        <v>9938555</v>
      </c>
      <c r="B3611" s="2">
        <v>35</v>
      </c>
      <c r="C3611" s="2" t="s">
        <v>6</v>
      </c>
      <c r="D3611" s="2">
        <v>100</v>
      </c>
      <c r="E3611" s="2"/>
      <c r="F3611" s="4" t="str">
        <f>HYPERLINK("./Results/DLO\20200301_1.2.840.113619.2.416.192517784979698719049209519069484646373_310_512_512_\Osteo_Sarco_1.png","RPT")</f>
        <v>RPT</v>
      </c>
      <c r="G3611" s="3">
        <v>100</v>
      </c>
      <c r="H3611" s="3"/>
    </row>
    <row r="3612" spans="1:8" x14ac:dyDescent="0.3">
      <c r="A3612" s="2">
        <v>9941989</v>
      </c>
      <c r="B3612" s="2">
        <v>62</v>
      </c>
      <c r="C3612" s="2" t="s">
        <v>6</v>
      </c>
      <c r="D3612" s="2">
        <v>100</v>
      </c>
      <c r="E3612" s="2"/>
      <c r="F3612" s="4" t="str">
        <f>HYPERLINK("./Results/DLO\20200401_1.3.12.2.1107.5.1.4.54310.30000020033122400060900034204_7_512_512_\Osteo_Sarco_1.png","RPT")</f>
        <v>RPT</v>
      </c>
      <c r="G3612" s="3">
        <v>117</v>
      </c>
      <c r="H3612" s="3"/>
    </row>
    <row r="3613" spans="1:8" x14ac:dyDescent="0.3">
      <c r="A3613" s="2">
        <v>9942017</v>
      </c>
      <c r="B3613" s="2">
        <v>82</v>
      </c>
      <c r="C3613" s="2" t="s">
        <v>6</v>
      </c>
      <c r="D3613" s="2">
        <v>100</v>
      </c>
      <c r="E3613" s="2"/>
      <c r="F3613" s="4" t="str">
        <f>HYPERLINK("./Results/DLO\20200601_1.2.840.113619.2.416.148213329649745457942633441239482039034_307_512_512_\Osteo_Sarco_1.png","RPT")</f>
        <v>RPT</v>
      </c>
      <c r="G3613" s="3">
        <v>92</v>
      </c>
      <c r="H3613" s="3"/>
    </row>
    <row r="3614" spans="1:8" x14ac:dyDescent="0.3">
      <c r="A3614" s="2">
        <v>9944576</v>
      </c>
      <c r="B3614" s="2">
        <v>65</v>
      </c>
      <c r="C3614" s="2" t="s">
        <v>5</v>
      </c>
      <c r="D3614" s="2">
        <v>120</v>
      </c>
      <c r="E3614" s="2"/>
      <c r="F3614" s="4" t="str">
        <f>HYPERLINK("./Results/DLO\20200301_1.2.410.100011.172.24.16.221.6372080758870323977.4_4_512_512_\Osteo_Sarco_1.png","RPT")</f>
        <v>RPT</v>
      </c>
      <c r="G3614" s="3">
        <v>133</v>
      </c>
      <c r="H3614" s="3"/>
    </row>
    <row r="3615" spans="1:8" x14ac:dyDescent="0.3">
      <c r="A3615" s="2">
        <v>9944576</v>
      </c>
      <c r="B3615" s="2">
        <v>65</v>
      </c>
      <c r="C3615" s="2" t="s">
        <v>5</v>
      </c>
      <c r="D3615" s="2">
        <v>120</v>
      </c>
      <c r="E3615" s="2"/>
      <c r="F3615" s="4" t="str">
        <f>HYPERLINK("./Results/DLO\20200301_1.2.410.100011.172.24.16.221.6372080758870323977.2_2_512_512_\Osteo_Sarco_1.png","RPT")</f>
        <v>RPT</v>
      </c>
      <c r="G3615" s="3">
        <v>130</v>
      </c>
      <c r="H3615" s="3"/>
    </row>
    <row r="3616" spans="1:8" x14ac:dyDescent="0.3">
      <c r="A3616" s="2">
        <v>9944576</v>
      </c>
      <c r="B3616" s="2">
        <v>65</v>
      </c>
      <c r="C3616" s="2" t="s">
        <v>5</v>
      </c>
      <c r="D3616" s="2">
        <v>120</v>
      </c>
      <c r="E3616" s="2"/>
      <c r="F3616" s="4" t="str">
        <f>HYPERLINK("./Results/DLO\20200301_1.2.410.100011.172.24.16.221.6372080758870323977.3_3_512_512_\Osteo_Sarco_1.png","RPT")</f>
        <v>RPT</v>
      </c>
      <c r="G3616" s="3">
        <v>130</v>
      </c>
      <c r="H3616" s="3"/>
    </row>
    <row r="3617" spans="1:8" x14ac:dyDescent="0.3">
      <c r="A3617" s="2">
        <v>9944663</v>
      </c>
      <c r="B3617" s="2">
        <v>52</v>
      </c>
      <c r="C3617" s="2" t="s">
        <v>5</v>
      </c>
      <c r="D3617" s="2">
        <v>100</v>
      </c>
      <c r="E3617" s="2"/>
      <c r="F3617" s="4" t="str">
        <f>HYPERLINK("./Results/DLO\20200501_1.3.46.670589.33.1.63725560835039149100001.5347888511767194455_201_512_512_\Osteo_Sarco_1.png","RPT")</f>
        <v>RPT</v>
      </c>
      <c r="G3617" s="3">
        <v>168</v>
      </c>
      <c r="H3617" s="3"/>
    </row>
    <row r="3618" spans="1:8" x14ac:dyDescent="0.3">
      <c r="A3618" s="2">
        <v>9945929</v>
      </c>
      <c r="B3618" s="2">
        <v>63</v>
      </c>
      <c r="C3618" s="2" t="s">
        <v>6</v>
      </c>
      <c r="D3618" s="2">
        <v>100</v>
      </c>
      <c r="E3618" s="2"/>
      <c r="F3618" s="4" t="str">
        <f>HYPERLINK("./Results/DLO\20200301_1.3.12.2.1107.5.1.4.54310.30000020032321040095300027110_4_512_512_\Osteo_Sarco_1.png","RPT")</f>
        <v>RPT</v>
      </c>
      <c r="G3618" s="3">
        <v>97</v>
      </c>
      <c r="H3618" s="3"/>
    </row>
    <row r="3619" spans="1:8" x14ac:dyDescent="0.3">
      <c r="A3619" s="2">
        <v>9945929</v>
      </c>
      <c r="B3619" s="2">
        <v>63</v>
      </c>
      <c r="C3619" s="2" t="s">
        <v>6</v>
      </c>
      <c r="D3619" s="2">
        <v>100</v>
      </c>
      <c r="E3619" s="2"/>
      <c r="F3619" s="4" t="str">
        <f>HYPERLINK("./Results/DLO\20200301_1.3.12.2.1107.5.1.4.54310.30000020032321040095300027479_6_512_512_\Osteo_Sarco_1.png","RPT")</f>
        <v>RPT</v>
      </c>
      <c r="G3619" s="3">
        <v>97</v>
      </c>
      <c r="H3619" s="3"/>
    </row>
    <row r="3620" spans="1:8" x14ac:dyDescent="0.3">
      <c r="A3620" s="2">
        <v>9947604</v>
      </c>
      <c r="B3620" s="2">
        <v>55</v>
      </c>
      <c r="C3620" s="2" t="s">
        <v>6</v>
      </c>
      <c r="D3620" s="2">
        <v>100</v>
      </c>
      <c r="E3620" s="2"/>
      <c r="F3620" s="4" t="str">
        <f>HYPERLINK("./Results/DLO\20200401_1.2.840.113619.2.416.34928253740845621910123118420587796959_310_512_512_\Osteo_Sarco_1.png","RPT")</f>
        <v>RPT</v>
      </c>
      <c r="G3620" s="3">
        <v>100</v>
      </c>
      <c r="H3620" s="3"/>
    </row>
    <row r="3621" spans="1:8" x14ac:dyDescent="0.3">
      <c r="A3621" s="2">
        <v>9947689</v>
      </c>
      <c r="B3621" s="2">
        <v>47</v>
      </c>
      <c r="C3621" s="2" t="s">
        <v>6</v>
      </c>
      <c r="D3621" s="2">
        <v>100</v>
      </c>
      <c r="E3621" s="2"/>
      <c r="F3621" s="4" t="str">
        <f>HYPERLINK("./Results/DLO\20200301_1.2.840.113619.2.416.88285016837279560571059547900548487123_310_512_512_\Osteo_Sarco_1.png","RPT")</f>
        <v>RPT</v>
      </c>
      <c r="G3621" s="3">
        <v>99</v>
      </c>
      <c r="H3621" s="3"/>
    </row>
    <row r="3622" spans="1:8" x14ac:dyDescent="0.3">
      <c r="A3622" s="2">
        <v>9949157</v>
      </c>
      <c r="B3622" s="2">
        <v>72</v>
      </c>
      <c r="C3622" s="2" t="s">
        <v>6</v>
      </c>
      <c r="D3622" s="2">
        <v>100</v>
      </c>
      <c r="E3622" s="2"/>
      <c r="F3622" s="4" t="str">
        <f>HYPERLINK("./Results/DLO\20200301_1.3.12.2.1107.5.1.4.54310.30000020032921555831200029143_6_512_512_\Osteo_Sarco_1.png","RPT")</f>
        <v>RPT</v>
      </c>
      <c r="G3622" s="3">
        <v>90</v>
      </c>
      <c r="H3622" s="3"/>
    </row>
    <row r="3623" spans="1:8" x14ac:dyDescent="0.3">
      <c r="A3623" s="2">
        <v>9949157</v>
      </c>
      <c r="B3623" s="2">
        <v>72</v>
      </c>
      <c r="C3623" s="2" t="s">
        <v>6</v>
      </c>
      <c r="D3623" s="2">
        <v>100</v>
      </c>
      <c r="E3623" s="2"/>
      <c r="F3623" s="4" t="str">
        <f>HYPERLINK("./Results/DLO\20200301_1.3.12.2.1107.5.1.4.54310.30000020032921555831200028765_4_512_512_\Osteo_Sarco_1.png","RPT")</f>
        <v>RPT</v>
      </c>
      <c r="G3623" s="3">
        <v>83</v>
      </c>
      <c r="H3623" s="3"/>
    </row>
    <row r="3624" spans="1:8" x14ac:dyDescent="0.3">
      <c r="A3624" s="2">
        <v>9953649</v>
      </c>
      <c r="B3624" s="2">
        <v>49</v>
      </c>
      <c r="C3624" s="2" t="s">
        <v>6</v>
      </c>
      <c r="D3624" s="2">
        <v>100</v>
      </c>
      <c r="E3624" s="2"/>
      <c r="F3624" s="4" t="str">
        <f>HYPERLINK("./Results/DLO\20200401_1.3.12.2.1107.5.1.4.54310.30000020040521135451500037409_2_512_512_\Osteo_Sarco_1.png","RPT")</f>
        <v>RPT</v>
      </c>
      <c r="G3624" s="3">
        <v>93</v>
      </c>
      <c r="H3624" s="3"/>
    </row>
    <row r="3625" spans="1:8" x14ac:dyDescent="0.3">
      <c r="A3625" s="2">
        <v>9955105</v>
      </c>
      <c r="B3625" s="2">
        <v>52</v>
      </c>
      <c r="C3625" s="2" t="s">
        <v>6</v>
      </c>
      <c r="D3625" s="2">
        <v>100</v>
      </c>
      <c r="E3625" s="2"/>
      <c r="F3625" s="4" t="str">
        <f>HYPERLINK("./Results/DLO\20200401_1.2.840.113619.2.416.266102686074743374800492363056499936132_310_512_512_\Osteo_Sarco_1.png","RPT")</f>
        <v>RPT</v>
      </c>
      <c r="G3625" s="3">
        <v>120</v>
      </c>
      <c r="H3625" s="3"/>
    </row>
    <row r="3626" spans="1:8" x14ac:dyDescent="0.3">
      <c r="A3626" s="2">
        <v>9956604</v>
      </c>
      <c r="B3626" s="2">
        <v>36</v>
      </c>
      <c r="C3626" s="2" t="s">
        <v>5</v>
      </c>
      <c r="D3626" s="2">
        <v>100</v>
      </c>
      <c r="E3626" s="2"/>
      <c r="F3626" s="4" t="str">
        <f>HYPERLINK("./Results/DLO\20200401_1.3.46.670589.33.1.63721951412251259200001.5737133859826099069_501_512_512_\Osteo_Sarco_1.png","RPT")</f>
        <v>RPT</v>
      </c>
      <c r="G3626" s="3">
        <v>152</v>
      </c>
      <c r="H3626" s="3"/>
    </row>
    <row r="3627" spans="1:8" x14ac:dyDescent="0.3">
      <c r="A3627" s="2">
        <v>9956604</v>
      </c>
      <c r="B3627" s="2">
        <v>36</v>
      </c>
      <c r="C3627" s="2" t="s">
        <v>5</v>
      </c>
      <c r="D3627" s="2">
        <v>100</v>
      </c>
      <c r="E3627" s="2"/>
      <c r="F3627" s="4" t="str">
        <f>HYPERLINK("./Results/DLO\20200401_1.3.46.670589.33.1.63721951285033982800001.5679732805274984359_301_512_512_\Osteo_Sarco_1.png","RPT")</f>
        <v>RPT</v>
      </c>
      <c r="G3627" s="3">
        <v>151</v>
      </c>
      <c r="H3627" s="3"/>
    </row>
    <row r="3628" spans="1:8" x14ac:dyDescent="0.3">
      <c r="A3628" s="2">
        <v>9963566</v>
      </c>
      <c r="B3628" s="2">
        <v>58</v>
      </c>
      <c r="C3628" s="2" t="s">
        <v>5</v>
      </c>
      <c r="D3628" s="2">
        <v>100</v>
      </c>
      <c r="E3628" s="2"/>
      <c r="F3628" s="4" t="str">
        <f>HYPERLINK("./Results/DLO\20200401_1.3.12.2.1107.5.1.4.54310.30000020041921220792100019632_4_512_512_\Osteo_Sarco_1.png","RPT")</f>
        <v>RPT</v>
      </c>
      <c r="G3628" s="3">
        <v>144</v>
      </c>
      <c r="H3628" s="3"/>
    </row>
    <row r="3629" spans="1:8" x14ac:dyDescent="0.3">
      <c r="A3629" s="2">
        <v>9963566</v>
      </c>
      <c r="B3629" s="2">
        <v>58</v>
      </c>
      <c r="C3629" s="2" t="s">
        <v>5</v>
      </c>
      <c r="D3629" s="2">
        <v>100</v>
      </c>
      <c r="E3629" s="2"/>
      <c r="F3629" s="4" t="str">
        <f>HYPERLINK("./Results/DLO\20200401_1.3.12.2.1107.5.1.4.54310.30000020041921220792100020118_6_512_512_\Osteo_Sarco_1.png","RPT")</f>
        <v>RPT</v>
      </c>
      <c r="G3629" s="3">
        <v>144</v>
      </c>
      <c r="H3629" s="3"/>
    </row>
    <row r="3630" spans="1:8" x14ac:dyDescent="0.3">
      <c r="A3630" s="2">
        <v>9963627</v>
      </c>
      <c r="B3630" s="2">
        <v>50</v>
      </c>
      <c r="C3630" s="2" t="s">
        <v>6</v>
      </c>
      <c r="D3630" s="2">
        <v>100</v>
      </c>
      <c r="E3630" s="2"/>
      <c r="F3630" s="4" t="str">
        <f>HYPERLINK("./Results/DLO\20200401_1.3.12.2.1107.5.1.4.54310.30000020042622125429600047051_8_512_512_\Osteo_Sarco_1.png","RPT")</f>
        <v>RPT</v>
      </c>
      <c r="G3630" s="3">
        <v>128</v>
      </c>
      <c r="H3630" s="3"/>
    </row>
    <row r="3631" spans="1:8" x14ac:dyDescent="0.3">
      <c r="A3631" s="2">
        <v>9967143</v>
      </c>
      <c r="B3631" s="2">
        <v>41</v>
      </c>
      <c r="C3631" s="2" t="s">
        <v>6</v>
      </c>
      <c r="D3631" s="2">
        <v>100</v>
      </c>
      <c r="E3631" s="2"/>
      <c r="F3631" s="4" t="str">
        <f>HYPERLINK("./Results/DLO\20200401_1.2.840.113619.2.416.274683203452496887537421790857049584715_309_512_512_\Osteo_Sarco_1.png","RPT")</f>
        <v>RPT</v>
      </c>
      <c r="G3631" s="3">
        <v>95</v>
      </c>
      <c r="H3631" s="3"/>
    </row>
    <row r="3632" spans="1:8" x14ac:dyDescent="0.3">
      <c r="A3632" s="2">
        <v>9967296</v>
      </c>
      <c r="B3632" s="2">
        <v>59</v>
      </c>
      <c r="C3632" s="2" t="s">
        <v>6</v>
      </c>
      <c r="D3632" s="2">
        <v>100</v>
      </c>
      <c r="E3632" s="2"/>
      <c r="F3632" s="4" t="str">
        <f>HYPERLINK("./Results/DLO\20200401_1.3.12.2.1107.5.1.4.54310.30000020042222003634300037202_7_512_512_\Osteo_Sarco_1.png","RPT")</f>
        <v>RPT</v>
      </c>
      <c r="G3632" s="3">
        <v>118</v>
      </c>
      <c r="H3632" s="3"/>
    </row>
    <row r="3633" spans="1:8" x14ac:dyDescent="0.3">
      <c r="A3633" s="2">
        <v>9970750</v>
      </c>
      <c r="B3633" s="2" t="s">
        <v>3</v>
      </c>
      <c r="C3633" s="2" t="s">
        <v>6</v>
      </c>
      <c r="D3633" s="2">
        <v>100</v>
      </c>
      <c r="E3633" s="2"/>
      <c r="F3633" s="4" t="str">
        <f>HYPERLINK("./Results/DLO\20180501_1.2.410.100011.172.16.64.21.6372452732875738442.3_3_512_512_\Osteo_Sarco_1.png","RPT")</f>
        <v>RPT</v>
      </c>
      <c r="G3633" s="3">
        <v>109</v>
      </c>
      <c r="H3633" s="3"/>
    </row>
    <row r="3634" spans="1:8" x14ac:dyDescent="0.3">
      <c r="A3634" s="2">
        <v>9970750</v>
      </c>
      <c r="B3634" s="2" t="s">
        <v>3</v>
      </c>
      <c r="C3634" s="2" t="s">
        <v>6</v>
      </c>
      <c r="D3634" s="2">
        <v>100</v>
      </c>
      <c r="E3634" s="2"/>
      <c r="F3634" s="4" t="str">
        <f>HYPERLINK("./Results/DLO\20180501_1.2.410.100011.172.16.64.21.6372452732875738442.2_2_512_512_\Osteo_Sarco_1.png","RPT")</f>
        <v>RPT</v>
      </c>
      <c r="G3634" s="3">
        <v>103</v>
      </c>
      <c r="H3634" s="3"/>
    </row>
    <row r="3635" spans="1:8" x14ac:dyDescent="0.3">
      <c r="A3635" s="2">
        <v>9972967</v>
      </c>
      <c r="B3635" s="2">
        <v>58</v>
      </c>
      <c r="C3635" s="2" t="s">
        <v>6</v>
      </c>
      <c r="D3635" s="2">
        <v>100</v>
      </c>
      <c r="E3635" s="2"/>
      <c r="F3635" s="4" t="str">
        <f>HYPERLINK("./Results/DLO\20200501_1.2.840.113619.2.416.194970229939116807540023958066662443766_307_512_512_\Osteo_Sarco_1.png","RPT")</f>
        <v>RPT</v>
      </c>
      <c r="G3635" s="3">
        <v>89</v>
      </c>
      <c r="H3635" s="3"/>
    </row>
    <row r="3636" spans="1:8" x14ac:dyDescent="0.3">
      <c r="A3636" s="2">
        <v>9974456</v>
      </c>
      <c r="B3636" s="2">
        <v>60</v>
      </c>
      <c r="C3636" s="2" t="s">
        <v>5</v>
      </c>
      <c r="D3636" s="2">
        <v>100</v>
      </c>
      <c r="E3636" s="2"/>
      <c r="F3636" s="4" t="str">
        <f>HYPERLINK("./Results/DLO\20200201_1.2.410.100011.172.16.64.21.6372634069528479411.5_5_512_512_\Osteo_Sarco_1.png","RPT")</f>
        <v>RPT</v>
      </c>
      <c r="G3636" s="3">
        <v>156</v>
      </c>
      <c r="H3636" s="3"/>
    </row>
    <row r="3637" spans="1:8" x14ac:dyDescent="0.3">
      <c r="A3637" s="2">
        <v>9974456</v>
      </c>
      <c r="B3637" s="2">
        <v>60</v>
      </c>
      <c r="C3637" s="2" t="s">
        <v>5</v>
      </c>
      <c r="D3637" s="2">
        <v>100</v>
      </c>
      <c r="E3637" s="2"/>
      <c r="F3637" s="4" t="str">
        <f>HYPERLINK("./Results/DLO\20200201_1.2.410.100011.172.16.64.21.6372634069528479411.3_3_512_512_\Osteo_Sarco_1.png","RPT")</f>
        <v>RPT</v>
      </c>
      <c r="G3637" s="3">
        <v>155</v>
      </c>
      <c r="H3637" s="3"/>
    </row>
    <row r="3638" spans="1:8" x14ac:dyDescent="0.3">
      <c r="A3638" s="2">
        <v>9974456</v>
      </c>
      <c r="B3638" s="2">
        <v>60</v>
      </c>
      <c r="C3638" s="2" t="s">
        <v>5</v>
      </c>
      <c r="D3638" s="2">
        <v>100</v>
      </c>
      <c r="E3638" s="2"/>
      <c r="F3638" s="4" t="str">
        <f>HYPERLINK("./Results/DLO\20200201_1.2.410.100011.172.16.64.21.6372634069528479411.4_4_512_512_\Osteo_Sarco_1.png","RPT")</f>
        <v>RPT</v>
      </c>
      <c r="G3638" s="3">
        <v>154</v>
      </c>
      <c r="H3638" s="3"/>
    </row>
    <row r="3639" spans="1:8" x14ac:dyDescent="0.3">
      <c r="A3639" s="2">
        <v>9974456</v>
      </c>
      <c r="B3639" s="2">
        <v>60</v>
      </c>
      <c r="C3639" s="2" t="s">
        <v>5</v>
      </c>
      <c r="D3639" s="2">
        <v>100</v>
      </c>
      <c r="E3639" s="2"/>
      <c r="F3639" s="4" t="str">
        <f>HYPERLINK("./Results/DLO\20200201_1.2.410.100011.172.16.64.21.6372634069528479411.2_2_512_512_\Osteo_Sarco_1.png","RPT")</f>
        <v>RPT</v>
      </c>
      <c r="G3639" s="3">
        <v>151</v>
      </c>
      <c r="H3639" s="3"/>
    </row>
    <row r="3640" spans="1:8" x14ac:dyDescent="0.3">
      <c r="A3640" s="2">
        <v>9975123</v>
      </c>
      <c r="B3640" s="2">
        <v>53</v>
      </c>
      <c r="C3640" s="2" t="s">
        <v>6</v>
      </c>
      <c r="D3640" s="2">
        <v>100</v>
      </c>
      <c r="E3640" s="2"/>
      <c r="F3640" s="4" t="str">
        <f>HYPERLINK("./Results/DLO\20200601_1.3.12.2.1107.5.1.4.54310.30000020062421294853100053888_7_512_512_\Osteo_Sarco_1.png","RPT")</f>
        <v>RPT</v>
      </c>
      <c r="G3640" s="3">
        <v>110</v>
      </c>
      <c r="H3640" s="3"/>
    </row>
    <row r="3641" spans="1:8" x14ac:dyDescent="0.3">
      <c r="A3641" s="2">
        <v>9975181</v>
      </c>
      <c r="B3641" s="2">
        <v>42</v>
      </c>
      <c r="C3641" s="2" t="s">
        <v>6</v>
      </c>
      <c r="D3641" s="2">
        <v>120</v>
      </c>
      <c r="E3641" s="2"/>
      <c r="F3641" s="4" t="str">
        <f>HYPERLINK("./Results/DLO\_1.2.410.100011.172.16.64.21.6372445525115070812.4_4_512_512_\Osteo_Sarco_1.png","RPT")</f>
        <v>RPT</v>
      </c>
      <c r="G3641" s="3">
        <v>99</v>
      </c>
      <c r="H3641" s="3"/>
    </row>
    <row r="3642" spans="1:8" x14ac:dyDescent="0.3">
      <c r="A3642" s="2">
        <v>9975181</v>
      </c>
      <c r="B3642" s="2">
        <v>42</v>
      </c>
      <c r="C3642" s="2" t="s">
        <v>6</v>
      </c>
      <c r="D3642" s="2">
        <v>120</v>
      </c>
      <c r="E3642" s="2"/>
      <c r="F3642" s="4" t="str">
        <f>HYPERLINK("./Results/DLO\_1.2.410.100011.172.16.64.21.6372445525115070812.3_3_512_512_\Osteo_Sarco_1.png","RPT")</f>
        <v>RPT</v>
      </c>
      <c r="G3642" s="3">
        <v>98</v>
      </c>
      <c r="H3642" s="3"/>
    </row>
    <row r="3643" spans="1:8" x14ac:dyDescent="0.3">
      <c r="A3643" s="2">
        <v>9975181</v>
      </c>
      <c r="B3643" s="2">
        <v>42</v>
      </c>
      <c r="C3643" s="2" t="s">
        <v>6</v>
      </c>
      <c r="D3643" s="2">
        <v>120</v>
      </c>
      <c r="E3643" s="2"/>
      <c r="F3643" s="4" t="str">
        <f>HYPERLINK("./Results/DLO\_1.2.410.100011.172.16.64.21.6372445525115070812.2_2_512_512_\Osteo_Sarco_1.png","RPT")</f>
        <v>RPT</v>
      </c>
      <c r="G3643" s="3">
        <v>96</v>
      </c>
      <c r="H3643" s="3"/>
    </row>
    <row r="3644" spans="1:8" x14ac:dyDescent="0.3">
      <c r="A3644" s="2">
        <v>9976954</v>
      </c>
      <c r="B3644" s="2">
        <v>62</v>
      </c>
      <c r="C3644" s="2" t="s">
        <v>6</v>
      </c>
      <c r="D3644" s="2">
        <v>100</v>
      </c>
      <c r="E3644" s="2"/>
      <c r="F3644" s="4" t="str">
        <f>HYPERLINK("./Results/DLO\20200501_1.3.12.2.1107.5.1.4.54310.30000020051022522803100031576_7_512_512_\Osteo_Sarco_1.png","RPT")</f>
        <v>RPT</v>
      </c>
      <c r="G3644" s="3">
        <v>85</v>
      </c>
      <c r="H3644" s="3"/>
    </row>
    <row r="3645" spans="1:8" x14ac:dyDescent="0.3">
      <c r="A3645" s="2">
        <v>9978341</v>
      </c>
      <c r="B3645" s="2">
        <v>75</v>
      </c>
      <c r="C3645" s="2" t="s">
        <v>6</v>
      </c>
      <c r="D3645" s="2">
        <v>100</v>
      </c>
      <c r="E3645" s="2"/>
      <c r="F3645" s="4" t="str">
        <f>HYPERLINK("./Results/DLO\20200401_1.2.410.100011.172.24.16.221.6372478949117346752.3_3_512_512_\Osteo_Sarco_1.png","RPT")</f>
        <v>RPT</v>
      </c>
      <c r="G3645" s="3">
        <v>96</v>
      </c>
      <c r="H3645" s="3"/>
    </row>
    <row r="3646" spans="1:8" x14ac:dyDescent="0.3">
      <c r="A3646" s="2">
        <v>9978341</v>
      </c>
      <c r="B3646" s="2">
        <v>75</v>
      </c>
      <c r="C3646" s="2" t="s">
        <v>6</v>
      </c>
      <c r="D3646" s="2">
        <v>100</v>
      </c>
      <c r="E3646" s="2"/>
      <c r="F3646" s="4" t="str">
        <f>HYPERLINK("./Results/DLO\20200401_1.2.410.100011.172.24.16.221.6372478949117346752.5_5_512_512_\Osteo_Sarco_1.png","RPT")</f>
        <v>RPT</v>
      </c>
      <c r="G3646" s="3">
        <v>60</v>
      </c>
      <c r="H3646" s="3"/>
    </row>
    <row r="3647" spans="1:8" x14ac:dyDescent="0.3">
      <c r="A3647" s="2">
        <v>9978341</v>
      </c>
      <c r="B3647" s="2">
        <v>75</v>
      </c>
      <c r="C3647" s="2" t="s">
        <v>6</v>
      </c>
      <c r="D3647" s="2">
        <v>100</v>
      </c>
      <c r="E3647" s="2"/>
      <c r="F3647" s="4" t="str">
        <f>HYPERLINK("./Results/DLO\20200401_1.2.410.100011.172.24.16.221.6372478949117346752.4_4_512_512_\Osteo_Sarco_1.png","RPT")</f>
        <v>RPT</v>
      </c>
      <c r="G3647" s="3">
        <v>57</v>
      </c>
      <c r="H3647" s="3"/>
    </row>
    <row r="3648" spans="1:8" x14ac:dyDescent="0.3">
      <c r="A3648" s="2">
        <v>9978341</v>
      </c>
      <c r="B3648" s="2">
        <v>75</v>
      </c>
      <c r="C3648" s="2" t="s">
        <v>6</v>
      </c>
      <c r="D3648" s="2">
        <v>100</v>
      </c>
      <c r="E3648" s="2"/>
      <c r="F3648" s="4" t="str">
        <f>HYPERLINK("./Results/DLO\20200401_1.2.410.100011.172.24.16.221.6372478949117346752.2_2_512_512_\Osteo_Sarco_1.png","RPT")</f>
        <v>RPT</v>
      </c>
      <c r="G3648" s="3">
        <v>30</v>
      </c>
      <c r="H3648" s="3"/>
    </row>
    <row r="3649" spans="1:8" x14ac:dyDescent="0.3">
      <c r="A3649" s="2">
        <v>9988990</v>
      </c>
      <c r="B3649" s="2">
        <v>55</v>
      </c>
      <c r="C3649" s="2" t="s">
        <v>5</v>
      </c>
      <c r="D3649" s="2">
        <v>100</v>
      </c>
      <c r="E3649" s="2"/>
      <c r="F3649" s="4" t="str">
        <f>HYPERLINK("./Results/DLO\20200601_1.3.46.670589.33.1.63728592492401107800001.4650917021105646796_201_512_512_\Osteo_Sarco_1.png","RPT")</f>
        <v>RPT</v>
      </c>
      <c r="G3649" s="3">
        <v>151</v>
      </c>
      <c r="H3649" s="3"/>
    </row>
    <row r="3650" spans="1:8" x14ac:dyDescent="0.3">
      <c r="A3650" s="2">
        <v>9990204</v>
      </c>
      <c r="B3650" s="2">
        <v>37</v>
      </c>
      <c r="C3650" s="2" t="s">
        <v>6</v>
      </c>
      <c r="D3650" s="2">
        <v>100</v>
      </c>
      <c r="E3650" s="2"/>
      <c r="F3650" s="4" t="str">
        <f>HYPERLINK("./Results/DLO\20200501_1.2.840.113619.2.416.237334515615484104432744409195057542519_307_512_512_\Osteo_Sarco_1.png","RPT")</f>
        <v>RPT</v>
      </c>
      <c r="G3650" s="3">
        <v>109</v>
      </c>
      <c r="H3650" s="3"/>
    </row>
    <row r="3651" spans="1:8" x14ac:dyDescent="0.3">
      <c r="A3651" s="2">
        <v>9992337</v>
      </c>
      <c r="B3651" s="2">
        <v>41</v>
      </c>
      <c r="C3651" s="2" t="s">
        <v>6</v>
      </c>
      <c r="D3651" s="2">
        <v>100</v>
      </c>
      <c r="E3651" s="2"/>
      <c r="F3651" s="4" t="str">
        <f>HYPERLINK("./Results/DLO\20200501_1.2.840.113619.2.416.160252790045503427772612870445515768120_307_512_512_\Osteo_Sarco_1.png","RPT")</f>
        <v>RPT</v>
      </c>
      <c r="G3651" s="3">
        <v>116</v>
      </c>
      <c r="H3651" s="3"/>
    </row>
    <row r="3652" spans="1:8" x14ac:dyDescent="0.3">
      <c r="A3652" s="2">
        <v>9995235</v>
      </c>
      <c r="B3652" s="2">
        <v>61</v>
      </c>
      <c r="C3652" s="2" t="s">
        <v>6</v>
      </c>
      <c r="D3652" s="2">
        <v>140</v>
      </c>
      <c r="E3652" s="2"/>
      <c r="F3652" s="4" t="str">
        <f>HYPERLINK("./Results/DLO\20200501_1.2.840.113619.2.416.287733589233726678190518643755247694404_304_512_512_\Osteo_Sarco_1.png","RPT")</f>
        <v>RPT</v>
      </c>
      <c r="G3652" s="3">
        <v>95</v>
      </c>
      <c r="H3652" s="3"/>
    </row>
    <row r="3653" spans="1:8" x14ac:dyDescent="0.3">
      <c r="A3653" s="2">
        <v>9995235</v>
      </c>
      <c r="B3653" s="2">
        <v>61</v>
      </c>
      <c r="C3653" s="2" t="s">
        <v>6</v>
      </c>
      <c r="D3653" s="2">
        <v>140</v>
      </c>
      <c r="E3653" s="2"/>
      <c r="F3653" s="4" t="str">
        <f>HYPERLINK("./Results/DLO\20200501_1.2.840.113619.2.416.224227781647579390584662219566334583012_303_512_512_\Osteo_Sarco_1.png","RPT")</f>
        <v>RPT</v>
      </c>
      <c r="G3653" s="3">
        <v>92</v>
      </c>
      <c r="H3653" s="3"/>
    </row>
    <row r="3654" spans="1:8" x14ac:dyDescent="0.3">
      <c r="A3654" s="2">
        <v>9995235</v>
      </c>
      <c r="B3654" s="2">
        <v>61</v>
      </c>
      <c r="C3654" s="2" t="s">
        <v>6</v>
      </c>
      <c r="D3654" s="2">
        <v>140</v>
      </c>
      <c r="E3654" s="2"/>
      <c r="F3654" s="4" t="str">
        <f>HYPERLINK("./Results/DLO\20200501_1.2.840.113619.2.416.29035135474039654920963412059698635769_301_512_512_\Osteo_Sarco_1.png","RPT")</f>
        <v>RPT</v>
      </c>
      <c r="G3654" s="3">
        <v>92</v>
      </c>
      <c r="H3654" s="3"/>
    </row>
    <row r="3655" spans="1:8" x14ac:dyDescent="0.3">
      <c r="A3655" s="2">
        <v>10006996</v>
      </c>
      <c r="B3655" s="2">
        <v>30</v>
      </c>
      <c r="C3655" s="2" t="s">
        <v>5</v>
      </c>
      <c r="D3655" s="2">
        <v>120</v>
      </c>
      <c r="E3655" s="2"/>
      <c r="F3655" s="4" t="str">
        <f>HYPERLINK("./Results/DLO\20200601_1.2.410.100011.172.16.44.21.6372724507372533372.2_2_512_512_\Osteo_Sarco_1.png","RPT")</f>
        <v>RPT</v>
      </c>
      <c r="G3655" s="3">
        <v>147</v>
      </c>
      <c r="H3655" s="3"/>
    </row>
    <row r="3656" spans="1:8" x14ac:dyDescent="0.3">
      <c r="A3656" s="2">
        <v>10006996</v>
      </c>
      <c r="B3656" s="2">
        <v>30</v>
      </c>
      <c r="C3656" s="2" t="s">
        <v>5</v>
      </c>
      <c r="D3656" s="2">
        <v>120</v>
      </c>
      <c r="E3656" s="2"/>
      <c r="F3656" s="4" t="str">
        <f>HYPERLINK("./Results/DLO\20200601_1.2.410.100011.172.16.44.21.6372724507372533372.3_3_512_512_\Osteo_Sarco_1.png","RPT")</f>
        <v>RPT</v>
      </c>
      <c r="G3656" s="3">
        <v>147</v>
      </c>
      <c r="H3656" s="3"/>
    </row>
    <row r="3657" spans="1:8" x14ac:dyDescent="0.3">
      <c r="A3657" s="2">
        <v>10009144</v>
      </c>
      <c r="B3657" s="2">
        <v>59</v>
      </c>
      <c r="C3657" s="2" t="s">
        <v>6</v>
      </c>
      <c r="D3657" s="2">
        <v>100</v>
      </c>
      <c r="E3657" s="2"/>
      <c r="F3657" s="4" t="str">
        <f>HYPERLINK("./Results/DLO\20200501_1.2.840.113619.2.416.262326276205028591567649050373012801924_307_512_512_\Osteo_Sarco_1.png","RPT")</f>
        <v>RPT</v>
      </c>
      <c r="G3657" s="3">
        <v>137</v>
      </c>
      <c r="H3657" s="3"/>
    </row>
    <row r="3658" spans="1:8" x14ac:dyDescent="0.3">
      <c r="A3658" s="2">
        <v>10009663</v>
      </c>
      <c r="B3658" s="2">
        <v>51</v>
      </c>
      <c r="C3658" s="2" t="s">
        <v>6</v>
      </c>
      <c r="D3658" s="2">
        <v>100</v>
      </c>
      <c r="E3658" s="2"/>
      <c r="F3658" s="4" t="str">
        <f>HYPERLINK("./Results/DLO\20200601_1.3.12.2.1107.5.1.4.54310.30000020061120512217100005696_3_512_512_\Osteo_Sarco_1.png","RPT")</f>
        <v>RPT</v>
      </c>
      <c r="G3658" s="3">
        <v>100</v>
      </c>
      <c r="H3658" s="3"/>
    </row>
    <row r="3659" spans="1:8" x14ac:dyDescent="0.3">
      <c r="A3659" s="2">
        <v>10009663</v>
      </c>
      <c r="B3659" s="2">
        <v>51</v>
      </c>
      <c r="C3659" s="2" t="s">
        <v>6</v>
      </c>
      <c r="D3659" s="2">
        <v>100</v>
      </c>
      <c r="E3659" s="2"/>
      <c r="F3659" s="4" t="str">
        <f>HYPERLINK("./Results/DLO\20200601_1.3.12.2.1107.5.1.4.54310.30000020061120512217100006431_8_512_512_\Osteo_Sarco_1.png","RPT")</f>
        <v>RPT</v>
      </c>
      <c r="G3659" s="3">
        <v>99</v>
      </c>
      <c r="H3659" s="3"/>
    </row>
    <row r="3660" spans="1:8" x14ac:dyDescent="0.3">
      <c r="A3660" s="2">
        <v>10009663</v>
      </c>
      <c r="B3660" s="2">
        <v>51</v>
      </c>
      <c r="C3660" s="2" t="s">
        <v>6</v>
      </c>
      <c r="D3660" s="2">
        <v>100</v>
      </c>
      <c r="E3660" s="2"/>
      <c r="F3660" s="4" t="str">
        <f>HYPERLINK("./Results/DLO\20200601_1.3.12.2.1107.5.1.4.54310.30000020061120512217100005843_5_512_512_\Osteo_Sarco_1.png","RPT")</f>
        <v>RPT</v>
      </c>
      <c r="G3660" s="3">
        <v>98</v>
      </c>
      <c r="H3660" s="3"/>
    </row>
    <row r="3661" spans="1:8" x14ac:dyDescent="0.3">
      <c r="A3661" s="2">
        <v>10011634</v>
      </c>
      <c r="B3661" s="2">
        <v>58</v>
      </c>
      <c r="C3661" s="2" t="s">
        <v>5</v>
      </c>
      <c r="D3661" s="2">
        <v>100</v>
      </c>
      <c r="E3661" s="2"/>
      <c r="F3661" s="4" t="str">
        <f>HYPERLINK("./Results/DLO\20200601_1.2.410.100011.172.24.16.220.6372782620421900382.4_4_512_512_\Osteo_Sarco_1.png","RPT")</f>
        <v>RPT</v>
      </c>
      <c r="G3661" s="3">
        <v>168</v>
      </c>
      <c r="H3661" s="3"/>
    </row>
    <row r="3662" spans="1:8" x14ac:dyDescent="0.3">
      <c r="A3662" s="2">
        <v>10011634</v>
      </c>
      <c r="B3662" s="2">
        <v>58</v>
      </c>
      <c r="C3662" s="2" t="s">
        <v>5</v>
      </c>
      <c r="D3662" s="2">
        <v>100</v>
      </c>
      <c r="E3662" s="2"/>
      <c r="F3662" s="4" t="str">
        <f>HYPERLINK("./Results/DLO\20200601_1.2.410.100011.172.24.16.220.6372782620421900382.3_3_512_512_\Osteo_Sarco_1.png","RPT")</f>
        <v>RPT</v>
      </c>
      <c r="G3662" s="3">
        <v>166</v>
      </c>
      <c r="H3662" s="3"/>
    </row>
    <row r="3663" spans="1:8" x14ac:dyDescent="0.3">
      <c r="A3663" s="2">
        <v>10011634</v>
      </c>
      <c r="B3663" s="2">
        <v>58</v>
      </c>
      <c r="C3663" s="2" t="s">
        <v>5</v>
      </c>
      <c r="D3663" s="2">
        <v>100</v>
      </c>
      <c r="E3663" s="2"/>
      <c r="F3663" s="4" t="str">
        <f>HYPERLINK("./Results/DLO\20200601_1.2.410.100011.172.24.16.220.6372782620421900382.2_2_512_512_\Osteo_Sarco_1.png","RPT")</f>
        <v>RPT</v>
      </c>
      <c r="G3663" s="3">
        <v>163</v>
      </c>
      <c r="H3663" s="3"/>
    </row>
    <row r="3664" spans="1:8" x14ac:dyDescent="0.3">
      <c r="A3664" s="2">
        <v>10013411</v>
      </c>
      <c r="B3664" s="2">
        <v>59</v>
      </c>
      <c r="C3664" s="2" t="s">
        <v>6</v>
      </c>
      <c r="D3664" s="2">
        <v>100</v>
      </c>
      <c r="E3664" s="2"/>
      <c r="F3664" s="4" t="str">
        <f>HYPERLINK("./Results/DLO\20200601_1.2.840.113619.2.416.147379348716436545238771801777364780392_307_512_512_\Osteo_Sarco_1.png","RPT")</f>
        <v>RPT</v>
      </c>
      <c r="G3664" s="3">
        <v>108</v>
      </c>
      <c r="H3664" s="3"/>
    </row>
    <row r="3665" spans="1:8" x14ac:dyDescent="0.3">
      <c r="A3665" s="2">
        <v>10013539</v>
      </c>
      <c r="B3665" s="2">
        <v>61</v>
      </c>
      <c r="C3665" s="2" t="s">
        <v>5</v>
      </c>
      <c r="D3665" s="2">
        <v>130</v>
      </c>
      <c r="E3665" s="2"/>
      <c r="F3665" s="4" t="str">
        <f>HYPERLINK("./Results/DLO\20200601_1.2.410.100011.172.16.64.21.6372781872360119002.2_2_512_512_\Osteo_Sarco_1.png","RPT")</f>
        <v>RPT</v>
      </c>
      <c r="G3665" s="3">
        <v>144</v>
      </c>
      <c r="H3665" s="3"/>
    </row>
    <row r="3666" spans="1:8" x14ac:dyDescent="0.3">
      <c r="A3666" s="2">
        <v>10013539</v>
      </c>
      <c r="B3666" s="2">
        <v>61</v>
      </c>
      <c r="C3666" s="2" t="s">
        <v>5</v>
      </c>
      <c r="D3666" s="2">
        <v>130</v>
      </c>
      <c r="E3666" s="2"/>
      <c r="F3666" s="4" t="str">
        <f>HYPERLINK("./Results/DLO\20200601_1.2.410.100011.172.16.64.21.6372781872360119002.5_5_512_512_\Osteo_Sarco_1.png","RPT")</f>
        <v>RPT</v>
      </c>
      <c r="G3666" s="3">
        <v>143</v>
      </c>
      <c r="H3666" s="3"/>
    </row>
    <row r="3667" spans="1:8" x14ac:dyDescent="0.3">
      <c r="A3667" s="2">
        <v>10013539</v>
      </c>
      <c r="B3667" s="2">
        <v>61</v>
      </c>
      <c r="C3667" s="2" t="s">
        <v>5</v>
      </c>
      <c r="D3667" s="2">
        <v>130</v>
      </c>
      <c r="E3667" s="2"/>
      <c r="F3667" s="4" t="str">
        <f>HYPERLINK("./Results/DLO\20200601_1.2.410.100011.172.16.64.21.6372781872360119002.4_4_512_512_\Osteo_Sarco_1.png","RPT")</f>
        <v>RPT</v>
      </c>
      <c r="G3667" s="3">
        <v>142</v>
      </c>
      <c r="H3667" s="3"/>
    </row>
    <row r="3668" spans="1:8" x14ac:dyDescent="0.3">
      <c r="A3668" s="2">
        <v>10013539</v>
      </c>
      <c r="B3668" s="2">
        <v>61</v>
      </c>
      <c r="C3668" s="2" t="s">
        <v>5</v>
      </c>
      <c r="D3668" s="2">
        <v>130</v>
      </c>
      <c r="E3668" s="2"/>
      <c r="F3668" s="4" t="str">
        <f>HYPERLINK("./Results/DLO\20200601_1.2.410.100011.172.16.64.21.6372781872360119002.3_3_512_512_\Osteo_Sarco_1.png","RPT")</f>
        <v>RPT</v>
      </c>
      <c r="G3668" s="3">
        <v>139</v>
      </c>
      <c r="H3668" s="3"/>
    </row>
    <row r="3669" spans="1:8" x14ac:dyDescent="0.3">
      <c r="A3669" s="2">
        <v>10015741</v>
      </c>
      <c r="B3669" s="2">
        <v>64</v>
      </c>
      <c r="C3669" s="2" t="s">
        <v>6</v>
      </c>
      <c r="D3669" s="2">
        <v>100</v>
      </c>
      <c r="E3669" s="2"/>
      <c r="F3669" s="4" t="str">
        <f>HYPERLINK("./Results/DLO\20200601_1.3.12.2.1107.5.1.4.54310.30000020062122312240600054165_7_512_512_\Osteo_Sarco_1.png","RPT")</f>
        <v>RPT</v>
      </c>
      <c r="G3669" s="3">
        <v>117</v>
      </c>
      <c r="H3669" s="3"/>
    </row>
    <row r="3670" spans="1:8" x14ac:dyDescent="0.3">
      <c r="A3670" s="2">
        <v>10019743</v>
      </c>
      <c r="B3670" s="2">
        <v>56</v>
      </c>
      <c r="C3670" s="2" t="s">
        <v>5</v>
      </c>
      <c r="D3670" s="2">
        <v>100</v>
      </c>
      <c r="E3670" s="2"/>
      <c r="F3670" s="4" t="str">
        <f>HYPERLINK("./Results/DLO\20200601_1.2.410.100011.172.16.68.114.6372910216606539069.3_3_512_512_\Osteo_Sarco_1.png","RPT")</f>
        <v>RPT</v>
      </c>
      <c r="G3670" s="3">
        <v>149</v>
      </c>
      <c r="H3670" s="3"/>
    </row>
    <row r="3671" spans="1:8" x14ac:dyDescent="0.3">
      <c r="A3671" s="2">
        <v>10019743</v>
      </c>
      <c r="B3671" s="2">
        <v>56</v>
      </c>
      <c r="C3671" s="2" t="s">
        <v>5</v>
      </c>
      <c r="D3671" s="2">
        <v>100</v>
      </c>
      <c r="E3671" s="2"/>
      <c r="F3671" s="4" t="str">
        <f>HYPERLINK("./Results/DLO\20200601_1.2.410.100011.172.16.68.114.6372910216606539069.2_2_512_512_\Osteo_Sarco_1.png","RPT")</f>
        <v>RPT</v>
      </c>
      <c r="G3671" s="3">
        <v>147</v>
      </c>
      <c r="H3671" s="3"/>
    </row>
    <row r="3672" spans="1:8" x14ac:dyDescent="0.3">
      <c r="A3672" s="2">
        <v>10021153</v>
      </c>
      <c r="B3672" s="2">
        <v>52</v>
      </c>
      <c r="C3672" s="2" t="s">
        <v>6</v>
      </c>
      <c r="D3672" s="2">
        <v>100</v>
      </c>
      <c r="E3672" s="2"/>
      <c r="F3672" s="4" t="str">
        <f>HYPERLINK("./Results/DLO\20200601_1.3.12.2.1107.5.1.4.54310.30000020062822352337500035239_7_512_512_\Osteo_Sarco_1.png","RPT")</f>
        <v>RPT</v>
      </c>
      <c r="G3672" s="3">
        <v>127</v>
      </c>
      <c r="H3672" s="3"/>
    </row>
    <row r="3673" spans="1:8" x14ac:dyDescent="0.3">
      <c r="A3673" s="2">
        <v>10813199</v>
      </c>
      <c r="B3673" s="2">
        <v>80</v>
      </c>
      <c r="C3673" s="2" t="s">
        <v>5</v>
      </c>
      <c r="D3673" s="2">
        <v>100</v>
      </c>
      <c r="E3673" s="2"/>
      <c r="F3673" s="4" t="str">
        <f>HYPERLINK("./Results/DLO\20200601_1.3.12.2.1107.5.1.4.65253.30000020061800460203000084815_3_512_512_\Osteo_Sarco_1.png","RPT")</f>
        <v>RPT</v>
      </c>
      <c r="G3673" s="3">
        <v>75</v>
      </c>
      <c r="H3673" s="3"/>
    </row>
    <row r="3674" spans="1:8" x14ac:dyDescent="0.3">
      <c r="A3674" s="2">
        <v>10813199</v>
      </c>
      <c r="B3674" s="2">
        <v>80</v>
      </c>
      <c r="C3674" s="2" t="s">
        <v>5</v>
      </c>
      <c r="D3674" s="2">
        <v>100</v>
      </c>
      <c r="E3674" s="2"/>
      <c r="F3674" s="4" t="str">
        <f>HYPERLINK("./Results/DLO\20200601_1.3.12.2.1107.5.1.4.65253.30000020061800460203000084648_2_512_512_\Osteo_Sarco_1.png","RPT")</f>
        <v>RPT</v>
      </c>
      <c r="G3674" s="3">
        <v>63</v>
      </c>
      <c r="H3674" s="3"/>
    </row>
    <row r="3675" spans="1:8" x14ac:dyDescent="0.3">
      <c r="A3675" s="2">
        <v>11290398</v>
      </c>
      <c r="B3675" s="2">
        <v>58</v>
      </c>
      <c r="C3675" s="2" t="s">
        <v>6</v>
      </c>
      <c r="D3675" s="2">
        <v>100</v>
      </c>
      <c r="E3675" s="2"/>
      <c r="F3675" s="4" t="str">
        <f>HYPERLINK("./Results/DLO\20190101_1.3.12.2.1107.5.1.4.54310.30000019010200054464000005359_2_512_512_\Osteo_Sarco_1.png","RPT")</f>
        <v>RPT</v>
      </c>
      <c r="G3675" s="3">
        <v>84</v>
      </c>
      <c r="H3675" s="3"/>
    </row>
  </sheetData>
  <autoFilter ref="A1:H3675" xr:uid="{00000000-0009-0000-0000-000000000000}">
    <sortState xmlns:xlrd2="http://schemas.microsoft.com/office/spreadsheetml/2017/richdata2" ref="A2:H3675">
      <sortCondition ref="A1:A3675"/>
    </sortState>
  </autoFilter>
  <phoneticPr fontId="3" type="noConversion"/>
  <pageMargins left="0.75" right="0.75" top="1" bottom="1" header="0.5" footer="0.5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전장훈</cp:lastModifiedBy>
  <cp:revision>2</cp:revision>
  <dcterms:created xsi:type="dcterms:W3CDTF">2025-12-22T09:10:57Z</dcterms:created>
  <dcterms:modified xsi:type="dcterms:W3CDTF">2026-06-23T07:12:46Z</dcterms:modified>
  <cp:version>1000.0100.01</cp:version>
</cp:coreProperties>
</file>