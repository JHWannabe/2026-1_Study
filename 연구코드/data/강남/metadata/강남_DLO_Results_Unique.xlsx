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2130" yWindow="3645" windowWidth="24075" windowHeight="1129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'Sheet1'!$A$1:$H$2374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color rgb="FF0000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FF"/>
      <sz val="11"/>
      <u val="single"/>
    </font>
    <font>
      <name val="돋움"/>
      <charset val="129"/>
      <family val="3"/>
      <sz val="8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 val="1"/>
      </font>
    </dxf>
    <dxf>
      <font>
        <b val="1"/>
      </font>
    </dxf>
    <dxf>
      <font>
        <b val="1"/>
      </font>
      <border>
        <top style="thin">
          <color rgb="FF6182D6"/>
        </top>
      </border>
    </dxf>
    <dxf>
      <font>
        <b val="1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653"/>
  <sheetViews>
    <sheetView tabSelected="1" zoomScaleNormal="100" zoomScaleSheetLayoutView="75" workbookViewId="0">
      <pane ySplit="1" topLeftCell="A2" activePane="bottomLeft" state="frozen"/>
      <selection pane="bottomLeft" activeCell="G3" sqref="G3"/>
    </sheetView>
  </sheetViews>
  <sheetFormatPr baseColWidth="8" defaultColWidth="8.875" defaultRowHeight="16.5" outlineLevelCol="0"/>
  <cols>
    <col width="13.625" customWidth="1" style="1" min="1" max="3"/>
    <col width="13.625" customWidth="1" style="1" min="5" max="7"/>
    <col width="10.5" customWidth="1" style="1" min="9" max="11"/>
  </cols>
  <sheetData>
    <row r="1">
      <c r="A1" s="5" t="inlineStr">
        <is>
          <t>PatientID</t>
        </is>
      </c>
      <c r="B1" s="5" t="inlineStr">
        <is>
          <t>PatientAge</t>
        </is>
      </c>
      <c r="C1" s="5" t="inlineStr">
        <is>
          <t>PatientSex</t>
        </is>
      </c>
      <c r="D1" s="5" t="inlineStr">
        <is>
          <t>kVp</t>
        </is>
      </c>
      <c r="E1" s="5" t="inlineStr">
        <is>
          <t>SRC_Report</t>
        </is>
      </c>
      <c r="F1" s="5" t="inlineStr">
        <is>
          <t>TAMA</t>
        </is>
      </c>
      <c r="G1" s="5" t="inlineStr">
        <is>
          <t>IMATA</t>
        </is>
      </c>
      <c r="H1" s="5" t="inlineStr">
        <is>
          <t>BMI</t>
        </is>
      </c>
      <c r="I1" t="inlineStr">
        <is>
          <t>ManufacturerModelName</t>
        </is>
      </c>
      <c r="J1" t="inlineStr">
        <is>
          <t>SeriesDescription</t>
        </is>
      </c>
    </row>
    <row r="2">
      <c r="A2" s="2" t="n">
        <v>8246290</v>
      </c>
      <c r="B2" s="2" t="n">
        <v>11</v>
      </c>
      <c r="C2" s="2" t="inlineStr">
        <is>
          <t>F</t>
        </is>
      </c>
      <c r="D2" s="2" t="n">
        <v>100</v>
      </c>
      <c r="E2" s="4">
        <f>HYPERLINK("./Results/DLO\20190101_1.3.12.2.1107.5.1.4.65253.30000019013020590609200035848_2_512_512_\Osteo_Sarco_1.png","RPT")</f>
        <v/>
      </c>
      <c r="F2" s="3" t="n">
        <v>92</v>
      </c>
      <c r="G2" s="3" t="n">
        <v>6</v>
      </c>
      <c r="H2" s="7" t="n"/>
      <c r="I2" t="inlineStr">
        <is>
          <t>SOMATOM Definition AS</t>
        </is>
      </c>
      <c r="J2" t="inlineStr">
        <is>
          <t>With Contrast 3.0 B30f</t>
        </is>
      </c>
    </row>
    <row r="3">
      <c r="A3" s="2" t="n">
        <v>8880464</v>
      </c>
      <c r="B3" s="2" t="n">
        <v>14</v>
      </c>
      <c r="C3" s="2" t="inlineStr">
        <is>
          <t>F</t>
        </is>
      </c>
      <c r="D3" s="2" t="n">
        <v>100</v>
      </c>
      <c r="E3" s="4">
        <f>HYPERLINK("./Results/DLO\20190501_1.3.12.2.1107.5.1.4.65253.30000019051319530377800254444_2_512_512_\Osteo_Sarco_1.png","RPT")</f>
        <v/>
      </c>
      <c r="F3" s="3" t="n">
        <v>100</v>
      </c>
      <c r="G3" s="3" t="n">
        <v>3</v>
      </c>
      <c r="H3" s="7" t="n"/>
      <c r="I3" t="inlineStr">
        <is>
          <t>SOMATOM Definition AS</t>
        </is>
      </c>
      <c r="J3" t="inlineStr">
        <is>
          <t>With Contrast 3.0 B30f</t>
        </is>
      </c>
    </row>
    <row r="4">
      <c r="A4" s="2" t="n">
        <v>2703234</v>
      </c>
      <c r="B4" s="2" t="n">
        <v>15</v>
      </c>
      <c r="C4" s="2" t="inlineStr">
        <is>
          <t>M</t>
        </is>
      </c>
      <c r="D4" s="2" t="n">
        <v>100</v>
      </c>
      <c r="E4" s="4">
        <f>HYPERLINK("./Results/DLO\20190801_1.3.12.2.1107.5.1.4.65253.30000019081820032486000051228_2_512_512_\Osteo_Sarco_1.png","RPT")</f>
        <v/>
      </c>
      <c r="F4" s="3" t="n">
        <v>184</v>
      </c>
      <c r="G4" s="3" t="n">
        <v>33</v>
      </c>
      <c r="H4" s="7" t="n"/>
      <c r="I4" t="inlineStr">
        <is>
          <t>SOMATOM Definition AS</t>
        </is>
      </c>
      <c r="J4" t="inlineStr">
        <is>
          <t>With Contrast 3.0 B30f</t>
        </is>
      </c>
    </row>
    <row r="5">
      <c r="A5" s="2" t="n">
        <v>6738503</v>
      </c>
      <c r="B5" s="2" t="n">
        <v>18</v>
      </c>
      <c r="C5" s="2" t="inlineStr">
        <is>
          <t>M</t>
        </is>
      </c>
      <c r="D5" s="2" t="n">
        <v>100</v>
      </c>
      <c r="E5" s="4">
        <f>HYPERLINK("./Results/DLO\20180401_1.3.12.2.1107.5.1.4.65253.30000018040819315709100000189_3_512_512_\Osteo_Sarco_1.png","RPT")</f>
        <v/>
      </c>
      <c r="F5" s="3" t="n">
        <v>254</v>
      </c>
      <c r="G5" s="3" t="n">
        <v>14</v>
      </c>
      <c r="H5" s="7" t="n"/>
      <c r="I5" t="inlineStr">
        <is>
          <t>SOMATOM Definition AS</t>
        </is>
      </c>
      <c r="J5" t="inlineStr">
        <is>
          <t>Post Contrast 3.0 B30f</t>
        </is>
      </c>
    </row>
    <row r="6">
      <c r="A6" s="2" t="n">
        <v>1948681</v>
      </c>
      <c r="B6" s="2" t="n">
        <v>18</v>
      </c>
      <c r="C6" s="2" t="inlineStr">
        <is>
          <t>M</t>
        </is>
      </c>
      <c r="D6" s="2" t="n">
        <v>100</v>
      </c>
      <c r="E6" s="4">
        <f>HYPERLINK("./Results/DLO\20180101_1.3.12.2.1107.5.1.4.65253.30000018011021170500300076700_3_512_512_\Osteo_Sarco_1.png","RPT")</f>
        <v/>
      </c>
      <c r="F6" s="3" t="n">
        <v>162</v>
      </c>
      <c r="G6" s="3" t="n">
        <v>6</v>
      </c>
      <c r="H6" s="7" t="n"/>
      <c r="I6" t="inlineStr">
        <is>
          <t>SOMATOM Definition AS</t>
        </is>
      </c>
      <c r="J6" t="inlineStr">
        <is>
          <t>With Contrast 3.0 B40f</t>
        </is>
      </c>
    </row>
    <row r="7">
      <c r="A7" s="2" t="n">
        <v>5028366</v>
      </c>
      <c r="B7" s="2" t="n">
        <v>18</v>
      </c>
      <c r="C7" s="2" t="inlineStr">
        <is>
          <t>F</t>
        </is>
      </c>
      <c r="D7" s="2" t="n">
        <v>100</v>
      </c>
      <c r="E7" s="4">
        <f>HYPERLINK("./Results/DLO\20190801_1.3.12.2.1107.5.1.4.65253.30000019080821094770100124757_3_512_512_\Osteo_Sarco_1.png","RPT")</f>
        <v/>
      </c>
      <c r="F7" s="3" t="n">
        <v>139</v>
      </c>
      <c r="G7" s="3" t="n">
        <v>9</v>
      </c>
      <c r="H7" s="6" t="n">
        <v>29.01</v>
      </c>
      <c r="I7" t="inlineStr">
        <is>
          <t>SOMATOM Definition AS</t>
        </is>
      </c>
      <c r="J7" t="inlineStr">
        <is>
          <t>Post Contrast 3.0 B30f</t>
        </is>
      </c>
    </row>
    <row r="8">
      <c r="A8" s="2" t="n">
        <v>9823134</v>
      </c>
      <c r="B8" s="2" t="n">
        <v>19</v>
      </c>
      <c r="C8" s="2" t="inlineStr">
        <is>
          <t>M</t>
        </is>
      </c>
      <c r="D8" s="2" t="n">
        <v>100</v>
      </c>
      <c r="E8" s="4">
        <f>HYPERLINK("./Results/DLO\20191001_1.3.12.2.1107.5.1.4.65253.30000019101920583038300067973_15_512_512_\Osteo_Sarco_1.png","RPT")</f>
        <v/>
      </c>
      <c r="F8" s="3" t="n">
        <v>134</v>
      </c>
      <c r="G8" s="3" t="n">
        <v>4</v>
      </c>
      <c r="H8" s="6" t="n">
        <v>23.88</v>
      </c>
      <c r="I8" t="inlineStr">
        <is>
          <t>SOMATOM Definition AS</t>
        </is>
      </c>
      <c r="J8" t="inlineStr">
        <is>
          <t>DELAY 1.0 B30f</t>
        </is>
      </c>
    </row>
    <row r="9">
      <c r="A9" s="2" t="n">
        <v>5609491</v>
      </c>
      <c r="B9" s="2" t="n">
        <v>20</v>
      </c>
      <c r="C9" s="2" t="inlineStr">
        <is>
          <t>M</t>
        </is>
      </c>
      <c r="D9" s="2" t="n">
        <v>100</v>
      </c>
      <c r="E9" s="4">
        <f>HYPERLINK("./Results/DLO\20180901_1.2.840.113619.2.311.138147613750949266470335228288290552590_304_512_512_\Osteo_Sarco_1.png","RPT")</f>
        <v/>
      </c>
      <c r="F9" s="3" t="n">
        <v>155</v>
      </c>
      <c r="G9" s="3" t="n">
        <v>8</v>
      </c>
      <c r="H9" s="7" t="n"/>
      <c r="I9" t="inlineStr">
        <is>
          <t>Revolution CT</t>
        </is>
      </c>
      <c r="J9" t="inlineStr">
        <is>
          <t>ABD 2.5mm</t>
        </is>
      </c>
    </row>
    <row r="10">
      <c r="A10" s="2" t="n">
        <v>8862299</v>
      </c>
      <c r="B10" s="2" t="n">
        <v>22</v>
      </c>
      <c r="C10" s="2" t="inlineStr">
        <is>
          <t>M</t>
        </is>
      </c>
      <c r="D10" s="2" t="n">
        <v>100</v>
      </c>
      <c r="E10" s="4">
        <f>HYPERLINK("./Results/DLO\20180201_1.2.840.113619.2.416.333463483697454865419126353232191921182_305_512_512_\Osteo_Sarco_1.png","RPT")</f>
        <v/>
      </c>
      <c r="F10" s="3" t="n">
        <v>164</v>
      </c>
      <c r="G10" s="3" t="n">
        <v>5</v>
      </c>
      <c r="H10" s="7" t="n"/>
      <c r="I10" t="inlineStr">
        <is>
          <t>Revolution CT</t>
        </is>
      </c>
      <c r="J10" t="inlineStr">
        <is>
          <t>DELAY</t>
        </is>
      </c>
    </row>
    <row r="11">
      <c r="A11" s="2" t="n">
        <v>3922384</v>
      </c>
      <c r="B11" s="2" t="n">
        <v>22</v>
      </c>
      <c r="C11" s="2" t="inlineStr">
        <is>
          <t>F</t>
        </is>
      </c>
      <c r="D11" s="2" t="n">
        <v>100</v>
      </c>
      <c r="E11" s="4">
        <f>HYPERLINK("./Results/DLO\20180201_1.3.12.2.1107.5.1.4.65253.30000018020920272844000010070_2_512_512_\Osteo_Sarco_1.png","RPT")</f>
        <v/>
      </c>
      <c r="F11" s="3" t="n">
        <v>129</v>
      </c>
      <c r="G11" s="3" t="n">
        <v>8</v>
      </c>
      <c r="H11" s="7" t="n"/>
      <c r="I11" t="inlineStr">
        <is>
          <t>SOMATOM Definition AS</t>
        </is>
      </c>
      <c r="J11" t="inlineStr">
        <is>
          <t>Pre Contrast 3.0 B30f</t>
        </is>
      </c>
    </row>
    <row r="12">
      <c r="A12" s="2" t="n">
        <v>6743331</v>
      </c>
      <c r="B12" s="2" t="n">
        <v>23</v>
      </c>
      <c r="C12" s="2" t="inlineStr">
        <is>
          <t>F</t>
        </is>
      </c>
      <c r="D12" s="2" t="n">
        <v>100</v>
      </c>
      <c r="E12" s="4">
        <f>HYPERLINK("./Results/DLO\20190301_1.3.46.670589.33.1.63688606969581114700001.4977579121112012312_201_512_512_\Osteo_Sarco_1.png","RPT")</f>
        <v/>
      </c>
      <c r="F12" s="3" t="n">
        <v>96</v>
      </c>
      <c r="G12" s="3" t="n">
        <v>3</v>
      </c>
      <c r="H12" s="6" t="n">
        <v>19.15</v>
      </c>
      <c r="I12" t="inlineStr">
        <is>
          <t>Ingenuity Core 128</t>
        </is>
      </c>
      <c r="J12" t="inlineStr">
        <is>
          <t>Post 3mm, iDose (3)</t>
        </is>
      </c>
    </row>
    <row r="13">
      <c r="A13" s="2" t="n">
        <v>3130452</v>
      </c>
      <c r="B13" s="2" t="n">
        <v>23</v>
      </c>
      <c r="C13" s="2" t="inlineStr">
        <is>
          <t>M</t>
        </is>
      </c>
      <c r="D13" s="2" t="n">
        <v>100</v>
      </c>
      <c r="E13" s="4">
        <f>HYPERLINK("./Results/DLO\20180101_1.3.12.2.1107.5.1.4.54310.30000018012823065815600028512_2_512_512_\Osteo_Sarco_1.png","RPT")</f>
        <v/>
      </c>
      <c r="F13" s="3" t="n">
        <v>173</v>
      </c>
      <c r="G13" s="3" t="n">
        <v>36</v>
      </c>
      <c r="H13" s="6" t="n">
        <v>33.53</v>
      </c>
      <c r="I13" t="inlineStr">
        <is>
          <t>Sensation 64</t>
        </is>
      </c>
      <c r="J13" t="inlineStr">
        <is>
          <t>Pre Contrast 3.0 B30f</t>
        </is>
      </c>
    </row>
    <row r="14">
      <c r="A14" s="2" t="n">
        <v>5026889</v>
      </c>
      <c r="B14" s="2" t="n">
        <v>23</v>
      </c>
      <c r="C14" s="2" t="inlineStr">
        <is>
          <t>M</t>
        </is>
      </c>
      <c r="D14" s="2" t="n">
        <v>100</v>
      </c>
      <c r="E14" s="4">
        <f>HYPERLINK("./Results/DLO\20181101_1.3.12.2.1107.5.1.4.65253.30000018111919131622800003063_3_512_512_\Osteo_Sarco_1.png","RPT")</f>
        <v/>
      </c>
      <c r="F14" s="3" t="n">
        <v>16</v>
      </c>
      <c r="G14" s="3" t="n">
        <v>2</v>
      </c>
      <c r="H14" s="6" t="n">
        <v>23.01</v>
      </c>
      <c r="I14" t="inlineStr">
        <is>
          <t>SOMATOM Definition AS</t>
        </is>
      </c>
      <c r="J14" t="inlineStr">
        <is>
          <t>With Contrast 3.0 B40f</t>
        </is>
      </c>
    </row>
    <row r="15">
      <c r="A15" s="2" t="n">
        <v>6738095</v>
      </c>
      <c r="B15" s="2" t="n">
        <v>23</v>
      </c>
      <c r="C15" s="2" t="inlineStr">
        <is>
          <t>F</t>
        </is>
      </c>
      <c r="D15" s="2" t="n">
        <v>100</v>
      </c>
      <c r="E15" s="4">
        <f>HYPERLINK("./Results/DLO\20180201_1.3.12.2.1107.5.1.4.54310.30000018021923135375000029081_2_512_512_\Osteo_Sarco_1.png","RPT")</f>
        <v/>
      </c>
      <c r="F15" s="3" t="n">
        <v>117</v>
      </c>
      <c r="G15" s="3" t="n">
        <v>8</v>
      </c>
      <c r="H15" s="7" t="n"/>
      <c r="I15" t="inlineStr">
        <is>
          <t>Sensation 64</t>
        </is>
      </c>
      <c r="J15" t="inlineStr">
        <is>
          <t>With Contrast 3.0 B30f</t>
        </is>
      </c>
    </row>
    <row r="16">
      <c r="A16" s="2" t="n">
        <v>5025954</v>
      </c>
      <c r="B16" s="2" t="n">
        <v>23</v>
      </c>
      <c r="C16" s="2" t="inlineStr">
        <is>
          <t>M</t>
        </is>
      </c>
      <c r="D16" s="2" t="n">
        <v>100</v>
      </c>
      <c r="E16" s="4">
        <f>HYPERLINK("./Results/DLO\20181101_1.3.12.2.1107.5.1.4.54310.30000018112823185235900058176_2_512_512_\Osteo_Sarco_1.png","RPT")</f>
        <v/>
      </c>
      <c r="F16" s="3" t="n">
        <v>101</v>
      </c>
      <c r="G16" s="3" t="n">
        <v>3</v>
      </c>
      <c r="H16" s="7" t="n"/>
      <c r="I16" t="inlineStr">
        <is>
          <t>Sensation 64</t>
        </is>
      </c>
      <c r="J16" t="inlineStr">
        <is>
          <t>With Contrast 3.0 B30f</t>
        </is>
      </c>
    </row>
    <row r="17">
      <c r="A17" s="2" t="n">
        <v>4778316</v>
      </c>
      <c r="B17" s="2" t="n">
        <v>24</v>
      </c>
      <c r="C17" s="2" t="inlineStr">
        <is>
          <t>M</t>
        </is>
      </c>
      <c r="D17" s="2" t="n">
        <v>100</v>
      </c>
      <c r="E17" s="4">
        <f>HYPERLINK("./Results/DLO\20180201_1.3.12.2.1107.5.1.4.54310.30000018022000214660900016611_2_512_512_\Osteo_Sarco_1.png","RPT")</f>
        <v/>
      </c>
      <c r="F17" s="3" t="n">
        <v>154</v>
      </c>
      <c r="G17" s="3" t="n">
        <v>6</v>
      </c>
      <c r="H17" s="6" t="n">
        <v>19.07</v>
      </c>
      <c r="I17" t="inlineStr">
        <is>
          <t>Sensation 64</t>
        </is>
      </c>
      <c r="J17" t="inlineStr">
        <is>
          <t>With Contrast 3.0 B30f</t>
        </is>
      </c>
    </row>
    <row r="18">
      <c r="A18" s="2" t="n">
        <v>6740221</v>
      </c>
      <c r="B18" s="2" t="n">
        <v>24</v>
      </c>
      <c r="C18" s="2" t="inlineStr">
        <is>
          <t>F</t>
        </is>
      </c>
      <c r="D18" s="2" t="n">
        <v>100</v>
      </c>
      <c r="E18" s="4">
        <f>HYPERLINK("./Results/DLO\20181201_1.3.12.2.1107.5.1.4.65253.30000018121221212208000022501_3_512_512_\Osteo_Sarco_1.png","RPT")</f>
        <v/>
      </c>
      <c r="F18" s="3" t="n">
        <v>138</v>
      </c>
      <c r="G18" s="3" t="n">
        <v>11</v>
      </c>
      <c r="H18" s="7" t="n"/>
      <c r="I18" t="inlineStr">
        <is>
          <t>SOMATOM Definition AS</t>
        </is>
      </c>
      <c r="J18" t="inlineStr">
        <is>
          <t>Post Contrast 3.0 B30f</t>
        </is>
      </c>
    </row>
    <row r="19">
      <c r="A19" s="2" t="n">
        <v>9085933</v>
      </c>
      <c r="B19" s="2" t="n">
        <v>24</v>
      </c>
      <c r="C19" s="2" t="inlineStr">
        <is>
          <t>F</t>
        </is>
      </c>
      <c r="D19" s="2" t="n">
        <v>100</v>
      </c>
      <c r="E19" s="4">
        <f>HYPERLINK("./Results/DLO\20190901_1.3.12.2.1107.5.1.4.54310.30000019091621180282800083298_9_512_512_\Osteo_Sarco_1.png","RPT")</f>
        <v/>
      </c>
      <c r="F19" s="3" t="n">
        <v>128</v>
      </c>
      <c r="G19" s="3" t="n">
        <v>9</v>
      </c>
      <c r="H19" s="7" t="n"/>
      <c r="I19" t="inlineStr">
        <is>
          <t>Sensation 64</t>
        </is>
      </c>
      <c r="J19" t="inlineStr">
        <is>
          <t>Delay 3.0 B30f</t>
        </is>
      </c>
    </row>
    <row r="20">
      <c r="A20" s="2" t="n">
        <v>8554651</v>
      </c>
      <c r="B20" s="2" t="n">
        <v>25</v>
      </c>
      <c r="C20" s="2" t="inlineStr">
        <is>
          <t>F</t>
        </is>
      </c>
      <c r="D20" s="2" t="n">
        <v>100</v>
      </c>
      <c r="E20" s="4">
        <f>HYPERLINK("./Results/DLO\20191201_1.3.12.2.1107.5.1.4.65253.30000019121221144545000038909_3_512_512_\Osteo_Sarco_1.png","RPT")</f>
        <v/>
      </c>
      <c r="F20" s="3" t="n">
        <v>112</v>
      </c>
      <c r="G20" s="3" t="n">
        <v>5</v>
      </c>
      <c r="H20" s="7" t="n"/>
      <c r="I20" t="inlineStr">
        <is>
          <t>SOMATOM Definition AS</t>
        </is>
      </c>
      <c r="J20" t="inlineStr">
        <is>
          <t>Post Contrast 3.0 B30f</t>
        </is>
      </c>
    </row>
    <row r="21">
      <c r="A21" s="2" t="n">
        <v>9938400</v>
      </c>
      <c r="B21" s="2" t="n">
        <v>25</v>
      </c>
      <c r="C21" s="2" t="inlineStr">
        <is>
          <t>F</t>
        </is>
      </c>
      <c r="D21" s="2" t="n">
        <v>100</v>
      </c>
      <c r="E21" s="4">
        <f>HYPERLINK("./Results/DLO\20200301_1.2.840.113619.2.416.181898529078480544296000131346873824497_310_512_512_\Osteo_Sarco_1.png","RPT")</f>
        <v/>
      </c>
      <c r="F21" s="3" t="n">
        <v>104</v>
      </c>
      <c r="G21" s="3" t="n">
        <v>8</v>
      </c>
      <c r="H21" s="7" t="n"/>
      <c r="I21" t="inlineStr">
        <is>
          <t>Revolution CT</t>
        </is>
      </c>
      <c r="J21" t="inlineStr">
        <is>
          <t>ABD</t>
        </is>
      </c>
    </row>
    <row r="22">
      <c r="A22" s="2" t="n">
        <v>2692716</v>
      </c>
      <c r="B22" s="2" t="n">
        <v>26</v>
      </c>
      <c r="C22" s="2" t="inlineStr">
        <is>
          <t>F</t>
        </is>
      </c>
      <c r="D22" s="2" t="n">
        <v>100</v>
      </c>
      <c r="E22" s="4">
        <f>HYPERLINK("./Results/DLO\20180901_1.3.12.2.1107.5.1.4.65253.30000018092019375004400042213_3_512_512_\Osteo_Sarco_1.png","RPT")</f>
        <v/>
      </c>
      <c r="F22" s="3" t="n">
        <v>102</v>
      </c>
      <c r="G22" s="3" t="n">
        <v>6</v>
      </c>
      <c r="H22" s="7" t="n"/>
      <c r="I22" t="inlineStr">
        <is>
          <t>SOMATOM Definition AS</t>
        </is>
      </c>
      <c r="J22" t="inlineStr">
        <is>
          <t>With Contrast 3.0 B30f</t>
        </is>
      </c>
    </row>
    <row r="23">
      <c r="A23" s="2" t="n">
        <v>9819742</v>
      </c>
      <c r="B23" s="2" t="n">
        <v>27</v>
      </c>
      <c r="C23" s="2" t="inlineStr">
        <is>
          <t>F</t>
        </is>
      </c>
      <c r="D23" s="2" t="n">
        <v>100</v>
      </c>
      <c r="E23" s="4">
        <f>HYPERLINK("./Results/DLO\20191001_1.3.12.2.1107.5.1.4.65253.30000019102319130874000003540_2_512_512_\Osteo_Sarco_1.png","RPT")</f>
        <v/>
      </c>
      <c r="F23" s="3" t="n">
        <v>96</v>
      </c>
      <c r="G23" s="3" t="n">
        <v>8</v>
      </c>
      <c r="H23" s="6" t="n">
        <v>21.01</v>
      </c>
      <c r="I23" t="inlineStr">
        <is>
          <t>SOMATOM Definition AS</t>
        </is>
      </c>
      <c r="J23" t="inlineStr">
        <is>
          <t>ABD Contrast 3.0 B30f</t>
        </is>
      </c>
    </row>
    <row r="24">
      <c r="A24" s="2" t="n">
        <v>8539277</v>
      </c>
      <c r="B24" s="2" t="n">
        <v>27</v>
      </c>
      <c r="C24" s="2" t="inlineStr">
        <is>
          <t>F</t>
        </is>
      </c>
      <c r="D24" s="2" t="n">
        <v>100</v>
      </c>
      <c r="E24" s="4">
        <f>HYPERLINK("./Results/DLO\20191201_1.2.840.113619.2.416.142758867273373301486728148343558467273_310_512_512_\Osteo_Sarco_1.png","RPT")</f>
        <v/>
      </c>
      <c r="F24" s="3" t="n">
        <v>91</v>
      </c>
      <c r="G24" s="3" t="n">
        <v>4</v>
      </c>
      <c r="H24" s="7" t="n"/>
      <c r="I24" t="inlineStr">
        <is>
          <t>Revolution CT</t>
        </is>
      </c>
      <c r="J24" t="inlineStr">
        <is>
          <t>ABD</t>
        </is>
      </c>
    </row>
    <row r="25">
      <c r="A25" s="2" t="n">
        <v>9921406</v>
      </c>
      <c r="B25" s="2" t="n">
        <v>27</v>
      </c>
      <c r="C25" s="2" t="inlineStr">
        <is>
          <t>M</t>
        </is>
      </c>
      <c r="D25" s="2" t="n">
        <v>100</v>
      </c>
      <c r="E25" s="4">
        <f>HYPERLINK("./Results/DLO\20200301_1.3.12.2.1107.5.1.4.54310.30000020030123260962500069160_6_512_512_\Osteo_Sarco_1.png","RPT")</f>
        <v/>
      </c>
      <c r="F25" s="3" t="n">
        <v>135</v>
      </c>
      <c r="G25" s="3" t="n">
        <v>4</v>
      </c>
      <c r="H25" s="7" t="n"/>
      <c r="I25" t="inlineStr">
        <is>
          <t>Sensation 64</t>
        </is>
      </c>
      <c r="J25" t="inlineStr">
        <is>
          <t>With Contrast 3.0 B30f</t>
        </is>
      </c>
    </row>
    <row r="26">
      <c r="A26" s="2" t="n">
        <v>2274966</v>
      </c>
      <c r="B26" s="2" t="n">
        <v>28</v>
      </c>
      <c r="C26" s="2" t="inlineStr">
        <is>
          <t>F</t>
        </is>
      </c>
      <c r="D26" s="2" t="n">
        <v>100</v>
      </c>
      <c r="E26" s="4">
        <f>HYPERLINK("./Results/DLO\20180101_1.2.840.113619.2.416.134468342966748050830918199552291110326_302_512_512_\Osteo_Sarco_1.png","RPT")</f>
        <v/>
      </c>
      <c r="F26" s="3" t="n">
        <v>90</v>
      </c>
      <c r="G26" s="3" t="n">
        <v>10</v>
      </c>
      <c r="H26" s="7" t="n"/>
      <c r="I26" t="inlineStr">
        <is>
          <t>Revolution CT</t>
        </is>
      </c>
      <c r="J26" t="inlineStr">
        <is>
          <t>PORTAL</t>
        </is>
      </c>
    </row>
    <row r="27">
      <c r="A27" s="2" t="n">
        <v>9513954</v>
      </c>
      <c r="B27" s="2" t="n">
        <v>28</v>
      </c>
      <c r="C27" s="2" t="inlineStr">
        <is>
          <t>M</t>
        </is>
      </c>
      <c r="D27" s="2" t="n">
        <v>100</v>
      </c>
      <c r="E27" s="4">
        <f>HYPERLINK("./Results/DLO\20200201_1.3.46.670589.33.1.63716927572575420500001.5692608831589494600_201_512_512_\Osteo_Sarco_1.png","RPT")</f>
        <v/>
      </c>
      <c r="F27" s="3" t="n">
        <v>152</v>
      </c>
      <c r="G27" s="3" t="n">
        <v>3</v>
      </c>
      <c r="H27" s="7" t="n"/>
      <c r="I27" t="inlineStr">
        <is>
          <t>Ingenuity Core 128</t>
        </is>
      </c>
      <c r="J27" t="inlineStr">
        <is>
          <t>Post 3mm, iDose (3)</t>
        </is>
      </c>
    </row>
    <row r="28">
      <c r="A28" s="2" t="n">
        <v>1791719</v>
      </c>
      <c r="B28" s="2" t="n">
        <v>28</v>
      </c>
      <c r="C28" s="2" t="inlineStr">
        <is>
          <t>M</t>
        </is>
      </c>
      <c r="D28" s="2" t="n">
        <v>100</v>
      </c>
      <c r="E28" s="4">
        <f>HYPERLINK("./Results/DLO\20180201_1.3.46.670589.33.1.63653416965704727800001.5267039976941433299_201_512_512_\Osteo_Sarco_1.png","RPT")</f>
        <v/>
      </c>
      <c r="F28" s="3" t="n">
        <v>150</v>
      </c>
      <c r="G28" s="3" t="n">
        <v>4</v>
      </c>
      <c r="H28" s="7" t="n"/>
      <c r="I28" t="inlineStr">
        <is>
          <t>Ingenuity Core 128</t>
        </is>
      </c>
      <c r="J28" t="inlineStr">
        <is>
          <t>Post 100/236 i3, iDose (3)</t>
        </is>
      </c>
    </row>
    <row r="29">
      <c r="A29" s="2" t="n">
        <v>9424730</v>
      </c>
      <c r="B29" s="2" t="n">
        <v>29</v>
      </c>
      <c r="C29" s="2" t="inlineStr">
        <is>
          <t>F</t>
        </is>
      </c>
      <c r="D29" s="2" t="n">
        <v>100</v>
      </c>
      <c r="E29" s="4">
        <f>HYPERLINK("./Results/DLO\20180901_1.3.12.2.1107.5.1.4.65253.30000018090720354500700016562_2_512_512_\Osteo_Sarco_1.png","RPT")</f>
        <v/>
      </c>
      <c r="F29" s="3" t="n">
        <v>98</v>
      </c>
      <c r="G29" s="3" t="n">
        <v>7</v>
      </c>
      <c r="H29" s="7" t="n"/>
      <c r="I29" t="inlineStr">
        <is>
          <t>SOMATOM Definition AS</t>
        </is>
      </c>
      <c r="J29" t="inlineStr">
        <is>
          <t>Pre Contrast 3.0 B30f</t>
        </is>
      </c>
    </row>
    <row r="30">
      <c r="A30" s="2" t="n">
        <v>8862831</v>
      </c>
      <c r="B30" s="2" t="n">
        <v>29</v>
      </c>
      <c r="C30" s="2" t="inlineStr">
        <is>
          <t>F</t>
        </is>
      </c>
      <c r="D30" s="2" t="n">
        <v>100</v>
      </c>
      <c r="E30" s="4">
        <f>HYPERLINK("./Results/DLO\20180101_1.3.12.2.1107.5.1.4.54310.30000018011123091746800011938_2_512_512_\Osteo_Sarco_1.png","RPT")</f>
        <v/>
      </c>
      <c r="F30" s="3" t="n">
        <v>86</v>
      </c>
      <c r="G30" s="3" t="n">
        <v>5</v>
      </c>
      <c r="H30" s="7" t="n"/>
      <c r="I30" t="inlineStr">
        <is>
          <t>Sensation 64</t>
        </is>
      </c>
      <c r="J30" t="inlineStr">
        <is>
          <t>With Contrast 3.0 B30f</t>
        </is>
      </c>
    </row>
    <row r="31">
      <c r="A31" s="2" t="n">
        <v>6177201</v>
      </c>
      <c r="B31" s="2" t="n">
        <v>29</v>
      </c>
      <c r="C31" s="2" t="inlineStr">
        <is>
          <t>F</t>
        </is>
      </c>
      <c r="D31" s="2" t="n">
        <v>100</v>
      </c>
      <c r="E31" s="4">
        <f>HYPERLINK("./Results/DLO\20181001_1.3.12.2.1107.5.1.4.65253.30000018102820442742000031365_2_512_512_\Osteo_Sarco_1.png","RPT")</f>
        <v/>
      </c>
      <c r="F31" s="3" t="n">
        <v>75</v>
      </c>
      <c r="G31" s="3" t="n">
        <v>3</v>
      </c>
      <c r="H31" s="7" t="n"/>
      <c r="I31" t="inlineStr">
        <is>
          <t>SOMATOM Definition AS</t>
        </is>
      </c>
      <c r="J31" t="inlineStr">
        <is>
          <t>Pre 3.0 B30f</t>
        </is>
      </c>
    </row>
    <row r="32">
      <c r="A32" s="2" t="n">
        <v>9904614</v>
      </c>
      <c r="B32" s="2" t="n">
        <v>29</v>
      </c>
      <c r="C32" s="2" t="inlineStr">
        <is>
          <t>M</t>
        </is>
      </c>
      <c r="D32" s="2" t="n">
        <v>100</v>
      </c>
      <c r="E32" s="4">
        <f>HYPERLINK("./Results/DLO\20200201_1.3.12.2.1107.5.1.4.65253.30000020021817032729400043618_2_512_512_\Osteo_Sarco_1.png","RPT")</f>
        <v/>
      </c>
      <c r="F32" s="3" t="n">
        <v>178</v>
      </c>
      <c r="G32" s="3" t="n">
        <v>8</v>
      </c>
      <c r="H32" s="7" t="n"/>
      <c r="I32" t="inlineStr">
        <is>
          <t>SOMATOM Definition AS</t>
        </is>
      </c>
      <c r="J32" t="inlineStr">
        <is>
          <t>With Contrast 3.0 B30f</t>
        </is>
      </c>
    </row>
    <row r="33">
      <c r="A33" s="2" t="n">
        <v>8411396</v>
      </c>
      <c r="B33" s="2" t="n">
        <v>29</v>
      </c>
      <c r="C33" s="2" t="inlineStr">
        <is>
          <t>M</t>
        </is>
      </c>
      <c r="D33" s="2" t="n">
        <v>100</v>
      </c>
      <c r="E33" s="4">
        <f>HYPERLINK("./Results/DLO\20180601_1.3.12.2.1107.5.1.4.54310.30000018060823520751500004749_2_512_512_\Osteo_Sarco_1.png","RPT")</f>
        <v/>
      </c>
      <c r="F33" s="3" t="n">
        <v>148</v>
      </c>
      <c r="G33" s="3" t="n">
        <v>7</v>
      </c>
      <c r="H33" s="7" t="n"/>
      <c r="I33" t="inlineStr">
        <is>
          <t>Sensation 64</t>
        </is>
      </c>
      <c r="J33" t="inlineStr">
        <is>
          <t>With Contrast 3.0 B30f</t>
        </is>
      </c>
    </row>
    <row r="34">
      <c r="A34" s="2" t="n">
        <v>8978957</v>
      </c>
      <c r="B34" s="2" t="n">
        <v>29</v>
      </c>
      <c r="C34" s="2" t="inlineStr">
        <is>
          <t>F</t>
        </is>
      </c>
      <c r="D34" s="2" t="n">
        <v>100</v>
      </c>
      <c r="E34" s="4">
        <f>HYPERLINK("./Results/DLO\20180601_1.3.12.2.1107.5.1.4.54310.30000018062900074454600004151_2_512_512_\Osteo_Sarco_1.png","RPT")</f>
        <v/>
      </c>
      <c r="F34" s="3" t="n">
        <v>124</v>
      </c>
      <c r="G34" s="3" t="n">
        <v>10</v>
      </c>
      <c r="H34" s="7" t="n"/>
      <c r="I34" t="inlineStr">
        <is>
          <t>Sensation 64</t>
        </is>
      </c>
      <c r="J34" t="inlineStr">
        <is>
          <t>With Contrast 3.0 B30f</t>
        </is>
      </c>
    </row>
    <row r="35">
      <c r="A35" s="2" t="n">
        <v>8740155</v>
      </c>
      <c r="B35" s="2" t="n">
        <v>29</v>
      </c>
      <c r="C35" s="2" t="inlineStr">
        <is>
          <t>F</t>
        </is>
      </c>
      <c r="D35" s="2" t="n">
        <v>100</v>
      </c>
      <c r="E35" s="4">
        <f>HYPERLINK("./Results/DLO\20180301_1.2.840.113619.2.416.113219500153694044426880480634998907250_304_512_512_\Osteo_Sarco_1.png","RPT")</f>
        <v/>
      </c>
      <c r="F35" s="3" t="n">
        <v>120</v>
      </c>
      <c r="G35" s="3" t="n">
        <v>11</v>
      </c>
      <c r="H35" s="7" t="n"/>
      <c r="I35" t="inlineStr">
        <is>
          <t>Revolution CT</t>
        </is>
      </c>
      <c r="J35" t="inlineStr">
        <is>
          <t>ABD 2.5mm</t>
        </is>
      </c>
    </row>
    <row r="36">
      <c r="A36" s="2" t="n">
        <v>1782470</v>
      </c>
      <c r="B36" s="2" t="n">
        <v>29</v>
      </c>
      <c r="C36" s="2" t="inlineStr">
        <is>
          <t>F</t>
        </is>
      </c>
      <c r="D36" s="2" t="n">
        <v>100</v>
      </c>
      <c r="E36" s="4">
        <f>HYPERLINK("./Results/DLO\20180801_1.3.12.2.1107.5.1.4.65253.30000018083108214308600019453_2_512_512_\Osteo_Sarco_1.png","RPT")</f>
        <v/>
      </c>
      <c r="F36" s="3" t="n">
        <v>113</v>
      </c>
      <c r="G36" s="3" t="n">
        <v>10</v>
      </c>
      <c r="H36" s="7" t="n"/>
      <c r="I36" t="inlineStr">
        <is>
          <t>SOMATOM Definition AS</t>
        </is>
      </c>
      <c r="J36" t="inlineStr">
        <is>
          <t>Pre Contrast 3.0 B30f</t>
        </is>
      </c>
    </row>
    <row r="37">
      <c r="A37" s="2" t="n">
        <v>9004621</v>
      </c>
      <c r="B37" s="2" t="n">
        <v>29</v>
      </c>
      <c r="C37" s="2" t="inlineStr">
        <is>
          <t>F</t>
        </is>
      </c>
      <c r="D37" s="2" t="n">
        <v>100</v>
      </c>
      <c r="E37" s="4">
        <f>HYPERLINK("./Results/DLO\20180901_1.3.12.2.1107.5.1.4.65253.30000018090720354500700009232_2_512_512_\Osteo_Sarco_1.png","RPT")</f>
        <v/>
      </c>
      <c r="F37" s="3" t="n">
        <v>101</v>
      </c>
      <c r="G37" s="3" t="n">
        <v>5</v>
      </c>
      <c r="H37" s="7" t="n"/>
      <c r="I37" t="inlineStr">
        <is>
          <t>SOMATOM Definition AS</t>
        </is>
      </c>
      <c r="J37" t="inlineStr">
        <is>
          <t>Pre Contrast 3.0 B30f</t>
        </is>
      </c>
    </row>
    <row r="38">
      <c r="A38" s="2" t="n">
        <v>5021522</v>
      </c>
      <c r="B38" s="2" t="n">
        <v>29</v>
      </c>
      <c r="C38" s="2" t="inlineStr">
        <is>
          <t>M</t>
        </is>
      </c>
      <c r="D38" s="2" t="n">
        <v>100</v>
      </c>
      <c r="E38" s="4">
        <f>HYPERLINK("./Results/DLO\20180801_1.3.12.2.1107.5.1.4.65253.30000018081918425213000039530_3_512_512_\Osteo_Sarco_1.png","RPT")</f>
        <v/>
      </c>
      <c r="F38" s="3" t="n">
        <v>0</v>
      </c>
      <c r="G38" s="3" t="n"/>
      <c r="H38" s="7" t="n"/>
      <c r="I38" t="inlineStr">
        <is>
          <t>SOMATOM Definition AS</t>
        </is>
      </c>
      <c r="J38" t="inlineStr">
        <is>
          <t>Post Contrast 3.0 B30f</t>
        </is>
      </c>
    </row>
    <row r="39">
      <c r="A39" s="2" t="n">
        <v>8293990</v>
      </c>
      <c r="B39" s="2" t="n">
        <v>30</v>
      </c>
      <c r="C39" s="2" t="inlineStr">
        <is>
          <t>M</t>
        </is>
      </c>
      <c r="D39" s="2" t="n">
        <v>100</v>
      </c>
      <c r="E39" s="4">
        <f>HYPERLINK("./Results/DLO\20180401_1.2.840.113619.2.311.5923927173006813276895984479213339338_2_512_512_\Osteo_Sarco_1.png","RPT")</f>
        <v/>
      </c>
      <c r="F39" s="3" t="n">
        <v>193</v>
      </c>
      <c r="G39" s="3" t="n">
        <v>6</v>
      </c>
      <c r="H39" s="7" t="n"/>
      <c r="I39" t="inlineStr">
        <is>
          <t>Revolution CT</t>
        </is>
      </c>
      <c r="J39" t="inlineStr">
        <is>
          <t>Pre</t>
        </is>
      </c>
    </row>
    <row r="40">
      <c r="A40" s="2" t="n">
        <v>9901549</v>
      </c>
      <c r="B40" s="2" t="n">
        <v>30</v>
      </c>
      <c r="C40" s="2" t="inlineStr">
        <is>
          <t>F</t>
        </is>
      </c>
      <c r="D40" s="2" t="n">
        <v>100</v>
      </c>
      <c r="E40" s="4">
        <f>HYPERLINK("./Results/DLO\20200201_1.3.12.2.1107.5.1.4.54310.30000020020422310098400053295_7_512_512_\Osteo_Sarco_1.png","RPT")</f>
        <v/>
      </c>
      <c r="F40" s="3" t="n">
        <v>106</v>
      </c>
      <c r="G40" s="3" t="n">
        <v>4</v>
      </c>
      <c r="H40" s="7" t="n"/>
      <c r="I40" t="inlineStr">
        <is>
          <t>Sensation 64</t>
        </is>
      </c>
      <c r="J40" t="inlineStr">
        <is>
          <t>ABD 3mm B30f</t>
        </is>
      </c>
    </row>
    <row r="41">
      <c r="A41" s="2" t="n">
        <v>1997254</v>
      </c>
      <c r="B41" s="2" t="n">
        <v>31</v>
      </c>
      <c r="C41" s="2" t="inlineStr">
        <is>
          <t>M</t>
        </is>
      </c>
      <c r="D41" s="2" t="n">
        <v>100</v>
      </c>
      <c r="E41" s="4">
        <f>HYPERLINK("./Results/DLO\20180401_1.2.840.113619.2.94.485650834948.2.8781402.18989328.1_2_512_512_\Osteo_Sarco_1.png","RPT")</f>
        <v/>
      </c>
      <c r="F41" s="3" t="n">
        <v>177</v>
      </c>
      <c r="G41" s="3" t="n">
        <v>7</v>
      </c>
      <c r="H41" s="6" t="n">
        <v>22.36</v>
      </c>
      <c r="I41" t="inlineStr">
        <is>
          <t>Sensation 64</t>
        </is>
      </c>
      <c r="J41" t="inlineStr">
        <is>
          <t>With Contrast 3.0 B30f</t>
        </is>
      </c>
    </row>
    <row r="42">
      <c r="A42" s="2" t="n">
        <v>8753655</v>
      </c>
      <c r="B42" s="2" t="n">
        <v>31</v>
      </c>
      <c r="C42" s="2" t="inlineStr">
        <is>
          <t>M</t>
        </is>
      </c>
      <c r="D42" s="2" t="n">
        <v>100</v>
      </c>
      <c r="E42" s="4">
        <f>HYPERLINK("./Results/DLO\20180401_1.2.840.113619.2.416.339834868838058760114941442231287942572_2_512_512_\Osteo_Sarco_1.png","RPT")</f>
        <v/>
      </c>
      <c r="F42" s="3" t="n">
        <v>156</v>
      </c>
      <c r="G42" s="3" t="n">
        <v>12</v>
      </c>
      <c r="H42" s="7" t="n"/>
      <c r="I42" t="inlineStr">
        <is>
          <t>Revolution CT</t>
        </is>
      </c>
      <c r="J42" t="inlineStr">
        <is>
          <t>Pre</t>
        </is>
      </c>
    </row>
    <row r="43">
      <c r="A43" s="2" t="n">
        <v>9626988</v>
      </c>
      <c r="B43" s="2" t="n">
        <v>31</v>
      </c>
      <c r="C43" s="2" t="inlineStr">
        <is>
          <t>M</t>
        </is>
      </c>
      <c r="D43" s="2" t="n">
        <v>100</v>
      </c>
      <c r="E43" s="4">
        <f>HYPERLINK("./Results/DLO\20190301_1.3.12.2.1107.5.1.4.65253.30000019032015023695200012477_2_512_512_\Osteo_Sarco_1.png","RPT")</f>
        <v/>
      </c>
      <c r="F43" s="3" t="n">
        <v>147</v>
      </c>
      <c r="G43" s="3" t="n">
        <v>8</v>
      </c>
      <c r="H43" s="7" t="n"/>
      <c r="I43" t="inlineStr">
        <is>
          <t>SOMATOM Definition AS</t>
        </is>
      </c>
      <c r="J43" t="inlineStr">
        <is>
          <t>Pre Contrast 3.0 B30f</t>
        </is>
      </c>
    </row>
    <row r="44">
      <c r="A44" s="2" t="n">
        <v>8885437</v>
      </c>
      <c r="B44" s="2" t="n">
        <v>32</v>
      </c>
      <c r="C44" s="2" t="inlineStr">
        <is>
          <t>F</t>
        </is>
      </c>
      <c r="D44" s="2" t="n">
        <v>100</v>
      </c>
      <c r="E44" s="4">
        <f>HYPERLINK("./Results/DLO\20181201_1.2.840.113619.2.311.159771600122870310876334512227287120165_304_512_512_\Osteo_Sarco_1.png","RPT")</f>
        <v/>
      </c>
      <c r="F44" s="3" t="n">
        <v>99</v>
      </c>
      <c r="G44" s="3" t="n">
        <v>8</v>
      </c>
      <c r="H44" s="7" t="n"/>
      <c r="I44" t="inlineStr">
        <is>
          <t>Revolution CT</t>
        </is>
      </c>
      <c r="J44" t="inlineStr">
        <is>
          <t>ABD 2.5mm</t>
        </is>
      </c>
    </row>
    <row r="45">
      <c r="A45" s="2" t="n">
        <v>9657767</v>
      </c>
      <c r="B45" s="2" t="n">
        <v>32</v>
      </c>
      <c r="C45" s="2" t="inlineStr">
        <is>
          <t>M</t>
        </is>
      </c>
      <c r="D45" s="2" t="n">
        <v>100</v>
      </c>
      <c r="E45" s="4">
        <f>HYPERLINK("./Results/DLO\20191001_1.3.12.2.1107.5.1.4.65253.30000019103020295683500044048_2_512_512_\Osteo_Sarco_1.png","RPT")</f>
        <v/>
      </c>
      <c r="F45" s="3" t="n">
        <v>206</v>
      </c>
      <c r="G45" s="3" t="n">
        <v>15</v>
      </c>
      <c r="H45" s="7" t="n"/>
      <c r="I45" t="inlineStr">
        <is>
          <t>SOMATOM Definition AS</t>
        </is>
      </c>
      <c r="J45" t="inlineStr">
        <is>
          <t>W/O Contrast 2.0 B30f</t>
        </is>
      </c>
    </row>
    <row r="46">
      <c r="A46" s="2" t="n">
        <v>6084501</v>
      </c>
      <c r="B46" s="2" t="n">
        <v>32</v>
      </c>
      <c r="C46" s="2" t="inlineStr">
        <is>
          <t>M</t>
        </is>
      </c>
      <c r="D46" s="2" t="n">
        <v>100</v>
      </c>
      <c r="E46" s="4">
        <f>HYPERLINK("./Results/DLO\20180501_1.3.12.2.1107.5.1.4.65253.30000018050120301199700015417_2_512_512_\Osteo_Sarco_1.png","RPT")</f>
        <v/>
      </c>
      <c r="F46" s="3" t="n">
        <v>202</v>
      </c>
      <c r="G46" s="3" t="n">
        <v>12</v>
      </c>
      <c r="H46" s="7" t="n"/>
      <c r="I46" t="inlineStr">
        <is>
          <t>SOMATOM Definition AS</t>
        </is>
      </c>
      <c r="J46" t="inlineStr">
        <is>
          <t>W/O Contrast 2.0 B30f</t>
        </is>
      </c>
    </row>
    <row r="47">
      <c r="A47" s="2" t="n">
        <v>5892970</v>
      </c>
      <c r="B47" s="2" t="n">
        <v>32</v>
      </c>
      <c r="C47" s="2" t="inlineStr">
        <is>
          <t>M</t>
        </is>
      </c>
      <c r="D47" s="2" t="n">
        <v>100</v>
      </c>
      <c r="E47" s="4">
        <f>HYPERLINK("./Results/DLO\20180901_1.2.840.113619.2.311.31337611133086722626393205240748240987_303_512_512_\Osteo_Sarco_1.png","RPT")</f>
        <v/>
      </c>
      <c r="F47" s="3" t="n">
        <v>142</v>
      </c>
      <c r="G47" s="3" t="n">
        <v>5</v>
      </c>
      <c r="H47" s="7" t="n"/>
      <c r="I47" t="inlineStr">
        <is>
          <t>Revolution CT</t>
        </is>
      </c>
      <c r="J47" t="inlineStr">
        <is>
          <t>ABD 2.5mm</t>
        </is>
      </c>
    </row>
    <row r="48">
      <c r="A48" s="2" t="n">
        <v>9745889</v>
      </c>
      <c r="B48" s="2" t="n">
        <v>32</v>
      </c>
      <c r="C48" s="2" t="inlineStr">
        <is>
          <t>F</t>
        </is>
      </c>
      <c r="D48" s="2" t="n">
        <v>100</v>
      </c>
      <c r="E48" s="4">
        <f>HYPERLINK("./Results/DLO\20190801_1.2.840.113619.2.416.57721096500131610202539504464710165920_310_512_512_\Osteo_Sarco_1.png","RPT")</f>
        <v/>
      </c>
      <c r="F48" s="3" t="n">
        <v>104</v>
      </c>
      <c r="G48" s="3" t="n">
        <v>6</v>
      </c>
      <c r="H48" s="7" t="n"/>
      <c r="I48" t="inlineStr">
        <is>
          <t>Revolution CT</t>
        </is>
      </c>
      <c r="J48" t="inlineStr">
        <is>
          <t>ABD</t>
        </is>
      </c>
    </row>
    <row r="49">
      <c r="A49" s="2" t="n">
        <v>5894279</v>
      </c>
      <c r="B49" s="2" t="n">
        <v>32</v>
      </c>
      <c r="C49" s="2" t="inlineStr">
        <is>
          <t>F</t>
        </is>
      </c>
      <c r="D49" s="2" t="n">
        <v>100</v>
      </c>
      <c r="E49" s="4">
        <f>HYPERLINK("./Results/DLO\20180801_1.3.12.2.1107.5.1.4.65253.30000018082521211609600011772_2_512_512_\Osteo_Sarco_1.png","RPT")</f>
        <v/>
      </c>
      <c r="F49" s="3" t="n">
        <v>103</v>
      </c>
      <c r="G49" s="3" t="n">
        <v>6</v>
      </c>
      <c r="H49" s="7" t="n"/>
      <c r="I49" t="inlineStr">
        <is>
          <t>SOMATOM Definition AS</t>
        </is>
      </c>
      <c r="J49" t="inlineStr">
        <is>
          <t>Pre Contrast 3.0 B30f</t>
        </is>
      </c>
    </row>
    <row r="50">
      <c r="A50" s="2" t="n">
        <v>9844369</v>
      </c>
      <c r="B50" s="2" t="n">
        <v>32</v>
      </c>
      <c r="C50" s="2" t="inlineStr">
        <is>
          <t>F</t>
        </is>
      </c>
      <c r="D50" s="2" t="n">
        <v>100</v>
      </c>
      <c r="E50" s="4">
        <f>HYPERLINK("./Results/DLO\20191101_1.2.840.113619.2.416.330998339567574467322175224707135373238_310_512_512_\Osteo_Sarco_1.png","RPT")</f>
        <v/>
      </c>
      <c r="F50" s="3" t="n">
        <v>102</v>
      </c>
      <c r="G50" s="3" t="n">
        <v>9</v>
      </c>
      <c r="H50" s="7" t="n"/>
      <c r="I50" t="inlineStr">
        <is>
          <t>Revolution CT</t>
        </is>
      </c>
      <c r="J50" t="inlineStr">
        <is>
          <t>ABD</t>
        </is>
      </c>
    </row>
    <row r="51">
      <c r="A51" s="2" t="n">
        <v>8892401</v>
      </c>
      <c r="B51" s="2" t="n">
        <v>32</v>
      </c>
      <c r="C51" s="2" t="inlineStr">
        <is>
          <t>F</t>
        </is>
      </c>
      <c r="D51" s="2" t="n">
        <v>100</v>
      </c>
      <c r="E51" s="4">
        <f>HYPERLINK("./Results/DLO\20180401_1.3.12.2.1107.5.1.4.54310.30000018040523200193700002219_2_512_512_\Osteo_Sarco_1.png","RPT")</f>
        <v/>
      </c>
      <c r="F51" s="3" t="n">
        <v>101</v>
      </c>
      <c r="G51" s="3" t="n">
        <v>6</v>
      </c>
      <c r="H51" s="6" t="n">
        <v>16.38</v>
      </c>
      <c r="I51" t="inlineStr">
        <is>
          <t>Sensation 64</t>
        </is>
      </c>
      <c r="J51" t="inlineStr">
        <is>
          <t>With Contrast 3.0 B30f</t>
        </is>
      </c>
    </row>
    <row r="52">
      <c r="A52" s="2" t="n">
        <v>9001509</v>
      </c>
      <c r="B52" s="2" t="n">
        <v>32</v>
      </c>
      <c r="C52" s="2" t="inlineStr">
        <is>
          <t>F</t>
        </is>
      </c>
      <c r="D52" s="2" t="n">
        <v>100</v>
      </c>
      <c r="E52" s="4">
        <f>HYPERLINK("./Results/DLO\20180801_1.2.840.113619.2.94.485650834948.2.9014667.19561892.1_2_512_512_\Osteo_Sarco_1.png","RPT")</f>
        <v/>
      </c>
      <c r="F52" s="3" t="n">
        <v>100</v>
      </c>
      <c r="G52" s="3" t="n">
        <v>7</v>
      </c>
      <c r="H52" s="7" t="n"/>
      <c r="I52" t="inlineStr">
        <is>
          <t>Sensation 64</t>
        </is>
      </c>
      <c r="J52" t="inlineStr">
        <is>
          <t>With Contrast 3.0 B30f</t>
        </is>
      </c>
    </row>
    <row r="53">
      <c r="A53" s="2" t="n">
        <v>4565227</v>
      </c>
      <c r="B53" s="2" t="n">
        <v>33</v>
      </c>
      <c r="C53" s="2" t="inlineStr">
        <is>
          <t>F</t>
        </is>
      </c>
      <c r="D53" s="2" t="n">
        <v>100</v>
      </c>
      <c r="E53" s="4">
        <f>HYPERLINK("./Results/DLO\20190401_1.3.12.2.1107.5.1.4.65253.30000019042618513690900039128_2_512_512_\Osteo_Sarco_1.png","RPT")</f>
        <v/>
      </c>
      <c r="F53" s="3" t="n">
        <v>88</v>
      </c>
      <c r="G53" s="3" t="n">
        <v>9</v>
      </c>
      <c r="H53" s="7" t="n"/>
      <c r="I53" t="inlineStr">
        <is>
          <t>SOMATOM Definition AS</t>
        </is>
      </c>
      <c r="J53" t="inlineStr">
        <is>
          <t>Pre Contrast 3.0 B30f</t>
        </is>
      </c>
    </row>
    <row r="54">
      <c r="A54" s="2" t="n">
        <v>4434356</v>
      </c>
      <c r="B54" s="2" t="n">
        <v>33</v>
      </c>
      <c r="C54" s="2" t="inlineStr">
        <is>
          <t>M</t>
        </is>
      </c>
      <c r="D54" s="2" t="n">
        <v>100</v>
      </c>
      <c r="E54" s="4">
        <f>HYPERLINK("./Results/DLO\20181001_1.2.410.100011.172.16.68.201.6367649282576621105.6_6_512_512_\Osteo_Sarco_1.png","RPT")</f>
        <v/>
      </c>
      <c r="F54" s="3" t="n">
        <v>206</v>
      </c>
      <c r="G54" s="3" t="n">
        <v>6</v>
      </c>
      <c r="H54" s="6" t="n">
        <v>29.75</v>
      </c>
      <c r="I54" t="inlineStr">
        <is>
          <t>SOMATOM Definition AS</t>
        </is>
      </c>
      <c r="J54" t="inlineStr">
        <is>
          <t>Delay 5.0 B30f</t>
        </is>
      </c>
    </row>
    <row r="55">
      <c r="A55" s="2" t="n">
        <v>9595378</v>
      </c>
      <c r="B55" s="2" t="n">
        <v>33</v>
      </c>
      <c r="C55" s="2" t="inlineStr">
        <is>
          <t>M</t>
        </is>
      </c>
      <c r="D55" s="2" t="n">
        <v>100</v>
      </c>
      <c r="E55" s="4">
        <f>HYPERLINK("./Results/DLO\20190701_1.3.12.2.1107.5.1.4.54310.30000019070721291192100019703_2_512_512_\Osteo_Sarco_1.png","RPT")</f>
        <v/>
      </c>
      <c r="F55" s="3" t="n">
        <v>137</v>
      </c>
      <c r="G55" s="3" t="n">
        <v>6</v>
      </c>
      <c r="H55" s="7" t="n"/>
      <c r="I55" t="inlineStr">
        <is>
          <t>Sensation 64</t>
        </is>
      </c>
      <c r="J55" t="inlineStr">
        <is>
          <t>With Contrast 3.0 B30f</t>
        </is>
      </c>
    </row>
    <row r="56">
      <c r="A56" s="2" t="n">
        <v>8369009</v>
      </c>
      <c r="B56" s="2" t="n">
        <v>33</v>
      </c>
      <c r="C56" s="2" t="inlineStr">
        <is>
          <t>F</t>
        </is>
      </c>
      <c r="D56" s="2" t="n">
        <v>100</v>
      </c>
      <c r="E56" s="4">
        <f>HYPERLINK("./Results/DLO\20180801_1.2.840.113619.2.311.196373782538498542583868578401622774797_304_512_512_\Osteo_Sarco_1.png","RPT")</f>
        <v/>
      </c>
      <c r="F56" s="3" t="n">
        <v>102</v>
      </c>
      <c r="G56" s="3" t="n">
        <v>8</v>
      </c>
      <c r="H56" s="7" t="n"/>
      <c r="I56" t="inlineStr">
        <is>
          <t>Revolution CT</t>
        </is>
      </c>
      <c r="J56" t="inlineStr">
        <is>
          <t>ABD 2.5mm</t>
        </is>
      </c>
    </row>
    <row r="57">
      <c r="A57" s="2" t="n">
        <v>9500760</v>
      </c>
      <c r="B57" s="2" t="n">
        <v>34</v>
      </c>
      <c r="C57" s="2" t="inlineStr">
        <is>
          <t>F</t>
        </is>
      </c>
      <c r="D57" s="2" t="n">
        <v>100</v>
      </c>
      <c r="E57" s="4">
        <f>HYPERLINK("./Results/DLO\20181101_1.2.410.100011.172.24.16.221.6367717532536364532.1_1_512_512_\Osteo_Sarco_1.png","RPT")</f>
        <v/>
      </c>
      <c r="F57" s="3" t="n">
        <v>96</v>
      </c>
      <c r="G57" s="3" t="n">
        <v>5</v>
      </c>
      <c r="H57" s="7" t="n"/>
      <c r="I57" t="inlineStr">
        <is>
          <t>SOMATOM Force</t>
        </is>
      </c>
      <c r="J57" t="inlineStr">
        <is>
          <t>Aobdomen 5.0 Br40 2</t>
        </is>
      </c>
    </row>
    <row r="58">
      <c r="A58" s="2" t="n">
        <v>4651116</v>
      </c>
      <c r="B58" s="2" t="n">
        <v>34</v>
      </c>
      <c r="C58" s="2" t="inlineStr">
        <is>
          <t>F</t>
        </is>
      </c>
      <c r="D58" s="2" t="n">
        <v>100</v>
      </c>
      <c r="E58" s="4">
        <f>HYPERLINK("./Results/DLO\20200301_1.3.46.670589.33.1.63719344727287811600001.5019198997414872116_201_512_512_\Osteo_Sarco_1.png","RPT")</f>
        <v/>
      </c>
      <c r="F58" s="3" t="n">
        <v>88</v>
      </c>
      <c r="G58" s="3" t="n">
        <v>6</v>
      </c>
      <c r="H58" s="7" t="n"/>
      <c r="I58" t="inlineStr">
        <is>
          <t>Ingenuity Core 128</t>
        </is>
      </c>
      <c r="J58" t="inlineStr">
        <is>
          <t>Post 3mm, iDose (3)</t>
        </is>
      </c>
    </row>
    <row r="59">
      <c r="A59" s="2" t="n">
        <v>5020290</v>
      </c>
      <c r="B59" s="2" t="n">
        <v>34</v>
      </c>
      <c r="C59" s="2" t="inlineStr">
        <is>
          <t>M</t>
        </is>
      </c>
      <c r="D59" s="2" t="n">
        <v>100</v>
      </c>
      <c r="E59" s="4">
        <f>HYPERLINK("./Results/DLO\20180401_1.3.12.2.1107.5.1.4.54310.30000018042223285812500046898_2_512_512_\Osteo_Sarco_1.png","RPT")</f>
        <v/>
      </c>
      <c r="F59" s="3" t="n">
        <v>194</v>
      </c>
      <c r="G59" s="3" t="n">
        <v>10</v>
      </c>
      <c r="H59" s="7" t="n"/>
      <c r="I59" t="inlineStr">
        <is>
          <t>Sensation 64</t>
        </is>
      </c>
      <c r="J59" t="inlineStr">
        <is>
          <t>Pre Contrast 3.0 B30f</t>
        </is>
      </c>
    </row>
    <row r="60">
      <c r="A60" s="2" t="n">
        <v>5177990</v>
      </c>
      <c r="B60" s="2" t="n">
        <v>34</v>
      </c>
      <c r="C60" s="2" t="inlineStr">
        <is>
          <t>M</t>
        </is>
      </c>
      <c r="D60" s="2" t="n">
        <v>100</v>
      </c>
      <c r="E60" s="4">
        <f>HYPERLINK("./Results/DLO\20181001_1.3.12.2.1107.5.1.4.54310.30000018102223082700000042473_2_512_512_\Osteo_Sarco_1.png","RPT")</f>
        <v/>
      </c>
      <c r="F60" s="3" t="n">
        <v>181</v>
      </c>
      <c r="G60" s="3" t="n">
        <v>8</v>
      </c>
      <c r="H60" s="7" t="n"/>
      <c r="I60" t="inlineStr">
        <is>
          <t>Sensation 64</t>
        </is>
      </c>
      <c r="J60" t="inlineStr">
        <is>
          <t>Pre Contrast 3.0 B30f</t>
        </is>
      </c>
    </row>
    <row r="61">
      <c r="A61" s="2" t="n">
        <v>4806275</v>
      </c>
      <c r="B61" s="2" t="n">
        <v>34</v>
      </c>
      <c r="C61" s="2" t="inlineStr">
        <is>
          <t>F</t>
        </is>
      </c>
      <c r="D61" s="2" t="n">
        <v>100</v>
      </c>
      <c r="E61" s="4">
        <f>HYPERLINK("./Results/DLO\20190801_1.3.12.2.1107.5.1.4.65253.30000019081618225755900003084_2_512_512_\Osteo_Sarco_1.png","RPT")</f>
        <v/>
      </c>
      <c r="F61" s="3" t="n">
        <v>165</v>
      </c>
      <c r="G61" s="3" t="n">
        <v>10</v>
      </c>
      <c r="H61" s="7" t="n"/>
      <c r="I61" t="inlineStr">
        <is>
          <t>SOMATOM Definition AS</t>
        </is>
      </c>
      <c r="J61" t="inlineStr">
        <is>
          <t>Pre</t>
        </is>
      </c>
    </row>
    <row r="62">
      <c r="A62" s="2" t="n">
        <v>8974379</v>
      </c>
      <c r="B62" s="2" t="n">
        <v>34</v>
      </c>
      <c r="C62" s="2" t="inlineStr">
        <is>
          <t>M</t>
        </is>
      </c>
      <c r="D62" s="2" t="n">
        <v>100</v>
      </c>
      <c r="E62" s="4">
        <f>HYPERLINK("./Results/DLO\20180301_1.3.12.2.1107.5.1.4.65253.30000018030317415401900044784_2_512_512_\Osteo_Sarco_1.png","RPT")</f>
        <v/>
      </c>
      <c r="F62" s="3" t="n">
        <v>155</v>
      </c>
      <c r="G62" s="3" t="n">
        <v>8</v>
      </c>
      <c r="H62" s="7" t="n"/>
      <c r="I62" t="inlineStr">
        <is>
          <t>SOMATOM Definition AS</t>
        </is>
      </c>
      <c r="J62" t="inlineStr">
        <is>
          <t>Pre Contrast 3.0 B30f</t>
        </is>
      </c>
    </row>
    <row r="63">
      <c r="A63" s="2" t="n">
        <v>6741744</v>
      </c>
      <c r="B63" s="2" t="n">
        <v>34</v>
      </c>
      <c r="C63" s="2" t="inlineStr">
        <is>
          <t>M</t>
        </is>
      </c>
      <c r="D63" s="2" t="n">
        <v>100</v>
      </c>
      <c r="E63" s="4">
        <f>HYPERLINK("./Results/DLO\20180801_1.3.12.2.1107.5.1.4.65253.30000018073119211097100004387_3_512_512_\Osteo_Sarco_1.png","RPT")</f>
        <v/>
      </c>
      <c r="F63" s="3" t="n">
        <v>154</v>
      </c>
      <c r="G63" s="3" t="n">
        <v>8</v>
      </c>
      <c r="H63" s="7" t="n"/>
      <c r="I63" t="inlineStr">
        <is>
          <t>SOMATOM Definition AS</t>
        </is>
      </c>
      <c r="J63" t="inlineStr">
        <is>
          <t>With Contrast 3.0 B30f</t>
        </is>
      </c>
    </row>
    <row r="64">
      <c r="A64" s="2" t="n">
        <v>8877020</v>
      </c>
      <c r="B64" s="2" t="n">
        <v>34</v>
      </c>
      <c r="C64" s="2" t="inlineStr">
        <is>
          <t>F</t>
        </is>
      </c>
      <c r="D64" s="2" t="n">
        <v>100</v>
      </c>
      <c r="E64" s="4">
        <f>HYPERLINK("./Results/DLO\20181201_1.2.840.113619.2.311.142843228901674250135552982705939007009_304_512_512_\Osteo_Sarco_1.png","RPT")</f>
        <v/>
      </c>
      <c r="F64" s="3" t="n">
        <v>123</v>
      </c>
      <c r="G64" s="3" t="n">
        <v>8</v>
      </c>
      <c r="H64" s="7" t="n"/>
      <c r="I64" t="inlineStr">
        <is>
          <t>Revolution CT</t>
        </is>
      </c>
      <c r="J64" t="inlineStr">
        <is>
          <t>ABD 2.5mm</t>
        </is>
      </c>
    </row>
    <row r="65">
      <c r="A65" s="2" t="n">
        <v>4236756</v>
      </c>
      <c r="B65" s="2" t="n">
        <v>34</v>
      </c>
      <c r="C65" s="2" t="inlineStr">
        <is>
          <t>F</t>
        </is>
      </c>
      <c r="D65" s="2" t="n">
        <v>100</v>
      </c>
      <c r="E65" s="4">
        <f>HYPERLINK("./Results/DLO\20200101_1.3.46.670589.33.1.63715110857915957400001.5157155959232081464_201_512_512_\Osteo_Sarco_1.png","RPT")</f>
        <v/>
      </c>
      <c r="F65" s="3" t="n">
        <v>114</v>
      </c>
      <c r="G65" s="3" t="n">
        <v>6</v>
      </c>
      <c r="H65" s="7" t="n"/>
      <c r="I65" t="inlineStr">
        <is>
          <t>Ingenuity Core 128</t>
        </is>
      </c>
      <c r="J65" t="inlineStr">
        <is>
          <t>Post 3mm, iDose (3)</t>
        </is>
      </c>
    </row>
    <row r="66">
      <c r="A66" s="2" t="n">
        <v>8628261</v>
      </c>
      <c r="B66" s="2" t="n">
        <v>34</v>
      </c>
      <c r="C66" s="2" t="inlineStr">
        <is>
          <t>F</t>
        </is>
      </c>
      <c r="D66" s="2" t="n">
        <v>100</v>
      </c>
      <c r="E66" s="4">
        <f>HYPERLINK("./Results/DLO\20181101_1.3.12.2.1107.5.1.4.54310.30000018110523144489000036074_2_512_512_\Osteo_Sarco_1.png","RPT")</f>
        <v/>
      </c>
      <c r="F66" s="3" t="n">
        <v>110</v>
      </c>
      <c r="G66" s="3" t="n">
        <v>5</v>
      </c>
      <c r="H66" s="7" t="n"/>
      <c r="I66" t="inlineStr">
        <is>
          <t>Sensation 64</t>
        </is>
      </c>
      <c r="J66" t="inlineStr">
        <is>
          <t>With Contrast 3.0 B30f</t>
        </is>
      </c>
    </row>
    <row r="67">
      <c r="A67" s="2" t="n">
        <v>2474841</v>
      </c>
      <c r="B67" s="2" t="n">
        <v>34</v>
      </c>
      <c r="C67" s="2" t="inlineStr">
        <is>
          <t>F</t>
        </is>
      </c>
      <c r="D67" s="2" t="n">
        <v>100</v>
      </c>
      <c r="E67" s="4">
        <f>HYPERLINK("./Results/DLO\20191101_1.2.840.113619.2.416.19320413189664494993407073809570618557_310_512_512_\Osteo_Sarco_1.png","RPT")</f>
        <v/>
      </c>
      <c r="F67" s="3" t="n">
        <v>108</v>
      </c>
      <c r="G67" s="3" t="n">
        <v>6</v>
      </c>
      <c r="H67" s="7" t="n"/>
      <c r="I67" t="inlineStr">
        <is>
          <t>Revolution CT</t>
        </is>
      </c>
      <c r="J67" t="inlineStr">
        <is>
          <t>ABD</t>
        </is>
      </c>
    </row>
    <row r="68">
      <c r="A68" s="2" t="n">
        <v>4993929</v>
      </c>
      <c r="B68" s="2" t="n">
        <v>35</v>
      </c>
      <c r="C68" s="2" t="inlineStr">
        <is>
          <t>F</t>
        </is>
      </c>
      <c r="D68" s="2" t="n">
        <v>100</v>
      </c>
      <c r="E68" s="4">
        <f>HYPERLINK("./Results/DLO\20180701_1.3.12.2.1107.5.1.4.65253.30000018071221203865800000161_3_512_512_\Osteo_Sarco_1.png","RPT")</f>
        <v/>
      </c>
      <c r="F68" s="3" t="n">
        <v>97</v>
      </c>
      <c r="G68" s="3" t="n">
        <v>14</v>
      </c>
      <c r="H68" s="7" t="n"/>
      <c r="I68" t="inlineStr">
        <is>
          <t>SOMATOM Definition AS</t>
        </is>
      </c>
      <c r="J68" t="inlineStr">
        <is>
          <t>Post Contrast 3.0 B30f</t>
        </is>
      </c>
    </row>
    <row r="69">
      <c r="A69" s="2" t="n">
        <v>1855280</v>
      </c>
      <c r="B69" s="2" t="n">
        <v>35</v>
      </c>
      <c r="C69" s="2" t="inlineStr">
        <is>
          <t>F</t>
        </is>
      </c>
      <c r="D69" s="2" t="n">
        <v>100</v>
      </c>
      <c r="E69" s="4">
        <f>HYPERLINK("./Results/DLO\20181101_1.2.840.113619.2.416.131843173115300671591164863542121661341_304_512_512_\Osteo_Sarco_1.png","RPT")</f>
        <v/>
      </c>
      <c r="F69" s="3" t="n">
        <v>97</v>
      </c>
      <c r="G69" s="3" t="n">
        <v>6</v>
      </c>
      <c r="H69" s="7" t="n"/>
      <c r="I69" t="inlineStr">
        <is>
          <t>Revolution CT</t>
        </is>
      </c>
      <c r="J69" t="inlineStr">
        <is>
          <t>ABD 2.5mm</t>
        </is>
      </c>
    </row>
    <row r="70">
      <c r="A70" s="2" t="n">
        <v>9710144</v>
      </c>
      <c r="B70" s="2" t="n">
        <v>35</v>
      </c>
      <c r="C70" s="2" t="inlineStr">
        <is>
          <t>F</t>
        </is>
      </c>
      <c r="D70" s="2" t="n">
        <v>100</v>
      </c>
      <c r="E70" s="4">
        <f>HYPERLINK("./Results/DLO\20190601_1.3.46.670589.33.1.63697058162689294700001.5705197991174710399_601_512_512_\Osteo_Sarco_1.png","RPT")</f>
        <v/>
      </c>
      <c r="F70" s="3" t="n">
        <v>85</v>
      </c>
      <c r="G70" s="3" t="n">
        <v>5</v>
      </c>
      <c r="H70" s="7" t="n"/>
      <c r="I70" t="inlineStr">
        <is>
          <t>Ingenuity Core 128</t>
        </is>
      </c>
      <c r="J70" t="inlineStr">
        <is>
          <t>Portal 3mm, iDose (3)</t>
        </is>
      </c>
    </row>
    <row r="71">
      <c r="A71" s="2" t="n">
        <v>5870434</v>
      </c>
      <c r="B71" s="2" t="n">
        <v>35</v>
      </c>
      <c r="C71" s="2" t="inlineStr">
        <is>
          <t>M</t>
        </is>
      </c>
      <c r="D71" s="2" t="n">
        <v>100</v>
      </c>
      <c r="E71" s="4">
        <f>HYPERLINK("./Results/DLO\20190501_1.3.46.670589.33.1.63692989943480750200001.4825464485975557686_201_512_512_\Osteo_Sarco_1.png","RPT")</f>
        <v/>
      </c>
      <c r="F71" s="3" t="n">
        <v>178</v>
      </c>
      <c r="G71" s="3" t="n">
        <v>7</v>
      </c>
      <c r="H71" s="7" t="n"/>
      <c r="I71" t="inlineStr">
        <is>
          <t>Ingenuity Core 128</t>
        </is>
      </c>
      <c r="J71" t="inlineStr">
        <is>
          <t>Pre 3mm, iDose (4)</t>
        </is>
      </c>
    </row>
    <row r="72">
      <c r="A72" s="2" t="n">
        <v>9829884</v>
      </c>
      <c r="B72" s="2" t="n">
        <v>35</v>
      </c>
      <c r="C72" s="2" t="inlineStr">
        <is>
          <t>M</t>
        </is>
      </c>
      <c r="D72" s="2" t="n">
        <v>100</v>
      </c>
      <c r="E72" s="4">
        <f>HYPERLINK("./Results/DLO\20200501_1.3.12.2.1107.5.1.4.54310.30000020052722380034300020117_12_512_512_\Osteo_Sarco_1.png","RPT")</f>
        <v/>
      </c>
      <c r="F72" s="3" t="n">
        <v>169</v>
      </c>
      <c r="G72" s="3" t="n">
        <v>6</v>
      </c>
      <c r="H72" s="7" t="n"/>
      <c r="I72" t="inlineStr">
        <is>
          <t>Sensation 64</t>
        </is>
      </c>
      <c r="J72" t="inlineStr">
        <is>
          <t>ABD 3mm B30f</t>
        </is>
      </c>
    </row>
    <row r="73">
      <c r="A73" s="2" t="n">
        <v>2400226</v>
      </c>
      <c r="B73" s="2" t="n">
        <v>35</v>
      </c>
      <c r="C73" s="2" t="inlineStr">
        <is>
          <t>M</t>
        </is>
      </c>
      <c r="D73" s="2" t="n">
        <v>100</v>
      </c>
      <c r="E73" s="4">
        <f>HYPERLINK("./Results/DLO\20190201_1.2.410.100011.172.16.68.202.6368687056130995842.3.4_4_512_512_\Osteo_Sarco_1.png","RPT")</f>
        <v/>
      </c>
      <c r="F73" s="3" t="n">
        <v>143</v>
      </c>
      <c r="G73" s="3" t="n">
        <v>3</v>
      </c>
      <c r="H73" s="7" t="n"/>
      <c r="I73" t="inlineStr">
        <is>
          <t>LightSpeed VCT</t>
        </is>
      </c>
      <c r="J73" t="inlineStr">
        <is>
          <t>Portal</t>
        </is>
      </c>
    </row>
    <row r="74">
      <c r="A74" s="2" t="n">
        <v>8566270</v>
      </c>
      <c r="B74" s="2" t="n">
        <v>35</v>
      </c>
      <c r="C74" s="2" t="inlineStr">
        <is>
          <t>M</t>
        </is>
      </c>
      <c r="D74" s="2" t="n">
        <v>100</v>
      </c>
      <c r="E74" s="4">
        <f>HYPERLINK("./Results/DLO\20180101_1.3.12.2.1107.5.1.4.65253.30000018010521290718700000690_2_512_512_\Osteo_Sarco_1.png","RPT")</f>
        <v/>
      </c>
      <c r="F74" s="3" t="n">
        <v>141</v>
      </c>
      <c r="G74" s="3" t="n">
        <v>5</v>
      </c>
      <c r="H74" s="7" t="n"/>
      <c r="I74" t="inlineStr">
        <is>
          <t>SOMATOM Definition AS</t>
        </is>
      </c>
      <c r="J74" t="inlineStr">
        <is>
          <t>With Contrast 3.0 B40f</t>
        </is>
      </c>
    </row>
    <row r="75">
      <c r="A75" s="2" t="n">
        <v>9486038</v>
      </c>
      <c r="B75" s="2" t="n">
        <v>35</v>
      </c>
      <c r="C75" s="2" t="inlineStr">
        <is>
          <t>F</t>
        </is>
      </c>
      <c r="D75" s="2" t="n">
        <v>100</v>
      </c>
      <c r="E75" s="4">
        <f>HYPERLINK("./Results/DLO\20181201_1.2.840.113619.2.311.142946798872187234499047758958446345556_304_512_512_\Osteo_Sarco_1.png","RPT")</f>
        <v/>
      </c>
      <c r="F75" s="3" t="n">
        <v>110</v>
      </c>
      <c r="G75" s="3" t="n">
        <v>6</v>
      </c>
      <c r="H75" s="7" t="n"/>
      <c r="I75" t="inlineStr">
        <is>
          <t>Revolution CT</t>
        </is>
      </c>
      <c r="J75" t="inlineStr">
        <is>
          <t>ABD 2.5mm</t>
        </is>
      </c>
    </row>
    <row r="76">
      <c r="A76" s="2" t="n">
        <v>9751838</v>
      </c>
      <c r="B76" s="2" t="n">
        <v>35</v>
      </c>
      <c r="C76" s="2" t="inlineStr">
        <is>
          <t>F</t>
        </is>
      </c>
      <c r="D76" s="2" t="n">
        <v>100</v>
      </c>
      <c r="E76" s="4">
        <f>HYPERLINK("./Results/DLO\20190701_1.2.410.100011.172.24.16.217.6370119634253552782.3_3_512_512_\Osteo_Sarco_1.png","RPT")</f>
        <v/>
      </c>
      <c r="F76" s="3" t="n">
        <v>109</v>
      </c>
      <c r="G76" s="3" t="n">
        <v>6</v>
      </c>
      <c r="H76" s="7" t="n"/>
      <c r="I76" t="inlineStr">
        <is>
          <t>SOMATOM Definition Edge</t>
        </is>
      </c>
      <c r="J76" t="inlineStr">
        <is>
          <t>Post Abdomen 3.0 I30f 2</t>
        </is>
      </c>
    </row>
    <row r="77">
      <c r="A77" s="2" t="n">
        <v>8689257</v>
      </c>
      <c r="B77" s="2" t="n">
        <v>35</v>
      </c>
      <c r="C77" s="2" t="inlineStr">
        <is>
          <t>F</t>
        </is>
      </c>
      <c r="D77" s="2" t="n">
        <v>100</v>
      </c>
      <c r="E77" s="4">
        <f>HYPERLINK("./Results/DLO\20180901_1.2.840.113619.2.94.485650834948.2.9063111.19682457.1_2_512_512_\Osteo_Sarco_1.png","RPT")</f>
        <v/>
      </c>
      <c r="F77" s="3" t="n">
        <v>107</v>
      </c>
      <c r="G77" s="3" t="n">
        <v>7</v>
      </c>
      <c r="H77" s="6" t="n">
        <v>20.81</v>
      </c>
      <c r="I77" t="inlineStr">
        <is>
          <t>Sensation 64</t>
        </is>
      </c>
      <c r="J77" t="inlineStr">
        <is>
          <t>With Contrast 3.0 B30f</t>
        </is>
      </c>
    </row>
    <row r="78">
      <c r="A78" s="2" t="n">
        <v>9825626</v>
      </c>
      <c r="B78" s="2" t="n">
        <v>35</v>
      </c>
      <c r="C78" s="2" t="inlineStr">
        <is>
          <t>F</t>
        </is>
      </c>
      <c r="D78" s="2" t="n">
        <v>100</v>
      </c>
      <c r="E78" s="4">
        <f>HYPERLINK("./Results/DLO\20191001_1.2.840.113619.2.416.94197313878895141056357684216050190554_310_512_512_\Osteo_Sarco_1.png","RPT")</f>
        <v/>
      </c>
      <c r="F78" s="3" t="n">
        <v>101</v>
      </c>
      <c r="G78" s="3" t="n">
        <v>8</v>
      </c>
      <c r="H78" s="7" t="n"/>
      <c r="I78" t="inlineStr">
        <is>
          <t>Revolution CT</t>
        </is>
      </c>
      <c r="J78" t="inlineStr">
        <is>
          <t>ABD</t>
        </is>
      </c>
    </row>
    <row r="79">
      <c r="A79" s="2" t="n">
        <v>9938555</v>
      </c>
      <c r="B79" s="2" t="n">
        <v>35</v>
      </c>
      <c r="C79" s="2" t="inlineStr">
        <is>
          <t>F</t>
        </is>
      </c>
      <c r="D79" s="2" t="n">
        <v>100</v>
      </c>
      <c r="E79" s="4">
        <f>HYPERLINK("./Results/DLO\20200301_1.2.840.113619.2.416.192517784979698719049209519069484646373_310_512_512_\Osteo_Sarco_1.png","RPT")</f>
        <v/>
      </c>
      <c r="F79" s="3" t="n">
        <v>100</v>
      </c>
      <c r="G79" s="3" t="n">
        <v>9</v>
      </c>
      <c r="H79" s="6" t="n">
        <v>20.07</v>
      </c>
      <c r="I79" t="inlineStr">
        <is>
          <t>Revolution CT</t>
        </is>
      </c>
      <c r="J79" t="inlineStr">
        <is>
          <t>ABD</t>
        </is>
      </c>
    </row>
    <row r="80">
      <c r="A80" s="2" t="n">
        <v>8833777</v>
      </c>
      <c r="B80" s="2" t="n">
        <v>36</v>
      </c>
      <c r="C80" s="2" t="inlineStr">
        <is>
          <t>F</t>
        </is>
      </c>
      <c r="D80" s="2" t="n">
        <v>100</v>
      </c>
      <c r="E80" s="4">
        <f>HYPERLINK("./Results/DLO\20190401_1.2.840.113619.2.94.485650834948.2.9503148.20784998.1_2_512_512_\Osteo_Sarco_1.png","RPT")</f>
        <v/>
      </c>
      <c r="F80" s="3" t="n">
        <v>88</v>
      </c>
      <c r="G80" s="3" t="n">
        <v>6</v>
      </c>
      <c r="H80" s="7" t="n"/>
      <c r="I80" t="inlineStr">
        <is>
          <t>Sensation 64</t>
        </is>
      </c>
      <c r="J80" t="inlineStr">
        <is>
          <t>With Contrast 3.0 B30f</t>
        </is>
      </c>
    </row>
    <row r="81">
      <c r="A81" s="2" t="n">
        <v>9577928</v>
      </c>
      <c r="B81" s="2" t="n">
        <v>36</v>
      </c>
      <c r="C81" s="2" t="inlineStr">
        <is>
          <t>F</t>
        </is>
      </c>
      <c r="D81" s="2" t="n">
        <v>100</v>
      </c>
      <c r="E81" s="4">
        <f>HYPERLINK("./Results/DLO\20190301_1.3.46.670589.33.1.63688245957778741200001.5752415587529754063_201_512_512_\Osteo_Sarco_1.png","RPT")</f>
        <v/>
      </c>
      <c r="F81" s="3" t="n">
        <v>77</v>
      </c>
      <c r="G81" s="3" t="n">
        <v>4</v>
      </c>
      <c r="H81" s="7" t="n"/>
      <c r="I81" t="inlineStr">
        <is>
          <t>Ingenuity Core 128</t>
        </is>
      </c>
      <c r="J81" t="inlineStr">
        <is>
          <t>Post 3mm, iDose (3)</t>
        </is>
      </c>
    </row>
    <row r="82">
      <c r="A82" s="2" t="n">
        <v>9956604</v>
      </c>
      <c r="B82" s="2" t="n">
        <v>36</v>
      </c>
      <c r="C82" s="2" t="inlineStr">
        <is>
          <t>M</t>
        </is>
      </c>
      <c r="D82" s="2" t="n">
        <v>100</v>
      </c>
      <c r="E82" s="4">
        <f>HYPERLINK("./Results/DLO\20200401_1.3.46.670589.33.1.63721951285033982800001.5679732805274984359_301_512_512_\Osteo_Sarco_1.png","RPT")</f>
        <v/>
      </c>
      <c r="F82" s="3" t="n">
        <v>151</v>
      </c>
      <c r="G82" s="3" t="n">
        <v>14</v>
      </c>
      <c r="H82" s="7" t="n"/>
      <c r="I82" t="inlineStr">
        <is>
          <t>Ingenuity Core 128</t>
        </is>
      </c>
      <c r="J82" t="inlineStr">
        <is>
          <t>Pre 3mm, iDose (3)</t>
        </is>
      </c>
    </row>
    <row r="83">
      <c r="A83" s="2" t="n">
        <v>9912449</v>
      </c>
      <c r="B83" s="2" t="n">
        <v>36</v>
      </c>
      <c r="C83" s="2" t="inlineStr">
        <is>
          <t>F</t>
        </is>
      </c>
      <c r="D83" s="2" t="n">
        <v>100</v>
      </c>
      <c r="E83" s="4">
        <f>HYPERLINK("./Results/DLO\20200201_1.2.840.113619.2.416.265961893536154367310147539876545175773_310_512_512_\Osteo_Sarco_1.png","RPT")</f>
        <v/>
      </c>
      <c r="F83" s="3" t="n">
        <v>145</v>
      </c>
      <c r="G83" s="3" t="n">
        <v>8</v>
      </c>
      <c r="H83" s="7" t="n"/>
      <c r="I83" t="inlineStr">
        <is>
          <t>Revolution CT</t>
        </is>
      </c>
      <c r="J83" t="inlineStr">
        <is>
          <t>ABD</t>
        </is>
      </c>
    </row>
    <row r="84">
      <c r="A84" s="2" t="n">
        <v>8436389</v>
      </c>
      <c r="B84" s="2" t="n">
        <v>36</v>
      </c>
      <c r="C84" s="2" t="inlineStr">
        <is>
          <t>M</t>
        </is>
      </c>
      <c r="D84" s="2" t="n">
        <v>100</v>
      </c>
      <c r="E84" s="4">
        <f>HYPERLINK("./Results/DLO\20180601_1.3.12.2.1107.5.1.4.65253.30000018061020144610600016241_3_512_512_\Osteo_Sarco_1.png","RPT")</f>
        <v/>
      </c>
      <c r="F84" s="3" t="n">
        <v>137</v>
      </c>
      <c r="G84" s="3" t="n">
        <v>6</v>
      </c>
      <c r="H84" s="7" t="n"/>
      <c r="I84" t="inlineStr">
        <is>
          <t>SOMATOM Definition AS</t>
        </is>
      </c>
      <c r="J84" t="inlineStr">
        <is>
          <t>Post Contrast 3.0 B30f</t>
        </is>
      </c>
    </row>
    <row r="85">
      <c r="A85" s="2" t="n">
        <v>9493649</v>
      </c>
      <c r="B85" s="2" t="n">
        <v>36</v>
      </c>
      <c r="C85" s="2" t="inlineStr">
        <is>
          <t>F</t>
        </is>
      </c>
      <c r="D85" s="2" t="n">
        <v>100</v>
      </c>
      <c r="E85" s="4">
        <f>HYPERLINK("./Results/DLO\20181001_1.2.840.113619.2.311.12406477006833149080973326969372597523_304_512_512_\Osteo_Sarco_1.png","RPT")</f>
        <v/>
      </c>
      <c r="F85" s="3" t="n">
        <v>124</v>
      </c>
      <c r="G85" s="3" t="n">
        <v>9</v>
      </c>
      <c r="H85" s="7" t="n"/>
      <c r="I85" t="inlineStr">
        <is>
          <t>Revolution CT</t>
        </is>
      </c>
      <c r="J85" t="inlineStr">
        <is>
          <t>ABD 2.5mm</t>
        </is>
      </c>
    </row>
    <row r="86">
      <c r="A86" s="2" t="n">
        <v>4240869</v>
      </c>
      <c r="B86" s="2" t="n">
        <v>37</v>
      </c>
      <c r="C86" s="2" t="inlineStr">
        <is>
          <t>F</t>
        </is>
      </c>
      <c r="D86" s="2" t="n">
        <v>100</v>
      </c>
      <c r="E86" s="4">
        <f>HYPERLINK("./Results/DLO\20180901_1.3.46.670589.33.1.63672777751609981100001.5533221147710649485_201_512_512_\Osteo_Sarco_1.png","RPT")</f>
        <v/>
      </c>
      <c r="F86" s="3" t="n">
        <v>99</v>
      </c>
      <c r="G86" s="3" t="n">
        <v>7</v>
      </c>
      <c r="H86" s="7" t="n"/>
      <c r="I86" t="inlineStr">
        <is>
          <t>Ingenuity Core 128</t>
        </is>
      </c>
      <c r="J86" t="inlineStr">
        <is>
          <t>Post 100/236 i3, iDose (3)</t>
        </is>
      </c>
    </row>
    <row r="87">
      <c r="A87" s="2" t="n">
        <v>8848342</v>
      </c>
      <c r="B87" s="2" t="n">
        <v>37</v>
      </c>
      <c r="C87" s="2" t="inlineStr">
        <is>
          <t>F</t>
        </is>
      </c>
      <c r="D87" s="2" t="n">
        <v>100</v>
      </c>
      <c r="E87" s="4">
        <f>HYPERLINK("./Results/DLO\20180201_1.2.840.113619.2.416.66073420355813234103631647329430787845_304_512_512_\Osteo_Sarco_1.png","RPT")</f>
        <v/>
      </c>
      <c r="F87" s="3" t="n">
        <v>97</v>
      </c>
      <c r="G87" s="3" t="n">
        <v>4</v>
      </c>
      <c r="H87" s="7" t="n"/>
      <c r="I87" t="inlineStr">
        <is>
          <t>Revolution CT</t>
        </is>
      </c>
      <c r="J87" t="inlineStr">
        <is>
          <t>ABD 2.5mm</t>
        </is>
      </c>
    </row>
    <row r="88">
      <c r="A88" s="2" t="n">
        <v>4806372</v>
      </c>
      <c r="B88" s="2" t="n">
        <v>37</v>
      </c>
      <c r="C88" s="2" t="inlineStr">
        <is>
          <t>F</t>
        </is>
      </c>
      <c r="D88" s="2" t="n">
        <v>100</v>
      </c>
      <c r="E88" s="4">
        <f>HYPERLINK("./Results/DLO\20180201_1.3.12.2.1107.5.1.4.54310.30000018022000214660900012245_3_512_512_\Osteo_Sarco_1.png","RPT")</f>
        <v/>
      </c>
      <c r="F88" s="3" t="n">
        <v>92</v>
      </c>
      <c r="G88" s="3" t="n">
        <v>4</v>
      </c>
      <c r="H88" s="7" t="n"/>
      <c r="I88" t="inlineStr">
        <is>
          <t>Sensation 64</t>
        </is>
      </c>
      <c r="J88" t="inlineStr">
        <is>
          <t>With Contrast 3.0 B30f</t>
        </is>
      </c>
    </row>
    <row r="89">
      <c r="A89" s="2" t="n">
        <v>8452405</v>
      </c>
      <c r="B89" s="2" t="n">
        <v>37</v>
      </c>
      <c r="C89" s="2" t="inlineStr">
        <is>
          <t>F</t>
        </is>
      </c>
      <c r="D89" s="2" t="n">
        <v>100</v>
      </c>
      <c r="E89" s="4">
        <f>HYPERLINK("./Results/DLO\20181001_1.3.12.2.1107.5.1.4.54310.30000018101823515412500010306_2_512_512_\Osteo_Sarco_1.png","RPT")</f>
        <v/>
      </c>
      <c r="F89" s="3" t="n">
        <v>88</v>
      </c>
      <c r="G89" s="3" t="n">
        <v>6</v>
      </c>
      <c r="H89" s="7" t="n"/>
      <c r="I89" t="inlineStr">
        <is>
          <t>Sensation 64</t>
        </is>
      </c>
      <c r="J89" t="inlineStr">
        <is>
          <t>With Contrast 3.0 B30f</t>
        </is>
      </c>
    </row>
    <row r="90">
      <c r="A90" s="2" t="n">
        <v>9444742</v>
      </c>
      <c r="B90" s="2" t="n">
        <v>37</v>
      </c>
      <c r="C90" s="2" t="inlineStr">
        <is>
          <t>F</t>
        </is>
      </c>
      <c r="D90" s="2" t="n">
        <v>100</v>
      </c>
      <c r="E90" s="4">
        <f>HYPERLINK("./Results/DLO\20181101_1.3.12.2.1107.5.1.4.65253.30000018112521135692300016530_2_512_512_\Osteo_Sarco_1.png","RPT")</f>
        <v/>
      </c>
      <c r="F90" s="3" t="n">
        <v>86</v>
      </c>
      <c r="G90" s="3" t="n">
        <v>8</v>
      </c>
      <c r="H90" s="7" t="n"/>
      <c r="I90" t="inlineStr">
        <is>
          <t>SOMATOM Definition AS</t>
        </is>
      </c>
      <c r="J90" t="inlineStr">
        <is>
          <t>W/O Contrast 2.0 B30f</t>
        </is>
      </c>
    </row>
    <row r="91">
      <c r="A91" s="2" t="n">
        <v>6038103</v>
      </c>
      <c r="B91" s="2" t="n">
        <v>37</v>
      </c>
      <c r="C91" s="2" t="inlineStr">
        <is>
          <t>M</t>
        </is>
      </c>
      <c r="D91" s="2" t="n">
        <v>100</v>
      </c>
      <c r="E91" s="4">
        <f>HYPERLINK("./Results/DLO\20180101_1.2.840.113619.2.311.54181217019504526735451010640995650164_304_512_512_\Osteo_Sarco_1.png","RPT")</f>
        <v/>
      </c>
      <c r="F91" s="3" t="n">
        <v>211</v>
      </c>
      <c r="G91" s="3" t="n">
        <v>9</v>
      </c>
      <c r="H91" s="7" t="n"/>
      <c r="I91" t="inlineStr">
        <is>
          <t>Revolution CT</t>
        </is>
      </c>
      <c r="J91" t="inlineStr">
        <is>
          <t>ABD 2.5mm</t>
        </is>
      </c>
    </row>
    <row r="92">
      <c r="A92" s="2" t="n">
        <v>9835015</v>
      </c>
      <c r="B92" s="2" t="n">
        <v>37</v>
      </c>
      <c r="C92" s="2" t="inlineStr">
        <is>
          <t>M</t>
        </is>
      </c>
      <c r="D92" s="2" t="n">
        <v>100</v>
      </c>
      <c r="E92" s="4">
        <f>HYPERLINK("./Results/DLO\20191201_1.3.46.670589.33.1.63713121475170043100001.5243764223618219396_201_512_512_\Osteo_Sarco_1.png","RPT")</f>
        <v/>
      </c>
      <c r="F92" s="3" t="n">
        <v>174</v>
      </c>
      <c r="G92" s="3" t="n">
        <v>6</v>
      </c>
      <c r="H92" s="7" t="n"/>
      <c r="I92" t="inlineStr">
        <is>
          <t>Ingenuity Core 128</t>
        </is>
      </c>
      <c r="J92" t="inlineStr">
        <is>
          <t>Post 3mm, iDose (3)</t>
        </is>
      </c>
    </row>
    <row r="93">
      <c r="A93" s="2" t="n">
        <v>9839344</v>
      </c>
      <c r="B93" s="2" t="n">
        <v>37</v>
      </c>
      <c r="C93" s="2" t="inlineStr">
        <is>
          <t>M</t>
        </is>
      </c>
      <c r="D93" s="2" t="n">
        <v>100</v>
      </c>
      <c r="E93" s="4">
        <f>HYPERLINK("./Results/DLO\20191101_1.3.12.2.1107.5.1.4.54310.30000019112821370418700000751_2_512_512_\Osteo_Sarco_1.png","RPT")</f>
        <v/>
      </c>
      <c r="F93" s="3" t="n">
        <v>167</v>
      </c>
      <c r="G93" s="3" t="n">
        <v>11</v>
      </c>
      <c r="H93" s="7" t="n"/>
      <c r="I93" t="inlineStr">
        <is>
          <t>Sensation 64</t>
        </is>
      </c>
      <c r="J93" t="inlineStr">
        <is>
          <t>With Contrast 3.0 B30f</t>
        </is>
      </c>
    </row>
    <row r="94">
      <c r="A94" s="2" t="n">
        <v>1356838</v>
      </c>
      <c r="B94" s="2" t="n">
        <v>37</v>
      </c>
      <c r="C94" s="2" t="inlineStr">
        <is>
          <t>F</t>
        </is>
      </c>
      <c r="D94" s="2" t="n">
        <v>100</v>
      </c>
      <c r="E94" s="4">
        <f>HYPERLINK("./Results/DLO\20181001_1.2.840.113619.2.416.255640115672949554710299977542139167172_304_512_512_\Osteo_Sarco_1.png","RPT")</f>
        <v/>
      </c>
      <c r="F94" s="3" t="n">
        <v>125</v>
      </c>
      <c r="G94" s="3" t="n">
        <v>12</v>
      </c>
      <c r="H94" s="7" t="n"/>
      <c r="I94" t="inlineStr">
        <is>
          <t>Revolution CT</t>
        </is>
      </c>
      <c r="J94" t="inlineStr">
        <is>
          <t>ABD 2.5mm</t>
        </is>
      </c>
    </row>
    <row r="95">
      <c r="A95" s="2" t="n">
        <v>8638119</v>
      </c>
      <c r="B95" s="2" t="n">
        <v>37</v>
      </c>
      <c r="C95" s="2" t="inlineStr">
        <is>
          <t>F</t>
        </is>
      </c>
      <c r="D95" s="2" t="n">
        <v>100</v>
      </c>
      <c r="E95" s="4">
        <f>HYPERLINK("./Results/DLO\20190201_1.3.46.670589.33.1.63685998699956000300001.5202200711458794102_201_512_512_\Osteo_Sarco_1.png","RPT")</f>
        <v/>
      </c>
      <c r="F95" s="3" t="n">
        <v>125</v>
      </c>
      <c r="G95" s="3" t="n">
        <v>9</v>
      </c>
      <c r="H95" s="7" t="n"/>
      <c r="I95" t="inlineStr">
        <is>
          <t>Ingenuity Core 128</t>
        </is>
      </c>
      <c r="J95" t="inlineStr">
        <is>
          <t>Post 3mm, iDose (3)</t>
        </is>
      </c>
    </row>
    <row r="96">
      <c r="A96" s="2" t="n">
        <v>3809068</v>
      </c>
      <c r="B96" s="2" t="n">
        <v>37</v>
      </c>
      <c r="C96" s="2" t="inlineStr">
        <is>
          <t>M</t>
        </is>
      </c>
      <c r="D96" s="2" t="n">
        <v>100</v>
      </c>
      <c r="E96" s="4">
        <f>HYPERLINK("./Results/DLO\20181101_1.3.12.2.1107.5.1.4.54310.30000018112823185235900054057_2_512_512_\Osteo_Sarco_1.png","RPT")</f>
        <v/>
      </c>
      <c r="F96" s="3" t="n">
        <v>118</v>
      </c>
      <c r="G96" s="3" t="n">
        <v>6</v>
      </c>
      <c r="H96" s="7" t="n"/>
      <c r="I96" t="inlineStr">
        <is>
          <t>Sensation 64</t>
        </is>
      </c>
      <c r="J96" t="inlineStr">
        <is>
          <t>Pre Contrast 3.0 B30f</t>
        </is>
      </c>
    </row>
    <row r="97">
      <c r="A97" s="2" t="n">
        <v>3695068</v>
      </c>
      <c r="B97" s="2" t="n">
        <v>37</v>
      </c>
      <c r="C97" s="2" t="inlineStr">
        <is>
          <t>F</t>
        </is>
      </c>
      <c r="D97" s="2" t="n">
        <v>100</v>
      </c>
      <c r="E97" s="4">
        <f>HYPERLINK("./Results/DLO\20181201_1.2.840.113619.2.416.220851316714794289447013323474371988678_304_512_512_\Osteo_Sarco_1.png","RPT")</f>
        <v/>
      </c>
      <c r="F97" s="3" t="n">
        <v>118</v>
      </c>
      <c r="G97" s="3" t="n">
        <v>9</v>
      </c>
      <c r="H97" s="7" t="n"/>
      <c r="I97" t="inlineStr">
        <is>
          <t>Revolution CT</t>
        </is>
      </c>
      <c r="J97" t="inlineStr">
        <is>
          <t>ABD 2.5mm</t>
        </is>
      </c>
    </row>
    <row r="98">
      <c r="A98" s="2" t="n">
        <v>2559340</v>
      </c>
      <c r="B98" s="2" t="n">
        <v>37</v>
      </c>
      <c r="C98" s="2" t="inlineStr">
        <is>
          <t>F</t>
        </is>
      </c>
      <c r="D98" s="2" t="n">
        <v>100</v>
      </c>
      <c r="E98" s="4">
        <f>HYPERLINK("./Results/DLO\20190901_1.3.46.670589.33.1.63705346670652677000001.5556583170705163881_201_512_512_\Osteo_Sarco_1.png","RPT")</f>
        <v/>
      </c>
      <c r="F98" s="3" t="n">
        <v>113</v>
      </c>
      <c r="G98" s="3" t="n">
        <v>7</v>
      </c>
      <c r="H98" s="7" t="n"/>
      <c r="I98" t="inlineStr">
        <is>
          <t>Ingenuity Core 128</t>
        </is>
      </c>
      <c r="J98" t="inlineStr">
        <is>
          <t>Post 3mm, iDose (3)</t>
        </is>
      </c>
    </row>
    <row r="99">
      <c r="A99" s="2" t="n">
        <v>9990204</v>
      </c>
      <c r="B99" s="2" t="n">
        <v>37</v>
      </c>
      <c r="C99" s="2" t="inlineStr">
        <is>
          <t>F</t>
        </is>
      </c>
      <c r="D99" s="2" t="n">
        <v>100</v>
      </c>
      <c r="E99" s="4">
        <f>HYPERLINK("./Results/DLO\20200501_1.2.840.113619.2.416.237334515615484104432744409195057542519_307_512_512_\Osteo_Sarco_1.png","RPT")</f>
        <v/>
      </c>
      <c r="F99" s="3" t="n">
        <v>109</v>
      </c>
      <c r="G99" s="3" t="n">
        <v>9</v>
      </c>
      <c r="H99" s="7" t="n"/>
      <c r="I99" t="inlineStr">
        <is>
          <t>Revolution CT</t>
        </is>
      </c>
      <c r="J99" t="inlineStr">
        <is>
          <t>ABD</t>
        </is>
      </c>
    </row>
    <row r="100">
      <c r="A100" s="2" t="n">
        <v>2735825</v>
      </c>
      <c r="B100" s="2" t="n">
        <v>37</v>
      </c>
      <c r="C100" s="2" t="inlineStr">
        <is>
          <t>F</t>
        </is>
      </c>
      <c r="D100" s="2" t="n">
        <v>100</v>
      </c>
      <c r="E100" s="4">
        <f>HYPERLINK("./Results/DLO\20181201_1.3.12.2.1107.5.1.4.65253.30000018121120031523800028630_3_512_512_\Osteo_Sarco_1.png","RPT")</f>
        <v/>
      </c>
      <c r="F100" s="3" t="n">
        <v>103</v>
      </c>
      <c r="G100" s="3" t="n">
        <v>6</v>
      </c>
      <c r="H100" s="7" t="n"/>
      <c r="I100" t="inlineStr">
        <is>
          <t>SOMATOM Definition AS</t>
        </is>
      </c>
      <c r="J100" t="inlineStr">
        <is>
          <t>Post Contrast 3.0 B30f</t>
        </is>
      </c>
    </row>
    <row r="101">
      <c r="A101" s="2" t="n">
        <v>4341096</v>
      </c>
      <c r="B101" s="2" t="n">
        <v>38</v>
      </c>
      <c r="C101" s="2" t="inlineStr">
        <is>
          <t>F</t>
        </is>
      </c>
      <c r="D101" s="2" t="n">
        <v>100</v>
      </c>
      <c r="E101" s="4">
        <f>HYPERLINK("./Results/DLO\20190701_1.3.46.670589.33.1.63697745182161632800001.4743750189490868073_201_512_512_\Osteo_Sarco_1.png","RPT")</f>
        <v/>
      </c>
      <c r="F101" s="3" t="n">
        <v>94</v>
      </c>
      <c r="G101" s="3" t="n">
        <v>8</v>
      </c>
      <c r="H101" s="7" t="n"/>
      <c r="I101" t="inlineStr">
        <is>
          <t>Ingenuity Core 128</t>
        </is>
      </c>
      <c r="J101" t="inlineStr">
        <is>
          <t>Post 3mm, iDose (3)</t>
        </is>
      </c>
    </row>
    <row r="102">
      <c r="A102" s="2" t="n">
        <v>8856024</v>
      </c>
      <c r="B102" s="2" t="n">
        <v>38</v>
      </c>
      <c r="C102" s="2" t="inlineStr">
        <is>
          <t>F</t>
        </is>
      </c>
      <c r="D102" s="2" t="n">
        <v>100</v>
      </c>
      <c r="E102" s="4">
        <f>HYPERLINK("./Results/DLO\20200501_1.3.46.670589.33.1.63724356315459538500001.5167128441056253577_201_512_512_\Osteo_Sarco_1.png","RPT")</f>
        <v/>
      </c>
      <c r="F102" s="3" t="n">
        <v>90</v>
      </c>
      <c r="G102" s="3" t="n">
        <v>6</v>
      </c>
      <c r="H102" s="7" t="n"/>
      <c r="I102" t="inlineStr">
        <is>
          <t>Ingenuity Core 128</t>
        </is>
      </c>
      <c r="J102" t="inlineStr">
        <is>
          <t>Post 3mm, iDose (3)</t>
        </is>
      </c>
    </row>
    <row r="103">
      <c r="A103" s="2" t="n">
        <v>8279358</v>
      </c>
      <c r="B103" s="2" t="n">
        <v>38</v>
      </c>
      <c r="C103" s="2" t="inlineStr">
        <is>
          <t>F</t>
        </is>
      </c>
      <c r="D103" s="2" t="n">
        <v>100</v>
      </c>
      <c r="E103" s="4">
        <f>HYPERLINK("./Results/DLO\20180401_1.2.840.113619.2.94.485650834948.2.8781381.18989277.1_2_512_512_\Osteo_Sarco_1.png","RPT")</f>
        <v/>
      </c>
      <c r="F103" s="3" t="n">
        <v>88</v>
      </c>
      <c r="G103" s="3" t="n">
        <v>6</v>
      </c>
      <c r="H103" s="7" t="n"/>
      <c r="I103" t="inlineStr">
        <is>
          <t>Sensation 64</t>
        </is>
      </c>
      <c r="J103" t="inlineStr">
        <is>
          <t>With Contrast 3.0 B30f</t>
        </is>
      </c>
    </row>
    <row r="104">
      <c r="A104" s="2" t="n">
        <v>5739830</v>
      </c>
      <c r="B104" s="2" t="n">
        <v>38</v>
      </c>
      <c r="C104" s="2" t="inlineStr">
        <is>
          <t>F</t>
        </is>
      </c>
      <c r="D104" s="2" t="n">
        <v>100</v>
      </c>
      <c r="E104" s="4">
        <f>HYPERLINK("./Results/DLO\20181101_1.3.12.2.1107.5.1.4.54310.30000018110623281529600009752_2_512_512_\Osteo_Sarco_1.png","RPT")</f>
        <v/>
      </c>
      <c r="F104" s="3" t="n">
        <v>84</v>
      </c>
      <c r="G104" s="3" t="n">
        <v>5</v>
      </c>
      <c r="H104" s="7" t="n"/>
      <c r="I104" t="inlineStr">
        <is>
          <t>Sensation 64</t>
        </is>
      </c>
      <c r="J104" t="inlineStr">
        <is>
          <t>With Contrast 3.0 B30f</t>
        </is>
      </c>
    </row>
    <row r="105">
      <c r="A105" s="2" t="n">
        <v>4618517</v>
      </c>
      <c r="B105" s="2" t="n">
        <v>38</v>
      </c>
      <c r="C105" s="2" t="inlineStr">
        <is>
          <t>M</t>
        </is>
      </c>
      <c r="D105" s="2" t="n">
        <v>100</v>
      </c>
      <c r="E105" s="4">
        <f>HYPERLINK("./Results/DLO\20180401_1.3.12.2.1107.5.1.4.65253.30000018040217342943100044755_2_512_512_\Osteo_Sarco_1.png","RPT")</f>
        <v/>
      </c>
      <c r="F105" s="3" t="n">
        <v>193</v>
      </c>
      <c r="G105" s="3" t="n">
        <v>9</v>
      </c>
      <c r="H105" s="7" t="n"/>
      <c r="I105" t="inlineStr">
        <is>
          <t>SOMATOM Definition AS</t>
        </is>
      </c>
      <c r="J105" t="inlineStr">
        <is>
          <t>Pre Contrast 3.0 B30f</t>
        </is>
      </c>
    </row>
    <row r="106">
      <c r="A106" s="2" t="n">
        <v>8328245</v>
      </c>
      <c r="B106" s="2" t="n">
        <v>38</v>
      </c>
      <c r="C106" s="2" t="inlineStr">
        <is>
          <t>M</t>
        </is>
      </c>
      <c r="D106" s="2" t="n">
        <v>100</v>
      </c>
      <c r="E106" s="4">
        <f>HYPERLINK("./Results/DLO\20190301_1.3.12.2.1107.5.1.4.65253.30000019030620083671800046209_2_512_512_\Osteo_Sarco_1.png","RPT")</f>
        <v/>
      </c>
      <c r="F106" s="3" t="n">
        <v>182</v>
      </c>
      <c r="G106" s="3" t="n">
        <v>9</v>
      </c>
      <c r="H106" s="7" t="n"/>
      <c r="I106" t="inlineStr">
        <is>
          <t>SOMATOM Definition AS</t>
        </is>
      </c>
      <c r="J106" t="inlineStr">
        <is>
          <t>With Contrast 3.0 B30f</t>
        </is>
      </c>
    </row>
    <row r="107">
      <c r="A107" s="2" t="n">
        <v>1252461</v>
      </c>
      <c r="B107" s="2" t="n">
        <v>38</v>
      </c>
      <c r="C107" s="2" t="inlineStr">
        <is>
          <t>M</t>
        </is>
      </c>
      <c r="D107" s="2" t="n">
        <v>100</v>
      </c>
      <c r="E107" s="4">
        <f>HYPERLINK("./Results/DLO\20180401_1.3.12.2.1107.5.1.4.65253.30000018041320101722900007952_3_512_512_\Osteo_Sarco_1.png","RPT")</f>
        <v/>
      </c>
      <c r="F107" s="3" t="n">
        <v>135</v>
      </c>
      <c r="G107" s="3" t="n">
        <v>7</v>
      </c>
      <c r="H107" s="7" t="n"/>
      <c r="I107" t="inlineStr">
        <is>
          <t>SOMATOM Definition AS</t>
        </is>
      </c>
      <c r="J107" t="inlineStr">
        <is>
          <t>Post Contrast 3.0 B30f</t>
        </is>
      </c>
    </row>
    <row r="108">
      <c r="A108" s="2" t="n">
        <v>9869884</v>
      </c>
      <c r="B108" s="2" t="n">
        <v>38</v>
      </c>
      <c r="C108" s="2" t="inlineStr">
        <is>
          <t>M</t>
        </is>
      </c>
      <c r="D108" s="2" t="n">
        <v>100</v>
      </c>
      <c r="E108" s="4">
        <f>HYPERLINK("./Results/DLO\20191201_1.3.12.2.1107.5.1.4.54310.30000019122221242184300039996_4_512_512_\Osteo_Sarco_1.png","RPT")</f>
        <v/>
      </c>
      <c r="F108" s="3" t="n">
        <v>127</v>
      </c>
      <c r="G108" s="3" t="n">
        <v>8</v>
      </c>
      <c r="H108" s="7" t="n"/>
      <c r="I108" t="inlineStr">
        <is>
          <t>Sensation 64</t>
        </is>
      </c>
      <c r="J108" t="inlineStr">
        <is>
          <t>Arterial 3.0 B30f</t>
        </is>
      </c>
    </row>
    <row r="109">
      <c r="A109" s="2" t="n">
        <v>9666989</v>
      </c>
      <c r="B109" s="2" t="n">
        <v>38</v>
      </c>
      <c r="C109" s="2" t="inlineStr">
        <is>
          <t>F</t>
        </is>
      </c>
      <c r="D109" s="2" t="n">
        <v>100</v>
      </c>
      <c r="E109" s="4">
        <f>HYPERLINK("./Results/DLO\20190801_1.3.12.2.1107.5.1.4.54310.30000019081822233132800040586_2_512_512_\Osteo_Sarco_1.png","RPT")</f>
        <v/>
      </c>
      <c r="F109" s="3" t="n">
        <v>123</v>
      </c>
      <c r="G109" s="3" t="n">
        <v>10</v>
      </c>
      <c r="H109" s="7" t="n"/>
      <c r="I109" t="inlineStr">
        <is>
          <t>Sensation 64</t>
        </is>
      </c>
      <c r="J109" t="inlineStr">
        <is>
          <t>ABD Pre 3.0 B30f</t>
        </is>
      </c>
    </row>
    <row r="110">
      <c r="A110" s="2" t="n">
        <v>9621668</v>
      </c>
      <c r="B110" s="2" t="n">
        <v>38</v>
      </c>
      <c r="C110" s="2" t="inlineStr">
        <is>
          <t>F</t>
        </is>
      </c>
      <c r="D110" s="2" t="n">
        <v>100</v>
      </c>
      <c r="E110" s="4">
        <f>HYPERLINK("./Results/DLO\20190301_1.2.840.113619.2.311.323778572236644445970390947216178163033_304_512_512_\Osteo_Sarco_1.png","RPT")</f>
        <v/>
      </c>
      <c r="F110" s="3" t="n">
        <v>117</v>
      </c>
      <c r="G110" s="3" t="n">
        <v>10</v>
      </c>
      <c r="H110" s="7" t="n"/>
      <c r="I110" t="inlineStr">
        <is>
          <t>Revolution CT</t>
        </is>
      </c>
      <c r="J110" t="inlineStr">
        <is>
          <t>ABD 2.5mm</t>
        </is>
      </c>
    </row>
    <row r="111">
      <c r="A111" s="2" t="n">
        <v>8787572</v>
      </c>
      <c r="B111" s="2" t="n">
        <v>38</v>
      </c>
      <c r="C111" s="2" t="inlineStr">
        <is>
          <t>F</t>
        </is>
      </c>
      <c r="D111" s="2" t="n">
        <v>100</v>
      </c>
      <c r="E111" s="4">
        <f>HYPERLINK("./Results/DLO\20180601_1.3.12.2.1107.5.1.4.54310.30000018062523303743700008453_3_512_512_\Osteo_Sarco_1.png","RPT")</f>
        <v/>
      </c>
      <c r="F111" s="3" t="n">
        <v>111</v>
      </c>
      <c r="G111" s="3" t="n">
        <v>8</v>
      </c>
      <c r="H111" s="7" t="n"/>
      <c r="I111" t="inlineStr">
        <is>
          <t>Sensation 64</t>
        </is>
      </c>
      <c r="J111" t="inlineStr">
        <is>
          <t>Pre Contrast 3.0 B30f</t>
        </is>
      </c>
    </row>
    <row r="112">
      <c r="A112" s="2" t="n">
        <v>9421181</v>
      </c>
      <c r="B112" s="2" t="n">
        <v>38</v>
      </c>
      <c r="C112" s="2" t="inlineStr">
        <is>
          <t>F</t>
        </is>
      </c>
      <c r="D112" s="2" t="n">
        <v>100</v>
      </c>
      <c r="E112" s="4">
        <f>HYPERLINK("./Results/DLO\20180801_1.3.46.670589.33.1.63669145796550992100001.5216036111274301210_201_512_512_\Osteo_Sarco_1.png","RPT")</f>
        <v/>
      </c>
      <c r="F112" s="3" t="n">
        <v>107</v>
      </c>
      <c r="G112" s="3" t="n">
        <v>5</v>
      </c>
      <c r="H112" s="7" t="n"/>
      <c r="I112" t="inlineStr">
        <is>
          <t>Ingenuity Core 128</t>
        </is>
      </c>
      <c r="J112" t="inlineStr">
        <is>
          <t>Post 100/236 i3, iDose (3)</t>
        </is>
      </c>
    </row>
    <row r="113">
      <c r="A113" s="2" t="n">
        <v>5255906</v>
      </c>
      <c r="B113" s="2" t="n">
        <v>38</v>
      </c>
      <c r="C113" s="2" t="inlineStr">
        <is>
          <t>F</t>
        </is>
      </c>
      <c r="D113" s="2" t="n">
        <v>100</v>
      </c>
      <c r="E113" s="4">
        <f>HYPERLINK("./Results/DLO\20200301_1.3.46.670589.33.1.63720210421776606000001.5111595564426887177_201_512_512_\Osteo_Sarco_1.png","RPT")</f>
        <v/>
      </c>
      <c r="F113" s="3" t="n">
        <v>107</v>
      </c>
      <c r="G113" s="3" t="n">
        <v>7</v>
      </c>
      <c r="H113" s="7" t="n"/>
      <c r="I113" t="inlineStr">
        <is>
          <t>Ingenuity Core 128</t>
        </is>
      </c>
      <c r="J113" t="inlineStr">
        <is>
          <t>Post 3mm, iDose (3)</t>
        </is>
      </c>
    </row>
    <row r="114">
      <c r="A114" s="2" t="n">
        <v>8709647</v>
      </c>
      <c r="B114" s="2" t="n">
        <v>38</v>
      </c>
      <c r="C114" s="2" t="inlineStr">
        <is>
          <t>F</t>
        </is>
      </c>
      <c r="D114" s="2" t="n">
        <v>100</v>
      </c>
      <c r="E114" s="4">
        <f>HYPERLINK("./Results/DLO\20180501_1.2.840.113619.2.94.485650834948.2.8802942.19040333.1_2_512_512_\Osteo_Sarco_1.png","RPT")</f>
        <v/>
      </c>
      <c r="F114" s="3" t="n">
        <v>105</v>
      </c>
      <c r="G114" s="3" t="n">
        <v>11</v>
      </c>
      <c r="H114" s="7" t="n"/>
      <c r="I114" t="inlineStr">
        <is>
          <t>Sensation 64</t>
        </is>
      </c>
      <c r="J114" t="inlineStr">
        <is>
          <t>With Contrast 3.0 B30f</t>
        </is>
      </c>
    </row>
    <row r="115">
      <c r="A115" s="2" t="n">
        <v>9713380</v>
      </c>
      <c r="B115" s="2" t="n">
        <v>38</v>
      </c>
      <c r="C115" s="2" t="inlineStr">
        <is>
          <t>F</t>
        </is>
      </c>
      <c r="D115" s="2" t="n">
        <v>100</v>
      </c>
      <c r="E115" s="4">
        <f>HYPERLINK("./Results/DLO\20190701_1.3.12.2.1107.5.1.4.54310.30000019063022203612500047057_6_512_512_\Osteo_Sarco_1.png","RPT")</f>
        <v/>
      </c>
      <c r="F115" s="3" t="n">
        <v>104</v>
      </c>
      <c r="G115" s="3" t="n">
        <v>7</v>
      </c>
      <c r="H115" s="7" t="n"/>
      <c r="I115" t="inlineStr">
        <is>
          <t>Sensation 64</t>
        </is>
      </c>
      <c r="J115" t="inlineStr">
        <is>
          <t>Portal 3.0 B30f</t>
        </is>
      </c>
    </row>
    <row r="116">
      <c r="A116" s="2" t="n">
        <v>9728889</v>
      </c>
      <c r="B116" s="2" t="n">
        <v>38</v>
      </c>
      <c r="C116" s="2" t="inlineStr">
        <is>
          <t>F</t>
        </is>
      </c>
      <c r="D116" s="2" t="n">
        <v>100</v>
      </c>
      <c r="E116" s="4">
        <f>HYPERLINK("./Results/DLO\20190701_1.2.840.113619.2.416.293407023531150046616968310172133605664_310_512_512_\Osteo_Sarco_1.png","RPT")</f>
        <v/>
      </c>
      <c r="F116" s="3" t="n">
        <v>103</v>
      </c>
      <c r="G116" s="3" t="n">
        <v>9</v>
      </c>
      <c r="H116" s="7" t="n"/>
      <c r="I116" t="inlineStr">
        <is>
          <t>Revolution CT</t>
        </is>
      </c>
      <c r="J116" t="inlineStr">
        <is>
          <t>ABD</t>
        </is>
      </c>
    </row>
    <row r="117">
      <c r="A117" s="2" t="n">
        <v>8780557</v>
      </c>
      <c r="B117" s="2" t="n">
        <v>38</v>
      </c>
      <c r="C117" s="2" t="inlineStr">
        <is>
          <t>F</t>
        </is>
      </c>
      <c r="D117" s="2" t="n">
        <v>100</v>
      </c>
      <c r="E117" s="4">
        <f>HYPERLINK("./Results/DLO\20190701_1.2.840.113619.2.416.189882123197222889149481546094141653856_310_512_512_\Osteo_Sarco_1.png","RPT")</f>
        <v/>
      </c>
      <c r="F117" s="3" t="n">
        <v>101</v>
      </c>
      <c r="G117" s="3" t="n">
        <v>13</v>
      </c>
      <c r="H117" s="7" t="n"/>
      <c r="I117" t="inlineStr">
        <is>
          <t>Revolution CT</t>
        </is>
      </c>
      <c r="J117" t="inlineStr">
        <is>
          <t>ABD</t>
        </is>
      </c>
    </row>
    <row r="118">
      <c r="A118" s="2" t="n">
        <v>9753834</v>
      </c>
      <c r="B118" s="2" t="n">
        <v>38</v>
      </c>
      <c r="C118" s="2" t="inlineStr">
        <is>
          <t>F</t>
        </is>
      </c>
      <c r="D118" s="2" t="n">
        <v>100</v>
      </c>
      <c r="E118" s="4">
        <f>HYPERLINK("./Results/DLO\20190801_1.3.12.2.1107.5.1.4.54310.30000019082606111698400010020_9_512_512_\Osteo_Sarco_1.png","RPT")</f>
        <v/>
      </c>
      <c r="F118" s="3" t="n">
        <v>100</v>
      </c>
      <c r="G118" s="3" t="n">
        <v>3</v>
      </c>
      <c r="H118" s="7" t="n"/>
      <c r="I118" t="inlineStr">
        <is>
          <t>Sensation 64</t>
        </is>
      </c>
      <c r="J118" t="inlineStr">
        <is>
          <t>Delay 3.0 B30f</t>
        </is>
      </c>
    </row>
    <row r="119">
      <c r="A119" s="2" t="n">
        <v>2980751</v>
      </c>
      <c r="B119" s="2" t="n">
        <v>39</v>
      </c>
      <c r="C119" s="2" t="inlineStr">
        <is>
          <t>F</t>
        </is>
      </c>
      <c r="D119" s="2" t="n">
        <v>100</v>
      </c>
      <c r="E119" s="4">
        <f>HYPERLINK("./Results/DLO\20190901_1.2.840.113619.2.416.105365011838274972406370773128892974513_310_512_512_\Osteo_Sarco_1.png","RPT")</f>
        <v/>
      </c>
      <c r="F119" s="3" t="n">
        <v>96</v>
      </c>
      <c r="G119" s="3" t="n">
        <v>6</v>
      </c>
      <c r="H119" s="7" t="n"/>
      <c r="I119" t="inlineStr">
        <is>
          <t>Revolution CT</t>
        </is>
      </c>
      <c r="J119" t="inlineStr">
        <is>
          <t>ABD</t>
        </is>
      </c>
    </row>
    <row r="120">
      <c r="A120" s="2" t="n">
        <v>9422344</v>
      </c>
      <c r="B120" s="2" t="n">
        <v>39</v>
      </c>
      <c r="C120" s="2" t="inlineStr">
        <is>
          <t>F</t>
        </is>
      </c>
      <c r="D120" s="2" t="n">
        <v>100</v>
      </c>
      <c r="E120" s="4">
        <f>HYPERLINK("./Results/DLO\20190901_1.3.12.2.1107.5.1.4.54310.30000019091721201029600034159_10_512_512_\Osteo_Sarco_1.png","RPT")</f>
        <v/>
      </c>
      <c r="F120" s="3" t="n">
        <v>94</v>
      </c>
      <c r="G120" s="3" t="n">
        <v>6</v>
      </c>
      <c r="H120" s="7" t="n"/>
      <c r="I120" t="inlineStr">
        <is>
          <t>Sensation 64</t>
        </is>
      </c>
      <c r="J120" t="inlineStr">
        <is>
          <t>ABD Contrast 3.0 B30f</t>
        </is>
      </c>
    </row>
    <row r="121">
      <c r="A121" s="2" t="n">
        <v>9645539</v>
      </c>
      <c r="B121" s="2" t="n">
        <v>39</v>
      </c>
      <c r="C121" s="2" t="inlineStr">
        <is>
          <t>F</t>
        </is>
      </c>
      <c r="D121" s="2" t="n">
        <v>100</v>
      </c>
      <c r="E121" s="4">
        <f>HYPERLINK("./Results/DLO\20190401_1.3.12.2.1107.5.1.4.54310.30000019041623401839000011287_2_512_512_\Osteo_Sarco_1.png","RPT")</f>
        <v/>
      </c>
      <c r="F121" s="3" t="n">
        <v>91</v>
      </c>
      <c r="G121" s="3" t="n">
        <v>7</v>
      </c>
      <c r="H121" s="7" t="n"/>
      <c r="I121" t="inlineStr">
        <is>
          <t>Sensation 64</t>
        </is>
      </c>
      <c r="J121" t="inlineStr">
        <is>
          <t>With Contrast 3.0 B30f</t>
        </is>
      </c>
    </row>
    <row r="122">
      <c r="A122" s="2" t="n">
        <v>4737921</v>
      </c>
      <c r="B122" s="2" t="n">
        <v>39</v>
      </c>
      <c r="C122" s="2" t="inlineStr">
        <is>
          <t>F</t>
        </is>
      </c>
      <c r="D122" s="2" t="n">
        <v>100</v>
      </c>
      <c r="E122" s="4">
        <f>HYPERLINK("./Results/DLO\20200501_1.2.840.113619.2.416.32562377199508650589818989492824014545_307_512_512_\Osteo_Sarco_1.png","RPT")</f>
        <v/>
      </c>
      <c r="F122" s="3" t="n">
        <v>90</v>
      </c>
      <c r="G122" s="3" t="n">
        <v>9</v>
      </c>
      <c r="H122" s="7" t="n"/>
      <c r="I122" t="inlineStr">
        <is>
          <t>Revolution CT</t>
        </is>
      </c>
      <c r="J122" t="inlineStr">
        <is>
          <t>ABD</t>
        </is>
      </c>
    </row>
    <row r="123">
      <c r="A123" s="2" t="n">
        <v>6739716</v>
      </c>
      <c r="B123" s="2" t="n">
        <v>39</v>
      </c>
      <c r="C123" s="2" t="inlineStr">
        <is>
          <t>M</t>
        </is>
      </c>
      <c r="D123" s="2" t="n">
        <v>100</v>
      </c>
      <c r="E123" s="4">
        <f>HYPERLINK("./Results/DLO\20180401_1.3.12.2.1107.5.1.4.65253.30000018042321504630500016686_5_512_512_\Osteo_Sarco_1.png","RPT")</f>
        <v/>
      </c>
      <c r="F123" s="3" t="n">
        <v>220</v>
      </c>
      <c r="G123" s="3" t="n">
        <v>9</v>
      </c>
      <c r="H123" s="7" t="n"/>
      <c r="I123" t="inlineStr">
        <is>
          <t>SOMATOM Definition AS</t>
        </is>
      </c>
      <c r="J123" t="inlineStr">
        <is>
          <t>Arterial Phase 3.0 B30f</t>
        </is>
      </c>
    </row>
    <row r="124">
      <c r="A124" s="2" t="n">
        <v>3149649</v>
      </c>
      <c r="B124" s="2" t="n">
        <v>39</v>
      </c>
      <c r="C124" s="2" t="inlineStr">
        <is>
          <t>M</t>
        </is>
      </c>
      <c r="D124" s="2" t="n">
        <v>100</v>
      </c>
      <c r="E124" s="4">
        <f>HYPERLINK("./Results/DLO\20190701_1.3.12.2.1107.5.1.4.65253.30000019070121244618300014014_2_512_512_\Osteo_Sarco_1.png","RPT")</f>
        <v/>
      </c>
      <c r="F124" s="3" t="n">
        <v>195</v>
      </c>
      <c r="G124" s="3" t="n">
        <v>9</v>
      </c>
      <c r="H124" s="7" t="n"/>
      <c r="I124" t="inlineStr">
        <is>
          <t>SOMATOM Definition AS</t>
        </is>
      </c>
      <c r="J124" t="inlineStr">
        <is>
          <t>Pre Contrast 3.0 B30f</t>
        </is>
      </c>
    </row>
    <row r="125">
      <c r="A125" s="2" t="n">
        <v>970646</v>
      </c>
      <c r="B125" s="2" t="n">
        <v>39</v>
      </c>
      <c r="C125" s="2" t="inlineStr">
        <is>
          <t>M</t>
        </is>
      </c>
      <c r="D125" s="2" t="n">
        <v>100</v>
      </c>
      <c r="E125" s="4">
        <f>HYPERLINK("./Results/DLO\20180701_1.3.12.2.1107.5.1.4.65253.30000018071916364286400010738_3_512_512_\Osteo_Sarco_1.png","RPT")</f>
        <v/>
      </c>
      <c r="F125" s="3" t="n">
        <v>189</v>
      </c>
      <c r="G125" s="3" t="n">
        <v>13</v>
      </c>
      <c r="H125" s="7" t="n"/>
      <c r="I125" t="inlineStr">
        <is>
          <t>SOMATOM Definition AS</t>
        </is>
      </c>
      <c r="J125" t="inlineStr">
        <is>
          <t>Post Contrast 3.0 B30f</t>
        </is>
      </c>
    </row>
    <row r="126">
      <c r="A126" s="2" t="n">
        <v>9761446</v>
      </c>
      <c r="B126" s="2" t="n">
        <v>39</v>
      </c>
      <c r="C126" s="2" t="inlineStr">
        <is>
          <t>M</t>
        </is>
      </c>
      <c r="D126" s="2" t="n">
        <v>100</v>
      </c>
      <c r="E126" s="4">
        <f>HYPERLINK("./Results/DLO\20191001_1.3.46.670589.33.1.63707420811423841000001.4928433525527421914_201_512_512_\Osteo_Sarco_1.png","RPT")</f>
        <v/>
      </c>
      <c r="F126" s="3" t="n">
        <v>176</v>
      </c>
      <c r="G126" s="3" t="n">
        <v>8</v>
      </c>
      <c r="H126" s="7" t="n"/>
      <c r="I126" t="inlineStr">
        <is>
          <t>Ingenuity Core 128</t>
        </is>
      </c>
      <c r="J126" t="inlineStr">
        <is>
          <t>Post 3mm, iDose (3)</t>
        </is>
      </c>
    </row>
    <row r="127">
      <c r="A127" s="2" t="n">
        <v>9145432</v>
      </c>
      <c r="B127" s="2" t="n">
        <v>39</v>
      </c>
      <c r="C127" s="2" t="inlineStr">
        <is>
          <t>M</t>
        </is>
      </c>
      <c r="D127" s="2" t="n">
        <v>100</v>
      </c>
      <c r="E127" s="4">
        <f>HYPERLINK("./Results/DLO\20190201_1.2.840.113619.2.416.286444429103534874309391188281848041470_2_512_512_\Osteo_Sarco_1.png","RPT")</f>
        <v/>
      </c>
      <c r="F127" s="3" t="n">
        <v>164</v>
      </c>
      <c r="G127" s="3" t="n">
        <v>16</v>
      </c>
      <c r="H127" s="7" t="n"/>
      <c r="I127" t="inlineStr">
        <is>
          <t>Revolution CT</t>
        </is>
      </c>
      <c r="J127" t="inlineStr">
        <is>
          <t>Pre</t>
        </is>
      </c>
    </row>
    <row r="128">
      <c r="A128" s="2" t="n">
        <v>9591479</v>
      </c>
      <c r="B128" s="2" t="n">
        <v>39</v>
      </c>
      <c r="C128" s="2" t="inlineStr">
        <is>
          <t>M</t>
        </is>
      </c>
      <c r="D128" s="2" t="n">
        <v>100</v>
      </c>
      <c r="E128" s="4">
        <f>HYPERLINK("./Results/DLO\20190301_1.3.46.670589.33.1.63687630850180449300001.4877935569811879297_201_512_512_\Osteo_Sarco_1.png","RPT")</f>
        <v/>
      </c>
      <c r="F128" s="3" t="n">
        <v>163</v>
      </c>
      <c r="G128" s="3" t="n">
        <v>7</v>
      </c>
      <c r="H128" s="7" t="n"/>
      <c r="I128" t="inlineStr">
        <is>
          <t>Ingenuity Core 128</t>
        </is>
      </c>
      <c r="J128" t="inlineStr">
        <is>
          <t>Post 3mm, iDose (3)</t>
        </is>
      </c>
    </row>
    <row r="129">
      <c r="A129" s="2" t="n">
        <v>8321551</v>
      </c>
      <c r="B129" s="2" t="n">
        <v>39</v>
      </c>
      <c r="C129" s="2" t="inlineStr">
        <is>
          <t>M</t>
        </is>
      </c>
      <c r="D129" s="2" t="n">
        <v>100</v>
      </c>
      <c r="E129" s="4">
        <f>HYPERLINK("./Results/DLO\20180201_1.3.12.2.1107.5.1.4.54310.30000018020823081534300020230_3_512_512_\Osteo_Sarco_1.png","RPT")</f>
        <v/>
      </c>
      <c r="F129" s="3" t="n">
        <v>157</v>
      </c>
      <c r="G129" s="3" t="n">
        <v>3</v>
      </c>
      <c r="H129" s="7" t="n"/>
      <c r="I129" t="inlineStr">
        <is>
          <t>Sensation 64</t>
        </is>
      </c>
      <c r="J129" t="inlineStr">
        <is>
          <t>With Contrast 3.0 B30f</t>
        </is>
      </c>
    </row>
    <row r="130">
      <c r="A130" s="2" t="n">
        <v>9526643</v>
      </c>
      <c r="B130" s="2" t="n">
        <v>39</v>
      </c>
      <c r="C130" s="2" t="inlineStr">
        <is>
          <t>F</t>
        </is>
      </c>
      <c r="D130" s="2" t="n">
        <v>100</v>
      </c>
      <c r="E130" s="4">
        <f>HYPERLINK("./Results/DLO\20181201_1.2.840.113619.2.94.485650834948.2.9256284.20156624.1_2_512_512_\Osteo_Sarco_1.png","RPT")</f>
        <v/>
      </c>
      <c r="F130" s="3" t="n">
        <v>148</v>
      </c>
      <c r="G130" s="3" t="n">
        <v>6</v>
      </c>
      <c r="H130" s="7" t="n"/>
      <c r="I130" t="inlineStr">
        <is>
          <t>Sensation 64</t>
        </is>
      </c>
      <c r="J130" t="inlineStr">
        <is>
          <t>With Contrast 3.0 B30f</t>
        </is>
      </c>
    </row>
    <row r="131">
      <c r="A131" s="2" t="n">
        <v>5881841</v>
      </c>
      <c r="B131" s="2" t="n">
        <v>39</v>
      </c>
      <c r="C131" s="2" t="inlineStr">
        <is>
          <t>M</t>
        </is>
      </c>
      <c r="D131" s="2" t="n">
        <v>100</v>
      </c>
      <c r="E131" s="4">
        <f>HYPERLINK("./Results/DLO\20190401_1.3.46.670589.33.1.63689796360071645200001.5137157322829333803_201_512_512_\Osteo_Sarco_1.png","RPT")</f>
        <v/>
      </c>
      <c r="F131" s="3" t="n">
        <v>138</v>
      </c>
      <c r="G131" s="3" t="n">
        <v>8</v>
      </c>
      <c r="H131" s="7" t="n"/>
      <c r="I131" t="inlineStr">
        <is>
          <t>Ingenuity Core 128</t>
        </is>
      </c>
      <c r="J131" t="inlineStr">
        <is>
          <t>Pre 3mm, iDose (4)</t>
        </is>
      </c>
    </row>
    <row r="132">
      <c r="A132" s="2" t="n">
        <v>6742595</v>
      </c>
      <c r="B132" s="2" t="n">
        <v>39</v>
      </c>
      <c r="C132" s="2" t="inlineStr">
        <is>
          <t>F</t>
        </is>
      </c>
      <c r="D132" s="2" t="n">
        <v>100</v>
      </c>
      <c r="E132" s="4">
        <f>HYPERLINK("./Results/DLO\20190301_1.3.46.670589.33.1.63688498286535111200001.5671789091801374539_601_512_512_\Osteo_Sarco_1.png","RPT")</f>
        <v/>
      </c>
      <c r="F132" s="3" t="n">
        <v>121</v>
      </c>
      <c r="G132" s="3" t="n">
        <v>19</v>
      </c>
      <c r="H132" s="7" t="n"/>
      <c r="I132" t="inlineStr">
        <is>
          <t>Ingenuity Core 128</t>
        </is>
      </c>
      <c r="J132" t="inlineStr">
        <is>
          <t>Post 3mm, iDose (3)</t>
        </is>
      </c>
    </row>
    <row r="133">
      <c r="A133" s="2" t="n">
        <v>340958</v>
      </c>
      <c r="B133" s="2" t="n">
        <v>39</v>
      </c>
      <c r="C133" s="2" t="inlineStr">
        <is>
          <t>M</t>
        </is>
      </c>
      <c r="D133" s="2" t="n">
        <v>100</v>
      </c>
      <c r="E133" s="4">
        <f>HYPERLINK("./Results/DLO\20180801_1.3.12.2.1107.5.1.4.65253.30000018080619082202800000503_6_512_512_\Osteo_Sarco_1.png","RPT")</f>
        <v/>
      </c>
      <c r="F133" s="3" t="n">
        <v>12</v>
      </c>
      <c r="G133" s="3" t="n">
        <v>3</v>
      </c>
      <c r="H133" s="6" t="n">
        <v>11.81</v>
      </c>
      <c r="I133" t="inlineStr">
        <is>
          <t>SOMATOM Definition AS</t>
        </is>
      </c>
      <c r="J133" t="inlineStr">
        <is>
          <t>With Contrast 3.0 B30f</t>
        </is>
      </c>
    </row>
    <row r="134">
      <c r="A134" s="2" t="n">
        <v>9001439</v>
      </c>
      <c r="B134" s="2" t="n">
        <v>39</v>
      </c>
      <c r="C134" s="2" t="inlineStr">
        <is>
          <t>F</t>
        </is>
      </c>
      <c r="D134" s="2" t="n">
        <v>100</v>
      </c>
      <c r="E134" s="4">
        <f>HYPERLINK("./Results/DLO\20191001_1.2.840.113619.2.416.209243786893483978695900150116539228423_310_512_512_\Osteo_Sarco_1.png","RPT")</f>
        <v/>
      </c>
      <c r="F134" s="3" t="n">
        <v>119</v>
      </c>
      <c r="G134" s="3" t="n">
        <v>11</v>
      </c>
      <c r="H134" s="7" t="n"/>
      <c r="I134" t="inlineStr">
        <is>
          <t>Revolution CT</t>
        </is>
      </c>
      <c r="J134" t="inlineStr">
        <is>
          <t>ABD</t>
        </is>
      </c>
    </row>
    <row r="135">
      <c r="A135" s="2" t="n">
        <v>8441839</v>
      </c>
      <c r="B135" s="2" t="n">
        <v>39</v>
      </c>
      <c r="C135" s="2" t="inlineStr">
        <is>
          <t>F</t>
        </is>
      </c>
      <c r="D135" s="2" t="n">
        <v>100</v>
      </c>
      <c r="E135" s="4">
        <f>HYPERLINK("./Results/DLO\20200501_1.2.840.113619.2.416.232680416464345963689647870057027769241_307_512_512_\Osteo_Sarco_1.png","RPT")</f>
        <v/>
      </c>
      <c r="F135" s="3" t="n">
        <v>117</v>
      </c>
      <c r="G135" s="3" t="n">
        <v>7</v>
      </c>
      <c r="H135" s="6" t="n">
        <v>18.67</v>
      </c>
      <c r="I135" t="inlineStr">
        <is>
          <t>Revolution CT</t>
        </is>
      </c>
      <c r="J135" t="inlineStr">
        <is>
          <t>ABD</t>
        </is>
      </c>
    </row>
    <row r="136">
      <c r="A136" s="2" t="n">
        <v>1888519</v>
      </c>
      <c r="B136" s="2" t="n">
        <v>39</v>
      </c>
      <c r="C136" s="2" t="inlineStr">
        <is>
          <t>F</t>
        </is>
      </c>
      <c r="D136" s="2" t="n">
        <v>100</v>
      </c>
      <c r="E136" s="4">
        <f>HYPERLINK("./Results/DLO\20180101_1.2.840.113619.2.416.162591621993632548564183904023117220186_2_512_512_\Osteo_Sarco_1.png","RPT")</f>
        <v/>
      </c>
      <c r="F136" s="3" t="n">
        <v>114</v>
      </c>
      <c r="G136" s="3" t="n">
        <v>14</v>
      </c>
      <c r="H136" s="7" t="n"/>
      <c r="I136" t="inlineStr">
        <is>
          <t>Revolution CT</t>
        </is>
      </c>
      <c r="J136" t="inlineStr">
        <is>
          <t>ABD</t>
        </is>
      </c>
    </row>
    <row r="137">
      <c r="A137" s="2" t="n">
        <v>1174889</v>
      </c>
      <c r="B137" s="2" t="n">
        <v>39</v>
      </c>
      <c r="C137" s="2" t="inlineStr">
        <is>
          <t>F</t>
        </is>
      </c>
      <c r="D137" s="2" t="n">
        <v>100</v>
      </c>
      <c r="E137" s="4">
        <f>HYPERLINK("./Results/DLO\20190801_1.3.12.2.1107.5.1.4.65253.30000019081419583491200042011_2_512_512_\Osteo_Sarco_1.png","RPT")</f>
        <v/>
      </c>
      <c r="F137" s="3" t="n">
        <v>110</v>
      </c>
      <c r="G137" s="3" t="n">
        <v>8</v>
      </c>
      <c r="H137" s="7" t="n"/>
      <c r="I137" t="inlineStr">
        <is>
          <t>SOMATOM Definition AS</t>
        </is>
      </c>
      <c r="J137" t="inlineStr">
        <is>
          <t>Pre Contrast 3.0 B30f</t>
        </is>
      </c>
    </row>
    <row r="138">
      <c r="A138" s="2" t="n">
        <v>5022247</v>
      </c>
      <c r="B138" s="2" t="n">
        <v>39</v>
      </c>
      <c r="C138" s="2" t="inlineStr">
        <is>
          <t>F</t>
        </is>
      </c>
      <c r="D138" s="2" t="n">
        <v>100</v>
      </c>
      <c r="E138" s="4">
        <f>HYPERLINK("./Results/DLO\20180301_1.3.12.2.1107.5.1.4.54310.30000018031323122990600006465_2_512_512_\Osteo_Sarco_1.png","RPT")</f>
        <v/>
      </c>
      <c r="F138" s="3" t="n">
        <v>104</v>
      </c>
      <c r="G138" s="3" t="n">
        <v>3</v>
      </c>
      <c r="H138" s="7" t="n"/>
      <c r="I138" t="inlineStr">
        <is>
          <t>Sensation 64</t>
        </is>
      </c>
      <c r="J138" t="inlineStr">
        <is>
          <t>With Contrast 3.0 B30f</t>
        </is>
      </c>
    </row>
    <row r="139">
      <c r="A139" s="2" t="n">
        <v>4443565</v>
      </c>
      <c r="B139" s="2" t="n">
        <v>40</v>
      </c>
      <c r="C139" s="2" t="inlineStr">
        <is>
          <t>F</t>
        </is>
      </c>
      <c r="D139" s="2" t="n">
        <v>100</v>
      </c>
      <c r="E139" s="4">
        <f>HYPERLINK("./Results/DLO\20180501_1.3.12.2.1107.5.1.4.65253.30000018051520565468900008599_2_512_512_\Osteo_Sarco_1.png","RPT")</f>
        <v/>
      </c>
      <c r="F139" s="3" t="n">
        <v>97</v>
      </c>
      <c r="G139" s="3" t="n">
        <v>3</v>
      </c>
      <c r="H139" s="7" t="n"/>
      <c r="I139" t="inlineStr">
        <is>
          <t>SOMATOM Definition AS</t>
        </is>
      </c>
      <c r="J139" t="inlineStr">
        <is>
          <t>Pre Contrast 3.0 B30f</t>
        </is>
      </c>
    </row>
    <row r="140">
      <c r="A140" s="2" t="n">
        <v>1716981</v>
      </c>
      <c r="B140" s="2" t="n">
        <v>40</v>
      </c>
      <c r="C140" s="2" t="inlineStr">
        <is>
          <t>F</t>
        </is>
      </c>
      <c r="D140" s="2" t="n">
        <v>100</v>
      </c>
      <c r="E140" s="4">
        <f>HYPERLINK("./Results/DLO\20180201_1.3.12.2.1107.5.1.4.65253.30000018022423580444000005756_6_512_512_\Osteo_Sarco_1.png","RPT")</f>
        <v/>
      </c>
      <c r="F140" s="3" t="n">
        <v>95</v>
      </c>
      <c r="G140" s="3" t="n">
        <v>7</v>
      </c>
      <c r="H140" s="7" t="n"/>
      <c r="I140" t="inlineStr">
        <is>
          <t>SOMATOM Definition AS</t>
        </is>
      </c>
      <c r="J140" t="inlineStr">
        <is>
          <t>With Contrast 3.0 B30f</t>
        </is>
      </c>
    </row>
    <row r="141">
      <c r="A141" s="2" t="n">
        <v>6742849</v>
      </c>
      <c r="B141" s="2" t="n">
        <v>40</v>
      </c>
      <c r="C141" s="2" t="inlineStr">
        <is>
          <t>F</t>
        </is>
      </c>
      <c r="D141" s="2" t="n">
        <v>100</v>
      </c>
      <c r="E141" s="4">
        <f>HYPERLINK("./Results/DLO\20181201_1.3.12.2.1107.5.1.4.54310.30000018120323385423400010794_2_512_512_\Osteo_Sarco_1.png","RPT")</f>
        <v/>
      </c>
      <c r="F141" s="3" t="n">
        <v>95</v>
      </c>
      <c r="G141" s="3" t="n">
        <v>7</v>
      </c>
      <c r="H141" s="7" t="n"/>
      <c r="I141" t="inlineStr">
        <is>
          <t>Sensation 64</t>
        </is>
      </c>
      <c r="J141" t="inlineStr">
        <is>
          <t>With Contrast 3.0 B30f</t>
        </is>
      </c>
    </row>
    <row r="142">
      <c r="A142" s="2" t="n">
        <v>9854078</v>
      </c>
      <c r="B142" s="2" t="n">
        <v>40</v>
      </c>
      <c r="C142" s="2" t="inlineStr">
        <is>
          <t>F</t>
        </is>
      </c>
      <c r="D142" s="2" t="n">
        <v>100</v>
      </c>
      <c r="E142" s="4">
        <f>HYPERLINK("./Results/DLO\20191201_1.3.46.670589.33.1.63710898354030997800001.5330313058770449455_201_512_512_\Osteo_Sarco_1.png","RPT")</f>
        <v/>
      </c>
      <c r="F142" s="3" t="n">
        <v>95</v>
      </c>
      <c r="G142" s="3" t="n">
        <v>7</v>
      </c>
      <c r="H142" s="7" t="n"/>
      <c r="I142" t="inlineStr">
        <is>
          <t>Ingenuity Core 128</t>
        </is>
      </c>
      <c r="J142" t="inlineStr">
        <is>
          <t>Pre 3mm, iDose (3)</t>
        </is>
      </c>
    </row>
    <row r="143">
      <c r="A143" s="2" t="n">
        <v>8465181</v>
      </c>
      <c r="B143" s="2" t="n">
        <v>40</v>
      </c>
      <c r="C143" s="2" t="inlineStr">
        <is>
          <t>F</t>
        </is>
      </c>
      <c r="D143" s="2" t="n">
        <v>100</v>
      </c>
      <c r="E143" s="4">
        <f>HYPERLINK("./Results/DLO\20190901_1.3.46.670589.33.1.63703202176500537700001.5354691177786904448_201_512_512_\Osteo_Sarco_1.png","RPT")</f>
        <v/>
      </c>
      <c r="F143" s="3" t="n">
        <v>94</v>
      </c>
      <c r="G143" s="3" t="n">
        <v>5</v>
      </c>
      <c r="H143" s="7" t="n"/>
      <c r="I143" t="inlineStr">
        <is>
          <t>Ingenuity Core 128</t>
        </is>
      </c>
      <c r="J143" t="inlineStr">
        <is>
          <t>Post 3mm, iDose (3)</t>
        </is>
      </c>
    </row>
    <row r="144">
      <c r="A144" s="2" t="n">
        <v>5023482</v>
      </c>
      <c r="B144" s="2" t="n">
        <v>40</v>
      </c>
      <c r="C144" s="2" t="inlineStr">
        <is>
          <t>F</t>
        </is>
      </c>
      <c r="D144" s="2" t="n">
        <v>100</v>
      </c>
      <c r="E144" s="4">
        <f>HYPERLINK("./Results/DLO\20181201_1.2.840.113619.2.94.485650834948.2.9255849.20155412.1_304_512_512_\Osteo_Sarco_1.png","RPT")</f>
        <v/>
      </c>
      <c r="F144" s="3" t="n">
        <v>93</v>
      </c>
      <c r="G144" s="3" t="n">
        <v>5</v>
      </c>
      <c r="H144" s="7" t="n"/>
      <c r="I144" t="inlineStr">
        <is>
          <t>Revolution CT</t>
        </is>
      </c>
      <c r="J144" t="inlineStr">
        <is>
          <t>ABD 2.5mm</t>
        </is>
      </c>
    </row>
    <row r="145">
      <c r="A145" s="2" t="n">
        <v>9739190</v>
      </c>
      <c r="B145" s="2" t="n">
        <v>40</v>
      </c>
      <c r="C145" s="2" t="inlineStr">
        <is>
          <t>F</t>
        </is>
      </c>
      <c r="D145" s="2" t="n">
        <v>100</v>
      </c>
      <c r="E145" s="4">
        <f>HYPERLINK("./Results/DLO\20190701_1.2.840.113619.2.416.294430773721640252847544762112197445307_310_512_512_\Osteo_Sarco_1.png","RPT")</f>
        <v/>
      </c>
      <c r="F145" s="3" t="n">
        <v>92</v>
      </c>
      <c r="G145" s="3" t="n">
        <v>5</v>
      </c>
      <c r="H145" s="7" t="n"/>
      <c r="I145" t="inlineStr">
        <is>
          <t>Revolution CT</t>
        </is>
      </c>
      <c r="J145" t="inlineStr">
        <is>
          <t>ABD</t>
        </is>
      </c>
    </row>
    <row r="146">
      <c r="A146" s="2" t="n">
        <v>6738893</v>
      </c>
      <c r="B146" s="2" t="n">
        <v>40</v>
      </c>
      <c r="C146" s="2" t="inlineStr">
        <is>
          <t>F</t>
        </is>
      </c>
      <c r="D146" s="2" t="n">
        <v>100</v>
      </c>
      <c r="E146" s="4">
        <f>HYPERLINK("./Results/DLO\20181001_1.2.840.113619.2.94.485650834948.2.9168171.19937437.1_2_512_512_\Osteo_Sarco_1.png","RPT")</f>
        <v/>
      </c>
      <c r="F146" s="3" t="n">
        <v>89</v>
      </c>
      <c r="G146" s="3" t="n">
        <v>7</v>
      </c>
      <c r="H146" s="7" t="n"/>
      <c r="I146" t="inlineStr">
        <is>
          <t>Sensation 64</t>
        </is>
      </c>
      <c r="J146" t="inlineStr">
        <is>
          <t>With Contrast 3.0 B30f</t>
        </is>
      </c>
    </row>
    <row r="147">
      <c r="A147" s="2" t="n">
        <v>8451636</v>
      </c>
      <c r="B147" s="2" t="n">
        <v>40</v>
      </c>
      <c r="C147" s="2" t="inlineStr">
        <is>
          <t>F</t>
        </is>
      </c>
      <c r="D147" s="2" t="n">
        <v>100</v>
      </c>
      <c r="E147" s="4">
        <f>HYPERLINK("./Results/DLO\20180201_1.3.12.2.1107.5.1.4.54310.30000018020523134789000006625_2_512_512_\Osteo_Sarco_1.png","RPT")</f>
        <v/>
      </c>
      <c r="F147" s="3" t="n">
        <v>75</v>
      </c>
      <c r="G147" s="3" t="n">
        <v>5</v>
      </c>
      <c r="H147" s="7" t="n"/>
      <c r="I147" t="inlineStr">
        <is>
          <t>Sensation 64</t>
        </is>
      </c>
      <c r="J147" t="inlineStr">
        <is>
          <t>With Contrast 3.0 B30f</t>
        </is>
      </c>
    </row>
    <row r="148">
      <c r="A148" s="2" t="n">
        <v>9529065</v>
      </c>
      <c r="B148" s="2" t="n">
        <v>40</v>
      </c>
      <c r="C148" s="2" t="inlineStr">
        <is>
          <t>M</t>
        </is>
      </c>
      <c r="D148" s="2" t="n">
        <v>100</v>
      </c>
      <c r="E148" s="4">
        <f>HYPERLINK("./Results/DLO\20181201_1.3.46.670589.33.1.63681417777591674100001.5184510700061143948_201_512_512_\Osteo_Sarco_1.png","RPT")</f>
        <v/>
      </c>
      <c r="F148" s="3" t="n">
        <v>161</v>
      </c>
      <c r="G148" s="3" t="n">
        <v>5</v>
      </c>
      <c r="H148" s="7" t="n"/>
      <c r="I148" t="inlineStr">
        <is>
          <t>Ingenuity Core 128</t>
        </is>
      </c>
      <c r="J148" t="inlineStr">
        <is>
          <t>Post 3mm, iDose (3)</t>
        </is>
      </c>
    </row>
    <row r="149">
      <c r="A149" s="2" t="n">
        <v>9518320</v>
      </c>
      <c r="B149" s="2" t="n">
        <v>40</v>
      </c>
      <c r="C149" s="2" t="inlineStr">
        <is>
          <t>M</t>
        </is>
      </c>
      <c r="D149" s="2" t="n">
        <v>100</v>
      </c>
      <c r="E149" s="4">
        <f>HYPERLINK("./Results/DLO\20191201_1.3.46.670589.33.1.63712341551343209400001.4732100910361666900_201_512_512_\Osteo_Sarco_1.png","RPT")</f>
        <v/>
      </c>
      <c r="F149" s="3" t="n">
        <v>160</v>
      </c>
      <c r="G149" s="3" t="n">
        <v>9</v>
      </c>
      <c r="H149" s="7" t="n"/>
      <c r="I149" t="inlineStr">
        <is>
          <t>Ingenuity Core 128</t>
        </is>
      </c>
      <c r="J149" t="inlineStr">
        <is>
          <t>Post 3mm, iDose (3)</t>
        </is>
      </c>
    </row>
    <row r="150">
      <c r="A150" s="2" t="n">
        <v>9432556</v>
      </c>
      <c r="B150" s="2" t="n">
        <v>40</v>
      </c>
      <c r="C150" s="2" t="inlineStr">
        <is>
          <t>M</t>
        </is>
      </c>
      <c r="D150" s="2" t="n">
        <v>100</v>
      </c>
      <c r="E150" s="4">
        <f>HYPERLINK("./Results/DLO\20181101_1.3.46.670589.33.1.63678738590672849200001.5585514201982582640_201_512_512_\Osteo_Sarco_1.png","RPT")</f>
        <v/>
      </c>
      <c r="F150" s="3" t="n">
        <v>158</v>
      </c>
      <c r="G150" s="3" t="n">
        <v>12</v>
      </c>
      <c r="H150" s="7" t="n"/>
      <c r="I150" t="inlineStr">
        <is>
          <t>Ingenuity Core 128</t>
        </is>
      </c>
      <c r="J150" t="inlineStr">
        <is>
          <t>Post 100/236 i3, iDose (3)</t>
        </is>
      </c>
    </row>
    <row r="151">
      <c r="A151" s="2" t="n">
        <v>3426570</v>
      </c>
      <c r="B151" s="2" t="n">
        <v>40</v>
      </c>
      <c r="C151" s="2" t="inlineStr">
        <is>
          <t>M</t>
        </is>
      </c>
      <c r="D151" s="2" t="n">
        <v>100</v>
      </c>
      <c r="E151" s="4">
        <f>HYPERLINK("./Results/DLO\20190901_1.3.12.2.1107.5.1.4.54310.30000019090121244076500061870_7_512_512_\Osteo_Sarco_1.png","RPT")</f>
        <v/>
      </c>
      <c r="F151" s="3" t="n">
        <v>143</v>
      </c>
      <c r="G151" s="3" t="n">
        <v>5</v>
      </c>
      <c r="H151" s="7" t="n"/>
      <c r="I151" t="inlineStr">
        <is>
          <t>Sensation 64</t>
        </is>
      </c>
      <c r="J151" t="inlineStr">
        <is>
          <t>ABD Contrast 3.0 B30f</t>
        </is>
      </c>
    </row>
    <row r="152">
      <c r="A152" s="2" t="n">
        <v>9001866</v>
      </c>
      <c r="B152" s="2" t="n">
        <v>40</v>
      </c>
      <c r="C152" s="2" t="inlineStr">
        <is>
          <t>F</t>
        </is>
      </c>
      <c r="D152" s="2" t="n">
        <v>100</v>
      </c>
      <c r="E152" s="4">
        <f>HYPERLINK("./Results/DLO\20190801_1.3.12.2.1107.5.1.4.54310.30000019082622275389000043275_10_512_512_\Osteo_Sarco_1.png","RPT")</f>
        <v/>
      </c>
      <c r="F152" s="3" t="n">
        <v>118</v>
      </c>
      <c r="G152" s="3" t="n">
        <v>7</v>
      </c>
      <c r="H152" s="7" t="n"/>
      <c r="I152" t="inlineStr">
        <is>
          <t>Sensation 64</t>
        </is>
      </c>
      <c r="J152" t="inlineStr">
        <is>
          <t>ABD Contrast 3.0 B30f</t>
        </is>
      </c>
    </row>
    <row r="153">
      <c r="A153" s="2" t="n">
        <v>3107713</v>
      </c>
      <c r="B153" s="2" t="n">
        <v>40</v>
      </c>
      <c r="C153" s="2" t="inlineStr">
        <is>
          <t>F</t>
        </is>
      </c>
      <c r="D153" s="2" t="n">
        <v>100</v>
      </c>
      <c r="E153" s="4">
        <f>HYPERLINK("./Results/DLO\20190601_1.3.12.2.1107.5.1.4.65253.30000019062917252974700019523_2_512_512_\Osteo_Sarco_1.png","RPT")</f>
        <v/>
      </c>
      <c r="F153" s="3" t="n">
        <v>111</v>
      </c>
      <c r="G153" s="3" t="n">
        <v>11</v>
      </c>
      <c r="H153" s="7" t="n"/>
      <c r="I153" t="inlineStr">
        <is>
          <t>SOMATOM Definition AS</t>
        </is>
      </c>
      <c r="J153" t="inlineStr">
        <is>
          <t>Pre Contrast 3.0 B30f</t>
        </is>
      </c>
    </row>
    <row r="154">
      <c r="A154" s="2" t="n">
        <v>2961502</v>
      </c>
      <c r="B154" s="2" t="n">
        <v>40</v>
      </c>
      <c r="C154" s="2" t="inlineStr">
        <is>
          <t>F</t>
        </is>
      </c>
      <c r="D154" s="2" t="n">
        <v>100</v>
      </c>
      <c r="E154" s="4">
        <f>HYPERLINK("./Results/DLO\20190901_1.3.12.2.1107.5.1.4.54310.30000019092922070114000070759_2_512_512_\Osteo_Sarco_1.png","RPT")</f>
        <v/>
      </c>
      <c r="F154" s="3" t="n">
        <v>107</v>
      </c>
      <c r="G154" s="3" t="n">
        <v>8</v>
      </c>
      <c r="H154" s="7" t="n"/>
      <c r="I154" t="inlineStr">
        <is>
          <t>Sensation 64</t>
        </is>
      </c>
      <c r="J154" t="inlineStr">
        <is>
          <t>With Contrast 3.0 B30f</t>
        </is>
      </c>
    </row>
    <row r="155">
      <c r="A155" s="2" t="n">
        <v>1146907</v>
      </c>
      <c r="B155" s="2" t="n">
        <v>40</v>
      </c>
      <c r="C155" s="2" t="inlineStr">
        <is>
          <t>F</t>
        </is>
      </c>
      <c r="D155" s="2" t="n">
        <v>100</v>
      </c>
      <c r="E155" s="4">
        <f>HYPERLINK("./Results/DLO\20180601_1.2.840.113619.2.416.1105822604560446660898534615427058006_304_512_512_\Osteo_Sarco_1.png","RPT")</f>
        <v/>
      </c>
      <c r="F155" s="3" t="n">
        <v>101</v>
      </c>
      <c r="G155" s="3" t="n">
        <v>12</v>
      </c>
      <c r="H155" s="7" t="n"/>
      <c r="I155" t="inlineStr">
        <is>
          <t>Revolution CT</t>
        </is>
      </c>
      <c r="J155" t="inlineStr">
        <is>
          <t>ABD 2.5mm</t>
        </is>
      </c>
    </row>
    <row r="156">
      <c r="A156" s="2" t="n">
        <v>9440805</v>
      </c>
      <c r="B156" s="2" t="n">
        <v>40</v>
      </c>
      <c r="C156" s="2" t="inlineStr">
        <is>
          <t>F</t>
        </is>
      </c>
      <c r="D156" s="2" t="n">
        <v>100</v>
      </c>
      <c r="E156" s="4">
        <f>HYPERLINK("./Results/DLO\20180901_1.3.12.2.1107.5.1.4.65253.30000018091320460370100000000_2_512_512_\Osteo_Sarco_1.png","RPT")</f>
        <v/>
      </c>
      <c r="F156" s="3" t="n">
        <v>101</v>
      </c>
      <c r="G156" s="3" t="n">
        <v>9</v>
      </c>
      <c r="H156" s="7" t="n"/>
      <c r="I156" t="inlineStr">
        <is>
          <t>SOMATOM Definition AS</t>
        </is>
      </c>
      <c r="J156" t="inlineStr">
        <is>
          <t>Pre 3.0 B30f</t>
        </is>
      </c>
    </row>
    <row r="157">
      <c r="A157" s="2" t="n">
        <v>9967143</v>
      </c>
      <c r="B157" s="2" t="n">
        <v>41</v>
      </c>
      <c r="C157" s="2" t="inlineStr">
        <is>
          <t>F</t>
        </is>
      </c>
      <c r="D157" s="2" t="n">
        <v>100</v>
      </c>
      <c r="E157" s="4">
        <f>HYPERLINK("./Results/DLO\20200401_1.2.840.113619.2.416.274683203452496887537421790857049584715_309_512_512_\Osteo_Sarco_1.png","RPT")</f>
        <v/>
      </c>
      <c r="F157" s="3" t="n">
        <v>95</v>
      </c>
      <c r="G157" s="3" t="n">
        <v>6</v>
      </c>
      <c r="H157" s="7" t="n"/>
      <c r="I157" t="inlineStr">
        <is>
          <t>Revolution CT</t>
        </is>
      </c>
      <c r="J157" t="inlineStr">
        <is>
          <t>Contrast</t>
        </is>
      </c>
    </row>
    <row r="158">
      <c r="A158" s="2" t="n">
        <v>8920671</v>
      </c>
      <c r="B158" s="2" t="n">
        <v>41</v>
      </c>
      <c r="C158" s="2" t="inlineStr">
        <is>
          <t>F</t>
        </is>
      </c>
      <c r="D158" s="2" t="n">
        <v>100</v>
      </c>
      <c r="E158" s="4">
        <f>HYPERLINK("./Results/DLO\20180401_1.2.840.113619.2.311.75412727217786849284846216153291557481_304_512_512_\Osteo_Sarco_1.png","RPT")</f>
        <v/>
      </c>
      <c r="F158" s="3" t="n">
        <v>91</v>
      </c>
      <c r="G158" s="3" t="n">
        <v>9</v>
      </c>
      <c r="H158" s="7" t="n"/>
      <c r="I158" t="inlineStr">
        <is>
          <t>Revolution CT</t>
        </is>
      </c>
      <c r="J158" t="inlineStr">
        <is>
          <t>ABD 2.5mm</t>
        </is>
      </c>
    </row>
    <row r="159">
      <c r="A159" s="2" t="n">
        <v>8720123</v>
      </c>
      <c r="B159" s="2" t="n">
        <v>41</v>
      </c>
      <c r="C159" s="2" t="inlineStr">
        <is>
          <t>F</t>
        </is>
      </c>
      <c r="D159" s="2" t="n">
        <v>100</v>
      </c>
      <c r="E159" s="4">
        <f>HYPERLINK("./Results/DLO\20180801_1.2.840.113619.2.416.324446520429908659643245001372403521196_304_512_512_\Osteo_Sarco_1.png","RPT")</f>
        <v/>
      </c>
      <c r="F159" s="3" t="n">
        <v>91</v>
      </c>
      <c r="G159" s="3" t="n">
        <v>8</v>
      </c>
      <c r="H159" s="7" t="n"/>
      <c r="I159" t="inlineStr">
        <is>
          <t>Revolution CT</t>
        </is>
      </c>
      <c r="J159" t="inlineStr">
        <is>
          <t>ABD 2.5mm</t>
        </is>
      </c>
    </row>
    <row r="160">
      <c r="A160" s="2" t="n">
        <v>9623536</v>
      </c>
      <c r="B160" s="2" t="n">
        <v>41</v>
      </c>
      <c r="C160" s="2" t="inlineStr">
        <is>
          <t>F</t>
        </is>
      </c>
      <c r="D160" s="2" t="n">
        <v>100</v>
      </c>
      <c r="E160" s="4">
        <f>HYPERLINK("./Results/DLO\20190301_1.3.12.2.1107.5.1.4.54310.30000019032123303645300070249_6_512_512_\Osteo_Sarco_1.png","RPT")</f>
        <v/>
      </c>
      <c r="F160" s="3" t="n">
        <v>91</v>
      </c>
      <c r="G160" s="3" t="n">
        <v>8</v>
      </c>
      <c r="H160" s="6" t="n">
        <v>24.71</v>
      </c>
      <c r="I160" t="inlineStr">
        <is>
          <t>Sensation 64</t>
        </is>
      </c>
      <c r="J160" t="inlineStr">
        <is>
          <t>2min-delay 3.0 B30f</t>
        </is>
      </c>
    </row>
    <row r="161">
      <c r="A161" s="2" t="n">
        <v>9481478</v>
      </c>
      <c r="B161" s="2" t="n">
        <v>41</v>
      </c>
      <c r="C161" s="2" t="inlineStr">
        <is>
          <t>F</t>
        </is>
      </c>
      <c r="D161" s="2" t="n">
        <v>100</v>
      </c>
      <c r="E161" s="4">
        <f>HYPERLINK("./Results/DLO\20181101_1.2.840.113619.2.416.214155776927894422781100970798746546930_304_512_512_\Osteo_Sarco_1.png","RPT")</f>
        <v/>
      </c>
      <c r="F161" s="3" t="n">
        <v>89</v>
      </c>
      <c r="G161" s="3" t="n">
        <v>5</v>
      </c>
      <c r="H161" s="7" t="n"/>
      <c r="I161" t="inlineStr">
        <is>
          <t>Revolution CT</t>
        </is>
      </c>
      <c r="J161" t="inlineStr">
        <is>
          <t>ABD 2.5mm</t>
        </is>
      </c>
    </row>
    <row r="162">
      <c r="A162" s="2" t="n">
        <v>9493637</v>
      </c>
      <c r="B162" s="2" t="n">
        <v>41</v>
      </c>
      <c r="C162" s="2" t="inlineStr">
        <is>
          <t>F</t>
        </is>
      </c>
      <c r="D162" s="2" t="n">
        <v>100</v>
      </c>
      <c r="E162" s="4">
        <f>HYPERLINK("./Results/DLO\20181001_1.2.840.113619.2.311.40082382207522776779908418122121477669_303_512_512_\Osteo_Sarco_1.png","RPT")</f>
        <v/>
      </c>
      <c r="F162" s="3" t="n">
        <v>84</v>
      </c>
      <c r="G162" s="3" t="n">
        <v>6</v>
      </c>
      <c r="H162" s="7" t="n"/>
      <c r="I162" t="inlineStr">
        <is>
          <t>Revolution CT</t>
        </is>
      </c>
      <c r="J162" t="inlineStr">
        <is>
          <t>ABD 2.5mm</t>
        </is>
      </c>
    </row>
    <row r="163">
      <c r="A163" s="2" t="n">
        <v>8863929</v>
      </c>
      <c r="B163" s="2" t="n">
        <v>41</v>
      </c>
      <c r="C163" s="2" t="inlineStr">
        <is>
          <t>F</t>
        </is>
      </c>
      <c r="D163" s="2" t="n">
        <v>100</v>
      </c>
      <c r="E163" s="4">
        <f>HYPERLINK("./Results/DLO\20190401_1.2.840.113619.2.311.270481087823378260689283211201196453862_304_512_512_\Osteo_Sarco_1.png","RPT")</f>
        <v/>
      </c>
      <c r="F163" s="3" t="n">
        <v>80</v>
      </c>
      <c r="G163" s="3" t="n">
        <v>5</v>
      </c>
      <c r="H163" s="7" t="n"/>
      <c r="I163" t="inlineStr">
        <is>
          <t>Revolution CT</t>
        </is>
      </c>
      <c r="J163" t="inlineStr">
        <is>
          <t>ABD 2.5mm</t>
        </is>
      </c>
    </row>
    <row r="164">
      <c r="A164" s="2" t="n">
        <v>5242623</v>
      </c>
      <c r="B164" s="2" t="n">
        <v>41</v>
      </c>
      <c r="C164" s="2" t="inlineStr">
        <is>
          <t>M</t>
        </is>
      </c>
      <c r="D164" s="2" t="n">
        <v>100</v>
      </c>
      <c r="E164" s="4">
        <f>HYPERLINK("./Results/DLO\20181101_1.2.840.113619.2.94.485650834948.2.9190697.19994645.1_2_512_512_\Osteo_Sarco_1.png","RPT")</f>
        <v/>
      </c>
      <c r="F164" s="3" t="n">
        <v>148</v>
      </c>
      <c r="G164" s="3" t="n">
        <v>11</v>
      </c>
      <c r="H164" s="7" t="n"/>
      <c r="I164" t="inlineStr">
        <is>
          <t>Sensation 64</t>
        </is>
      </c>
      <c r="J164" t="inlineStr">
        <is>
          <t>With Contrast 3.0 B30f</t>
        </is>
      </c>
    </row>
    <row r="165">
      <c r="A165" s="2" t="n">
        <v>3706361</v>
      </c>
      <c r="B165" s="2" t="n">
        <v>41</v>
      </c>
      <c r="C165" s="2" t="inlineStr">
        <is>
          <t>F</t>
        </is>
      </c>
      <c r="D165" s="2" t="n">
        <v>100</v>
      </c>
      <c r="E165" s="4">
        <f>HYPERLINK("./Results/DLO\20191001_1.2.410.100011.172.16.64.21.6370916576267571911.6_6_512_512_\Osteo_Sarco_1.png","RPT")</f>
        <v/>
      </c>
      <c r="F165" s="3" t="n">
        <v>134</v>
      </c>
      <c r="G165" s="3" t="n">
        <v>5</v>
      </c>
      <c r="H165" s="7" t="n"/>
      <c r="I165" t="inlineStr">
        <is>
          <t>SOMATOM Definition Flabh</t>
        </is>
      </c>
      <c r="J165" t="inlineStr">
        <is>
          <t>Delay 180s 3.0 I40f 2</t>
        </is>
      </c>
    </row>
    <row r="166">
      <c r="A166" s="2" t="n">
        <v>5580240</v>
      </c>
      <c r="B166" s="2" t="n">
        <v>41</v>
      </c>
      <c r="C166" s="2" t="inlineStr">
        <is>
          <t>F</t>
        </is>
      </c>
      <c r="D166" s="2" t="n">
        <v>100</v>
      </c>
      <c r="E166" s="4">
        <f>HYPERLINK("./Results/DLO\20181101_1.2.840.113619.2.94.485650834948.2.9209293.20040620.1_2_512_512_\Osteo_Sarco_1.png","RPT")</f>
        <v/>
      </c>
      <c r="F166" s="3" t="n">
        <v>130</v>
      </c>
      <c r="G166" s="3" t="n">
        <v>10</v>
      </c>
      <c r="H166" s="7" t="n"/>
      <c r="I166" t="inlineStr">
        <is>
          <t>Sensation 64</t>
        </is>
      </c>
      <c r="J166" t="inlineStr">
        <is>
          <t>With Contrast 3.0 B30f</t>
        </is>
      </c>
    </row>
    <row r="167">
      <c r="A167" s="2" t="n">
        <v>9007181</v>
      </c>
      <c r="B167" s="2" t="n">
        <v>41</v>
      </c>
      <c r="C167" s="2" t="inlineStr">
        <is>
          <t>F</t>
        </is>
      </c>
      <c r="D167" s="2" t="n">
        <v>100</v>
      </c>
      <c r="E167" s="4">
        <f>HYPERLINK("./Results/DLO\20180801_1.2.840.113619.2.94.485650834948.2.8999521.19524041.1_2_512_512_\Osteo_Sarco_1.png","RPT")</f>
        <v/>
      </c>
      <c r="F167" s="3" t="n">
        <v>119</v>
      </c>
      <c r="G167" s="3" t="n">
        <v>5</v>
      </c>
      <c r="H167" s="7" t="n"/>
      <c r="I167" t="inlineStr">
        <is>
          <t>Sensation 64</t>
        </is>
      </c>
      <c r="J167" t="inlineStr">
        <is>
          <t>With Contrast 3.0 B30f</t>
        </is>
      </c>
    </row>
    <row r="168">
      <c r="A168" s="2" t="n">
        <v>5550778</v>
      </c>
      <c r="B168" s="2" t="n">
        <v>41</v>
      </c>
      <c r="C168" s="2" t="inlineStr">
        <is>
          <t>F</t>
        </is>
      </c>
      <c r="D168" s="2" t="n">
        <v>100</v>
      </c>
      <c r="E168" s="4">
        <f>HYPERLINK("./Results/DLO\20190301_1.2.840.113619.2.311.188466879986843631755387488376641927349_304_512_512_\Osteo_Sarco_1.png","RPT")</f>
        <v/>
      </c>
      <c r="F168" s="3" t="n">
        <v>118</v>
      </c>
      <c r="G168" s="3" t="n">
        <v>12</v>
      </c>
      <c r="H168" s="7" t="n"/>
      <c r="I168" t="inlineStr">
        <is>
          <t>Revolution CT</t>
        </is>
      </c>
      <c r="J168" t="inlineStr">
        <is>
          <t>ABD 2.5mm</t>
        </is>
      </c>
    </row>
    <row r="169">
      <c r="A169" s="2" t="n">
        <v>9992337</v>
      </c>
      <c r="B169" s="2" t="n">
        <v>41</v>
      </c>
      <c r="C169" s="2" t="inlineStr">
        <is>
          <t>F</t>
        </is>
      </c>
      <c r="D169" s="2" t="n">
        <v>100</v>
      </c>
      <c r="E169" s="4">
        <f>HYPERLINK("./Results/DLO\20200501_1.2.840.113619.2.416.160252790045503427772612870445515768120_307_512_512_\Osteo_Sarco_1.png","RPT")</f>
        <v/>
      </c>
      <c r="F169" s="3" t="n">
        <v>116</v>
      </c>
      <c r="G169" s="3" t="n">
        <v>12</v>
      </c>
      <c r="H169" s="7" t="n"/>
      <c r="I169" t="inlineStr">
        <is>
          <t>Revolution CT</t>
        </is>
      </c>
      <c r="J169" t="inlineStr">
        <is>
          <t>ABD</t>
        </is>
      </c>
    </row>
    <row r="170">
      <c r="A170" s="2" t="n">
        <v>5517453</v>
      </c>
      <c r="B170" s="2" t="n">
        <v>41</v>
      </c>
      <c r="C170" s="2" t="inlineStr">
        <is>
          <t>F</t>
        </is>
      </c>
      <c r="D170" s="2" t="n">
        <v>100</v>
      </c>
      <c r="E170" s="4">
        <f>HYPERLINK("./Results/DLO\20190101_1.2.410.100011.172.24.16.217.6368341431705244083.3_3_512_512_\Osteo_Sarco_1.png","RPT")</f>
        <v/>
      </c>
      <c r="F170" s="3" t="n">
        <v>110</v>
      </c>
      <c r="G170" s="3" t="n">
        <v>5</v>
      </c>
      <c r="H170" s="7" t="n"/>
      <c r="I170" t="inlineStr">
        <is>
          <t>Aquilion ONE</t>
        </is>
      </c>
      <c r="J170" t="inlineStr">
        <is>
          <t>Body 4.0</t>
        </is>
      </c>
    </row>
    <row r="171">
      <c r="A171" s="2" t="n">
        <v>9672260</v>
      </c>
      <c r="B171" s="2" t="n">
        <v>41</v>
      </c>
      <c r="C171" s="2" t="inlineStr">
        <is>
          <t>F</t>
        </is>
      </c>
      <c r="D171" s="2" t="n">
        <v>100</v>
      </c>
      <c r="E171" s="4">
        <f>HYPERLINK("./Results/DLO\20190501_1.2.840.113619.2.416.321765488984543616189021177002282970164_310_512_512_\Osteo_Sarco_1.png","RPT")</f>
        <v/>
      </c>
      <c r="F171" s="3" t="n">
        <v>107</v>
      </c>
      <c r="G171" s="3" t="n">
        <v>10</v>
      </c>
      <c r="H171" s="7" t="n"/>
      <c r="I171" t="inlineStr">
        <is>
          <t>Revolution CT</t>
        </is>
      </c>
      <c r="J171" t="inlineStr">
        <is>
          <t>ABD</t>
        </is>
      </c>
    </row>
    <row r="172">
      <c r="A172" s="2" t="n">
        <v>8882799</v>
      </c>
      <c r="B172" s="2" t="n">
        <v>41</v>
      </c>
      <c r="C172" s="2" t="inlineStr">
        <is>
          <t>F</t>
        </is>
      </c>
      <c r="D172" s="2" t="n">
        <v>100</v>
      </c>
      <c r="E172" s="4">
        <f>HYPERLINK("./Results/DLO\20181101_1.3.12.2.1107.5.1.4.54310.30000018103123203500000028499_3_512_512_\Osteo_Sarco_1.png","RPT")</f>
        <v/>
      </c>
      <c r="F172" s="3" t="n">
        <v>105</v>
      </c>
      <c r="G172" s="3" t="n">
        <v>4</v>
      </c>
      <c r="H172" s="7" t="n"/>
      <c r="I172" t="inlineStr">
        <is>
          <t>Sensation 64</t>
        </is>
      </c>
      <c r="J172" t="inlineStr">
        <is>
          <t>Pre Contrast 3.0 B30f</t>
        </is>
      </c>
    </row>
    <row r="173">
      <c r="A173" s="2" t="n">
        <v>2418309</v>
      </c>
      <c r="B173" s="2" t="n">
        <v>41</v>
      </c>
      <c r="C173" s="2" t="inlineStr">
        <is>
          <t>F</t>
        </is>
      </c>
      <c r="D173" s="2" t="n">
        <v>100</v>
      </c>
      <c r="E173" s="4">
        <f>HYPERLINK("./Results/DLO\20181201_1.3.12.2.1107.5.1.4.65253.30000018120420321950700000156_3_512_512_\Osteo_Sarco_1.png","RPT")</f>
        <v/>
      </c>
      <c r="F173" s="3" t="n">
        <v>105</v>
      </c>
      <c r="G173" s="3" t="n">
        <v>5</v>
      </c>
      <c r="H173" s="7" t="n"/>
      <c r="I173" t="inlineStr">
        <is>
          <t>SOMATOM Definition AS</t>
        </is>
      </c>
      <c r="J173" t="inlineStr">
        <is>
          <t>Post Contrast 3.0 B30f</t>
        </is>
      </c>
    </row>
    <row r="174">
      <c r="A174" s="2" t="n">
        <v>8422522</v>
      </c>
      <c r="B174" s="2" t="n">
        <v>41</v>
      </c>
      <c r="C174" s="2" t="inlineStr">
        <is>
          <t>F</t>
        </is>
      </c>
      <c r="D174" s="2" t="n">
        <v>100</v>
      </c>
      <c r="E174" s="4">
        <f>HYPERLINK("./Results/DLO\20191001_1.3.46.670589.33.1.63706057334791471500001.5384563894146004199_501_512_512_\Osteo_Sarco_1.png","RPT")</f>
        <v/>
      </c>
      <c r="F174" s="3" t="n">
        <v>105</v>
      </c>
      <c r="G174" s="3" t="n">
        <v>8</v>
      </c>
      <c r="H174" s="7" t="n"/>
      <c r="I174" t="inlineStr">
        <is>
          <t>Ingenuity Core 128</t>
        </is>
      </c>
      <c r="J174" t="inlineStr">
        <is>
          <t>Arterial 3mm, iDose (3)</t>
        </is>
      </c>
    </row>
    <row r="175">
      <c r="A175" s="2" t="n">
        <v>9003856</v>
      </c>
      <c r="B175" s="2" t="n">
        <v>41</v>
      </c>
      <c r="C175" s="2" t="inlineStr">
        <is>
          <t>F</t>
        </is>
      </c>
      <c r="D175" s="2" t="n">
        <v>100</v>
      </c>
      <c r="E175" s="4">
        <f>HYPERLINK("./Results/DLO\20180701_1.2.840.113619.2.311.197416948679076719078315897870889530718_303_512_512_\Osteo_Sarco_1.png","RPT")</f>
        <v/>
      </c>
      <c r="F175" s="3" t="n">
        <v>104</v>
      </c>
      <c r="G175" s="3" t="n">
        <v>8</v>
      </c>
      <c r="H175" s="7" t="n"/>
      <c r="I175" t="inlineStr">
        <is>
          <t>Revolution CT</t>
        </is>
      </c>
      <c r="J175" t="inlineStr">
        <is>
          <t>ABD 2.5mm</t>
        </is>
      </c>
    </row>
    <row r="176">
      <c r="A176" s="2" t="n">
        <v>5869973</v>
      </c>
      <c r="B176" s="2" t="n">
        <v>41</v>
      </c>
      <c r="C176" s="2" t="inlineStr">
        <is>
          <t>F</t>
        </is>
      </c>
      <c r="D176" s="2" t="n">
        <v>100</v>
      </c>
      <c r="E176" s="4">
        <f>HYPERLINK("./Results/DLO\20180201_1.3.12.2.1107.5.1.4.65253.30000018021918063995500021548_3_512_512_\Osteo_Sarco_1.png","RPT")</f>
        <v/>
      </c>
      <c r="F176" s="3" t="n">
        <v>101</v>
      </c>
      <c r="G176" s="3" t="n">
        <v>3</v>
      </c>
      <c r="H176" s="7" t="n"/>
      <c r="I176" t="inlineStr">
        <is>
          <t>SOMATOM Definition AS</t>
        </is>
      </c>
      <c r="J176" t="inlineStr">
        <is>
          <t>With Contrast 3.0 B40f</t>
        </is>
      </c>
    </row>
    <row r="177">
      <c r="A177" s="2" t="n">
        <v>9424267</v>
      </c>
      <c r="B177" s="2" t="n">
        <v>41</v>
      </c>
      <c r="C177" s="2" t="inlineStr">
        <is>
          <t>F</t>
        </is>
      </c>
      <c r="D177" s="2" t="n">
        <v>100</v>
      </c>
      <c r="E177" s="4">
        <f>HYPERLINK("./Results/DLO\20180901_1.3.12.2.1107.5.1.4.54310.30000018090500190828100013527_2_512_512_\Osteo_Sarco_1.png","RPT")</f>
        <v/>
      </c>
      <c r="F177" s="3" t="n">
        <v>100</v>
      </c>
      <c r="G177" s="3" t="n">
        <v>6</v>
      </c>
      <c r="H177" s="7" t="n"/>
      <c r="I177" t="inlineStr">
        <is>
          <t>Sensation 64</t>
        </is>
      </c>
      <c r="J177" t="inlineStr">
        <is>
          <t>With Contrast 3.0 B30f</t>
        </is>
      </c>
    </row>
    <row r="178">
      <c r="A178" s="2" t="n">
        <v>8312216</v>
      </c>
      <c r="B178" s="2" t="n">
        <v>42</v>
      </c>
      <c r="C178" s="2" t="inlineStr">
        <is>
          <t>F</t>
        </is>
      </c>
      <c r="D178" s="2" t="n">
        <v>100</v>
      </c>
      <c r="E178" s="4">
        <f>HYPERLINK("./Results/DLO\20180801_1.2.840.113619.2.94.485650834948.2.9030337.19600313.1_2_512_512_\Osteo_Sarco_1.png","RPT")</f>
        <v/>
      </c>
      <c r="F178" s="3" t="n">
        <v>97</v>
      </c>
      <c r="G178" s="3" t="n">
        <v>5</v>
      </c>
      <c r="H178" s="7" t="n"/>
      <c r="I178" t="inlineStr">
        <is>
          <t>Sensation 64</t>
        </is>
      </c>
      <c r="J178" t="inlineStr">
        <is>
          <t>With Contrast 3.0 B30f</t>
        </is>
      </c>
    </row>
    <row r="179">
      <c r="A179" s="2" t="n">
        <v>9597426</v>
      </c>
      <c r="B179" s="2" t="n">
        <v>42</v>
      </c>
      <c r="C179" s="2" t="inlineStr">
        <is>
          <t>F</t>
        </is>
      </c>
      <c r="D179" s="2" t="n">
        <v>100</v>
      </c>
      <c r="E179" s="4">
        <f>HYPERLINK("./Results/DLO\20190201_1.3.12.2.1107.5.1.4.54310.30000019022423353610900003453_2_512_512_\Osteo_Sarco_1.png","RPT")</f>
        <v/>
      </c>
      <c r="F179" s="3" t="n">
        <v>97</v>
      </c>
      <c r="G179" s="3" t="n">
        <v>5</v>
      </c>
      <c r="H179" s="7" t="n"/>
      <c r="I179" t="inlineStr">
        <is>
          <t>Sensation 64</t>
        </is>
      </c>
      <c r="J179" t="inlineStr">
        <is>
          <t>With Contrast 3.0 B30f</t>
        </is>
      </c>
    </row>
    <row r="180">
      <c r="A180" s="2" t="n">
        <v>5984434</v>
      </c>
      <c r="B180" s="2" t="n">
        <v>42</v>
      </c>
      <c r="C180" s="2" t="inlineStr">
        <is>
          <t>F</t>
        </is>
      </c>
      <c r="D180" s="2" t="n">
        <v>100</v>
      </c>
      <c r="E180" s="4">
        <f>HYPERLINK("./Results/DLO\20180701_1.3.12.2.1107.5.1.4.54310.30000018071123383703100011313_2_512_512_\Osteo_Sarco_1.png","RPT")</f>
        <v/>
      </c>
      <c r="F180" s="3" t="n">
        <v>96</v>
      </c>
      <c r="G180" s="3" t="n">
        <v>6</v>
      </c>
      <c r="H180" s="7" t="n"/>
      <c r="I180" t="inlineStr">
        <is>
          <t>Sensation 64</t>
        </is>
      </c>
      <c r="J180" t="inlineStr">
        <is>
          <t>With Contrast 3.0 B30f</t>
        </is>
      </c>
    </row>
    <row r="181">
      <c r="A181" s="2" t="n">
        <v>8296031</v>
      </c>
      <c r="B181" s="2" t="n">
        <v>42</v>
      </c>
      <c r="C181" s="2" t="inlineStr">
        <is>
          <t>F</t>
        </is>
      </c>
      <c r="D181" s="2" t="n">
        <v>100</v>
      </c>
      <c r="E181" s="4">
        <f>HYPERLINK("./Results/DLO\20180601_1.2.840.113619.2.311.106159194432254574054552865838911171574_304_512_512_\Osteo_Sarco_1.png","RPT")</f>
        <v/>
      </c>
      <c r="F181" s="3" t="n">
        <v>88</v>
      </c>
      <c r="G181" s="3" t="n">
        <v>5</v>
      </c>
      <c r="H181" s="7" t="n"/>
      <c r="I181" t="inlineStr">
        <is>
          <t>Revolution CT</t>
        </is>
      </c>
      <c r="J181" t="inlineStr">
        <is>
          <t>ABD 2.5mm</t>
        </is>
      </c>
    </row>
    <row r="182">
      <c r="A182" s="2" t="n">
        <v>5023901</v>
      </c>
      <c r="B182" s="2" t="n">
        <v>42</v>
      </c>
      <c r="C182" s="2" t="inlineStr">
        <is>
          <t>F</t>
        </is>
      </c>
      <c r="D182" s="2" t="n">
        <v>100</v>
      </c>
      <c r="E182" s="4">
        <f>HYPERLINK("./Results/DLO\20190201_1.3.12.2.1107.5.1.4.54310.30000019022423353610900003034_2_512_512_\Osteo_Sarco_1.png","RPT")</f>
        <v/>
      </c>
      <c r="F182" s="3" t="n">
        <v>85</v>
      </c>
      <c r="G182" s="3" t="n">
        <v>4</v>
      </c>
      <c r="H182" s="6" t="n">
        <v>21.23</v>
      </c>
      <c r="I182" t="inlineStr">
        <is>
          <t>Sensation 64</t>
        </is>
      </c>
      <c r="J182" t="inlineStr">
        <is>
          <t>With Contrast 3.0 B30f</t>
        </is>
      </c>
    </row>
    <row r="183">
      <c r="A183" s="2" t="n">
        <v>9770408</v>
      </c>
      <c r="B183" s="2" t="n">
        <v>42</v>
      </c>
      <c r="C183" s="2" t="inlineStr">
        <is>
          <t>F</t>
        </is>
      </c>
      <c r="D183" s="2" t="n">
        <v>100</v>
      </c>
      <c r="E183" s="4">
        <f>HYPERLINK("./Results/DLO\20190801_1.3.46.670589.33.1.63702423190120457300001.5729959237664088067_301_512_512_\Osteo_Sarco_1.png","RPT")</f>
        <v/>
      </c>
      <c r="F183" s="3" t="n">
        <v>84</v>
      </c>
      <c r="G183" s="3" t="n">
        <v>5</v>
      </c>
      <c r="H183" s="7" t="n"/>
      <c r="I183" t="inlineStr">
        <is>
          <t>Ingenuity Core 128</t>
        </is>
      </c>
      <c r="J183" t="inlineStr">
        <is>
          <t>Post 3mm, iDose (3)</t>
        </is>
      </c>
    </row>
    <row r="184">
      <c r="A184" s="2" t="n">
        <v>6737372</v>
      </c>
      <c r="B184" s="2" t="n">
        <v>42</v>
      </c>
      <c r="C184" s="2" t="inlineStr">
        <is>
          <t>F</t>
        </is>
      </c>
      <c r="D184" s="2" t="n">
        <v>100</v>
      </c>
      <c r="E184" s="4">
        <f>HYPERLINK("./Results/DLO\20181201_1.2.840.113619.2.311.226178271945267089583625093785118199263_304_512_512_\Osteo_Sarco_1.png","RPT")</f>
        <v/>
      </c>
      <c r="F184" s="3" t="n">
        <v>83</v>
      </c>
      <c r="G184" s="3" t="n">
        <v>9</v>
      </c>
      <c r="H184" s="7" t="n"/>
      <c r="I184" t="inlineStr">
        <is>
          <t>Revolution CT</t>
        </is>
      </c>
      <c r="J184" t="inlineStr">
        <is>
          <t>ABD 2.5mm</t>
        </is>
      </c>
    </row>
    <row r="185">
      <c r="A185" s="2" t="n">
        <v>9585614</v>
      </c>
      <c r="B185" s="2" t="n">
        <v>42</v>
      </c>
      <c r="C185" s="2" t="inlineStr">
        <is>
          <t>M</t>
        </is>
      </c>
      <c r="D185" s="2" t="n">
        <v>100</v>
      </c>
      <c r="E185" s="4">
        <f>HYPERLINK("./Results/DLO\20190201_1.3.46.670589.33.1.63686858280383658100001.4911062842061016257_601_512_512_\Osteo_Sarco_1.png","RPT")</f>
        <v/>
      </c>
      <c r="F185" s="3" t="n">
        <v>197</v>
      </c>
      <c r="G185" s="3" t="n">
        <v>3</v>
      </c>
      <c r="H185" s="7" t="n"/>
      <c r="I185" t="inlineStr">
        <is>
          <t>Ingenuity Core 128</t>
        </is>
      </c>
      <c r="J185" t="inlineStr">
        <is>
          <t>Post 3mm, iDose (3)</t>
        </is>
      </c>
    </row>
    <row r="186">
      <c r="A186" s="2" t="n">
        <v>5020379</v>
      </c>
      <c r="B186" s="2" t="n">
        <v>42</v>
      </c>
      <c r="C186" s="2" t="inlineStr">
        <is>
          <t>M</t>
        </is>
      </c>
      <c r="D186" s="2" t="n">
        <v>100</v>
      </c>
      <c r="E186" s="4">
        <f>HYPERLINK("./Results/DLO\20180101_1.3.12.2.1107.5.1.4.65253.30000018011219540099800007793_2_512_512_\Osteo_Sarco_1.png","RPT")</f>
        <v/>
      </c>
      <c r="F186" s="3" t="n">
        <v>167</v>
      </c>
      <c r="G186" s="3" t="n">
        <v>5</v>
      </c>
      <c r="H186" s="6" t="n">
        <v>25.98</v>
      </c>
      <c r="I186" t="inlineStr">
        <is>
          <t>SOMATOM Definition AS</t>
        </is>
      </c>
      <c r="J186" t="inlineStr">
        <is>
          <t>W/O Contrast 2.0 B40f</t>
        </is>
      </c>
    </row>
    <row r="187">
      <c r="A187" s="2" t="n">
        <v>9684610</v>
      </c>
      <c r="B187" s="2" t="n">
        <v>42</v>
      </c>
      <c r="C187" s="2" t="inlineStr">
        <is>
          <t>M</t>
        </is>
      </c>
      <c r="D187" s="2" t="n">
        <v>100</v>
      </c>
      <c r="E187" s="4">
        <f>HYPERLINK("./Results/DLO\20190801_1.3.46.670589.33.1.63700853490913533400001.4833944019984539635_201_512_512_\Osteo_Sarco_1.png","RPT")</f>
        <v/>
      </c>
      <c r="F187" s="3" t="n">
        <v>157</v>
      </c>
      <c r="G187" s="3" t="n">
        <v>15</v>
      </c>
      <c r="H187" s="7" t="n"/>
      <c r="I187" t="inlineStr">
        <is>
          <t>Ingenuity Core 128</t>
        </is>
      </c>
      <c r="J187" t="inlineStr">
        <is>
          <t>Post 3mm, iDose (3)</t>
        </is>
      </c>
    </row>
    <row r="188">
      <c r="A188" s="2" t="n">
        <v>9535394</v>
      </c>
      <c r="B188" s="2" t="n">
        <v>42</v>
      </c>
      <c r="C188" s="2" t="inlineStr">
        <is>
          <t>M</t>
        </is>
      </c>
      <c r="D188" s="2" t="n">
        <v>100</v>
      </c>
      <c r="E188" s="4">
        <f>HYPERLINK("./Results/DLO\20190801_1.2.840.113619.2.416.200991251121145167266277870290351234733_310_512_512_\Osteo_Sarco_1.png","RPT")</f>
        <v/>
      </c>
      <c r="F188" s="3" t="n">
        <v>155</v>
      </c>
      <c r="G188" s="3" t="n">
        <v>7</v>
      </c>
      <c r="H188" s="6" t="n">
        <v>21.88</v>
      </c>
      <c r="I188" t="inlineStr">
        <is>
          <t>Revolution CT</t>
        </is>
      </c>
      <c r="J188" t="inlineStr">
        <is>
          <t>ABD</t>
        </is>
      </c>
    </row>
    <row r="189">
      <c r="A189" s="2" t="n">
        <v>4545228</v>
      </c>
      <c r="B189" s="2" t="n">
        <v>42</v>
      </c>
      <c r="C189" s="2" t="inlineStr">
        <is>
          <t>F</t>
        </is>
      </c>
      <c r="D189" s="2" t="n">
        <v>100</v>
      </c>
      <c r="E189" s="4">
        <f>HYPERLINK("./Results/DLO\20191001_1.2.840.113619.2.416.236497451308774950351631877419160072404_310_512_512_\Osteo_Sarco_1.png","RPT")</f>
        <v/>
      </c>
      <c r="F189" s="3" t="n">
        <v>135</v>
      </c>
      <c r="G189" s="3" t="n">
        <v>12</v>
      </c>
      <c r="H189" s="7" t="n"/>
      <c r="I189" t="inlineStr">
        <is>
          <t>Revolution CT</t>
        </is>
      </c>
      <c r="J189" t="inlineStr">
        <is>
          <t>ABD</t>
        </is>
      </c>
    </row>
    <row r="190">
      <c r="A190" s="2" t="n">
        <v>6739045</v>
      </c>
      <c r="B190" s="2" t="n">
        <v>42</v>
      </c>
      <c r="C190" s="2" t="inlineStr">
        <is>
          <t>F</t>
        </is>
      </c>
      <c r="D190" s="2" t="n">
        <v>100</v>
      </c>
      <c r="E190" s="4">
        <f>HYPERLINK("./Results/DLO\20191201_1.2.840.113619.2.416.106379529841496652847779311716911405422_310_512_512_\Osteo_Sarco_1.png","RPT")</f>
        <v/>
      </c>
      <c r="F190" s="3" t="n">
        <v>126</v>
      </c>
      <c r="G190" s="3" t="n">
        <v>5</v>
      </c>
      <c r="H190" s="6" t="n">
        <v>26</v>
      </c>
      <c r="I190" t="inlineStr">
        <is>
          <t>Revolution CT</t>
        </is>
      </c>
      <c r="J190" t="inlineStr">
        <is>
          <t>ABD</t>
        </is>
      </c>
    </row>
    <row r="191">
      <c r="A191" s="2" t="n">
        <v>4703771</v>
      </c>
      <c r="B191" s="2" t="n">
        <v>42</v>
      </c>
      <c r="C191" s="2" t="inlineStr">
        <is>
          <t>F</t>
        </is>
      </c>
      <c r="D191" s="2" t="n">
        <v>100</v>
      </c>
      <c r="E191" s="4">
        <f>HYPERLINK("./Results/DLO\20180901_1.3.12.2.1107.5.1.4.65253.30000018090920342184100078037_2_512_512_\Osteo_Sarco_1.png","RPT")</f>
        <v/>
      </c>
      <c r="F191" s="3" t="n">
        <v>119</v>
      </c>
      <c r="G191" s="3" t="n">
        <v>6</v>
      </c>
      <c r="H191" s="7" t="n"/>
      <c r="I191" t="inlineStr">
        <is>
          <t>SOMATOM Definition AS</t>
        </is>
      </c>
      <c r="J191" t="inlineStr">
        <is>
          <t>Pre Contrast 3.0 B30f</t>
        </is>
      </c>
    </row>
    <row r="192">
      <c r="A192" s="2" t="n">
        <v>4328373</v>
      </c>
      <c r="B192" s="2" t="n">
        <v>42</v>
      </c>
      <c r="C192" s="2" t="inlineStr">
        <is>
          <t>M</t>
        </is>
      </c>
      <c r="D192" s="2" t="n">
        <v>100</v>
      </c>
      <c r="E192" s="4">
        <f>HYPERLINK("./Results/DLO\20180901_1.2.840.113619.2.94.485650834948.2.9058698.19672025.1_2_512_512_\Osteo_Sarco_1.png","RPT")</f>
        <v/>
      </c>
      <c r="F192" s="3" t="n">
        <v>116</v>
      </c>
      <c r="G192" s="3" t="n">
        <v>3</v>
      </c>
      <c r="H192" s="7" t="n"/>
      <c r="I192" t="inlineStr">
        <is>
          <t>SOMATOM Definition AS</t>
        </is>
      </c>
      <c r="J192" t="inlineStr">
        <is>
          <t>With Contrast 3.0 B30f</t>
        </is>
      </c>
    </row>
    <row r="193">
      <c r="A193" s="2" t="n">
        <v>6736998</v>
      </c>
      <c r="B193" s="2" t="n">
        <v>42</v>
      </c>
      <c r="C193" s="2" t="inlineStr">
        <is>
          <t>F</t>
        </is>
      </c>
      <c r="D193" s="2" t="n">
        <v>100</v>
      </c>
      <c r="E193" s="4">
        <f>HYPERLINK("./Results/DLO\20190501_1.3.12.2.1107.5.1.4.54310.30000019051521013667100006115_2_512_512_\Osteo_Sarco_1.png","RPT")</f>
        <v/>
      </c>
      <c r="F193" s="3" t="n">
        <v>112</v>
      </c>
      <c r="G193" s="3" t="n">
        <v>11</v>
      </c>
      <c r="H193" s="7" t="n"/>
      <c r="I193" t="inlineStr">
        <is>
          <t>Sensation 64</t>
        </is>
      </c>
      <c r="J193" t="inlineStr">
        <is>
          <t>With Contrast 3.0 B30f</t>
        </is>
      </c>
    </row>
    <row r="194">
      <c r="A194" s="2" t="n">
        <v>3840680</v>
      </c>
      <c r="B194" s="2" t="n">
        <v>42</v>
      </c>
      <c r="C194" s="2" t="inlineStr">
        <is>
          <t>F</t>
        </is>
      </c>
      <c r="D194" s="2" t="n">
        <v>100</v>
      </c>
      <c r="E194" s="4">
        <f>HYPERLINK("./Results/DLO\20190101_1.3.46.670589.33.1.63683920760857961800001.5501817612133264868_201_512_512_\Osteo_Sarco_1.png","RPT")</f>
        <v/>
      </c>
      <c r="F194" s="3" t="n">
        <v>110</v>
      </c>
      <c r="G194" s="3" t="n">
        <v>14</v>
      </c>
      <c r="H194" s="7" t="n"/>
      <c r="I194" t="inlineStr">
        <is>
          <t>Ingenuity Core 128</t>
        </is>
      </c>
      <c r="J194" t="inlineStr">
        <is>
          <t>Pre 3mm, iDose (3)</t>
        </is>
      </c>
    </row>
    <row r="195">
      <c r="A195" s="2" t="n">
        <v>3623276</v>
      </c>
      <c r="B195" s="2" t="n">
        <v>42</v>
      </c>
      <c r="C195" s="2" t="inlineStr">
        <is>
          <t>F</t>
        </is>
      </c>
      <c r="D195" s="2" t="n">
        <v>100</v>
      </c>
      <c r="E195" s="4">
        <f>HYPERLINK("./Results/DLO\20181001_1.3.46.670589.33.1.63676572372102292900001.4910157579583949397_201_512_512_\Osteo_Sarco_1.png","RPT")</f>
        <v/>
      </c>
      <c r="F195" s="3" t="n">
        <v>109</v>
      </c>
      <c r="G195" s="3" t="n">
        <v>8</v>
      </c>
      <c r="H195" s="7" t="n"/>
      <c r="I195" t="inlineStr">
        <is>
          <t>Ingenuity Core 128</t>
        </is>
      </c>
      <c r="J195" t="inlineStr">
        <is>
          <t>Post 100/236 i3, iDose (3)</t>
        </is>
      </c>
    </row>
    <row r="196">
      <c r="A196" s="2" t="n">
        <v>8853630</v>
      </c>
      <c r="B196" s="2" t="n">
        <v>42</v>
      </c>
      <c r="C196" s="2" t="inlineStr">
        <is>
          <t>F</t>
        </is>
      </c>
      <c r="D196" s="2" t="n">
        <v>100</v>
      </c>
      <c r="E196" s="4">
        <f>HYPERLINK("./Results/DLO\20180701_1.2.840.113619.2.311.313685807266108090677914993569593312846_304_512_512_\Osteo_Sarco_1.png","RPT")</f>
        <v/>
      </c>
      <c r="F196" s="3" t="n">
        <v>106</v>
      </c>
      <c r="G196" s="3" t="n">
        <v>7</v>
      </c>
      <c r="H196" s="7" t="n"/>
      <c r="I196" t="inlineStr">
        <is>
          <t>Revolution CT</t>
        </is>
      </c>
      <c r="J196" t="inlineStr">
        <is>
          <t>ABD 2.5mm</t>
        </is>
      </c>
    </row>
    <row r="197">
      <c r="A197" s="2" t="n">
        <v>2977144</v>
      </c>
      <c r="B197" s="2" t="n">
        <v>42</v>
      </c>
      <c r="C197" s="2" t="inlineStr">
        <is>
          <t>F</t>
        </is>
      </c>
      <c r="D197" s="2" t="n">
        <v>100</v>
      </c>
      <c r="E197" s="4">
        <f>HYPERLINK("./Results/DLO\20181101_1.2.840.113619.2.311.129464528788383643246348865633525567744_304_512_512_\Osteo_Sarco_1.png","RPT")</f>
        <v/>
      </c>
      <c r="F197" s="3" t="n">
        <v>106</v>
      </c>
      <c r="G197" s="3" t="n">
        <v>10</v>
      </c>
      <c r="H197" s="7" t="n"/>
      <c r="I197" t="inlineStr">
        <is>
          <t>Revolution CT</t>
        </is>
      </c>
      <c r="J197" t="inlineStr">
        <is>
          <t>ABD 2.5mm</t>
        </is>
      </c>
    </row>
    <row r="198">
      <c r="A198" s="2" t="n">
        <v>9806429</v>
      </c>
      <c r="B198" s="2" t="n">
        <v>42</v>
      </c>
      <c r="C198" s="2" t="inlineStr">
        <is>
          <t>F</t>
        </is>
      </c>
      <c r="D198" s="2" t="n">
        <v>100</v>
      </c>
      <c r="E198" s="4">
        <f>HYPERLINK("./Results/DLO\20191001_1.2.840.113619.2.416.235575204901170551088112827426949554805_310_512_512_\Osteo_Sarco_1.png","RPT")</f>
        <v/>
      </c>
      <c r="F198" s="3" t="n">
        <v>105</v>
      </c>
      <c r="G198" s="3" t="n">
        <v>11</v>
      </c>
      <c r="H198" s="7" t="n"/>
      <c r="I198" t="inlineStr">
        <is>
          <t>Revolution CT</t>
        </is>
      </c>
      <c r="J198" t="inlineStr">
        <is>
          <t>ABD</t>
        </is>
      </c>
    </row>
    <row r="199">
      <c r="A199" s="2" t="n">
        <v>5028346</v>
      </c>
      <c r="B199" s="2" t="n">
        <v>42</v>
      </c>
      <c r="C199" s="2" t="inlineStr">
        <is>
          <t>F</t>
        </is>
      </c>
      <c r="D199" s="2" t="n">
        <v>100</v>
      </c>
      <c r="E199" s="4">
        <f>HYPERLINK("./Results/DLO\20180301_1.2.840.113619.2.94.485650834948.2.8680603.18739227.1_2_512_512_\Osteo_Sarco_1.png","RPT")</f>
        <v/>
      </c>
      <c r="F199" s="3" t="n">
        <v>104</v>
      </c>
      <c r="G199" s="3" t="n">
        <v>5</v>
      </c>
      <c r="H199" s="7" t="n"/>
      <c r="I199" t="inlineStr">
        <is>
          <t>Sensation 64</t>
        </is>
      </c>
      <c r="J199" t="inlineStr">
        <is>
          <t>With Contrast 3.0 B30f</t>
        </is>
      </c>
    </row>
    <row r="200">
      <c r="A200" s="2" t="n">
        <v>6742848</v>
      </c>
      <c r="B200" s="2" t="n">
        <v>42</v>
      </c>
      <c r="C200" s="2" t="inlineStr">
        <is>
          <t>F</t>
        </is>
      </c>
      <c r="D200" s="2" t="n">
        <v>100</v>
      </c>
      <c r="E200" s="4">
        <f>HYPERLINK("./Results/DLO\20180701_1.2.840.113619.2.94.485650834948.2.8931096.19355413.1_2_512_512_\Osteo_Sarco_1.png","RPT")</f>
        <v/>
      </c>
      <c r="F200" s="3" t="n">
        <v>103</v>
      </c>
      <c r="G200" s="3" t="n">
        <v>6</v>
      </c>
      <c r="H200" s="7" t="n"/>
      <c r="I200" t="inlineStr">
        <is>
          <t>Sensation 64</t>
        </is>
      </c>
      <c r="J200" t="inlineStr">
        <is>
          <t>With Contrast 3.0 B30f</t>
        </is>
      </c>
    </row>
    <row r="201">
      <c r="A201" s="2" t="n">
        <v>5874744</v>
      </c>
      <c r="B201" s="2" t="n">
        <v>43</v>
      </c>
      <c r="C201" s="2" t="inlineStr">
        <is>
          <t>F</t>
        </is>
      </c>
      <c r="D201" s="2" t="n">
        <v>100</v>
      </c>
      <c r="E201" s="4">
        <f>HYPERLINK("./Results/DLO\20181201_1.2.840.113619.2.416.28256509387387122366581367180881084420_304_512_512_\Osteo_Sarco_1.png","RPT")</f>
        <v/>
      </c>
      <c r="F201" s="3" t="n">
        <v>99</v>
      </c>
      <c r="G201" s="3" t="n">
        <v>7</v>
      </c>
      <c r="H201" s="7" t="n"/>
      <c r="I201" t="inlineStr">
        <is>
          <t>Revolution CT</t>
        </is>
      </c>
      <c r="J201" t="inlineStr">
        <is>
          <t>ABD 2.5mm</t>
        </is>
      </c>
    </row>
    <row r="202">
      <c r="A202" s="2" t="n">
        <v>5022316</v>
      </c>
      <c r="B202" s="2" t="n">
        <v>43</v>
      </c>
      <c r="C202" s="2" t="inlineStr">
        <is>
          <t>F</t>
        </is>
      </c>
      <c r="D202" s="2" t="n">
        <v>100</v>
      </c>
      <c r="E202" s="4">
        <f>HYPERLINK("./Results/DLO\20180701_1.2.840.113619.2.94.485650834948.2.8974439.19461135.1_2_512_512_\Osteo_Sarco_1.png","RPT")</f>
        <v/>
      </c>
      <c r="F202" s="3" t="n">
        <v>96</v>
      </c>
      <c r="G202" s="3" t="n">
        <v>7</v>
      </c>
      <c r="H202" s="7" t="n"/>
      <c r="I202" t="inlineStr">
        <is>
          <t>Sensation 64</t>
        </is>
      </c>
      <c r="J202" t="inlineStr">
        <is>
          <t>With Contrast 3.0 B30f</t>
        </is>
      </c>
    </row>
    <row r="203">
      <c r="A203" s="2" t="n">
        <v>9656252</v>
      </c>
      <c r="B203" s="2" t="n">
        <v>43</v>
      </c>
      <c r="C203" s="2" t="inlineStr">
        <is>
          <t>F</t>
        </is>
      </c>
      <c r="D203" s="2" t="n">
        <v>100</v>
      </c>
      <c r="E203" s="4">
        <f>HYPERLINK("./Results/DLO\20190501_1.2.840.113619.2.416.207188839133121664561782471849562205462_310_512_512_\Osteo_Sarco_1.png","RPT")</f>
        <v/>
      </c>
      <c r="F203" s="3" t="n">
        <v>90</v>
      </c>
      <c r="G203" s="3" t="n">
        <v>7</v>
      </c>
      <c r="H203" s="7" t="n"/>
      <c r="I203" t="inlineStr">
        <is>
          <t>Revolution CT</t>
        </is>
      </c>
      <c r="J203" t="inlineStr">
        <is>
          <t>ABD</t>
        </is>
      </c>
    </row>
    <row r="204">
      <c r="A204" s="2" t="n">
        <v>8614021</v>
      </c>
      <c r="B204" s="2" t="n">
        <v>43</v>
      </c>
      <c r="C204" s="2" t="inlineStr">
        <is>
          <t>F</t>
        </is>
      </c>
      <c r="D204" s="2" t="n">
        <v>100</v>
      </c>
      <c r="E204" s="4">
        <f>HYPERLINK("./Results/DLO\20191101_1.2.840.113619.2.416.193431157730350100978258415242562896947_310_512_512_\Osteo_Sarco_1.png","RPT")</f>
        <v/>
      </c>
      <c r="F204" s="3" t="n">
        <v>80</v>
      </c>
      <c r="G204" s="3" t="n">
        <v>5</v>
      </c>
      <c r="H204" s="7" t="n"/>
      <c r="I204" t="inlineStr">
        <is>
          <t>Revolution CT</t>
        </is>
      </c>
      <c r="J204" t="inlineStr">
        <is>
          <t>ABD</t>
        </is>
      </c>
    </row>
    <row r="205">
      <c r="A205" s="2" t="n">
        <v>5021394</v>
      </c>
      <c r="B205" s="2" t="n">
        <v>43</v>
      </c>
      <c r="C205" s="2" t="inlineStr">
        <is>
          <t>F</t>
        </is>
      </c>
      <c r="D205" s="2" t="n">
        <v>100</v>
      </c>
      <c r="E205" s="4">
        <f>HYPERLINK("./Results/DLO\20191001_1.3.12.2.1107.5.1.4.65253.30000019100321095746700063713_2_512_512_\Osteo_Sarco_1.png","RPT")</f>
        <v/>
      </c>
      <c r="F205" s="3" t="n">
        <v>31</v>
      </c>
      <c r="G205" s="3" t="n">
        <v>6</v>
      </c>
      <c r="H205" s="7" t="n"/>
      <c r="I205" t="inlineStr">
        <is>
          <t>SOMATOM Definition AS</t>
        </is>
      </c>
      <c r="J205" t="inlineStr">
        <is>
          <t>Pre Contrast 3.0 B30f</t>
        </is>
      </c>
    </row>
    <row r="206">
      <c r="A206" s="2" t="n">
        <v>2941076</v>
      </c>
      <c r="B206" s="2" t="n">
        <v>43</v>
      </c>
      <c r="C206" s="2" t="inlineStr">
        <is>
          <t>M</t>
        </is>
      </c>
      <c r="D206" s="2" t="n">
        <v>100</v>
      </c>
      <c r="E206" s="4">
        <f>HYPERLINK("./Results/DLO\20181101_1.3.46.670589.33.1.63678736923646500700001.5566872063720948759_201_512_512_\Osteo_Sarco_1.png","RPT")</f>
        <v/>
      </c>
      <c r="F206" s="3" t="n">
        <v>193</v>
      </c>
      <c r="G206" s="3" t="n">
        <v>6</v>
      </c>
      <c r="H206" s="7" t="n"/>
      <c r="I206" t="inlineStr">
        <is>
          <t>Ingenuity Core 128</t>
        </is>
      </c>
      <c r="J206" t="inlineStr">
        <is>
          <t>Post 100/236 i3, iDose (3)</t>
        </is>
      </c>
    </row>
    <row r="207">
      <c r="A207" s="2" t="n">
        <v>6110072</v>
      </c>
      <c r="B207" s="2" t="n">
        <v>43</v>
      </c>
      <c r="C207" s="2" t="inlineStr">
        <is>
          <t>M</t>
        </is>
      </c>
      <c r="D207" s="2" t="n">
        <v>100</v>
      </c>
      <c r="E207" s="4">
        <f>HYPERLINK("./Results/DLO\20180701_1.3.12.2.1107.5.1.4.54310.30000018072223193428100023749_2_512_512_\Osteo_Sarco_1.png","RPT")</f>
        <v/>
      </c>
      <c r="F207" s="3" t="n">
        <v>170</v>
      </c>
      <c r="G207" s="3" t="n">
        <v>3</v>
      </c>
      <c r="H207" s="7" t="n"/>
      <c r="I207" t="inlineStr">
        <is>
          <t>Sensation 64</t>
        </is>
      </c>
      <c r="J207" t="inlineStr">
        <is>
          <t>With Contrast 3.0 B30f</t>
        </is>
      </c>
    </row>
    <row r="208">
      <c r="A208" s="2" t="n">
        <v>9424177</v>
      </c>
      <c r="B208" s="2" t="n">
        <v>43</v>
      </c>
      <c r="C208" s="2" t="inlineStr">
        <is>
          <t>F</t>
        </is>
      </c>
      <c r="D208" s="2" t="n">
        <v>100</v>
      </c>
      <c r="E208" s="4">
        <f>HYPERLINK("./Results/DLO\20180801_1.2.840.113619.2.311.188301274076675883214206062940447600472_304_512_512_\Osteo_Sarco_1.png","RPT")</f>
        <v/>
      </c>
      <c r="F208" s="3" t="n">
        <v>167</v>
      </c>
      <c r="G208" s="3" t="n">
        <v>10</v>
      </c>
      <c r="H208" s="7" t="n"/>
      <c r="I208" t="inlineStr">
        <is>
          <t>Revolution CT</t>
        </is>
      </c>
      <c r="J208" t="inlineStr">
        <is>
          <t>ABD 2.5mm</t>
        </is>
      </c>
    </row>
    <row r="209">
      <c r="A209" s="2" t="n">
        <v>8545012</v>
      </c>
      <c r="B209" s="2" t="n">
        <v>43</v>
      </c>
      <c r="C209" s="2" t="inlineStr">
        <is>
          <t>F</t>
        </is>
      </c>
      <c r="D209" s="2" t="n">
        <v>100</v>
      </c>
      <c r="E209" s="4">
        <f>HYPERLINK("./Results/DLO\20190901_1.3.12.2.1107.5.1.4.65253.30000019091920453627600009242_3_512_512_\Osteo_Sarco_1.png","RPT")</f>
        <v/>
      </c>
      <c r="F209" s="3" t="n">
        <v>139</v>
      </c>
      <c r="G209" s="3" t="n">
        <v>18</v>
      </c>
      <c r="H209" s="7" t="n"/>
      <c r="I209" t="inlineStr">
        <is>
          <t>SOMATOM Definition AS</t>
        </is>
      </c>
      <c r="J209" t="inlineStr">
        <is>
          <t>Post Contrast 3.0 B30f</t>
        </is>
      </c>
    </row>
    <row r="210">
      <c r="A210" s="2" t="n">
        <v>6741423</v>
      </c>
      <c r="B210" s="2" t="n">
        <v>43</v>
      </c>
      <c r="C210" s="2" t="inlineStr">
        <is>
          <t>F</t>
        </is>
      </c>
      <c r="D210" s="2" t="n">
        <v>100</v>
      </c>
      <c r="E210" s="4">
        <f>HYPERLINK("./Results/DLO\20180101_1.3.12.2.1107.5.1.4.65253.30000018013021202395500002902_2_512_512_\Osteo_Sarco_1.png","RPT")</f>
        <v/>
      </c>
      <c r="F210" s="3" t="n">
        <v>131</v>
      </c>
      <c r="G210" s="3" t="n">
        <v>7</v>
      </c>
      <c r="H210" s="7" t="n"/>
      <c r="I210" t="inlineStr">
        <is>
          <t>SOMATOM Definition AS</t>
        </is>
      </c>
      <c r="J210" t="inlineStr">
        <is>
          <t>With Contrast 3.0 B40f</t>
        </is>
      </c>
    </row>
    <row r="211">
      <c r="A211" s="2" t="n">
        <v>8540379</v>
      </c>
      <c r="B211" s="2" t="n">
        <v>43</v>
      </c>
      <c r="C211" s="2" t="inlineStr">
        <is>
          <t>F</t>
        </is>
      </c>
      <c r="D211" s="2" t="n">
        <v>100</v>
      </c>
      <c r="E211" s="4">
        <f>HYPERLINK("./Results/DLO\20180401_1.2.840.113619.2.311.161367489445258689357812294294276982954_304_512_512_\Osteo_Sarco_1.png","RPT")</f>
        <v/>
      </c>
      <c r="F211" s="3" t="n">
        <v>126</v>
      </c>
      <c r="G211" s="3" t="n">
        <v>12</v>
      </c>
      <c r="H211" s="7" t="n"/>
      <c r="I211" t="inlineStr">
        <is>
          <t>Revolution CT</t>
        </is>
      </c>
      <c r="J211" t="inlineStr">
        <is>
          <t>ABD 2.5mm</t>
        </is>
      </c>
    </row>
    <row r="212">
      <c r="A212" s="2" t="n">
        <v>8792539</v>
      </c>
      <c r="B212" s="2" t="n">
        <v>43</v>
      </c>
      <c r="C212" s="2" t="inlineStr">
        <is>
          <t>F</t>
        </is>
      </c>
      <c r="D212" s="2" t="n">
        <v>100</v>
      </c>
      <c r="E212" s="4">
        <f>HYPERLINK("./Results/DLO\20180201_1.3.12.2.1107.5.1.4.54310.30000018020123131201500064056_4_512_512_\Osteo_Sarco_1.png","RPT")</f>
        <v/>
      </c>
      <c r="F212" s="3" t="n">
        <v>122</v>
      </c>
      <c r="G212" s="3" t="n">
        <v>5</v>
      </c>
      <c r="H212" s="7" t="n"/>
      <c r="I212" t="inlineStr">
        <is>
          <t>Sensation 64</t>
        </is>
      </c>
      <c r="J212" t="inlineStr">
        <is>
          <t>With Contrast 3.0 B30f</t>
        </is>
      </c>
    </row>
    <row r="213">
      <c r="A213" s="2" t="n">
        <v>8670226</v>
      </c>
      <c r="B213" s="2" t="n">
        <v>43</v>
      </c>
      <c r="C213" s="2" t="inlineStr">
        <is>
          <t>F</t>
        </is>
      </c>
      <c r="D213" s="2" t="n">
        <v>100</v>
      </c>
      <c r="E213" s="4">
        <f>HYPERLINK("./Results/DLO\20180901_1.3.12.2.1107.5.1.4.54310.30000018091223300103100014838_2_512_512_\Osteo_Sarco_1.png","RPT")</f>
        <v/>
      </c>
      <c r="F213" s="3" t="n">
        <v>119</v>
      </c>
      <c r="G213" s="3" t="n">
        <v>7</v>
      </c>
      <c r="H213" s="7" t="n"/>
      <c r="I213" t="inlineStr">
        <is>
          <t>Sensation 64</t>
        </is>
      </c>
      <c r="J213" t="inlineStr">
        <is>
          <t>Pre Contrast 3.0 B30f</t>
        </is>
      </c>
    </row>
    <row r="214">
      <c r="A214" s="2" t="n">
        <v>8694618</v>
      </c>
      <c r="B214" s="2" t="n">
        <v>43</v>
      </c>
      <c r="C214" s="2" t="inlineStr">
        <is>
          <t>F</t>
        </is>
      </c>
      <c r="D214" s="2" t="n">
        <v>100</v>
      </c>
      <c r="E214" s="4">
        <f>HYPERLINK("./Results/DLO\20181001_1.3.12.2.1107.5.1.4.54310.30000018101523272337500030948_3_512_512_\Osteo_Sarco_1.png","RPT")</f>
        <v/>
      </c>
      <c r="F214" s="3" t="n">
        <v>117</v>
      </c>
      <c r="G214" s="3" t="n">
        <v>14</v>
      </c>
      <c r="H214" s="7" t="n"/>
      <c r="I214" t="inlineStr">
        <is>
          <t>Sensation 64</t>
        </is>
      </c>
      <c r="J214" t="inlineStr">
        <is>
          <t>Pre Contrast 3.0 B30f</t>
        </is>
      </c>
    </row>
    <row r="215">
      <c r="A215" s="2" t="n">
        <v>5822238</v>
      </c>
      <c r="B215" s="2" t="n">
        <v>43</v>
      </c>
      <c r="C215" s="2" t="inlineStr">
        <is>
          <t>F</t>
        </is>
      </c>
      <c r="D215" s="2" t="n">
        <v>100</v>
      </c>
      <c r="E215" s="4">
        <f>HYPERLINK("./Results/DLO\20180901_1.3.12.2.1107.5.1.4.54310.30000018090223262171800011567_2_512_512_\Osteo_Sarco_1.png","RPT")</f>
        <v/>
      </c>
      <c r="F215" s="3" t="n">
        <v>114</v>
      </c>
      <c r="G215" s="3" t="n">
        <v>7</v>
      </c>
      <c r="H215" s="7" t="n"/>
      <c r="I215" t="inlineStr">
        <is>
          <t>Sensation 64</t>
        </is>
      </c>
      <c r="J215" t="inlineStr">
        <is>
          <t>With Contrast 3.0 B30f</t>
        </is>
      </c>
    </row>
    <row r="216">
      <c r="A216" s="2" t="n">
        <v>5022246</v>
      </c>
      <c r="B216" s="2" t="n">
        <v>43</v>
      </c>
      <c r="C216" s="2" t="inlineStr">
        <is>
          <t>F</t>
        </is>
      </c>
      <c r="D216" s="2" t="n">
        <v>100</v>
      </c>
      <c r="E216" s="4">
        <f>HYPERLINK("./Results/DLO\20181001_1.2.840.113619.2.416.250295535513106221195250628267890552252_304_512_512_\Osteo_Sarco_1.png","RPT")</f>
        <v/>
      </c>
      <c r="F216" s="3" t="n">
        <v>113</v>
      </c>
      <c r="G216" s="3" t="n">
        <v>14</v>
      </c>
      <c r="H216" s="7" t="n"/>
      <c r="I216" t="inlineStr">
        <is>
          <t>Revolution CT</t>
        </is>
      </c>
      <c r="J216" t="inlineStr">
        <is>
          <t>ABD 2.5mm</t>
        </is>
      </c>
    </row>
    <row r="217">
      <c r="A217" s="2" t="n">
        <v>9002712</v>
      </c>
      <c r="B217" s="2" t="n">
        <v>43</v>
      </c>
      <c r="C217" s="2" t="inlineStr">
        <is>
          <t>F</t>
        </is>
      </c>
      <c r="D217" s="2" t="n">
        <v>100</v>
      </c>
      <c r="E217" s="4">
        <f>HYPERLINK("./Results/DLO\20180601_1.2.840.113619.2.94.485650834948.2.8907199.19296764.1_2_512_512_\Osteo_Sarco_1.png","RPT")</f>
        <v/>
      </c>
      <c r="F217" s="3" t="n">
        <v>110</v>
      </c>
      <c r="G217" s="3" t="n">
        <v>6</v>
      </c>
      <c r="H217" s="7" t="n"/>
      <c r="I217" t="inlineStr">
        <is>
          <t>Sensation 64</t>
        </is>
      </c>
      <c r="J217" t="inlineStr">
        <is>
          <t>With Contrast 3.0 B30f</t>
        </is>
      </c>
    </row>
    <row r="218">
      <c r="A218" s="2" t="n">
        <v>9930495</v>
      </c>
      <c r="B218" s="2" t="n">
        <v>43</v>
      </c>
      <c r="C218" s="2" t="inlineStr">
        <is>
          <t>F</t>
        </is>
      </c>
      <c r="D218" s="2" t="n">
        <v>100</v>
      </c>
      <c r="E218" s="4">
        <f>HYPERLINK("./Results/DLO\20200201_1.2.840.113619.2.416.171091668177241859271738682812175709667_310_512_512_\Osteo_Sarco_1.png","RPT")</f>
        <v/>
      </c>
      <c r="F218" s="3" t="n">
        <v>109</v>
      </c>
      <c r="G218" s="3" t="n">
        <v>5</v>
      </c>
      <c r="H218" s="7" t="n"/>
      <c r="I218" t="inlineStr">
        <is>
          <t>Revolution CT</t>
        </is>
      </c>
      <c r="J218" t="inlineStr">
        <is>
          <t>ABD</t>
        </is>
      </c>
    </row>
    <row r="219">
      <c r="A219" s="2" t="n">
        <v>9670730</v>
      </c>
      <c r="B219" s="2" t="n">
        <v>43</v>
      </c>
      <c r="C219" s="2" t="inlineStr">
        <is>
          <t>F</t>
        </is>
      </c>
      <c r="D219" s="2" t="n">
        <v>100</v>
      </c>
      <c r="E219" s="4">
        <f>HYPERLINK("./Results/DLO\20190501_1.2.840.113619.2.416.162405290722500233380788644962623513492_310_512_512_\Osteo_Sarco_1.png","RPT")</f>
        <v/>
      </c>
      <c r="F219" s="3" t="n">
        <v>108</v>
      </c>
      <c r="G219" s="3" t="n">
        <v>7</v>
      </c>
      <c r="H219" s="6" t="n">
        <v>22.17</v>
      </c>
      <c r="I219" t="inlineStr">
        <is>
          <t>Revolution CT</t>
        </is>
      </c>
      <c r="J219" t="inlineStr">
        <is>
          <t>ABD</t>
        </is>
      </c>
    </row>
    <row r="220">
      <c r="A220" s="2" t="n">
        <v>6739988</v>
      </c>
      <c r="B220" s="2" t="n">
        <v>43</v>
      </c>
      <c r="C220" s="2" t="inlineStr">
        <is>
          <t>F</t>
        </is>
      </c>
      <c r="D220" s="2" t="n">
        <v>100</v>
      </c>
      <c r="E220" s="4">
        <f>HYPERLINK("./Results/DLO\20180401_1.2.840.113619.2.311.7045371610636794664547555143710875534_304_512_512_\Osteo_Sarco_1.png","RPT")</f>
        <v/>
      </c>
      <c r="F220" s="3" t="n">
        <v>105</v>
      </c>
      <c r="G220" s="3" t="n">
        <v>5</v>
      </c>
      <c r="H220" s="7" t="n"/>
      <c r="I220" t="inlineStr">
        <is>
          <t>Revolution CT</t>
        </is>
      </c>
      <c r="J220" t="inlineStr">
        <is>
          <t>ABD 2.5mm</t>
        </is>
      </c>
    </row>
    <row r="221">
      <c r="A221" s="2" t="n">
        <v>8621890</v>
      </c>
      <c r="B221" s="2" t="n">
        <v>43</v>
      </c>
      <c r="C221" s="2" t="inlineStr">
        <is>
          <t>F</t>
        </is>
      </c>
      <c r="D221" s="2" t="n">
        <v>100</v>
      </c>
      <c r="E221" s="4">
        <f>HYPERLINK("./Results/DLO\20191001_1.2.840.113619.2.416.202272436543819794813783030030413887669_310_512_512_\Osteo_Sarco_1.png","RPT")</f>
        <v/>
      </c>
      <c r="F221" s="3" t="n">
        <v>105</v>
      </c>
      <c r="G221" s="3" t="n">
        <v>8</v>
      </c>
      <c r="H221" s="7" t="n"/>
      <c r="I221" t="inlineStr">
        <is>
          <t>Revolution CT</t>
        </is>
      </c>
      <c r="J221" t="inlineStr">
        <is>
          <t>ABD</t>
        </is>
      </c>
    </row>
    <row r="222">
      <c r="A222" s="2" t="n">
        <v>5020065</v>
      </c>
      <c r="B222" s="2" t="n">
        <v>43</v>
      </c>
      <c r="C222" s="2" t="inlineStr">
        <is>
          <t>F</t>
        </is>
      </c>
      <c r="D222" s="2" t="n">
        <v>100</v>
      </c>
      <c r="E222" s="4">
        <f>HYPERLINK("./Results/DLO\20180601_1.3.12.2.1107.5.1.4.54310.30000018061900181645300007540_2_512_512_\Osteo_Sarco_1.png","RPT")</f>
        <v/>
      </c>
      <c r="F222" s="3" t="n">
        <v>104</v>
      </c>
      <c r="G222" s="3" t="n">
        <v>5</v>
      </c>
      <c r="H222" s="7" t="n"/>
      <c r="I222" t="inlineStr">
        <is>
          <t>Sensation 64</t>
        </is>
      </c>
      <c r="J222" t="inlineStr">
        <is>
          <t>With Contrast 3.0 B30f</t>
        </is>
      </c>
    </row>
    <row r="223">
      <c r="A223" s="2" t="n">
        <v>9640120</v>
      </c>
      <c r="B223" s="2" t="n">
        <v>43</v>
      </c>
      <c r="C223" s="2" t="inlineStr">
        <is>
          <t>F</t>
        </is>
      </c>
      <c r="D223" s="2" t="n">
        <v>100</v>
      </c>
      <c r="E223" s="4">
        <f>HYPERLINK("./Results/DLO\20190401_1.2.840.113619.2.94.485650834948.2.9531244.20857394.1_2_512_512_\Osteo_Sarco_1.png","RPT")</f>
        <v/>
      </c>
      <c r="F223" s="3" t="n">
        <v>104</v>
      </c>
      <c r="G223" s="3" t="n">
        <v>7</v>
      </c>
      <c r="H223" s="7" t="n"/>
      <c r="I223" t="inlineStr">
        <is>
          <t>Sensation 64</t>
        </is>
      </c>
      <c r="J223" t="inlineStr">
        <is>
          <t>With Contrast 3.0 B30f</t>
        </is>
      </c>
    </row>
    <row r="224">
      <c r="A224" s="2" t="n">
        <v>9767575</v>
      </c>
      <c r="B224" s="2" t="n">
        <v>43</v>
      </c>
      <c r="C224" s="2" t="inlineStr">
        <is>
          <t>F</t>
        </is>
      </c>
      <c r="D224" s="2" t="n">
        <v>100</v>
      </c>
      <c r="E224" s="4">
        <f>HYPERLINK("./Results/DLO\20190801_1.2.840.113619.2.416.9560022449676709303416022352845701726_310_512_512_\Osteo_Sarco_1.png","RPT")</f>
        <v/>
      </c>
      <c r="F224" s="3" t="n">
        <v>104</v>
      </c>
      <c r="G224" s="3" t="n">
        <v>6</v>
      </c>
      <c r="H224" s="6" t="n">
        <v>20.8</v>
      </c>
      <c r="I224" t="inlineStr">
        <is>
          <t>Revolution CT</t>
        </is>
      </c>
      <c r="J224" t="inlineStr">
        <is>
          <t>ABD</t>
        </is>
      </c>
    </row>
    <row r="225">
      <c r="A225" s="2" t="n">
        <v>2587327</v>
      </c>
      <c r="B225" s="2" t="n">
        <v>43</v>
      </c>
      <c r="C225" s="2" t="inlineStr">
        <is>
          <t>F</t>
        </is>
      </c>
      <c r="D225" s="2" t="n">
        <v>100</v>
      </c>
      <c r="E225" s="4">
        <f>HYPERLINK("./Results/DLO\20180401_1.2.840.113619.2.311.228190814807358448533299059690064091480_303_512_512_\Osteo_Sarco_1.png","RPT")</f>
        <v/>
      </c>
      <c r="F225" s="3" t="n">
        <v>102</v>
      </c>
      <c r="G225" s="3" t="n">
        <v>5</v>
      </c>
      <c r="H225" s="6" t="n">
        <v>21.23</v>
      </c>
      <c r="I225" t="inlineStr">
        <is>
          <t>Revolution CT</t>
        </is>
      </c>
      <c r="J225" t="inlineStr">
        <is>
          <t>ABD 2.5mm</t>
        </is>
      </c>
    </row>
    <row r="226">
      <c r="A226" s="2" t="n">
        <v>6167718</v>
      </c>
      <c r="B226" s="2" t="n">
        <v>43</v>
      </c>
      <c r="C226" s="2" t="inlineStr">
        <is>
          <t>F</t>
        </is>
      </c>
      <c r="D226" s="2" t="n">
        <v>100</v>
      </c>
      <c r="E226" s="4">
        <f>HYPERLINK("./Results/DLO\20180201_1.3.46.670589.33.1.63653514291557329400001.5256753628488147338_701_512_512_\Osteo_Sarco_1.png","RPT")</f>
        <v/>
      </c>
      <c r="F226" s="3" t="n">
        <v>101</v>
      </c>
      <c r="G226" s="3" t="n">
        <v>12</v>
      </c>
      <c r="H226" s="7" t="n"/>
      <c r="I226" t="inlineStr">
        <is>
          <t>Ingenuity Core 128</t>
        </is>
      </c>
      <c r="J226" t="inlineStr">
        <is>
          <t>Post 100/236 i3, iDose (3)</t>
        </is>
      </c>
    </row>
    <row r="227">
      <c r="A227" s="2" t="n">
        <v>9788506</v>
      </c>
      <c r="B227" s="2" t="n">
        <v>44</v>
      </c>
      <c r="C227" s="2" t="inlineStr">
        <is>
          <t>F</t>
        </is>
      </c>
      <c r="D227" s="2" t="n">
        <v>100</v>
      </c>
      <c r="E227" s="4">
        <f>HYPERLINK("./Results/DLO\20190901_1.2.840.113619.2.416.115762736448691432353728699725869766473_310_512_512_\Osteo_Sarco_1.png","RPT")</f>
        <v/>
      </c>
      <c r="F227" s="3" t="n">
        <v>99</v>
      </c>
      <c r="G227" s="3" t="n">
        <v>6</v>
      </c>
      <c r="H227" s="7" t="n"/>
      <c r="I227" t="inlineStr">
        <is>
          <t>Revolution CT</t>
        </is>
      </c>
      <c r="J227" t="inlineStr">
        <is>
          <t>ABD</t>
        </is>
      </c>
    </row>
    <row r="228">
      <c r="A228" s="2" t="n">
        <v>9032217</v>
      </c>
      <c r="B228" s="2" t="n">
        <v>44</v>
      </c>
      <c r="C228" s="2" t="inlineStr">
        <is>
          <t>F</t>
        </is>
      </c>
      <c r="D228" s="2" t="n">
        <v>100</v>
      </c>
      <c r="E228" s="4">
        <f>HYPERLINK("./Results/DLO\20180201_1.3.12.2.1107.5.1.4.54310.30000018021323092489000035901_2_512_512_\Osteo_Sarco_1.png","RPT")</f>
        <v/>
      </c>
      <c r="F228" s="3" t="n">
        <v>95</v>
      </c>
      <c r="G228" s="3" t="n">
        <v>6</v>
      </c>
      <c r="H228" s="7" t="n"/>
      <c r="I228" t="inlineStr">
        <is>
          <t>Sensation 64</t>
        </is>
      </c>
      <c r="J228" t="inlineStr">
        <is>
          <t>With Contrast 3.0 B30f</t>
        </is>
      </c>
    </row>
    <row r="229">
      <c r="A229" s="2" t="n">
        <v>6739694</v>
      </c>
      <c r="B229" s="2" t="n">
        <v>44</v>
      </c>
      <c r="C229" s="2" t="inlineStr">
        <is>
          <t>F</t>
        </is>
      </c>
      <c r="D229" s="2" t="n">
        <v>100</v>
      </c>
      <c r="E229" s="4">
        <f>HYPERLINK("./Results/DLO\20180301_1.3.12.2.1107.5.1.4.54310.30000018031523240600000011374_2_512_512_\Osteo_Sarco_1.png","RPT")</f>
        <v/>
      </c>
      <c r="F229" s="3" t="n">
        <v>95</v>
      </c>
      <c r="G229" s="3" t="n">
        <v>8</v>
      </c>
      <c r="H229" s="7" t="n"/>
      <c r="I229" t="inlineStr">
        <is>
          <t>Sensation 64</t>
        </is>
      </c>
      <c r="J229" t="inlineStr">
        <is>
          <t>With Contrast 3.0 B30f</t>
        </is>
      </c>
    </row>
    <row r="230">
      <c r="A230" s="2" t="n">
        <v>9503421</v>
      </c>
      <c r="B230" s="2" t="n">
        <v>44</v>
      </c>
      <c r="C230" s="2" t="inlineStr">
        <is>
          <t>F</t>
        </is>
      </c>
      <c r="D230" s="2" t="n">
        <v>100</v>
      </c>
      <c r="E230" s="4">
        <f>HYPERLINK("./Results/DLO\20191101_1.3.12.2.1107.5.1.4.54310.30000019112421230878100048577_10_512_512_\Osteo_Sarco_1.png","RPT")</f>
        <v/>
      </c>
      <c r="F230" s="3" t="n">
        <v>93</v>
      </c>
      <c r="G230" s="3" t="n">
        <v>9</v>
      </c>
      <c r="H230" s="7" t="n"/>
      <c r="I230" t="inlineStr">
        <is>
          <t>Sensation 64</t>
        </is>
      </c>
      <c r="J230" t="inlineStr">
        <is>
          <t>Post ABD AXL 3mm B30f</t>
        </is>
      </c>
    </row>
    <row r="231">
      <c r="A231" s="2" t="n">
        <v>5816492</v>
      </c>
      <c r="B231" s="2" t="n">
        <v>44</v>
      </c>
      <c r="C231" s="2" t="inlineStr">
        <is>
          <t>F</t>
        </is>
      </c>
      <c r="D231" s="2" t="n">
        <v>100</v>
      </c>
      <c r="E231" s="4">
        <f>HYPERLINK("./Results/DLO\20190501_1.3.12.2.1107.5.1.4.65253.30000019052819441403100023076_2_512_512_\Osteo_Sarco_1.png","RPT")</f>
        <v/>
      </c>
      <c r="F231" s="3" t="n">
        <v>92</v>
      </c>
      <c r="G231" s="3" t="n">
        <v>5</v>
      </c>
      <c r="H231" s="7" t="n"/>
      <c r="I231" t="inlineStr">
        <is>
          <t>SOMATOM Definition AS</t>
        </is>
      </c>
      <c r="J231" t="inlineStr">
        <is>
          <t>W/O Contrast 2.0 B30f</t>
        </is>
      </c>
    </row>
    <row r="232">
      <c r="A232" s="2" t="n">
        <v>8986153</v>
      </c>
      <c r="B232" s="2" t="n">
        <v>44</v>
      </c>
      <c r="C232" s="2" t="inlineStr">
        <is>
          <t>F</t>
        </is>
      </c>
      <c r="D232" s="2" t="n">
        <v>100</v>
      </c>
      <c r="E232" s="4">
        <f>HYPERLINK("./Results/DLO\20180801_1.3.46.670589.33.1.63669325033972786200001.4983288048009975888_201_512_512_\Osteo_Sarco_1.png","RPT")</f>
        <v/>
      </c>
      <c r="F232" s="3" t="n">
        <v>79</v>
      </c>
      <c r="G232" s="3" t="n">
        <v>4</v>
      </c>
      <c r="H232" s="7" t="n"/>
      <c r="I232" t="inlineStr">
        <is>
          <t>Ingenuity Core 128</t>
        </is>
      </c>
      <c r="J232" t="inlineStr">
        <is>
          <t>Post 100/236 i3, iDose (3)</t>
        </is>
      </c>
    </row>
    <row r="233">
      <c r="A233" s="2" t="n">
        <v>8678452</v>
      </c>
      <c r="B233" s="2" t="n">
        <v>44</v>
      </c>
      <c r="C233" s="2" t="inlineStr">
        <is>
          <t>M</t>
        </is>
      </c>
      <c r="D233" s="2" t="n">
        <v>100</v>
      </c>
      <c r="E233" s="4">
        <f>HYPERLINK("./Results/DLO\20180101_1.3.12.2.1107.5.1.4.54310.30000018010723041601500019502_6_512_512_\Osteo_Sarco_1.png","RPT")</f>
        <v/>
      </c>
      <c r="F233" s="3" t="n">
        <v>198</v>
      </c>
      <c r="G233" s="3" t="n">
        <v>12</v>
      </c>
      <c r="H233" s="7" t="n"/>
      <c r="I233" t="inlineStr">
        <is>
          <t>Sensation 64</t>
        </is>
      </c>
      <c r="J233" t="inlineStr">
        <is>
          <t>With Contrast 3.0 B30f</t>
        </is>
      </c>
    </row>
    <row r="234">
      <c r="A234" s="2" t="n">
        <v>9597346</v>
      </c>
      <c r="B234" s="2" t="n">
        <v>44</v>
      </c>
      <c r="C234" s="2" t="inlineStr">
        <is>
          <t>M</t>
        </is>
      </c>
      <c r="D234" s="2" t="n">
        <v>100</v>
      </c>
      <c r="E234" s="4">
        <f>HYPERLINK("./Results/DLO\20191201_1.3.46.670589.33.1.63712613524991873700001.4783894656958690372_201_512_512_\Osteo_Sarco_1.png","RPT")</f>
        <v/>
      </c>
      <c r="F234" s="3" t="n">
        <v>170</v>
      </c>
      <c r="G234" s="3" t="n">
        <v>10</v>
      </c>
      <c r="H234" s="7" t="n"/>
      <c r="I234" t="inlineStr">
        <is>
          <t>Ingenuity Core 128</t>
        </is>
      </c>
      <c r="J234" t="inlineStr">
        <is>
          <t>Post 3mm, iDose (3)</t>
        </is>
      </c>
    </row>
    <row r="235">
      <c r="A235" s="2" t="n">
        <v>9498843</v>
      </c>
      <c r="B235" s="2" t="n">
        <v>44</v>
      </c>
      <c r="C235" s="2" t="inlineStr">
        <is>
          <t>M</t>
        </is>
      </c>
      <c r="D235" s="2" t="n">
        <v>100</v>
      </c>
      <c r="E235" s="4">
        <f>HYPERLINK("./Results/DLO\20181001_1.2.410.100011.172.16.68.202.6367676216446955631.2.4_4_512_512_\Osteo_Sarco_1.png","RPT")</f>
        <v/>
      </c>
      <c r="F235" s="3" t="n">
        <v>168</v>
      </c>
      <c r="G235" s="3" t="n">
        <v>8</v>
      </c>
      <c r="H235" s="6" t="n">
        <v>28.3</v>
      </c>
      <c r="I235" t="inlineStr">
        <is>
          <t>SOMATOM Definition AS</t>
        </is>
      </c>
      <c r="J235" t="inlineStr">
        <is>
          <t>Abdomen pre 5.0 I40f 2</t>
        </is>
      </c>
    </row>
    <row r="236">
      <c r="A236" s="2" t="n">
        <v>5023331</v>
      </c>
      <c r="B236" s="2" t="n">
        <v>44</v>
      </c>
      <c r="C236" s="2" t="inlineStr">
        <is>
          <t>M</t>
        </is>
      </c>
      <c r="D236" s="2" t="n">
        <v>100</v>
      </c>
      <c r="E236" s="4">
        <f>HYPERLINK("./Results/DLO\20190201_1.3.12.2.1107.5.1.4.65253.30000019021320240819400036292_2_512_512_\Osteo_Sarco_1.png","RPT")</f>
        <v/>
      </c>
      <c r="F236" s="3" t="n">
        <v>166</v>
      </c>
      <c r="G236" s="3" t="n">
        <v>5</v>
      </c>
      <c r="H236" s="6" t="n">
        <v>27.17</v>
      </c>
      <c r="I236" t="inlineStr">
        <is>
          <t>SOMATOM Definition AS</t>
        </is>
      </c>
      <c r="J236" t="inlineStr">
        <is>
          <t>Pre Contrast 3.0 B30f</t>
        </is>
      </c>
    </row>
    <row r="237">
      <c r="A237" s="2" t="n">
        <v>6741957</v>
      </c>
      <c r="B237" s="2" t="n">
        <v>44</v>
      </c>
      <c r="C237" s="2" t="inlineStr">
        <is>
          <t>M</t>
        </is>
      </c>
      <c r="D237" s="2" t="n">
        <v>100</v>
      </c>
      <c r="E237" s="4">
        <f>HYPERLINK("./Results/DLO\20200401_1.3.46.670589.33.1.63723753023849954300001.4901897395460907374_201_512_512_\Osteo_Sarco_1.png","RPT")</f>
        <v/>
      </c>
      <c r="F237" s="3" t="n">
        <v>162</v>
      </c>
      <c r="G237" s="3" t="n">
        <v>8</v>
      </c>
      <c r="H237" s="7" t="n"/>
      <c r="I237" t="inlineStr">
        <is>
          <t>Ingenuity Core 128</t>
        </is>
      </c>
      <c r="J237" t="inlineStr">
        <is>
          <t>Post 3mm, iDose (3)</t>
        </is>
      </c>
    </row>
    <row r="238">
      <c r="A238" s="2" t="n">
        <v>3868306</v>
      </c>
      <c r="B238" s="2" t="n">
        <v>44</v>
      </c>
      <c r="C238" s="2" t="inlineStr">
        <is>
          <t>M</t>
        </is>
      </c>
      <c r="D238" s="2" t="n">
        <v>100</v>
      </c>
      <c r="E238" s="4">
        <f>HYPERLINK("./Results/DLO\20180401_1.3.12.2.1107.5.1.4.54310.30000018041823081834300008717_2_512_512_\Osteo_Sarco_1.png","RPT")</f>
        <v/>
      </c>
      <c r="F238" s="3" t="n">
        <v>158</v>
      </c>
      <c r="G238" s="3" t="n">
        <v>6</v>
      </c>
      <c r="H238" s="7" t="n"/>
      <c r="I238" t="inlineStr">
        <is>
          <t>Sensation 64</t>
        </is>
      </c>
      <c r="J238" t="inlineStr">
        <is>
          <t>Pre Contrast 3.0 B30f</t>
        </is>
      </c>
    </row>
    <row r="239">
      <c r="A239" s="2" t="n">
        <v>5044817</v>
      </c>
      <c r="B239" s="2" t="n">
        <v>44</v>
      </c>
      <c r="C239" s="2" t="inlineStr">
        <is>
          <t>M</t>
        </is>
      </c>
      <c r="D239" s="2" t="n">
        <v>100</v>
      </c>
      <c r="E239" s="4">
        <f>HYPERLINK("./Results/DLO\20180501_1.3.46.670589.33.1.63663356255006798500001.5055123477556050400_201_512_512_\Osteo_Sarco_1.png","RPT")</f>
        <v/>
      </c>
      <c r="F239" s="3" t="n">
        <v>149</v>
      </c>
      <c r="G239" s="3" t="n">
        <v>4</v>
      </c>
      <c r="H239" s="7" t="n"/>
      <c r="I239" t="inlineStr">
        <is>
          <t>Ingenuity Core 128</t>
        </is>
      </c>
      <c r="J239" t="inlineStr">
        <is>
          <t>Post 100/236 i3, iDose (3)</t>
        </is>
      </c>
    </row>
    <row r="240">
      <c r="A240" s="2" t="n">
        <v>9467453</v>
      </c>
      <c r="B240" s="2" t="n">
        <v>44</v>
      </c>
      <c r="C240" s="2" t="inlineStr">
        <is>
          <t>M</t>
        </is>
      </c>
      <c r="D240" s="2" t="n">
        <v>100</v>
      </c>
      <c r="E240" s="4">
        <f>HYPERLINK("./Results/DLO\20180801_1.2.410.100011.172.24.80.187.6367458657761989633.2_2_512_512_\Osteo_Sarco_1.png","RPT")</f>
        <v/>
      </c>
      <c r="F240" s="3" t="n">
        <v>137</v>
      </c>
      <c r="G240" s="3" t="n">
        <v>5</v>
      </c>
      <c r="H240" s="7" t="n"/>
      <c r="I240" t="inlineStr">
        <is>
          <t>SOMATOM Drive</t>
        </is>
      </c>
      <c r="J240" t="inlineStr">
        <is>
          <t>Pre 5.0 I40f 3</t>
        </is>
      </c>
    </row>
    <row r="241">
      <c r="A241" s="2" t="n">
        <v>8543684</v>
      </c>
      <c r="B241" s="2" t="n">
        <v>44</v>
      </c>
      <c r="C241" s="2" t="inlineStr">
        <is>
          <t>F</t>
        </is>
      </c>
      <c r="D241" s="2" t="n">
        <v>100</v>
      </c>
      <c r="E241" s="4">
        <f>HYPERLINK("./Results/DLO\20190801_1.2.840.113619.2.416.245885843124691865064944475080371714211_310_512_512_\Osteo_Sarco_1.png","RPT")</f>
        <v/>
      </c>
      <c r="F241" s="3" t="n">
        <v>134</v>
      </c>
      <c r="G241" s="3" t="n">
        <v>8</v>
      </c>
      <c r="H241" s="6" t="n">
        <v>21.27</v>
      </c>
      <c r="I241" t="inlineStr">
        <is>
          <t>Revolution CT</t>
        </is>
      </c>
      <c r="J241" t="inlineStr">
        <is>
          <t>ABD</t>
        </is>
      </c>
    </row>
    <row r="242">
      <c r="A242" s="2" t="n">
        <v>9466854</v>
      </c>
      <c r="B242" s="2" t="n">
        <v>44</v>
      </c>
      <c r="C242" s="2" t="inlineStr">
        <is>
          <t>F</t>
        </is>
      </c>
      <c r="D242" s="2" t="n">
        <v>100</v>
      </c>
      <c r="E242" s="4">
        <f>HYPERLINK("./Results/DLO\20181001_1.2.410.100011.172.16.68.202.6367433798945270991.2.4_4_512_512_\Osteo_Sarco_1.png","RPT")</f>
        <v/>
      </c>
      <c r="F242" s="3" t="n">
        <v>133</v>
      </c>
      <c r="G242" s="3" t="n">
        <v>7</v>
      </c>
      <c r="H242" s="6" t="n">
        <v>28.01</v>
      </c>
      <c r="I242" t="inlineStr">
        <is>
          <t>SOMATOM Definition AS</t>
        </is>
      </c>
      <c r="J242" t="inlineStr">
        <is>
          <t>Pre 5.0 I30f 2</t>
        </is>
      </c>
    </row>
    <row r="243">
      <c r="A243" s="2" t="n">
        <v>9751939</v>
      </c>
      <c r="B243" s="2" t="n">
        <v>44</v>
      </c>
      <c r="C243" s="2" t="inlineStr">
        <is>
          <t>F</t>
        </is>
      </c>
      <c r="D243" s="2" t="n">
        <v>100</v>
      </c>
      <c r="E243" s="4">
        <f>HYPERLINK("./Results/DLO\20190801_1.3.12.2.1107.5.1.4.54310.30000019080123031557800006564_7_512_512_\Osteo_Sarco_1.png","RPT")</f>
        <v/>
      </c>
      <c r="F243" s="3" t="n">
        <v>126</v>
      </c>
      <c r="G243" s="3" t="n">
        <v>7</v>
      </c>
      <c r="H243" s="6" t="n">
        <v>23.99</v>
      </c>
      <c r="I243" t="inlineStr">
        <is>
          <t>Sensation 64</t>
        </is>
      </c>
      <c r="J243" t="inlineStr">
        <is>
          <t>Portal 3.0 B30f</t>
        </is>
      </c>
    </row>
    <row r="244">
      <c r="A244" s="2" t="n">
        <v>6143993</v>
      </c>
      <c r="B244" s="2" t="n">
        <v>44</v>
      </c>
      <c r="C244" s="2" t="inlineStr">
        <is>
          <t>M</t>
        </is>
      </c>
      <c r="D244" s="2" t="n">
        <v>100</v>
      </c>
      <c r="E244" s="4">
        <f>HYPERLINK("./Results/DLO\_1.2.410.100011.172.16.44.21.6369856047188348493.3_3_512_512_\Osteo_Sarco_1.png","RPT")</f>
        <v/>
      </c>
      <c r="F244" s="3" t="n">
        <v>123</v>
      </c>
      <c r="G244" s="3" t="n">
        <v>9</v>
      </c>
      <c r="H244" s="6" t="n">
        <v>20.9</v>
      </c>
      <c r="I244" t="inlineStr">
        <is>
          <t>iCT 128</t>
        </is>
      </c>
      <c r="J244" t="inlineStr">
        <is>
          <t>Arterial 3/3</t>
        </is>
      </c>
    </row>
    <row r="245">
      <c r="A245" s="2" t="n">
        <v>9753880</v>
      </c>
      <c r="B245" s="2" t="n">
        <v>44</v>
      </c>
      <c r="C245" s="2" t="inlineStr">
        <is>
          <t>F</t>
        </is>
      </c>
      <c r="D245" s="2" t="n">
        <v>100</v>
      </c>
      <c r="E245" s="4">
        <f>HYPERLINK("./Results/DLO\20190801_1.2.840.113619.2.416.307503012593731610074247635009727403672_310_512_512_\Osteo_Sarco_1.png","RPT")</f>
        <v/>
      </c>
      <c r="F245" s="3" t="n">
        <v>116</v>
      </c>
      <c r="G245" s="3" t="n">
        <v>8</v>
      </c>
      <c r="H245" s="6" t="n">
        <v>24.93</v>
      </c>
      <c r="I245" t="inlineStr">
        <is>
          <t>Revolution CT</t>
        </is>
      </c>
      <c r="J245" t="inlineStr">
        <is>
          <t>ABD</t>
        </is>
      </c>
    </row>
    <row r="246">
      <c r="A246" s="2" t="n">
        <v>9887347</v>
      </c>
      <c r="B246" s="2" t="n">
        <v>44</v>
      </c>
      <c r="C246" s="2" t="inlineStr">
        <is>
          <t>F</t>
        </is>
      </c>
      <c r="D246" s="2" t="n">
        <v>100</v>
      </c>
      <c r="E246" s="4">
        <f>HYPERLINK("./Results/DLO\20200301_1.2.840.113619.2.416.208671703034456590939755698124408032357_312_512_512_\Osteo_Sarco_1.png","RPT")</f>
        <v/>
      </c>
      <c r="F246" s="3" t="n">
        <v>116</v>
      </c>
      <c r="G246" s="3" t="n">
        <v>8</v>
      </c>
      <c r="H246" s="7" t="n"/>
      <c r="I246" t="inlineStr">
        <is>
          <t>Revolution CT</t>
        </is>
      </c>
      <c r="J246" t="inlineStr">
        <is>
          <t>ABD</t>
        </is>
      </c>
    </row>
    <row r="247">
      <c r="A247" s="2" t="n">
        <v>6181201</v>
      </c>
      <c r="B247" s="2" t="n">
        <v>44</v>
      </c>
      <c r="C247" s="2" t="inlineStr">
        <is>
          <t>F</t>
        </is>
      </c>
      <c r="D247" s="2" t="n">
        <v>100</v>
      </c>
      <c r="E247" s="4">
        <f>HYPERLINK("./Results/DLO\20180201_1.3.12.2.1107.5.1.4.54310.30000018020823081534300019389_2_512_512_\Osteo_Sarco_1.png","RPT")</f>
        <v/>
      </c>
      <c r="F247" s="3" t="n">
        <v>113</v>
      </c>
      <c r="G247" s="3" t="n">
        <v>11</v>
      </c>
      <c r="H247" s="7" t="n"/>
      <c r="I247" t="inlineStr">
        <is>
          <t>Sensation 64</t>
        </is>
      </c>
      <c r="J247" t="inlineStr">
        <is>
          <t>With Contrast 3.0 B30f</t>
        </is>
      </c>
    </row>
    <row r="248">
      <c r="A248" s="2" t="n">
        <v>6739329</v>
      </c>
      <c r="B248" s="2" t="n">
        <v>44</v>
      </c>
      <c r="C248" s="2" t="inlineStr">
        <is>
          <t>F</t>
        </is>
      </c>
      <c r="D248" s="2" t="n">
        <v>100</v>
      </c>
      <c r="E248" s="4">
        <f>HYPERLINK("./Results/DLO\20180101_1.2.840.113619.2.311.281169779001640315898171619563679264806_304_512_512_\Osteo_Sarco_1.png","RPT")</f>
        <v/>
      </c>
      <c r="F248" s="3" t="n">
        <v>112</v>
      </c>
      <c r="G248" s="3" t="n">
        <v>11</v>
      </c>
      <c r="H248" s="7" t="n"/>
      <c r="I248" t="inlineStr">
        <is>
          <t>Revolution CT</t>
        </is>
      </c>
      <c r="J248" t="inlineStr">
        <is>
          <t>ABD 2.5mm</t>
        </is>
      </c>
    </row>
    <row r="249">
      <c r="A249" s="2" t="n">
        <v>2574570</v>
      </c>
      <c r="B249" s="2" t="n">
        <v>44</v>
      </c>
      <c r="C249" s="2" t="inlineStr">
        <is>
          <t>F</t>
        </is>
      </c>
      <c r="D249" s="2" t="n">
        <v>100</v>
      </c>
      <c r="E249" s="4">
        <f>HYPERLINK("./Results/DLO\20180401_1.3.12.2.1107.5.1.4.54310.30000018041523193462500013431_2_512_512_\Osteo_Sarco_1.png","RPT")</f>
        <v/>
      </c>
      <c r="F249" s="3" t="n">
        <v>109</v>
      </c>
      <c r="G249" s="3" t="n">
        <v>10</v>
      </c>
      <c r="H249" s="7" t="n"/>
      <c r="I249" t="inlineStr">
        <is>
          <t>Sensation 64</t>
        </is>
      </c>
      <c r="J249" t="inlineStr">
        <is>
          <t>With Contrast 3.0 B30f</t>
        </is>
      </c>
    </row>
    <row r="250">
      <c r="A250" s="2" t="n">
        <v>5259980</v>
      </c>
      <c r="B250" s="2" t="n">
        <v>44</v>
      </c>
      <c r="C250" s="2" t="inlineStr">
        <is>
          <t>F</t>
        </is>
      </c>
      <c r="D250" s="2" t="n">
        <v>100</v>
      </c>
      <c r="E250" s="4">
        <f>HYPERLINK("./Results/DLO\20190201_1.2.840.113619.2.311.249179943005235583844010677748003840771_304_512_512_\Osteo_Sarco_1.png","RPT")</f>
        <v/>
      </c>
      <c r="F250" s="3" t="n">
        <v>108</v>
      </c>
      <c r="G250" s="3" t="n">
        <v>9</v>
      </c>
      <c r="H250" s="7" t="n"/>
      <c r="I250" t="inlineStr">
        <is>
          <t>Revolution CT</t>
        </is>
      </c>
      <c r="J250" t="inlineStr">
        <is>
          <t>ABD 2.5mm</t>
        </is>
      </c>
    </row>
    <row r="251">
      <c r="A251" s="2" t="n">
        <v>9837198</v>
      </c>
      <c r="B251" s="2" t="n">
        <v>44</v>
      </c>
      <c r="C251" s="2" t="inlineStr">
        <is>
          <t>F</t>
        </is>
      </c>
      <c r="D251" s="2" t="n">
        <v>100</v>
      </c>
      <c r="E251" s="4">
        <f>HYPERLINK("./Results/DLO\20191101_1.2.840.113619.2.416.228330064788718031106281828147036759136_310_512_512_\Osteo_Sarco_1.png","RPT")</f>
        <v/>
      </c>
      <c r="F251" s="3" t="n">
        <v>105</v>
      </c>
      <c r="G251" s="3" t="n">
        <v>10</v>
      </c>
      <c r="H251" s="6" t="n">
        <v>21.9</v>
      </c>
      <c r="I251" t="inlineStr">
        <is>
          <t>Revolution CT</t>
        </is>
      </c>
      <c r="J251" t="inlineStr">
        <is>
          <t>ABD</t>
        </is>
      </c>
    </row>
    <row r="252">
      <c r="A252" s="2" t="n">
        <v>3144874</v>
      </c>
      <c r="B252" s="2" t="n">
        <v>44</v>
      </c>
      <c r="C252" s="2" t="inlineStr">
        <is>
          <t>F</t>
        </is>
      </c>
      <c r="D252" s="2" t="n">
        <v>100</v>
      </c>
      <c r="E252" s="4">
        <f>HYPERLINK("./Results/DLO\20180301_1.2.840.113619.2.94.485650834948.2.8677990.18733315.1_2_512_512_\Osteo_Sarco_1.png","RPT")</f>
        <v/>
      </c>
      <c r="F252" s="3" t="n">
        <v>100</v>
      </c>
      <c r="G252" s="3" t="n">
        <v>7</v>
      </c>
      <c r="H252" s="7" t="n"/>
      <c r="I252" t="inlineStr">
        <is>
          <t>Sensation 64</t>
        </is>
      </c>
      <c r="J252" t="inlineStr">
        <is>
          <t>With Contrast 3.0 B30f</t>
        </is>
      </c>
    </row>
    <row r="253">
      <c r="A253" s="2" t="n">
        <v>8889638</v>
      </c>
      <c r="B253" s="2" t="n">
        <v>45</v>
      </c>
      <c r="C253" s="2" t="inlineStr">
        <is>
          <t>F</t>
        </is>
      </c>
      <c r="D253" s="2" t="n">
        <v>100</v>
      </c>
      <c r="E253" s="4">
        <f>HYPERLINK("./Results/DLO\20181101_1.2.840.113619.2.311.316671347588831339581846550607886791540_304_512_512_\Osteo_Sarco_1.png","RPT")</f>
        <v/>
      </c>
      <c r="F253" s="3" t="n">
        <v>99</v>
      </c>
      <c r="G253" s="3" t="n">
        <v>9</v>
      </c>
      <c r="H253" s="7" t="n"/>
      <c r="I253" t="inlineStr">
        <is>
          <t>Revolution CT</t>
        </is>
      </c>
      <c r="J253" t="inlineStr">
        <is>
          <t>ABD 2.5mm</t>
        </is>
      </c>
    </row>
    <row r="254">
      <c r="A254" s="2" t="n">
        <v>8792692</v>
      </c>
      <c r="B254" s="2" t="n">
        <v>45</v>
      </c>
      <c r="C254" s="2" t="inlineStr">
        <is>
          <t>F</t>
        </is>
      </c>
      <c r="D254" s="2" t="n">
        <v>100</v>
      </c>
      <c r="E254" s="4">
        <f>HYPERLINK("./Results/DLO\20190301_1.3.46.670589.33.1.63688506009141819000001.5519429274112303913_201_512_512_\Osteo_Sarco_1.png","RPT")</f>
        <v/>
      </c>
      <c r="F254" s="3" t="n">
        <v>95</v>
      </c>
      <c r="G254" s="3" t="n">
        <v>9</v>
      </c>
      <c r="H254" s="7" t="n"/>
      <c r="I254" t="inlineStr">
        <is>
          <t>Ingenuity Core 128</t>
        </is>
      </c>
      <c r="J254" t="inlineStr">
        <is>
          <t>Post 3mm, iDose (3)</t>
        </is>
      </c>
    </row>
    <row r="255">
      <c r="A255" s="2" t="n">
        <v>9791821</v>
      </c>
      <c r="B255" s="2" t="n">
        <v>45</v>
      </c>
      <c r="C255" s="2" t="inlineStr">
        <is>
          <t>F</t>
        </is>
      </c>
      <c r="D255" s="2" t="n">
        <v>100</v>
      </c>
      <c r="E255" s="4">
        <f>HYPERLINK("./Results/DLO\20190901_1.2.840.113619.2.416.68637676144253916718486292614525854412_306_512_512_\Osteo_Sarco_1.png","RPT")</f>
        <v/>
      </c>
      <c r="F255" s="3" t="n">
        <v>95</v>
      </c>
      <c r="G255" s="3" t="n">
        <v>13</v>
      </c>
      <c r="H255" s="7" t="n"/>
      <c r="I255" t="inlineStr">
        <is>
          <t>Revolution CT</t>
        </is>
      </c>
      <c r="J255" t="inlineStr">
        <is>
          <t>ABD</t>
        </is>
      </c>
    </row>
    <row r="256">
      <c r="A256" s="2" t="n">
        <v>4887687</v>
      </c>
      <c r="B256" s="2" t="n">
        <v>45</v>
      </c>
      <c r="C256" s="2" t="inlineStr">
        <is>
          <t>F</t>
        </is>
      </c>
      <c r="D256" s="2" t="n">
        <v>100</v>
      </c>
      <c r="E256" s="4">
        <f>HYPERLINK("./Results/DLO\20181101_1.2.840.113619.2.94.485650834948.2.9215815.20056955.1_2_512_512_\Osteo_Sarco_1.png","RPT")</f>
        <v/>
      </c>
      <c r="F256" s="3" t="n">
        <v>91</v>
      </c>
      <c r="G256" s="3" t="n">
        <v>8</v>
      </c>
      <c r="H256" s="7" t="n"/>
      <c r="I256" t="inlineStr">
        <is>
          <t>Sensation 64</t>
        </is>
      </c>
      <c r="J256" t="inlineStr">
        <is>
          <t>With Contrast 3.0 B30f</t>
        </is>
      </c>
    </row>
    <row r="257">
      <c r="A257" s="2" t="n">
        <v>6740770</v>
      </c>
      <c r="B257" s="2" t="n">
        <v>45</v>
      </c>
      <c r="C257" s="2" t="inlineStr">
        <is>
          <t>F</t>
        </is>
      </c>
      <c r="D257" s="2" t="n">
        <v>100</v>
      </c>
      <c r="E257" s="4">
        <f>HYPERLINK("./Results/DLO\20190201_1.2.840.113619.2.311.184723799424423551333113502155341585541_304_512_512_\Osteo_Sarco_1.png","RPT")</f>
        <v/>
      </c>
      <c r="F257" s="3" t="n">
        <v>90</v>
      </c>
      <c r="G257" s="3" t="n">
        <v>12</v>
      </c>
      <c r="H257" s="6" t="n">
        <v>26.72</v>
      </c>
      <c r="I257" t="inlineStr">
        <is>
          <t>Revolution CT</t>
        </is>
      </c>
      <c r="J257" t="inlineStr">
        <is>
          <t>ABD 2.5mm</t>
        </is>
      </c>
    </row>
    <row r="258">
      <c r="A258" s="2" t="n">
        <v>9686852</v>
      </c>
      <c r="B258" s="2" t="n">
        <v>45</v>
      </c>
      <c r="C258" s="2" t="inlineStr">
        <is>
          <t>M</t>
        </is>
      </c>
      <c r="D258" s="2" t="n">
        <v>100</v>
      </c>
      <c r="E258" s="4">
        <f>HYPERLINK("./Results/DLO\20190501_1.3.12.2.1107.5.1.4.65253.30000019052819441403100046063_2_512_512_\Osteo_Sarco_1.png","RPT")</f>
        <v/>
      </c>
      <c r="F258" s="3" t="n">
        <v>183</v>
      </c>
      <c r="G258" s="3" t="n">
        <v>6</v>
      </c>
      <c r="H258" s="6" t="n">
        <v>25.91</v>
      </c>
      <c r="I258" t="inlineStr">
        <is>
          <t>SOMATOM Definition AS</t>
        </is>
      </c>
      <c r="J258" t="inlineStr">
        <is>
          <t>Pre Contrast 3.0 B30f</t>
        </is>
      </c>
    </row>
    <row r="259">
      <c r="A259" s="2" t="n">
        <v>9555807</v>
      </c>
      <c r="B259" s="2" t="n">
        <v>45</v>
      </c>
      <c r="C259" s="2" t="inlineStr">
        <is>
          <t>M</t>
        </is>
      </c>
      <c r="D259" s="2" t="n">
        <v>100</v>
      </c>
      <c r="E259" s="4">
        <f>HYPERLINK("./Results/DLO\20190101_1.2.840.113619.2.416.128011958102112953196995400122806811442_301_512_512_\Osteo_Sarco_1.png","RPT")</f>
        <v/>
      </c>
      <c r="F259" s="3" t="n">
        <v>178</v>
      </c>
      <c r="G259" s="3" t="n">
        <v>7</v>
      </c>
      <c r="H259" s="7" t="n"/>
      <c r="I259" t="inlineStr">
        <is>
          <t>Revolution CT</t>
        </is>
      </c>
      <c r="J259" t="inlineStr">
        <is>
          <t>ARTERY</t>
        </is>
      </c>
    </row>
    <row r="260">
      <c r="A260" s="2" t="n">
        <v>8739567</v>
      </c>
      <c r="B260" s="2" t="n">
        <v>45</v>
      </c>
      <c r="C260" s="2" t="inlineStr">
        <is>
          <t>M</t>
        </is>
      </c>
      <c r="D260" s="2" t="n">
        <v>100</v>
      </c>
      <c r="E260" s="4">
        <f>HYPERLINK("./Results/DLO\20180601_1.2.840.113619.2.311.301204161635447080948195724374405802513_304_512_512_\Osteo_Sarco_1.png","RPT")</f>
        <v/>
      </c>
      <c r="F260" s="3" t="n">
        <v>177</v>
      </c>
      <c r="G260" s="3" t="n">
        <v>15</v>
      </c>
      <c r="H260" s="7" t="n"/>
      <c r="I260" t="inlineStr">
        <is>
          <t>Revolution CT</t>
        </is>
      </c>
      <c r="J260" t="inlineStr">
        <is>
          <t>ABD 2.5mm</t>
        </is>
      </c>
    </row>
    <row r="261">
      <c r="A261" s="2" t="n">
        <v>3034034</v>
      </c>
      <c r="B261" s="2" t="n">
        <v>45</v>
      </c>
      <c r="C261" s="2" t="inlineStr">
        <is>
          <t>F</t>
        </is>
      </c>
      <c r="D261" s="2" t="n">
        <v>100</v>
      </c>
      <c r="E261" s="4">
        <f>HYPERLINK("./Results/DLO\20181101_1.2.840.113619.2.311.32425720505839138894584100906657209289_304_512_512_\Osteo_Sarco_1.png","RPT")</f>
        <v/>
      </c>
      <c r="F261" s="3" t="n">
        <v>164</v>
      </c>
      <c r="G261" s="3" t="n">
        <v>9</v>
      </c>
      <c r="H261" s="7" t="n"/>
      <c r="I261" t="inlineStr">
        <is>
          <t>Revolution CT</t>
        </is>
      </c>
      <c r="J261" t="inlineStr">
        <is>
          <t>ABD 2.5mm</t>
        </is>
      </c>
    </row>
    <row r="262">
      <c r="A262" s="2" t="n">
        <v>9004300</v>
      </c>
      <c r="B262" s="2" t="n">
        <v>45</v>
      </c>
      <c r="C262" s="2" t="inlineStr">
        <is>
          <t>M</t>
        </is>
      </c>
      <c r="D262" s="2" t="n">
        <v>100</v>
      </c>
      <c r="E262" s="4">
        <f>HYPERLINK("./Results/DLO\20190301_1.3.46.670589.33.1.63687383580471656400001.4950214717612475876_301_512_512_\Osteo_Sarco_1.png","RPT")</f>
        <v/>
      </c>
      <c r="F262" s="3" t="n">
        <v>162</v>
      </c>
      <c r="G262" s="3" t="n">
        <v>9</v>
      </c>
      <c r="H262" s="7" t="n"/>
      <c r="I262" t="inlineStr">
        <is>
          <t>Ingenuity Core 128</t>
        </is>
      </c>
      <c r="J262" t="inlineStr">
        <is>
          <t>Post 3mm, iDose (3)</t>
        </is>
      </c>
    </row>
    <row r="263">
      <c r="A263" s="2" t="n">
        <v>9764072</v>
      </c>
      <c r="B263" s="2" t="n">
        <v>45</v>
      </c>
      <c r="C263" s="2" t="inlineStr">
        <is>
          <t>M</t>
        </is>
      </c>
      <c r="D263" s="2" t="n">
        <v>100</v>
      </c>
      <c r="E263" s="4">
        <f>HYPERLINK("./Results/DLO\20191101_1.3.12.2.1107.5.1.4.65253.30000019112020361423300057062_3_512_512_\Osteo_Sarco_1.png","RPT")</f>
        <v/>
      </c>
      <c r="F263" s="3" t="n">
        <v>159</v>
      </c>
      <c r="G263" s="3" t="n">
        <v>4</v>
      </c>
      <c r="H263" s="7" t="n"/>
      <c r="I263" t="inlineStr">
        <is>
          <t>SOMATOM Definition AS</t>
        </is>
      </c>
      <c r="J263" t="inlineStr">
        <is>
          <t>ABD Contrast 3.0 B30f</t>
        </is>
      </c>
    </row>
    <row r="264">
      <c r="A264" s="2" t="n">
        <v>6738589</v>
      </c>
      <c r="B264" s="2" t="n">
        <v>45</v>
      </c>
      <c r="C264" s="2" t="inlineStr">
        <is>
          <t>M</t>
        </is>
      </c>
      <c r="D264" s="2" t="n">
        <v>100</v>
      </c>
      <c r="E264" s="4">
        <f>HYPERLINK("./Results/DLO\20180701_1.2.840.113619.2.416.132832867594440207606905996284403795127_2_512_512_\Osteo_Sarco_1.png","RPT")</f>
        <v/>
      </c>
      <c r="F264" s="3" t="n">
        <v>157</v>
      </c>
      <c r="G264" s="3" t="n">
        <v>13</v>
      </c>
      <c r="H264" s="7" t="n"/>
      <c r="I264" t="inlineStr">
        <is>
          <t>Revolution CT</t>
        </is>
      </c>
      <c r="J264" t="inlineStr">
        <is>
          <t>Pre</t>
        </is>
      </c>
    </row>
    <row r="265">
      <c r="A265" s="2" t="n">
        <v>2789490</v>
      </c>
      <c r="B265" s="2" t="n">
        <v>45</v>
      </c>
      <c r="C265" s="2" t="inlineStr">
        <is>
          <t>M</t>
        </is>
      </c>
      <c r="D265" s="2" t="n">
        <v>100</v>
      </c>
      <c r="E265" s="4">
        <f>HYPERLINK("./Results/DLO\20180801_1.3.12.2.1107.5.1.4.54310.30000018082323592635900008218_2_512_512_\Osteo_Sarco_1.png","RPT")</f>
        <v/>
      </c>
      <c r="F265" s="3" t="n">
        <v>155</v>
      </c>
      <c r="G265" s="3" t="n">
        <v>6</v>
      </c>
      <c r="H265" s="7" t="n"/>
      <c r="I265" t="inlineStr">
        <is>
          <t>Sensation 64</t>
        </is>
      </c>
      <c r="J265" t="inlineStr">
        <is>
          <t>With Contrast 3.0 B30f</t>
        </is>
      </c>
    </row>
    <row r="266">
      <c r="A266" s="2" t="n">
        <v>2734911</v>
      </c>
      <c r="B266" s="2" t="n">
        <v>45</v>
      </c>
      <c r="C266" s="2" t="inlineStr">
        <is>
          <t>M</t>
        </is>
      </c>
      <c r="D266" s="2" t="n">
        <v>100</v>
      </c>
      <c r="E266" s="4">
        <f>HYPERLINK("./Results/DLO\20180701_1.3.12.2.1107.5.1.4.65253.30000018071221203865800049723_2_512_512_\Osteo_Sarco_1.png","RPT")</f>
        <v/>
      </c>
      <c r="F266" s="3" t="n">
        <v>144</v>
      </c>
      <c r="G266" s="3" t="n">
        <v>3</v>
      </c>
      <c r="H266" s="7" t="n"/>
      <c r="I266" t="inlineStr">
        <is>
          <t>SOMATOM Definition AS</t>
        </is>
      </c>
      <c r="J266" t="inlineStr">
        <is>
          <t>Pre 3.0 B30f</t>
        </is>
      </c>
    </row>
    <row r="267">
      <c r="A267" s="2" t="n">
        <v>5248719</v>
      </c>
      <c r="B267" s="2" t="n">
        <v>45</v>
      </c>
      <c r="C267" s="2" t="inlineStr">
        <is>
          <t>M</t>
        </is>
      </c>
      <c r="D267" s="2" t="n">
        <v>100</v>
      </c>
      <c r="E267" s="4">
        <f>HYPERLINK("./Results/DLO\20200501_1.3.12.2.1107.5.1.4.54310.30000020051422075267100021739_5_512_512_\Osteo_Sarco_1.png","RPT")</f>
        <v/>
      </c>
      <c r="F267" s="3" t="n">
        <v>140</v>
      </c>
      <c r="G267" s="3" t="n">
        <v>6</v>
      </c>
      <c r="H267" s="6" t="n">
        <v>24.74</v>
      </c>
      <c r="I267" t="inlineStr">
        <is>
          <t>Sensation 64</t>
        </is>
      </c>
      <c r="J267" t="inlineStr">
        <is>
          <t>Arterial 3.0 B30f</t>
        </is>
      </c>
    </row>
    <row r="268">
      <c r="A268" s="2" t="n">
        <v>9092368</v>
      </c>
      <c r="B268" s="2" t="n">
        <v>45</v>
      </c>
      <c r="C268" s="2" t="inlineStr">
        <is>
          <t>F</t>
        </is>
      </c>
      <c r="D268" s="2" t="n">
        <v>100</v>
      </c>
      <c r="E268" s="4">
        <f>HYPERLINK("./Results/DLO\20190701_1.3.12.2.1107.5.1.4.54310.30000019071823200842100039597_2_512_512_\Osteo_Sarco_1.png","RPT")</f>
        <v/>
      </c>
      <c r="F268" s="3" t="n">
        <v>131</v>
      </c>
      <c r="G268" s="3" t="n">
        <v>8</v>
      </c>
      <c r="H268" s="7" t="n"/>
      <c r="I268" t="inlineStr">
        <is>
          <t>Sensation 64</t>
        </is>
      </c>
      <c r="J268" t="inlineStr">
        <is>
          <t>Pre Contrast 3.0 B30f</t>
        </is>
      </c>
    </row>
    <row r="269">
      <c r="A269" s="2" t="n">
        <v>5835682</v>
      </c>
      <c r="B269" s="2" t="n">
        <v>45</v>
      </c>
      <c r="C269" s="2" t="inlineStr">
        <is>
          <t>F</t>
        </is>
      </c>
      <c r="D269" s="2" t="n">
        <v>100</v>
      </c>
      <c r="E269" s="4">
        <f>HYPERLINK("./Results/DLO\20180501_1.2.840.113619.2.311.113916069892555171909266573913539461725_305_512_512_\Osteo_Sarco_1.png","RPT")</f>
        <v/>
      </c>
      <c r="F269" s="3" t="n">
        <v>128</v>
      </c>
      <c r="G269" s="3" t="n">
        <v>11</v>
      </c>
      <c r="H269" s="7" t="n"/>
      <c r="I269" t="inlineStr">
        <is>
          <t>Revolution CT</t>
        </is>
      </c>
      <c r="J269" t="inlineStr">
        <is>
          <t>ABD 2.5mm</t>
        </is>
      </c>
    </row>
    <row r="270">
      <c r="A270" s="2" t="n">
        <v>9424249</v>
      </c>
      <c r="B270" s="2" t="n">
        <v>45</v>
      </c>
      <c r="C270" s="2" t="inlineStr">
        <is>
          <t>F</t>
        </is>
      </c>
      <c r="D270" s="2" t="n">
        <v>100</v>
      </c>
      <c r="E270" s="4">
        <f>HYPERLINK("./Results/DLO\20180801_1.2.840.113619.2.311.190273225759436619182068126857805940586_304_512_512_\Osteo_Sarco_1.png","RPT")</f>
        <v/>
      </c>
      <c r="F270" s="3" t="n">
        <v>119</v>
      </c>
      <c r="G270" s="3" t="n">
        <v>6</v>
      </c>
      <c r="H270" s="7" t="n"/>
      <c r="I270" t="inlineStr">
        <is>
          <t>Revolution CT</t>
        </is>
      </c>
      <c r="J270" t="inlineStr">
        <is>
          <t>ABD 2.5mm</t>
        </is>
      </c>
    </row>
    <row r="271">
      <c r="A271" s="2" t="n">
        <v>8761043</v>
      </c>
      <c r="B271" s="2" t="n">
        <v>45</v>
      </c>
      <c r="C271" s="2" t="inlineStr">
        <is>
          <t>M</t>
        </is>
      </c>
      <c r="D271" s="2" t="n">
        <v>100</v>
      </c>
      <c r="E271" s="4">
        <f>HYPERLINK("./Results/DLO\20190701_1.3.12.2.1107.5.1.4.65253.30000019063017391722700073408_6_512_512_\Osteo_Sarco_1.png","RPT")</f>
        <v/>
      </c>
      <c r="F271" s="3" t="n">
        <v>119</v>
      </c>
      <c r="G271" s="3" t="n">
        <v>6</v>
      </c>
      <c r="H271" s="7" t="n"/>
      <c r="I271" t="inlineStr">
        <is>
          <t>SOMATOM Definition AS</t>
        </is>
      </c>
      <c r="J271" t="inlineStr">
        <is>
          <t>Portal Phase 3.0 B30f</t>
        </is>
      </c>
    </row>
    <row r="272">
      <c r="A272" s="2" t="n">
        <v>8854832</v>
      </c>
      <c r="B272" s="2" t="n">
        <v>45</v>
      </c>
      <c r="C272" s="2" t="inlineStr">
        <is>
          <t>F</t>
        </is>
      </c>
      <c r="D272" s="2" t="n">
        <v>100</v>
      </c>
      <c r="E272" s="4">
        <f>HYPERLINK("./Results/DLO\20180101_1.2.840.113619.2.416.229968991239876933948846467981894090828_304_512_512_\Osteo_Sarco_1.png","RPT")</f>
        <v/>
      </c>
      <c r="F272" s="3" t="n">
        <v>114</v>
      </c>
      <c r="G272" s="3" t="n">
        <v>7</v>
      </c>
      <c r="H272" s="7" t="n"/>
      <c r="I272" t="inlineStr">
        <is>
          <t>Revolution CT</t>
        </is>
      </c>
      <c r="J272" t="inlineStr">
        <is>
          <t>ABD 2.5mm</t>
        </is>
      </c>
    </row>
    <row r="273">
      <c r="A273" s="2" t="n">
        <v>9016733</v>
      </c>
      <c r="B273" s="2" t="n">
        <v>45</v>
      </c>
      <c r="C273" s="2" t="inlineStr">
        <is>
          <t>F</t>
        </is>
      </c>
      <c r="D273" s="2" t="n">
        <v>100</v>
      </c>
      <c r="E273" s="4">
        <f>HYPERLINK("./Results/DLO\20180401_1.2.840.113619.2.94.485650834948.2.8798029.19029189.1_2_512_512_\Osteo_Sarco_1.png","RPT")</f>
        <v/>
      </c>
      <c r="F273" s="3" t="n">
        <v>113</v>
      </c>
      <c r="G273" s="3" t="n">
        <v>12</v>
      </c>
      <c r="H273" s="7" t="n"/>
      <c r="I273" t="inlineStr">
        <is>
          <t>SOMATOM Definition AS</t>
        </is>
      </c>
      <c r="J273" t="inlineStr">
        <is>
          <t>With Contrast 3.0 B30f</t>
        </is>
      </c>
    </row>
    <row r="274">
      <c r="A274" s="2" t="n">
        <v>9840327</v>
      </c>
      <c r="B274" s="2" t="n">
        <v>45</v>
      </c>
      <c r="C274" s="2" t="inlineStr">
        <is>
          <t>F</t>
        </is>
      </c>
      <c r="D274" s="2" t="n">
        <v>100</v>
      </c>
      <c r="E274" s="4">
        <f>HYPERLINK("./Results/DLO\20191101_1.2.840.113619.2.416.165932418533477488080651505982937581186_310_512_512_\Osteo_Sarco_1.png","RPT")</f>
        <v/>
      </c>
      <c r="F274" s="3" t="n">
        <v>113</v>
      </c>
      <c r="G274" s="3" t="n">
        <v>11</v>
      </c>
      <c r="H274" s="7" t="n"/>
      <c r="I274" t="inlineStr">
        <is>
          <t>Revolution CT</t>
        </is>
      </c>
      <c r="J274" t="inlineStr">
        <is>
          <t>ABD</t>
        </is>
      </c>
    </row>
    <row r="275">
      <c r="A275" s="2" t="n">
        <v>1467360</v>
      </c>
      <c r="B275" s="2" t="n">
        <v>45</v>
      </c>
      <c r="C275" s="2" t="inlineStr">
        <is>
          <t>F</t>
        </is>
      </c>
      <c r="D275" s="2" t="n">
        <v>100</v>
      </c>
      <c r="E275" s="4">
        <f>HYPERLINK("./Results/DLO\20191101_1.3.12.2.1107.5.1.4.54310.30000019112723035667100028528_10_512_512_\Osteo_Sarco_1.png","RPT")</f>
        <v/>
      </c>
      <c r="F275" s="3" t="n">
        <v>113</v>
      </c>
      <c r="G275" s="3" t="n">
        <v>5</v>
      </c>
      <c r="H275" s="7" t="n"/>
      <c r="I275" t="inlineStr">
        <is>
          <t>Sensation 64</t>
        </is>
      </c>
      <c r="J275" t="inlineStr">
        <is>
          <t>ABD 3mm B30f</t>
        </is>
      </c>
    </row>
    <row r="276">
      <c r="A276" s="2" t="n">
        <v>2592031</v>
      </c>
      <c r="B276" s="2" t="n">
        <v>45</v>
      </c>
      <c r="C276" s="2" t="inlineStr">
        <is>
          <t>F</t>
        </is>
      </c>
      <c r="D276" s="2" t="n">
        <v>100</v>
      </c>
      <c r="E276" s="4">
        <f>HYPERLINK("./Results/DLO\20180301_1.3.12.2.1107.5.1.4.65253.30000018030417255907500116724_2_512_512_\Osteo_Sarco_1.png","RPT")</f>
        <v/>
      </c>
      <c r="F276" s="3" t="n">
        <v>110</v>
      </c>
      <c r="G276" s="3" t="n">
        <v>7</v>
      </c>
      <c r="H276" s="7" t="n"/>
      <c r="I276" t="inlineStr">
        <is>
          <t>SOMATOM Definition AS</t>
        </is>
      </c>
      <c r="J276" t="inlineStr">
        <is>
          <t>W/O Contrast 2.0 B30f</t>
        </is>
      </c>
    </row>
    <row r="277">
      <c r="A277" s="2" t="n">
        <v>9851504</v>
      </c>
      <c r="B277" s="2" t="n">
        <v>45</v>
      </c>
      <c r="C277" s="2" t="inlineStr">
        <is>
          <t>F</t>
        </is>
      </c>
      <c r="D277" s="2" t="n">
        <v>100</v>
      </c>
      <c r="E277" s="4">
        <f>HYPERLINK("./Results/DLO\20191101_1.2.840.113619.2.416.248011718704473119366885865136332055559_310_512_512_\Osteo_Sarco_1.png","RPT")</f>
        <v/>
      </c>
      <c r="F277" s="3" t="n">
        <v>109</v>
      </c>
      <c r="G277" s="3" t="n">
        <v>9</v>
      </c>
      <c r="H277" s="7" t="n"/>
      <c r="I277" t="inlineStr">
        <is>
          <t>Revolution CT</t>
        </is>
      </c>
      <c r="J277" t="inlineStr">
        <is>
          <t>ABD</t>
        </is>
      </c>
    </row>
    <row r="278">
      <c r="A278" s="2" t="n">
        <v>8899338</v>
      </c>
      <c r="B278" s="2" t="n">
        <v>45</v>
      </c>
      <c r="C278" s="2" t="inlineStr">
        <is>
          <t>F</t>
        </is>
      </c>
      <c r="D278" s="2" t="n">
        <v>100</v>
      </c>
      <c r="E278" s="4">
        <f>HYPERLINK("./Results/DLO\20190501_1.2.840.113619.2.416.5869769159055386654244652174849346774_310_512_512_\Osteo_Sarco_1.png","RPT")</f>
        <v/>
      </c>
      <c r="F278" s="3" t="n">
        <v>104</v>
      </c>
      <c r="G278" s="3" t="n">
        <v>8</v>
      </c>
      <c r="H278" s="7" t="n"/>
      <c r="I278" t="inlineStr">
        <is>
          <t>Revolution CT</t>
        </is>
      </c>
      <c r="J278" t="inlineStr">
        <is>
          <t>ABD</t>
        </is>
      </c>
    </row>
    <row r="279">
      <c r="A279" s="2" t="n">
        <v>6739278</v>
      </c>
      <c r="B279" s="2" t="n">
        <v>45</v>
      </c>
      <c r="C279" s="2" t="inlineStr">
        <is>
          <t>F</t>
        </is>
      </c>
      <c r="D279" s="2" t="n">
        <v>100</v>
      </c>
      <c r="E279" s="4">
        <f>HYPERLINK("./Results/DLO\20190101_1.2.840.113619.2.416.68895366909351846896844835579701744577_304_512_512_\Osteo_Sarco_1.png","RPT")</f>
        <v/>
      </c>
      <c r="F279" s="3" t="n">
        <v>103</v>
      </c>
      <c r="G279" s="3" t="n">
        <v>9</v>
      </c>
      <c r="H279" s="7" t="n"/>
      <c r="I279" t="inlineStr">
        <is>
          <t>Revolution CT</t>
        </is>
      </c>
      <c r="J279" t="inlineStr">
        <is>
          <t>ABD 2.5mm</t>
        </is>
      </c>
    </row>
    <row r="280">
      <c r="A280" s="2" t="n">
        <v>8514943</v>
      </c>
      <c r="B280" s="2" t="n">
        <v>45</v>
      </c>
      <c r="C280" s="2" t="inlineStr">
        <is>
          <t>F</t>
        </is>
      </c>
      <c r="D280" s="2" t="n">
        <v>100</v>
      </c>
      <c r="E280" s="4">
        <f>HYPERLINK("./Results/DLO\20190101_1.3.12.2.1107.5.1.4.65253.30000019012720315968700072856_2_512_512_\Osteo_Sarco_1.png","RPT")</f>
        <v/>
      </c>
      <c r="F280" s="3" t="n">
        <v>103</v>
      </c>
      <c r="G280" s="3" t="n">
        <v>5</v>
      </c>
      <c r="H280" s="7" t="n"/>
      <c r="I280" t="inlineStr">
        <is>
          <t>SOMATOM Definition AS</t>
        </is>
      </c>
      <c r="J280" t="inlineStr">
        <is>
          <t>Pre Contrast 3.0 B30f</t>
        </is>
      </c>
    </row>
    <row r="281">
      <c r="A281" s="2" t="n">
        <v>9784614</v>
      </c>
      <c r="B281" s="2" t="n">
        <v>45</v>
      </c>
      <c r="C281" s="2" t="inlineStr">
        <is>
          <t>F</t>
        </is>
      </c>
      <c r="D281" s="2" t="n">
        <v>100</v>
      </c>
      <c r="E281" s="4">
        <f>HYPERLINK("./Results/DLO\20190901_1.2.840.113619.2.416.88516085353270368408171170585876511757_310_512_512_\Osteo_Sarco_1.png","RPT")</f>
        <v/>
      </c>
      <c r="F281" s="3" t="n">
        <v>102</v>
      </c>
      <c r="G281" s="3" t="n">
        <v>7</v>
      </c>
      <c r="H281" s="7" t="n"/>
      <c r="I281" t="inlineStr">
        <is>
          <t>Revolution CT</t>
        </is>
      </c>
      <c r="J281" t="inlineStr">
        <is>
          <t>ABD</t>
        </is>
      </c>
    </row>
    <row r="282">
      <c r="A282" s="2" t="n">
        <v>5886195</v>
      </c>
      <c r="B282" s="2" t="n">
        <v>45</v>
      </c>
      <c r="C282" s="2" t="inlineStr">
        <is>
          <t>F</t>
        </is>
      </c>
      <c r="D282" s="2" t="n">
        <v>100</v>
      </c>
      <c r="E282" s="4">
        <f>HYPERLINK("./Results/DLO\20180301_1.3.12.2.1107.5.1.4.54310.30000018031923074687500008667_2_512_512_\Osteo_Sarco_1.png","RPT")</f>
        <v/>
      </c>
      <c r="F282" s="3" t="n">
        <v>101</v>
      </c>
      <c r="G282" s="3" t="n">
        <v>2</v>
      </c>
      <c r="H282" s="7" t="n"/>
      <c r="I282" t="inlineStr">
        <is>
          <t>Sensation 64</t>
        </is>
      </c>
      <c r="J282" t="inlineStr">
        <is>
          <t>With Contrast 3.0 B30f</t>
        </is>
      </c>
    </row>
    <row r="283">
      <c r="A283" s="2" t="n">
        <v>5514392</v>
      </c>
      <c r="B283" s="2" t="n">
        <v>46</v>
      </c>
      <c r="C283" s="2" t="inlineStr">
        <is>
          <t>F</t>
        </is>
      </c>
      <c r="D283" s="2" t="n">
        <v>100</v>
      </c>
      <c r="E283" s="4">
        <f>HYPERLINK("./Results/DLO\20190901_1.3.46.670589.33.1.63703272508775964200001.4646191461343754137_201_512_512_\Osteo_Sarco_1.png","RPT")</f>
        <v/>
      </c>
      <c r="F283" s="3" t="n">
        <v>98</v>
      </c>
      <c r="G283" s="3" t="n">
        <v>7</v>
      </c>
      <c r="H283" s="7" t="n"/>
      <c r="I283" t="inlineStr">
        <is>
          <t>Ingenuity Core 128</t>
        </is>
      </c>
      <c r="J283" t="inlineStr">
        <is>
          <t>Post 3mm, iDose (3)</t>
        </is>
      </c>
    </row>
    <row r="284">
      <c r="A284" s="2" t="n">
        <v>6742172</v>
      </c>
      <c r="B284" s="2" t="n">
        <v>46</v>
      </c>
      <c r="C284" s="2" t="inlineStr">
        <is>
          <t>F</t>
        </is>
      </c>
      <c r="D284" s="2" t="n">
        <v>100</v>
      </c>
      <c r="E284" s="4">
        <f>HYPERLINK("./Results/DLO\20180501_1.3.12.2.1107.5.1.4.54310.30000018050123303617100010399_2_512_512_\Osteo_Sarco_1.png","RPT")</f>
        <v/>
      </c>
      <c r="F284" s="3" t="n">
        <v>96</v>
      </c>
      <c r="G284" s="3" t="n">
        <v>11</v>
      </c>
      <c r="H284" s="6" t="n">
        <v>27.41</v>
      </c>
      <c r="I284" t="inlineStr">
        <is>
          <t>Sensation 64</t>
        </is>
      </c>
      <c r="J284" t="inlineStr">
        <is>
          <t>With Contrast 3.0 B30f</t>
        </is>
      </c>
    </row>
    <row r="285">
      <c r="A285" s="2" t="n">
        <v>9424286</v>
      </c>
      <c r="B285" s="2" t="n">
        <v>46</v>
      </c>
      <c r="C285" s="2" t="inlineStr">
        <is>
          <t>F</t>
        </is>
      </c>
      <c r="D285" s="2" t="n">
        <v>100</v>
      </c>
      <c r="E285" s="4">
        <f>HYPERLINK("./Results/DLO\20180801_1.3.12.2.1107.5.1.4.54310.30000018082900102528100005093_2_512_512_\Osteo_Sarco_1.png","RPT")</f>
        <v/>
      </c>
      <c r="F285" s="3" t="n">
        <v>96</v>
      </c>
      <c r="G285" s="3" t="n">
        <v>9</v>
      </c>
      <c r="H285" s="7" t="n"/>
      <c r="I285" t="inlineStr">
        <is>
          <t>Sensation 64</t>
        </is>
      </c>
      <c r="J285" t="inlineStr">
        <is>
          <t>With Contrast 3.0 B30f</t>
        </is>
      </c>
    </row>
    <row r="286">
      <c r="A286" s="2" t="n">
        <v>9872556</v>
      </c>
      <c r="B286" s="2" t="n">
        <v>46</v>
      </c>
      <c r="C286" s="2" t="inlineStr">
        <is>
          <t>F</t>
        </is>
      </c>
      <c r="D286" s="2" t="n">
        <v>100</v>
      </c>
      <c r="E286" s="4">
        <f>HYPERLINK("./Results/DLO\20191201_1.2.840.113619.2.416.23644531757178331350921016499397019825_310_512_512_\Osteo_Sarco_1.png","RPT")</f>
        <v/>
      </c>
      <c r="F286" s="3" t="n">
        <v>93</v>
      </c>
      <c r="G286" s="3" t="n">
        <v>7</v>
      </c>
      <c r="H286" s="7" t="n"/>
      <c r="I286" t="inlineStr">
        <is>
          <t>Revolution CT</t>
        </is>
      </c>
      <c r="J286" t="inlineStr">
        <is>
          <t>ABD</t>
        </is>
      </c>
    </row>
    <row r="287">
      <c r="A287" s="2" t="n">
        <v>9432613</v>
      </c>
      <c r="B287" s="2" t="n">
        <v>46</v>
      </c>
      <c r="C287" s="2" t="inlineStr">
        <is>
          <t>F</t>
        </is>
      </c>
      <c r="D287" s="2" t="n">
        <v>100</v>
      </c>
      <c r="E287" s="4">
        <f>HYPERLINK("./Results/DLO\20180901_1.3.46.670589.33.1.63672782676705680400001.5686538560351112000_201_512_512_\Osteo_Sarco_1.png","RPT")</f>
        <v/>
      </c>
      <c r="F287" s="3" t="n">
        <v>92</v>
      </c>
      <c r="G287" s="3" t="n">
        <v>8</v>
      </c>
      <c r="H287" s="7" t="n"/>
      <c r="I287" t="inlineStr">
        <is>
          <t>Ingenuity Core 128</t>
        </is>
      </c>
      <c r="J287" t="inlineStr">
        <is>
          <t>Post 100/236 i3, iDose (3)</t>
        </is>
      </c>
    </row>
    <row r="288">
      <c r="A288" s="2" t="n">
        <v>815427</v>
      </c>
      <c r="B288" s="2" t="n">
        <v>46</v>
      </c>
      <c r="C288" s="2" t="inlineStr">
        <is>
          <t>M</t>
        </is>
      </c>
      <c r="D288" s="2" t="n">
        <v>100</v>
      </c>
      <c r="E288" s="4">
        <f>HYPERLINK("./Results/DLO\20191201_1.3.12.2.1107.5.1.4.54310.30000019120522423939000050112_6_512_512_\Osteo_Sarco_1.png","RPT")</f>
        <v/>
      </c>
      <c r="F288" s="3" t="n">
        <v>201</v>
      </c>
      <c r="G288" s="3" t="n">
        <v>6</v>
      </c>
      <c r="H288" s="7" t="n"/>
      <c r="I288" t="inlineStr">
        <is>
          <t>Sensation 64</t>
        </is>
      </c>
      <c r="J288" t="inlineStr">
        <is>
          <t>Portal 3.0 B30f</t>
        </is>
      </c>
    </row>
    <row r="289">
      <c r="A289" s="2" t="n">
        <v>9716824</v>
      </c>
      <c r="B289" s="2" t="n">
        <v>46</v>
      </c>
      <c r="C289" s="2" t="inlineStr">
        <is>
          <t>M</t>
        </is>
      </c>
      <c r="D289" s="2" t="n">
        <v>100</v>
      </c>
      <c r="E289" s="4">
        <f>HYPERLINK("./Results/DLO\20200301_1.3.12.2.1107.5.1.4.54310.30000020030222261332800004015_3_512_512_\Osteo_Sarco_1.png","RPT")</f>
        <v/>
      </c>
      <c r="F289" s="3" t="n">
        <v>187</v>
      </c>
      <c r="G289" s="3" t="n">
        <v>9</v>
      </c>
      <c r="H289" s="7" t="n"/>
      <c r="I289" t="inlineStr">
        <is>
          <t>Sensation 64</t>
        </is>
      </c>
      <c r="J289" t="inlineStr">
        <is>
          <t>With Contrast 3.0 B30f</t>
        </is>
      </c>
    </row>
    <row r="290">
      <c r="A290" s="2" t="n">
        <v>3643638</v>
      </c>
      <c r="B290" s="2" t="n">
        <v>46</v>
      </c>
      <c r="C290" s="2" t="inlineStr">
        <is>
          <t>M</t>
        </is>
      </c>
      <c r="D290" s="2" t="n">
        <v>100</v>
      </c>
      <c r="E290" s="4">
        <f>HYPERLINK("./Results/DLO\20181101_1.3.12.2.1107.5.1.4.65253.30000018112619122137500066066_2_512_512_\Osteo_Sarco_1.png","RPT")</f>
        <v/>
      </c>
      <c r="F290" s="3" t="n">
        <v>173</v>
      </c>
      <c r="G290" s="3" t="n">
        <v>8</v>
      </c>
      <c r="H290" s="7" t="n"/>
      <c r="I290" t="inlineStr">
        <is>
          <t>SOMATOM Definition AS</t>
        </is>
      </c>
      <c r="J290" t="inlineStr">
        <is>
          <t>Pre Contrast 3.0 B30f</t>
        </is>
      </c>
    </row>
    <row r="291">
      <c r="A291" s="2" t="n">
        <v>9825906</v>
      </c>
      <c r="B291" s="2" t="n">
        <v>46</v>
      </c>
      <c r="C291" s="2" t="inlineStr">
        <is>
          <t>M</t>
        </is>
      </c>
      <c r="D291" s="2" t="n">
        <v>100</v>
      </c>
      <c r="E291" s="4">
        <f>HYPERLINK("./Results/DLO\20191101_1.3.46.670589.33.1.63708799100160621400001.4964894487692852412_201_512_512_\Osteo_Sarco_1.png","RPT")</f>
        <v/>
      </c>
      <c r="F291" s="3" t="n">
        <v>153</v>
      </c>
      <c r="G291" s="3" t="n">
        <v>11</v>
      </c>
      <c r="H291" s="7" t="n"/>
      <c r="I291" t="inlineStr">
        <is>
          <t>Ingenuity Core 128</t>
        </is>
      </c>
      <c r="J291" t="inlineStr">
        <is>
          <t>Post 3mm, iDose (3)</t>
        </is>
      </c>
    </row>
    <row r="292">
      <c r="A292" s="2" t="n">
        <v>6737286</v>
      </c>
      <c r="B292" s="2" t="n">
        <v>46</v>
      </c>
      <c r="C292" s="2" t="inlineStr">
        <is>
          <t>F</t>
        </is>
      </c>
      <c r="D292" s="2" t="n">
        <v>100</v>
      </c>
      <c r="E292" s="4">
        <f>HYPERLINK("./Results/DLO\20180201_1.2.840.113619.2.94.485650834948.2.8673182.18721012.1_2_512_512_\Osteo_Sarco_1.png","RPT")</f>
        <v/>
      </c>
      <c r="F292" s="3" t="n">
        <v>135</v>
      </c>
      <c r="G292" s="3" t="n">
        <v>17</v>
      </c>
      <c r="H292" s="7" t="n"/>
      <c r="I292" t="inlineStr">
        <is>
          <t>Sensation 64</t>
        </is>
      </c>
      <c r="J292" t="inlineStr">
        <is>
          <t>With Contrast 3.0 B30f</t>
        </is>
      </c>
    </row>
    <row r="293">
      <c r="A293" s="2" t="n">
        <v>4608389</v>
      </c>
      <c r="B293" s="2" t="n">
        <v>46</v>
      </c>
      <c r="C293" s="2" t="inlineStr">
        <is>
          <t>F</t>
        </is>
      </c>
      <c r="D293" s="2" t="n">
        <v>100</v>
      </c>
      <c r="E293" s="4">
        <f>HYPERLINK("./Results/DLO\20181201_1.2.840.113619.2.311.13370137071130050588560953136988392399_304_512_512_\Osteo_Sarco_1.png","RPT")</f>
        <v/>
      </c>
      <c r="F293" s="3" t="n">
        <v>127</v>
      </c>
      <c r="G293" s="3" t="n">
        <v>8</v>
      </c>
      <c r="H293" s="7" t="n"/>
      <c r="I293" t="inlineStr">
        <is>
          <t>Revolution CT</t>
        </is>
      </c>
      <c r="J293" t="inlineStr">
        <is>
          <t>ABD 2.5mm</t>
        </is>
      </c>
    </row>
    <row r="294">
      <c r="A294" s="2" t="n">
        <v>9516295</v>
      </c>
      <c r="B294" s="2" t="n">
        <v>46</v>
      </c>
      <c r="C294" s="2" t="inlineStr">
        <is>
          <t>F</t>
        </is>
      </c>
      <c r="D294" s="2" t="n">
        <v>100</v>
      </c>
      <c r="E294" s="4">
        <f>HYPERLINK("./Results/DLO\20181201_1.2.840.113619.2.311.37684559473679560544431753667569005994_304_512_512_\Osteo_Sarco_1.png","RPT")</f>
        <v/>
      </c>
      <c r="F294" s="3" t="n">
        <v>123</v>
      </c>
      <c r="G294" s="3" t="n">
        <v>9</v>
      </c>
      <c r="H294" s="7" t="n"/>
      <c r="I294" t="inlineStr">
        <is>
          <t>Revolution CT</t>
        </is>
      </c>
      <c r="J294" t="inlineStr">
        <is>
          <t>ABD 2.5mm</t>
        </is>
      </c>
    </row>
    <row r="295">
      <c r="A295" s="2" t="n">
        <v>9812531</v>
      </c>
      <c r="B295" s="2" t="n">
        <v>46</v>
      </c>
      <c r="C295" s="2" t="inlineStr">
        <is>
          <t>F</t>
        </is>
      </c>
      <c r="D295" s="2" t="n">
        <v>100</v>
      </c>
      <c r="E295" s="4">
        <f>HYPERLINK("./Results/DLO\20191101_1.3.46.670589.33.1.63708562921867970100001.4966688928073187375_301_512_512_\Osteo_Sarco_1.png","RPT")</f>
        <v/>
      </c>
      <c r="F295" s="3" t="n">
        <v>123</v>
      </c>
      <c r="G295" s="3" t="n">
        <v>11</v>
      </c>
      <c r="H295" s="7" t="n"/>
      <c r="I295" t="inlineStr">
        <is>
          <t>Ingenuity Core 128</t>
        </is>
      </c>
      <c r="J295" t="inlineStr">
        <is>
          <t>Post 3mm, iDose (3)</t>
        </is>
      </c>
    </row>
    <row r="296">
      <c r="A296" s="2" t="n">
        <v>9880104</v>
      </c>
      <c r="B296" s="2" t="n">
        <v>46</v>
      </c>
      <c r="C296" s="2" t="inlineStr">
        <is>
          <t>F</t>
        </is>
      </c>
      <c r="D296" s="2" t="n">
        <v>100</v>
      </c>
      <c r="E296" s="4">
        <f>HYPERLINK("./Results/DLO\20181201_1.2.840.113619.2.94.485650834948.2.9255904.20155570.1_2_512_512_\Osteo_Sarco_1.png","RPT")</f>
        <v/>
      </c>
      <c r="F296" s="3" t="n">
        <v>122</v>
      </c>
      <c r="G296" s="3" t="n">
        <v>10</v>
      </c>
      <c r="H296" s="7" t="n"/>
      <c r="I296" t="inlineStr">
        <is>
          <t>Sensation 64</t>
        </is>
      </c>
      <c r="J296" t="inlineStr">
        <is>
          <t>With Contrast 3.0 B30f</t>
        </is>
      </c>
    </row>
    <row r="297">
      <c r="A297" s="2" t="n">
        <v>4358846</v>
      </c>
      <c r="B297" s="2" t="n">
        <v>46</v>
      </c>
      <c r="C297" s="2" t="inlineStr">
        <is>
          <t>F</t>
        </is>
      </c>
      <c r="D297" s="2" t="n">
        <v>100</v>
      </c>
      <c r="E297" s="4">
        <f>HYPERLINK("./Results/DLO\20180101_1.3.46.670589.33.1.63652814660948866300001.5083582921376546742_201_512_512_\Osteo_Sarco_1.png","RPT")</f>
        <v/>
      </c>
      <c r="F297" s="3" t="n">
        <v>121</v>
      </c>
      <c r="G297" s="3" t="n">
        <v>10</v>
      </c>
      <c r="H297" s="7" t="n"/>
      <c r="I297" t="inlineStr">
        <is>
          <t>Ingenuity Core 128</t>
        </is>
      </c>
      <c r="J297" t="inlineStr">
        <is>
          <t>Post 100/236 i3, iDose (3)</t>
        </is>
      </c>
    </row>
    <row r="298">
      <c r="A298" s="2" t="n">
        <v>1771671</v>
      </c>
      <c r="B298" s="2" t="n">
        <v>46</v>
      </c>
      <c r="C298" s="2" t="inlineStr">
        <is>
          <t>F</t>
        </is>
      </c>
      <c r="D298" s="2" t="n">
        <v>100</v>
      </c>
      <c r="E298" s="4">
        <f>HYPERLINK("./Results/DLO\20190601_1.3.12.2.1107.5.1.4.54310.30000019062600375940600037185_2_512_512_\Osteo_Sarco_1.png","RPT")</f>
        <v/>
      </c>
      <c r="F298" s="3" t="n">
        <v>118</v>
      </c>
      <c r="G298" s="3" t="n">
        <v>11</v>
      </c>
      <c r="H298" s="7" t="n"/>
      <c r="I298" t="inlineStr">
        <is>
          <t>Sensation 64</t>
        </is>
      </c>
      <c r="J298" t="inlineStr">
        <is>
          <t>With Contrast 3.0 B30f</t>
        </is>
      </c>
    </row>
    <row r="299">
      <c r="A299" s="2" t="n">
        <v>4187506</v>
      </c>
      <c r="B299" s="2" t="n">
        <v>46</v>
      </c>
      <c r="C299" s="2" t="inlineStr">
        <is>
          <t>F</t>
        </is>
      </c>
      <c r="D299" s="2" t="n">
        <v>100</v>
      </c>
      <c r="E299" s="4">
        <f>HYPERLINK("./Results/DLO\20180401_1.3.12.2.1107.5.1.4.54310.30000018041223200228100007905_2_512_512_\Osteo_Sarco_1.png","RPT")</f>
        <v/>
      </c>
      <c r="F299" s="3" t="n">
        <v>117</v>
      </c>
      <c r="G299" s="3" t="n">
        <v>7</v>
      </c>
      <c r="H299" s="7" t="n"/>
      <c r="I299" t="inlineStr">
        <is>
          <t>Sensation 64</t>
        </is>
      </c>
      <c r="J299" t="inlineStr">
        <is>
          <t>With Contrast 3.0 B30f</t>
        </is>
      </c>
    </row>
    <row r="300">
      <c r="A300" s="2" t="n">
        <v>9779411</v>
      </c>
      <c r="B300" s="2" t="n">
        <v>46</v>
      </c>
      <c r="C300" s="2" t="inlineStr">
        <is>
          <t>F</t>
        </is>
      </c>
      <c r="D300" s="2" t="n">
        <v>100</v>
      </c>
      <c r="E300" s="4">
        <f>HYPERLINK("./Results/DLO\20190901_1.2.840.113619.2.416.328441274030069012663558522874520093759_310_512_512_\Osteo_Sarco_1.png","RPT")</f>
        <v/>
      </c>
      <c r="F300" s="3" t="n">
        <v>117</v>
      </c>
      <c r="G300" s="3" t="n">
        <v>7</v>
      </c>
      <c r="H300" s="7" t="n"/>
      <c r="I300" t="inlineStr">
        <is>
          <t>Revolution CT</t>
        </is>
      </c>
      <c r="J300" t="inlineStr">
        <is>
          <t>ABD</t>
        </is>
      </c>
    </row>
    <row r="301">
      <c r="A301" s="2" t="n">
        <v>4381704</v>
      </c>
      <c r="B301" s="2" t="n">
        <v>46</v>
      </c>
      <c r="C301" s="2" t="inlineStr">
        <is>
          <t>F</t>
        </is>
      </c>
      <c r="D301" s="2" t="n">
        <v>100</v>
      </c>
      <c r="E301" s="4">
        <f>HYPERLINK("./Results/DLO\20180301_1.3.12.2.1107.5.1.4.65253.30000018031818085683600039763_2_512_512_\Osteo_Sarco_1.png","RPT")</f>
        <v/>
      </c>
      <c r="F301" s="3" t="n">
        <v>116</v>
      </c>
      <c r="G301" s="3" t="n">
        <v>9</v>
      </c>
      <c r="H301" s="7" t="n"/>
      <c r="I301" t="inlineStr">
        <is>
          <t>SOMATOM Definition AS</t>
        </is>
      </c>
      <c r="J301" t="inlineStr">
        <is>
          <t>Pre Contrast 3.0 B30f</t>
        </is>
      </c>
    </row>
    <row r="302">
      <c r="A302" s="2" t="n">
        <v>4857611</v>
      </c>
      <c r="B302" s="2" t="n">
        <v>46</v>
      </c>
      <c r="C302" s="2" t="inlineStr">
        <is>
          <t>F</t>
        </is>
      </c>
      <c r="D302" s="2" t="n">
        <v>100</v>
      </c>
      <c r="E302" s="4">
        <f>HYPERLINK("./Results/DLO\20180901_1.3.12.2.1107.5.1.4.65253.30000018091820201604800057869_3_512_512_\Osteo_Sarco_1.png","RPT")</f>
        <v/>
      </c>
      <c r="F302" s="3" t="n">
        <v>116</v>
      </c>
      <c r="G302" s="3" t="n">
        <v>4</v>
      </c>
      <c r="H302" s="7" t="n"/>
      <c r="I302" t="inlineStr">
        <is>
          <t>SOMATOM Definition AS</t>
        </is>
      </c>
      <c r="J302" t="inlineStr">
        <is>
          <t>Post Contrast 3.0 B30f</t>
        </is>
      </c>
    </row>
    <row r="303">
      <c r="A303" s="2" t="n">
        <v>9424229</v>
      </c>
      <c r="B303" s="2" t="n">
        <v>46</v>
      </c>
      <c r="C303" s="2" t="inlineStr">
        <is>
          <t>F</t>
        </is>
      </c>
      <c r="D303" s="2" t="n">
        <v>100</v>
      </c>
      <c r="E303" s="4">
        <f>HYPERLINK("./Results/DLO\20180901_1.2.840.113619.2.311.253947421889818580533693732061585494351_303_512_512_\Osteo_Sarco_1.png","RPT")</f>
        <v/>
      </c>
      <c r="F303" s="3" t="n">
        <v>115</v>
      </c>
      <c r="G303" s="3" t="n">
        <v>9</v>
      </c>
      <c r="H303" s="7" t="n"/>
      <c r="I303" t="inlineStr">
        <is>
          <t>Revolution CT</t>
        </is>
      </c>
      <c r="J303" t="inlineStr">
        <is>
          <t>ABD 2.5mm</t>
        </is>
      </c>
    </row>
    <row r="304">
      <c r="A304" s="2" t="n">
        <v>5029604</v>
      </c>
      <c r="B304" s="2" t="n">
        <v>46</v>
      </c>
      <c r="C304" s="2" t="inlineStr">
        <is>
          <t>F</t>
        </is>
      </c>
      <c r="D304" s="2" t="n">
        <v>100</v>
      </c>
      <c r="E304" s="4">
        <f>HYPERLINK("./Results/DLO\20180201_1.2.840.113619.2.311.253130731215852022183007814808392083244_304_512_512_\Osteo_Sarco_1.png","RPT")</f>
        <v/>
      </c>
      <c r="F304" s="3" t="n">
        <v>114</v>
      </c>
      <c r="G304" s="3" t="n">
        <v>11</v>
      </c>
      <c r="H304" s="6" t="n">
        <v>22.31</v>
      </c>
      <c r="I304" t="inlineStr">
        <is>
          <t>Revolution CT</t>
        </is>
      </c>
      <c r="J304" t="inlineStr">
        <is>
          <t>ABD 2.5mm</t>
        </is>
      </c>
    </row>
    <row r="305">
      <c r="A305" s="2" t="n">
        <v>433117</v>
      </c>
      <c r="B305" s="2" t="n">
        <v>46</v>
      </c>
      <c r="C305" s="2" t="inlineStr">
        <is>
          <t>F</t>
        </is>
      </c>
      <c r="D305" s="2" t="n">
        <v>100</v>
      </c>
      <c r="E305" s="4">
        <f>HYPERLINK("./Results/DLO\20190401_1.2.840.113619.2.311.26506538982352755797309031278517630736_304_512_512_\Osteo_Sarco_1.png","RPT")</f>
        <v/>
      </c>
      <c r="F305" s="3" t="n">
        <v>114</v>
      </c>
      <c r="G305" s="3" t="n">
        <v>7</v>
      </c>
      <c r="H305" s="7" t="n"/>
      <c r="I305" t="inlineStr">
        <is>
          <t>Revolution CT</t>
        </is>
      </c>
      <c r="J305" t="inlineStr">
        <is>
          <t>ABD 2.5mm</t>
        </is>
      </c>
    </row>
    <row r="306">
      <c r="A306" s="2" t="n">
        <v>9923056</v>
      </c>
      <c r="B306" s="2" t="n">
        <v>46</v>
      </c>
      <c r="C306" s="2" t="inlineStr">
        <is>
          <t>F</t>
        </is>
      </c>
      <c r="D306" s="2" t="n">
        <v>100</v>
      </c>
      <c r="E306" s="4">
        <f>HYPERLINK("./Results/DLO\20200201_1.2.840.113619.2.416.228955714513664664403467259697375450164_310_512_512_\Osteo_Sarco_1.png","RPT")</f>
        <v/>
      </c>
      <c r="F306" s="3" t="n">
        <v>112</v>
      </c>
      <c r="G306" s="3" t="n">
        <v>8</v>
      </c>
      <c r="H306" s="7" t="n"/>
      <c r="I306" t="inlineStr">
        <is>
          <t>Revolution CT</t>
        </is>
      </c>
      <c r="J306" t="inlineStr">
        <is>
          <t>ABD</t>
        </is>
      </c>
    </row>
    <row r="307">
      <c r="A307" s="2" t="n">
        <v>2872377</v>
      </c>
      <c r="B307" s="2" t="n">
        <v>46</v>
      </c>
      <c r="C307" s="2" t="inlineStr">
        <is>
          <t>F</t>
        </is>
      </c>
      <c r="D307" s="2" t="n">
        <v>100</v>
      </c>
      <c r="E307" s="4">
        <f>HYPERLINK("./Results/DLO\20190701_1.3.12.2.1107.5.1.4.54310.30000019070822255218700042972_2_512_512_\Osteo_Sarco_1.png","RPT")</f>
        <v/>
      </c>
      <c r="F307" s="3" t="n">
        <v>110</v>
      </c>
      <c r="G307" s="3" t="n">
        <v>7</v>
      </c>
      <c r="H307" s="7" t="n"/>
      <c r="I307" t="inlineStr">
        <is>
          <t>Sensation 64</t>
        </is>
      </c>
      <c r="J307" t="inlineStr">
        <is>
          <t>With Contrast 3.0 B30f</t>
        </is>
      </c>
    </row>
    <row r="308">
      <c r="A308" s="2" t="n">
        <v>6171801</v>
      </c>
      <c r="B308" s="2" t="n">
        <v>46</v>
      </c>
      <c r="C308" s="2" t="inlineStr">
        <is>
          <t>F</t>
        </is>
      </c>
      <c r="D308" s="2" t="n">
        <v>100</v>
      </c>
      <c r="E308" s="4">
        <f>HYPERLINK("./Results/DLO\20181101_1.3.12.2.1107.5.1.4.54310.30000018111423480982800013012_2_512_512_\Osteo_Sarco_1.png","RPT")</f>
        <v/>
      </c>
      <c r="F308" s="3" t="n">
        <v>106</v>
      </c>
      <c r="G308" s="3" t="n">
        <v>10</v>
      </c>
      <c r="H308" s="7" t="n"/>
      <c r="I308" t="inlineStr">
        <is>
          <t>Sensation 64</t>
        </is>
      </c>
      <c r="J308" t="inlineStr">
        <is>
          <t>With Contrast 3.0 B30f</t>
        </is>
      </c>
    </row>
    <row r="309">
      <c r="A309" s="2" t="n">
        <v>9585540</v>
      </c>
      <c r="B309" s="2" t="n">
        <v>46</v>
      </c>
      <c r="C309" s="2" t="inlineStr">
        <is>
          <t>F</t>
        </is>
      </c>
      <c r="D309" s="2" t="n">
        <v>100</v>
      </c>
      <c r="E309" s="4">
        <f>HYPERLINK("./Results/DLO\20190301_1.3.46.670589.33.1.63687979410845965200001.5390124499395492939_701_512_512_\Osteo_Sarco_1.png","RPT")</f>
        <v/>
      </c>
      <c r="F309" s="3" t="n">
        <v>102</v>
      </c>
      <c r="G309" s="3" t="n">
        <v>11</v>
      </c>
      <c r="H309" s="7" t="n"/>
      <c r="I309" t="inlineStr">
        <is>
          <t>Ingenuity Core 128</t>
        </is>
      </c>
      <c r="J309" t="inlineStr">
        <is>
          <t>Post 3mm, iDose (3)</t>
        </is>
      </c>
    </row>
    <row r="310">
      <c r="A310" s="2" t="n">
        <v>9822683</v>
      </c>
      <c r="B310" s="2" t="n">
        <v>46</v>
      </c>
      <c r="C310" s="2" t="inlineStr">
        <is>
          <t>F</t>
        </is>
      </c>
      <c r="D310" s="2" t="n">
        <v>100</v>
      </c>
      <c r="E310" s="4">
        <f>HYPERLINK("./Results/DLO\20191001_1.3.12.2.1107.5.1.4.65253.30000019101821091323300045886_3_512_512_\Osteo_Sarco_1.png","RPT")</f>
        <v/>
      </c>
      <c r="F310" s="3" t="n">
        <v>101</v>
      </c>
      <c r="G310" s="3" t="n">
        <v>6</v>
      </c>
      <c r="H310" s="7" t="n"/>
      <c r="I310" t="inlineStr">
        <is>
          <t>SOMATOM Definition AS</t>
        </is>
      </c>
      <c r="J310" t="inlineStr">
        <is>
          <t>With Contrast 3.0 B30f</t>
        </is>
      </c>
    </row>
    <row r="311">
      <c r="A311" s="2" t="n">
        <v>8750626</v>
      </c>
      <c r="B311" s="2" t="n">
        <v>46</v>
      </c>
      <c r="C311" s="2" t="inlineStr">
        <is>
          <t>F</t>
        </is>
      </c>
      <c r="D311" s="2" t="n">
        <v>100</v>
      </c>
      <c r="E311" s="4">
        <f>HYPERLINK("./Results/DLO\20180601_1.3.46.670589.33.1.63665862631157178300001.5448766104246184902_301_512_512_\Osteo_Sarco_1.png","RPT")</f>
        <v/>
      </c>
      <c r="F311" s="3" t="n">
        <v>100</v>
      </c>
      <c r="G311" s="3" t="n">
        <v>6</v>
      </c>
      <c r="H311" s="7" t="n"/>
      <c r="I311" t="inlineStr">
        <is>
          <t>Ingenuity Core 128</t>
        </is>
      </c>
      <c r="J311" t="inlineStr">
        <is>
          <t>Post 100/236 i3, iDose (3)</t>
        </is>
      </c>
    </row>
    <row r="312">
      <c r="A312" s="2" t="n">
        <v>4636602</v>
      </c>
      <c r="B312" s="2" t="n">
        <v>46</v>
      </c>
      <c r="C312" s="2" t="inlineStr">
        <is>
          <t>F</t>
        </is>
      </c>
      <c r="D312" s="2" t="n">
        <v>100</v>
      </c>
      <c r="E312" s="4">
        <f>HYPERLINK("./Results/DLO\20180801_1.3.12.2.1107.5.1.4.65253.30000018080619082202800002380_2_512_512_\Osteo_Sarco_1.png","RPT")</f>
        <v/>
      </c>
      <c r="F312" s="3" t="n">
        <v>100</v>
      </c>
      <c r="G312" s="3" t="n">
        <v>3</v>
      </c>
      <c r="H312" s="7" t="n"/>
      <c r="I312" t="inlineStr">
        <is>
          <t>SOMATOM Definition AS</t>
        </is>
      </c>
      <c r="J312" t="inlineStr">
        <is>
          <t>With Contrast 3.0 B30f</t>
        </is>
      </c>
    </row>
    <row r="313">
      <c r="A313" s="2" t="n">
        <v>9493244</v>
      </c>
      <c r="B313" s="2" t="n">
        <v>46</v>
      </c>
      <c r="C313" s="2" t="inlineStr">
        <is>
          <t>F</t>
        </is>
      </c>
      <c r="D313" s="2" t="n">
        <v>100</v>
      </c>
      <c r="E313" s="4">
        <f>HYPERLINK("./Results/DLO\20181001_1.2.840.113619.2.311.152955756853914909637151572926174080909_304_512_512_\Osteo_Sarco_1.png","RPT")</f>
        <v/>
      </c>
      <c r="F313" s="3" t="n">
        <v>100</v>
      </c>
      <c r="G313" s="3" t="n">
        <v>9</v>
      </c>
      <c r="H313" s="7" t="n"/>
      <c r="I313" t="inlineStr">
        <is>
          <t>Revolution CT</t>
        </is>
      </c>
      <c r="J313" t="inlineStr">
        <is>
          <t>ABD 2.5mm</t>
        </is>
      </c>
    </row>
    <row r="314">
      <c r="A314" s="2" t="n">
        <v>8272351</v>
      </c>
      <c r="B314" s="2" t="n">
        <v>46</v>
      </c>
      <c r="C314" s="2" t="inlineStr">
        <is>
          <t>F</t>
        </is>
      </c>
      <c r="D314" s="2" t="n">
        <v>100</v>
      </c>
      <c r="E314" s="4">
        <f>HYPERLINK("./Results/DLO\20190701_1.3.12.2.1107.5.1.4.54310.30000019071823200842100017918_7_512_512_\Osteo_Sarco_1.png","RPT")</f>
        <v/>
      </c>
      <c r="F314" s="3" t="n">
        <v>100</v>
      </c>
      <c r="G314" s="3" t="n">
        <v>7</v>
      </c>
      <c r="H314" s="7" t="n"/>
      <c r="I314" t="inlineStr">
        <is>
          <t>Sensation 64</t>
        </is>
      </c>
      <c r="J314" t="inlineStr">
        <is>
          <t>ABD Contrast 3.0 B30f</t>
        </is>
      </c>
    </row>
    <row r="315">
      <c r="A315" s="2" t="n">
        <v>9947689</v>
      </c>
      <c r="B315" s="2" t="n">
        <v>47</v>
      </c>
      <c r="C315" s="2" t="inlineStr">
        <is>
          <t>F</t>
        </is>
      </c>
      <c r="D315" s="2" t="n">
        <v>100</v>
      </c>
      <c r="E315" s="4">
        <f>HYPERLINK("./Results/DLO\20200301_1.2.840.113619.2.416.88285016837279560571059547900548487123_310_512_512_\Osteo_Sarco_1.png","RPT")</f>
        <v/>
      </c>
      <c r="F315" s="3" t="n">
        <v>99</v>
      </c>
      <c r="G315" s="3" t="n">
        <v>7</v>
      </c>
      <c r="H315" s="7" t="n"/>
      <c r="I315" t="inlineStr">
        <is>
          <t>Revolution CT</t>
        </is>
      </c>
      <c r="J315" t="inlineStr">
        <is>
          <t>ABD</t>
        </is>
      </c>
    </row>
    <row r="316">
      <c r="A316" s="2" t="n">
        <v>4012068</v>
      </c>
      <c r="B316" s="2" t="n">
        <v>47</v>
      </c>
      <c r="C316" s="2" t="inlineStr">
        <is>
          <t>F</t>
        </is>
      </c>
      <c r="D316" s="2" t="n">
        <v>100</v>
      </c>
      <c r="E316" s="4">
        <f>HYPERLINK("./Results/DLO\20180601_1.2.840.113619.2.416.30244528561925762485613859994038199001_303_512_512_\Osteo_Sarco_1.png","RPT")</f>
        <v/>
      </c>
      <c r="F316" s="3" t="n">
        <v>98</v>
      </c>
      <c r="G316" s="3" t="n">
        <v>8</v>
      </c>
      <c r="H316" s="7" t="n"/>
      <c r="I316" t="inlineStr">
        <is>
          <t>Revolution CT</t>
        </is>
      </c>
      <c r="J316" t="inlineStr">
        <is>
          <t>ABD 2.5mm</t>
        </is>
      </c>
    </row>
    <row r="317">
      <c r="A317" s="2" t="n">
        <v>4514311</v>
      </c>
      <c r="B317" s="2" t="n">
        <v>47</v>
      </c>
      <c r="C317" s="2" t="inlineStr">
        <is>
          <t>F</t>
        </is>
      </c>
      <c r="D317" s="2" t="n">
        <v>100</v>
      </c>
      <c r="E317" s="4">
        <f>HYPERLINK("./Results/DLO\20180701_1.3.12.2.1107.5.1.4.54310.30000018070500061709300004179_2_512_512_\Osteo_Sarco_1.png","RPT")</f>
        <v/>
      </c>
      <c r="F317" s="3" t="n">
        <v>97</v>
      </c>
      <c r="G317" s="3" t="n">
        <v>6</v>
      </c>
      <c r="H317" s="7" t="n"/>
      <c r="I317" t="inlineStr">
        <is>
          <t>Sensation 64</t>
        </is>
      </c>
      <c r="J317" t="inlineStr">
        <is>
          <t>With Contrast 3.0 B30f</t>
        </is>
      </c>
    </row>
    <row r="318">
      <c r="A318" s="2" t="n">
        <v>1327057</v>
      </c>
      <c r="B318" s="2" t="n">
        <v>47</v>
      </c>
      <c r="C318" s="2" t="inlineStr">
        <is>
          <t>F</t>
        </is>
      </c>
      <c r="D318" s="2" t="n">
        <v>100</v>
      </c>
      <c r="E318" s="4">
        <f>HYPERLINK("./Results/DLO\20180701_1.3.12.2.1107.5.1.4.54310.30000018072223435926500008301_2_512_512_\Osteo_Sarco_1.png","RPT")</f>
        <v/>
      </c>
      <c r="F318" s="3" t="n">
        <v>97</v>
      </c>
      <c r="G318" s="3" t="n">
        <v>7</v>
      </c>
      <c r="H318" s="7" t="n"/>
      <c r="I318" t="inlineStr">
        <is>
          <t>Sensation 64</t>
        </is>
      </c>
      <c r="J318" t="inlineStr">
        <is>
          <t>With Contrast 3.0 B30f</t>
        </is>
      </c>
    </row>
    <row r="319">
      <c r="A319" s="2" t="n">
        <v>6079571</v>
      </c>
      <c r="B319" s="2" t="n">
        <v>47</v>
      </c>
      <c r="C319" s="2" t="inlineStr">
        <is>
          <t>F</t>
        </is>
      </c>
      <c r="D319" s="2" t="n">
        <v>100</v>
      </c>
      <c r="E319" s="4">
        <f>HYPERLINK("./Results/DLO\20180101_1.2.840.113619.2.311.21528194800091104760762889235027494500_304_512_512_\Osteo_Sarco_1.png","RPT")</f>
        <v/>
      </c>
      <c r="F319" s="3" t="n">
        <v>95</v>
      </c>
      <c r="G319" s="3" t="n">
        <v>6</v>
      </c>
      <c r="H319" s="7" t="n"/>
      <c r="I319" t="inlineStr">
        <is>
          <t>Revolution CT</t>
        </is>
      </c>
      <c r="J319" t="inlineStr">
        <is>
          <t>ABD 2.5mm</t>
        </is>
      </c>
    </row>
    <row r="320">
      <c r="A320" s="2" t="n">
        <v>4460889</v>
      </c>
      <c r="B320" s="2" t="n">
        <v>47</v>
      </c>
      <c r="C320" s="2" t="inlineStr">
        <is>
          <t>F</t>
        </is>
      </c>
      <c r="D320" s="2" t="n">
        <v>100</v>
      </c>
      <c r="E320" s="4">
        <f>HYPERLINK("./Results/DLO\20181101_1.3.12.2.1107.5.1.4.54310.30000018112523321832800020517_3_512_512_\Osteo_Sarco_1.png","RPT")</f>
        <v/>
      </c>
      <c r="F320" s="3" t="n">
        <v>95</v>
      </c>
      <c r="G320" s="3" t="n">
        <v>5</v>
      </c>
      <c r="H320" s="7" t="n"/>
      <c r="I320" t="inlineStr">
        <is>
          <t>Sensation 64</t>
        </is>
      </c>
      <c r="J320" t="inlineStr">
        <is>
          <t>Pre Contrast 3.0 B30f</t>
        </is>
      </c>
    </row>
    <row r="321">
      <c r="A321" s="2" t="n">
        <v>5022785</v>
      </c>
      <c r="B321" s="2" t="n">
        <v>47</v>
      </c>
      <c r="C321" s="2" t="inlineStr">
        <is>
          <t>F</t>
        </is>
      </c>
      <c r="D321" s="2" t="n">
        <v>100</v>
      </c>
      <c r="E321" s="4">
        <f>HYPERLINK("./Results/DLO\20181001_1.2.840.113619.2.94.485650834948.2.9120960.19820160.1_2_512_512_\Osteo_Sarco_1.png","RPT")</f>
        <v/>
      </c>
      <c r="F321" s="3" t="n">
        <v>94</v>
      </c>
      <c r="G321" s="3" t="n">
        <v>9</v>
      </c>
      <c r="H321" s="7" t="n"/>
      <c r="I321" t="inlineStr">
        <is>
          <t>Sensation 64</t>
        </is>
      </c>
      <c r="J321" t="inlineStr">
        <is>
          <t>With Contrast 3.0 B30f</t>
        </is>
      </c>
    </row>
    <row r="322">
      <c r="A322" s="2" t="n">
        <v>5021943</v>
      </c>
      <c r="B322" s="2" t="n">
        <v>47</v>
      </c>
      <c r="C322" s="2" t="inlineStr">
        <is>
          <t>F</t>
        </is>
      </c>
      <c r="D322" s="2" t="n">
        <v>100</v>
      </c>
      <c r="E322" s="4">
        <f>HYPERLINK("./Results/DLO\20190101_1.2.840.113619.2.311.138749350682931649135617009852595967613_304_512_512_\Osteo_Sarco_1.png","RPT")</f>
        <v/>
      </c>
      <c r="F322" s="3" t="n">
        <v>94</v>
      </c>
      <c r="G322" s="3" t="n">
        <v>6</v>
      </c>
      <c r="H322" s="7" t="n"/>
      <c r="I322" t="inlineStr">
        <is>
          <t>Revolution CT</t>
        </is>
      </c>
      <c r="J322" t="inlineStr">
        <is>
          <t>ABD 2.5mm</t>
        </is>
      </c>
    </row>
    <row r="323">
      <c r="A323" s="2" t="n">
        <v>8750406</v>
      </c>
      <c r="B323" s="2" t="n">
        <v>47</v>
      </c>
      <c r="C323" s="2" t="inlineStr">
        <is>
          <t>F</t>
        </is>
      </c>
      <c r="D323" s="2" t="n">
        <v>100</v>
      </c>
      <c r="E323" s="4">
        <f>HYPERLINK("./Results/DLO\20190801_1.3.12.2.1107.5.1.4.65253.30000019082618565141200000000_2_512_512_\Osteo_Sarco_1.png","RPT")</f>
        <v/>
      </c>
      <c r="F323" s="3" t="n">
        <v>94</v>
      </c>
      <c r="G323" s="3" t="n">
        <v>9</v>
      </c>
      <c r="H323" s="7" t="n"/>
      <c r="I323" t="inlineStr">
        <is>
          <t>SOMATOM Definition AS</t>
        </is>
      </c>
      <c r="J323" t="inlineStr">
        <is>
          <t>Pre Contrast 3.0 B30f</t>
        </is>
      </c>
    </row>
    <row r="324">
      <c r="A324" s="2" t="n">
        <v>9000858</v>
      </c>
      <c r="B324" s="2" t="n">
        <v>47</v>
      </c>
      <c r="C324" s="2" t="inlineStr">
        <is>
          <t>F</t>
        </is>
      </c>
      <c r="D324" s="2" t="n">
        <v>100</v>
      </c>
      <c r="E324" s="4">
        <f>HYPERLINK("./Results/DLO\20180401_1.2.840.113619.2.94.485650834948.2.8742394.18890986.1_2_512_512_\Osteo_Sarco_1.png","RPT")</f>
        <v/>
      </c>
      <c r="F324" s="3" t="n">
        <v>93</v>
      </c>
      <c r="G324" s="3" t="n">
        <v>6</v>
      </c>
      <c r="H324" s="7" t="n"/>
      <c r="I324" t="inlineStr">
        <is>
          <t>Sensation 64</t>
        </is>
      </c>
      <c r="J324" t="inlineStr">
        <is>
          <t>With Contrast 3.0 B30f</t>
        </is>
      </c>
    </row>
    <row r="325">
      <c r="A325" s="2" t="n">
        <v>6080996</v>
      </c>
      <c r="B325" s="2" t="n">
        <v>47</v>
      </c>
      <c r="C325" s="2" t="inlineStr">
        <is>
          <t>F</t>
        </is>
      </c>
      <c r="D325" s="2" t="n">
        <v>100</v>
      </c>
      <c r="E325" s="4">
        <f>HYPERLINK("./Results/DLO\20190101_1.3.46.670589.33.1.63683146337613939100001.5414092647621515893_201_512_512_\Osteo_Sarco_1.png","RPT")</f>
        <v/>
      </c>
      <c r="F325" s="3" t="n">
        <v>91</v>
      </c>
      <c r="G325" s="3" t="n">
        <v>7</v>
      </c>
      <c r="H325" s="7" t="n"/>
      <c r="I325" t="inlineStr">
        <is>
          <t>Ingenuity Core 128</t>
        </is>
      </c>
      <c r="J325" t="inlineStr">
        <is>
          <t>Post 3mm, iDose (3)</t>
        </is>
      </c>
    </row>
    <row r="326">
      <c r="A326" s="2" t="n">
        <v>8863808</v>
      </c>
      <c r="B326" s="2" t="n">
        <v>47</v>
      </c>
      <c r="C326" s="2" t="inlineStr">
        <is>
          <t>F</t>
        </is>
      </c>
      <c r="D326" s="2" t="n">
        <v>100</v>
      </c>
      <c r="E326" s="4">
        <f>HYPERLINK("./Results/DLO\20180301_1.3.12.2.1107.5.1.4.54310.30000018030823112768700042239_3_512_512_\Osteo_Sarco_1.png","RPT")</f>
        <v/>
      </c>
      <c r="F326" s="3" t="n">
        <v>89</v>
      </c>
      <c r="G326" s="3" t="n">
        <v>3</v>
      </c>
      <c r="H326" s="7" t="n"/>
      <c r="I326" t="inlineStr">
        <is>
          <t>Sensation 64</t>
        </is>
      </c>
      <c r="J326" t="inlineStr">
        <is>
          <t>Pre Contrast 3.0 B30f</t>
        </is>
      </c>
    </row>
    <row r="327">
      <c r="A327" s="2" t="n">
        <v>3611386</v>
      </c>
      <c r="B327" s="2" t="n">
        <v>47</v>
      </c>
      <c r="C327" s="2" t="inlineStr">
        <is>
          <t>F</t>
        </is>
      </c>
      <c r="D327" s="2" t="n">
        <v>100</v>
      </c>
      <c r="E327" s="4">
        <f>HYPERLINK("./Results/DLO\20180201_1.3.12.2.1107.5.1.4.65253.30000018020421032633900001443_2_512_512_\Osteo_Sarco_1.png","RPT")</f>
        <v/>
      </c>
      <c r="F327" s="3" t="n">
        <v>88</v>
      </c>
      <c r="G327" s="3" t="n">
        <v>6</v>
      </c>
      <c r="H327" s="7" t="n"/>
      <c r="I327" t="inlineStr">
        <is>
          <t>SOMATOM Definition AS</t>
        </is>
      </c>
      <c r="J327" t="inlineStr">
        <is>
          <t>With Contrast 3.0 B40f</t>
        </is>
      </c>
    </row>
    <row r="328">
      <c r="A328" s="2" t="n">
        <v>8845486</v>
      </c>
      <c r="B328" s="2" t="n">
        <v>47</v>
      </c>
      <c r="C328" s="2" t="inlineStr">
        <is>
          <t>F</t>
        </is>
      </c>
      <c r="D328" s="2" t="n">
        <v>100</v>
      </c>
      <c r="E328" s="4">
        <f>HYPERLINK("./Results/DLO\20200201_1.2.840.113619.2.416.8819417141873090346840289471935599682_310_512_512_\Osteo_Sarco_1.png","RPT")</f>
        <v/>
      </c>
      <c r="F328" s="3" t="n">
        <v>87</v>
      </c>
      <c r="G328" s="3" t="n">
        <v>12</v>
      </c>
      <c r="H328" s="7" t="n"/>
      <c r="I328" t="inlineStr">
        <is>
          <t>Revolution CT</t>
        </is>
      </c>
      <c r="J328" t="inlineStr">
        <is>
          <t>ABD</t>
        </is>
      </c>
    </row>
    <row r="329">
      <c r="A329" s="2" t="n">
        <v>8554328</v>
      </c>
      <c r="B329" s="2" t="n">
        <v>47</v>
      </c>
      <c r="C329" s="2" t="inlineStr">
        <is>
          <t>F</t>
        </is>
      </c>
      <c r="D329" s="2" t="n">
        <v>100</v>
      </c>
      <c r="E329" s="4">
        <f>HYPERLINK("./Results/DLO\20180901_1.3.46.670589.33.1.63672866437905217400001.5135467606401945970_201_512_512_\Osteo_Sarco_1.png","RPT")</f>
        <v/>
      </c>
      <c r="F329" s="3" t="n">
        <v>84</v>
      </c>
      <c r="G329" s="3" t="n">
        <v>6</v>
      </c>
      <c r="H329" s="7" t="n"/>
      <c r="I329" t="inlineStr">
        <is>
          <t>Ingenuity Core 128</t>
        </is>
      </c>
      <c r="J329" t="inlineStr">
        <is>
          <t>Pre 100/107 i4, iDose (4)</t>
        </is>
      </c>
    </row>
    <row r="330">
      <c r="A330" s="2" t="n">
        <v>6067989</v>
      </c>
      <c r="B330" s="2" t="n">
        <v>47</v>
      </c>
      <c r="C330" s="2" t="inlineStr">
        <is>
          <t>F</t>
        </is>
      </c>
      <c r="D330" s="2" t="n">
        <v>100</v>
      </c>
      <c r="E330" s="4">
        <f>HYPERLINK("./Results/DLO\20190101_1.3.46.670589.33.1.63683405600928727100001.4648874522015349782_301_512_512_\Osteo_Sarco_1.png","RPT")</f>
        <v/>
      </c>
      <c r="F330" s="3" t="n">
        <v>62</v>
      </c>
      <c r="G330" s="3" t="n">
        <v>1</v>
      </c>
      <c r="H330" s="7" t="n"/>
      <c r="I330" t="inlineStr">
        <is>
          <t>Ingenuity Core 128</t>
        </is>
      </c>
      <c r="J330" t="inlineStr">
        <is>
          <t>Post 3mm, iDose (3)</t>
        </is>
      </c>
    </row>
    <row r="331">
      <c r="A331" s="2" t="n">
        <v>5902720</v>
      </c>
      <c r="B331" s="2" t="n">
        <v>47</v>
      </c>
      <c r="C331" s="2" t="inlineStr">
        <is>
          <t>M</t>
        </is>
      </c>
      <c r="D331" s="2" t="n">
        <v>100</v>
      </c>
      <c r="E331" s="4">
        <f>HYPERLINK("./Results/DLO\20181001_1.3.46.670589.33.1.63676494379901643600001.4794688774296578796_201_512_512_\Osteo_Sarco_1.png","RPT")</f>
        <v/>
      </c>
      <c r="F331" s="3" t="n">
        <v>195</v>
      </c>
      <c r="G331" s="3" t="n">
        <v>10</v>
      </c>
      <c r="H331" s="7" t="n"/>
      <c r="I331" t="inlineStr">
        <is>
          <t>Ingenuity Core 128</t>
        </is>
      </c>
      <c r="J331" t="inlineStr">
        <is>
          <t>Post 100/236 i3, iDose (3)</t>
        </is>
      </c>
    </row>
    <row r="332">
      <c r="A332" s="2" t="n">
        <v>3262421</v>
      </c>
      <c r="B332" s="2" t="n">
        <v>47</v>
      </c>
      <c r="C332" s="2" t="inlineStr">
        <is>
          <t>M</t>
        </is>
      </c>
      <c r="D332" s="2" t="n">
        <v>100</v>
      </c>
      <c r="E332" s="4">
        <f>HYPERLINK("./Results/DLO\20180601_1.3.46.670589.33.1.63663441489181914500001.5125021702768735109_201_512_512_\Osteo_Sarco_1.png","RPT")</f>
        <v/>
      </c>
      <c r="F332" s="3" t="n">
        <v>172</v>
      </c>
      <c r="G332" s="3" t="n">
        <v>9</v>
      </c>
      <c r="H332" s="7" t="n"/>
      <c r="I332" t="inlineStr">
        <is>
          <t>Ingenuity Core 128</t>
        </is>
      </c>
      <c r="J332" t="inlineStr">
        <is>
          <t>Post 100/236 i3, iDose (3)</t>
        </is>
      </c>
    </row>
    <row r="333">
      <c r="A333" s="2" t="n">
        <v>8559520</v>
      </c>
      <c r="B333" s="2" t="n">
        <v>47</v>
      </c>
      <c r="C333" s="2" t="inlineStr">
        <is>
          <t>M</t>
        </is>
      </c>
      <c r="D333" s="2" t="n">
        <v>100</v>
      </c>
      <c r="E333" s="4">
        <f>HYPERLINK("./Results/DLO\20180101_1.3.46.670589.33.1.63652298455058578300001.4943837783408758428_201_512_512_\Osteo_Sarco_1.png","RPT")</f>
        <v/>
      </c>
      <c r="F333" s="3" t="n">
        <v>149</v>
      </c>
      <c r="G333" s="3" t="n">
        <v>11</v>
      </c>
      <c r="H333" s="7" t="n"/>
      <c r="I333" t="inlineStr">
        <is>
          <t>Ingenuity Core 128</t>
        </is>
      </c>
      <c r="J333" t="inlineStr">
        <is>
          <t>Post 100/236 i3, iDose (3)</t>
        </is>
      </c>
    </row>
    <row r="334">
      <c r="A334" s="2" t="n">
        <v>1718562</v>
      </c>
      <c r="B334" s="2" t="n">
        <v>47</v>
      </c>
      <c r="C334" s="2" t="inlineStr">
        <is>
          <t>M</t>
        </is>
      </c>
      <c r="D334" s="2" t="n">
        <v>100</v>
      </c>
      <c r="E334" s="4">
        <f>HYPERLINK("./Results/DLO\20180101_1.3.12.2.1107.5.1.4.54310.30000018010223094192100023871_3_512_512_\Osteo_Sarco_1.png","RPT")</f>
        <v/>
      </c>
      <c r="F334" s="3" t="n">
        <v>142</v>
      </c>
      <c r="G334" s="3" t="n">
        <v>6</v>
      </c>
      <c r="H334" s="6" t="n">
        <v>23.84</v>
      </c>
      <c r="I334" t="inlineStr">
        <is>
          <t>Sensation 64</t>
        </is>
      </c>
      <c r="J334" t="inlineStr">
        <is>
          <t>Pre Contrast 3.0 B30f</t>
        </is>
      </c>
    </row>
    <row r="335">
      <c r="A335" s="2" t="n">
        <v>2995487</v>
      </c>
      <c r="B335" s="2" t="n">
        <v>47</v>
      </c>
      <c r="C335" s="2" t="inlineStr">
        <is>
          <t>M</t>
        </is>
      </c>
      <c r="D335" s="2" t="n">
        <v>100</v>
      </c>
      <c r="E335" s="4">
        <f>HYPERLINK("./Results/DLO\20180501_1.3.12.2.1107.5.1.4.54310.30000018052423121998400058215_3_512_512_\Osteo_Sarco_1.png","RPT")</f>
        <v/>
      </c>
      <c r="F335" s="3" t="n">
        <v>136</v>
      </c>
      <c r="G335" s="3" t="n">
        <v>9</v>
      </c>
      <c r="H335" s="7" t="n"/>
      <c r="I335" t="inlineStr">
        <is>
          <t>Sensation 64</t>
        </is>
      </c>
      <c r="J335" t="inlineStr">
        <is>
          <t>Pre Contrast 3.0 B30f</t>
        </is>
      </c>
    </row>
    <row r="336">
      <c r="A336" s="2" t="n">
        <v>6737229</v>
      </c>
      <c r="B336" s="2" t="n">
        <v>47</v>
      </c>
      <c r="C336" s="2" t="inlineStr">
        <is>
          <t>F</t>
        </is>
      </c>
      <c r="D336" s="2" t="n">
        <v>100</v>
      </c>
      <c r="E336" s="4">
        <f>HYPERLINK("./Results/DLO\20180401_1.2.840.113619.2.94.485650834948.2.8758979.18932907.1_2_512_512_\Osteo_Sarco_1.png","RPT")</f>
        <v/>
      </c>
      <c r="F336" s="3" t="n">
        <v>131</v>
      </c>
      <c r="G336" s="3" t="n">
        <v>15</v>
      </c>
      <c r="H336" s="7" t="n"/>
      <c r="I336" t="inlineStr">
        <is>
          <t>Sensation 64</t>
        </is>
      </c>
      <c r="J336" t="inlineStr">
        <is>
          <t>With Contrast 3.0 B30f</t>
        </is>
      </c>
    </row>
    <row r="337">
      <c r="A337" s="2" t="n">
        <v>9685687</v>
      </c>
      <c r="B337" s="2" t="n">
        <v>47</v>
      </c>
      <c r="C337" s="2" t="inlineStr">
        <is>
          <t>F</t>
        </is>
      </c>
      <c r="D337" s="2" t="n">
        <v>100</v>
      </c>
      <c r="E337" s="4">
        <f>HYPERLINK("./Results/DLO\20190501_1.2.840.113619.2.416.195732379996258754631039466069666900768_310_512_512_\Osteo_Sarco_1.png","RPT")</f>
        <v/>
      </c>
      <c r="F337" s="3" t="n">
        <v>131</v>
      </c>
      <c r="G337" s="3" t="n">
        <v>11</v>
      </c>
      <c r="H337" s="7" t="n"/>
      <c r="I337" t="inlineStr">
        <is>
          <t>Revolution CT</t>
        </is>
      </c>
      <c r="J337" t="inlineStr">
        <is>
          <t>ABD</t>
        </is>
      </c>
    </row>
    <row r="338">
      <c r="A338" s="2" t="n">
        <v>6087784</v>
      </c>
      <c r="B338" s="2" t="n">
        <v>47</v>
      </c>
      <c r="C338" s="2" t="inlineStr">
        <is>
          <t>M</t>
        </is>
      </c>
      <c r="D338" s="2" t="n">
        <v>100</v>
      </c>
      <c r="E338" s="4">
        <f>HYPERLINK("./Results/DLO\20181001_1.2.840.113619.2.416.214871423449797270250857648254169835717_302_512_512_\Osteo_Sarco_1.png","RPT")</f>
        <v/>
      </c>
      <c r="F338" s="3" t="n">
        <v>126</v>
      </c>
      <c r="G338" s="3" t="n">
        <v>6</v>
      </c>
      <c r="H338" s="6" t="n">
        <v>24.73</v>
      </c>
      <c r="I338" t="inlineStr">
        <is>
          <t>Revolution CT</t>
        </is>
      </c>
      <c r="J338" t="inlineStr">
        <is>
          <t>PORTAL</t>
        </is>
      </c>
    </row>
    <row r="339">
      <c r="A339" s="2" t="n">
        <v>8399145</v>
      </c>
      <c r="B339" s="2" t="n">
        <v>47</v>
      </c>
      <c r="C339" s="2" t="inlineStr">
        <is>
          <t>F</t>
        </is>
      </c>
      <c r="D339" s="2" t="n">
        <v>100</v>
      </c>
      <c r="E339" s="4">
        <f>HYPERLINK("./Results/DLO\20180201_1.3.12.2.1107.5.1.4.54310.30000018020423031940600000000_2_512_512_\Osteo_Sarco_1.png","RPT")</f>
        <v/>
      </c>
      <c r="F339" s="3" t="n">
        <v>124</v>
      </c>
      <c r="G339" s="3" t="n">
        <v>8</v>
      </c>
      <c r="H339" s="7" t="n"/>
      <c r="I339" t="inlineStr">
        <is>
          <t>Sensation 64</t>
        </is>
      </c>
      <c r="J339" t="inlineStr">
        <is>
          <t>With Contrast 3.0 B30f</t>
        </is>
      </c>
    </row>
    <row r="340">
      <c r="A340" s="2" t="n">
        <v>8323812</v>
      </c>
      <c r="B340" s="2" t="n">
        <v>47</v>
      </c>
      <c r="C340" s="2" t="inlineStr">
        <is>
          <t>F</t>
        </is>
      </c>
      <c r="D340" s="2" t="n">
        <v>100</v>
      </c>
      <c r="E340" s="4">
        <f>HYPERLINK("./Results/DLO\20180101_1.2.840.113619.2.94.485650834948.2.8579239.18492727.1_2_512_512_\Osteo_Sarco_1.png","RPT")</f>
        <v/>
      </c>
      <c r="F340" s="3" t="n">
        <v>120</v>
      </c>
      <c r="G340" s="3" t="n">
        <v>4</v>
      </c>
      <c r="H340" s="7" t="n"/>
      <c r="I340" t="inlineStr">
        <is>
          <t>Sensation 64</t>
        </is>
      </c>
      <c r="J340" t="inlineStr">
        <is>
          <t>With Contrast 3.0 B30f</t>
        </is>
      </c>
    </row>
    <row r="341">
      <c r="A341" s="2" t="n">
        <v>6740186</v>
      </c>
      <c r="B341" s="2" t="n">
        <v>47</v>
      </c>
      <c r="C341" s="2" t="inlineStr">
        <is>
          <t>F</t>
        </is>
      </c>
      <c r="D341" s="2" t="n">
        <v>100</v>
      </c>
      <c r="E341" s="4">
        <f>HYPERLINK("./Results/DLO\20190601_1.3.12.2.1107.5.1.4.54310.30000019060322140368700040596_6_512_512_\Osteo_Sarco_1.png","RPT")</f>
        <v/>
      </c>
      <c r="F341" s="3" t="n">
        <v>116</v>
      </c>
      <c r="G341" s="3" t="n">
        <v>9</v>
      </c>
      <c r="H341" s="7" t="n"/>
      <c r="I341" t="inlineStr">
        <is>
          <t>Sensation 64</t>
        </is>
      </c>
      <c r="J341" t="inlineStr">
        <is>
          <t>ABD Contrast 3.0 B30f</t>
        </is>
      </c>
    </row>
    <row r="342">
      <c r="A342" s="2" t="n">
        <v>9614974</v>
      </c>
      <c r="B342" s="2" t="n">
        <v>47</v>
      </c>
      <c r="C342" s="2" t="inlineStr">
        <is>
          <t>F</t>
        </is>
      </c>
      <c r="D342" s="2" t="n">
        <v>100</v>
      </c>
      <c r="E342" s="4">
        <f>HYPERLINK("./Results/DLO\20190301_1.3.12.2.1107.5.1.4.54310.30000019031223532048400004993_2_512_512_\Osteo_Sarco_1.png","RPT")</f>
        <v/>
      </c>
      <c r="F342" s="3" t="n">
        <v>113</v>
      </c>
      <c r="G342" s="3" t="n">
        <v>12</v>
      </c>
      <c r="H342" s="7" t="n"/>
      <c r="I342" t="inlineStr">
        <is>
          <t>Sensation 64</t>
        </is>
      </c>
      <c r="J342" t="inlineStr">
        <is>
          <t>With Contrast 3.0 B30f</t>
        </is>
      </c>
    </row>
    <row r="343">
      <c r="A343" s="2" t="n">
        <v>9794940</v>
      </c>
      <c r="B343" s="2" t="n">
        <v>47</v>
      </c>
      <c r="C343" s="2" t="inlineStr">
        <is>
          <t>F</t>
        </is>
      </c>
      <c r="D343" s="2" t="n">
        <v>100</v>
      </c>
      <c r="E343" s="4">
        <f>HYPERLINK("./Results/DLO\20190901_1.2.840.113619.2.416.54633350882917600642288650352819709600_310_512_512_\Osteo_Sarco_1.png","RPT")</f>
        <v/>
      </c>
      <c r="F343" s="3" t="n">
        <v>113</v>
      </c>
      <c r="G343" s="3" t="n">
        <v>6</v>
      </c>
      <c r="H343" s="7" t="n"/>
      <c r="I343" t="inlineStr">
        <is>
          <t>Revolution CT</t>
        </is>
      </c>
      <c r="J343" t="inlineStr">
        <is>
          <t>ABD</t>
        </is>
      </c>
    </row>
    <row r="344">
      <c r="A344" s="2" t="n">
        <v>5574614</v>
      </c>
      <c r="B344" s="2" t="n">
        <v>47</v>
      </c>
      <c r="C344" s="2" t="inlineStr">
        <is>
          <t>F</t>
        </is>
      </c>
      <c r="D344" s="2" t="n">
        <v>100</v>
      </c>
      <c r="E344" s="4">
        <f>HYPERLINK("./Results/DLO\20191101_1.3.12.2.1107.5.1.4.54310.30000019111021234665600019513_2_512_512_\Osteo_Sarco_1.png","RPT")</f>
        <v/>
      </c>
      <c r="F344" s="3" t="n">
        <v>113</v>
      </c>
      <c r="G344" s="3" t="n">
        <v>13</v>
      </c>
      <c r="H344" s="7" t="n"/>
      <c r="I344" t="inlineStr">
        <is>
          <t>Sensation 64</t>
        </is>
      </c>
      <c r="J344" t="inlineStr">
        <is>
          <t>With Contrast 3.0 B30f</t>
        </is>
      </c>
    </row>
    <row r="345">
      <c r="A345" s="2" t="n">
        <v>1353459</v>
      </c>
      <c r="B345" s="2" t="n">
        <v>47</v>
      </c>
      <c r="C345" s="2" t="inlineStr">
        <is>
          <t>F</t>
        </is>
      </c>
      <c r="D345" s="2" t="n">
        <v>100</v>
      </c>
      <c r="E345" s="4">
        <f>HYPERLINK("./Results/DLO\20180501_1.2.840.113619.2.416.45396019321690807093773588929348024989_303_512_512_\Osteo_Sarco_1.png","RPT")</f>
        <v/>
      </c>
      <c r="F345" s="3" t="n">
        <v>112</v>
      </c>
      <c r="G345" s="3" t="n">
        <v>7</v>
      </c>
      <c r="H345" s="7" t="n"/>
      <c r="I345" t="inlineStr">
        <is>
          <t>Revolution CT</t>
        </is>
      </c>
      <c r="J345" t="inlineStr">
        <is>
          <t>ABD 2.5mm</t>
        </is>
      </c>
    </row>
    <row r="346">
      <c r="A346" s="2" t="n">
        <v>9619584</v>
      </c>
      <c r="B346" s="2" t="n">
        <v>47</v>
      </c>
      <c r="C346" s="2" t="inlineStr">
        <is>
          <t>F</t>
        </is>
      </c>
      <c r="D346" s="2" t="n">
        <v>100</v>
      </c>
      <c r="E346" s="4">
        <f>HYPERLINK("./Results/DLO\20190301_1.2.840.113619.2.94.485650834948.2.9464393.20685007.1_2_512_512_\Osteo_Sarco_1.png","RPT")</f>
        <v/>
      </c>
      <c r="F346" s="3" t="n">
        <v>112</v>
      </c>
      <c r="G346" s="3" t="n">
        <v>15</v>
      </c>
      <c r="H346" s="7" t="n"/>
      <c r="I346" t="inlineStr">
        <is>
          <t>Sensation 64</t>
        </is>
      </c>
      <c r="J346" t="inlineStr">
        <is>
          <t>With Contrast 3.0 B30f</t>
        </is>
      </c>
    </row>
    <row r="347">
      <c r="A347" s="2" t="n">
        <v>6738102</v>
      </c>
      <c r="B347" s="2" t="n">
        <v>47</v>
      </c>
      <c r="C347" s="2" t="inlineStr">
        <is>
          <t>F</t>
        </is>
      </c>
      <c r="D347" s="2" t="n">
        <v>100</v>
      </c>
      <c r="E347" s="4">
        <f>HYPERLINK("./Results/DLO\20191201_1.2.840.113619.2.416.17609714785436275499230336339276168996_310_512_512_\Osteo_Sarco_1.png","RPT")</f>
        <v/>
      </c>
      <c r="F347" s="3" t="n">
        <v>95</v>
      </c>
      <c r="G347" s="3" t="n">
        <v>7</v>
      </c>
      <c r="H347" s="7" t="n"/>
      <c r="I347" t="inlineStr">
        <is>
          <t>Revolution CT</t>
        </is>
      </c>
      <c r="J347" t="inlineStr">
        <is>
          <t>ABD</t>
        </is>
      </c>
    </row>
    <row r="348">
      <c r="A348" s="2" t="n">
        <v>9540871</v>
      </c>
      <c r="B348" s="2" t="n">
        <v>47</v>
      </c>
      <c r="C348" s="2" t="inlineStr">
        <is>
          <t>F</t>
        </is>
      </c>
      <c r="D348" s="2" t="n">
        <v>100</v>
      </c>
      <c r="E348" s="4">
        <f>HYPERLINK("./Results/DLO\20191001_1.2.840.113619.2.416.326153312104720191872543192337971100485_314_512_512_\Osteo_Sarco_1.png","RPT")</f>
        <v/>
      </c>
      <c r="F348" s="3" t="n">
        <v>107</v>
      </c>
      <c r="G348" s="3" t="n">
        <v>8</v>
      </c>
      <c r="H348" s="7" t="n"/>
      <c r="I348" t="inlineStr">
        <is>
          <t>Revolution CT</t>
        </is>
      </c>
      <c r="J348" t="inlineStr">
        <is>
          <t>ABD</t>
        </is>
      </c>
    </row>
    <row r="349">
      <c r="A349" s="2" t="n">
        <v>8454602</v>
      </c>
      <c r="B349" s="2" t="n">
        <v>47</v>
      </c>
      <c r="C349" s="2" t="inlineStr">
        <is>
          <t>F</t>
        </is>
      </c>
      <c r="D349" s="2" t="n">
        <v>100</v>
      </c>
      <c r="E349" s="4">
        <f>HYPERLINK("./Results/DLO\20180701_1.3.12.2.1107.5.1.4.54310.30000018070523354215600010513_2_512_512_\Osteo_Sarco_1.png","RPT")</f>
        <v/>
      </c>
      <c r="F349" s="3" t="n">
        <v>104</v>
      </c>
      <c r="G349" s="3" t="n">
        <v>6</v>
      </c>
      <c r="H349" s="7" t="n"/>
      <c r="I349" t="inlineStr">
        <is>
          <t>Sensation 64</t>
        </is>
      </c>
      <c r="J349" t="inlineStr">
        <is>
          <t>With Contrast 3.0 B30f</t>
        </is>
      </c>
    </row>
    <row r="350">
      <c r="A350" s="2" t="n">
        <v>9783611</v>
      </c>
      <c r="B350" s="2" t="n">
        <v>47</v>
      </c>
      <c r="C350" s="2" t="inlineStr">
        <is>
          <t>F</t>
        </is>
      </c>
      <c r="D350" s="2" t="n">
        <v>100</v>
      </c>
      <c r="E350" s="4">
        <f>HYPERLINK("./Results/DLO\20190901_1.2.840.113619.2.416.39754929046021605577443328902064442044_310_512_512_\Osteo_Sarco_1.png","RPT")</f>
        <v/>
      </c>
      <c r="F350" s="3" t="n">
        <v>104</v>
      </c>
      <c r="G350" s="3" t="n">
        <v>7</v>
      </c>
      <c r="H350" s="7" t="n"/>
      <c r="I350" t="inlineStr">
        <is>
          <t>Revolution CT</t>
        </is>
      </c>
      <c r="J350" t="inlineStr">
        <is>
          <t>ABD</t>
        </is>
      </c>
    </row>
    <row r="351">
      <c r="A351" s="2" t="n">
        <v>9592946</v>
      </c>
      <c r="B351" s="2" t="n">
        <v>47</v>
      </c>
      <c r="C351" s="2" t="inlineStr">
        <is>
          <t>F</t>
        </is>
      </c>
      <c r="D351" s="2" t="n">
        <v>100</v>
      </c>
      <c r="E351" s="4">
        <f>HYPERLINK("./Results/DLO\20190201_1.2.840.113619.2.416.161385867065672303530446059245426213796_304_512_512_\Osteo_Sarco_1.png","RPT")</f>
        <v/>
      </c>
      <c r="F351" s="3" t="n">
        <v>103</v>
      </c>
      <c r="G351" s="3" t="n">
        <v>7</v>
      </c>
      <c r="H351" s="7" t="n"/>
      <c r="I351" t="inlineStr">
        <is>
          <t>Revolution CT</t>
        </is>
      </c>
      <c r="J351" t="inlineStr">
        <is>
          <t>ABD 2.5mm</t>
        </is>
      </c>
    </row>
    <row r="352">
      <c r="A352" s="2" t="n">
        <v>3228837</v>
      </c>
      <c r="B352" s="2" t="n">
        <v>47</v>
      </c>
      <c r="C352" s="2" t="inlineStr">
        <is>
          <t>F</t>
        </is>
      </c>
      <c r="D352" s="2" t="n">
        <v>100</v>
      </c>
      <c r="E352" s="4">
        <f>HYPERLINK("./Results/DLO\20190901_1.2.840.113619.2.416.332876762818781112004859149585165090121_310_512_512_\Osteo_Sarco_1.png","RPT")</f>
        <v/>
      </c>
      <c r="F352" s="3" t="n">
        <v>103</v>
      </c>
      <c r="G352" s="3" t="n">
        <v>5</v>
      </c>
      <c r="H352" s="7" t="n"/>
      <c r="I352" t="inlineStr">
        <is>
          <t>Revolution CT</t>
        </is>
      </c>
      <c r="J352" t="inlineStr">
        <is>
          <t>ABD</t>
        </is>
      </c>
    </row>
    <row r="353">
      <c r="A353" s="2" t="n">
        <v>9002545</v>
      </c>
      <c r="B353" s="2" t="n">
        <v>47</v>
      </c>
      <c r="C353" s="2" t="inlineStr">
        <is>
          <t>F</t>
        </is>
      </c>
      <c r="D353" s="2" t="n">
        <v>100</v>
      </c>
      <c r="E353" s="4">
        <f>HYPERLINK("./Results/DLO\20200101_1.3.46.670589.33.1.63715198964325611800001.4811360589118981655_201_512_512_\Osteo_Sarco_1.png","RPT")</f>
        <v/>
      </c>
      <c r="F353" s="3" t="n">
        <v>103</v>
      </c>
      <c r="G353" s="3" t="n">
        <v>7</v>
      </c>
      <c r="H353" s="7" t="n"/>
      <c r="I353" t="inlineStr">
        <is>
          <t>Ingenuity Core 128</t>
        </is>
      </c>
      <c r="J353" t="inlineStr">
        <is>
          <t>Post 3mm, iDose (3)</t>
        </is>
      </c>
    </row>
    <row r="354">
      <c r="A354" s="2" t="n">
        <v>5672891</v>
      </c>
      <c r="B354" s="2" t="n">
        <v>47</v>
      </c>
      <c r="C354" s="2" t="inlineStr">
        <is>
          <t>F</t>
        </is>
      </c>
      <c r="D354" s="2" t="n">
        <v>100</v>
      </c>
      <c r="E354" s="4">
        <f>HYPERLINK("./Results/DLO\20200401_1.3.12.2.1107.5.1.4.54310.30000020042022091262500052307_2_512_512_\Osteo_Sarco_1.png","RPT")</f>
        <v/>
      </c>
      <c r="F354" s="3" t="n">
        <v>103</v>
      </c>
      <c r="G354" s="3" t="n">
        <v>6</v>
      </c>
      <c r="H354" s="7" t="n"/>
      <c r="I354" t="inlineStr">
        <is>
          <t>Sensation 64</t>
        </is>
      </c>
      <c r="J354" t="inlineStr">
        <is>
          <t>With Contrast 3.0 B30f</t>
        </is>
      </c>
    </row>
    <row r="355">
      <c r="A355" s="2" t="n">
        <v>3878745</v>
      </c>
      <c r="B355" s="2" t="n">
        <v>47</v>
      </c>
      <c r="C355" s="2" t="inlineStr">
        <is>
          <t>F</t>
        </is>
      </c>
      <c r="D355" s="2" t="n">
        <v>100</v>
      </c>
      <c r="E355" s="4">
        <f>HYPERLINK("./Results/DLO\20190901_1.3.12.2.1107.5.1.4.65253.30000019091819451358900035468_3_512_512_\Osteo_Sarco_1.png","RPT")</f>
        <v/>
      </c>
      <c r="F355" s="3" t="n">
        <v>102</v>
      </c>
      <c r="G355" s="3" t="n">
        <v>4</v>
      </c>
      <c r="H355" s="7" t="n"/>
      <c r="I355" t="inlineStr">
        <is>
          <t>SOMATOM Definition AS</t>
        </is>
      </c>
      <c r="J355" t="inlineStr">
        <is>
          <t>Post Contrast 3.0 B30f</t>
        </is>
      </c>
    </row>
    <row r="356">
      <c r="A356" s="2" t="n">
        <v>6739972</v>
      </c>
      <c r="B356" s="2" t="n">
        <v>47</v>
      </c>
      <c r="C356" s="2" t="inlineStr">
        <is>
          <t>F</t>
        </is>
      </c>
      <c r="D356" s="2" t="n">
        <v>100</v>
      </c>
      <c r="E356" s="4">
        <f>HYPERLINK("./Results/DLO\20180401_1.3.12.2.1107.5.1.4.54310.30000018041523193462500014059_2_512_512_\Osteo_Sarco_1.png","RPT")</f>
        <v/>
      </c>
      <c r="F356" s="3" t="n">
        <v>100</v>
      </c>
      <c r="G356" s="3" t="n">
        <v>6</v>
      </c>
      <c r="H356" s="7" t="n"/>
      <c r="I356" t="inlineStr">
        <is>
          <t>Sensation 64</t>
        </is>
      </c>
      <c r="J356" t="inlineStr">
        <is>
          <t>With Contrast 3.0 B30f</t>
        </is>
      </c>
    </row>
    <row r="357">
      <c r="A357" s="2" t="n">
        <v>5158796</v>
      </c>
      <c r="B357" s="2" t="n">
        <v>48</v>
      </c>
      <c r="C357" s="2" t="inlineStr">
        <is>
          <t>F</t>
        </is>
      </c>
      <c r="D357" s="2" t="n">
        <v>100</v>
      </c>
      <c r="E357" s="4">
        <f>HYPERLINK("./Results/DLO\20180401_1.2.840.113619.2.311.216925137507996477325177123145385037224_304_512_512_\Osteo_Sarco_1.png","RPT")</f>
        <v/>
      </c>
      <c r="F357" s="3" t="n">
        <v>99</v>
      </c>
      <c r="G357" s="3" t="n">
        <v>6</v>
      </c>
      <c r="H357" s="7" t="n"/>
      <c r="I357" t="inlineStr">
        <is>
          <t>Revolution CT</t>
        </is>
      </c>
      <c r="J357" t="inlineStr">
        <is>
          <t>ABD 2.5mm</t>
        </is>
      </c>
    </row>
    <row r="358">
      <c r="A358" s="2" t="n">
        <v>4217930</v>
      </c>
      <c r="B358" s="2" t="n">
        <v>48</v>
      </c>
      <c r="C358" s="2" t="inlineStr">
        <is>
          <t>F</t>
        </is>
      </c>
      <c r="D358" s="2" t="n">
        <v>100</v>
      </c>
      <c r="E358" s="4">
        <f>HYPERLINK("./Results/DLO\20191001_1.2.840.113619.2.416.253804380805114223772171644888773872133_310_512_512_\Osteo_Sarco_1.png","RPT")</f>
        <v/>
      </c>
      <c r="F358" s="3" t="n">
        <v>98</v>
      </c>
      <c r="G358" s="3" t="n">
        <v>7</v>
      </c>
      <c r="H358" s="7" t="n"/>
      <c r="I358" t="inlineStr">
        <is>
          <t>Revolution CT</t>
        </is>
      </c>
      <c r="J358" t="inlineStr">
        <is>
          <t>ABD</t>
        </is>
      </c>
    </row>
    <row r="359">
      <c r="A359" s="2" t="n">
        <v>8873451</v>
      </c>
      <c r="B359" s="2" t="n">
        <v>48</v>
      </c>
      <c r="C359" s="2" t="inlineStr">
        <is>
          <t>F</t>
        </is>
      </c>
      <c r="D359" s="2" t="n">
        <v>100</v>
      </c>
      <c r="E359" s="4">
        <f>HYPERLINK("./Results/DLO\20191001_1.2.840.113619.2.416.28517115324995688419152907112014843856_310_512_512_\Osteo_Sarco_1.png","RPT")</f>
        <v/>
      </c>
      <c r="F359" s="3" t="n">
        <v>97</v>
      </c>
      <c r="G359" s="3" t="n">
        <v>9</v>
      </c>
      <c r="H359" s="7" t="n"/>
      <c r="I359" t="inlineStr">
        <is>
          <t>Revolution CT</t>
        </is>
      </c>
      <c r="J359" t="inlineStr">
        <is>
          <t>ABD</t>
        </is>
      </c>
    </row>
    <row r="360">
      <c r="A360" s="2" t="n">
        <v>9640243</v>
      </c>
      <c r="B360" s="2" t="n">
        <v>48</v>
      </c>
      <c r="C360" s="2" t="inlineStr">
        <is>
          <t>F</t>
        </is>
      </c>
      <c r="D360" s="2" t="n">
        <v>100</v>
      </c>
      <c r="E360" s="4">
        <f>HYPERLINK("./Results/DLO\20190401_1.3.12.2.1107.5.1.4.54310.30000019041623401839000006507_2_512_512_\Osteo_Sarco_1.png","RPT")</f>
        <v/>
      </c>
      <c r="F360" s="3" t="n">
        <v>95</v>
      </c>
      <c r="G360" s="3" t="n">
        <v>7</v>
      </c>
      <c r="H360" s="7" t="n"/>
      <c r="I360" t="inlineStr">
        <is>
          <t>Sensation 64</t>
        </is>
      </c>
      <c r="J360" t="inlineStr">
        <is>
          <t>With Contrast 3.0 B30f</t>
        </is>
      </c>
    </row>
    <row r="361">
      <c r="A361" s="2" t="n">
        <v>5011276</v>
      </c>
      <c r="B361" s="2" t="n">
        <v>48</v>
      </c>
      <c r="C361" s="2" t="inlineStr">
        <is>
          <t>F</t>
        </is>
      </c>
      <c r="D361" s="2" t="n">
        <v>100</v>
      </c>
      <c r="E361" s="4">
        <f>HYPERLINK("./Results/DLO\20180701_1.3.12.2.1107.5.1.4.54310.30000018070300074559300002506_2_512_512_\Osteo_Sarco_1.png","RPT")</f>
        <v/>
      </c>
      <c r="F361" s="3" t="n">
        <v>91</v>
      </c>
      <c r="G361" s="3" t="n">
        <v>4</v>
      </c>
      <c r="H361" s="7" t="n"/>
      <c r="I361" t="inlineStr">
        <is>
          <t>Sensation 64</t>
        </is>
      </c>
      <c r="J361" t="inlineStr">
        <is>
          <t>With Contrast 3.0 B30f</t>
        </is>
      </c>
    </row>
    <row r="362">
      <c r="A362" s="2" t="n">
        <v>9603907</v>
      </c>
      <c r="B362" s="2" t="n">
        <v>48</v>
      </c>
      <c r="C362" s="2" t="inlineStr">
        <is>
          <t>F</t>
        </is>
      </c>
      <c r="D362" s="2" t="n">
        <v>100</v>
      </c>
      <c r="E362" s="4">
        <f>HYPERLINK("./Results/DLO\20190201_1.2.840.113619.2.416.324865513740032703529555246938255617861_2_512_512_\Osteo_Sarco_1.png","RPT")</f>
        <v/>
      </c>
      <c r="F362" s="3" t="n">
        <v>87</v>
      </c>
      <c r="G362" s="3" t="n">
        <v>9</v>
      </c>
      <c r="H362" s="7" t="n"/>
      <c r="I362" t="inlineStr">
        <is>
          <t>Revolution CT</t>
        </is>
      </c>
      <c r="J362" t="inlineStr">
        <is>
          <t>ABD</t>
        </is>
      </c>
    </row>
    <row r="363">
      <c r="A363" s="2" t="n">
        <v>1589698</v>
      </c>
      <c r="B363" s="2" t="n">
        <v>48</v>
      </c>
      <c r="C363" s="2" t="inlineStr">
        <is>
          <t>F</t>
        </is>
      </c>
      <c r="D363" s="2" t="n">
        <v>100</v>
      </c>
      <c r="E363" s="4">
        <f>HYPERLINK("./Results/DLO\20180401_1.3.12.2.1107.5.1.4.54310.30000018040123113548400003843_2_512_512_\Osteo_Sarco_1.png","RPT")</f>
        <v/>
      </c>
      <c r="F363" s="3" t="n">
        <v>87</v>
      </c>
      <c r="G363" s="3" t="n">
        <v>9</v>
      </c>
      <c r="H363" s="7" t="n"/>
      <c r="I363" t="inlineStr">
        <is>
          <t>Sensation 64</t>
        </is>
      </c>
      <c r="J363" t="inlineStr">
        <is>
          <t>With Contrast 3.0 B30f</t>
        </is>
      </c>
    </row>
    <row r="364">
      <c r="A364" s="2" t="n">
        <v>8720477</v>
      </c>
      <c r="B364" s="2" t="n">
        <v>48</v>
      </c>
      <c r="C364" s="2" t="inlineStr">
        <is>
          <t>F</t>
        </is>
      </c>
      <c r="D364" s="2" t="n">
        <v>100</v>
      </c>
      <c r="E364" s="4">
        <f>HYPERLINK("./Results/DLO\20180401_1.2.840.113619.2.311.154966231423548725021229643258439952558_303_512_512_\Osteo_Sarco_1.png","RPT")</f>
        <v/>
      </c>
      <c r="F364" s="3" t="n">
        <v>85</v>
      </c>
      <c r="G364" s="3" t="n">
        <v>6</v>
      </c>
      <c r="H364" s="7" t="n"/>
      <c r="I364" t="inlineStr">
        <is>
          <t>Revolution CT</t>
        </is>
      </c>
      <c r="J364" t="inlineStr">
        <is>
          <t>ABD 2.5mm</t>
        </is>
      </c>
    </row>
    <row r="365">
      <c r="A365" s="2" t="n">
        <v>1616094</v>
      </c>
      <c r="B365" s="2" t="n">
        <v>48</v>
      </c>
      <c r="C365" s="2" t="inlineStr">
        <is>
          <t>F</t>
        </is>
      </c>
      <c r="D365" s="2" t="n">
        <v>100</v>
      </c>
      <c r="E365" s="4">
        <f>HYPERLINK("./Results/DLO\20190901_1.2.840.113619.2.416.303823446491670807226256448480346483909_310_512_512_\Osteo_Sarco_1.png","RPT")</f>
        <v/>
      </c>
      <c r="F365" s="3" t="n">
        <v>81</v>
      </c>
      <c r="G365" s="3" t="n">
        <v>7</v>
      </c>
      <c r="H365" s="7" t="n"/>
      <c r="I365" t="inlineStr">
        <is>
          <t>Revolution CT</t>
        </is>
      </c>
      <c r="J365" t="inlineStr">
        <is>
          <t>ABD</t>
        </is>
      </c>
    </row>
    <row r="366">
      <c r="A366" s="2" t="n">
        <v>8404870</v>
      </c>
      <c r="B366" s="2" t="n">
        <v>48</v>
      </c>
      <c r="C366" s="2" t="inlineStr">
        <is>
          <t>M</t>
        </is>
      </c>
      <c r="D366" s="2" t="n">
        <v>100</v>
      </c>
      <c r="E366" s="4">
        <f>HYPERLINK("./Results/DLO\20191001_1.3.46.670589.33.1.63706127697040791800001.5325952671196259374_201_512_512_\Osteo_Sarco_1.png","RPT")</f>
        <v/>
      </c>
      <c r="F366" s="3" t="n">
        <v>194</v>
      </c>
      <c r="G366" s="3" t="n">
        <v>24</v>
      </c>
      <c r="H366" s="7" t="n"/>
      <c r="I366" t="inlineStr">
        <is>
          <t>Ingenuity Core 128</t>
        </is>
      </c>
      <c r="J366" t="inlineStr">
        <is>
          <t>Post 3mm, iDose (3)</t>
        </is>
      </c>
    </row>
    <row r="367">
      <c r="A367" s="2" t="n">
        <v>8433847</v>
      </c>
      <c r="B367" s="2" t="n">
        <v>48</v>
      </c>
      <c r="C367" s="2" t="inlineStr">
        <is>
          <t>M</t>
        </is>
      </c>
      <c r="D367" s="2" t="n">
        <v>100</v>
      </c>
      <c r="E367" s="4">
        <f>HYPERLINK("./Results/DLO\20180701_1.3.12.2.1107.5.1.4.65253.30000018072021135576000044083_2_512_512_\Osteo_Sarco_1.png","RPT")</f>
        <v/>
      </c>
      <c r="F367" s="3" t="n">
        <v>171</v>
      </c>
      <c r="G367" s="3" t="n">
        <v>14</v>
      </c>
      <c r="H367" s="7" t="n"/>
      <c r="I367" t="inlineStr">
        <is>
          <t>SOMATOM Definition AS</t>
        </is>
      </c>
      <c r="J367" t="inlineStr">
        <is>
          <t>W/O Contrast 2.0 B30f</t>
        </is>
      </c>
    </row>
    <row r="368">
      <c r="A368" s="2" t="n">
        <v>555291</v>
      </c>
      <c r="B368" s="2" t="n">
        <v>48</v>
      </c>
      <c r="C368" s="2" t="inlineStr">
        <is>
          <t>M</t>
        </is>
      </c>
      <c r="D368" s="2" t="n">
        <v>100</v>
      </c>
      <c r="E368" s="4">
        <f>HYPERLINK("./Results/DLO\20190201_1.3.46.670589.33.1.63686001402227561400001.4967443661917989722_201_512_512_\Osteo_Sarco_1.png","RPT")</f>
        <v/>
      </c>
      <c r="F368" s="3" t="n">
        <v>169</v>
      </c>
      <c r="G368" s="3" t="n">
        <v>4</v>
      </c>
      <c r="H368" s="7" t="n"/>
      <c r="I368" t="inlineStr">
        <is>
          <t>Ingenuity Core 128</t>
        </is>
      </c>
      <c r="J368" t="inlineStr">
        <is>
          <t>Pre 3mm, iDose (3)</t>
        </is>
      </c>
    </row>
    <row r="369">
      <c r="A369" s="2" t="n">
        <v>5000923</v>
      </c>
      <c r="B369" s="2" t="n">
        <v>48</v>
      </c>
      <c r="C369" s="2" t="inlineStr">
        <is>
          <t>M</t>
        </is>
      </c>
      <c r="D369" s="2" t="n">
        <v>100</v>
      </c>
      <c r="E369" s="4">
        <f>HYPERLINK("./Results/DLO\20190801_1.3.12.2.1107.5.1.4.54310.30000019080723041839000009703_4_512_512_\Osteo_Sarco_1.png","RPT")</f>
        <v/>
      </c>
      <c r="F369" s="3" t="n">
        <v>167</v>
      </c>
      <c r="G369" s="3" t="n">
        <v>8</v>
      </c>
      <c r="H369" s="7" t="n"/>
      <c r="I369" t="inlineStr">
        <is>
          <t>Sensation 64</t>
        </is>
      </c>
      <c r="J369" t="inlineStr">
        <is>
          <t>ABD Contrast 3.0 B30f</t>
        </is>
      </c>
    </row>
    <row r="370">
      <c r="A370" s="2" t="n">
        <v>5962153</v>
      </c>
      <c r="B370" s="2" t="n">
        <v>48</v>
      </c>
      <c r="C370" s="2" t="inlineStr">
        <is>
          <t>M</t>
        </is>
      </c>
      <c r="D370" s="2" t="n">
        <v>100</v>
      </c>
      <c r="E370" s="4">
        <f>HYPERLINK("./Results/DLO\20180401_1.2.840.113619.2.416.176190748352336801882482356055587890178_301_512_512_\Osteo_Sarco_1.png","RPT")</f>
        <v/>
      </c>
      <c r="F370" s="3" t="n">
        <v>159</v>
      </c>
      <c r="G370" s="3" t="n">
        <v>9</v>
      </c>
      <c r="H370" s="7" t="n"/>
      <c r="I370" t="inlineStr">
        <is>
          <t>Revolution CT</t>
        </is>
      </c>
      <c r="J370" t="inlineStr">
        <is>
          <t>ABD 2.5mm</t>
        </is>
      </c>
    </row>
    <row r="371">
      <c r="A371" s="2" t="n">
        <v>9466484</v>
      </c>
      <c r="B371" s="2" t="n">
        <v>48</v>
      </c>
      <c r="C371" s="2" t="inlineStr">
        <is>
          <t>M</t>
        </is>
      </c>
      <c r="D371" s="2" t="n">
        <v>100</v>
      </c>
      <c r="E371" s="4">
        <f>HYPERLINK("./Results/DLO\20181001_1.3.12.2.1107.5.1.4.65253.30000018101918161339600003986_2_512_512_\Osteo_Sarco_1.png","RPT")</f>
        <v/>
      </c>
      <c r="F371" s="3" t="n">
        <v>157</v>
      </c>
      <c r="G371" s="3" t="n">
        <v>7</v>
      </c>
      <c r="H371" s="7" t="n"/>
      <c r="I371" t="inlineStr">
        <is>
          <t>SOMATOM Definition AS</t>
        </is>
      </c>
      <c r="J371" t="inlineStr">
        <is>
          <t>With Contrast 3.0 B30f</t>
        </is>
      </c>
    </row>
    <row r="372">
      <c r="A372" s="2" t="n">
        <v>5831818</v>
      </c>
      <c r="B372" s="2" t="n">
        <v>48</v>
      </c>
      <c r="C372" s="2" t="inlineStr">
        <is>
          <t>M</t>
        </is>
      </c>
      <c r="D372" s="2" t="n">
        <v>100</v>
      </c>
      <c r="E372" s="4">
        <f>HYPERLINK("./Results/DLO\20180101_1.3.46.670589.33.1.63651688682557586200001.5524230549698153133_201_512_512_\Osteo_Sarco_1.png","RPT")</f>
        <v/>
      </c>
      <c r="F372" s="3" t="n">
        <v>155</v>
      </c>
      <c r="G372" s="3" t="n">
        <v>8</v>
      </c>
      <c r="H372" s="7" t="n"/>
      <c r="I372" t="inlineStr">
        <is>
          <t>Ingenuity Core 128</t>
        </is>
      </c>
      <c r="J372" t="inlineStr">
        <is>
          <t>Post 100/236 i3, iDose (3)</t>
        </is>
      </c>
    </row>
    <row r="373">
      <c r="A373" s="2" t="n">
        <v>8489859</v>
      </c>
      <c r="B373" s="2" t="n">
        <v>48</v>
      </c>
      <c r="C373" s="2" t="inlineStr">
        <is>
          <t>M</t>
        </is>
      </c>
      <c r="D373" s="2" t="n">
        <v>100</v>
      </c>
      <c r="E373" s="4">
        <f>HYPERLINK("./Results/DLO\20190501_1.3.12.2.1107.5.1.4.54310.30000019050323485237500006454_6_512_512_\Osteo_Sarco_1.png","RPT")</f>
        <v/>
      </c>
      <c r="F373" s="3" t="n">
        <v>152</v>
      </c>
      <c r="G373" s="3" t="n">
        <v>12</v>
      </c>
      <c r="H373" s="7" t="n"/>
      <c r="I373" t="inlineStr">
        <is>
          <t>Sensation 64</t>
        </is>
      </c>
      <c r="J373" t="inlineStr">
        <is>
          <t>ABD Contrast 3.0 B30f</t>
        </is>
      </c>
    </row>
    <row r="374">
      <c r="A374" s="2" t="n">
        <v>2331881</v>
      </c>
      <c r="B374" s="2" t="n">
        <v>48</v>
      </c>
      <c r="C374" s="2" t="inlineStr">
        <is>
          <t>F</t>
        </is>
      </c>
      <c r="D374" s="2" t="n">
        <v>100</v>
      </c>
      <c r="E374" s="4">
        <f>HYPERLINK("./Results/DLO\20190501_1.3.12.2.1107.5.1.4.54310.30000019050821334617100037781_3_512_512_\Osteo_Sarco_1.png","RPT")</f>
        <v/>
      </c>
      <c r="F374" s="3" t="n">
        <v>142</v>
      </c>
      <c r="G374" s="3" t="n">
        <v>22</v>
      </c>
      <c r="H374" s="7" t="n"/>
      <c r="I374" t="inlineStr">
        <is>
          <t>Sensation 64</t>
        </is>
      </c>
      <c r="J374" t="inlineStr">
        <is>
          <t>Pre Contrast 3.0 B30f</t>
        </is>
      </c>
    </row>
    <row r="375">
      <c r="A375" s="2" t="n">
        <v>5482800</v>
      </c>
      <c r="B375" s="2" t="n">
        <v>48</v>
      </c>
      <c r="C375" s="2" t="inlineStr">
        <is>
          <t>F</t>
        </is>
      </c>
      <c r="D375" s="2" t="n">
        <v>100</v>
      </c>
      <c r="E375" s="4">
        <f>HYPERLINK("./Results/DLO\20180101_1.3.12.2.1107.5.1.4.54310.30000018012823132665600011099_2_512_512_\Osteo_Sarco_1.png","RPT")</f>
        <v/>
      </c>
      <c r="F375" s="3" t="n">
        <v>141</v>
      </c>
      <c r="G375" s="3" t="n">
        <v>7</v>
      </c>
      <c r="H375" s="7" t="n"/>
      <c r="I375" t="inlineStr">
        <is>
          <t>Sensation 64</t>
        </is>
      </c>
      <c r="J375" t="inlineStr">
        <is>
          <t>With Contrast 3.0 B30f</t>
        </is>
      </c>
    </row>
    <row r="376">
      <c r="A376" s="2" t="n">
        <v>9573815</v>
      </c>
      <c r="B376" s="2" t="n">
        <v>48</v>
      </c>
      <c r="C376" s="2" t="inlineStr">
        <is>
          <t>M</t>
        </is>
      </c>
      <c r="D376" s="2" t="n">
        <v>100</v>
      </c>
      <c r="E376" s="4">
        <f>HYPERLINK("./Results/DLO\20190501_1.3.12.2.1107.5.1.4.54310.30000019050721174979600033969_2_512_512_\Osteo_Sarco_1.png","RPT")</f>
        <v/>
      </c>
      <c r="F376" s="3" t="n">
        <v>141</v>
      </c>
      <c r="G376" s="3" t="n">
        <v>7</v>
      </c>
      <c r="H376" s="7" t="n"/>
      <c r="I376" t="inlineStr">
        <is>
          <t>Sensation 64</t>
        </is>
      </c>
      <c r="J376" t="inlineStr">
        <is>
          <t>With Contrast 3.0 B30f</t>
        </is>
      </c>
    </row>
    <row r="377">
      <c r="A377" s="2" t="n">
        <v>8405417</v>
      </c>
      <c r="B377" s="2" t="n">
        <v>48</v>
      </c>
      <c r="C377" s="2" t="inlineStr">
        <is>
          <t>F</t>
        </is>
      </c>
      <c r="D377" s="2" t="n">
        <v>100</v>
      </c>
      <c r="E377" s="4">
        <f>HYPERLINK("./Results/DLO\20190801_1.3.12.2.1107.5.1.4.54310.30000019081822233132800050346_7_512_512_\Osteo_Sarco_1.png","RPT")</f>
        <v/>
      </c>
      <c r="F377" s="3" t="n">
        <v>138</v>
      </c>
      <c r="G377" s="3" t="n">
        <v>9</v>
      </c>
      <c r="H377" s="7" t="n"/>
      <c r="I377" t="inlineStr">
        <is>
          <t>Sensation 64</t>
        </is>
      </c>
      <c r="J377" t="inlineStr">
        <is>
          <t>ABD Contrast 3.0 B30f</t>
        </is>
      </c>
    </row>
    <row r="378">
      <c r="A378" s="2" t="n">
        <v>9466763</v>
      </c>
      <c r="B378" s="2" t="n">
        <v>48</v>
      </c>
      <c r="C378" s="2" t="inlineStr">
        <is>
          <t>F</t>
        </is>
      </c>
      <c r="D378" s="2" t="n">
        <v>100</v>
      </c>
      <c r="E378" s="4">
        <f>HYPERLINK("./Results/DLO\20181001_1.2.840.113619.2.311.258266666919461930339035337969880325694_303_512_512_\Osteo_Sarco_1.png","RPT")</f>
        <v/>
      </c>
      <c r="F378" s="3" t="n">
        <v>131</v>
      </c>
      <c r="G378" s="3" t="n">
        <v>7</v>
      </c>
      <c r="H378" s="7" t="n"/>
      <c r="I378" t="inlineStr">
        <is>
          <t>Revolution CT</t>
        </is>
      </c>
      <c r="J378" t="inlineStr">
        <is>
          <t>ABD 2.5mm</t>
        </is>
      </c>
    </row>
    <row r="379">
      <c r="A379" s="2" t="n">
        <v>5894614</v>
      </c>
      <c r="B379" s="2" t="n">
        <v>48</v>
      </c>
      <c r="C379" s="2" t="inlineStr">
        <is>
          <t>F</t>
        </is>
      </c>
      <c r="D379" s="2" t="n">
        <v>100</v>
      </c>
      <c r="E379" s="4">
        <f>HYPERLINK("./Results/DLO\20181201_1.3.46.670589.33.1.63680124194317386700001.4737420749141007020_201_512_512_\Osteo_Sarco_1.png","RPT")</f>
        <v/>
      </c>
      <c r="F379" s="3" t="n">
        <v>131</v>
      </c>
      <c r="G379" s="3" t="n">
        <v>11</v>
      </c>
      <c r="H379" s="7" t="n"/>
      <c r="I379" t="inlineStr">
        <is>
          <t>Ingenuity Core 128</t>
        </is>
      </c>
      <c r="J379" t="inlineStr">
        <is>
          <t>Post 100/236 i3, iDose (3)</t>
        </is>
      </c>
    </row>
    <row r="380">
      <c r="A380" s="2" t="n">
        <v>5689466</v>
      </c>
      <c r="B380" s="2" t="n">
        <v>48</v>
      </c>
      <c r="C380" s="2" t="inlineStr">
        <is>
          <t>F</t>
        </is>
      </c>
      <c r="D380" s="2" t="n">
        <v>100</v>
      </c>
      <c r="E380" s="4">
        <f>HYPERLINK("./Results/DLO\20190801_1.3.12.2.1107.5.1.4.54310.30000019082722430853100062963_2_512_512_\Osteo_Sarco_1.png","RPT")</f>
        <v/>
      </c>
      <c r="F380" s="3" t="n">
        <v>131</v>
      </c>
      <c r="G380" s="3" t="n">
        <v>7</v>
      </c>
      <c r="H380" s="7" t="n"/>
      <c r="I380" t="inlineStr">
        <is>
          <t>Sensation 64</t>
        </is>
      </c>
      <c r="J380" t="inlineStr">
        <is>
          <t>With Contrast 3.0 B30f</t>
        </is>
      </c>
    </row>
    <row r="381">
      <c r="A381" s="2" t="n">
        <v>9606517</v>
      </c>
      <c r="B381" s="2" t="n">
        <v>48</v>
      </c>
      <c r="C381" s="2" t="inlineStr">
        <is>
          <t>F</t>
        </is>
      </c>
      <c r="D381" s="2" t="n">
        <v>100</v>
      </c>
      <c r="E381" s="4">
        <f>HYPERLINK("./Results/DLO\20190301_1.3.46.670589.33.1.63688241920280809600001.5421323507686777707_201_512_512_\Osteo_Sarco_1.png","RPT")</f>
        <v/>
      </c>
      <c r="F381" s="3" t="n">
        <v>128</v>
      </c>
      <c r="G381" s="3" t="n">
        <v>7</v>
      </c>
      <c r="H381" s="7" t="n"/>
      <c r="I381" t="inlineStr">
        <is>
          <t>Ingenuity Core 128</t>
        </is>
      </c>
      <c r="J381" t="inlineStr">
        <is>
          <t>Post 3mm, iDose (3)</t>
        </is>
      </c>
    </row>
    <row r="382">
      <c r="A382" s="2" t="n">
        <v>1283595</v>
      </c>
      <c r="B382" s="2" t="n">
        <v>48</v>
      </c>
      <c r="C382" s="2" t="inlineStr">
        <is>
          <t>F</t>
        </is>
      </c>
      <c r="D382" s="2" t="n">
        <v>100</v>
      </c>
      <c r="E382" s="4">
        <f>HYPERLINK("./Results/DLO\20180801_1.3.12.2.1107.5.1.4.54310.30000018080923254621800062532_3_512_512_\Osteo_Sarco_1.png","RPT")</f>
        <v/>
      </c>
      <c r="F382" s="3" t="n">
        <v>127</v>
      </c>
      <c r="G382" s="3" t="n">
        <v>11</v>
      </c>
      <c r="H382" s="7" t="n"/>
      <c r="I382" t="inlineStr">
        <is>
          <t>Sensation 64</t>
        </is>
      </c>
      <c r="J382" t="inlineStr">
        <is>
          <t>With Contrast 3.0 B30f</t>
        </is>
      </c>
    </row>
    <row r="383">
      <c r="A383" s="2" t="n">
        <v>8574944</v>
      </c>
      <c r="B383" s="2" t="n">
        <v>48</v>
      </c>
      <c r="C383" s="2" t="inlineStr">
        <is>
          <t>F</t>
        </is>
      </c>
      <c r="D383" s="2" t="n">
        <v>100</v>
      </c>
      <c r="E383" s="4">
        <f>HYPERLINK("./Results/DLO\20200101_1.2.840.113619.2.416.285010108405075614166448699374613913017_310_512_512_\Osteo_Sarco_1.png","RPT")</f>
        <v/>
      </c>
      <c r="F383" s="3" t="n">
        <v>125</v>
      </c>
      <c r="G383" s="3" t="n">
        <v>6</v>
      </c>
      <c r="H383" s="7" t="n"/>
      <c r="I383" t="inlineStr">
        <is>
          <t>Revolution CT</t>
        </is>
      </c>
      <c r="J383" t="inlineStr">
        <is>
          <t>ABD</t>
        </is>
      </c>
    </row>
    <row r="384">
      <c r="A384" s="2" t="n">
        <v>9481396</v>
      </c>
      <c r="B384" s="2" t="n">
        <v>48</v>
      </c>
      <c r="C384" s="2" t="inlineStr">
        <is>
          <t>F</t>
        </is>
      </c>
      <c r="D384" s="2" t="n">
        <v>100</v>
      </c>
      <c r="E384" s="4">
        <f>HYPERLINK("./Results/DLO\20181001_1.2.840.113619.2.94.485650834948.2.9170831.19943781.1_2_512_512_\Osteo_Sarco_1.png","RPT")</f>
        <v/>
      </c>
      <c r="F384" s="3" t="n">
        <v>123</v>
      </c>
      <c r="G384" s="3" t="n">
        <v>12</v>
      </c>
      <c r="H384" s="7" t="n"/>
      <c r="I384" t="inlineStr">
        <is>
          <t>Sensation 64</t>
        </is>
      </c>
      <c r="J384" t="inlineStr">
        <is>
          <t>With Contrast 3.0 B30f</t>
        </is>
      </c>
    </row>
    <row r="385">
      <c r="A385" s="2" t="n">
        <v>3669881</v>
      </c>
      <c r="B385" s="2" t="n">
        <v>48</v>
      </c>
      <c r="C385" s="2" t="inlineStr">
        <is>
          <t>F</t>
        </is>
      </c>
      <c r="D385" s="2" t="n">
        <v>100</v>
      </c>
      <c r="E385" s="4">
        <f>HYPERLINK("./Results/DLO\20190701_1.3.12.2.1107.5.1.4.54310.30000019072521262465600078485_8_512_512_\Osteo_Sarco_1.png","RPT")</f>
        <v/>
      </c>
      <c r="F385" s="3" t="n">
        <v>122</v>
      </c>
      <c r="G385" s="3" t="n">
        <v>9</v>
      </c>
      <c r="H385" s="7" t="n"/>
      <c r="I385" t="inlineStr">
        <is>
          <t>Sensation 64</t>
        </is>
      </c>
      <c r="J385" t="inlineStr">
        <is>
          <t>ABD Contrast 3.0 B30f</t>
        </is>
      </c>
    </row>
    <row r="386">
      <c r="A386" s="2" t="n">
        <v>9003837</v>
      </c>
      <c r="B386" s="2" t="n">
        <v>48</v>
      </c>
      <c r="C386" s="2" t="inlineStr">
        <is>
          <t>M</t>
        </is>
      </c>
      <c r="D386" s="2" t="n">
        <v>100</v>
      </c>
      <c r="E386" s="4">
        <f>HYPERLINK("./Results/DLO\20180801_1.3.12.2.1107.5.1.4.54310.30000018080223110143700060420_2_512_512_\Osteo_Sarco_1.png","RPT")</f>
        <v/>
      </c>
      <c r="F386" s="3" t="n">
        <v>120</v>
      </c>
      <c r="G386" s="3" t="n">
        <v>5</v>
      </c>
      <c r="H386" s="7" t="n"/>
      <c r="I386" t="inlineStr">
        <is>
          <t>Sensation 64</t>
        </is>
      </c>
      <c r="J386" t="inlineStr">
        <is>
          <t>With Contrast 3.0 B30f</t>
        </is>
      </c>
    </row>
    <row r="387">
      <c r="A387" s="2" t="n">
        <v>5768375</v>
      </c>
      <c r="B387" s="2" t="n">
        <v>48</v>
      </c>
      <c r="C387" s="2" t="inlineStr">
        <is>
          <t>F</t>
        </is>
      </c>
      <c r="D387" s="2" t="n">
        <v>100</v>
      </c>
      <c r="E387" s="4">
        <f>HYPERLINK("./Results/DLO\20181101_1.2.840.113619.2.94.485650834948.2.9203759.20026785.1_2_512_512_\Osteo_Sarco_1.png","RPT")</f>
        <v/>
      </c>
      <c r="F387" s="3" t="n">
        <v>120</v>
      </c>
      <c r="G387" s="3" t="n">
        <v>5</v>
      </c>
      <c r="H387" s="7" t="n"/>
      <c r="I387" t="inlineStr">
        <is>
          <t>Sensation 64</t>
        </is>
      </c>
      <c r="J387" t="inlineStr">
        <is>
          <t>With Contrast 3.0 B30f</t>
        </is>
      </c>
    </row>
    <row r="388">
      <c r="A388" s="2" t="n">
        <v>4893454</v>
      </c>
      <c r="B388" s="2" t="n">
        <v>48</v>
      </c>
      <c r="C388" s="2" t="inlineStr">
        <is>
          <t>F</t>
        </is>
      </c>
      <c r="D388" s="2" t="n">
        <v>100</v>
      </c>
      <c r="E388" s="4">
        <f>HYPERLINK("./Results/DLO\20200101_1.3.12.2.1107.5.1.4.54310.30000020011421271920300014102_3_512_512_\Osteo_Sarco_1.png","RPT")</f>
        <v/>
      </c>
      <c r="F388" s="3" t="n">
        <v>120</v>
      </c>
      <c r="G388" s="3" t="n">
        <v>14</v>
      </c>
      <c r="H388" s="7" t="n"/>
      <c r="I388" t="inlineStr">
        <is>
          <t>Sensation 64</t>
        </is>
      </c>
      <c r="J388" t="inlineStr">
        <is>
          <t>With Contrast 3.0 B30f</t>
        </is>
      </c>
    </row>
    <row r="389">
      <c r="A389" s="2" t="n">
        <v>5795687</v>
      </c>
      <c r="B389" s="2" t="n">
        <v>48</v>
      </c>
      <c r="C389" s="2" t="inlineStr">
        <is>
          <t>F</t>
        </is>
      </c>
      <c r="D389" s="2" t="n">
        <v>100</v>
      </c>
      <c r="E389" s="4">
        <f>HYPERLINK("./Results/DLO\20180801_1.2.840.113619.2.94.485650834948.2.9048696.19647619.1_2_512_512_\Osteo_Sarco_1.png","RPT")</f>
        <v/>
      </c>
      <c r="F389" s="3" t="n">
        <v>117</v>
      </c>
      <c r="G389" s="3" t="n">
        <v>8</v>
      </c>
      <c r="H389" s="7" t="n"/>
      <c r="I389" t="inlineStr">
        <is>
          <t>Sensation 64</t>
        </is>
      </c>
      <c r="J389" t="inlineStr">
        <is>
          <t>With Contrast 3.0 B30f</t>
        </is>
      </c>
    </row>
    <row r="390">
      <c r="A390" s="2" t="n">
        <v>9010079</v>
      </c>
      <c r="B390" s="2" t="n">
        <v>48</v>
      </c>
      <c r="C390" s="2" t="inlineStr">
        <is>
          <t>F</t>
        </is>
      </c>
      <c r="D390" s="2" t="n">
        <v>100</v>
      </c>
      <c r="E390" s="4">
        <f>HYPERLINK("./Results/DLO\20190901_1.3.12.2.1107.5.1.4.54310.30000019090522532218700008137_3_512_512_\Osteo_Sarco_1.png","RPT")</f>
        <v/>
      </c>
      <c r="F390" s="3" t="n">
        <v>117</v>
      </c>
      <c r="G390" s="3" t="n">
        <v>8</v>
      </c>
      <c r="H390" s="6" t="n">
        <v>29.59</v>
      </c>
      <c r="I390" t="inlineStr">
        <is>
          <t>Sensation 64</t>
        </is>
      </c>
      <c r="J390" t="inlineStr">
        <is>
          <t>Pre Contrast 3.0 B30f</t>
        </is>
      </c>
    </row>
    <row r="391">
      <c r="A391" s="2" t="n">
        <v>6742941</v>
      </c>
      <c r="B391" s="2" t="n">
        <v>48</v>
      </c>
      <c r="C391" s="2" t="inlineStr">
        <is>
          <t>F</t>
        </is>
      </c>
      <c r="D391" s="2" t="n">
        <v>100</v>
      </c>
      <c r="E391" s="4">
        <f>HYPERLINK("./Results/DLO\20180101_1.2.840.113619.2.311.327987761087770746287021865672491319185_304_512_512_\Osteo_Sarco_1.png","RPT")</f>
        <v/>
      </c>
      <c r="F391" s="3" t="n">
        <v>115</v>
      </c>
      <c r="G391" s="3" t="n">
        <v>7</v>
      </c>
      <c r="H391" s="7" t="n"/>
      <c r="I391" t="inlineStr">
        <is>
          <t>Revolution CT</t>
        </is>
      </c>
      <c r="J391" t="inlineStr">
        <is>
          <t>ABD 2.5mm</t>
        </is>
      </c>
    </row>
    <row r="392">
      <c r="A392" s="2" t="n">
        <v>8679850</v>
      </c>
      <c r="B392" s="2" t="n">
        <v>48</v>
      </c>
      <c r="C392" s="2" t="inlineStr">
        <is>
          <t>F</t>
        </is>
      </c>
      <c r="D392" s="2" t="n">
        <v>100</v>
      </c>
      <c r="E392" s="4">
        <f>HYPERLINK("./Results/DLO\20180801_1.2.840.113619.2.311.66343366773120842978880787029326059038_304_512_512_\Osteo_Sarco_1.png","RPT")</f>
        <v/>
      </c>
      <c r="F392" s="3" t="n">
        <v>115</v>
      </c>
      <c r="G392" s="3" t="n">
        <v>9</v>
      </c>
      <c r="H392" s="7" t="n"/>
      <c r="I392" t="inlineStr">
        <is>
          <t>Revolution CT</t>
        </is>
      </c>
      <c r="J392" t="inlineStr">
        <is>
          <t>ABD 2.5mm</t>
        </is>
      </c>
    </row>
    <row r="393">
      <c r="A393" s="2" t="n">
        <v>6737629</v>
      </c>
      <c r="B393" s="2" t="n">
        <v>48</v>
      </c>
      <c r="C393" s="2" t="inlineStr">
        <is>
          <t>F</t>
        </is>
      </c>
      <c r="D393" s="2" t="n">
        <v>100</v>
      </c>
      <c r="E393" s="4">
        <f>HYPERLINK("./Results/DLO\20181201_1.2.840.113619.2.94.485650834948.2.9243805.20125717.1_2_512_512_\Osteo_Sarco_1.png","RPT")</f>
        <v/>
      </c>
      <c r="F393" s="3" t="n">
        <v>113</v>
      </c>
      <c r="G393" s="3" t="n">
        <v>8</v>
      </c>
      <c r="H393" s="7" t="n"/>
      <c r="I393" t="inlineStr">
        <is>
          <t>Sensation 64</t>
        </is>
      </c>
      <c r="J393" t="inlineStr">
        <is>
          <t>With Contrast 3.0 B30f</t>
        </is>
      </c>
    </row>
    <row r="394">
      <c r="A394" s="2" t="n">
        <v>8776612</v>
      </c>
      <c r="B394" s="2" t="n">
        <v>48</v>
      </c>
      <c r="C394" s="2" t="inlineStr">
        <is>
          <t>F</t>
        </is>
      </c>
      <c r="D394" s="2" t="n">
        <v>100</v>
      </c>
      <c r="E394" s="4">
        <f>HYPERLINK("./Results/DLO\20200601_1.2.840.113619.2.416.175667042145230511713480028627042626239_307_512_512_\Osteo_Sarco_1.png","RPT")</f>
        <v/>
      </c>
      <c r="F394" s="3" t="n">
        <v>111</v>
      </c>
      <c r="G394" s="3" t="n">
        <v>6</v>
      </c>
      <c r="H394" s="7" t="n"/>
      <c r="I394" t="inlineStr">
        <is>
          <t>Revolution CT</t>
        </is>
      </c>
      <c r="J394" t="inlineStr">
        <is>
          <t>ABD</t>
        </is>
      </c>
    </row>
    <row r="395">
      <c r="A395" s="2" t="n">
        <v>9424215</v>
      </c>
      <c r="B395" s="2" t="n">
        <v>48</v>
      </c>
      <c r="C395" s="2" t="inlineStr">
        <is>
          <t>F</t>
        </is>
      </c>
      <c r="D395" s="2" t="n">
        <v>100</v>
      </c>
      <c r="E395" s="4">
        <f>HYPERLINK("./Results/DLO\20180901_1.2.840.113619.2.94.485650834948.2.9057855.19669711.1_2_512_512_\Osteo_Sarco_1.png","RPT")</f>
        <v/>
      </c>
      <c r="F395" s="3" t="n">
        <v>109</v>
      </c>
      <c r="G395" s="3" t="n">
        <v>3</v>
      </c>
      <c r="H395" s="7" t="n"/>
      <c r="I395" t="inlineStr">
        <is>
          <t>Sensation 64</t>
        </is>
      </c>
      <c r="J395" t="inlineStr">
        <is>
          <t>With Contrast 3.0 B30f</t>
        </is>
      </c>
    </row>
    <row r="396">
      <c r="A396" s="2" t="n">
        <v>1448769</v>
      </c>
      <c r="B396" s="2" t="n">
        <v>48</v>
      </c>
      <c r="C396" s="2" t="inlineStr">
        <is>
          <t>M</t>
        </is>
      </c>
      <c r="D396" s="2" t="n">
        <v>100</v>
      </c>
      <c r="E396" s="4">
        <f>HYPERLINK("./Results/DLO\20190301_1.3.46.670589.33.1.63688241474491311900001.5008622576487794246_201_512_512_\Osteo_Sarco_1.png","RPT")</f>
        <v/>
      </c>
      <c r="F396" s="3" t="n">
        <v>109</v>
      </c>
      <c r="G396" s="3" t="n">
        <v>11</v>
      </c>
      <c r="H396" s="7" t="n"/>
      <c r="I396" t="inlineStr">
        <is>
          <t>Ingenuity Core 128</t>
        </is>
      </c>
      <c r="J396" t="inlineStr">
        <is>
          <t>Pre 3mm, iDose (4)</t>
        </is>
      </c>
    </row>
    <row r="397">
      <c r="A397" s="2" t="n">
        <v>3195319</v>
      </c>
      <c r="B397" s="2" t="n">
        <v>48</v>
      </c>
      <c r="C397" s="2" t="inlineStr">
        <is>
          <t>F</t>
        </is>
      </c>
      <c r="D397" s="2" t="n">
        <v>100</v>
      </c>
      <c r="E397" s="4">
        <f>HYPERLINK("./Results/DLO\20180401_1.3.12.2.1107.5.1.4.65253.30000018040318144835600052201_2_512_512_\Osteo_Sarco_1.png","RPT")</f>
        <v/>
      </c>
      <c r="F397" s="3" t="n">
        <v>107</v>
      </c>
      <c r="G397" s="3" t="n">
        <v>7</v>
      </c>
      <c r="H397" s="7" t="n"/>
      <c r="I397" t="inlineStr">
        <is>
          <t>SOMATOM Definition AS</t>
        </is>
      </c>
      <c r="J397" t="inlineStr">
        <is>
          <t>Pre Contrast 3.0 B30f</t>
        </is>
      </c>
    </row>
    <row r="398">
      <c r="A398" s="2" t="n">
        <v>8324063</v>
      </c>
      <c r="B398" s="2" t="n">
        <v>48</v>
      </c>
      <c r="C398" s="2" t="inlineStr">
        <is>
          <t>F</t>
        </is>
      </c>
      <c r="D398" s="2" t="n">
        <v>100</v>
      </c>
      <c r="E398" s="4">
        <f>HYPERLINK("./Results/DLO\20180701_1.2.840.113619.2.94.485650834948.2.8964699.19437490.1_2_512_512_\Osteo_Sarco_1.png","RPT")</f>
        <v/>
      </c>
      <c r="F398" s="3" t="n">
        <v>106</v>
      </c>
      <c r="G398" s="3" t="n">
        <v>8</v>
      </c>
      <c r="H398" s="7" t="n"/>
      <c r="I398" t="inlineStr">
        <is>
          <t>Sensation 64</t>
        </is>
      </c>
      <c r="J398" t="inlineStr">
        <is>
          <t>With Contrast 3.0 B30f</t>
        </is>
      </c>
    </row>
    <row r="399">
      <c r="A399" s="2" t="n">
        <v>8556237</v>
      </c>
      <c r="B399" s="2" t="n">
        <v>48</v>
      </c>
      <c r="C399" s="2" t="inlineStr">
        <is>
          <t>F</t>
        </is>
      </c>
      <c r="D399" s="2" t="n">
        <v>100</v>
      </c>
      <c r="E399" s="4">
        <f>HYPERLINK("./Results/DLO\20180201_1.2.840.113619.2.416.262175673661712823372345191591623797299_304_512_512_\Osteo_Sarco_1.png","RPT")</f>
        <v/>
      </c>
      <c r="F399" s="3" t="n">
        <v>105</v>
      </c>
      <c r="G399" s="3" t="n">
        <v>11</v>
      </c>
      <c r="H399" s="7" t="n"/>
      <c r="I399" t="inlineStr">
        <is>
          <t>Revolution CT</t>
        </is>
      </c>
      <c r="J399" t="inlineStr">
        <is>
          <t>ABD 2.5mm</t>
        </is>
      </c>
    </row>
    <row r="400">
      <c r="A400" s="2" t="n">
        <v>4190994</v>
      </c>
      <c r="B400" s="2" t="n">
        <v>48</v>
      </c>
      <c r="C400" s="2" t="inlineStr">
        <is>
          <t>F</t>
        </is>
      </c>
      <c r="D400" s="2" t="n">
        <v>100</v>
      </c>
      <c r="E400" s="4">
        <f>HYPERLINK("./Results/DLO\20180701_1.2.840.113619.2.311.337051686724732317838299329495457708171_303_512_512_\Osteo_Sarco_1.png","RPT")</f>
        <v/>
      </c>
      <c r="F400" s="3" t="n">
        <v>105</v>
      </c>
      <c r="G400" s="3" t="n">
        <v>9</v>
      </c>
      <c r="H400" s="7" t="n"/>
      <c r="I400" t="inlineStr">
        <is>
          <t>Revolution CT</t>
        </is>
      </c>
      <c r="J400" t="inlineStr">
        <is>
          <t>ABD 2.5mm</t>
        </is>
      </c>
    </row>
    <row r="401">
      <c r="A401" s="2" t="n">
        <v>5449277</v>
      </c>
      <c r="B401" s="2" t="n">
        <v>48</v>
      </c>
      <c r="C401" s="2" t="inlineStr">
        <is>
          <t>F</t>
        </is>
      </c>
      <c r="D401" s="2" t="n">
        <v>100</v>
      </c>
      <c r="E401" s="4">
        <f>HYPERLINK("./Results/DLO\20190201_1.3.46.670589.33.1.63686944509884278300001.5496912160714132807_201_512_512_\Osteo_Sarco_1.png","RPT")</f>
        <v/>
      </c>
      <c r="F401" s="3" t="n">
        <v>105</v>
      </c>
      <c r="G401" s="3" t="n">
        <v>6</v>
      </c>
      <c r="H401" s="7" t="n"/>
      <c r="I401" t="inlineStr">
        <is>
          <t>Ingenuity Core 128</t>
        </is>
      </c>
      <c r="J401" t="inlineStr">
        <is>
          <t>Post 3mm, iDose (3)</t>
        </is>
      </c>
    </row>
    <row r="402">
      <c r="A402" s="2" t="n">
        <v>820691</v>
      </c>
      <c r="B402" s="2" t="n">
        <v>48</v>
      </c>
      <c r="C402" s="2" t="inlineStr">
        <is>
          <t>F</t>
        </is>
      </c>
      <c r="D402" s="2" t="n">
        <v>100</v>
      </c>
      <c r="E402" s="4">
        <f>HYPERLINK("./Results/DLO\20180701_1.3.12.2.1107.5.1.4.54310.30000018071823254187500026246_2_512_512_\Osteo_Sarco_1.png","RPT")</f>
        <v/>
      </c>
      <c r="F402" s="3" t="n">
        <v>104</v>
      </c>
      <c r="G402" s="3" t="n">
        <v>12</v>
      </c>
      <c r="H402" s="7" t="n"/>
      <c r="I402" t="inlineStr">
        <is>
          <t>Sensation 64</t>
        </is>
      </c>
      <c r="J402" t="inlineStr">
        <is>
          <t>Pre Contrast 3.0 B30f</t>
        </is>
      </c>
    </row>
    <row r="403">
      <c r="A403" s="2" t="n">
        <v>9815006</v>
      </c>
      <c r="B403" s="2" t="n">
        <v>48</v>
      </c>
      <c r="C403" s="2" t="inlineStr">
        <is>
          <t>F</t>
        </is>
      </c>
      <c r="D403" s="2" t="n">
        <v>100</v>
      </c>
      <c r="E403" s="4">
        <f>HYPERLINK("./Results/DLO\20191001_1.2.840.113619.2.416.239642084555420603718462095455023089307_310_512_512_\Osteo_Sarco_1.png","RPT")</f>
        <v/>
      </c>
      <c r="F403" s="3" t="n">
        <v>102</v>
      </c>
      <c r="G403" s="3" t="n">
        <v>15</v>
      </c>
      <c r="H403" s="6" t="n">
        <v>19.9</v>
      </c>
      <c r="I403" t="inlineStr">
        <is>
          <t>Revolution CT</t>
        </is>
      </c>
      <c r="J403" t="inlineStr">
        <is>
          <t>ABD</t>
        </is>
      </c>
    </row>
    <row r="404">
      <c r="A404" s="2" t="n">
        <v>9005713</v>
      </c>
      <c r="B404" s="2" t="n">
        <v>48</v>
      </c>
      <c r="C404" s="2" t="inlineStr">
        <is>
          <t>F</t>
        </is>
      </c>
      <c r="D404" s="2" t="n">
        <v>100</v>
      </c>
      <c r="E404" s="4">
        <f>HYPERLINK("./Results/DLO\20180101_1.2.840.113619.2.94.485650834948.2.8620284.18593769.1_2_512_512_\Osteo_Sarco_1.png","RPT")</f>
        <v/>
      </c>
      <c r="F404" s="3" t="n">
        <v>100</v>
      </c>
      <c r="G404" s="3" t="n">
        <v>5</v>
      </c>
      <c r="H404" s="7" t="n"/>
      <c r="I404" t="inlineStr">
        <is>
          <t>SOMATOM Definition AS</t>
        </is>
      </c>
      <c r="J404" t="inlineStr">
        <is>
          <t>With Contrast 3.0 B40f</t>
        </is>
      </c>
    </row>
    <row r="405">
      <c r="A405" s="2" t="n">
        <v>8793111</v>
      </c>
      <c r="B405" s="2" t="n">
        <v>48</v>
      </c>
      <c r="C405" s="2" t="inlineStr">
        <is>
          <t>F</t>
        </is>
      </c>
      <c r="D405" s="2" t="n">
        <v>100</v>
      </c>
      <c r="E405" s="4">
        <f>HYPERLINK("./Results/DLO\20180101_1.3.12.2.1107.5.1.4.54310.30000018011623145625000000103_2_512_512_\Osteo_Sarco_1.png","RPT")</f>
        <v/>
      </c>
      <c r="F405" s="3" t="n">
        <v>100</v>
      </c>
      <c r="G405" s="3" t="n">
        <v>8</v>
      </c>
      <c r="H405" s="7" t="n"/>
      <c r="I405" t="inlineStr">
        <is>
          <t>Sensation 64</t>
        </is>
      </c>
      <c r="J405" t="inlineStr">
        <is>
          <t>With Contrast 3.0 B30f</t>
        </is>
      </c>
    </row>
    <row r="406">
      <c r="A406" s="2" t="n">
        <v>8864445</v>
      </c>
      <c r="B406" s="2" t="n">
        <v>49</v>
      </c>
      <c r="C406" s="2" t="inlineStr">
        <is>
          <t>F</t>
        </is>
      </c>
      <c r="D406" s="2" t="n">
        <v>100</v>
      </c>
      <c r="E406" s="4">
        <f>HYPERLINK("./Results/DLO\20180901_1.2.840.113619.2.311.247938596415651198059622655052890700963_304_512_512_\Osteo_Sarco_1.png","RPT")</f>
        <v/>
      </c>
      <c r="F406" s="3" t="n">
        <v>99</v>
      </c>
      <c r="G406" s="3" t="n">
        <v>8</v>
      </c>
      <c r="H406" s="7" t="n"/>
      <c r="I406" t="inlineStr">
        <is>
          <t>Revolution CT</t>
        </is>
      </c>
      <c r="J406" t="inlineStr">
        <is>
          <t>ABD 2.5mm</t>
        </is>
      </c>
    </row>
    <row r="407">
      <c r="A407" s="2" t="n">
        <v>1366476</v>
      </c>
      <c r="B407" s="2" t="n">
        <v>49</v>
      </c>
      <c r="C407" s="2" t="inlineStr">
        <is>
          <t>F</t>
        </is>
      </c>
      <c r="D407" s="2" t="n">
        <v>100</v>
      </c>
      <c r="E407" s="4">
        <f>HYPERLINK("./Results/DLO\20180901_1.2.840.113619.2.311.100960404799664694549328552299518490047_304_512_512_\Osteo_Sarco_1.png","RPT")</f>
        <v/>
      </c>
      <c r="F407" s="3" t="n">
        <v>98</v>
      </c>
      <c r="G407" s="3" t="n">
        <v>12</v>
      </c>
      <c r="H407" s="7" t="n"/>
      <c r="I407" t="inlineStr">
        <is>
          <t>Revolution CT</t>
        </is>
      </c>
      <c r="J407" t="inlineStr">
        <is>
          <t>ABD 2.5mm</t>
        </is>
      </c>
    </row>
    <row r="408">
      <c r="A408" s="2" t="n">
        <v>1033192</v>
      </c>
      <c r="B408" s="2" t="n">
        <v>49</v>
      </c>
      <c r="C408" s="2" t="inlineStr">
        <is>
          <t>F</t>
        </is>
      </c>
      <c r="D408" s="2" t="n">
        <v>100</v>
      </c>
      <c r="E408" s="4">
        <f>HYPERLINK("./Results/DLO\20191001_1.3.46.670589.33.1.63707938605966193000001.4793164987433411828_201_512_512_\Osteo_Sarco_1.png","RPT")</f>
        <v/>
      </c>
      <c r="F408" s="3" t="n">
        <v>98</v>
      </c>
      <c r="G408" s="3" t="n">
        <v>6</v>
      </c>
      <c r="H408" s="7" t="n"/>
      <c r="I408" t="inlineStr">
        <is>
          <t>Ingenuity Core 128</t>
        </is>
      </c>
      <c r="J408" t="inlineStr">
        <is>
          <t>Post 3mm, iDose (3)</t>
        </is>
      </c>
    </row>
    <row r="409">
      <c r="A409" s="2" t="n">
        <v>8282695</v>
      </c>
      <c r="B409" s="2" t="n">
        <v>49</v>
      </c>
      <c r="C409" s="2" t="inlineStr">
        <is>
          <t>F</t>
        </is>
      </c>
      <c r="D409" s="2" t="n">
        <v>100</v>
      </c>
      <c r="E409" s="4">
        <f>HYPERLINK("./Results/DLO\20180701_1.2.840.113619.2.311.226983047473604694436582671185023892725_304_512_512_\Osteo_Sarco_1.png","RPT")</f>
        <v/>
      </c>
      <c r="F409" s="3" t="n">
        <v>97</v>
      </c>
      <c r="G409" s="3" t="n">
        <v>7</v>
      </c>
      <c r="H409" s="7" t="n"/>
      <c r="I409" t="inlineStr">
        <is>
          <t>Revolution CT</t>
        </is>
      </c>
      <c r="J409" t="inlineStr">
        <is>
          <t>ABD 2.5mm</t>
        </is>
      </c>
    </row>
    <row r="410">
      <c r="A410" s="2" t="n">
        <v>1338051</v>
      </c>
      <c r="B410" s="2" t="n">
        <v>49</v>
      </c>
      <c r="C410" s="2" t="inlineStr">
        <is>
          <t>F</t>
        </is>
      </c>
      <c r="D410" s="2" t="n">
        <v>100</v>
      </c>
      <c r="E410" s="4">
        <f>HYPERLINK("./Results/DLO\20180901_1.2.840.113619.2.311.39566044419890465235810740811315830691_304_512_512_\Osteo_Sarco_1.png","RPT")</f>
        <v/>
      </c>
      <c r="F410" s="3" t="n">
        <v>97</v>
      </c>
      <c r="G410" s="3" t="n">
        <v>8</v>
      </c>
      <c r="H410" s="7" t="n"/>
      <c r="I410" t="inlineStr">
        <is>
          <t>Revolution CT</t>
        </is>
      </c>
      <c r="J410" t="inlineStr">
        <is>
          <t>ABD 2.5mm</t>
        </is>
      </c>
    </row>
    <row r="411">
      <c r="A411" s="2" t="n">
        <v>9953649</v>
      </c>
      <c r="B411" s="2" t="n">
        <v>49</v>
      </c>
      <c r="C411" s="2" t="inlineStr">
        <is>
          <t>F</t>
        </is>
      </c>
      <c r="D411" s="2" t="n">
        <v>100</v>
      </c>
      <c r="E411" s="4">
        <f>HYPERLINK("./Results/DLO\20200401_1.3.12.2.1107.5.1.4.54310.30000020040521135451500037409_2_512_512_\Osteo_Sarco_1.png","RPT")</f>
        <v/>
      </c>
      <c r="F411" s="3" t="n">
        <v>93</v>
      </c>
      <c r="G411" s="3" t="n">
        <v>3</v>
      </c>
      <c r="H411" s="7" t="n"/>
      <c r="I411" t="inlineStr">
        <is>
          <t>Sensation 64</t>
        </is>
      </c>
      <c r="J411" t="inlineStr">
        <is>
          <t>With Contrast 3.0 B30f</t>
        </is>
      </c>
    </row>
    <row r="412">
      <c r="A412" s="2" t="n">
        <v>3410157</v>
      </c>
      <c r="B412" s="2" t="n">
        <v>49</v>
      </c>
      <c r="C412" s="2" t="inlineStr">
        <is>
          <t>F</t>
        </is>
      </c>
      <c r="D412" s="2" t="n">
        <v>100</v>
      </c>
      <c r="E412" s="4">
        <f>HYPERLINK("./Results/DLO\20180701_1.2.840.113619.2.311.66394524162926403028620195902690921070_304_512_512_\Osteo_Sarco_1.png","RPT")</f>
        <v/>
      </c>
      <c r="F412" s="3" t="n">
        <v>92</v>
      </c>
      <c r="G412" s="3" t="n">
        <v>6</v>
      </c>
      <c r="H412" s="7" t="n"/>
      <c r="I412" t="inlineStr">
        <is>
          <t>Revolution CT</t>
        </is>
      </c>
      <c r="J412" t="inlineStr">
        <is>
          <t>ABD 2.5mm</t>
        </is>
      </c>
    </row>
    <row r="413">
      <c r="A413" s="2" t="n">
        <v>6053602</v>
      </c>
      <c r="B413" s="2" t="n">
        <v>49</v>
      </c>
      <c r="C413" s="2" t="inlineStr">
        <is>
          <t>F</t>
        </is>
      </c>
      <c r="D413" s="2" t="n">
        <v>100</v>
      </c>
      <c r="E413" s="4">
        <f>HYPERLINK("./Results/DLO\20181001_1.2.840.113619.2.311.297550273518845188458039110803813972734_304_512_512_\Osteo_Sarco_1.png","RPT")</f>
        <v/>
      </c>
      <c r="F413" s="3" t="n">
        <v>92</v>
      </c>
      <c r="G413" s="3" t="n">
        <v>8</v>
      </c>
      <c r="H413" s="7" t="n"/>
      <c r="I413" t="inlineStr">
        <is>
          <t>Revolution CT</t>
        </is>
      </c>
      <c r="J413" t="inlineStr">
        <is>
          <t>ABD 2.5mm</t>
        </is>
      </c>
    </row>
    <row r="414">
      <c r="A414" s="2" t="n">
        <v>5256817</v>
      </c>
      <c r="B414" s="2" t="n">
        <v>49</v>
      </c>
      <c r="C414" s="2" t="inlineStr">
        <is>
          <t>F</t>
        </is>
      </c>
      <c r="D414" s="2" t="n">
        <v>100</v>
      </c>
      <c r="E414" s="4">
        <f>HYPERLINK("./Results/DLO\20180201_1.3.12.2.1107.5.1.4.54310.30000018020823251125000005200_2_512_512_\Osteo_Sarco_1.png","RPT")</f>
        <v/>
      </c>
      <c r="F414" s="3" t="n">
        <v>87</v>
      </c>
      <c r="G414" s="3" t="n">
        <v>7</v>
      </c>
      <c r="H414" s="7" t="n"/>
      <c r="I414" t="inlineStr">
        <is>
          <t>Sensation 64</t>
        </is>
      </c>
      <c r="J414" t="inlineStr">
        <is>
          <t>With Contrast 3.0 B30f</t>
        </is>
      </c>
    </row>
    <row r="415">
      <c r="A415" s="2" t="n">
        <v>9871060</v>
      </c>
      <c r="B415" s="2" t="n">
        <v>49</v>
      </c>
      <c r="C415" s="2" t="inlineStr">
        <is>
          <t>F</t>
        </is>
      </c>
      <c r="D415" s="2" t="n">
        <v>100</v>
      </c>
      <c r="E415" s="4">
        <f>HYPERLINK("./Results/DLO\20191201_1.3.12.2.1107.5.1.4.65253.30000019121718134503300063631_2_512_512_\Osteo_Sarco_1.png","RPT")</f>
        <v/>
      </c>
      <c r="F415" s="3" t="n">
        <v>86</v>
      </c>
      <c r="G415" s="3" t="n">
        <v>8</v>
      </c>
      <c r="H415" s="7" t="n"/>
      <c r="I415" t="inlineStr">
        <is>
          <t>SOMATOM Definition AS</t>
        </is>
      </c>
      <c r="J415" t="inlineStr">
        <is>
          <t>ABD Contrast 3.0 B30f</t>
        </is>
      </c>
    </row>
    <row r="416">
      <c r="A416" s="2" t="n">
        <v>3524927</v>
      </c>
      <c r="B416" s="2" t="n">
        <v>49</v>
      </c>
      <c r="C416" s="2" t="inlineStr">
        <is>
          <t>F</t>
        </is>
      </c>
      <c r="D416" s="2" t="n">
        <v>100</v>
      </c>
      <c r="E416" s="4">
        <f>HYPERLINK("./Results/DLO\20200301_1.3.12.2.1107.5.1.4.54310.30000020030523132082800006050_7_512_512_\Osteo_Sarco_1.png","RPT")</f>
        <v/>
      </c>
      <c r="F416" s="3" t="n">
        <v>85</v>
      </c>
      <c r="G416" s="3" t="n">
        <v>6</v>
      </c>
      <c r="H416" s="7" t="n"/>
      <c r="I416" t="inlineStr">
        <is>
          <t>Sensation 64</t>
        </is>
      </c>
      <c r="J416" t="inlineStr">
        <is>
          <t>Portal 3.0 B30f</t>
        </is>
      </c>
    </row>
    <row r="417">
      <c r="A417" s="2" t="n">
        <v>5020404</v>
      </c>
      <c r="B417" s="2" t="n">
        <v>49</v>
      </c>
      <c r="C417" s="2" t="inlineStr">
        <is>
          <t>M</t>
        </is>
      </c>
      <c r="D417" s="2" t="n">
        <v>100</v>
      </c>
      <c r="E417" s="4">
        <f>HYPERLINK("./Results/DLO\20180601_1.3.46.670589.33.1.63663964040469056700001.5385973552367785818_201_512_512_\Osteo_Sarco_1.png","RPT")</f>
        <v/>
      </c>
      <c r="F417" s="3" t="n">
        <v>218</v>
      </c>
      <c r="G417" s="3" t="n">
        <v>5</v>
      </c>
      <c r="H417" s="7" t="n"/>
      <c r="I417" t="inlineStr">
        <is>
          <t>Ingenuity Core 128</t>
        </is>
      </c>
      <c r="J417" t="inlineStr">
        <is>
          <t>Post 100/236 i3, iDose (3)</t>
        </is>
      </c>
    </row>
    <row r="418">
      <c r="A418" s="2" t="n">
        <v>4009493</v>
      </c>
      <c r="B418" s="2" t="n">
        <v>49</v>
      </c>
      <c r="C418" s="2" t="inlineStr">
        <is>
          <t>M</t>
        </is>
      </c>
      <c r="D418" s="2" t="n">
        <v>100</v>
      </c>
      <c r="E418" s="4">
        <f>HYPERLINK("./Results/DLO\20200501_1.3.46.670589.33.1.63725994103196966300001.5642967628589923468_201_512_512_\Osteo_Sarco_1.png","RPT")</f>
        <v/>
      </c>
      <c r="F418" s="3" t="n">
        <v>186</v>
      </c>
      <c r="G418" s="3" t="n">
        <v>6</v>
      </c>
      <c r="H418" s="7" t="n"/>
      <c r="I418" t="inlineStr">
        <is>
          <t>Ingenuity Core 128</t>
        </is>
      </c>
      <c r="J418" t="inlineStr">
        <is>
          <t>Post 3mm, iDose (3)</t>
        </is>
      </c>
    </row>
    <row r="419">
      <c r="A419" s="2" t="n">
        <v>8425448</v>
      </c>
      <c r="B419" s="2" t="n">
        <v>49</v>
      </c>
      <c r="C419" s="2" t="inlineStr">
        <is>
          <t>M</t>
        </is>
      </c>
      <c r="D419" s="2" t="n">
        <v>100</v>
      </c>
      <c r="E419" s="4">
        <f>HYPERLINK("./Results/DLO\20181101_1.3.46.670589.33.1.63676745659305182300001.4739951345838071587_201_512_512_\Osteo_Sarco_1.png","RPT")</f>
        <v/>
      </c>
      <c r="F419" s="3" t="n">
        <v>185</v>
      </c>
      <c r="G419" s="3" t="n">
        <v>3</v>
      </c>
      <c r="H419" s="7" t="n"/>
      <c r="I419" t="inlineStr">
        <is>
          <t>Ingenuity Core 128</t>
        </is>
      </c>
      <c r="J419" t="inlineStr">
        <is>
          <t>Post 100/236 i3, iDose (3)</t>
        </is>
      </c>
    </row>
    <row r="420">
      <c r="A420" s="2" t="n">
        <v>8824341</v>
      </c>
      <c r="B420" s="2" t="n">
        <v>49</v>
      </c>
      <c r="C420" s="2" t="inlineStr">
        <is>
          <t>M</t>
        </is>
      </c>
      <c r="D420" s="2" t="n">
        <v>100</v>
      </c>
      <c r="E420" s="4">
        <f>HYPERLINK("./Results/DLO\20180101_1.2.840.113619.2.94.485650834948.2.8563774.18454890.1_2_512_512_\Osteo_Sarco_1.png","RPT")</f>
        <v/>
      </c>
      <c r="F420" s="3" t="n">
        <v>172</v>
      </c>
      <c r="G420" s="3" t="n">
        <v>12</v>
      </c>
      <c r="H420" s="7" t="n"/>
      <c r="I420" t="inlineStr">
        <is>
          <t>Sensation 64</t>
        </is>
      </c>
      <c r="J420" t="inlineStr">
        <is>
          <t>With Contrast 3.0 B30f</t>
        </is>
      </c>
    </row>
    <row r="421">
      <c r="A421" s="2" t="n">
        <v>9019142</v>
      </c>
      <c r="B421" s="2" t="n">
        <v>49</v>
      </c>
      <c r="C421" s="2" t="inlineStr">
        <is>
          <t>M</t>
        </is>
      </c>
      <c r="D421" s="2" t="n">
        <v>100</v>
      </c>
      <c r="E421" s="4">
        <f>HYPERLINK("./Results/DLO\20180901_1.3.12.2.1107.5.1.4.65253.30000018090119141895000015450_3_512_512_\Osteo_Sarco_1.png","RPT")</f>
        <v/>
      </c>
      <c r="F421" s="3" t="n">
        <v>172</v>
      </c>
      <c r="G421" s="3" t="n">
        <v>10</v>
      </c>
      <c r="H421" s="7" t="n"/>
      <c r="I421" t="inlineStr">
        <is>
          <t>SOMATOM Definition AS</t>
        </is>
      </c>
      <c r="J421" t="inlineStr">
        <is>
          <t>Post Contrast 3.0 B30f</t>
        </is>
      </c>
    </row>
    <row r="422">
      <c r="A422" s="2" t="n">
        <v>8452087</v>
      </c>
      <c r="B422" s="2" t="n">
        <v>49</v>
      </c>
      <c r="C422" s="2" t="inlineStr">
        <is>
          <t>M</t>
        </is>
      </c>
      <c r="D422" s="2" t="n">
        <v>100</v>
      </c>
      <c r="E422" s="4">
        <f>HYPERLINK("./Results/DLO\20180301_1.3.12.2.1107.5.1.4.54310.30000018030823202420300009742_2_512_512_\Osteo_Sarco_1.png","RPT")</f>
        <v/>
      </c>
      <c r="F422" s="3" t="n">
        <v>171</v>
      </c>
      <c r="G422" s="3" t="n">
        <v>7</v>
      </c>
      <c r="H422" s="7" t="n"/>
      <c r="I422" t="inlineStr">
        <is>
          <t>Sensation 64</t>
        </is>
      </c>
      <c r="J422" t="inlineStr">
        <is>
          <t>With Contrast 3.0 B30f</t>
        </is>
      </c>
    </row>
    <row r="423">
      <c r="A423" s="2" t="n">
        <v>2554290</v>
      </c>
      <c r="B423" s="2" t="n">
        <v>49</v>
      </c>
      <c r="C423" s="2" t="inlineStr">
        <is>
          <t>M</t>
        </is>
      </c>
      <c r="D423" s="2" t="n">
        <v>100</v>
      </c>
      <c r="E423" s="4">
        <f>HYPERLINK("./Results/DLO\20190501_1.3.12.2.1107.5.1.4.54310.30000019052621325350000034591_2_512_512_\Osteo_Sarco_1.png","RPT")</f>
        <v/>
      </c>
      <c r="F423" s="3" t="n">
        <v>170</v>
      </c>
      <c r="G423" s="3" t="n">
        <v>14</v>
      </c>
      <c r="H423" s="7" t="n"/>
      <c r="I423" t="inlineStr">
        <is>
          <t>Sensation 64</t>
        </is>
      </c>
      <c r="J423" t="inlineStr">
        <is>
          <t>With Contrast 3.0 B30f</t>
        </is>
      </c>
    </row>
    <row r="424">
      <c r="A424" s="2" t="n">
        <v>6715946</v>
      </c>
      <c r="B424" s="2" t="n">
        <v>49</v>
      </c>
      <c r="C424" s="2" t="inlineStr">
        <is>
          <t>M</t>
        </is>
      </c>
      <c r="D424" s="2" t="n">
        <v>100</v>
      </c>
      <c r="E424" s="4">
        <f>HYPERLINK("./Results/DLO\20180201_1.2.840.113619.2.94.485650834948.2.8626200.18608140.1_2_512_512_\Osteo_Sarco_1.png","RPT")</f>
        <v/>
      </c>
      <c r="F424" s="3" t="n">
        <v>160</v>
      </c>
      <c r="G424" s="3" t="n">
        <v>4</v>
      </c>
      <c r="H424" s="7" t="n"/>
      <c r="I424" t="inlineStr">
        <is>
          <t>Sensation 64</t>
        </is>
      </c>
      <c r="J424" t="inlineStr">
        <is>
          <t>With Contrast 3.0 B30f</t>
        </is>
      </c>
    </row>
    <row r="425">
      <c r="A425" s="2" t="n">
        <v>8708035</v>
      </c>
      <c r="B425" s="2" t="n">
        <v>49</v>
      </c>
      <c r="C425" s="2" t="inlineStr">
        <is>
          <t>F</t>
        </is>
      </c>
      <c r="D425" s="2" t="n">
        <v>100</v>
      </c>
      <c r="E425" s="4">
        <f>HYPERLINK("./Results/DLO\20180301_1.3.12.2.1107.5.1.4.54310.30000018032623215707800011069_2_512_512_\Osteo_Sarco_1.png","RPT")</f>
        <v/>
      </c>
      <c r="F425" s="3" t="n">
        <v>149</v>
      </c>
      <c r="G425" s="3" t="n">
        <v>6</v>
      </c>
      <c r="H425" s="7" t="n"/>
      <c r="I425" t="inlineStr">
        <is>
          <t>Sensation 64</t>
        </is>
      </c>
      <c r="J425" t="inlineStr">
        <is>
          <t>With Contrast 3.0 B30f</t>
        </is>
      </c>
    </row>
    <row r="426">
      <c r="A426" s="2" t="n">
        <v>6738036</v>
      </c>
      <c r="B426" s="2" t="n">
        <v>49</v>
      </c>
      <c r="C426" s="2" t="inlineStr">
        <is>
          <t>F</t>
        </is>
      </c>
      <c r="D426" s="2" t="n">
        <v>100</v>
      </c>
      <c r="E426" s="4">
        <f>HYPERLINK("./Results/DLO\20180101_1.2.840.113619.2.311.208258891100932075961347134746373595741_303_512_512_\Osteo_Sarco_1.png","RPT")</f>
        <v/>
      </c>
      <c r="F426" s="3" t="n">
        <v>142</v>
      </c>
      <c r="G426" s="3" t="n">
        <v>12</v>
      </c>
      <c r="H426" s="7" t="n"/>
      <c r="I426" t="inlineStr">
        <is>
          <t>Revolution CT</t>
        </is>
      </c>
      <c r="J426" t="inlineStr">
        <is>
          <t>ABD 2.5mm</t>
        </is>
      </c>
    </row>
    <row r="427">
      <c r="A427" s="2" t="n">
        <v>9014233</v>
      </c>
      <c r="B427" s="2" t="n">
        <v>49</v>
      </c>
      <c r="C427" s="2" t="inlineStr">
        <is>
          <t>M</t>
        </is>
      </c>
      <c r="D427" s="2" t="n">
        <v>100</v>
      </c>
      <c r="E427" s="4">
        <f>HYPERLINK("./Results/DLO\20190401_1.3.12.2.1107.5.1.4.65253.30000019042221032679800064121_3_512_512_\Osteo_Sarco_1.png","RPT")</f>
        <v/>
      </c>
      <c r="F427" s="3" t="n">
        <v>141</v>
      </c>
      <c r="G427" s="3" t="n">
        <v>5</v>
      </c>
      <c r="H427" s="7" t="n"/>
      <c r="I427" t="inlineStr">
        <is>
          <t>SOMATOM Definition AS</t>
        </is>
      </c>
      <c r="J427" t="inlineStr">
        <is>
          <t>Post Contrast 3.0 B30f</t>
        </is>
      </c>
    </row>
    <row r="428">
      <c r="A428" s="2" t="n">
        <v>6157584</v>
      </c>
      <c r="B428" s="2" t="n">
        <v>49</v>
      </c>
      <c r="C428" s="2" t="inlineStr">
        <is>
          <t>M</t>
        </is>
      </c>
      <c r="D428" s="2" t="n">
        <v>100</v>
      </c>
      <c r="E428" s="4">
        <f>HYPERLINK("./Results/DLO\20200601_1.3.46.670589.33.1.63726600414120051400001.4879599266366373450_201_512_512_\Osteo_Sarco_1.png","RPT")</f>
        <v/>
      </c>
      <c r="F428" s="3" t="n">
        <v>132</v>
      </c>
      <c r="G428" s="3" t="n">
        <v>8</v>
      </c>
      <c r="H428" s="7" t="n"/>
      <c r="I428" t="inlineStr">
        <is>
          <t>Ingenuity Core 128</t>
        </is>
      </c>
      <c r="J428" t="inlineStr">
        <is>
          <t>Post 3mm, iDose (3)</t>
        </is>
      </c>
    </row>
    <row r="429">
      <c r="A429" s="2" t="n">
        <v>9811101</v>
      </c>
      <c r="B429" s="2" t="n">
        <v>49</v>
      </c>
      <c r="C429" s="2" t="inlineStr">
        <is>
          <t>F</t>
        </is>
      </c>
      <c r="D429" s="2" t="n">
        <v>100</v>
      </c>
      <c r="E429" s="4">
        <f>HYPERLINK("./Results/DLO\20191001_1.2.840.113619.2.416.300399548390147711282144621560457279294_312_512_512_\Osteo_Sarco_1.png","RPT")</f>
        <v/>
      </c>
      <c r="F429" s="3" t="n">
        <v>129</v>
      </c>
      <c r="G429" s="3" t="n">
        <v>9</v>
      </c>
      <c r="H429" s="7" t="n"/>
      <c r="I429" t="inlineStr">
        <is>
          <t>Revolution CT</t>
        </is>
      </c>
      <c r="J429" t="inlineStr">
        <is>
          <t>ABD</t>
        </is>
      </c>
    </row>
    <row r="430">
      <c r="A430" s="2" t="n">
        <v>9507221</v>
      </c>
      <c r="B430" s="2" t="n">
        <v>49</v>
      </c>
      <c r="C430" s="2" t="inlineStr">
        <is>
          <t>F</t>
        </is>
      </c>
      <c r="D430" s="2" t="n">
        <v>100</v>
      </c>
      <c r="E430" s="4">
        <f>HYPERLINK("./Results/DLO\20181101_1.2.840.113619.2.311.190024955141583090092460008190367421687_304_512_512_\Osteo_Sarco_1.png","RPT")</f>
        <v/>
      </c>
      <c r="F430" s="3" t="n">
        <v>124</v>
      </c>
      <c r="G430" s="3" t="n">
        <v>9</v>
      </c>
      <c r="H430" s="7" t="n"/>
      <c r="I430" t="inlineStr">
        <is>
          <t>Revolution CT</t>
        </is>
      </c>
      <c r="J430" t="inlineStr">
        <is>
          <t>ABD 2.5mm</t>
        </is>
      </c>
    </row>
    <row r="431">
      <c r="A431" s="2" t="n">
        <v>6738123</v>
      </c>
      <c r="B431" s="2" t="n">
        <v>49</v>
      </c>
      <c r="C431" s="2" t="inlineStr">
        <is>
          <t>M</t>
        </is>
      </c>
      <c r="D431" s="2" t="n">
        <v>100</v>
      </c>
      <c r="E431" s="4">
        <f>HYPERLINK("./Results/DLO\20180501_1.3.12.2.1107.5.1.4.54310.30000018051023541153100009251_2_512_512_\Osteo_Sarco_1.png","RPT")</f>
        <v/>
      </c>
      <c r="F431" s="3" t="n">
        <v>122</v>
      </c>
      <c r="G431" s="3" t="n">
        <v>5</v>
      </c>
      <c r="H431" s="6" t="n">
        <v>19.93</v>
      </c>
      <c r="I431" t="inlineStr">
        <is>
          <t>Sensation 64</t>
        </is>
      </c>
      <c r="J431" t="inlineStr">
        <is>
          <t>With Contrast 3.0 B30f</t>
        </is>
      </c>
    </row>
    <row r="432">
      <c r="A432" s="2" t="n">
        <v>3669270</v>
      </c>
      <c r="B432" s="2" t="n">
        <v>49</v>
      </c>
      <c r="C432" s="2" t="inlineStr">
        <is>
          <t>M</t>
        </is>
      </c>
      <c r="D432" s="2" t="n">
        <v>100</v>
      </c>
      <c r="E432" s="4">
        <f>HYPERLINK("./Results/DLO\20180201_1.3.12.2.1107.5.1.4.54310.30000018020523134789000001979_2_512_512_\Osteo_Sarco_1.png","RPT")</f>
        <v/>
      </c>
      <c r="F432" s="3" t="n">
        <v>119</v>
      </c>
      <c r="G432" s="3" t="n">
        <v>4</v>
      </c>
      <c r="H432" s="7" t="n"/>
      <c r="I432" t="inlineStr">
        <is>
          <t>Sensation 64</t>
        </is>
      </c>
      <c r="J432" t="inlineStr">
        <is>
          <t>With Contrast 3.0 B30f</t>
        </is>
      </c>
    </row>
    <row r="433">
      <c r="A433" s="2" t="n">
        <v>2029645</v>
      </c>
      <c r="B433" s="2" t="n">
        <v>49</v>
      </c>
      <c r="C433" s="2" t="inlineStr">
        <is>
          <t>F</t>
        </is>
      </c>
      <c r="D433" s="2" t="n">
        <v>100</v>
      </c>
      <c r="E433" s="4">
        <f>HYPERLINK("./Results/DLO\20180701_1.2.840.113619.2.416.162901327935166017630407412543229038017_304_512_512_\Osteo_Sarco_1.png","RPT")</f>
        <v/>
      </c>
      <c r="F433" s="3" t="n">
        <v>113</v>
      </c>
      <c r="G433" s="3" t="n">
        <v>6</v>
      </c>
      <c r="H433" s="7" t="n"/>
      <c r="I433" t="inlineStr">
        <is>
          <t>Revolution CT</t>
        </is>
      </c>
      <c r="J433" t="inlineStr">
        <is>
          <t>ABD 2.5mm</t>
        </is>
      </c>
    </row>
    <row r="434">
      <c r="A434" s="2" t="n">
        <v>6738942</v>
      </c>
      <c r="B434" s="2" t="n">
        <v>49</v>
      </c>
      <c r="C434" s="2" t="inlineStr">
        <is>
          <t>F</t>
        </is>
      </c>
      <c r="D434" s="2" t="n">
        <v>100</v>
      </c>
      <c r="E434" s="4">
        <f>HYPERLINK("./Results/DLO\20181001_1.3.12.2.1107.5.1.4.54310.30000018100400030451500006310_2_512_512_\Osteo_Sarco_1.png","RPT")</f>
        <v/>
      </c>
      <c r="F434" s="3" t="n">
        <v>113</v>
      </c>
      <c r="G434" s="3" t="n">
        <v>5</v>
      </c>
      <c r="H434" s="7" t="n"/>
      <c r="I434" t="inlineStr">
        <is>
          <t>Sensation 64</t>
        </is>
      </c>
      <c r="J434" t="inlineStr">
        <is>
          <t>With Contrast 3.0 B30f</t>
        </is>
      </c>
    </row>
    <row r="435">
      <c r="A435" s="2" t="n">
        <v>6742894</v>
      </c>
      <c r="B435" s="2" t="n">
        <v>49</v>
      </c>
      <c r="C435" s="2" t="inlineStr">
        <is>
          <t>F</t>
        </is>
      </c>
      <c r="D435" s="2" t="n">
        <v>100</v>
      </c>
      <c r="E435" s="4">
        <f>HYPERLINK("./Results/DLO\20180201_1.3.12.2.1107.5.1.4.65253.30000018022018502937900032810_2_512_512_\Osteo_Sarco_1.png","RPT")</f>
        <v/>
      </c>
      <c r="F435" s="3" t="n">
        <v>110</v>
      </c>
      <c r="G435" s="3" t="n">
        <v>15</v>
      </c>
      <c r="H435" s="6" t="n">
        <v>20.82</v>
      </c>
      <c r="I435" t="inlineStr">
        <is>
          <t>SOMATOM Definition AS</t>
        </is>
      </c>
      <c r="J435" t="inlineStr">
        <is>
          <t>With Contrast 3.0 B30f</t>
        </is>
      </c>
    </row>
    <row r="436">
      <c r="A436" s="2" t="n">
        <v>8637691</v>
      </c>
      <c r="B436" s="2" t="n">
        <v>49</v>
      </c>
      <c r="C436" s="2" t="inlineStr">
        <is>
          <t>F</t>
        </is>
      </c>
      <c r="D436" s="2" t="n">
        <v>100</v>
      </c>
      <c r="E436" s="4">
        <f>HYPERLINK("./Results/DLO\20180401_1.2.840.113619.2.311.194530814301598243372983297059154822007_303_512_512_\Osteo_Sarco_1.png","RPT")</f>
        <v/>
      </c>
      <c r="F436" s="3" t="n">
        <v>109</v>
      </c>
      <c r="G436" s="3" t="n">
        <v>11</v>
      </c>
      <c r="H436" s="7" t="n"/>
      <c r="I436" t="inlineStr">
        <is>
          <t>Revolution CT</t>
        </is>
      </c>
      <c r="J436" t="inlineStr">
        <is>
          <t>ABD 2.5mm</t>
        </is>
      </c>
    </row>
    <row r="437">
      <c r="A437" s="2" t="n">
        <v>533152</v>
      </c>
      <c r="B437" s="2" t="n">
        <v>49</v>
      </c>
      <c r="C437" s="2" t="inlineStr">
        <is>
          <t>F</t>
        </is>
      </c>
      <c r="D437" s="2" t="n">
        <v>100</v>
      </c>
      <c r="E437" s="4">
        <f>HYPERLINK("./Results/DLO\20180701_1.3.46.670589.33.1.63666211828391117600001.5002375027028883802_201_512_512_\Osteo_Sarco_1.png","RPT")</f>
        <v/>
      </c>
      <c r="F437" s="3" t="n">
        <v>107</v>
      </c>
      <c r="G437" s="3" t="n">
        <v>5</v>
      </c>
      <c r="H437" s="7" t="n"/>
      <c r="I437" t="inlineStr">
        <is>
          <t>Ingenuity Core 128</t>
        </is>
      </c>
      <c r="J437" t="inlineStr">
        <is>
          <t>Post 100/236 i3, iDose (3)</t>
        </is>
      </c>
    </row>
    <row r="438">
      <c r="A438" s="2" t="n">
        <v>6168444</v>
      </c>
      <c r="B438" s="2" t="n">
        <v>49</v>
      </c>
      <c r="C438" s="2" t="inlineStr">
        <is>
          <t>F</t>
        </is>
      </c>
      <c r="D438" s="2" t="n">
        <v>100</v>
      </c>
      <c r="E438" s="4">
        <f>HYPERLINK("./Results/DLO\20190501_1.2.840.113619.2.416.48040201065880057844430490023473206207_310_512_512_\Osteo_Sarco_1.png","RPT")</f>
        <v/>
      </c>
      <c r="F438" s="3" t="n">
        <v>107</v>
      </c>
      <c r="G438" s="3" t="n">
        <v>17</v>
      </c>
      <c r="H438" s="7" t="n"/>
      <c r="I438" t="inlineStr">
        <is>
          <t>Revolution CT</t>
        </is>
      </c>
      <c r="J438" t="inlineStr">
        <is>
          <t>ABD</t>
        </is>
      </c>
    </row>
    <row r="439">
      <c r="A439" s="2" t="n">
        <v>6051844</v>
      </c>
      <c r="B439" s="2" t="n">
        <v>49</v>
      </c>
      <c r="C439" s="2" t="inlineStr">
        <is>
          <t>F</t>
        </is>
      </c>
      <c r="D439" s="2" t="n">
        <v>100</v>
      </c>
      <c r="E439" s="4">
        <f>HYPERLINK("./Results/DLO\20190101_1.3.12.2.1107.5.1.4.54310.30000019011323092907800000001_2_512_512_\Osteo_Sarco_1.png","RPT")</f>
        <v/>
      </c>
      <c r="F439" s="3" t="n">
        <v>106</v>
      </c>
      <c r="G439" s="3" t="n">
        <v>6</v>
      </c>
      <c r="H439" s="7" t="n"/>
      <c r="I439" t="inlineStr">
        <is>
          <t>Sensation 64</t>
        </is>
      </c>
      <c r="J439" t="inlineStr">
        <is>
          <t>Pre Contrast 3.0 B30f</t>
        </is>
      </c>
    </row>
    <row r="440">
      <c r="A440" s="2" t="n">
        <v>5244929</v>
      </c>
      <c r="B440" s="2" t="n">
        <v>49</v>
      </c>
      <c r="C440" s="2" t="inlineStr">
        <is>
          <t>F</t>
        </is>
      </c>
      <c r="D440" s="2" t="n">
        <v>100</v>
      </c>
      <c r="E440" s="4">
        <f>HYPERLINK("./Results/DLO\20180501_1.2.840.113619.2.311.205774286425428710491359833954585364175_303_512_512_\Osteo_Sarco_1.png","RPT")</f>
        <v/>
      </c>
      <c r="F440" s="3" t="n">
        <v>104</v>
      </c>
      <c r="G440" s="3" t="n">
        <v>6</v>
      </c>
      <c r="H440" s="7" t="n"/>
      <c r="I440" t="inlineStr">
        <is>
          <t>Revolution CT</t>
        </is>
      </c>
      <c r="J440" t="inlineStr">
        <is>
          <t>ABD 2.5mm</t>
        </is>
      </c>
    </row>
    <row r="441">
      <c r="A441" s="2" t="n">
        <v>9528006</v>
      </c>
      <c r="B441" s="2" t="n">
        <v>49</v>
      </c>
      <c r="C441" s="2" t="inlineStr">
        <is>
          <t>F</t>
        </is>
      </c>
      <c r="D441" s="2" t="n">
        <v>100</v>
      </c>
      <c r="E441" s="4">
        <f>HYPERLINK("./Results/DLO\20181201_1.2.840.113619.2.311.174942032801462104219960313209803875597_304_512_512_\Osteo_Sarco_1.png","RPT")</f>
        <v/>
      </c>
      <c r="F441" s="3" t="n">
        <v>104</v>
      </c>
      <c r="G441" s="3" t="n">
        <v>7</v>
      </c>
      <c r="H441" s="7" t="n"/>
      <c r="I441" t="inlineStr">
        <is>
          <t>Revolution CT</t>
        </is>
      </c>
      <c r="J441" t="inlineStr">
        <is>
          <t>ABD 2.5mm</t>
        </is>
      </c>
    </row>
    <row r="442">
      <c r="A442" s="2" t="n">
        <v>8835883</v>
      </c>
      <c r="B442" s="2" t="n">
        <v>49</v>
      </c>
      <c r="C442" s="2" t="inlineStr">
        <is>
          <t>F</t>
        </is>
      </c>
      <c r="D442" s="2" t="n">
        <v>100</v>
      </c>
      <c r="E442" s="4">
        <f>HYPERLINK("./Results/DLO\20180801_1.3.12.2.1107.5.1.4.54310.30000018082023551314000010429_2_512_512_\Osteo_Sarco_1.png","RPT")</f>
        <v/>
      </c>
      <c r="F442" s="3" t="n">
        <v>101</v>
      </c>
      <c r="G442" s="3" t="n">
        <v>8</v>
      </c>
      <c r="H442" s="7" t="n"/>
      <c r="I442" t="inlineStr">
        <is>
          <t>Sensation 64</t>
        </is>
      </c>
      <c r="J442" t="inlineStr">
        <is>
          <t>With Contrast 3.0 B30f</t>
        </is>
      </c>
    </row>
    <row r="443">
      <c r="A443" s="2" t="n">
        <v>1997688</v>
      </c>
      <c r="B443" s="2" t="n">
        <v>50</v>
      </c>
      <c r="C443" s="2" t="inlineStr">
        <is>
          <t>F</t>
        </is>
      </c>
      <c r="D443" s="2" t="n">
        <v>100</v>
      </c>
      <c r="E443" s="4">
        <f>HYPERLINK("./Results/DLO\_1.2.410.100011.172.16.68.202.6367365871931926251.2.2_2_512_512_\Osteo_Sarco_1.png","RPT")</f>
        <v/>
      </c>
      <c r="F443" s="3" t="n">
        <v>96</v>
      </c>
      <c r="G443" s="3" t="n">
        <v>25</v>
      </c>
      <c r="H443" s="7" t="n"/>
      <c r="I443" t="inlineStr">
        <is>
          <t>iCT 256</t>
        </is>
      </c>
      <c r="J443" t="inlineStr">
        <is>
          <t>L/D</t>
        </is>
      </c>
    </row>
    <row r="444">
      <c r="A444" s="2" t="n">
        <v>9421813</v>
      </c>
      <c r="B444" s="2" t="n">
        <v>50</v>
      </c>
      <c r="C444" s="2" t="inlineStr">
        <is>
          <t>F</t>
        </is>
      </c>
      <c r="D444" s="2" t="n">
        <v>100</v>
      </c>
      <c r="E444" s="4">
        <f>HYPERLINK("./Results/DLO\20180801_1.2.840.113619.2.416.94532779456922353563268229772151815507_302_512_512_\Osteo_Sarco_1.png","RPT")</f>
        <v/>
      </c>
      <c r="F444" s="3" t="n">
        <v>95</v>
      </c>
      <c r="G444" s="3" t="n">
        <v>7</v>
      </c>
      <c r="H444" s="7" t="n"/>
      <c r="I444" t="inlineStr">
        <is>
          <t>Revolution CT</t>
        </is>
      </c>
      <c r="J444" t="inlineStr">
        <is>
          <t>PORTAL</t>
        </is>
      </c>
    </row>
    <row r="445">
      <c r="A445" s="2" t="n">
        <v>5829409</v>
      </c>
      <c r="B445" s="2" t="n">
        <v>50</v>
      </c>
      <c r="C445" s="2" t="inlineStr">
        <is>
          <t>F</t>
        </is>
      </c>
      <c r="D445" s="2" t="n">
        <v>100</v>
      </c>
      <c r="E445" s="4">
        <f>HYPERLINK("./Results/DLO\20190701_1.3.46.670589.33.1.63699642093987767500001.5196831061707034136_201_512_512_\Osteo_Sarco_1.png","RPT")</f>
        <v/>
      </c>
      <c r="F445" s="3" t="n">
        <v>94</v>
      </c>
      <c r="G445" s="3" t="n">
        <v>7</v>
      </c>
      <c r="H445" s="7" t="n"/>
      <c r="I445" t="inlineStr">
        <is>
          <t>Ingenuity Core 128</t>
        </is>
      </c>
      <c r="J445" t="inlineStr">
        <is>
          <t>Post 3mm, iDose (3)</t>
        </is>
      </c>
    </row>
    <row r="446">
      <c r="A446" s="2" t="n">
        <v>8917641</v>
      </c>
      <c r="B446" s="2" t="n">
        <v>50</v>
      </c>
      <c r="C446" s="2" t="inlineStr">
        <is>
          <t>F</t>
        </is>
      </c>
      <c r="D446" s="2" t="n">
        <v>100</v>
      </c>
      <c r="E446" s="4">
        <f>HYPERLINK("./Results/DLO\20181201_1.3.12.2.1107.5.1.4.65253.30000018123019150732100026757_2_512_512_\Osteo_Sarco_1.png","RPT")</f>
        <v/>
      </c>
      <c r="F446" s="3" t="n">
        <v>88</v>
      </c>
      <c r="G446" s="3" t="n">
        <v>6</v>
      </c>
      <c r="H446" s="7" t="n"/>
      <c r="I446" t="inlineStr">
        <is>
          <t>SOMATOM Definition AS</t>
        </is>
      </c>
      <c r="J446" t="inlineStr">
        <is>
          <t>Pre Contrast 3.0 B30f</t>
        </is>
      </c>
    </row>
    <row r="447">
      <c r="A447" s="2" t="n">
        <v>9261678</v>
      </c>
      <c r="B447" s="2" t="n">
        <v>50</v>
      </c>
      <c r="C447" s="2" t="inlineStr">
        <is>
          <t>M</t>
        </is>
      </c>
      <c r="D447" s="2" t="n">
        <v>100</v>
      </c>
      <c r="E447" s="4">
        <f>HYPERLINK("./Results/DLO\20190401_1.3.12.2.1107.5.1.4.65253.30000019042718450073100034283_6_512_512_\Osteo_Sarco_1.png","RPT")</f>
        <v/>
      </c>
      <c r="F447" s="3" t="n">
        <v>197</v>
      </c>
      <c r="G447" s="3" t="n">
        <v>9</v>
      </c>
      <c r="H447" s="7" t="n"/>
      <c r="I447" t="inlineStr">
        <is>
          <t>SOMATOM Definition AS</t>
        </is>
      </c>
      <c r="J447" t="inlineStr">
        <is>
          <t>Portal Phase 3.0 B30f</t>
        </is>
      </c>
    </row>
    <row r="448">
      <c r="A448" s="2" t="n">
        <v>9833208</v>
      </c>
      <c r="B448" s="2" t="n">
        <v>50</v>
      </c>
      <c r="C448" s="2" t="inlineStr">
        <is>
          <t>M</t>
        </is>
      </c>
      <c r="D448" s="2" t="n">
        <v>100</v>
      </c>
      <c r="E448" s="4">
        <f>HYPERLINK("./Results/DLO\20191101_1.3.12.2.1107.5.1.4.54310.30000019110621322968700070515_2_512_512_\Osteo_Sarco_1.png","RPT")</f>
        <v/>
      </c>
      <c r="F448" s="3" t="n">
        <v>193</v>
      </c>
      <c r="G448" s="3" t="n">
        <v>9</v>
      </c>
      <c r="H448" s="7" t="n"/>
      <c r="I448" t="inlineStr">
        <is>
          <t>Sensation 64</t>
        </is>
      </c>
      <c r="J448" t="inlineStr">
        <is>
          <t>With Contrast 3.0 B30f</t>
        </is>
      </c>
    </row>
    <row r="449">
      <c r="A449" s="2" t="n">
        <v>4189992</v>
      </c>
      <c r="B449" s="2" t="n">
        <v>50</v>
      </c>
      <c r="C449" s="2" t="inlineStr">
        <is>
          <t>M</t>
        </is>
      </c>
      <c r="D449" s="2" t="n">
        <v>100</v>
      </c>
      <c r="E449" s="4">
        <f>HYPERLINK("./Results/DLO\20181101_1.2.840.113619.2.416.177909600152353817168370031584676581041_302_512_512_\Osteo_Sarco_1.png","RPT")</f>
        <v/>
      </c>
      <c r="F449" s="3" t="n">
        <v>186</v>
      </c>
      <c r="G449" s="3" t="n">
        <v>16</v>
      </c>
      <c r="H449" s="7" t="n"/>
      <c r="I449" t="inlineStr">
        <is>
          <t>Revolution CT</t>
        </is>
      </c>
      <c r="J449" t="inlineStr">
        <is>
          <t>PORTAL</t>
        </is>
      </c>
    </row>
    <row r="450">
      <c r="A450" s="2" t="n">
        <v>8279547</v>
      </c>
      <c r="B450" s="2" t="n">
        <v>50</v>
      </c>
      <c r="C450" s="2" t="inlineStr">
        <is>
          <t>M</t>
        </is>
      </c>
      <c r="D450" s="2" t="n">
        <v>100</v>
      </c>
      <c r="E450" s="4">
        <f>HYPERLINK("./Results/DLO\20180601_1.3.46.670589.33.1.63665255186933356000001.4778328652254462900_201_512_512_\Osteo_Sarco_1.png","RPT")</f>
        <v/>
      </c>
      <c r="F450" s="3" t="n">
        <v>178</v>
      </c>
      <c r="G450" s="3" t="n">
        <v>14</v>
      </c>
      <c r="H450" s="7" t="n"/>
      <c r="I450" t="inlineStr">
        <is>
          <t>Ingenuity Core 128</t>
        </is>
      </c>
      <c r="J450" t="inlineStr">
        <is>
          <t>Post 100/236 i3, iDose (3)</t>
        </is>
      </c>
    </row>
    <row r="451">
      <c r="A451" s="2" t="n">
        <v>9425760</v>
      </c>
      <c r="B451" s="2" t="n">
        <v>50</v>
      </c>
      <c r="C451" s="2" t="inlineStr">
        <is>
          <t>M</t>
        </is>
      </c>
      <c r="D451" s="2" t="n">
        <v>100</v>
      </c>
      <c r="E451" s="4">
        <f>HYPERLINK("./Results/DLO\20180801_1.3.12.2.1107.5.1.4.54310.30000018080623173053100040903_3_512_512_\Osteo_Sarco_1.png","RPT")</f>
        <v/>
      </c>
      <c r="F451" s="3" t="n">
        <v>176</v>
      </c>
      <c r="G451" s="3" t="n">
        <v>4</v>
      </c>
      <c r="H451" s="6" t="n">
        <v>25.71</v>
      </c>
      <c r="I451" t="inlineStr">
        <is>
          <t>Sensation 64</t>
        </is>
      </c>
      <c r="J451" t="inlineStr">
        <is>
          <t>Pre Contrast 3.0 B30f</t>
        </is>
      </c>
    </row>
    <row r="452">
      <c r="A452" s="2" t="n">
        <v>2818633</v>
      </c>
      <c r="B452" s="2" t="n">
        <v>50</v>
      </c>
      <c r="C452" s="2" t="inlineStr">
        <is>
          <t>M</t>
        </is>
      </c>
      <c r="D452" s="2" t="n">
        <v>100</v>
      </c>
      <c r="E452" s="4">
        <f>HYPERLINK("./Results/DLO\20180901_1.3.12.2.1107.5.1.4.65253.30000018090119141895000003288_2_512_512_\Osteo_Sarco_1.png","RPT")</f>
        <v/>
      </c>
      <c r="F452" s="3" t="n">
        <v>176</v>
      </c>
      <c r="G452" s="3" t="n">
        <v>11</v>
      </c>
      <c r="H452" s="7" t="n"/>
      <c r="I452" t="inlineStr">
        <is>
          <t>SOMATOM Definition AS</t>
        </is>
      </c>
      <c r="J452" t="inlineStr">
        <is>
          <t>With Contrast 3.0 B30f</t>
        </is>
      </c>
    </row>
    <row r="453">
      <c r="A453" s="2" t="n">
        <v>9497336</v>
      </c>
      <c r="B453" s="2" t="n">
        <v>50</v>
      </c>
      <c r="C453" s="2" t="inlineStr">
        <is>
          <t>M</t>
        </is>
      </c>
      <c r="D453" s="2" t="n">
        <v>100</v>
      </c>
      <c r="E453" s="4">
        <f>HYPERLINK("./Results/DLO\20181201_1.3.46.670589.33.1.63680031167983442300001.5213381357138615784_201_512_512_\Osteo_Sarco_1.png","RPT")</f>
        <v/>
      </c>
      <c r="F453" s="3" t="n">
        <v>172</v>
      </c>
      <c r="G453" s="3" t="n">
        <v>4</v>
      </c>
      <c r="H453" s="7" t="n"/>
      <c r="I453" t="inlineStr">
        <is>
          <t>Ingenuity Core 128</t>
        </is>
      </c>
      <c r="J453" t="inlineStr">
        <is>
          <t>Post 100/236 i3, iDose (3)</t>
        </is>
      </c>
    </row>
    <row r="454">
      <c r="A454" s="2" t="n">
        <v>5843525</v>
      </c>
      <c r="B454" s="2" t="n">
        <v>50</v>
      </c>
      <c r="C454" s="2" t="inlineStr">
        <is>
          <t>F</t>
        </is>
      </c>
      <c r="D454" s="2" t="n">
        <v>100</v>
      </c>
      <c r="E454" s="4">
        <f>HYPERLINK("./Results/DLO\20191101_1.2.840.113619.2.416.225158955686357589230202267588453282683_310_512_512_\Osteo_Sarco_1.png","RPT")</f>
        <v/>
      </c>
      <c r="F454" s="3" t="n">
        <v>160</v>
      </c>
      <c r="G454" s="3" t="n">
        <v>11</v>
      </c>
      <c r="H454" s="7" t="n"/>
      <c r="I454" t="inlineStr">
        <is>
          <t>Revolution CT</t>
        </is>
      </c>
      <c r="J454" t="inlineStr">
        <is>
          <t>ABD</t>
        </is>
      </c>
    </row>
    <row r="455">
      <c r="A455" s="2" t="n">
        <v>8831295</v>
      </c>
      <c r="B455" s="2" t="n">
        <v>50</v>
      </c>
      <c r="C455" s="2" t="inlineStr">
        <is>
          <t>M</t>
        </is>
      </c>
      <c r="D455" s="2" t="n">
        <v>100</v>
      </c>
      <c r="E455" s="4">
        <f>HYPERLINK("./Results/DLO\20181001_1.3.46.670589.33.1.63676059810526901100001.5683288243091545741_601_512_512_\Osteo_Sarco_1.png","RPT")</f>
        <v/>
      </c>
      <c r="F455" s="3" t="n">
        <v>156</v>
      </c>
      <c r="G455" s="3" t="n">
        <v>8</v>
      </c>
      <c r="H455" s="7" t="n"/>
      <c r="I455" t="inlineStr">
        <is>
          <t>Ingenuity Core 128</t>
        </is>
      </c>
      <c r="J455" t="inlineStr">
        <is>
          <t>Post 100/236 i3, iDose (3)</t>
        </is>
      </c>
    </row>
    <row r="456">
      <c r="A456" s="2" t="n">
        <v>2671168</v>
      </c>
      <c r="B456" s="2" t="n">
        <v>50</v>
      </c>
      <c r="C456" s="2" t="inlineStr">
        <is>
          <t>M</t>
        </is>
      </c>
      <c r="D456" s="2" t="n">
        <v>100</v>
      </c>
      <c r="E456" s="4">
        <f>HYPERLINK("./Results/DLO\20180801_1.2.840.113619.2.311.258982732842566526056395612161990956821_304_512_512_\Osteo_Sarco_1.png","RPT")</f>
        <v/>
      </c>
      <c r="F456" s="3" t="n">
        <v>153</v>
      </c>
      <c r="G456" s="3" t="n">
        <v>14</v>
      </c>
      <c r="H456" s="7" t="n"/>
      <c r="I456" t="inlineStr">
        <is>
          <t>Revolution CT</t>
        </is>
      </c>
      <c r="J456" t="inlineStr">
        <is>
          <t>ABD 2.5mm</t>
        </is>
      </c>
    </row>
    <row r="457">
      <c r="A457" s="2" t="n">
        <v>4949442</v>
      </c>
      <c r="B457" s="2" t="n">
        <v>50</v>
      </c>
      <c r="C457" s="2" t="inlineStr">
        <is>
          <t>M</t>
        </is>
      </c>
      <c r="D457" s="2" t="n">
        <v>100</v>
      </c>
      <c r="E457" s="4">
        <f>HYPERLINK("./Results/DLO\20180301_1.3.12.2.1107.5.1.4.65253.30000018030122001879200000748_2_512_512_\Osteo_Sarco_1.png","RPT")</f>
        <v/>
      </c>
      <c r="F457" s="3" t="n">
        <v>151</v>
      </c>
      <c r="G457" s="3" t="n">
        <v>6</v>
      </c>
      <c r="H457" s="7" t="n"/>
      <c r="I457" t="inlineStr">
        <is>
          <t>SOMATOM Definition AS</t>
        </is>
      </c>
      <c r="J457" t="inlineStr">
        <is>
          <t>With Contrast 3.0 B30f</t>
        </is>
      </c>
    </row>
    <row r="458">
      <c r="A458" s="2" t="n">
        <v>4135019</v>
      </c>
      <c r="B458" s="2" t="n">
        <v>50</v>
      </c>
      <c r="C458" s="2" t="inlineStr">
        <is>
          <t>M</t>
        </is>
      </c>
      <c r="D458" s="2" t="n">
        <v>100</v>
      </c>
      <c r="E458" s="4">
        <f>HYPERLINK("./Results/DLO\20191201_1.3.46.670589.33.1.63711660158328419200001.5100553247253174950_201_512_512_\Osteo_Sarco_1.png","RPT")</f>
        <v/>
      </c>
      <c r="F458" s="3" t="n">
        <v>134</v>
      </c>
      <c r="G458" s="3" t="n">
        <v>4</v>
      </c>
      <c r="H458" s="7" t="n"/>
      <c r="I458" t="inlineStr">
        <is>
          <t>Ingenuity Core 128</t>
        </is>
      </c>
      <c r="J458" t="inlineStr">
        <is>
          <t>Post 3mm, iDose (3)</t>
        </is>
      </c>
    </row>
    <row r="459">
      <c r="A459" s="2" t="n">
        <v>8281805</v>
      </c>
      <c r="B459" s="2" t="n">
        <v>50</v>
      </c>
      <c r="C459" s="2" t="inlineStr">
        <is>
          <t>F</t>
        </is>
      </c>
      <c r="D459" s="2" t="n">
        <v>100</v>
      </c>
      <c r="E459" s="4">
        <f>HYPERLINK("./Results/DLO\20180701_1.2.840.113619.2.94.485650834948.2.8974008.19460062.1_2_512_512_\Osteo_Sarco_1.png","RPT")</f>
        <v/>
      </c>
      <c r="F459" s="3" t="n">
        <v>130</v>
      </c>
      <c r="G459" s="3" t="n">
        <v>12</v>
      </c>
      <c r="H459" s="7" t="n"/>
      <c r="I459" t="inlineStr">
        <is>
          <t>Sensation 64</t>
        </is>
      </c>
      <c r="J459" t="inlineStr">
        <is>
          <t>With Contrast 3.0 B30f</t>
        </is>
      </c>
    </row>
    <row r="460">
      <c r="A460" s="2" t="n">
        <v>9775039</v>
      </c>
      <c r="B460" s="2" t="n">
        <v>50</v>
      </c>
      <c r="C460" s="2" t="inlineStr">
        <is>
          <t>F</t>
        </is>
      </c>
      <c r="D460" s="2" t="n">
        <v>100</v>
      </c>
      <c r="E460" s="4">
        <f>HYPERLINK("./Results/DLO\20190901_1.2.840.113619.2.416.177462769389706689025406291411393786607_310_512_512_\Osteo_Sarco_1.png","RPT")</f>
        <v/>
      </c>
      <c r="F460" s="3" t="n">
        <v>130</v>
      </c>
      <c r="G460" s="3" t="n">
        <v>6</v>
      </c>
      <c r="H460" s="7" t="n"/>
      <c r="I460" t="inlineStr">
        <is>
          <t>Revolution CT</t>
        </is>
      </c>
      <c r="J460" t="inlineStr">
        <is>
          <t>ABD</t>
        </is>
      </c>
    </row>
    <row r="461">
      <c r="A461" s="2" t="n">
        <v>9963627</v>
      </c>
      <c r="B461" s="2" t="n">
        <v>50</v>
      </c>
      <c r="C461" s="2" t="inlineStr">
        <is>
          <t>F</t>
        </is>
      </c>
      <c r="D461" s="2" t="n">
        <v>100</v>
      </c>
      <c r="E461" s="4">
        <f>HYPERLINK("./Results/DLO\20200401_1.3.12.2.1107.5.1.4.54310.30000020042622125429600047051_8_512_512_\Osteo_Sarco_1.png","RPT")</f>
        <v/>
      </c>
      <c r="F461" s="3" t="n">
        <v>128</v>
      </c>
      <c r="G461" s="3" t="n">
        <v>8</v>
      </c>
      <c r="H461" s="7" t="n"/>
      <c r="I461" t="inlineStr">
        <is>
          <t>Sensation 64</t>
        </is>
      </c>
      <c r="J461" t="inlineStr">
        <is>
          <t>ABD 3mm B30f</t>
        </is>
      </c>
    </row>
    <row r="462">
      <c r="A462" s="2" t="n">
        <v>9008184</v>
      </c>
      <c r="B462" s="2" t="n">
        <v>50</v>
      </c>
      <c r="C462" s="2" t="inlineStr">
        <is>
          <t>M</t>
        </is>
      </c>
      <c r="D462" s="2" t="n">
        <v>100</v>
      </c>
      <c r="E462" s="4">
        <f>HYPERLINK("./Results/DLO\20180601_1.3.12.2.1107.5.1.4.65253.30000018062519201171800065176_3_512_512_\Osteo_Sarco_1.png","RPT")</f>
        <v/>
      </c>
      <c r="F462" s="3" t="n">
        <v>126</v>
      </c>
      <c r="G462" s="3" t="n">
        <v>4</v>
      </c>
      <c r="H462" s="7" t="n"/>
      <c r="I462" t="inlineStr">
        <is>
          <t>SOMATOM Definition AS</t>
        </is>
      </c>
      <c r="J462" t="inlineStr">
        <is>
          <t>Pre Contrast 3.0 B30f</t>
        </is>
      </c>
    </row>
    <row r="463">
      <c r="A463" s="2" t="n">
        <v>6739157</v>
      </c>
      <c r="B463" s="2" t="n">
        <v>50</v>
      </c>
      <c r="C463" s="2" t="inlineStr">
        <is>
          <t>F</t>
        </is>
      </c>
      <c r="D463" s="2" t="n">
        <v>100</v>
      </c>
      <c r="E463" s="4">
        <f>HYPERLINK("./Results/DLO\20190101_1.2.840.113619.2.311.266455263442488846687757202743191131545_303_512_512_\Osteo_Sarco_1.png","RPT")</f>
        <v/>
      </c>
      <c r="F463" s="3" t="n">
        <v>123</v>
      </c>
      <c r="G463" s="3" t="n">
        <v>8</v>
      </c>
      <c r="H463" s="7" t="n"/>
      <c r="I463" t="inlineStr">
        <is>
          <t>Revolution CT</t>
        </is>
      </c>
      <c r="J463" t="inlineStr">
        <is>
          <t>ABD 2.5mm</t>
        </is>
      </c>
    </row>
    <row r="464">
      <c r="A464" s="2" t="n">
        <v>9002483</v>
      </c>
      <c r="B464" s="2" t="n">
        <v>50</v>
      </c>
      <c r="C464" s="2" t="inlineStr">
        <is>
          <t>F</t>
        </is>
      </c>
      <c r="D464" s="2" t="n">
        <v>100</v>
      </c>
      <c r="E464" s="4">
        <f>HYPERLINK("./Results/DLO\20180601_1.3.12.2.1107.5.1.4.65253.30000018062419204736100008849_7_512_512_\Osteo_Sarco_1.png","RPT")</f>
        <v/>
      </c>
      <c r="F464" s="3" t="n">
        <v>120</v>
      </c>
      <c r="G464" s="3" t="n">
        <v>11</v>
      </c>
      <c r="H464" s="7" t="n"/>
      <c r="I464" t="inlineStr">
        <is>
          <t>SOMATOM Definition AS</t>
        </is>
      </c>
      <c r="J464" t="inlineStr">
        <is>
          <t>Portal Phase 3.0 B30f</t>
        </is>
      </c>
    </row>
    <row r="465">
      <c r="A465" s="2" t="n">
        <v>5945531</v>
      </c>
      <c r="B465" s="2" t="n">
        <v>50</v>
      </c>
      <c r="C465" s="2" t="inlineStr">
        <is>
          <t>F</t>
        </is>
      </c>
      <c r="D465" s="2" t="n">
        <v>100</v>
      </c>
      <c r="E465" s="4">
        <f>HYPERLINK("./Results/DLO\20191101_1.2.840.113619.2.80.459707076.10573.1573619984.2.1_302_512_512_\Osteo_Sarco_1.png","RPT")</f>
        <v/>
      </c>
      <c r="F465" s="3" t="n">
        <v>117</v>
      </c>
      <c r="G465" s="3" t="n">
        <v>12</v>
      </c>
      <c r="H465" s="7" t="n"/>
      <c r="I465" t="inlineStr">
        <is>
          <t>Revolution CT</t>
        </is>
      </c>
      <c r="J465" t="inlineStr">
        <is>
          <t>ABD</t>
        </is>
      </c>
    </row>
    <row r="466">
      <c r="A466" s="2" t="n">
        <v>8790933</v>
      </c>
      <c r="B466" s="2" t="n">
        <v>50</v>
      </c>
      <c r="C466" s="2" t="inlineStr">
        <is>
          <t>M</t>
        </is>
      </c>
      <c r="D466" s="2" t="n">
        <v>100</v>
      </c>
      <c r="E466" s="4">
        <f>HYPERLINK("./Results/DLO\20181101_1.3.12.2.1107.5.1.4.54310.30000018112923203092100030839_3_512_512_\Osteo_Sarco_1.png","RPT")</f>
        <v/>
      </c>
      <c r="F466" s="3" t="n">
        <v>116</v>
      </c>
      <c r="G466" s="3" t="n">
        <v>9</v>
      </c>
      <c r="H466" s="7" t="n"/>
      <c r="I466" t="inlineStr">
        <is>
          <t>Sensation 64</t>
        </is>
      </c>
      <c r="J466" t="inlineStr">
        <is>
          <t>Pre Contrast 3.0 B30f</t>
        </is>
      </c>
    </row>
    <row r="467">
      <c r="A467" s="2" t="n">
        <v>5435964</v>
      </c>
      <c r="B467" s="2" t="n">
        <v>50</v>
      </c>
      <c r="C467" s="2" t="inlineStr">
        <is>
          <t>F</t>
        </is>
      </c>
      <c r="D467" s="2" t="n">
        <v>100</v>
      </c>
      <c r="E467" s="4">
        <f>HYPERLINK("./Results/DLO\20180501_1.3.12.2.1107.5.1.4.54310.30000018053023524556200007235_2_512_512_\Osteo_Sarco_1.png","RPT")</f>
        <v/>
      </c>
      <c r="F467" s="3" t="n">
        <v>113</v>
      </c>
      <c r="G467" s="3" t="n">
        <v>11</v>
      </c>
      <c r="H467" s="7" t="n"/>
      <c r="I467" t="inlineStr">
        <is>
          <t>Sensation 64</t>
        </is>
      </c>
      <c r="J467" t="inlineStr">
        <is>
          <t>With Contrast 3.0 B30f</t>
        </is>
      </c>
    </row>
    <row r="468">
      <c r="A468" s="2" t="n">
        <v>9662872</v>
      </c>
      <c r="B468" s="2" t="n">
        <v>50</v>
      </c>
      <c r="C468" s="2" t="inlineStr">
        <is>
          <t>F</t>
        </is>
      </c>
      <c r="D468" s="2" t="n">
        <v>100</v>
      </c>
      <c r="E468" s="4">
        <f>HYPERLINK("./Results/DLO\20200201_1.2.840.113619.2.416.79664595993845094161855511974045282020_310_512_512_\Osteo_Sarco_1.png","RPT")</f>
        <v/>
      </c>
      <c r="F468" s="3" t="n">
        <v>113</v>
      </c>
      <c r="G468" s="3" t="n">
        <v>9</v>
      </c>
      <c r="H468" s="7" t="n"/>
      <c r="I468" t="inlineStr">
        <is>
          <t>Revolution CT</t>
        </is>
      </c>
      <c r="J468" t="inlineStr">
        <is>
          <t>ABD</t>
        </is>
      </c>
    </row>
    <row r="469">
      <c r="A469" s="2" t="n">
        <v>6095232</v>
      </c>
      <c r="B469" s="2" t="n">
        <v>50</v>
      </c>
      <c r="C469" s="2" t="inlineStr">
        <is>
          <t>F</t>
        </is>
      </c>
      <c r="D469" s="2" t="n">
        <v>100</v>
      </c>
      <c r="E469" s="4">
        <f>HYPERLINK("./Results/DLO\20180101_1.2.840.113619.2.416.251407466139074564758178089111878136065_302_512_512_\Osteo_Sarco_1.png","RPT")</f>
        <v/>
      </c>
      <c r="F469" s="3" t="n">
        <v>112</v>
      </c>
      <c r="G469" s="3" t="n">
        <v>8</v>
      </c>
      <c r="H469" s="7" t="n"/>
      <c r="I469" t="inlineStr">
        <is>
          <t>Revolution CT</t>
        </is>
      </c>
      <c r="J469" t="inlineStr">
        <is>
          <t>PORTAL</t>
        </is>
      </c>
    </row>
    <row r="470">
      <c r="A470" s="2" t="n">
        <v>8878898</v>
      </c>
      <c r="B470" s="2" t="n">
        <v>50</v>
      </c>
      <c r="C470" s="2" t="inlineStr">
        <is>
          <t>F</t>
        </is>
      </c>
      <c r="D470" s="2" t="n">
        <v>100</v>
      </c>
      <c r="E470" s="4">
        <f>HYPERLINK("./Results/DLO\20180701_1.3.12.2.1107.5.1.4.65253.30000018072523281579600000118_2_512_512_\Osteo_Sarco_1.png","RPT")</f>
        <v/>
      </c>
      <c r="F470" s="3" t="n">
        <v>110</v>
      </c>
      <c r="G470" s="3" t="n">
        <v>8</v>
      </c>
      <c r="H470" s="7" t="n"/>
      <c r="I470" t="inlineStr">
        <is>
          <t>SOMATOM Definition AS</t>
        </is>
      </c>
      <c r="J470" t="inlineStr">
        <is>
          <t>With Contrast 3.0 B30f</t>
        </is>
      </c>
    </row>
    <row r="471">
      <c r="A471" s="2" t="n">
        <v>9796202</v>
      </c>
      <c r="B471" s="2" t="n">
        <v>50</v>
      </c>
      <c r="C471" s="2" t="inlineStr">
        <is>
          <t>F</t>
        </is>
      </c>
      <c r="D471" s="2" t="n">
        <v>100</v>
      </c>
      <c r="E471" s="4">
        <f>HYPERLINK("./Results/DLO\20190901_1.2.840.113619.2.416.111037688110134752019717619425886871445_310_512_512_\Osteo_Sarco_1.png","RPT")</f>
        <v/>
      </c>
      <c r="F471" s="3" t="n">
        <v>108</v>
      </c>
      <c r="G471" s="3" t="n">
        <v>12</v>
      </c>
      <c r="H471" s="7" t="n"/>
      <c r="I471" t="inlineStr">
        <is>
          <t>Revolution CT</t>
        </is>
      </c>
      <c r="J471" t="inlineStr">
        <is>
          <t>ABD</t>
        </is>
      </c>
    </row>
    <row r="472">
      <c r="A472" s="2" t="n">
        <v>3751891</v>
      </c>
      <c r="B472" s="2" t="n">
        <v>50</v>
      </c>
      <c r="C472" s="2" t="inlineStr">
        <is>
          <t>F</t>
        </is>
      </c>
      <c r="D472" s="2" t="n">
        <v>100</v>
      </c>
      <c r="E472" s="4">
        <f>HYPERLINK("./Results/DLO\20190501_1.3.46.670589.33.1.63692818117586791800001.5011847479235483957_201_512_512_\Osteo_Sarco_1.png","RPT")</f>
        <v/>
      </c>
      <c r="F472" s="3" t="n">
        <v>107</v>
      </c>
      <c r="G472" s="3" t="n">
        <v>4</v>
      </c>
      <c r="H472" s="7" t="n"/>
      <c r="I472" t="inlineStr">
        <is>
          <t>Ingenuity Core 128</t>
        </is>
      </c>
      <c r="J472" t="inlineStr">
        <is>
          <t>Post 3mm, iDose (3)</t>
        </is>
      </c>
    </row>
    <row r="473">
      <c r="A473" s="2" t="n">
        <v>8367371</v>
      </c>
      <c r="B473" s="2" t="n">
        <v>50</v>
      </c>
      <c r="C473" s="2" t="inlineStr">
        <is>
          <t>F</t>
        </is>
      </c>
      <c r="D473" s="2" t="n">
        <v>100</v>
      </c>
      <c r="E473" s="4">
        <f>HYPERLINK("./Results/DLO\20181001_1.2.840.113619.2.311.80167016604111018908336688025922933908_305_512_512_\Osteo_Sarco_1.png","RPT")</f>
        <v/>
      </c>
      <c r="F473" s="3" t="n">
        <v>106</v>
      </c>
      <c r="G473" s="3" t="n">
        <v>8</v>
      </c>
      <c r="H473" s="7" t="n"/>
      <c r="I473" t="inlineStr">
        <is>
          <t>Revolution CT</t>
        </is>
      </c>
      <c r="J473" t="inlineStr">
        <is>
          <t>ABD 2.5mm</t>
        </is>
      </c>
    </row>
    <row r="474">
      <c r="A474" s="2" t="n">
        <v>2539849</v>
      </c>
      <c r="B474" s="2" t="n">
        <v>50</v>
      </c>
      <c r="C474" s="2" t="inlineStr">
        <is>
          <t>F</t>
        </is>
      </c>
      <c r="D474" s="2" t="n">
        <v>100</v>
      </c>
      <c r="E474" s="4">
        <f>HYPERLINK("./Results/DLO\20191001_1.3.46.670589.33.1.63707941907154010100001.4807159950069396803_201_512_512_\Osteo_Sarco_1.png","RPT")</f>
        <v/>
      </c>
      <c r="F474" s="3" t="n">
        <v>106</v>
      </c>
      <c r="G474" s="3" t="n">
        <v>9</v>
      </c>
      <c r="H474" s="7" t="n"/>
      <c r="I474" t="inlineStr">
        <is>
          <t>Ingenuity Core 128</t>
        </is>
      </c>
      <c r="J474" t="inlineStr">
        <is>
          <t>Pre 3mm, iDose (3)</t>
        </is>
      </c>
    </row>
    <row r="475">
      <c r="A475" s="2" t="n">
        <v>5025402</v>
      </c>
      <c r="B475" s="2" t="n">
        <v>50</v>
      </c>
      <c r="C475" s="2" t="inlineStr">
        <is>
          <t>F</t>
        </is>
      </c>
      <c r="D475" s="2" t="n">
        <v>100</v>
      </c>
      <c r="E475" s="4">
        <f>HYPERLINK("./Results/DLO\20190601_1.3.12.2.1107.5.1.4.54310.30000019061821272012500066253_6_512_512_\Osteo_Sarco_1.png","RPT")</f>
        <v/>
      </c>
      <c r="F475" s="3" t="n">
        <v>104</v>
      </c>
      <c r="G475" s="3" t="n">
        <v>8</v>
      </c>
      <c r="H475" s="7" t="n"/>
      <c r="I475" t="inlineStr">
        <is>
          <t>Sensation 64</t>
        </is>
      </c>
      <c r="J475" t="inlineStr">
        <is>
          <t>ABD Contrast 3.0 B30f</t>
        </is>
      </c>
    </row>
    <row r="476">
      <c r="A476" s="2" t="n">
        <v>9664028</v>
      </c>
      <c r="B476" s="2" t="n">
        <v>50</v>
      </c>
      <c r="C476" s="2" t="inlineStr">
        <is>
          <t>F</t>
        </is>
      </c>
      <c r="D476" s="2" t="n">
        <v>100</v>
      </c>
      <c r="E476" s="4">
        <f>HYPERLINK("./Results/DLO\20190601_1.3.12.2.1107.5.1.4.65253.30000019061720200326000005281_2_512_512_\Osteo_Sarco_1.png","RPT")</f>
        <v/>
      </c>
      <c r="F476" s="3" t="n">
        <v>104</v>
      </c>
      <c r="G476" s="3" t="n">
        <v>9</v>
      </c>
      <c r="H476" s="7" t="n"/>
      <c r="I476" t="inlineStr">
        <is>
          <t>SOMATOM Definition AS</t>
        </is>
      </c>
      <c r="J476" t="inlineStr">
        <is>
          <t>W/O Contrast 2.0 B30f</t>
        </is>
      </c>
    </row>
    <row r="477">
      <c r="A477" s="2" t="n">
        <v>9512147</v>
      </c>
      <c r="B477" s="2" t="n">
        <v>50</v>
      </c>
      <c r="C477" s="2" t="inlineStr">
        <is>
          <t>F</t>
        </is>
      </c>
      <c r="D477" s="2" t="n">
        <v>100</v>
      </c>
      <c r="E477" s="4">
        <f>HYPERLINK("./Results/DLO\20181101_1.2.392.200036.9116.2.6.1.48.1211376315.1541655562.943088_2_512_512_\Osteo_Sarco_1.png","RPT")</f>
        <v/>
      </c>
      <c r="F477" s="3" t="n">
        <v>103</v>
      </c>
      <c r="G477" s="3" t="n">
        <v>9</v>
      </c>
      <c r="H477" s="7" t="n"/>
      <c r="I477" t="inlineStr">
        <is>
          <t>Aquilion</t>
        </is>
      </c>
      <c r="J477" t="inlineStr">
        <is>
          <t>Body 3.0</t>
        </is>
      </c>
    </row>
    <row r="478">
      <c r="A478" s="2" t="n">
        <v>8965018</v>
      </c>
      <c r="B478" s="2" t="n">
        <v>50</v>
      </c>
      <c r="C478" s="2" t="inlineStr">
        <is>
          <t>F</t>
        </is>
      </c>
      <c r="D478" s="2" t="n">
        <v>100</v>
      </c>
      <c r="E478" s="4">
        <f>HYPERLINK("./Results/DLO\20190101_1.3.12.2.1107.5.1.4.65253.30000019011621155613100017287_2_512_512_\Osteo_Sarco_1.png","RPT")</f>
        <v/>
      </c>
      <c r="F478" s="3" t="n">
        <v>103</v>
      </c>
      <c r="G478" s="3" t="n">
        <v>7</v>
      </c>
      <c r="H478" s="7" t="n"/>
      <c r="I478" t="inlineStr">
        <is>
          <t>SOMATOM Definition AS</t>
        </is>
      </c>
      <c r="J478" t="inlineStr">
        <is>
          <t>Pre</t>
        </is>
      </c>
    </row>
    <row r="479">
      <c r="A479" s="2" t="n">
        <v>9743538</v>
      </c>
      <c r="B479" s="2" t="n">
        <v>50</v>
      </c>
      <c r="C479" s="2" t="inlineStr">
        <is>
          <t>F</t>
        </is>
      </c>
      <c r="D479" s="2" t="n">
        <v>100</v>
      </c>
      <c r="E479" s="4">
        <f>HYPERLINK("./Results/DLO\20190701_1.2.840.113619.2.416.93235453295020490928931367556489544654_310_512_512_\Osteo_Sarco_1.png","RPT")</f>
        <v/>
      </c>
      <c r="F479" s="3" t="n">
        <v>103</v>
      </c>
      <c r="G479" s="3" t="n">
        <v>9</v>
      </c>
      <c r="H479" s="6" t="n">
        <v>21.85</v>
      </c>
      <c r="I479" t="inlineStr">
        <is>
          <t>Revolution CT</t>
        </is>
      </c>
      <c r="J479" t="inlineStr">
        <is>
          <t>ABD</t>
        </is>
      </c>
    </row>
    <row r="480">
      <c r="A480" s="2" t="n">
        <v>2462536</v>
      </c>
      <c r="B480" s="2" t="n">
        <v>50</v>
      </c>
      <c r="C480" s="2" t="inlineStr">
        <is>
          <t>F</t>
        </is>
      </c>
      <c r="D480" s="2" t="n">
        <v>100</v>
      </c>
      <c r="E480" s="4">
        <f>HYPERLINK("./Results/DLO\20180201_1.2.840.113619.2.311.290196616023874487203319470749794151999_304_512_512_\Osteo_Sarco_1.png","RPT")</f>
        <v/>
      </c>
      <c r="F480" s="3" t="n">
        <v>101</v>
      </c>
      <c r="G480" s="3" t="n">
        <v>10</v>
      </c>
      <c r="H480" s="7" t="n"/>
      <c r="I480" t="inlineStr">
        <is>
          <t>Revolution CT</t>
        </is>
      </c>
      <c r="J480" t="inlineStr">
        <is>
          <t>ABD 2.5mm</t>
        </is>
      </c>
    </row>
    <row r="481">
      <c r="A481" s="2" t="n">
        <v>9008531</v>
      </c>
      <c r="B481" s="2" t="n">
        <v>50</v>
      </c>
      <c r="C481" s="2" t="inlineStr">
        <is>
          <t>F</t>
        </is>
      </c>
      <c r="D481" s="2" t="n">
        <v>100</v>
      </c>
      <c r="E481" s="4">
        <f>HYPERLINK("./Results/DLO\20180801_1.2.840.113619.2.94.485650834948.2.8995077.19513158.1_2_512_512_\Osteo_Sarco_1.png","RPT")</f>
        <v/>
      </c>
      <c r="F481" s="3" t="n">
        <v>101</v>
      </c>
      <c r="G481" s="3" t="n">
        <v>12</v>
      </c>
      <c r="H481" s="7" t="n"/>
      <c r="I481" t="inlineStr">
        <is>
          <t>Sensation 64</t>
        </is>
      </c>
      <c r="J481" t="inlineStr">
        <is>
          <t>With Contrast 3.0 B30f</t>
        </is>
      </c>
    </row>
    <row r="482">
      <c r="A482" s="2" t="n">
        <v>9491311</v>
      </c>
      <c r="B482" s="2" t="n">
        <v>51</v>
      </c>
      <c r="C482" s="2" t="inlineStr">
        <is>
          <t>F</t>
        </is>
      </c>
      <c r="D482" s="2" t="n">
        <v>100</v>
      </c>
      <c r="E482" s="4">
        <f>HYPERLINK("./Results/DLO\20181001_1.2.840.113619.2.311.173920350124221142588646260979156867410_304_512_512_\Osteo_Sarco_1.png","RPT")</f>
        <v/>
      </c>
      <c r="F482" s="3" t="n">
        <v>90</v>
      </c>
      <c r="G482" s="3" t="n">
        <v>7</v>
      </c>
      <c r="H482" s="7" t="n"/>
      <c r="I482" t="inlineStr">
        <is>
          <t>Revolution CT</t>
        </is>
      </c>
      <c r="J482" t="inlineStr">
        <is>
          <t>ABD 2.5mm</t>
        </is>
      </c>
    </row>
    <row r="483">
      <c r="A483" s="2" t="n">
        <v>5812589</v>
      </c>
      <c r="B483" s="2" t="n">
        <v>51</v>
      </c>
      <c r="C483" s="2" t="inlineStr">
        <is>
          <t>F</t>
        </is>
      </c>
      <c r="D483" s="2" t="n">
        <v>100</v>
      </c>
      <c r="E483" s="4">
        <f>HYPERLINK("./Results/DLO\20180201_1.3.12.2.1107.5.1.4.54310.30000018013123112864000020355_2_512_512_\Osteo_Sarco_1.png","RPT")</f>
        <v/>
      </c>
      <c r="F483" s="3" t="n">
        <v>87</v>
      </c>
      <c r="G483" s="3" t="n">
        <v>7</v>
      </c>
      <c r="H483" s="7" t="n"/>
      <c r="I483" t="inlineStr">
        <is>
          <t>Sensation 64</t>
        </is>
      </c>
      <c r="J483" t="inlineStr">
        <is>
          <t>With Contrast 3.0 B30f</t>
        </is>
      </c>
    </row>
    <row r="484">
      <c r="A484" s="2" t="n">
        <v>8591952</v>
      </c>
      <c r="B484" s="2" t="n">
        <v>51</v>
      </c>
      <c r="C484" s="2" t="inlineStr">
        <is>
          <t>F</t>
        </is>
      </c>
      <c r="D484" s="2" t="n">
        <v>100</v>
      </c>
      <c r="E484" s="4">
        <f>HYPERLINK("./Results/DLO\20180801_1.3.12.2.1107.5.1.4.65253.30000018080120405844600058791_2_512_512_\Osteo_Sarco_1.png","RPT")</f>
        <v/>
      </c>
      <c r="F484" s="3" t="n">
        <v>83</v>
      </c>
      <c r="G484" s="3" t="n">
        <v>8</v>
      </c>
      <c r="H484" s="7" t="n"/>
      <c r="I484" t="inlineStr">
        <is>
          <t>SOMATOM Definition AS</t>
        </is>
      </c>
      <c r="J484" t="inlineStr">
        <is>
          <t>Pre Contrast 3.0 B30f</t>
        </is>
      </c>
    </row>
    <row r="485">
      <c r="A485" s="2" t="n">
        <v>9496382</v>
      </c>
      <c r="B485" s="2" t="n">
        <v>51</v>
      </c>
      <c r="C485" s="2" t="inlineStr">
        <is>
          <t>F</t>
        </is>
      </c>
      <c r="D485" s="2" t="n">
        <v>100</v>
      </c>
      <c r="E485" s="4">
        <f>HYPERLINK("./Results/DLO\20181201_1.2.840.113619.2.94.485650834948.2.9302101.20268762.1_2_512_512_\Osteo_Sarco_1.png","RPT")</f>
        <v/>
      </c>
      <c r="F485" s="3" t="n">
        <v>82</v>
      </c>
      <c r="G485" s="3" t="n">
        <v>6</v>
      </c>
      <c r="H485" s="7" t="n"/>
      <c r="I485" t="inlineStr">
        <is>
          <t>Sensation 64</t>
        </is>
      </c>
      <c r="J485" t="inlineStr">
        <is>
          <t>With Contrast 3.0 B30f</t>
        </is>
      </c>
    </row>
    <row r="486">
      <c r="A486" s="2" t="n">
        <v>9473084</v>
      </c>
      <c r="B486" s="2" t="n">
        <v>51</v>
      </c>
      <c r="C486" s="2" t="inlineStr">
        <is>
          <t>F</t>
        </is>
      </c>
      <c r="D486" s="2" t="n">
        <v>100</v>
      </c>
      <c r="E486" s="4">
        <f>HYPERLINK("./Results/DLO\20191001_1.2.410.100011.172.16.44.21.6370613018064966633.2_2_512_512_\Osteo_Sarco_1.png","RPT")</f>
        <v/>
      </c>
      <c r="F486" s="3" t="n">
        <v>27</v>
      </c>
      <c r="G486" s="3" t="n">
        <v>9</v>
      </c>
      <c r="H486" s="6" t="n">
        <v>12.76</v>
      </c>
      <c r="I486" t="inlineStr">
        <is>
          <t>iCT 256</t>
        </is>
      </c>
      <c r="J486" t="inlineStr">
        <is>
          <t>PRE AX, iDose (3)</t>
        </is>
      </c>
    </row>
    <row r="487">
      <c r="A487" s="2" t="n">
        <v>8305209</v>
      </c>
      <c r="B487" s="2" t="n">
        <v>51</v>
      </c>
      <c r="C487" s="2" t="inlineStr">
        <is>
          <t>M</t>
        </is>
      </c>
      <c r="D487" s="2" t="n">
        <v>100</v>
      </c>
      <c r="E487" s="4">
        <f>HYPERLINK("./Results/DLO\20181201_1.3.46.670589.33.1.63679520050379623400001.4877162268029778574_201_512_512_\Osteo_Sarco_1.png","RPT")</f>
        <v/>
      </c>
      <c r="F487" s="3" t="n">
        <v>200</v>
      </c>
      <c r="G487" s="3" t="n">
        <v>4</v>
      </c>
      <c r="H487" s="7" t="n"/>
      <c r="I487" t="inlineStr">
        <is>
          <t>Ingenuity Core 128</t>
        </is>
      </c>
      <c r="J487" t="inlineStr">
        <is>
          <t>Post 100/236 i3, iDose (3)</t>
        </is>
      </c>
    </row>
    <row r="488">
      <c r="A488" s="2" t="n">
        <v>6046865</v>
      </c>
      <c r="B488" s="2" t="n">
        <v>51</v>
      </c>
      <c r="C488" s="2" t="inlineStr">
        <is>
          <t>M</t>
        </is>
      </c>
      <c r="D488" s="2" t="n">
        <v>100</v>
      </c>
      <c r="E488" s="4">
        <f>HYPERLINK("./Results/DLO\20190101_1.3.46.670589.33.1.63684268754609358900001.4885354438968712209_201_512_512_\Osteo_Sarco_1.png","RPT")</f>
        <v/>
      </c>
      <c r="F488" s="3" t="n">
        <v>197</v>
      </c>
      <c r="G488" s="3" t="n">
        <v>4</v>
      </c>
      <c r="H488" s="7" t="n"/>
      <c r="I488" t="inlineStr">
        <is>
          <t>Ingenuity Core 128</t>
        </is>
      </c>
      <c r="J488" t="inlineStr">
        <is>
          <t>Pre 3mm, iDose (3)</t>
        </is>
      </c>
    </row>
    <row r="489">
      <c r="A489" s="2" t="n">
        <v>8284131</v>
      </c>
      <c r="B489" s="2" t="n">
        <v>51</v>
      </c>
      <c r="C489" s="2" t="inlineStr">
        <is>
          <t>M</t>
        </is>
      </c>
      <c r="D489" s="2" t="n">
        <v>100</v>
      </c>
      <c r="E489" s="4">
        <f>HYPERLINK("./Results/DLO\20180101_1.2.840.113619.2.311.195992092658131864835299683869125930736_304_512_512_\Osteo_Sarco_1.png","RPT")</f>
        <v/>
      </c>
      <c r="F489" s="3" t="n">
        <v>196</v>
      </c>
      <c r="G489" s="3" t="n">
        <v>13</v>
      </c>
      <c r="H489" s="7" t="n"/>
      <c r="I489" t="inlineStr">
        <is>
          <t>Revolution CT</t>
        </is>
      </c>
      <c r="J489" t="inlineStr">
        <is>
          <t>ABD 2.5mm</t>
        </is>
      </c>
    </row>
    <row r="490">
      <c r="A490" s="2" t="n">
        <v>8796674</v>
      </c>
      <c r="B490" s="2" t="n">
        <v>51</v>
      </c>
      <c r="C490" s="2" t="inlineStr">
        <is>
          <t>M</t>
        </is>
      </c>
      <c r="D490" s="2" t="n">
        <v>100</v>
      </c>
      <c r="E490" s="4">
        <f>HYPERLINK("./Results/DLO\20180301_1.3.12.2.1107.5.1.4.54310.30000018031423122640600036446_2_512_512_\Osteo_Sarco_1.png","RPT")</f>
        <v/>
      </c>
      <c r="F490" s="3" t="n">
        <v>177</v>
      </c>
      <c r="G490" s="3" t="n">
        <v>15</v>
      </c>
      <c r="H490" s="7" t="n"/>
      <c r="I490" t="inlineStr">
        <is>
          <t>Sensation 64</t>
        </is>
      </c>
      <c r="J490" t="inlineStr">
        <is>
          <t>Pre Contrast 3.0 B30f</t>
        </is>
      </c>
    </row>
    <row r="491">
      <c r="A491" s="2" t="n">
        <v>9630086</v>
      </c>
      <c r="B491" s="2" t="n">
        <v>51</v>
      </c>
      <c r="C491" s="2" t="inlineStr">
        <is>
          <t>M</t>
        </is>
      </c>
      <c r="D491" s="2" t="n">
        <v>100</v>
      </c>
      <c r="E491" s="4">
        <f>HYPERLINK("./Results/DLO\20190301_1.2.410.100011.172.24.16.218.6369067058915620291.2_2_512_512_\Osteo_Sarco_1.png","RPT")</f>
        <v/>
      </c>
      <c r="F491" s="3" t="n">
        <v>177</v>
      </c>
      <c r="G491" s="3" t="n">
        <v>14</v>
      </c>
      <c r="H491" s="6" t="n">
        <v>25.05</v>
      </c>
      <c r="I491" t="inlineStr">
        <is>
          <t>SOMATOM Definition AS</t>
        </is>
      </c>
      <c r="J491" t="inlineStr">
        <is>
          <t>Pre 5.0 B30f</t>
        </is>
      </c>
    </row>
    <row r="492">
      <c r="A492" s="2" t="n">
        <v>9440897</v>
      </c>
      <c r="B492" s="2" t="n">
        <v>51</v>
      </c>
      <c r="C492" s="2" t="inlineStr">
        <is>
          <t>M</t>
        </is>
      </c>
      <c r="D492" s="2" t="n">
        <v>100</v>
      </c>
      <c r="E492" s="4">
        <f>HYPERLINK("./Results/DLO\20181001_1.3.46.670589.33.1.63673986895013558500001.5281117178331231830_201_512_512_\Osteo_Sarco_1.png","RPT")</f>
        <v/>
      </c>
      <c r="F492" s="3" t="n">
        <v>175</v>
      </c>
      <c r="G492" s="3" t="n">
        <v>7</v>
      </c>
      <c r="H492" s="7" t="n"/>
      <c r="I492" t="inlineStr">
        <is>
          <t>Ingenuity Core 128</t>
        </is>
      </c>
      <c r="J492" t="inlineStr">
        <is>
          <t>Post 100/236 i3, iDose (3)</t>
        </is>
      </c>
    </row>
    <row r="493">
      <c r="A493" s="2" t="n">
        <v>3312271</v>
      </c>
      <c r="B493" s="2" t="n">
        <v>51</v>
      </c>
      <c r="C493" s="2" t="inlineStr">
        <is>
          <t>M</t>
        </is>
      </c>
      <c r="D493" s="2" t="n">
        <v>100</v>
      </c>
      <c r="E493" s="4">
        <f>HYPERLINK("./Results/DLO\20190301_1.3.12.2.1107.5.1.4.54310.30000019030723310753100012161_2_512_512_\Osteo_Sarco_1.png","RPT")</f>
        <v/>
      </c>
      <c r="F493" s="3" t="n">
        <v>171</v>
      </c>
      <c r="G493" s="3" t="n">
        <v>7</v>
      </c>
      <c r="H493" s="7" t="n"/>
      <c r="I493" t="inlineStr">
        <is>
          <t>Sensation 64</t>
        </is>
      </c>
      <c r="J493" t="inlineStr">
        <is>
          <t>Pre Contrast 3.0 B30f</t>
        </is>
      </c>
    </row>
    <row r="494">
      <c r="A494" s="2" t="n">
        <v>5512384</v>
      </c>
      <c r="B494" s="2" t="n">
        <v>51</v>
      </c>
      <c r="C494" s="2" t="inlineStr">
        <is>
          <t>M</t>
        </is>
      </c>
      <c r="D494" s="2" t="n">
        <v>100</v>
      </c>
      <c r="E494" s="4">
        <f>HYPERLINK("./Results/DLO\20190601_1.3.12.2.1107.5.1.4.54310.30000019060921293893700037217_2_512_512_\Osteo_Sarco_1.png","RPT")</f>
        <v/>
      </c>
      <c r="F494" s="3" t="n">
        <v>165</v>
      </c>
      <c r="G494" s="3" t="n">
        <v>8</v>
      </c>
      <c r="H494" s="7" t="n"/>
      <c r="I494" t="inlineStr">
        <is>
          <t>Sensation 64</t>
        </is>
      </c>
      <c r="J494" t="inlineStr">
        <is>
          <t>With Contrast 3.0 B30f</t>
        </is>
      </c>
    </row>
    <row r="495">
      <c r="A495" s="2" t="n">
        <v>5602553</v>
      </c>
      <c r="B495" s="2" t="n">
        <v>51</v>
      </c>
      <c r="C495" s="2" t="inlineStr">
        <is>
          <t>M</t>
        </is>
      </c>
      <c r="D495" s="2" t="n">
        <v>100</v>
      </c>
      <c r="E495" s="4">
        <f>HYPERLINK("./Results/DLO\20190701_1.3.12.2.1107.5.1.4.65253.30000019070919015935800093066_2_512_512_\Osteo_Sarco_1.png","RPT")</f>
        <v/>
      </c>
      <c r="F495" s="3" t="n">
        <v>165</v>
      </c>
      <c r="G495" s="3" t="n">
        <v>10</v>
      </c>
      <c r="H495" s="6" t="n">
        <v>25.25</v>
      </c>
      <c r="I495" t="inlineStr">
        <is>
          <t>SOMATOM Definition AS</t>
        </is>
      </c>
      <c r="J495" t="inlineStr">
        <is>
          <t>Pre Contrast 3.0 B30f</t>
        </is>
      </c>
    </row>
    <row r="496">
      <c r="A496" s="2" t="n">
        <v>9754717</v>
      </c>
      <c r="B496" s="2" t="n">
        <v>51</v>
      </c>
      <c r="C496" s="2" t="inlineStr">
        <is>
          <t>M</t>
        </is>
      </c>
      <c r="D496" s="2" t="n">
        <v>100</v>
      </c>
      <c r="E496" s="4">
        <f>HYPERLINK("./Results/DLO\20190901_1.3.46.670589.33.1.63703103628148071200001.5560155820348455069_201_512_512_\Osteo_Sarco_1.png","RPT")</f>
        <v/>
      </c>
      <c r="F496" s="3" t="n">
        <v>165</v>
      </c>
      <c r="G496" s="3" t="n">
        <v>8</v>
      </c>
      <c r="H496" s="7" t="n"/>
      <c r="I496" t="inlineStr">
        <is>
          <t>Ingenuity Core 128</t>
        </is>
      </c>
      <c r="J496" t="inlineStr">
        <is>
          <t>Post 3mm, iDose (3)</t>
        </is>
      </c>
    </row>
    <row r="497">
      <c r="A497" s="2" t="n">
        <v>9814189</v>
      </c>
      <c r="B497" s="2" t="n">
        <v>51</v>
      </c>
      <c r="C497" s="2" t="inlineStr">
        <is>
          <t>M</t>
        </is>
      </c>
      <c r="D497" s="2" t="n">
        <v>100</v>
      </c>
      <c r="E497" s="4">
        <f>HYPERLINK("./Results/DLO\20191101_1.3.46.670589.33.1.63709147963670257500001.5243940770719695223_201_512_512_\Osteo_Sarco_1.png","RPT")</f>
        <v/>
      </c>
      <c r="F497" s="3" t="n">
        <v>160</v>
      </c>
      <c r="G497" s="3" t="n">
        <v>7</v>
      </c>
      <c r="H497" s="7" t="n"/>
      <c r="I497" t="inlineStr">
        <is>
          <t>Ingenuity Core 128</t>
        </is>
      </c>
      <c r="J497" t="inlineStr">
        <is>
          <t>Post 3mm, iDose (3)</t>
        </is>
      </c>
    </row>
    <row r="498">
      <c r="A498" s="2" t="n">
        <v>4967860</v>
      </c>
      <c r="B498" s="2" t="n">
        <v>51</v>
      </c>
      <c r="C498" s="2" t="inlineStr">
        <is>
          <t>M</t>
        </is>
      </c>
      <c r="D498" s="2" t="n">
        <v>100</v>
      </c>
      <c r="E498" s="4">
        <f>HYPERLINK("./Results/DLO\20190401_1.3.46.670589.33.1.63689968802532100800001.5082398879820018462_201_512_512_\Osteo_Sarco_1.png","RPT")</f>
        <v/>
      </c>
      <c r="F498" s="3" t="n">
        <v>159</v>
      </c>
      <c r="G498" s="3" t="n">
        <v>6</v>
      </c>
      <c r="H498" s="6" t="n">
        <v>27.15</v>
      </c>
      <c r="I498" t="inlineStr">
        <is>
          <t>Ingenuity Core 128</t>
        </is>
      </c>
      <c r="J498" t="inlineStr">
        <is>
          <t>Post 3mm, iDose (3)</t>
        </is>
      </c>
    </row>
    <row r="499">
      <c r="A499" s="2" t="n">
        <v>3170228</v>
      </c>
      <c r="B499" s="2" t="n">
        <v>51</v>
      </c>
      <c r="C499" s="2" t="inlineStr">
        <is>
          <t>F</t>
        </is>
      </c>
      <c r="D499" s="2" t="n">
        <v>100</v>
      </c>
      <c r="E499" s="4">
        <f>HYPERLINK("./Results/DLO\20190701_1.3.12.2.1107.5.1.4.65253.30000019070519312019600001496_5_512_512_\Osteo_Sarco_1.png","RPT")</f>
        <v/>
      </c>
      <c r="F499" s="3" t="n">
        <v>157</v>
      </c>
      <c r="G499" s="3" t="n">
        <v>15</v>
      </c>
      <c r="H499" s="7" t="n"/>
      <c r="I499" t="inlineStr">
        <is>
          <t>SOMATOM Definition AS</t>
        </is>
      </c>
      <c r="J499" t="inlineStr">
        <is>
          <t>Arterial Phase 3.0 B30f</t>
        </is>
      </c>
    </row>
    <row r="500">
      <c r="A500" s="2" t="n">
        <v>6140363</v>
      </c>
      <c r="B500" s="2" t="n">
        <v>51</v>
      </c>
      <c r="C500" s="2" t="inlineStr">
        <is>
          <t>M</t>
        </is>
      </c>
      <c r="D500" s="2" t="n">
        <v>100</v>
      </c>
      <c r="E500" s="4">
        <f>HYPERLINK("./Results/DLO\20180601_1.3.46.670589.33.1.63665517633637448900001.5532683483005276679_201_512_512_\Osteo_Sarco_1.png","RPT")</f>
        <v/>
      </c>
      <c r="F500" s="3" t="n">
        <v>146</v>
      </c>
      <c r="G500" s="3" t="n">
        <v>7</v>
      </c>
      <c r="H500" s="7" t="n"/>
      <c r="I500" t="inlineStr">
        <is>
          <t>Ingenuity Core 128</t>
        </is>
      </c>
      <c r="J500" t="inlineStr">
        <is>
          <t>Post 100/236 i3, iDose (3)</t>
        </is>
      </c>
    </row>
    <row r="501">
      <c r="A501" s="2" t="n">
        <v>6738709</v>
      </c>
      <c r="B501" s="2" t="n">
        <v>51</v>
      </c>
      <c r="C501" s="2" t="inlineStr">
        <is>
          <t>F</t>
        </is>
      </c>
      <c r="D501" s="2" t="n">
        <v>100</v>
      </c>
      <c r="E501" s="4">
        <f>HYPERLINK("./Results/DLO\20180701_1.2.840.113619.2.311.151986686395604810036995799394304690016_304_512_512_\Osteo_Sarco_1.png","RPT")</f>
        <v/>
      </c>
      <c r="F501" s="3" t="n">
        <v>140</v>
      </c>
      <c r="G501" s="3" t="n">
        <v>12</v>
      </c>
      <c r="H501" s="7" t="n"/>
      <c r="I501" t="inlineStr">
        <is>
          <t>Revolution CT</t>
        </is>
      </c>
      <c r="J501" t="inlineStr">
        <is>
          <t>ABD 2.5mm</t>
        </is>
      </c>
    </row>
    <row r="502">
      <c r="A502" s="2" t="n">
        <v>6136166</v>
      </c>
      <c r="B502" s="2" t="n">
        <v>51</v>
      </c>
      <c r="C502" s="2" t="inlineStr">
        <is>
          <t>F</t>
        </is>
      </c>
      <c r="D502" s="2" t="n">
        <v>100</v>
      </c>
      <c r="E502" s="4">
        <f>HYPERLINK("./Results/DLO\20180901_1.2.840.113619.2.416.336468464406543545791239816287684399073_304_512_512_\Osteo_Sarco_1.png","RPT")</f>
        <v/>
      </c>
      <c r="F502" s="3" t="n">
        <v>136</v>
      </c>
      <c r="G502" s="3" t="n">
        <v>8</v>
      </c>
      <c r="H502" s="7" t="n"/>
      <c r="I502" t="inlineStr">
        <is>
          <t>Revolution CT</t>
        </is>
      </c>
      <c r="J502" t="inlineStr">
        <is>
          <t>ABD 2.5mm</t>
        </is>
      </c>
    </row>
    <row r="503">
      <c r="A503" s="2" t="n">
        <v>9659832</v>
      </c>
      <c r="B503" s="2" t="n">
        <v>51</v>
      </c>
      <c r="C503" s="2" t="inlineStr">
        <is>
          <t>M</t>
        </is>
      </c>
      <c r="D503" s="2" t="n">
        <v>100</v>
      </c>
      <c r="E503" s="4">
        <f>HYPERLINK("./Results/DLO\20190501_1.3.46.670589.33.1.63693686687692733600001.4938821129419097815_201_512_512_\Osteo_Sarco_1.png","RPT")</f>
        <v/>
      </c>
      <c r="F503" s="3" t="n">
        <v>135</v>
      </c>
      <c r="G503" s="3" t="n">
        <v>12</v>
      </c>
      <c r="H503" s="7" t="n"/>
      <c r="I503" t="inlineStr">
        <is>
          <t>Ingenuity Core 128</t>
        </is>
      </c>
      <c r="J503" t="inlineStr">
        <is>
          <t>Post 3mm, iDose (3)</t>
        </is>
      </c>
    </row>
    <row r="504">
      <c r="A504" s="2" t="n">
        <v>4897022</v>
      </c>
      <c r="B504" s="2" t="n">
        <v>51</v>
      </c>
      <c r="C504" s="2" t="inlineStr">
        <is>
          <t>F</t>
        </is>
      </c>
      <c r="D504" s="2" t="n">
        <v>100</v>
      </c>
      <c r="E504" s="4">
        <f>HYPERLINK("./Results/DLO\20180201_1.3.12.2.1107.5.1.4.54310.30000018020523240767100009754_2_512_512_\Osteo_Sarco_1.png","RPT")</f>
        <v/>
      </c>
      <c r="F504" s="3" t="n">
        <v>134</v>
      </c>
      <c r="G504" s="3" t="n">
        <v>8</v>
      </c>
      <c r="H504" s="7" t="n"/>
      <c r="I504" t="inlineStr">
        <is>
          <t>Sensation 64</t>
        </is>
      </c>
      <c r="J504" t="inlineStr">
        <is>
          <t>With Contrast 3.0 B30f</t>
        </is>
      </c>
    </row>
    <row r="505">
      <c r="A505" s="2" t="n">
        <v>9440888</v>
      </c>
      <c r="B505" s="2" t="n">
        <v>51</v>
      </c>
      <c r="C505" s="2" t="inlineStr">
        <is>
          <t>M</t>
        </is>
      </c>
      <c r="D505" s="2" t="n">
        <v>100</v>
      </c>
      <c r="E505" s="4">
        <f>HYPERLINK("./Results/DLO\20180901_1.3.12.2.1107.5.1.4.65253.30000018091419524330600024660_2_512_512_\Osteo_Sarco_1.png","RPT")</f>
        <v/>
      </c>
      <c r="F505" s="3" t="n">
        <v>129</v>
      </c>
      <c r="G505" s="3" t="n">
        <v>10</v>
      </c>
      <c r="H505" s="7" t="n"/>
      <c r="I505" t="inlineStr">
        <is>
          <t>SOMATOM Definition AS</t>
        </is>
      </c>
      <c r="J505" t="inlineStr">
        <is>
          <t>Pre Contrast 3.0 B30f</t>
        </is>
      </c>
    </row>
    <row r="506">
      <c r="A506" s="2" t="n">
        <v>5639011</v>
      </c>
      <c r="B506" s="2" t="n">
        <v>51</v>
      </c>
      <c r="C506" s="2" t="inlineStr">
        <is>
          <t>F</t>
        </is>
      </c>
      <c r="D506" s="2" t="n">
        <v>100</v>
      </c>
      <c r="E506" s="4">
        <f>HYPERLINK("./Results/DLO\20191101_1.3.12.2.1107.5.1.4.65253.30000019110219590736000079908_2_512_512_\Osteo_Sarco_1.png","RPT")</f>
        <v/>
      </c>
      <c r="F506" s="3" t="n">
        <v>126</v>
      </c>
      <c r="G506" s="3" t="n">
        <v>7</v>
      </c>
      <c r="H506" s="7" t="n"/>
      <c r="I506" t="inlineStr">
        <is>
          <t>SOMATOM Definition AS</t>
        </is>
      </c>
      <c r="J506" t="inlineStr">
        <is>
          <t>Pre Contrast 3.0 B30f</t>
        </is>
      </c>
    </row>
    <row r="507">
      <c r="A507" s="2" t="n">
        <v>5977244</v>
      </c>
      <c r="B507" s="2" t="n">
        <v>51</v>
      </c>
      <c r="C507" s="2" t="inlineStr">
        <is>
          <t>F</t>
        </is>
      </c>
      <c r="D507" s="2" t="n">
        <v>100</v>
      </c>
      <c r="E507" s="4">
        <f>HYPERLINK("./Results/DLO\20181201_1.3.46.670589.33.1.63680811621296327500001.5263500813270457256_201_512_512_\Osteo_Sarco_1.png","RPT")</f>
        <v/>
      </c>
      <c r="F507" s="3" t="n">
        <v>125</v>
      </c>
      <c r="G507" s="3" t="n">
        <v>20</v>
      </c>
      <c r="H507" s="7" t="n"/>
      <c r="I507" t="inlineStr">
        <is>
          <t>Ingenuity Core 128</t>
        </is>
      </c>
      <c r="J507" t="inlineStr">
        <is>
          <t>Post 100/236 i3, iDose (3)</t>
        </is>
      </c>
    </row>
    <row r="508">
      <c r="A508" s="2" t="n">
        <v>8824666</v>
      </c>
      <c r="B508" s="2" t="n">
        <v>51</v>
      </c>
      <c r="C508" s="2" t="inlineStr">
        <is>
          <t>F</t>
        </is>
      </c>
      <c r="D508" s="2" t="n">
        <v>100</v>
      </c>
      <c r="E508" s="4">
        <f>HYPERLINK("./Results/DLO\20190801_1.3.46.670589.33.1.63700769283259584200001.4762741836279503329_201_512_512_\Osteo_Sarco_1.png","RPT")</f>
        <v/>
      </c>
      <c r="F508" s="3" t="n">
        <v>125</v>
      </c>
      <c r="G508" s="3" t="n">
        <v>11</v>
      </c>
      <c r="H508" s="7" t="n"/>
      <c r="I508" t="inlineStr">
        <is>
          <t>Ingenuity Core 128</t>
        </is>
      </c>
      <c r="J508" t="inlineStr">
        <is>
          <t>Post 3mm, iDose (3)</t>
        </is>
      </c>
    </row>
    <row r="509">
      <c r="A509" s="2" t="n">
        <v>9643137</v>
      </c>
      <c r="B509" s="2" t="n">
        <v>51</v>
      </c>
      <c r="C509" s="2" t="inlineStr">
        <is>
          <t>F</t>
        </is>
      </c>
      <c r="D509" s="2" t="n">
        <v>100</v>
      </c>
      <c r="E509" s="4">
        <f>HYPERLINK("./Results/DLO\20190301_1.3.12.2.1107.5.1.4.73861.30000019032123104050100009411_3_512_512_\Osteo_Sarco_1.png","RPT")</f>
        <v/>
      </c>
      <c r="F509" s="3" t="n">
        <v>122</v>
      </c>
      <c r="G509" s="3" t="n">
        <v>9</v>
      </c>
      <c r="H509" s="6" t="n">
        <v>28.24</v>
      </c>
      <c r="I509" t="inlineStr">
        <is>
          <t>SOMATOM Definition Flabh</t>
        </is>
      </c>
      <c r="J509" t="inlineStr">
        <is>
          <t>Pre 3.0 I40f 2</t>
        </is>
      </c>
    </row>
    <row r="510">
      <c r="A510" s="2" t="n">
        <v>1364871</v>
      </c>
      <c r="B510" s="2" t="n">
        <v>51</v>
      </c>
      <c r="C510" s="2" t="inlineStr">
        <is>
          <t>F</t>
        </is>
      </c>
      <c r="D510" s="2" t="n">
        <v>100</v>
      </c>
      <c r="E510" s="4">
        <f>HYPERLINK("./Results/DLO\20190901_1.2.840.113619.2.416.261954147013516340763335569122409811300_310_512_512_\Osteo_Sarco_1.png","RPT")</f>
        <v/>
      </c>
      <c r="F510" s="3" t="n">
        <v>121</v>
      </c>
      <c r="G510" s="3" t="n">
        <v>13</v>
      </c>
      <c r="H510" s="7" t="n"/>
      <c r="I510" t="inlineStr">
        <is>
          <t>Revolution CT</t>
        </is>
      </c>
      <c r="J510" t="inlineStr">
        <is>
          <t>ABD</t>
        </is>
      </c>
    </row>
    <row r="511">
      <c r="A511" s="2" t="n">
        <v>9474469</v>
      </c>
      <c r="B511" s="2" t="n">
        <v>51</v>
      </c>
      <c r="C511" s="2" t="inlineStr">
        <is>
          <t>F</t>
        </is>
      </c>
      <c r="D511" s="2" t="n">
        <v>100</v>
      </c>
      <c r="E511" s="4">
        <f>HYPERLINK("./Results/DLO\20191101_1.2.840.113619.2.416.38301159312692718604705257561967570693_310_512_512_\Osteo_Sarco_1.png","RPT")</f>
        <v/>
      </c>
      <c r="F511" s="3" t="n">
        <v>121</v>
      </c>
      <c r="G511" s="3" t="n">
        <v>11</v>
      </c>
      <c r="H511" s="7" t="n"/>
      <c r="I511" t="inlineStr">
        <is>
          <t>Revolution CT</t>
        </is>
      </c>
      <c r="J511" t="inlineStr">
        <is>
          <t>ABD</t>
        </is>
      </c>
    </row>
    <row r="512">
      <c r="A512" s="2" t="n">
        <v>2206956</v>
      </c>
      <c r="B512" s="2" t="n">
        <v>51</v>
      </c>
      <c r="C512" s="2" t="inlineStr">
        <is>
          <t>F</t>
        </is>
      </c>
      <c r="D512" s="2" t="n">
        <v>100</v>
      </c>
      <c r="E512" s="4">
        <f>HYPERLINK("./Results/DLO\20190501_1.3.12.2.1107.5.1.4.54310.30000019051321154218700043155_3_512_512_\Osteo_Sarco_1.png","RPT")</f>
        <v/>
      </c>
      <c r="F512" s="3" t="n">
        <v>119</v>
      </c>
      <c r="G512" s="3" t="n">
        <v>7</v>
      </c>
      <c r="H512" s="7" t="n"/>
      <c r="I512" t="inlineStr">
        <is>
          <t>Sensation 64</t>
        </is>
      </c>
      <c r="J512" t="inlineStr">
        <is>
          <t>With Contrast 3.0 B30f</t>
        </is>
      </c>
    </row>
    <row r="513">
      <c r="A513" s="2" t="n">
        <v>9863719</v>
      </c>
      <c r="B513" s="2" t="n">
        <v>51</v>
      </c>
      <c r="C513" s="2" t="inlineStr">
        <is>
          <t>F</t>
        </is>
      </c>
      <c r="D513" s="2" t="n">
        <v>100</v>
      </c>
      <c r="E513" s="4">
        <f>HYPERLINK("./Results/DLO\20191201_1.2.840.113619.2.416.326426005363077451787127786750940676555_310_512_512_\Osteo_Sarco_1.png","RPT")</f>
        <v/>
      </c>
      <c r="F513" s="3" t="n">
        <v>117</v>
      </c>
      <c r="G513" s="3" t="n">
        <v>13</v>
      </c>
      <c r="H513" s="7" t="n"/>
      <c r="I513" t="inlineStr">
        <is>
          <t>Revolution CT</t>
        </is>
      </c>
      <c r="J513" t="inlineStr">
        <is>
          <t>ABD</t>
        </is>
      </c>
    </row>
    <row r="514">
      <c r="A514" s="2" t="n">
        <v>8678298</v>
      </c>
      <c r="B514" s="2" t="n">
        <v>51</v>
      </c>
      <c r="C514" s="2" t="inlineStr">
        <is>
          <t>F</t>
        </is>
      </c>
      <c r="D514" s="2" t="n">
        <v>100</v>
      </c>
      <c r="E514" s="4">
        <f>HYPERLINK("./Results/DLO\20200101_1.3.46.670589.33.1.63713730601876418200001.5268916028696555560_201_512_512_\Osteo_Sarco_1.png","RPT")</f>
        <v/>
      </c>
      <c r="F514" s="3" t="n">
        <v>115</v>
      </c>
      <c r="G514" s="3" t="n">
        <v>8</v>
      </c>
      <c r="H514" s="7" t="n"/>
      <c r="I514" t="inlineStr">
        <is>
          <t>Ingenuity Core 128</t>
        </is>
      </c>
      <c r="J514" t="inlineStr">
        <is>
          <t>Post 3mm, iDose (3)</t>
        </is>
      </c>
    </row>
    <row r="515">
      <c r="A515" s="2" t="n">
        <v>3265665</v>
      </c>
      <c r="B515" s="2" t="n">
        <v>51</v>
      </c>
      <c r="C515" s="2" t="inlineStr">
        <is>
          <t>F</t>
        </is>
      </c>
      <c r="D515" s="2" t="n">
        <v>100</v>
      </c>
      <c r="E515" s="4">
        <f>HYPERLINK("./Results/DLO\20190401_1.2.840.113619.2.311.313493366460980101526723684407887766639_304_512_512_\Osteo_Sarco_1.png","RPT")</f>
        <v/>
      </c>
      <c r="F515" s="3" t="n">
        <v>113</v>
      </c>
      <c r="G515" s="3" t="n">
        <v>5</v>
      </c>
      <c r="H515" s="7" t="n"/>
      <c r="I515" t="inlineStr">
        <is>
          <t>Revolution CT</t>
        </is>
      </c>
      <c r="J515" t="inlineStr">
        <is>
          <t>ABD 2.5mm</t>
        </is>
      </c>
    </row>
    <row r="516">
      <c r="A516" s="2" t="n">
        <v>5067888</v>
      </c>
      <c r="B516" s="2" t="n">
        <v>51</v>
      </c>
      <c r="C516" s="2" t="inlineStr">
        <is>
          <t>F</t>
        </is>
      </c>
      <c r="D516" s="2" t="n">
        <v>100</v>
      </c>
      <c r="E516" s="4">
        <f>HYPERLINK("./Results/DLO\20200601_1.3.46.670589.33.1.63727903776490551700001.5205247087337898446_201_512_512_\Osteo_Sarco_1.png","RPT")</f>
        <v/>
      </c>
      <c r="F516" s="3" t="n">
        <v>109</v>
      </c>
      <c r="G516" s="3" t="n">
        <v>7</v>
      </c>
      <c r="H516" s="6" t="n">
        <v>19.43</v>
      </c>
      <c r="I516" t="inlineStr">
        <is>
          <t>Ingenuity Core 128</t>
        </is>
      </c>
      <c r="J516" t="inlineStr">
        <is>
          <t>Post 3mm, iDose (3)</t>
        </is>
      </c>
    </row>
    <row r="517">
      <c r="A517" s="2" t="n">
        <v>8877568</v>
      </c>
      <c r="B517" s="2" t="n">
        <v>51</v>
      </c>
      <c r="C517" s="2" t="inlineStr">
        <is>
          <t>F</t>
        </is>
      </c>
      <c r="D517" s="2" t="n">
        <v>100</v>
      </c>
      <c r="E517" s="4">
        <f>HYPERLINK("./Results/DLO\20191201_1.3.12.2.1107.5.1.4.54310.30000019121621241503100009520_5_512_512_\Osteo_Sarco_1.png","RPT")</f>
        <v/>
      </c>
      <c r="F517" s="3" t="n">
        <v>107</v>
      </c>
      <c r="G517" s="3" t="n">
        <v>5</v>
      </c>
      <c r="H517" s="7" t="n"/>
      <c r="I517" t="inlineStr">
        <is>
          <t>Sensation 64</t>
        </is>
      </c>
      <c r="J517" t="inlineStr">
        <is>
          <t>Arterial 3.0 B30f</t>
        </is>
      </c>
    </row>
    <row r="518">
      <c r="A518" s="2" t="n">
        <v>5314572</v>
      </c>
      <c r="B518" s="2" t="n">
        <v>51</v>
      </c>
      <c r="C518" s="2" t="inlineStr">
        <is>
          <t>F</t>
        </is>
      </c>
      <c r="D518" s="2" t="n">
        <v>100</v>
      </c>
      <c r="E518" s="4">
        <f>HYPERLINK("./Results/DLO\20180301_1.2.840.113619.2.311.115067870657889128079127404698116750946_304_512_512_\Osteo_Sarco_1.png","RPT")</f>
        <v/>
      </c>
      <c r="F518" s="3" t="n">
        <v>106</v>
      </c>
      <c r="G518" s="3" t="n">
        <v>13</v>
      </c>
      <c r="H518" s="7" t="n"/>
      <c r="I518" t="inlineStr">
        <is>
          <t>Revolution CT</t>
        </is>
      </c>
      <c r="J518" t="inlineStr">
        <is>
          <t>ABD 2.5mm</t>
        </is>
      </c>
    </row>
    <row r="519">
      <c r="A519" s="2" t="n">
        <v>5799799</v>
      </c>
      <c r="B519" s="2" t="n">
        <v>51</v>
      </c>
      <c r="C519" s="2" t="inlineStr">
        <is>
          <t>F</t>
        </is>
      </c>
      <c r="D519" s="2" t="n">
        <v>100</v>
      </c>
      <c r="E519" s="4">
        <f>HYPERLINK("./Results/DLO\20190801_1.3.12.2.1107.5.1.4.54310.30000019082722430853100063954_7_512_512_\Osteo_Sarco_1.png","RPT")</f>
        <v/>
      </c>
      <c r="F519" s="3" t="n">
        <v>106</v>
      </c>
      <c r="G519" s="3" t="n">
        <v>11</v>
      </c>
      <c r="H519" s="7" t="n"/>
      <c r="I519" t="inlineStr">
        <is>
          <t>Sensation 64</t>
        </is>
      </c>
      <c r="J519" t="inlineStr">
        <is>
          <t>ABD Contrast 3.0 B30f</t>
        </is>
      </c>
    </row>
    <row r="520">
      <c r="A520" s="2" t="n">
        <v>4651634</v>
      </c>
      <c r="B520" s="2" t="n">
        <v>51</v>
      </c>
      <c r="C520" s="2" t="inlineStr">
        <is>
          <t>F</t>
        </is>
      </c>
      <c r="D520" s="2" t="n">
        <v>100</v>
      </c>
      <c r="E520" s="4">
        <f>HYPERLINK("./Results/DLO\20190501_1.3.12.2.1107.5.1.4.54310.30000019050223332017100056430_2_512_512_\Osteo_Sarco_1.png","RPT")</f>
        <v/>
      </c>
      <c r="F520" s="3" t="n">
        <v>105</v>
      </c>
      <c r="G520" s="3" t="n">
        <v>6</v>
      </c>
      <c r="H520" s="7" t="n"/>
      <c r="I520" t="inlineStr">
        <is>
          <t>Sensation 64</t>
        </is>
      </c>
      <c r="J520" t="inlineStr">
        <is>
          <t>With Contrast 3.0 B30f</t>
        </is>
      </c>
    </row>
    <row r="521">
      <c r="A521" s="2" t="n">
        <v>400804</v>
      </c>
      <c r="B521" s="2" t="n">
        <v>51</v>
      </c>
      <c r="C521" s="2" t="inlineStr">
        <is>
          <t>F</t>
        </is>
      </c>
      <c r="D521" s="2" t="n">
        <v>100</v>
      </c>
      <c r="E521" s="4">
        <f>HYPERLINK("./Results/DLO\20200601_1.3.12.2.1107.5.1.4.54310.30000020060721263234300094233_7_512_512_\Osteo_Sarco_1.png","RPT")</f>
        <v/>
      </c>
      <c r="F521" s="3" t="n">
        <v>105</v>
      </c>
      <c r="G521" s="3" t="n">
        <v>10</v>
      </c>
      <c r="H521" s="7" t="n"/>
      <c r="I521" t="inlineStr">
        <is>
          <t>Sensation 64</t>
        </is>
      </c>
      <c r="J521" t="inlineStr">
        <is>
          <t>ABD 3mm B30f</t>
        </is>
      </c>
    </row>
    <row r="522">
      <c r="A522" s="2" t="n">
        <v>9005746</v>
      </c>
      <c r="B522" s="2" t="n">
        <v>51</v>
      </c>
      <c r="C522" s="2" t="inlineStr">
        <is>
          <t>F</t>
        </is>
      </c>
      <c r="D522" s="2" t="n">
        <v>100</v>
      </c>
      <c r="E522" s="4">
        <f>HYPERLINK("./Results/DLO\20180801_1.2.840.113619.2.94.485650834948.2.8992257.19506121.1_2_512_512_\Osteo_Sarco_1.png","RPT")</f>
        <v/>
      </c>
      <c r="F522" s="3" t="n">
        <v>104</v>
      </c>
      <c r="G522" s="3" t="n">
        <v>8</v>
      </c>
      <c r="H522" s="7" t="n"/>
      <c r="I522" t="inlineStr">
        <is>
          <t>Sensation 64</t>
        </is>
      </c>
      <c r="J522" t="inlineStr">
        <is>
          <t>With Contrast 3.0 B30f</t>
        </is>
      </c>
    </row>
    <row r="523">
      <c r="A523" s="2" t="n">
        <v>5028202</v>
      </c>
      <c r="B523" s="2" t="n">
        <v>51</v>
      </c>
      <c r="C523" s="2" t="inlineStr">
        <is>
          <t>F</t>
        </is>
      </c>
      <c r="D523" s="2" t="n">
        <v>100</v>
      </c>
      <c r="E523" s="4">
        <f>HYPERLINK("./Results/DLO\20181101_1.2.840.113619.2.416.34065769565107964680180675044568977716_304_512_512_\Osteo_Sarco_1.png","RPT")</f>
        <v/>
      </c>
      <c r="F523" s="3" t="n">
        <v>103</v>
      </c>
      <c r="G523" s="3" t="n">
        <v>12</v>
      </c>
      <c r="H523" s="7" t="n"/>
      <c r="I523" t="inlineStr">
        <is>
          <t>Revolution CT</t>
        </is>
      </c>
      <c r="J523" t="inlineStr">
        <is>
          <t>ABD 2.5mm</t>
        </is>
      </c>
    </row>
    <row r="524">
      <c r="A524" s="2" t="n">
        <v>8919995</v>
      </c>
      <c r="B524" s="2" t="n">
        <v>51</v>
      </c>
      <c r="C524" s="2" t="inlineStr">
        <is>
          <t>F</t>
        </is>
      </c>
      <c r="D524" s="2" t="n">
        <v>100</v>
      </c>
      <c r="E524" s="4">
        <f>HYPERLINK("./Results/DLO\20181201_1.2.840.113619.2.311.160458453142534894052402763845560264153_304_512_512_\Osteo_Sarco_1.png","RPT")</f>
        <v/>
      </c>
      <c r="F524" s="3" t="n">
        <v>103</v>
      </c>
      <c r="G524" s="3" t="n">
        <v>13</v>
      </c>
      <c r="H524" s="7" t="n"/>
      <c r="I524" t="inlineStr">
        <is>
          <t>Revolution CT</t>
        </is>
      </c>
      <c r="J524" t="inlineStr">
        <is>
          <t>ABD 2.5mm</t>
        </is>
      </c>
    </row>
    <row r="525">
      <c r="A525" s="2" t="n">
        <v>9794840</v>
      </c>
      <c r="B525" s="2" t="n">
        <v>51</v>
      </c>
      <c r="C525" s="2" t="inlineStr">
        <is>
          <t>F</t>
        </is>
      </c>
      <c r="D525" s="2" t="n">
        <v>100</v>
      </c>
      <c r="E525" s="4">
        <f>HYPERLINK("./Results/DLO\20191001_1.3.46.670589.33.1.63706987364294623600001.5262020440454113104_201_512_512_\Osteo_Sarco_1.png","RPT")</f>
        <v/>
      </c>
      <c r="F525" s="3" t="n">
        <v>103</v>
      </c>
      <c r="G525" s="3" t="n">
        <v>8</v>
      </c>
      <c r="H525" s="7" t="n"/>
      <c r="I525" t="inlineStr">
        <is>
          <t>Ingenuity Core 128</t>
        </is>
      </c>
      <c r="J525" t="inlineStr">
        <is>
          <t>Post 3mm, iDose (3)</t>
        </is>
      </c>
    </row>
    <row r="526">
      <c r="A526" s="2" t="n">
        <v>2786691</v>
      </c>
      <c r="B526" s="2" t="n">
        <v>51</v>
      </c>
      <c r="C526" s="2" t="inlineStr">
        <is>
          <t>F</t>
        </is>
      </c>
      <c r="D526" s="2" t="n">
        <v>100</v>
      </c>
      <c r="E526" s="4">
        <f>HYPERLINK("./Results/DLO\20180701_1.3.12.2.1107.5.1.4.54310.30000018072323111520300018570_3_512_512_\Osteo_Sarco_1.png","RPT")</f>
        <v/>
      </c>
      <c r="F526" s="3" t="n">
        <v>101</v>
      </c>
      <c r="G526" s="3" t="n">
        <v>8</v>
      </c>
      <c r="H526" s="7" t="n"/>
      <c r="I526" t="inlineStr">
        <is>
          <t>Sensation 64</t>
        </is>
      </c>
      <c r="J526" t="inlineStr">
        <is>
          <t>Pre Contrast 3.0 B30f</t>
        </is>
      </c>
    </row>
    <row r="527">
      <c r="A527" s="2" t="n">
        <v>10009663</v>
      </c>
      <c r="B527" s="2" t="n">
        <v>51</v>
      </c>
      <c r="C527" s="2" t="inlineStr">
        <is>
          <t>F</t>
        </is>
      </c>
      <c r="D527" s="2" t="n">
        <v>100</v>
      </c>
      <c r="E527" s="4">
        <f>HYPERLINK("./Results/DLO\20200601_1.3.12.2.1107.5.1.4.54310.30000020061120512217100005696_3_512_512_\Osteo_Sarco_1.png","RPT")</f>
        <v/>
      </c>
      <c r="F527" s="3" t="n">
        <v>100</v>
      </c>
      <c r="G527" s="3" t="n">
        <v>8</v>
      </c>
      <c r="H527" s="7" t="n"/>
      <c r="I527" t="inlineStr">
        <is>
          <t>Sensation 64</t>
        </is>
      </c>
      <c r="J527" t="inlineStr">
        <is>
          <t>Pre ABD AXL 3mm B30f</t>
        </is>
      </c>
    </row>
    <row r="528">
      <c r="A528" s="2" t="n">
        <v>9794780</v>
      </c>
      <c r="B528" s="2" t="n">
        <v>52</v>
      </c>
      <c r="C528" s="2" t="inlineStr">
        <is>
          <t>F</t>
        </is>
      </c>
      <c r="D528" s="2" t="n">
        <v>100</v>
      </c>
      <c r="E528" s="4">
        <f>HYPERLINK("./Results/DLO\20190901_1.2.840.113619.2.416.121468167658701175785333874545072760164_310_512_512_\Osteo_Sarco_1.png","RPT")</f>
        <v/>
      </c>
      <c r="F528" s="3" t="n">
        <v>99</v>
      </c>
      <c r="G528" s="3" t="n">
        <v>11</v>
      </c>
      <c r="H528" s="7" t="n"/>
      <c r="I528" t="inlineStr">
        <is>
          <t>Revolution CT</t>
        </is>
      </c>
      <c r="J528" t="inlineStr">
        <is>
          <t>ABD</t>
        </is>
      </c>
    </row>
    <row r="529">
      <c r="A529" s="2" t="n">
        <v>5838744</v>
      </c>
      <c r="B529" s="2" t="n">
        <v>52</v>
      </c>
      <c r="C529" s="2" t="inlineStr">
        <is>
          <t>F</t>
        </is>
      </c>
      <c r="D529" s="2" t="n">
        <v>100</v>
      </c>
      <c r="E529" s="4">
        <f>HYPERLINK("./Results/DLO\20190201_1.2.840.113619.2.311.164589533639480055917961799998748224273_304_512_512_\Osteo_Sarco_1.png","RPT")</f>
        <v/>
      </c>
      <c r="F529" s="3" t="n">
        <v>98</v>
      </c>
      <c r="G529" s="3" t="n">
        <v>7</v>
      </c>
      <c r="H529" s="7" t="n"/>
      <c r="I529" t="inlineStr">
        <is>
          <t>Revolution CT</t>
        </is>
      </c>
      <c r="J529" t="inlineStr">
        <is>
          <t>ABD 2.5mm</t>
        </is>
      </c>
    </row>
    <row r="530">
      <c r="A530" s="2" t="n">
        <v>1325921</v>
      </c>
      <c r="B530" s="2" t="n">
        <v>52</v>
      </c>
      <c r="C530" s="2" t="inlineStr">
        <is>
          <t>F</t>
        </is>
      </c>
      <c r="D530" s="2" t="n">
        <v>100</v>
      </c>
      <c r="E530" s="4">
        <f>HYPERLINK("./Results/DLO\20181101_1.2.840.113619.2.416.316100658017199577842690067969738493815_304_512_512_\Osteo_Sarco_1.png","RPT")</f>
        <v/>
      </c>
      <c r="F530" s="3" t="n">
        <v>96</v>
      </c>
      <c r="G530" s="3" t="n">
        <v>7</v>
      </c>
      <c r="H530" s="7" t="n"/>
      <c r="I530" t="inlineStr">
        <is>
          <t>Revolution CT</t>
        </is>
      </c>
      <c r="J530" t="inlineStr">
        <is>
          <t>ABD 2.5mm</t>
        </is>
      </c>
    </row>
    <row r="531">
      <c r="A531" s="2" t="n">
        <v>5775612</v>
      </c>
      <c r="B531" s="2" t="n">
        <v>52</v>
      </c>
      <c r="C531" s="2" t="inlineStr">
        <is>
          <t>F</t>
        </is>
      </c>
      <c r="D531" s="2" t="n">
        <v>100</v>
      </c>
      <c r="E531" s="4">
        <f>HYPERLINK("./Results/DLO\20181001_1.2.840.113619.2.416.292812070256175310756078924615645454170_303_512_512_\Osteo_Sarco_1.png","RPT")</f>
        <v/>
      </c>
      <c r="F531" s="3" t="n">
        <v>95</v>
      </c>
      <c r="G531" s="3" t="n">
        <v>7</v>
      </c>
      <c r="H531" s="7" t="n"/>
      <c r="I531" t="inlineStr">
        <is>
          <t>Revolution CT</t>
        </is>
      </c>
      <c r="J531" t="inlineStr">
        <is>
          <t>ABD 2.5mm</t>
        </is>
      </c>
    </row>
    <row r="532">
      <c r="A532" s="2" t="n">
        <v>6739283</v>
      </c>
      <c r="B532" s="2" t="n">
        <v>52</v>
      </c>
      <c r="C532" s="2" t="inlineStr">
        <is>
          <t>F</t>
        </is>
      </c>
      <c r="D532" s="2" t="n">
        <v>100</v>
      </c>
      <c r="E532" s="4">
        <f>HYPERLINK("./Results/DLO\20180101_1.2.840.113619.2.94.485650834948.2.8571867.18474208.1_2_512_512_\Osteo_Sarco_1.png","RPT")</f>
        <v/>
      </c>
      <c r="F532" s="3" t="n">
        <v>93</v>
      </c>
      <c r="G532" s="3" t="n">
        <v>6</v>
      </c>
      <c r="H532" s="7" t="n"/>
      <c r="I532" t="inlineStr">
        <is>
          <t>Sensation 64</t>
        </is>
      </c>
      <c r="J532" t="inlineStr">
        <is>
          <t>With Contrast 3.0 B30f</t>
        </is>
      </c>
    </row>
    <row r="533">
      <c r="A533" s="2" t="n">
        <v>6739626</v>
      </c>
      <c r="B533" s="2" t="n">
        <v>52</v>
      </c>
      <c r="C533" s="2" t="inlineStr">
        <is>
          <t>F</t>
        </is>
      </c>
      <c r="D533" s="2" t="n">
        <v>100</v>
      </c>
      <c r="E533" s="4">
        <f>HYPERLINK("./Results/DLO\20180301_1.2.840.113619.2.311.179229911352055677734130132014650546497_304_512_512_\Osteo_Sarco_1.png","RPT")</f>
        <v/>
      </c>
      <c r="F533" s="3" t="n">
        <v>93</v>
      </c>
      <c r="G533" s="3" t="n">
        <v>10</v>
      </c>
      <c r="H533" s="7" t="n"/>
      <c r="I533" t="inlineStr">
        <is>
          <t>Revolution CT</t>
        </is>
      </c>
      <c r="J533" t="inlineStr">
        <is>
          <t>ABD 2.5mm</t>
        </is>
      </c>
    </row>
    <row r="534">
      <c r="A534" s="2" t="n">
        <v>5652005</v>
      </c>
      <c r="B534" s="2" t="n">
        <v>52</v>
      </c>
      <c r="C534" s="2" t="inlineStr">
        <is>
          <t>F</t>
        </is>
      </c>
      <c r="D534" s="2" t="n">
        <v>100</v>
      </c>
      <c r="E534" s="4">
        <f>HYPERLINK("./Results/DLO\20190501_1.3.46.670589.33.1.63692908471151182200001.5495537553229645772_201_512_512_\Osteo_Sarco_1.png","RPT")</f>
        <v/>
      </c>
      <c r="F534" s="3" t="n">
        <v>93</v>
      </c>
      <c r="G534" s="3" t="n">
        <v>6</v>
      </c>
      <c r="H534" s="7" t="n"/>
      <c r="I534" t="inlineStr">
        <is>
          <t>Ingenuity Core 128</t>
        </is>
      </c>
      <c r="J534" t="inlineStr">
        <is>
          <t>Post 3mm, iDose (3)</t>
        </is>
      </c>
    </row>
    <row r="535">
      <c r="A535" s="2" t="n">
        <v>8901820</v>
      </c>
      <c r="B535" s="2" t="n">
        <v>52</v>
      </c>
      <c r="C535" s="2" t="inlineStr">
        <is>
          <t>F</t>
        </is>
      </c>
      <c r="D535" s="2" t="n">
        <v>100</v>
      </c>
      <c r="E535" s="4">
        <f>HYPERLINK("./Results/DLO\20180301_1.3.12.2.1107.5.1.4.54310.30000018031400000235900005397_2_512_512_\Osteo_Sarco_1.png","RPT")</f>
        <v/>
      </c>
      <c r="F535" s="3" t="n">
        <v>90</v>
      </c>
      <c r="G535" s="3" t="n">
        <v>9</v>
      </c>
      <c r="H535" s="7" t="n"/>
      <c r="I535" t="inlineStr">
        <is>
          <t>Sensation 64</t>
        </is>
      </c>
      <c r="J535" t="inlineStr">
        <is>
          <t>With Contrast 3.0 B30f</t>
        </is>
      </c>
    </row>
    <row r="536">
      <c r="A536" s="2" t="n">
        <v>9005549</v>
      </c>
      <c r="B536" s="2" t="n">
        <v>52</v>
      </c>
      <c r="C536" s="2" t="inlineStr">
        <is>
          <t>F</t>
        </is>
      </c>
      <c r="D536" s="2" t="n">
        <v>100</v>
      </c>
      <c r="E536" s="4">
        <f>HYPERLINK("./Results/DLO\20180801_1.3.12.2.1107.5.1.4.54310.30000018080100141850000010687_2_512_512_\Osteo_Sarco_1.png","RPT")</f>
        <v/>
      </c>
      <c r="F536" s="3" t="n">
        <v>88</v>
      </c>
      <c r="G536" s="3" t="n">
        <v>8</v>
      </c>
      <c r="H536" s="7" t="n"/>
      <c r="I536" t="inlineStr">
        <is>
          <t>Sensation 64</t>
        </is>
      </c>
      <c r="J536" t="inlineStr">
        <is>
          <t>With Contrast 3.0 B30f</t>
        </is>
      </c>
    </row>
    <row r="537">
      <c r="A537" s="2" t="n">
        <v>3368722</v>
      </c>
      <c r="B537" s="2" t="n">
        <v>52</v>
      </c>
      <c r="C537" s="2" t="inlineStr">
        <is>
          <t>M</t>
        </is>
      </c>
      <c r="D537" s="2" t="n">
        <v>100</v>
      </c>
      <c r="E537" s="4">
        <f>HYPERLINK("./Results/DLO\20200201_1.3.46.670589.33.1.63717101832632447600001.5620558927477462730_201_512_512_\Osteo_Sarco_1.png","RPT")</f>
        <v/>
      </c>
      <c r="F537" s="3" t="n">
        <v>216</v>
      </c>
      <c r="G537" s="3" t="n">
        <v>8</v>
      </c>
      <c r="H537" s="7" t="n"/>
      <c r="I537" t="inlineStr">
        <is>
          <t>Ingenuity Core 128</t>
        </is>
      </c>
      <c r="J537" t="inlineStr">
        <is>
          <t>Pre 3mm, iDose (4)</t>
        </is>
      </c>
    </row>
    <row r="538">
      <c r="A538" s="2" t="n">
        <v>5022729</v>
      </c>
      <c r="B538" s="2" t="n">
        <v>52</v>
      </c>
      <c r="C538" s="2" t="inlineStr">
        <is>
          <t>M</t>
        </is>
      </c>
      <c r="D538" s="2" t="n">
        <v>100</v>
      </c>
      <c r="E538" s="4">
        <f>HYPERLINK("./Results/DLO\20180401_1.3.12.2.1107.5.1.4.65253.30000018042420550416800019201_2_512_512_\Osteo_Sarco_1.png","RPT")</f>
        <v/>
      </c>
      <c r="F538" s="3" t="n">
        <v>203</v>
      </c>
      <c r="G538" s="3" t="n">
        <v>37</v>
      </c>
      <c r="H538" s="6" t="n">
        <v>31.67</v>
      </c>
      <c r="I538" t="inlineStr">
        <is>
          <t>SOMATOM Definition AS</t>
        </is>
      </c>
      <c r="J538" t="inlineStr">
        <is>
          <t>W/O Contrast 2.0 B30f</t>
        </is>
      </c>
    </row>
    <row r="539">
      <c r="A539" s="2" t="n">
        <v>9944663</v>
      </c>
      <c r="B539" s="2" t="n">
        <v>52</v>
      </c>
      <c r="C539" s="2" t="inlineStr">
        <is>
          <t>M</t>
        </is>
      </c>
      <c r="D539" s="2" t="n">
        <v>100</v>
      </c>
      <c r="E539" s="4">
        <f>HYPERLINK("./Results/DLO\20200501_1.3.46.670589.33.1.63725560835039149100001.5347888511767194455_201_512_512_\Osteo_Sarco_1.png","RPT")</f>
        <v/>
      </c>
      <c r="F539" s="3" t="n">
        <v>168</v>
      </c>
      <c r="G539" s="3" t="n">
        <v>10</v>
      </c>
      <c r="H539" s="7" t="n"/>
      <c r="I539" t="inlineStr">
        <is>
          <t>Ingenuity Core 128</t>
        </is>
      </c>
      <c r="J539" t="inlineStr">
        <is>
          <t>Post 3mm, iDose (3)</t>
        </is>
      </c>
    </row>
    <row r="540">
      <c r="A540" s="2" t="n">
        <v>6741519</v>
      </c>
      <c r="B540" s="2" t="n">
        <v>52</v>
      </c>
      <c r="C540" s="2" t="inlineStr">
        <is>
          <t>M</t>
        </is>
      </c>
      <c r="D540" s="2" t="n">
        <v>100</v>
      </c>
      <c r="E540" s="4">
        <f>HYPERLINK("./Results/DLO\20191101_1.3.46.670589.33.1.63710445654014391700001.4720815295104205486_201_512_512_\Osteo_Sarco_1.png","RPT")</f>
        <v/>
      </c>
      <c r="F540" s="3" t="n">
        <v>166</v>
      </c>
      <c r="G540" s="3" t="n">
        <v>5</v>
      </c>
      <c r="H540" s="7" t="n"/>
      <c r="I540" t="inlineStr">
        <is>
          <t>Ingenuity Core 128</t>
        </is>
      </c>
      <c r="J540" t="inlineStr">
        <is>
          <t>Post 3mm, iDose (3)</t>
        </is>
      </c>
    </row>
    <row r="541">
      <c r="A541" s="2" t="n">
        <v>8888853</v>
      </c>
      <c r="B541" s="2" t="n">
        <v>52</v>
      </c>
      <c r="C541" s="2" t="inlineStr">
        <is>
          <t>M</t>
        </is>
      </c>
      <c r="D541" s="2" t="n">
        <v>100</v>
      </c>
      <c r="E541" s="4">
        <f>HYPERLINK("./Results/DLO\20181101_1.3.46.670589.33.1.63679083937867151200002.5084364105738665248_201_512_512_\Osteo_Sarco_1.png","RPT")</f>
        <v/>
      </c>
      <c r="F541" s="3" t="n">
        <v>161</v>
      </c>
      <c r="G541" s="3" t="n">
        <v>7</v>
      </c>
      <c r="H541" s="7" t="n"/>
      <c r="I541" t="inlineStr">
        <is>
          <t>Ingenuity Core 128</t>
        </is>
      </c>
      <c r="J541" t="inlineStr">
        <is>
          <t>Post 100/236 i3, iDose (3)</t>
        </is>
      </c>
    </row>
    <row r="542">
      <c r="A542" s="2" t="n">
        <v>5263493</v>
      </c>
      <c r="B542" s="2" t="n">
        <v>52</v>
      </c>
      <c r="C542" s="2" t="inlineStr">
        <is>
          <t>M</t>
        </is>
      </c>
      <c r="D542" s="2" t="n">
        <v>100</v>
      </c>
      <c r="E542" s="4">
        <f>HYPERLINK("./Results/DLO\20180901_1.3.46.670589.33.1.63671648898726655700001.5656746704967012479_201_512_512_\Osteo_Sarco_1.png","RPT")</f>
        <v/>
      </c>
      <c r="F542" s="3" t="n">
        <v>159</v>
      </c>
      <c r="G542" s="3" t="n">
        <v>11</v>
      </c>
      <c r="H542" s="7" t="n"/>
      <c r="I542" t="inlineStr">
        <is>
          <t>Ingenuity Core 128</t>
        </is>
      </c>
      <c r="J542" t="inlineStr">
        <is>
          <t>Post 100/236 i3, iDose (3)</t>
        </is>
      </c>
    </row>
    <row r="543">
      <c r="A543" s="2" t="n">
        <v>3706921</v>
      </c>
      <c r="B543" s="2" t="n">
        <v>52</v>
      </c>
      <c r="C543" s="2" t="inlineStr">
        <is>
          <t>M</t>
        </is>
      </c>
      <c r="D543" s="2" t="n">
        <v>100</v>
      </c>
      <c r="E543" s="4">
        <f>HYPERLINK("./Results/DLO\20180201_1.2.840.113619.2.94.485650834948.2.8667139.18706207.1_2_512_512_\Osteo_Sarco_1.png","RPT")</f>
        <v/>
      </c>
      <c r="F543" s="3" t="n">
        <v>157</v>
      </c>
      <c r="G543" s="3" t="n">
        <v>4</v>
      </c>
      <c r="H543" s="7" t="n"/>
      <c r="I543" t="inlineStr">
        <is>
          <t>SOMATOM Definition AS</t>
        </is>
      </c>
      <c r="J543" t="inlineStr">
        <is>
          <t>With Contrast 3.0 B30f</t>
        </is>
      </c>
    </row>
    <row r="544">
      <c r="A544" s="2" t="n">
        <v>9005877</v>
      </c>
      <c r="B544" s="2" t="n">
        <v>52</v>
      </c>
      <c r="C544" s="2" t="inlineStr">
        <is>
          <t>M</t>
        </is>
      </c>
      <c r="D544" s="2" t="n">
        <v>100</v>
      </c>
      <c r="E544" s="4">
        <f>HYPERLINK("./Results/DLO\20180101_1.3.46.670589.33.1.63651957362174181200001.4795407560222357677_601_512_512_\Osteo_Sarco_1.png","RPT")</f>
        <v/>
      </c>
      <c r="F544" s="3" t="n">
        <v>153</v>
      </c>
      <c r="G544" s="3" t="n">
        <v>6</v>
      </c>
      <c r="H544" s="7" t="n"/>
      <c r="I544" t="inlineStr">
        <is>
          <t>Ingenuity Core 128</t>
        </is>
      </c>
      <c r="J544" t="inlineStr">
        <is>
          <t>Post 100/236 i3, iDose (3)</t>
        </is>
      </c>
    </row>
    <row r="545">
      <c r="A545" s="2" t="n">
        <v>9467496</v>
      </c>
      <c r="B545" s="2" t="n">
        <v>52</v>
      </c>
      <c r="C545" s="2" t="inlineStr">
        <is>
          <t>M</t>
        </is>
      </c>
      <c r="D545" s="2" t="n">
        <v>100</v>
      </c>
      <c r="E545" s="4">
        <f>HYPERLINK("./Results/DLO\20181201_1.3.12.2.1107.5.1.4.54310.30000018122323111123400048143_2_512_512_\Osteo_Sarco_1.png","RPT")</f>
        <v/>
      </c>
      <c r="F545" s="3" t="n">
        <v>153</v>
      </c>
      <c r="G545" s="3" t="n">
        <v>6</v>
      </c>
      <c r="H545" s="6" t="n">
        <v>26.61</v>
      </c>
      <c r="I545" t="inlineStr">
        <is>
          <t>Sensation 64</t>
        </is>
      </c>
      <c r="J545" t="inlineStr">
        <is>
          <t>Pre Contrast 3.0 B30f</t>
        </is>
      </c>
    </row>
    <row r="546">
      <c r="A546" s="2" t="n">
        <v>3503810</v>
      </c>
      <c r="B546" s="2" t="n">
        <v>52</v>
      </c>
      <c r="C546" s="2" t="inlineStr">
        <is>
          <t>M</t>
        </is>
      </c>
      <c r="D546" s="2" t="n">
        <v>100</v>
      </c>
      <c r="E546" s="4">
        <f>HYPERLINK("./Results/DLO\20180101_1.2.840.113619.2.94.485650834948.2.8590523.18520592.1_2_512_512_\Osteo_Sarco_1.png","RPT")</f>
        <v/>
      </c>
      <c r="F546" s="3" t="n">
        <v>149</v>
      </c>
      <c r="G546" s="3" t="n">
        <v>6</v>
      </c>
      <c r="H546" s="7" t="n"/>
      <c r="I546" t="inlineStr">
        <is>
          <t>Sensation 64</t>
        </is>
      </c>
      <c r="J546" t="inlineStr">
        <is>
          <t>With Contrast 3.0 B30f</t>
        </is>
      </c>
    </row>
    <row r="547">
      <c r="A547" s="2" t="n">
        <v>6742601</v>
      </c>
      <c r="B547" s="2" t="n">
        <v>52</v>
      </c>
      <c r="C547" s="2" t="inlineStr">
        <is>
          <t>F</t>
        </is>
      </c>
      <c r="D547" s="2" t="n">
        <v>100</v>
      </c>
      <c r="E547" s="4">
        <f>HYPERLINK("./Results/DLO\20180301_1.2.840.113619.2.94.485650834948.2.8705639.18800170.1_2_512_512_\Osteo_Sarco_1.png","RPT")</f>
        <v/>
      </c>
      <c r="F547" s="3" t="n">
        <v>141</v>
      </c>
      <c r="G547" s="3" t="n">
        <v>8</v>
      </c>
      <c r="H547" s="6" t="n">
        <v>20.63</v>
      </c>
      <c r="I547" t="inlineStr">
        <is>
          <t>Sensation 64</t>
        </is>
      </c>
      <c r="J547" t="inlineStr">
        <is>
          <t>With Contrast 3.0 B30f</t>
        </is>
      </c>
    </row>
    <row r="548">
      <c r="A548" s="2" t="n">
        <v>5022767</v>
      </c>
      <c r="B548" s="2" t="n">
        <v>52</v>
      </c>
      <c r="C548" s="2" t="inlineStr">
        <is>
          <t>F</t>
        </is>
      </c>
      <c r="D548" s="2" t="n">
        <v>100</v>
      </c>
      <c r="E548" s="4">
        <f>HYPERLINK("./Results/DLO\20190101_1.2.840.113619.2.416.121423501463331843407639050235051452237_304_512_512_\Osteo_Sarco_1.png","RPT")</f>
        <v/>
      </c>
      <c r="F548" s="3" t="n">
        <v>128</v>
      </c>
      <c r="G548" s="3" t="n">
        <v>11</v>
      </c>
      <c r="H548" s="7" t="n"/>
      <c r="I548" t="inlineStr">
        <is>
          <t>Revolution CT</t>
        </is>
      </c>
      <c r="J548" t="inlineStr">
        <is>
          <t>ABD 2.5mm</t>
        </is>
      </c>
    </row>
    <row r="549">
      <c r="A549" s="2" t="n">
        <v>305343</v>
      </c>
      <c r="B549" s="2" t="n">
        <v>52</v>
      </c>
      <c r="C549" s="2" t="inlineStr">
        <is>
          <t>F</t>
        </is>
      </c>
      <c r="D549" s="2" t="n">
        <v>100</v>
      </c>
      <c r="E549" s="4">
        <f>HYPERLINK("./Results/DLO\20190501_1.2.840.113619.2.416.319505693201596446324922096741805212704_310_512_512_\Osteo_Sarco_1.png","RPT")</f>
        <v/>
      </c>
      <c r="F549" s="3" t="n">
        <v>127</v>
      </c>
      <c r="G549" s="3" t="n">
        <v>8</v>
      </c>
      <c r="H549" s="7" t="n"/>
      <c r="I549" t="inlineStr">
        <is>
          <t>Revolution CT</t>
        </is>
      </c>
      <c r="J549" t="inlineStr">
        <is>
          <t>ABD</t>
        </is>
      </c>
    </row>
    <row r="550">
      <c r="A550" s="2" t="n">
        <v>10021153</v>
      </c>
      <c r="B550" s="2" t="n">
        <v>52</v>
      </c>
      <c r="C550" s="2" t="inlineStr">
        <is>
          <t>F</t>
        </is>
      </c>
      <c r="D550" s="2" t="n">
        <v>100</v>
      </c>
      <c r="E550" s="4">
        <f>HYPERLINK("./Results/DLO\20200601_1.3.12.2.1107.5.1.4.54310.30000020062822352337500035239_7_512_512_\Osteo_Sarco_1.png","RPT")</f>
        <v/>
      </c>
      <c r="F550" s="3" t="n">
        <v>127</v>
      </c>
      <c r="G550" s="3" t="n">
        <v>8</v>
      </c>
      <c r="H550" s="7" t="n"/>
      <c r="I550" t="inlineStr">
        <is>
          <t>Sensation 64</t>
        </is>
      </c>
      <c r="J550" t="inlineStr">
        <is>
          <t>ABD 3mm B30f</t>
        </is>
      </c>
    </row>
    <row r="551">
      <c r="A551" s="2" t="n">
        <v>8503085</v>
      </c>
      <c r="B551" s="2" t="n">
        <v>52</v>
      </c>
      <c r="C551" s="2" t="inlineStr">
        <is>
          <t>M</t>
        </is>
      </c>
      <c r="D551" s="2" t="n">
        <v>100</v>
      </c>
      <c r="E551" s="4">
        <f>HYPERLINK("./Results/DLO\20180301_1.2.840.113619.2.311.134256169663791513885435815611850780198_304_512_512_\Osteo_Sarco_1.png","RPT")</f>
        <v/>
      </c>
      <c r="F551" s="3" t="n">
        <v>125</v>
      </c>
      <c r="G551" s="3" t="n">
        <v>6</v>
      </c>
      <c r="H551" s="7" t="n"/>
      <c r="I551" t="inlineStr">
        <is>
          <t>Revolution CT</t>
        </is>
      </c>
      <c r="J551" t="inlineStr">
        <is>
          <t>ABD 2.5mm</t>
        </is>
      </c>
    </row>
    <row r="552">
      <c r="A552" s="2" t="n">
        <v>9008774</v>
      </c>
      <c r="B552" s="2" t="n">
        <v>52</v>
      </c>
      <c r="C552" s="2" t="inlineStr">
        <is>
          <t>M</t>
        </is>
      </c>
      <c r="D552" s="2" t="n">
        <v>100</v>
      </c>
      <c r="E552" s="4">
        <f>HYPERLINK("./Results/DLO\20190401_1.3.12.2.1107.5.1.4.65253.30000019042505363431300008886_2_512_512_\Osteo_Sarco_1.png","RPT")</f>
        <v/>
      </c>
      <c r="F552" s="3" t="n">
        <v>125</v>
      </c>
      <c r="G552" s="3" t="n">
        <v>16</v>
      </c>
      <c r="H552" s="7" t="n"/>
      <c r="I552" t="inlineStr">
        <is>
          <t>SOMATOM Definition AS</t>
        </is>
      </c>
      <c r="J552" t="inlineStr">
        <is>
          <t>Pre Contrast 3.0 B30f</t>
        </is>
      </c>
    </row>
    <row r="553">
      <c r="A553" s="2" t="n">
        <v>8419166</v>
      </c>
      <c r="B553" s="2" t="n">
        <v>52</v>
      </c>
      <c r="C553" s="2" t="inlineStr">
        <is>
          <t>F</t>
        </is>
      </c>
      <c r="D553" s="2" t="n">
        <v>100</v>
      </c>
      <c r="E553" s="4">
        <f>HYPERLINK("./Results/DLO\20181101_1.3.12.2.1107.5.1.4.54310.30000018112223114085900002510_2_512_512_\Osteo_Sarco_1.png","RPT")</f>
        <v/>
      </c>
      <c r="F553" s="3" t="n">
        <v>124</v>
      </c>
      <c r="G553" s="3" t="n">
        <v>4</v>
      </c>
      <c r="H553" s="7" t="n"/>
      <c r="I553" t="inlineStr">
        <is>
          <t>Sensation 64</t>
        </is>
      </c>
      <c r="J553" t="inlineStr">
        <is>
          <t>With Contrast 3.0 B30f</t>
        </is>
      </c>
    </row>
    <row r="554">
      <c r="A554" s="2" t="n">
        <v>6742658</v>
      </c>
      <c r="B554" s="2" t="n">
        <v>52</v>
      </c>
      <c r="C554" s="2" t="inlineStr">
        <is>
          <t>M</t>
        </is>
      </c>
      <c r="D554" s="2" t="n">
        <v>100</v>
      </c>
      <c r="E554" s="4">
        <f>HYPERLINK("./Results/DLO\20190201_1.2.840.113619.2.416.337821620160861049080301292279030855050_304_512_512_\Osteo_Sarco_1.png","RPT")</f>
        <v/>
      </c>
      <c r="F554" s="3" t="n">
        <v>123</v>
      </c>
      <c r="G554" s="3" t="n">
        <v>8</v>
      </c>
      <c r="H554" s="7" t="n"/>
      <c r="I554" t="inlineStr">
        <is>
          <t>Revolution CT</t>
        </is>
      </c>
      <c r="J554" t="inlineStr">
        <is>
          <t>ABD 2.5mm</t>
        </is>
      </c>
    </row>
    <row r="555">
      <c r="A555" s="2" t="n">
        <v>8372909</v>
      </c>
      <c r="B555" s="2" t="n">
        <v>52</v>
      </c>
      <c r="C555" s="2" t="inlineStr">
        <is>
          <t>F</t>
        </is>
      </c>
      <c r="D555" s="2" t="n">
        <v>100</v>
      </c>
      <c r="E555" s="4">
        <f>HYPERLINK("./Results/DLO\20180801_1.2.840.113619.2.416.195504952652595062566436346105207517905_304_512_512_\Osteo_Sarco_1.png","RPT")</f>
        <v/>
      </c>
      <c r="F555" s="3" t="n">
        <v>122</v>
      </c>
      <c r="G555" s="3" t="n">
        <v>11</v>
      </c>
      <c r="H555" s="7" t="n"/>
      <c r="I555" t="inlineStr">
        <is>
          <t>Revolution CT</t>
        </is>
      </c>
      <c r="J555" t="inlineStr">
        <is>
          <t>ABD 2.5mm</t>
        </is>
      </c>
    </row>
    <row r="556">
      <c r="A556" s="2" t="n">
        <v>9955105</v>
      </c>
      <c r="B556" s="2" t="n">
        <v>52</v>
      </c>
      <c r="C556" s="2" t="inlineStr">
        <is>
          <t>F</t>
        </is>
      </c>
      <c r="D556" s="2" t="n">
        <v>100</v>
      </c>
      <c r="E556" s="4">
        <f>HYPERLINK("./Results/DLO\20200401_1.2.840.113619.2.416.266102686074743374800492363056499936132_310_512_512_\Osteo_Sarco_1.png","RPT")</f>
        <v/>
      </c>
      <c r="F556" s="3" t="n">
        <v>120</v>
      </c>
      <c r="G556" s="3" t="n">
        <v>15</v>
      </c>
      <c r="H556" s="6" t="n">
        <v>23.99</v>
      </c>
      <c r="I556" t="inlineStr">
        <is>
          <t>Revolution CT</t>
        </is>
      </c>
      <c r="J556" t="inlineStr">
        <is>
          <t>ABD</t>
        </is>
      </c>
    </row>
    <row r="557">
      <c r="A557" s="2" t="n">
        <v>9689839</v>
      </c>
      <c r="B557" s="2" t="n">
        <v>52</v>
      </c>
      <c r="C557" s="2" t="inlineStr">
        <is>
          <t>M</t>
        </is>
      </c>
      <c r="D557" s="2" t="n">
        <v>100</v>
      </c>
      <c r="E557" s="4">
        <f>HYPERLINK("./Results/DLO\20190501_1.2.410.100011.172.16.44.21.6369457621526332111.2_2_512_512_\Osteo_Sarco_1.png","RPT")</f>
        <v/>
      </c>
      <c r="F557" s="3" t="n">
        <v>117</v>
      </c>
      <c r="G557" s="3" t="n">
        <v>6</v>
      </c>
      <c r="H557" s="7" t="n"/>
      <c r="I557" t="inlineStr">
        <is>
          <t>SOMATOM Definition Edge</t>
        </is>
      </c>
      <c r="J557" t="inlineStr">
        <is>
          <t>Abd Pre 5.0 140f 1</t>
        </is>
      </c>
    </row>
    <row r="558">
      <c r="A558" s="2" t="n">
        <v>9744098</v>
      </c>
      <c r="B558" s="2" t="n">
        <v>52</v>
      </c>
      <c r="C558" s="2" t="inlineStr">
        <is>
          <t>F</t>
        </is>
      </c>
      <c r="D558" s="2" t="n">
        <v>100</v>
      </c>
      <c r="E558" s="4">
        <f>HYPERLINK("./Results/DLO\20190701_1.2.840.113619.2.416.130251020407729089765873000498227651148_310_512_512_\Osteo_Sarco_1.png","RPT")</f>
        <v/>
      </c>
      <c r="F558" s="3" t="n">
        <v>117</v>
      </c>
      <c r="G558" s="3" t="n">
        <v>13</v>
      </c>
      <c r="H558" s="7" t="n"/>
      <c r="I558" t="inlineStr">
        <is>
          <t>Revolution CT</t>
        </is>
      </c>
      <c r="J558" t="inlineStr">
        <is>
          <t>ABD</t>
        </is>
      </c>
    </row>
    <row r="559">
      <c r="A559" s="2" t="n">
        <v>4888180</v>
      </c>
      <c r="B559" s="2" t="n">
        <v>52</v>
      </c>
      <c r="C559" s="2" t="inlineStr">
        <is>
          <t>F</t>
        </is>
      </c>
      <c r="D559" s="2" t="n">
        <v>100</v>
      </c>
      <c r="E559" s="4">
        <f>HYPERLINK("./Results/DLO\20180301_1.3.12.2.1107.5.1.4.54310.30000018031123353956200002657_2_512_512_\Osteo_Sarco_1.png","RPT")</f>
        <v/>
      </c>
      <c r="F559" s="3" t="n">
        <v>115</v>
      </c>
      <c r="G559" s="3" t="n">
        <v>11</v>
      </c>
      <c r="H559" s="7" t="n"/>
      <c r="I559" t="inlineStr">
        <is>
          <t>Sensation 64</t>
        </is>
      </c>
      <c r="J559" t="inlineStr">
        <is>
          <t>With Contrast 3.0 B30f</t>
        </is>
      </c>
    </row>
    <row r="560">
      <c r="A560" s="2" t="n">
        <v>8656924</v>
      </c>
      <c r="B560" s="2" t="n">
        <v>52</v>
      </c>
      <c r="C560" s="2" t="inlineStr">
        <is>
          <t>F</t>
        </is>
      </c>
      <c r="D560" s="2" t="n">
        <v>100</v>
      </c>
      <c r="E560" s="4">
        <f>HYPERLINK("./Results/DLO\20191101_1.3.12.2.1107.5.1.4.65253.30000019110619532698500031036_3_512_512_\Osteo_Sarco_1.png","RPT")</f>
        <v/>
      </c>
      <c r="F560" s="3" t="n">
        <v>115</v>
      </c>
      <c r="G560" s="3" t="n">
        <v>11</v>
      </c>
      <c r="H560" s="6" t="n">
        <v>24.72</v>
      </c>
      <c r="I560" t="inlineStr">
        <is>
          <t>SOMATOM Definition AS</t>
        </is>
      </c>
      <c r="J560" t="inlineStr">
        <is>
          <t>Post Contrast 3.0 B30f</t>
        </is>
      </c>
    </row>
    <row r="561">
      <c r="A561" s="2" t="n">
        <v>5027420</v>
      </c>
      <c r="B561" s="2" t="n">
        <v>52</v>
      </c>
      <c r="C561" s="2" t="inlineStr">
        <is>
          <t>F</t>
        </is>
      </c>
      <c r="D561" s="2" t="n">
        <v>100</v>
      </c>
      <c r="E561" s="4">
        <f>HYPERLINK("./Results/DLO\20180501_1.2.840.113619.2.416.124692626739468111304626481795745061679_303_512_512_\Osteo_Sarco_1.png","RPT")</f>
        <v/>
      </c>
      <c r="F561" s="3" t="n">
        <v>112</v>
      </c>
      <c r="G561" s="3" t="n">
        <v>7</v>
      </c>
      <c r="H561" s="7" t="n"/>
      <c r="I561" t="inlineStr">
        <is>
          <t>Revolution CT</t>
        </is>
      </c>
      <c r="J561" t="inlineStr">
        <is>
          <t>ABD 2.5mm</t>
        </is>
      </c>
    </row>
    <row r="562">
      <c r="A562" s="2" t="n">
        <v>5735661</v>
      </c>
      <c r="B562" s="2" t="n">
        <v>52</v>
      </c>
      <c r="C562" s="2" t="inlineStr">
        <is>
          <t>F</t>
        </is>
      </c>
      <c r="D562" s="2" t="n">
        <v>100</v>
      </c>
      <c r="E562" s="4">
        <f>HYPERLINK("./Results/DLO\20180701_1.3.46.670589.33.1.63666732051118482600001.5743793060019199338_201_512_512_\Osteo_Sarco_1.png","RPT")</f>
        <v/>
      </c>
      <c r="F562" s="3" t="n">
        <v>112</v>
      </c>
      <c r="G562" s="3" t="n">
        <v>7</v>
      </c>
      <c r="H562" s="7" t="n"/>
      <c r="I562" t="inlineStr">
        <is>
          <t>Ingenuity Core 128</t>
        </is>
      </c>
      <c r="J562" t="inlineStr">
        <is>
          <t>Post 100/236 i3, iDose (3)</t>
        </is>
      </c>
    </row>
    <row r="563">
      <c r="A563" s="2" t="n">
        <v>8965389</v>
      </c>
      <c r="B563" s="2" t="n">
        <v>52</v>
      </c>
      <c r="C563" s="2" t="inlineStr">
        <is>
          <t>F</t>
        </is>
      </c>
      <c r="D563" s="2" t="n">
        <v>100</v>
      </c>
      <c r="E563" s="4">
        <f>HYPERLINK("./Results/DLO\20190301_1.3.46.670589.33.1.63688152085840880700001.5739802672837498840_201_512_512_\Osteo_Sarco_1.png","RPT")</f>
        <v/>
      </c>
      <c r="F563" s="3" t="n">
        <v>112</v>
      </c>
      <c r="G563" s="3" t="n">
        <v>9</v>
      </c>
      <c r="H563" s="7" t="n"/>
      <c r="I563" t="inlineStr">
        <is>
          <t>Ingenuity Core 128</t>
        </is>
      </c>
      <c r="J563" t="inlineStr">
        <is>
          <t>Post 3mm, iDose (3)</t>
        </is>
      </c>
    </row>
    <row r="564">
      <c r="A564" s="2" t="n">
        <v>1763313</v>
      </c>
      <c r="B564" s="2" t="n">
        <v>52</v>
      </c>
      <c r="C564" s="2" t="inlineStr">
        <is>
          <t>F</t>
        </is>
      </c>
      <c r="D564" s="2" t="n">
        <v>100</v>
      </c>
      <c r="E564" s="4">
        <f>HYPERLINK("./Results/DLO\20191201_1.3.12.2.1107.5.1.4.54310.30000019120822065890600013240_5_512_512_\Osteo_Sarco_1.png","RPT")</f>
        <v/>
      </c>
      <c r="F564" s="3" t="n">
        <v>112</v>
      </c>
      <c r="G564" s="3" t="n">
        <v>8</v>
      </c>
      <c r="H564" s="7" t="n"/>
      <c r="I564" t="inlineStr">
        <is>
          <t>Sensation 64</t>
        </is>
      </c>
      <c r="J564" t="inlineStr">
        <is>
          <t>Arterial 3.0 B30f</t>
        </is>
      </c>
    </row>
    <row r="565">
      <c r="A565" s="2" t="n">
        <v>9518476</v>
      </c>
      <c r="B565" s="2" t="n">
        <v>52</v>
      </c>
      <c r="C565" s="2" t="inlineStr">
        <is>
          <t>F</t>
        </is>
      </c>
      <c r="D565" s="2" t="n">
        <v>100</v>
      </c>
      <c r="E565" s="4">
        <f>HYPERLINK("./Results/DLO\20181201_1.2.840.113619.2.311.176022638150598838612551448957335166655_304_512_512_\Osteo_Sarco_1.png","RPT")</f>
        <v/>
      </c>
      <c r="F565" s="3" t="n">
        <v>111</v>
      </c>
      <c r="G565" s="3" t="n">
        <v>9</v>
      </c>
      <c r="H565" s="7" t="n"/>
      <c r="I565" t="inlineStr">
        <is>
          <t>Revolution CT</t>
        </is>
      </c>
      <c r="J565" t="inlineStr">
        <is>
          <t>ABD 2.5mm</t>
        </is>
      </c>
    </row>
    <row r="566">
      <c r="A566" s="2" t="n">
        <v>8976485</v>
      </c>
      <c r="B566" s="2" t="n">
        <v>52</v>
      </c>
      <c r="C566" s="2" t="inlineStr">
        <is>
          <t>F</t>
        </is>
      </c>
      <c r="D566" s="2" t="n">
        <v>100</v>
      </c>
      <c r="E566" s="4">
        <f>HYPERLINK("./Results/DLO\20191201_1.3.12.2.1107.5.1.4.54310.30000019120921132407800065066_3_512_512_\Osteo_Sarco_1.png","RPT")</f>
        <v/>
      </c>
      <c r="F566" s="3" t="n">
        <v>109</v>
      </c>
      <c r="G566" s="3" t="n">
        <v>16</v>
      </c>
      <c r="H566" s="7" t="n"/>
      <c r="I566" t="inlineStr">
        <is>
          <t>Sensation 64</t>
        </is>
      </c>
      <c r="J566" t="inlineStr">
        <is>
          <t>Pre Contrast 3.0 B30f</t>
        </is>
      </c>
    </row>
    <row r="567">
      <c r="A567" s="2" t="n">
        <v>9631370</v>
      </c>
      <c r="B567" s="2" t="n">
        <v>52</v>
      </c>
      <c r="C567" s="2" t="inlineStr">
        <is>
          <t>F</t>
        </is>
      </c>
      <c r="D567" s="2" t="n">
        <v>100</v>
      </c>
      <c r="E567" s="4">
        <f>HYPERLINK("./Results/DLO\20190301_1.3.12.2.1107.5.1.4.54310.30000019032700090260900008231_2_512_512_\Osteo_Sarco_1.png","RPT")</f>
        <v/>
      </c>
      <c r="F567" s="3" t="n">
        <v>108</v>
      </c>
      <c r="G567" s="3" t="n">
        <v>4</v>
      </c>
      <c r="H567" s="6" t="n">
        <v>21.25</v>
      </c>
      <c r="I567" t="inlineStr">
        <is>
          <t>Sensation 64</t>
        </is>
      </c>
      <c r="J567" t="inlineStr">
        <is>
          <t>With Contrast 3.0 B30f</t>
        </is>
      </c>
    </row>
    <row r="568">
      <c r="A568" s="2" t="n">
        <v>9479088</v>
      </c>
      <c r="B568" s="2" t="n">
        <v>52</v>
      </c>
      <c r="C568" s="2" t="inlineStr">
        <is>
          <t>F</t>
        </is>
      </c>
      <c r="D568" s="2" t="n">
        <v>100</v>
      </c>
      <c r="E568" s="4">
        <f>HYPERLINK("./Results/DLO\20191201_1.3.12.2.1107.5.1.4.54310.30000019120121175873400039066_10_512_512_\Osteo_Sarco_1.png","RPT")</f>
        <v/>
      </c>
      <c r="F568" s="3" t="n">
        <v>107</v>
      </c>
      <c r="G568" s="3" t="n">
        <v>15</v>
      </c>
      <c r="H568" s="7" t="n"/>
      <c r="I568" t="inlineStr">
        <is>
          <t>Sensation 64</t>
        </is>
      </c>
      <c r="J568" t="inlineStr">
        <is>
          <t>ABD 3mm B30f</t>
        </is>
      </c>
    </row>
    <row r="569">
      <c r="A569" s="2" t="n">
        <v>8763288</v>
      </c>
      <c r="B569" s="2" t="n">
        <v>52</v>
      </c>
      <c r="C569" s="2" t="inlineStr">
        <is>
          <t>F</t>
        </is>
      </c>
      <c r="D569" s="2" t="n">
        <v>100</v>
      </c>
      <c r="E569" s="4">
        <f>HYPERLINK("./Results/DLO\20190201_1.3.12.2.1107.5.1.4.54310.30000019021823451273400000519_2_512_512_\Osteo_Sarco_1.png","RPT")</f>
        <v/>
      </c>
      <c r="F569" s="3" t="n">
        <v>106</v>
      </c>
      <c r="G569" s="3" t="n">
        <v>8</v>
      </c>
      <c r="H569" s="7" t="n"/>
      <c r="I569" t="inlineStr">
        <is>
          <t>Sensation 64</t>
        </is>
      </c>
      <c r="J569" t="inlineStr">
        <is>
          <t>With Contrast 3.0 B30f</t>
        </is>
      </c>
    </row>
    <row r="570">
      <c r="A570" s="2" t="n">
        <v>8401452</v>
      </c>
      <c r="B570" s="2" t="n">
        <v>52</v>
      </c>
      <c r="C570" s="2" t="inlineStr">
        <is>
          <t>F</t>
        </is>
      </c>
      <c r="D570" s="2" t="n">
        <v>100</v>
      </c>
      <c r="E570" s="4">
        <f>HYPERLINK("./Results/DLO\20190701_1.2.840.113619.2.416.240782565220230105612301884311334230396_310_512_512_\Osteo_Sarco_1.png","RPT")</f>
        <v/>
      </c>
      <c r="F570" s="3" t="n">
        <v>105</v>
      </c>
      <c r="G570" s="3" t="n">
        <v>11</v>
      </c>
      <c r="H570" s="7" t="n"/>
      <c r="I570" t="inlineStr">
        <is>
          <t>Revolution CT</t>
        </is>
      </c>
      <c r="J570" t="inlineStr">
        <is>
          <t>ABD</t>
        </is>
      </c>
    </row>
    <row r="571">
      <c r="A571" s="2" t="n">
        <v>2977983</v>
      </c>
      <c r="B571" s="2" t="n">
        <v>52</v>
      </c>
      <c r="C571" s="2" t="inlineStr">
        <is>
          <t>F</t>
        </is>
      </c>
      <c r="D571" s="2" t="n">
        <v>100</v>
      </c>
      <c r="E571" s="4">
        <f>HYPERLINK("./Results/DLO\20190801_1.3.12.2.1107.5.1.4.65253.30000019080520420231000015932_2_512_512_\Osteo_Sarco_1.png","RPT")</f>
        <v/>
      </c>
      <c r="F571" s="3" t="n">
        <v>103</v>
      </c>
      <c r="G571" s="3" t="n">
        <v>5</v>
      </c>
      <c r="H571" s="6" t="n">
        <v>17.85</v>
      </c>
      <c r="I571" t="inlineStr">
        <is>
          <t>SOMATOM Definition AS</t>
        </is>
      </c>
      <c r="J571" t="inlineStr">
        <is>
          <t>W/O Contrast 2.0 B30f</t>
        </is>
      </c>
    </row>
    <row r="572">
      <c r="A572" s="2" t="n">
        <v>5947594</v>
      </c>
      <c r="B572" s="2" t="n">
        <v>52</v>
      </c>
      <c r="C572" s="2" t="inlineStr">
        <is>
          <t>F</t>
        </is>
      </c>
      <c r="D572" s="2" t="n">
        <v>100</v>
      </c>
      <c r="E572" s="4">
        <f>HYPERLINK("./Results/DLO\20180101_1.2.840.113619.2.94.485650834948.2.8573787.18478937.1_2_512_512_\Osteo_Sarco_1.png","RPT")</f>
        <v/>
      </c>
      <c r="F572" s="3" t="n">
        <v>102</v>
      </c>
      <c r="G572" s="3" t="n">
        <v>6</v>
      </c>
      <c r="H572" s="7" t="n"/>
      <c r="I572" t="inlineStr">
        <is>
          <t>Sensation 64</t>
        </is>
      </c>
      <c r="J572" t="inlineStr">
        <is>
          <t>With Contrast 3.0 B30f</t>
        </is>
      </c>
    </row>
    <row r="573">
      <c r="A573" s="2" t="n">
        <v>4206349</v>
      </c>
      <c r="B573" s="2" t="n">
        <v>52</v>
      </c>
      <c r="C573" s="2" t="inlineStr">
        <is>
          <t>F</t>
        </is>
      </c>
      <c r="D573" s="2" t="n">
        <v>100</v>
      </c>
      <c r="E573" s="4">
        <f>HYPERLINK("./Results/DLO\20181001_1.3.12.2.1107.5.1.4.54310.30000018102900082162500000838_2_512_512_\Osteo_Sarco_1.png","RPT")</f>
        <v/>
      </c>
      <c r="F573" s="3" t="n">
        <v>101</v>
      </c>
      <c r="G573" s="3" t="n">
        <v>8</v>
      </c>
      <c r="H573" s="7" t="n"/>
      <c r="I573" t="inlineStr">
        <is>
          <t>Sensation 64</t>
        </is>
      </c>
      <c r="J573" t="inlineStr">
        <is>
          <t>With Contrast 3.0 B30f</t>
        </is>
      </c>
    </row>
    <row r="574">
      <c r="A574" s="2" t="n">
        <v>8360085</v>
      </c>
      <c r="B574" s="2" t="n">
        <v>52</v>
      </c>
      <c r="C574" s="2" t="inlineStr">
        <is>
          <t>F</t>
        </is>
      </c>
      <c r="D574" s="2" t="n">
        <v>100</v>
      </c>
      <c r="E574" s="4">
        <f>HYPERLINK("./Results/DLO\20200401_1.2.840.113619.2.416.138201351012552655142584816599579553613_310_512_512_\Osteo_Sarco_1.png","RPT")</f>
        <v/>
      </c>
      <c r="F574" s="3" t="n">
        <v>101</v>
      </c>
      <c r="G574" s="3" t="n">
        <v>9</v>
      </c>
      <c r="H574" s="7" t="n"/>
      <c r="I574" t="inlineStr">
        <is>
          <t>Revolution CT</t>
        </is>
      </c>
      <c r="J574" t="inlineStr">
        <is>
          <t>ABD</t>
        </is>
      </c>
    </row>
    <row r="575">
      <c r="A575" s="2" t="n">
        <v>871616</v>
      </c>
      <c r="B575" s="2" t="n">
        <v>52</v>
      </c>
      <c r="C575" s="2" t="inlineStr">
        <is>
          <t>F</t>
        </is>
      </c>
      <c r="D575" s="2" t="n">
        <v>100</v>
      </c>
      <c r="E575" s="4">
        <f>HYPERLINK("./Results/DLO\20180601_1.2.840.113619.2.311.265122332287572161690888036432596278967_304_512_512_\Osteo_Sarco_1.png","RPT")</f>
        <v/>
      </c>
      <c r="F575" s="3" t="n">
        <v>100</v>
      </c>
      <c r="G575" s="3" t="n">
        <v>7</v>
      </c>
      <c r="H575" s="7" t="n"/>
      <c r="I575" t="inlineStr">
        <is>
          <t>Revolution CT</t>
        </is>
      </c>
      <c r="J575" t="inlineStr">
        <is>
          <t>ABD 2.5mm</t>
        </is>
      </c>
    </row>
    <row r="576">
      <c r="A576" s="2" t="n">
        <v>9421799</v>
      </c>
      <c r="B576" s="2" t="n">
        <v>52</v>
      </c>
      <c r="C576" s="2" t="inlineStr">
        <is>
          <t>F</t>
        </is>
      </c>
      <c r="D576" s="2" t="n">
        <v>100</v>
      </c>
      <c r="E576" s="4">
        <f>HYPERLINK("./Results/DLO\20180801_1.3.12.2.1107.5.1.4.65253.30000018081702304903100002053_2_512_512_\Osteo_Sarco_1.png","RPT")</f>
        <v/>
      </c>
      <c r="F576" s="3" t="n">
        <v>100</v>
      </c>
      <c r="G576" s="3" t="n">
        <v>7</v>
      </c>
      <c r="H576" s="7" t="n"/>
      <c r="I576" t="inlineStr">
        <is>
          <t>SOMATOM Definition AS</t>
        </is>
      </c>
      <c r="J576" t="inlineStr">
        <is>
          <t>With Contrast 3.0 B30f</t>
        </is>
      </c>
    </row>
    <row r="577">
      <c r="A577" s="2" t="n">
        <v>5814359</v>
      </c>
      <c r="B577" s="2" t="n">
        <v>53</v>
      </c>
      <c r="C577" s="2" t="inlineStr">
        <is>
          <t>F</t>
        </is>
      </c>
      <c r="D577" s="2" t="n">
        <v>100</v>
      </c>
      <c r="E577" s="4">
        <f>HYPERLINK("./Results/DLO\20190801_1.3.46.670589.33.1.63700336639420973400001.5700297685829235297_201_512_512_\Osteo_Sarco_1.png","RPT")</f>
        <v/>
      </c>
      <c r="F577" s="3" t="n">
        <v>98</v>
      </c>
      <c r="G577" s="3" t="n">
        <v>14</v>
      </c>
      <c r="H577" s="7" t="n"/>
      <c r="I577" t="inlineStr">
        <is>
          <t>Ingenuity Core 128</t>
        </is>
      </c>
      <c r="J577" t="inlineStr">
        <is>
          <t>Post 3mm, iDose (3)</t>
        </is>
      </c>
    </row>
    <row r="578">
      <c r="A578" s="2" t="n">
        <v>8829123</v>
      </c>
      <c r="B578" s="2" t="n">
        <v>53</v>
      </c>
      <c r="C578" s="2" t="inlineStr">
        <is>
          <t>F</t>
        </is>
      </c>
      <c r="D578" s="2" t="n">
        <v>100</v>
      </c>
      <c r="E578" s="4">
        <f>HYPERLINK("./Results/DLO\20190501_1.3.46.670589.33.1.63692905253647151500001.4959138971478407249_301_512_512_\Osteo_Sarco_1.png","RPT")</f>
        <v/>
      </c>
      <c r="F578" s="3" t="n">
        <v>96</v>
      </c>
      <c r="G578" s="3" t="n">
        <v>9</v>
      </c>
      <c r="H578" s="7" t="n"/>
      <c r="I578" t="inlineStr">
        <is>
          <t>Ingenuity Core 128</t>
        </is>
      </c>
      <c r="J578" t="inlineStr">
        <is>
          <t>Post 3mm, iDose (3)</t>
        </is>
      </c>
    </row>
    <row r="579">
      <c r="A579" s="2" t="n">
        <v>6738195</v>
      </c>
      <c r="B579" s="2" t="n">
        <v>53</v>
      </c>
      <c r="C579" s="2" t="inlineStr">
        <is>
          <t>F</t>
        </is>
      </c>
      <c r="D579" s="2" t="n">
        <v>100</v>
      </c>
      <c r="E579" s="4">
        <f>HYPERLINK("./Results/DLO\20180101_1.2.840.113619.2.94.485650834948.2.8601511.18547091.1_2_512_512_\Osteo_Sarco_1.png","RPT")</f>
        <v/>
      </c>
      <c r="F579" s="3" t="n">
        <v>93</v>
      </c>
      <c r="G579" s="3" t="n">
        <v>6</v>
      </c>
      <c r="H579" s="7" t="n"/>
      <c r="I579" t="inlineStr">
        <is>
          <t>Sensation 64</t>
        </is>
      </c>
      <c r="J579" t="inlineStr">
        <is>
          <t>With Contrast 3.0 B30f</t>
        </is>
      </c>
    </row>
    <row r="580">
      <c r="A580" s="2" t="n">
        <v>1548092</v>
      </c>
      <c r="B580" s="2" t="n">
        <v>53</v>
      </c>
      <c r="C580" s="2" t="inlineStr">
        <is>
          <t>F</t>
        </is>
      </c>
      <c r="D580" s="2" t="n">
        <v>100</v>
      </c>
      <c r="E580" s="4">
        <f>HYPERLINK("./Results/DLO\20200601_1.3.46.670589.33.1.63728766733688781200001.5577116955549923459_201_512_512_\Osteo_Sarco_1.png","RPT")</f>
        <v/>
      </c>
      <c r="F580" s="3" t="n">
        <v>93</v>
      </c>
      <c r="G580" s="3" t="n">
        <v>10</v>
      </c>
      <c r="H580" s="7" t="n"/>
      <c r="I580" t="inlineStr">
        <is>
          <t>Ingenuity Core 128</t>
        </is>
      </c>
      <c r="J580" t="inlineStr">
        <is>
          <t>Post 3mm, iDose (3)</t>
        </is>
      </c>
    </row>
    <row r="581">
      <c r="A581" s="2" t="n">
        <v>8451559</v>
      </c>
      <c r="B581" s="2" t="n">
        <v>53</v>
      </c>
      <c r="C581" s="2" t="inlineStr">
        <is>
          <t>F</t>
        </is>
      </c>
      <c r="D581" s="2" t="n">
        <v>100</v>
      </c>
      <c r="E581" s="4">
        <f>HYPERLINK("./Results/DLO\20180701_1.3.12.2.1107.5.1.4.65253.30000018071021262498800013692_2_512_512_\Osteo_Sarco_1.png","RPT")</f>
        <v/>
      </c>
      <c r="F581" s="3" t="n">
        <v>87</v>
      </c>
      <c r="G581" s="3" t="n">
        <v>13</v>
      </c>
      <c r="H581" s="6" t="n">
        <v>21.07</v>
      </c>
      <c r="I581" t="inlineStr">
        <is>
          <t>SOMATOM Definition AS</t>
        </is>
      </c>
      <c r="J581" t="inlineStr">
        <is>
          <t>Pre Contrast 3.0 B30f</t>
        </is>
      </c>
    </row>
    <row r="582">
      <c r="A582" s="2" t="n">
        <v>6737586</v>
      </c>
      <c r="B582" s="2" t="n">
        <v>53</v>
      </c>
      <c r="C582" s="2" t="inlineStr">
        <is>
          <t>F</t>
        </is>
      </c>
      <c r="D582" s="2" t="n">
        <v>100</v>
      </c>
      <c r="E582" s="4">
        <f>HYPERLINK("./Results/DLO\20181001_1.3.12.2.1107.5.1.4.54310.30000018100722583300000032589_2_512_512_\Osteo_Sarco_1.png","RPT")</f>
        <v/>
      </c>
      <c r="F582" s="3" t="n">
        <v>85</v>
      </c>
      <c r="G582" s="3" t="n">
        <v>11</v>
      </c>
      <c r="H582" s="7" t="n"/>
      <c r="I582" t="inlineStr">
        <is>
          <t>Sensation 64</t>
        </is>
      </c>
      <c r="J582" t="inlineStr">
        <is>
          <t>With Contrast 3.0 B30f</t>
        </is>
      </c>
    </row>
    <row r="583">
      <c r="A583" s="2" t="n">
        <v>5270148</v>
      </c>
      <c r="B583" s="2" t="n">
        <v>53</v>
      </c>
      <c r="C583" s="2" t="inlineStr">
        <is>
          <t>F</t>
        </is>
      </c>
      <c r="D583" s="2" t="n">
        <v>100</v>
      </c>
      <c r="E583" s="4">
        <f>HYPERLINK("./Results/DLO\20190901_1.3.12.2.1107.5.1.4.54310.30000019092521214467100057401_7_512_512_\Osteo_Sarco_1.png","RPT")</f>
        <v/>
      </c>
      <c r="F583" s="3" t="n">
        <v>83</v>
      </c>
      <c r="G583" s="3" t="n">
        <v>5</v>
      </c>
      <c r="H583" s="7" t="n"/>
      <c r="I583" t="inlineStr">
        <is>
          <t>Sensation 64</t>
        </is>
      </c>
      <c r="J583" t="inlineStr">
        <is>
          <t>ABD Contrast 3.0 B30f</t>
        </is>
      </c>
    </row>
    <row r="584">
      <c r="A584" s="2" t="n">
        <v>1436467</v>
      </c>
      <c r="B584" s="2" t="n">
        <v>53</v>
      </c>
      <c r="C584" s="2" t="inlineStr">
        <is>
          <t>F</t>
        </is>
      </c>
      <c r="D584" s="2" t="n">
        <v>100</v>
      </c>
      <c r="E584" s="4">
        <f>HYPERLINK("./Results/DLO\20181001_1.2.840.113619.2.416.304234725892995222900677543455971242896_304_512_512_\Osteo_Sarco_1.png","RPT")</f>
        <v/>
      </c>
      <c r="F584" s="3" t="n">
        <v>79</v>
      </c>
      <c r="G584" s="3" t="n">
        <v>9</v>
      </c>
      <c r="H584" s="7" t="n"/>
      <c r="I584" t="inlineStr">
        <is>
          <t>Revolution CT</t>
        </is>
      </c>
      <c r="J584" t="inlineStr">
        <is>
          <t>ABD 2.5mm</t>
        </is>
      </c>
    </row>
    <row r="585">
      <c r="A585" s="2" t="n">
        <v>9420974</v>
      </c>
      <c r="B585" s="2" t="n">
        <v>53</v>
      </c>
      <c r="C585" s="2" t="inlineStr">
        <is>
          <t>M</t>
        </is>
      </c>
      <c r="D585" s="2" t="n">
        <v>100</v>
      </c>
      <c r="E585" s="4">
        <f>HYPERLINK("./Results/DLO\20180601_1.2.410.100011.172.24.16.217.6366862792600706941.2_2_512_512_\Osteo_Sarco_1.png","RPT")</f>
        <v/>
      </c>
      <c r="F585" s="3" t="n">
        <v>201</v>
      </c>
      <c r="G585" s="3" t="n">
        <v>9</v>
      </c>
      <c r="H585" s="7" t="n"/>
      <c r="I585" t="inlineStr">
        <is>
          <t>SOMATOM Definition Edge</t>
        </is>
      </c>
      <c r="J585" t="inlineStr">
        <is>
          <t>Abdomen Post 5.0 I40f 1</t>
        </is>
      </c>
    </row>
    <row r="586">
      <c r="A586" s="2" t="n">
        <v>9004831</v>
      </c>
      <c r="B586" s="2" t="n">
        <v>53</v>
      </c>
      <c r="C586" s="2" t="inlineStr">
        <is>
          <t>M</t>
        </is>
      </c>
      <c r="D586" s="2" t="n">
        <v>100</v>
      </c>
      <c r="E586" s="4">
        <f>HYPERLINK("./Results/DLO\20180801_1.2.840.113619.2.416.69130401182643086306008767671220253378_305_512_512_\Osteo_Sarco_1.png","RPT")</f>
        <v/>
      </c>
      <c r="F586" s="3" t="n">
        <v>188</v>
      </c>
      <c r="G586" s="3" t="n">
        <v>9</v>
      </c>
      <c r="H586" s="7" t="n"/>
      <c r="I586" t="inlineStr">
        <is>
          <t>Revolution CT</t>
        </is>
      </c>
      <c r="J586" t="inlineStr">
        <is>
          <t>DELAY</t>
        </is>
      </c>
    </row>
    <row r="587">
      <c r="A587" s="2" t="n">
        <v>8262899</v>
      </c>
      <c r="B587" s="2" t="n">
        <v>53</v>
      </c>
      <c r="C587" s="2" t="inlineStr">
        <is>
          <t>M</t>
        </is>
      </c>
      <c r="D587" s="2" t="n">
        <v>100</v>
      </c>
      <c r="E587" s="4">
        <f>HYPERLINK("./Results/DLO\20180301_1.3.12.2.1107.5.1.4.54310.30000018031223122687500008891_3_512_512_\Osteo_Sarco_1.png","RPT")</f>
        <v/>
      </c>
      <c r="F587" s="3" t="n">
        <v>182</v>
      </c>
      <c r="G587" s="3" t="n">
        <v>16</v>
      </c>
      <c r="H587" s="7" t="n"/>
      <c r="I587" t="inlineStr">
        <is>
          <t>Sensation 64</t>
        </is>
      </c>
      <c r="J587" t="inlineStr">
        <is>
          <t>Pre Contrast 3.0 B30f</t>
        </is>
      </c>
    </row>
    <row r="588">
      <c r="A588" s="2" t="n">
        <v>8719829</v>
      </c>
      <c r="B588" s="2" t="n">
        <v>53</v>
      </c>
      <c r="C588" s="2" t="inlineStr">
        <is>
          <t>M</t>
        </is>
      </c>
      <c r="D588" s="2" t="n">
        <v>100</v>
      </c>
      <c r="E588" s="4">
        <f>HYPERLINK("./Results/DLO\20180201_1.2.840.113619.2.94.485650834948.2.8632070.18622543.1_2_512_512_\Osteo_Sarco_1.png","RPT")</f>
        <v/>
      </c>
      <c r="F588" s="3" t="n">
        <v>170</v>
      </c>
      <c r="G588" s="3" t="n">
        <v>14</v>
      </c>
      <c r="H588" s="7" t="n"/>
      <c r="I588" t="inlineStr">
        <is>
          <t>Sensation 64</t>
        </is>
      </c>
      <c r="J588" t="inlineStr">
        <is>
          <t>With Contrast 3.0 B30f</t>
        </is>
      </c>
    </row>
    <row r="589">
      <c r="A589" s="2" t="n">
        <v>4779922</v>
      </c>
      <c r="B589" s="2" t="n">
        <v>53</v>
      </c>
      <c r="C589" s="2" t="inlineStr">
        <is>
          <t>M</t>
        </is>
      </c>
      <c r="D589" s="2" t="n">
        <v>100</v>
      </c>
      <c r="E589" s="4">
        <f>HYPERLINK("./Results/DLO\20180201_1.3.12.2.1107.5.1.4.54310.30000018020623090128100013854_2_512_512_\Osteo_Sarco_1.png","RPT")</f>
        <v/>
      </c>
      <c r="F589" s="3" t="n">
        <v>169</v>
      </c>
      <c r="G589" s="3" t="n">
        <v>11</v>
      </c>
      <c r="H589" s="7" t="n"/>
      <c r="I589" t="inlineStr">
        <is>
          <t>Sensation 64</t>
        </is>
      </c>
      <c r="J589" t="inlineStr">
        <is>
          <t>With Contrast 3.0 B30f</t>
        </is>
      </c>
    </row>
    <row r="590">
      <c r="A590" s="2" t="n">
        <v>8648543</v>
      </c>
      <c r="B590" s="2" t="n">
        <v>53</v>
      </c>
      <c r="C590" s="2" t="inlineStr">
        <is>
          <t>M</t>
        </is>
      </c>
      <c r="D590" s="2" t="n">
        <v>100</v>
      </c>
      <c r="E590" s="4">
        <f>HYPERLINK("./Results/DLO\20200201_1.3.46.670589.33.1.63717795181240847800001.5358681635052052249_201_512_512_\Osteo_Sarco_1.png","RPT")</f>
        <v/>
      </c>
      <c r="F590" s="3" t="n">
        <v>169</v>
      </c>
      <c r="G590" s="3" t="n">
        <v>11</v>
      </c>
      <c r="H590" s="7" t="n"/>
      <c r="I590" t="inlineStr">
        <is>
          <t>Ingenuity Core 128</t>
        </is>
      </c>
      <c r="J590" t="inlineStr">
        <is>
          <t>Post 3mm, iDose (3)</t>
        </is>
      </c>
    </row>
    <row r="591">
      <c r="A591" s="2" t="n">
        <v>8856360</v>
      </c>
      <c r="B591" s="2" t="n">
        <v>53</v>
      </c>
      <c r="C591" s="2" t="inlineStr">
        <is>
          <t>M</t>
        </is>
      </c>
      <c r="D591" s="2" t="n">
        <v>100</v>
      </c>
      <c r="E591" s="4">
        <f>HYPERLINK("./Results/DLO\20191001_1.3.46.670589.33.1.63707590700970780200001.5551432801127208641_201_512_512_\Osteo_Sarco_1.png","RPT")</f>
        <v/>
      </c>
      <c r="F591" s="3" t="n">
        <v>166</v>
      </c>
      <c r="G591" s="3" t="n">
        <v>6</v>
      </c>
      <c r="H591" s="7" t="n"/>
      <c r="I591" t="inlineStr">
        <is>
          <t>Ingenuity Core 128</t>
        </is>
      </c>
      <c r="J591" t="inlineStr">
        <is>
          <t>Post 3mm, iDose (3)</t>
        </is>
      </c>
    </row>
    <row r="592">
      <c r="A592" s="2" t="n">
        <v>9476121</v>
      </c>
      <c r="B592" s="2" t="n">
        <v>53</v>
      </c>
      <c r="C592" s="2" t="inlineStr">
        <is>
          <t>M</t>
        </is>
      </c>
      <c r="D592" s="2" t="n">
        <v>100</v>
      </c>
      <c r="E592" s="4">
        <f>HYPERLINK("./Results/DLO\20181001_1.2.840.113619.2.311.204784972297731416300493721657870450791_312_512_512_\Osteo_Sarco_1.png","RPT")</f>
        <v/>
      </c>
      <c r="F592" s="3" t="n">
        <v>164</v>
      </c>
      <c r="G592" s="3" t="n">
        <v>12</v>
      </c>
      <c r="H592" s="7" t="n"/>
      <c r="I592" t="inlineStr">
        <is>
          <t>Revolution CT</t>
        </is>
      </c>
      <c r="J592" t="inlineStr">
        <is>
          <t>ABD</t>
        </is>
      </c>
    </row>
    <row r="593">
      <c r="A593" s="2" t="n">
        <v>396201</v>
      </c>
      <c r="B593" s="2" t="n">
        <v>53</v>
      </c>
      <c r="C593" s="2" t="inlineStr">
        <is>
          <t>M</t>
        </is>
      </c>
      <c r="D593" s="2" t="n">
        <v>100</v>
      </c>
      <c r="E593" s="4">
        <f>HYPERLINK("./Results/DLO\20180301_1.3.12.2.1107.5.1.4.54310.30000018032923132856200009172_3_512_512_\Osteo_Sarco_1.png","RPT")</f>
        <v/>
      </c>
      <c r="F593" s="3" t="n">
        <v>162</v>
      </c>
      <c r="G593" s="3" t="n">
        <v>9</v>
      </c>
      <c r="H593" s="6" t="n">
        <v>28.05</v>
      </c>
      <c r="I593" t="inlineStr">
        <is>
          <t>Sensation 64</t>
        </is>
      </c>
      <c r="J593" t="inlineStr">
        <is>
          <t>Pre Contrast 3.0 B30f</t>
        </is>
      </c>
    </row>
    <row r="594">
      <c r="A594" s="2" t="n">
        <v>9504964</v>
      </c>
      <c r="B594" s="2" t="n">
        <v>53</v>
      </c>
      <c r="C594" s="2" t="inlineStr">
        <is>
          <t>M</t>
        </is>
      </c>
      <c r="D594" s="2" t="n">
        <v>100</v>
      </c>
      <c r="E594" s="4">
        <f>HYPERLINK("./Results/DLO\20190401_1.3.12.2.1107.5.1.4.54310.30000019042523095350000002147_3_512_512_\Osteo_Sarco_1.png","RPT")</f>
        <v/>
      </c>
      <c r="F594" s="3" t="n">
        <v>152</v>
      </c>
      <c r="G594" s="3" t="n">
        <v>4</v>
      </c>
      <c r="H594" s="7" t="n"/>
      <c r="I594" t="inlineStr">
        <is>
          <t>Sensation 64</t>
        </is>
      </c>
      <c r="J594" t="inlineStr">
        <is>
          <t>Pre Contrast 3.0 B30f</t>
        </is>
      </c>
    </row>
    <row r="595">
      <c r="A595" s="2" t="n">
        <v>4295439</v>
      </c>
      <c r="B595" s="2" t="n">
        <v>53</v>
      </c>
      <c r="C595" s="2" t="inlineStr">
        <is>
          <t>M</t>
        </is>
      </c>
      <c r="D595" s="2" t="n">
        <v>100</v>
      </c>
      <c r="E595" s="4">
        <f>HYPERLINK("./Results/DLO\20180501_1.2.840.113619.2.94.485650834948.2.8834423.19118176.1_4_512_512_\Osteo_Sarco_1.png","RPT")</f>
        <v/>
      </c>
      <c r="F595" s="3" t="n">
        <v>150</v>
      </c>
      <c r="G595" s="3" t="n">
        <v>7</v>
      </c>
      <c r="H595" s="7" t="n"/>
      <c r="I595" t="inlineStr">
        <is>
          <t>SOMATOM Definition AS</t>
        </is>
      </c>
      <c r="J595" t="inlineStr">
        <is>
          <t>With Contrast 3.0 B30f</t>
        </is>
      </c>
    </row>
    <row r="596">
      <c r="A596" s="2" t="n">
        <v>8666069</v>
      </c>
      <c r="B596" s="2" t="n">
        <v>53</v>
      </c>
      <c r="C596" s="2" t="inlineStr">
        <is>
          <t>M</t>
        </is>
      </c>
      <c r="D596" s="2" t="n">
        <v>100</v>
      </c>
      <c r="E596" s="4">
        <f>HYPERLINK("./Results/DLO\20180101_1.3.12.2.1107.5.1.4.54310.30000018011423091487500021176_6_512_512_\Osteo_Sarco_1.png","RPT")</f>
        <v/>
      </c>
      <c r="F596" s="3" t="n">
        <v>144</v>
      </c>
      <c r="G596" s="3" t="n">
        <v>9</v>
      </c>
      <c r="H596" s="7" t="n"/>
      <c r="I596" t="inlineStr">
        <is>
          <t>Sensation 64</t>
        </is>
      </c>
      <c r="J596" t="inlineStr">
        <is>
          <t>With Contrast 3.0 B30f</t>
        </is>
      </c>
    </row>
    <row r="597">
      <c r="A597" s="2" t="n">
        <v>4661458</v>
      </c>
      <c r="B597" s="2" t="n">
        <v>53</v>
      </c>
      <c r="C597" s="2" t="inlineStr">
        <is>
          <t>M</t>
        </is>
      </c>
      <c r="D597" s="2" t="n">
        <v>100</v>
      </c>
      <c r="E597" s="4">
        <f>HYPERLINK("./Results/DLO\20180301_1.2.840.113619.2.94.485650834948.2.8676253.18728796.1_2_512_512_\Osteo_Sarco_1.png","RPT")</f>
        <v/>
      </c>
      <c r="F597" s="3" t="n">
        <v>138</v>
      </c>
      <c r="G597" s="3" t="n">
        <v>6</v>
      </c>
      <c r="H597" s="7" t="n"/>
      <c r="I597" t="inlineStr">
        <is>
          <t>Sensation 64</t>
        </is>
      </c>
      <c r="J597" t="inlineStr">
        <is>
          <t>With Contrast 3.0 B30f</t>
        </is>
      </c>
    </row>
    <row r="598">
      <c r="A598" s="2" t="n">
        <v>5702464</v>
      </c>
      <c r="B598" s="2" t="n">
        <v>53</v>
      </c>
      <c r="C598" s="2" t="inlineStr">
        <is>
          <t>M</t>
        </is>
      </c>
      <c r="D598" s="2" t="n">
        <v>100</v>
      </c>
      <c r="E598" s="4">
        <f>HYPERLINK("./Results/DLO\20190501_1.3.46.670589.33.1.63694462855767739300001.4759285879944046505_601_512_512_\Osteo_Sarco_1.png","RPT")</f>
        <v/>
      </c>
      <c r="F598" s="3" t="n">
        <v>137</v>
      </c>
      <c r="G598" s="3" t="n">
        <v>11</v>
      </c>
      <c r="H598" s="7" t="n"/>
      <c r="I598" t="inlineStr">
        <is>
          <t>Ingenuity Core 128</t>
        </is>
      </c>
      <c r="J598" t="inlineStr">
        <is>
          <t>Post 3mm, iDose (3)</t>
        </is>
      </c>
    </row>
    <row r="599">
      <c r="A599" s="2" t="n">
        <v>8933621</v>
      </c>
      <c r="B599" s="2" t="n">
        <v>53</v>
      </c>
      <c r="C599" s="2" t="inlineStr">
        <is>
          <t>F</t>
        </is>
      </c>
      <c r="D599" s="2" t="n">
        <v>100</v>
      </c>
      <c r="E599" s="4">
        <f>HYPERLINK("./Results/DLO\20180601_1.2.840.113619.2.94.485650834948.2.8877649.19223530.1_2_512_512_\Osteo_Sarco_1.png","RPT")</f>
        <v/>
      </c>
      <c r="F599" s="3" t="n">
        <v>134</v>
      </c>
      <c r="G599" s="3" t="n">
        <v>13</v>
      </c>
      <c r="H599" s="6" t="n">
        <v>34.51</v>
      </c>
      <c r="I599" t="inlineStr">
        <is>
          <t>Sensation 64</t>
        </is>
      </c>
      <c r="J599" t="inlineStr">
        <is>
          <t>With Contrast 3.0 B30f</t>
        </is>
      </c>
    </row>
    <row r="600">
      <c r="A600" s="2" t="n">
        <v>8631495</v>
      </c>
      <c r="B600" s="2" t="n">
        <v>53</v>
      </c>
      <c r="C600" s="2" t="inlineStr">
        <is>
          <t>M</t>
        </is>
      </c>
      <c r="D600" s="2" t="n">
        <v>100</v>
      </c>
      <c r="E600" s="4">
        <f>HYPERLINK("./Results/DLO\20180601_1.3.46.670589.33.1.63665864470395376700001.5551003804147160800_201_512_512_\Osteo_Sarco_1.png","RPT")</f>
        <v/>
      </c>
      <c r="F600" s="3" t="n">
        <v>130</v>
      </c>
      <c r="G600" s="3" t="n">
        <v>7</v>
      </c>
      <c r="H600" s="7" t="n"/>
      <c r="I600" t="inlineStr">
        <is>
          <t>Ingenuity Core 128</t>
        </is>
      </c>
      <c r="J600" t="inlineStr">
        <is>
          <t>Post 100/236 i3, iDose (3)</t>
        </is>
      </c>
    </row>
    <row r="601">
      <c r="A601" s="2" t="n">
        <v>5660807</v>
      </c>
      <c r="B601" s="2" t="n">
        <v>53</v>
      </c>
      <c r="C601" s="2" t="inlineStr">
        <is>
          <t>M</t>
        </is>
      </c>
      <c r="D601" s="2" t="n">
        <v>100</v>
      </c>
      <c r="E601" s="4">
        <f>HYPERLINK("./Results/DLO\20180701_1.3.12.2.1107.5.1.4.54310.30000018070923233553100000110_2_512_512_\Osteo_Sarco_1.png","RPT")</f>
        <v/>
      </c>
      <c r="F601" s="3" t="n">
        <v>129</v>
      </c>
      <c r="G601" s="3" t="n">
        <v>7</v>
      </c>
      <c r="H601" s="7" t="n"/>
      <c r="I601" t="inlineStr">
        <is>
          <t>Sensation 64</t>
        </is>
      </c>
      <c r="J601" t="inlineStr">
        <is>
          <t>With Contrast 3.0 B30f</t>
        </is>
      </c>
    </row>
    <row r="602">
      <c r="A602" s="2" t="n">
        <v>465292</v>
      </c>
      <c r="B602" s="2" t="n">
        <v>53</v>
      </c>
      <c r="C602" s="2" t="inlineStr">
        <is>
          <t>M</t>
        </is>
      </c>
      <c r="D602" s="2" t="n">
        <v>100</v>
      </c>
      <c r="E602" s="4">
        <f>HYPERLINK("./Results/DLO\20181101_1.3.46.670589.33.1.63678742088018885900001.5673487750157314568_701_512_512_\Osteo_Sarco_1.png","RPT")</f>
        <v/>
      </c>
      <c r="F602" s="3" t="n">
        <v>129</v>
      </c>
      <c r="G602" s="3" t="n">
        <v>6</v>
      </c>
      <c r="H602" s="7" t="n"/>
      <c r="I602" t="inlineStr">
        <is>
          <t>Ingenuity Core 128</t>
        </is>
      </c>
      <c r="J602" t="inlineStr">
        <is>
          <t>Post 100/236 i3, iDose (3)</t>
        </is>
      </c>
    </row>
    <row r="603">
      <c r="A603" s="2" t="n">
        <v>9526825</v>
      </c>
      <c r="B603" s="2" t="n">
        <v>53</v>
      </c>
      <c r="C603" s="2" t="inlineStr">
        <is>
          <t>M</t>
        </is>
      </c>
      <c r="D603" s="2" t="n">
        <v>100</v>
      </c>
      <c r="E603" s="4">
        <f>HYPERLINK("./Results/DLO\20181201_1.3.12.2.1107.5.1.4.54310.30000018120623274431200060561_3_512_512_\Osteo_Sarco_1.png","RPT")</f>
        <v/>
      </c>
      <c r="F603" s="3" t="n">
        <v>126</v>
      </c>
      <c r="G603" s="3" t="n">
        <v>5</v>
      </c>
      <c r="H603" s="6" t="n">
        <v>20.55</v>
      </c>
      <c r="I603" t="inlineStr">
        <is>
          <t>Sensation 64</t>
        </is>
      </c>
      <c r="J603" t="inlineStr">
        <is>
          <t>Pre Contrast 3.0 B30f</t>
        </is>
      </c>
    </row>
    <row r="604">
      <c r="A604" s="2" t="n">
        <v>6002406</v>
      </c>
      <c r="B604" s="2" t="n">
        <v>53</v>
      </c>
      <c r="C604" s="2" t="inlineStr">
        <is>
          <t>M</t>
        </is>
      </c>
      <c r="D604" s="2" t="n">
        <v>100</v>
      </c>
      <c r="E604" s="4">
        <f>HYPERLINK("./Results/DLO\20200601_1.3.12.2.1107.5.1.4.65253.30000020060521102520400042593_3_512_512_\Osteo_Sarco_1.png","RPT")</f>
        <v/>
      </c>
      <c r="F604" s="3" t="n">
        <v>124</v>
      </c>
      <c r="G604" s="3" t="n">
        <v>7</v>
      </c>
      <c r="H604" s="6" t="n">
        <v>21.8</v>
      </c>
      <c r="I604" t="inlineStr">
        <is>
          <t>SOMATOM Definition AS</t>
        </is>
      </c>
      <c r="J604" t="inlineStr">
        <is>
          <t>Post Contrast 3.0 B30f</t>
        </is>
      </c>
    </row>
    <row r="605">
      <c r="A605" s="2" t="n">
        <v>6741524</v>
      </c>
      <c r="B605" s="2" t="n">
        <v>53</v>
      </c>
      <c r="C605" s="2" t="inlineStr">
        <is>
          <t>F</t>
        </is>
      </c>
      <c r="D605" s="2" t="n">
        <v>100</v>
      </c>
      <c r="E605" s="4">
        <f>HYPERLINK("./Results/DLO\20180901_1.2.840.113619.2.311.19178765395821334226387739813725750038_304_512_512_\Osteo_Sarco_1.png","RPT")</f>
        <v/>
      </c>
      <c r="F605" s="3" t="n">
        <v>120</v>
      </c>
      <c r="G605" s="3" t="n">
        <v>8</v>
      </c>
      <c r="H605" s="7" t="n"/>
      <c r="I605" t="inlineStr">
        <is>
          <t>Revolution CT</t>
        </is>
      </c>
      <c r="J605" t="inlineStr">
        <is>
          <t>ABD 2.5mm</t>
        </is>
      </c>
    </row>
    <row r="606">
      <c r="A606" s="2" t="n">
        <v>1839429</v>
      </c>
      <c r="B606" s="2" t="n">
        <v>53</v>
      </c>
      <c r="C606" s="2" t="inlineStr">
        <is>
          <t>F</t>
        </is>
      </c>
      <c r="D606" s="2" t="n">
        <v>100</v>
      </c>
      <c r="E606" s="4">
        <f>HYPERLINK("./Results/DLO\20181101_1.3.12.2.1107.5.1.4.54310.30000018112823185235900050465_2_512_512_\Osteo_Sarco_1.png","RPT")</f>
        <v/>
      </c>
      <c r="F606" s="3" t="n">
        <v>120</v>
      </c>
      <c r="G606" s="3" t="n">
        <v>7</v>
      </c>
      <c r="H606" s="7" t="n"/>
      <c r="I606" t="inlineStr">
        <is>
          <t>Sensation 64</t>
        </is>
      </c>
      <c r="J606" t="inlineStr">
        <is>
          <t>Pre Contrast 3.0 B30f</t>
        </is>
      </c>
    </row>
    <row r="607">
      <c r="A607" s="2" t="n">
        <v>2814927</v>
      </c>
      <c r="B607" s="2" t="n">
        <v>53</v>
      </c>
      <c r="C607" s="2" t="inlineStr">
        <is>
          <t>M</t>
        </is>
      </c>
      <c r="D607" s="2" t="n">
        <v>100</v>
      </c>
      <c r="E607" s="4">
        <f>HYPERLINK("./Results/DLO\20190701_1.3.12.2.1107.5.1.4.65253.30000019072519585580200044132_2_512_512_\Osteo_Sarco_1.png","RPT")</f>
        <v/>
      </c>
      <c r="F607" s="3" t="n">
        <v>119</v>
      </c>
      <c r="G607" s="3" t="n">
        <v>16</v>
      </c>
      <c r="H607" s="6" t="n">
        <v>21.99</v>
      </c>
      <c r="I607" t="inlineStr">
        <is>
          <t>SOMATOM Definition AS</t>
        </is>
      </c>
      <c r="J607" t="inlineStr">
        <is>
          <t>Pre Contrast 3.0 B30f</t>
        </is>
      </c>
    </row>
    <row r="608">
      <c r="A608" s="2" t="n">
        <v>8973738</v>
      </c>
      <c r="B608" s="2" t="n">
        <v>53</v>
      </c>
      <c r="C608" s="2" t="inlineStr">
        <is>
          <t>F</t>
        </is>
      </c>
      <c r="D608" s="2" t="n">
        <v>100</v>
      </c>
      <c r="E608" s="4">
        <f>HYPERLINK("./Results/DLO\20180801_1.2.840.113619.2.416.75930589435453989670165313858979531901_304_512_512_\Osteo_Sarco_1.png","RPT")</f>
        <v/>
      </c>
      <c r="F608" s="3" t="n">
        <v>118</v>
      </c>
      <c r="G608" s="3" t="n">
        <v>11</v>
      </c>
      <c r="H608" s="7" t="n"/>
      <c r="I608" t="inlineStr">
        <is>
          <t>Revolution CT</t>
        </is>
      </c>
      <c r="J608" t="inlineStr">
        <is>
          <t>ABD 2.5mm</t>
        </is>
      </c>
    </row>
    <row r="609">
      <c r="A609" s="2" t="n">
        <v>9516453</v>
      </c>
      <c r="B609" s="2" t="n">
        <v>53</v>
      </c>
      <c r="C609" s="2" t="inlineStr">
        <is>
          <t>F</t>
        </is>
      </c>
      <c r="D609" s="2" t="n">
        <v>100</v>
      </c>
      <c r="E609" s="4">
        <f>HYPERLINK("./Results/DLO\20181201_1.3.46.670589.33.1.63680378753779581400001.5597165153796169301_201_512_512_\Osteo_Sarco_1.png","RPT")</f>
        <v/>
      </c>
      <c r="F609" s="3" t="n">
        <v>117</v>
      </c>
      <c r="G609" s="3" t="n">
        <v>5</v>
      </c>
      <c r="H609" s="7" t="n"/>
      <c r="I609" t="inlineStr">
        <is>
          <t>Ingenuity Core 128</t>
        </is>
      </c>
      <c r="J609" t="inlineStr">
        <is>
          <t>Post 100/236 i3, iDose (3)</t>
        </is>
      </c>
    </row>
    <row r="610">
      <c r="A610" s="2" t="n">
        <v>8713562</v>
      </c>
      <c r="B610" s="2" t="n">
        <v>53</v>
      </c>
      <c r="C610" s="2" t="inlineStr">
        <is>
          <t>F</t>
        </is>
      </c>
      <c r="D610" s="2" t="n">
        <v>100</v>
      </c>
      <c r="E610" s="4">
        <f>HYPERLINK("./Results/DLO\20180401_1.3.12.2.1107.5.1.4.54310.30000018041823261392100003764_2_512_512_\Osteo_Sarco_1.png","RPT")</f>
        <v/>
      </c>
      <c r="F610" s="3" t="n">
        <v>115</v>
      </c>
      <c r="G610" s="3" t="n">
        <v>12</v>
      </c>
      <c r="H610" s="7" t="n"/>
      <c r="I610" t="inlineStr">
        <is>
          <t>Sensation 64</t>
        </is>
      </c>
      <c r="J610" t="inlineStr">
        <is>
          <t>With</t>
        </is>
      </c>
    </row>
    <row r="611">
      <c r="A611" s="2" t="n">
        <v>8675301</v>
      </c>
      <c r="B611" s="2" t="n">
        <v>53</v>
      </c>
      <c r="C611" s="2" t="inlineStr">
        <is>
          <t>F</t>
        </is>
      </c>
      <c r="D611" s="2" t="n">
        <v>100</v>
      </c>
      <c r="E611" s="4">
        <f>HYPERLINK("./Results/DLO\20180101_1.3.12.2.1107.5.1.4.54310.30000018011623145625000016612_2_512_512_\Osteo_Sarco_1.png","RPT")</f>
        <v/>
      </c>
      <c r="F611" s="3" t="n">
        <v>110</v>
      </c>
      <c r="G611" s="3" t="n">
        <v>13</v>
      </c>
      <c r="H611" s="6" t="n">
        <v>23.79</v>
      </c>
      <c r="I611" t="inlineStr">
        <is>
          <t>Sensation 64</t>
        </is>
      </c>
      <c r="J611" t="inlineStr">
        <is>
          <t>With Contrast 3.0 B30f</t>
        </is>
      </c>
    </row>
    <row r="612">
      <c r="A612" s="2" t="n">
        <v>9975123</v>
      </c>
      <c r="B612" s="2" t="n">
        <v>53</v>
      </c>
      <c r="C612" s="2" t="inlineStr">
        <is>
          <t>F</t>
        </is>
      </c>
      <c r="D612" s="2" t="n">
        <v>100</v>
      </c>
      <c r="E612" s="4">
        <f>HYPERLINK("./Results/DLO\20200601_1.3.12.2.1107.5.1.4.54310.30000020062421294853100053888_7_512_512_\Osteo_Sarco_1.png","RPT")</f>
        <v/>
      </c>
      <c r="F612" s="3" t="n">
        <v>110</v>
      </c>
      <c r="G612" s="3" t="n">
        <v>8</v>
      </c>
      <c r="H612" s="6" t="n">
        <v>23.81</v>
      </c>
      <c r="I612" t="inlineStr">
        <is>
          <t>Sensation 64</t>
        </is>
      </c>
      <c r="J612" t="inlineStr">
        <is>
          <t>ABD 3mm B30f</t>
        </is>
      </c>
    </row>
    <row r="613">
      <c r="A613" s="2" t="n">
        <v>9569551</v>
      </c>
      <c r="B613" s="2" t="n">
        <v>53</v>
      </c>
      <c r="C613" s="2" t="inlineStr">
        <is>
          <t>F</t>
        </is>
      </c>
      <c r="D613" s="2" t="n">
        <v>100</v>
      </c>
      <c r="E613" s="4">
        <f>HYPERLINK("./Results/DLO\20190201_1.3.46.670589.33.1.63684609678123710700001.4908380791392930996_201_512_512_\Osteo_Sarco_1.png","RPT")</f>
        <v/>
      </c>
      <c r="F613" s="3" t="n">
        <v>108</v>
      </c>
      <c r="G613" s="3" t="n">
        <v>9</v>
      </c>
      <c r="H613" s="7" t="n"/>
      <c r="I613" t="inlineStr">
        <is>
          <t>Ingenuity Core 128</t>
        </is>
      </c>
      <c r="J613" t="inlineStr">
        <is>
          <t>Post 3mm, iDose (3)</t>
        </is>
      </c>
    </row>
    <row r="614">
      <c r="A614" s="2" t="n">
        <v>5216965</v>
      </c>
      <c r="B614" s="2" t="n">
        <v>53</v>
      </c>
      <c r="C614" s="2" t="inlineStr">
        <is>
          <t>F</t>
        </is>
      </c>
      <c r="D614" s="2" t="n">
        <v>100</v>
      </c>
      <c r="E614" s="4">
        <f>HYPERLINK("./Results/DLO\20180301_1.3.12.2.1107.5.1.4.65253.30000018032017385746600056200_2_512_512_\Osteo_Sarco_1.png","RPT")</f>
        <v/>
      </c>
      <c r="F614" s="3" t="n">
        <v>107</v>
      </c>
      <c r="G614" s="3" t="n">
        <v>9</v>
      </c>
      <c r="H614" s="7" t="n"/>
      <c r="I614" t="inlineStr">
        <is>
          <t>SOMATOM Definition AS</t>
        </is>
      </c>
      <c r="J614" t="inlineStr">
        <is>
          <t>With Contrast 3.0 B30f</t>
        </is>
      </c>
    </row>
    <row r="615">
      <c r="A615" s="2" t="n">
        <v>280328</v>
      </c>
      <c r="B615" s="2" t="n">
        <v>53</v>
      </c>
      <c r="C615" s="2" t="inlineStr">
        <is>
          <t>M</t>
        </is>
      </c>
      <c r="D615" s="2" t="n">
        <v>100</v>
      </c>
      <c r="E615" s="4">
        <f>HYPERLINK("./Results/DLO\20190901_1.2.840.113619.2.416.36804277732764939455631951945785422586_310_512_512_\Osteo_Sarco_1.png","RPT")</f>
        <v/>
      </c>
      <c r="F615" s="3" t="n">
        <v>105</v>
      </c>
      <c r="G615" s="3" t="n">
        <v>1</v>
      </c>
      <c r="H615" s="7" t="n"/>
      <c r="I615" t="inlineStr">
        <is>
          <t>Revolution CT</t>
        </is>
      </c>
      <c r="J615" t="inlineStr">
        <is>
          <t>ABD</t>
        </is>
      </c>
    </row>
    <row r="616">
      <c r="A616" s="2" t="n">
        <v>6740011</v>
      </c>
      <c r="B616" s="2" t="n">
        <v>53</v>
      </c>
      <c r="C616" s="2" t="inlineStr">
        <is>
          <t>F</t>
        </is>
      </c>
      <c r="D616" s="2" t="n">
        <v>100</v>
      </c>
      <c r="E616" s="4">
        <f>HYPERLINK("./Results/DLO\20180401_1.2.840.113619.2.311.98492935682530194766730750787895976987_304_512_512_\Osteo_Sarco_1.png","RPT")</f>
        <v/>
      </c>
      <c r="F616" s="3" t="n">
        <v>103</v>
      </c>
      <c r="G616" s="3" t="n">
        <v>14</v>
      </c>
      <c r="H616" s="7" t="n"/>
      <c r="I616" t="inlineStr">
        <is>
          <t>Revolution CT</t>
        </is>
      </c>
      <c r="J616" t="inlineStr">
        <is>
          <t>ABD 2.5mm</t>
        </is>
      </c>
    </row>
    <row r="617">
      <c r="A617" s="2" t="n">
        <v>8640730</v>
      </c>
      <c r="B617" s="2" t="n">
        <v>53</v>
      </c>
      <c r="C617" s="2" t="inlineStr">
        <is>
          <t>F</t>
        </is>
      </c>
      <c r="D617" s="2" t="n">
        <v>100</v>
      </c>
      <c r="E617" s="4">
        <f>HYPERLINK("./Results/DLO\20190201_1.2.840.113619.2.311.252557322930800408659251328561794078177_304_512_512_\Osteo_Sarco_1.png","RPT")</f>
        <v/>
      </c>
      <c r="F617" s="3" t="n">
        <v>101</v>
      </c>
      <c r="G617" s="3" t="n">
        <v>8</v>
      </c>
      <c r="H617" s="7" t="n"/>
      <c r="I617" t="inlineStr">
        <is>
          <t>Revolution CT</t>
        </is>
      </c>
      <c r="J617" t="inlineStr">
        <is>
          <t>ABD 2.5mm</t>
        </is>
      </c>
    </row>
    <row r="618">
      <c r="A618" s="2" t="n">
        <v>8308977</v>
      </c>
      <c r="B618" s="2" t="n">
        <v>53</v>
      </c>
      <c r="C618" s="2" t="inlineStr">
        <is>
          <t>F</t>
        </is>
      </c>
      <c r="D618" s="2" t="n">
        <v>100</v>
      </c>
      <c r="E618" s="4">
        <f>HYPERLINK("./Results/DLO\20190901_1.3.46.670589.33.1.63703792532609226000001.4694959649053482199_201_512_512_\Osteo_Sarco_1.png","RPT")</f>
        <v/>
      </c>
      <c r="F618" s="3" t="n">
        <v>101</v>
      </c>
      <c r="G618" s="3" t="n">
        <v>7</v>
      </c>
      <c r="H618" s="7" t="n"/>
      <c r="I618" t="inlineStr">
        <is>
          <t>Ingenuity Core 128</t>
        </is>
      </c>
      <c r="J618" t="inlineStr">
        <is>
          <t>Post 3mm, iDose (3)</t>
        </is>
      </c>
    </row>
    <row r="619">
      <c r="A619" s="2" t="n">
        <v>9440976</v>
      </c>
      <c r="B619" s="2" t="n">
        <v>54</v>
      </c>
      <c r="C619" s="2" t="inlineStr">
        <is>
          <t>F</t>
        </is>
      </c>
      <c r="D619" s="2" t="n">
        <v>100</v>
      </c>
      <c r="E619" s="4">
        <f>HYPERLINK("./Results/DLO\20180901_1.3.12.2.1107.5.1.4.54310.30000018092800164720300003316_2_512_512_\Osteo_Sarco_1.png","RPT")</f>
        <v/>
      </c>
      <c r="F619" s="3" t="n">
        <v>94</v>
      </c>
      <c r="G619" s="3" t="n">
        <v>10</v>
      </c>
      <c r="H619" s="6" t="n">
        <v>22.31</v>
      </c>
      <c r="I619" t="inlineStr">
        <is>
          <t>Sensation 64</t>
        </is>
      </c>
      <c r="J619" t="inlineStr">
        <is>
          <t>With Contrast 3.0 B30f</t>
        </is>
      </c>
    </row>
    <row r="620">
      <c r="A620" s="2" t="n">
        <v>8964073</v>
      </c>
      <c r="B620" s="2" t="n">
        <v>54</v>
      </c>
      <c r="C620" s="2" t="inlineStr">
        <is>
          <t>F</t>
        </is>
      </c>
      <c r="D620" s="2" t="n">
        <v>100</v>
      </c>
      <c r="E620" s="4">
        <f>HYPERLINK("./Results/DLO\20200201_1.3.12.2.1107.5.1.4.54310.30000020022322370667100047247_7_512_512_\Osteo_Sarco_1.png","RPT")</f>
        <v/>
      </c>
      <c r="F620" s="3" t="n">
        <v>94</v>
      </c>
      <c r="G620" s="3" t="n">
        <v>5</v>
      </c>
      <c r="H620" s="7" t="n"/>
      <c r="I620" t="inlineStr">
        <is>
          <t>Sensation 64</t>
        </is>
      </c>
      <c r="J620" t="inlineStr">
        <is>
          <t>ABD 3mm B30f</t>
        </is>
      </c>
    </row>
    <row r="621">
      <c r="A621" s="2" t="n">
        <v>9003581</v>
      </c>
      <c r="B621" s="2" t="n">
        <v>54</v>
      </c>
      <c r="C621" s="2" t="inlineStr">
        <is>
          <t>F</t>
        </is>
      </c>
      <c r="D621" s="2" t="n">
        <v>100</v>
      </c>
      <c r="E621" s="4">
        <f>HYPERLINK("./Results/DLO\20180701_1.3.12.2.1107.5.1.4.54310.30000018071523233209300006203_2_512_512_\Osteo_Sarco_1.png","RPT")</f>
        <v/>
      </c>
      <c r="F621" s="3" t="n">
        <v>92</v>
      </c>
      <c r="G621" s="3" t="n">
        <v>4</v>
      </c>
      <c r="H621" s="7" t="n"/>
      <c r="I621" t="inlineStr">
        <is>
          <t>Sensation 64</t>
        </is>
      </c>
      <c r="J621" t="inlineStr">
        <is>
          <t>With Contrast 3.0 B30f</t>
        </is>
      </c>
    </row>
    <row r="622">
      <c r="A622" s="2" t="n">
        <v>6741866</v>
      </c>
      <c r="B622" s="2" t="n">
        <v>54</v>
      </c>
      <c r="C622" s="2" t="inlineStr">
        <is>
          <t>F</t>
        </is>
      </c>
      <c r="D622" s="2" t="n">
        <v>100</v>
      </c>
      <c r="E622" s="4">
        <f>HYPERLINK("./Results/DLO\20180501_1.3.46.670589.33.1.63662840626281522400001.5255627566895740651_201_512_512_\Osteo_Sarco_1.png","RPT")</f>
        <v/>
      </c>
      <c r="F622" s="3" t="n">
        <v>87</v>
      </c>
      <c r="G622" s="3" t="n">
        <v>8</v>
      </c>
      <c r="H622" s="7" t="n"/>
      <c r="I622" t="inlineStr">
        <is>
          <t>Ingenuity Core 128</t>
        </is>
      </c>
      <c r="J622" t="inlineStr">
        <is>
          <t>Post 100/236 i3, iDose (3)</t>
        </is>
      </c>
    </row>
    <row r="623">
      <c r="A623" s="2" t="n">
        <v>2573354</v>
      </c>
      <c r="B623" s="2" t="n">
        <v>54</v>
      </c>
      <c r="C623" s="2" t="inlineStr">
        <is>
          <t>F</t>
        </is>
      </c>
      <c r="D623" s="2" t="n">
        <v>100</v>
      </c>
      <c r="E623" s="4">
        <f>HYPERLINK("./Results/DLO\20181001_1.3.12.2.1107.5.1.4.65253.30000018100722531863800000685_2_512_512_\Osteo_Sarco_1.png","RPT")</f>
        <v/>
      </c>
      <c r="F623" s="3" t="n">
        <v>86</v>
      </c>
      <c r="G623" s="3" t="n">
        <v>15</v>
      </c>
      <c r="H623" s="7" t="n"/>
      <c r="I623" t="inlineStr">
        <is>
          <t>SOMATOM Definition AS</t>
        </is>
      </c>
      <c r="J623" t="inlineStr">
        <is>
          <t>With Contrast 3.0 B30f</t>
        </is>
      </c>
    </row>
    <row r="624">
      <c r="A624" s="2" t="n">
        <v>8964473</v>
      </c>
      <c r="B624" s="2" t="n">
        <v>54</v>
      </c>
      <c r="C624" s="2" t="inlineStr">
        <is>
          <t>F</t>
        </is>
      </c>
      <c r="D624" s="2" t="n">
        <v>100</v>
      </c>
      <c r="E624" s="4">
        <f>HYPERLINK("./Results/DLO\20190101_1.3.12.2.1107.5.1.4.54310.30000019011323465885900009690_2_512_512_\Osteo_Sarco_1.png","RPT")</f>
        <v/>
      </c>
      <c r="F624" s="3" t="n">
        <v>72</v>
      </c>
      <c r="G624" s="3" t="n">
        <v>8</v>
      </c>
      <c r="H624" s="7" t="n"/>
      <c r="I624" t="inlineStr">
        <is>
          <t>Sensation 64</t>
        </is>
      </c>
      <c r="J624" t="inlineStr">
        <is>
          <t>With Contrast 3.0 B30f</t>
        </is>
      </c>
    </row>
    <row r="625">
      <c r="A625" s="2" t="n">
        <v>3168007</v>
      </c>
      <c r="B625" s="2" t="n">
        <v>54</v>
      </c>
      <c r="C625" s="2" t="inlineStr">
        <is>
          <t>M</t>
        </is>
      </c>
      <c r="D625" s="2" t="n">
        <v>100</v>
      </c>
      <c r="E625" s="4">
        <f>HYPERLINK("./Results/DLO\20180301_1.2.840.113619.2.311.233277227942967702034808069418164572828_2_512_512_\Osteo_Sarco_1.png","RPT")</f>
        <v/>
      </c>
      <c r="F625" s="3" t="n">
        <v>201</v>
      </c>
      <c r="G625" s="3" t="n">
        <v>12</v>
      </c>
      <c r="H625" s="7" t="n"/>
      <c r="I625" t="inlineStr">
        <is>
          <t>Revolution CT</t>
        </is>
      </c>
      <c r="J625" t="inlineStr">
        <is>
          <t>ABD</t>
        </is>
      </c>
    </row>
    <row r="626">
      <c r="A626" s="2" t="n">
        <v>1855460</v>
      </c>
      <c r="B626" s="2" t="n">
        <v>54</v>
      </c>
      <c r="C626" s="2" t="inlineStr">
        <is>
          <t>M</t>
        </is>
      </c>
      <c r="D626" s="2" t="n">
        <v>100</v>
      </c>
      <c r="E626" s="4">
        <f>HYPERLINK("./Results/DLO\20190301_1.3.46.670589.33.1.63688842393181329700001.5182047694858839715_201_512_512_\Osteo_Sarco_1.png","RPT")</f>
        <v/>
      </c>
      <c r="F626" s="3" t="n">
        <v>182</v>
      </c>
      <c r="G626" s="3" t="n">
        <v>5</v>
      </c>
      <c r="H626" s="7" t="n"/>
      <c r="I626" t="inlineStr">
        <is>
          <t>Ingenuity Core 128</t>
        </is>
      </c>
      <c r="J626" t="inlineStr">
        <is>
          <t>Post 3mm, iDose (3)</t>
        </is>
      </c>
    </row>
    <row r="627">
      <c r="A627" s="2" t="n">
        <v>2538674</v>
      </c>
      <c r="B627" s="2" t="n">
        <v>54</v>
      </c>
      <c r="C627" s="2" t="inlineStr">
        <is>
          <t>M</t>
        </is>
      </c>
      <c r="D627" s="2" t="n">
        <v>100</v>
      </c>
      <c r="E627" s="4">
        <f>HYPERLINK("./Results/DLO\20180501_1.3.12.2.1107.5.1.4.54310.30000018050123303617100013728_2_512_512_\Osteo_Sarco_1.png","RPT")</f>
        <v/>
      </c>
      <c r="F627" s="3" t="n">
        <v>181</v>
      </c>
      <c r="G627" s="3" t="n">
        <v>11</v>
      </c>
      <c r="H627" s="7" t="n"/>
      <c r="I627" t="inlineStr">
        <is>
          <t>Sensation 64</t>
        </is>
      </c>
      <c r="J627" t="inlineStr">
        <is>
          <t>With Contrast 3.0 B30f</t>
        </is>
      </c>
    </row>
    <row r="628">
      <c r="A628" s="2" t="n">
        <v>4350566</v>
      </c>
      <c r="B628" s="2" t="n">
        <v>54</v>
      </c>
      <c r="C628" s="2" t="inlineStr">
        <is>
          <t>M</t>
        </is>
      </c>
      <c r="D628" s="2" t="n">
        <v>100</v>
      </c>
      <c r="E628" s="4">
        <f>HYPERLINK("./Results/DLO\20190601_1.3.12.2.1107.5.1.4.54310.30000019062322103253100042764_6_512_512_\Osteo_Sarco_1.png","RPT")</f>
        <v/>
      </c>
      <c r="F628" s="3" t="n">
        <v>178</v>
      </c>
      <c r="G628" s="3" t="n">
        <v>6</v>
      </c>
      <c r="H628" s="7" t="n"/>
      <c r="I628" t="inlineStr">
        <is>
          <t>Sensation 64</t>
        </is>
      </c>
      <c r="J628" t="inlineStr">
        <is>
          <t>Portal 3.0 B30f</t>
        </is>
      </c>
    </row>
    <row r="629">
      <c r="A629" s="2" t="n">
        <v>5811921</v>
      </c>
      <c r="B629" s="2" t="n">
        <v>54</v>
      </c>
      <c r="C629" s="2" t="inlineStr">
        <is>
          <t>M</t>
        </is>
      </c>
      <c r="D629" s="2" t="n">
        <v>100</v>
      </c>
      <c r="E629" s="4">
        <f>HYPERLINK("./Results/DLO\20190201_1.3.46.670589.33.1.63686778422756063100001.4616745120551517690_201_512_512_\Osteo_Sarco_1.png","RPT")</f>
        <v/>
      </c>
      <c r="F629" s="3" t="n">
        <v>174</v>
      </c>
      <c r="G629" s="3" t="n">
        <v>5</v>
      </c>
      <c r="H629" s="7" t="n"/>
      <c r="I629" t="inlineStr">
        <is>
          <t>Ingenuity Core 128</t>
        </is>
      </c>
      <c r="J629" t="inlineStr">
        <is>
          <t>Post 3mm, iDose (3)</t>
        </is>
      </c>
    </row>
    <row r="630">
      <c r="A630" s="2" t="n">
        <v>6740037</v>
      </c>
      <c r="B630" s="2" t="n">
        <v>54</v>
      </c>
      <c r="C630" s="2" t="inlineStr">
        <is>
          <t>M</t>
        </is>
      </c>
      <c r="D630" s="2" t="n">
        <v>100</v>
      </c>
      <c r="E630" s="4">
        <f>HYPERLINK("./Results/DLO\20180501_1.2.840.113619.2.311.73924517666874413405121220349500611647_303_512_512_\Osteo_Sarco_1.png","RPT")</f>
        <v/>
      </c>
      <c r="F630" s="3" t="n">
        <v>171</v>
      </c>
      <c r="G630" s="3" t="n">
        <v>12</v>
      </c>
      <c r="H630" s="7" t="n"/>
      <c r="I630" t="inlineStr">
        <is>
          <t>Revolution CT</t>
        </is>
      </c>
      <c r="J630" t="inlineStr">
        <is>
          <t>ABD 2.5mm</t>
        </is>
      </c>
    </row>
    <row r="631">
      <c r="A631" s="2" t="n">
        <v>8961399</v>
      </c>
      <c r="B631" s="2" t="n">
        <v>54</v>
      </c>
      <c r="C631" s="2" t="inlineStr">
        <is>
          <t>M</t>
        </is>
      </c>
      <c r="D631" s="2" t="n">
        <v>100</v>
      </c>
      <c r="E631" s="4">
        <f>HYPERLINK("./Results/DLO\20180501_1.2.840.113619.2.311.138943627521859283576398564034209207532_303_512_512_\Osteo_Sarco_1.png","RPT")</f>
        <v/>
      </c>
      <c r="F631" s="3" t="n">
        <v>169</v>
      </c>
      <c r="G631" s="3" t="n">
        <v>9</v>
      </c>
      <c r="H631" s="7" t="n"/>
      <c r="I631" t="inlineStr">
        <is>
          <t>Revolution CT</t>
        </is>
      </c>
      <c r="J631" t="inlineStr">
        <is>
          <t>ABD 2.5mm</t>
        </is>
      </c>
    </row>
    <row r="632">
      <c r="A632" s="2" t="n">
        <v>6742059</v>
      </c>
      <c r="B632" s="2" t="n">
        <v>54</v>
      </c>
      <c r="C632" s="2" t="inlineStr">
        <is>
          <t>M</t>
        </is>
      </c>
      <c r="D632" s="2" t="n">
        <v>100</v>
      </c>
      <c r="E632" s="4">
        <f>HYPERLINK("./Results/DLO\20180301_1.3.46.670589.33.1.63657218493694772400001.4736879333294639714_301_512_512_\Osteo_Sarco_1.png","RPT")</f>
        <v/>
      </c>
      <c r="F632" s="3" t="n">
        <v>157</v>
      </c>
      <c r="G632" s="3" t="n">
        <v>6</v>
      </c>
      <c r="H632" s="7" t="n"/>
      <c r="I632" t="inlineStr">
        <is>
          <t>Ingenuity Core 128</t>
        </is>
      </c>
      <c r="J632" t="inlineStr">
        <is>
          <t>Post 100/236 i3, iDose (3)</t>
        </is>
      </c>
    </row>
    <row r="633">
      <c r="A633" s="2" t="n">
        <v>5824638</v>
      </c>
      <c r="B633" s="2" t="n">
        <v>54</v>
      </c>
      <c r="C633" s="2" t="inlineStr">
        <is>
          <t>M</t>
        </is>
      </c>
      <c r="D633" s="2" t="n">
        <v>100</v>
      </c>
      <c r="E633" s="4">
        <f>HYPERLINK("./Results/DLO\20190501_1.3.46.670589.33.1.63694888955928442500001.5595314161877506495_201_512_512_\Osteo_Sarco_1.png","RPT")</f>
        <v/>
      </c>
      <c r="F633" s="3" t="n">
        <v>156</v>
      </c>
      <c r="G633" s="3" t="n">
        <v>11</v>
      </c>
      <c r="H633" s="7" t="n"/>
      <c r="I633" t="inlineStr">
        <is>
          <t>Ingenuity Core 128</t>
        </is>
      </c>
      <c r="J633" t="inlineStr">
        <is>
          <t>Post 3mm, iDose (3)</t>
        </is>
      </c>
    </row>
    <row r="634">
      <c r="A634" s="2" t="n">
        <v>8479024</v>
      </c>
      <c r="B634" s="2" t="n">
        <v>54</v>
      </c>
      <c r="C634" s="2" t="inlineStr">
        <is>
          <t>M</t>
        </is>
      </c>
      <c r="D634" s="2" t="n">
        <v>100</v>
      </c>
      <c r="E634" s="4">
        <f>HYPERLINK("./Results/DLO\20191001_1.3.12.2.1107.5.1.4.65253.30000019101617195865400052252_2_512_512_\Osteo_Sarco_1.png","RPT")</f>
        <v/>
      </c>
      <c r="F634" s="3" t="n">
        <v>156</v>
      </c>
      <c r="G634" s="3" t="n">
        <v>7</v>
      </c>
      <c r="H634" s="7" t="n"/>
      <c r="I634" t="inlineStr">
        <is>
          <t>SOMATOM Definition AS</t>
        </is>
      </c>
      <c r="J634" t="inlineStr">
        <is>
          <t>Pre Contrast 3.0 B30f</t>
        </is>
      </c>
    </row>
    <row r="635">
      <c r="A635" s="2" t="n">
        <v>8618302</v>
      </c>
      <c r="B635" s="2" t="n">
        <v>54</v>
      </c>
      <c r="C635" s="2" t="inlineStr">
        <is>
          <t>F</t>
        </is>
      </c>
      <c r="D635" s="2" t="n">
        <v>100</v>
      </c>
      <c r="E635" s="4">
        <f>HYPERLINK("./Results/DLO\20180201_1.2.840.113619.2.311.80060582562866635550628727936816753786_304_512_512_\Osteo_Sarco_1.png","RPT")</f>
        <v/>
      </c>
      <c r="F635" s="3" t="n">
        <v>145</v>
      </c>
      <c r="G635" s="3" t="n">
        <v>21</v>
      </c>
      <c r="H635" s="7" t="n"/>
      <c r="I635" t="inlineStr">
        <is>
          <t>Revolution CT</t>
        </is>
      </c>
      <c r="J635" t="inlineStr">
        <is>
          <t>ABD 2.5mm</t>
        </is>
      </c>
    </row>
    <row r="636">
      <c r="A636" s="2" t="n">
        <v>8805219</v>
      </c>
      <c r="B636" s="2" t="n">
        <v>54</v>
      </c>
      <c r="C636" s="2" t="inlineStr">
        <is>
          <t>M</t>
        </is>
      </c>
      <c r="D636" s="2" t="n">
        <v>100</v>
      </c>
      <c r="E636" s="4">
        <f>HYPERLINK("./Results/DLO\20190101_1.3.12.2.1107.5.1.4.54310.30000019011323092907800047951_3_512_512_\Osteo_Sarco_1.png","RPT")</f>
        <v/>
      </c>
      <c r="F636" s="3" t="n">
        <v>143</v>
      </c>
      <c r="G636" s="3" t="n">
        <v>7</v>
      </c>
      <c r="H636" s="7" t="n"/>
      <c r="I636" t="inlineStr">
        <is>
          <t>Sensation 64</t>
        </is>
      </c>
      <c r="J636" t="inlineStr">
        <is>
          <t>Pre Contrast 3.0 B30f</t>
        </is>
      </c>
    </row>
    <row r="637">
      <c r="A637" s="2" t="n">
        <v>8785049</v>
      </c>
      <c r="B637" s="2" t="n">
        <v>54</v>
      </c>
      <c r="C637" s="2" t="inlineStr">
        <is>
          <t>F</t>
        </is>
      </c>
      <c r="D637" s="2" t="n">
        <v>100</v>
      </c>
      <c r="E637" s="4">
        <f>HYPERLINK("./Results/DLO\20190401_1.3.12.2.1107.5.1.4.65253.30000019040419163826100041667_3_512_512_\Osteo_Sarco_1.png","RPT")</f>
        <v/>
      </c>
      <c r="F637" s="3" t="n">
        <v>142</v>
      </c>
      <c r="G637" s="3" t="n">
        <v>14</v>
      </c>
      <c r="H637" s="6" t="n">
        <v>26.31</v>
      </c>
      <c r="I637" t="inlineStr">
        <is>
          <t>SOMATOM Definition AS</t>
        </is>
      </c>
      <c r="J637" t="inlineStr">
        <is>
          <t>Post Contrast 3.0 B30f</t>
        </is>
      </c>
    </row>
    <row r="638">
      <c r="A638" s="2" t="n">
        <v>8408564</v>
      </c>
      <c r="B638" s="2" t="n">
        <v>54</v>
      </c>
      <c r="C638" s="2" t="inlineStr">
        <is>
          <t>M</t>
        </is>
      </c>
      <c r="D638" s="2" t="n">
        <v>100</v>
      </c>
      <c r="E638" s="4">
        <f>HYPERLINK("./Results/DLO\20180401_1.3.12.2.1107.5.1.4.54310.30000018040623365414000001759_2_512_512_\Osteo_Sarco_1.png","RPT")</f>
        <v/>
      </c>
      <c r="F638" s="3" t="n">
        <v>141</v>
      </c>
      <c r="G638" s="3" t="n">
        <v>8</v>
      </c>
      <c r="H638" s="7" t="n"/>
      <c r="I638" t="inlineStr">
        <is>
          <t>Sensation 64</t>
        </is>
      </c>
      <c r="J638" t="inlineStr">
        <is>
          <t>With Contrast 3.0 B30f</t>
        </is>
      </c>
    </row>
    <row r="639">
      <c r="A639" s="2" t="n">
        <v>5866472</v>
      </c>
      <c r="B639" s="2" t="n">
        <v>54</v>
      </c>
      <c r="C639" s="2" t="inlineStr">
        <is>
          <t>M</t>
        </is>
      </c>
      <c r="D639" s="2" t="n">
        <v>100</v>
      </c>
      <c r="E639" s="4">
        <f>HYPERLINK("./Results/DLO\20180701_1.3.46.670589.33.1.63668628819348734200001.5286240225787261701_201_512_512_\Osteo_Sarco_1.png","RPT")</f>
        <v/>
      </c>
      <c r="F639" s="3" t="n">
        <v>139</v>
      </c>
      <c r="G639" s="3" t="n">
        <v>6</v>
      </c>
      <c r="H639" s="7" t="n"/>
      <c r="I639" t="inlineStr">
        <is>
          <t>Ingenuity Core 128</t>
        </is>
      </c>
      <c r="J639" t="inlineStr">
        <is>
          <t>Post 100/236 i3, iDose (3)</t>
        </is>
      </c>
    </row>
    <row r="640">
      <c r="A640" s="2" t="n">
        <v>9715511</v>
      </c>
      <c r="B640" s="2" t="n">
        <v>54</v>
      </c>
      <c r="C640" s="2" t="inlineStr">
        <is>
          <t>M</t>
        </is>
      </c>
      <c r="D640" s="2" t="n">
        <v>100</v>
      </c>
      <c r="E640" s="4">
        <f>HYPERLINK("./Results/DLO\20190601_1.2.410.100011.172.24.16.221.6369722386194201721.4_4_512_512_\Osteo_Sarco_1.png","RPT")</f>
        <v/>
      </c>
      <c r="F640" s="3" t="n">
        <v>139</v>
      </c>
      <c r="G640" s="3" t="n">
        <v>4</v>
      </c>
      <c r="H640" s="6" t="n">
        <v>22.24</v>
      </c>
      <c r="I640" t="inlineStr">
        <is>
          <t>SOMATOM Definition Edge</t>
        </is>
      </c>
      <c r="J640" t="inlineStr">
        <is>
          <t>DELAY 5.0 Br38 2</t>
        </is>
      </c>
    </row>
    <row r="641">
      <c r="A641" s="2" t="n">
        <v>8830044</v>
      </c>
      <c r="B641" s="2" t="n">
        <v>54</v>
      </c>
      <c r="C641" s="2" t="inlineStr">
        <is>
          <t>M</t>
        </is>
      </c>
      <c r="D641" s="2" t="n">
        <v>100</v>
      </c>
      <c r="E641" s="4">
        <f>HYPERLINK("./Results/DLO\20180101_1.2.840.113619.2.416.271429167330992100403468903342672108103_2_512_512_\Osteo_Sarco_1.png","RPT")</f>
        <v/>
      </c>
      <c r="F641" s="3" t="n">
        <v>131</v>
      </c>
      <c r="G641" s="3" t="n">
        <v>5</v>
      </c>
      <c r="H641" s="7" t="n"/>
      <c r="I641" t="inlineStr">
        <is>
          <t>Revolution CT</t>
        </is>
      </c>
      <c r="J641" t="inlineStr">
        <is>
          <t>POST 2.5mm</t>
        </is>
      </c>
    </row>
    <row r="642">
      <c r="A642" s="2" t="n">
        <v>8812147</v>
      </c>
      <c r="B642" s="2" t="n">
        <v>54</v>
      </c>
      <c r="C642" s="2" t="inlineStr">
        <is>
          <t>F</t>
        </is>
      </c>
      <c r="D642" s="2" t="n">
        <v>100</v>
      </c>
      <c r="E642" s="4">
        <f>HYPERLINK("./Results/DLO\20180801_1.2.840.113619.2.416.168865090542266223391756306098302677399_304_512_512_\Osteo_Sarco_1.png","RPT")</f>
        <v/>
      </c>
      <c r="F642" s="3" t="n">
        <v>130</v>
      </c>
      <c r="G642" s="3" t="n">
        <v>7</v>
      </c>
      <c r="H642" s="7" t="n"/>
      <c r="I642" t="inlineStr">
        <is>
          <t>Revolution CT</t>
        </is>
      </c>
      <c r="J642" t="inlineStr">
        <is>
          <t>ABD 2.5mm</t>
        </is>
      </c>
    </row>
    <row r="643">
      <c r="A643" s="2" t="n">
        <v>8256943</v>
      </c>
      <c r="B643" s="2" t="n">
        <v>54</v>
      </c>
      <c r="C643" s="2" t="inlineStr">
        <is>
          <t>F</t>
        </is>
      </c>
      <c r="D643" s="2" t="n">
        <v>100</v>
      </c>
      <c r="E643" s="4">
        <f>HYPERLINK("./Results/DLO\20190201_1.3.46.670589.33.1.63685733480978207400001.5336860172460034173_201_512_512_\Osteo_Sarco_1.png","RPT")</f>
        <v/>
      </c>
      <c r="F643" s="3" t="n">
        <v>127</v>
      </c>
      <c r="G643" s="3" t="n">
        <v>8</v>
      </c>
      <c r="H643" s="7" t="n"/>
      <c r="I643" t="inlineStr">
        <is>
          <t>Ingenuity Core 128</t>
        </is>
      </c>
      <c r="J643" t="inlineStr">
        <is>
          <t>Post 3mm, iDose (3)</t>
        </is>
      </c>
    </row>
    <row r="644">
      <c r="A644" s="2" t="n">
        <v>3505441</v>
      </c>
      <c r="B644" s="2" t="n">
        <v>54</v>
      </c>
      <c r="C644" s="2" t="inlineStr">
        <is>
          <t>M</t>
        </is>
      </c>
      <c r="D644" s="2" t="n">
        <v>100</v>
      </c>
      <c r="E644" s="4">
        <f>HYPERLINK("./Results/DLO\20180101_1.2.840.113619.2.311.129988784274561624190781457741588509831_304_512_512_\Osteo_Sarco_1.png","RPT")</f>
        <v/>
      </c>
      <c r="F644" s="3" t="n">
        <v>126</v>
      </c>
      <c r="G644" s="3" t="n">
        <v>7</v>
      </c>
      <c r="H644" s="6" t="n">
        <v>20.64</v>
      </c>
      <c r="I644" t="inlineStr">
        <is>
          <t>Revolution CT</t>
        </is>
      </c>
      <c r="J644" t="inlineStr">
        <is>
          <t>ABD 2.5mm</t>
        </is>
      </c>
    </row>
    <row r="645">
      <c r="A645" s="2" t="n">
        <v>6742155</v>
      </c>
      <c r="B645" s="2" t="n">
        <v>54</v>
      </c>
      <c r="C645" s="2" t="inlineStr">
        <is>
          <t>F</t>
        </is>
      </c>
      <c r="D645" s="2" t="n">
        <v>100</v>
      </c>
      <c r="E645" s="4">
        <f>HYPERLINK("./Results/DLO\20190201_1.3.46.670589.33.1.63685648008872267900001.5449497261144106724_201_512_512_\Osteo_Sarco_1.png","RPT")</f>
        <v/>
      </c>
      <c r="F645" s="3" t="n">
        <v>125</v>
      </c>
      <c r="G645" s="3" t="n">
        <v>7</v>
      </c>
      <c r="H645" s="7" t="n"/>
      <c r="I645" t="inlineStr">
        <is>
          <t>Ingenuity Core 128</t>
        </is>
      </c>
      <c r="J645" t="inlineStr">
        <is>
          <t>Post 3mm, iDose (3)</t>
        </is>
      </c>
    </row>
    <row r="646">
      <c r="A646" s="2" t="n">
        <v>8762093</v>
      </c>
      <c r="B646" s="2" t="n">
        <v>54</v>
      </c>
      <c r="C646" s="2" t="inlineStr">
        <is>
          <t>F</t>
        </is>
      </c>
      <c r="D646" s="2" t="n">
        <v>100</v>
      </c>
      <c r="E646" s="4">
        <f>HYPERLINK("./Results/DLO\20180301_1.2.840.113619.2.94.485650834948.2.8700862.18788411.1_2_512_512_\Osteo_Sarco_1.png","RPT")</f>
        <v/>
      </c>
      <c r="F646" s="3" t="n">
        <v>124</v>
      </c>
      <c r="G646" s="3" t="n">
        <v>10</v>
      </c>
      <c r="H646" s="6" t="n">
        <v>27.65</v>
      </c>
      <c r="I646" t="inlineStr">
        <is>
          <t>Sensation 64</t>
        </is>
      </c>
      <c r="J646" t="inlineStr">
        <is>
          <t>With Contrast 3.0 B30f</t>
        </is>
      </c>
    </row>
    <row r="647">
      <c r="A647" s="2" t="n">
        <v>8404285</v>
      </c>
      <c r="B647" s="2" t="n">
        <v>54</v>
      </c>
      <c r="C647" s="2" t="inlineStr">
        <is>
          <t>F</t>
        </is>
      </c>
      <c r="D647" s="2" t="n">
        <v>100</v>
      </c>
      <c r="E647" s="4">
        <f>HYPERLINK("./Results/DLO\20180701_1.3.12.2.1107.5.1.4.65253.30000018071400384924300006001_2_512_512_\Osteo_Sarco_1.png","RPT")</f>
        <v/>
      </c>
      <c r="F647" s="3" t="n">
        <v>123</v>
      </c>
      <c r="G647" s="3" t="n">
        <v>9</v>
      </c>
      <c r="H647" s="7" t="n"/>
      <c r="I647" t="inlineStr">
        <is>
          <t>SOMATOM Definition AS</t>
        </is>
      </c>
      <c r="J647" t="inlineStr">
        <is>
          <t>With Contrast 3.0 B30f</t>
        </is>
      </c>
    </row>
    <row r="648">
      <c r="A648" s="2" t="n">
        <v>8504648</v>
      </c>
      <c r="B648" s="2" t="n">
        <v>54</v>
      </c>
      <c r="C648" s="2" t="inlineStr">
        <is>
          <t>F</t>
        </is>
      </c>
      <c r="D648" s="2" t="n">
        <v>100</v>
      </c>
      <c r="E648" s="4">
        <f>HYPERLINK("./Results/DLO\20180901_1.2.840.113619.2.311.298228350864456380044086082632922901210_304_512_512_\Osteo_Sarco_1.png","RPT")</f>
        <v/>
      </c>
      <c r="F648" s="3" t="n">
        <v>123</v>
      </c>
      <c r="G648" s="3" t="n">
        <v>16</v>
      </c>
      <c r="H648" s="6" t="n">
        <v>27.99</v>
      </c>
      <c r="I648" t="inlineStr">
        <is>
          <t>Revolution CT</t>
        </is>
      </c>
      <c r="J648" t="inlineStr">
        <is>
          <t>ABD 2.5mm</t>
        </is>
      </c>
    </row>
    <row r="649">
      <c r="A649" s="2" t="n">
        <v>8472684</v>
      </c>
      <c r="B649" s="2" t="n">
        <v>54</v>
      </c>
      <c r="C649" s="2" t="inlineStr">
        <is>
          <t>F</t>
        </is>
      </c>
      <c r="D649" s="2" t="n">
        <v>100</v>
      </c>
      <c r="E649" s="4">
        <f>HYPERLINK("./Results/DLO\20181001_1.2.840.113619.2.94.485650834948.2.9118451.19813380.1_3_512_512_\Osteo_Sarco_1.png","RPT")</f>
        <v/>
      </c>
      <c r="F649" s="3" t="n">
        <v>123</v>
      </c>
      <c r="G649" s="3" t="n">
        <v>6</v>
      </c>
      <c r="H649" s="6" t="n">
        <v>25.75</v>
      </c>
      <c r="I649" t="inlineStr">
        <is>
          <t>Sensation 64</t>
        </is>
      </c>
      <c r="J649" t="inlineStr">
        <is>
          <t>With Contrast 3.0 B30f</t>
        </is>
      </c>
    </row>
    <row r="650">
      <c r="A650" s="2" t="n">
        <v>5548802</v>
      </c>
      <c r="B650" s="2" t="n">
        <v>54</v>
      </c>
      <c r="C650" s="2" t="inlineStr">
        <is>
          <t>M</t>
        </is>
      </c>
      <c r="D650" s="2" t="n">
        <v>100</v>
      </c>
      <c r="E650" s="4">
        <f>HYPERLINK("./Results/DLO\20181001_1.3.12.2.1107.5.1.4.65253.30000018102919262576400060254_3_512_512_\Osteo_Sarco_1.png","RPT")</f>
        <v/>
      </c>
      <c r="F650" s="3" t="n">
        <v>123</v>
      </c>
      <c r="G650" s="3" t="n">
        <v>6</v>
      </c>
      <c r="H650" s="7" t="n"/>
      <c r="I650" t="inlineStr">
        <is>
          <t>SOMATOM Definition AS</t>
        </is>
      </c>
      <c r="J650" t="inlineStr">
        <is>
          <t>Pre Contrast 3.0 B30f</t>
        </is>
      </c>
    </row>
    <row r="651">
      <c r="A651" s="2" t="n">
        <v>4321144</v>
      </c>
      <c r="B651" s="2" t="n">
        <v>54</v>
      </c>
      <c r="C651" s="2" t="inlineStr">
        <is>
          <t>M</t>
        </is>
      </c>
      <c r="D651" s="2" t="n">
        <v>100</v>
      </c>
      <c r="E651" s="4">
        <f>HYPERLINK("./Results/DLO\20190401_1.3.12.2.1107.5.1.4.54310.30000019040923274960900046376_2_512_512_\Osteo_Sarco_1.png","RPT")</f>
        <v/>
      </c>
      <c r="F651" s="3" t="n">
        <v>118</v>
      </c>
      <c r="G651" s="3" t="n">
        <v>5</v>
      </c>
      <c r="H651" s="7" t="n"/>
      <c r="I651" t="inlineStr">
        <is>
          <t>Sensation 64</t>
        </is>
      </c>
      <c r="J651" t="inlineStr">
        <is>
          <t>With Contrast 3.0 B30f</t>
        </is>
      </c>
    </row>
    <row r="652">
      <c r="A652" s="2" t="n">
        <v>8838441</v>
      </c>
      <c r="B652" s="2" t="n">
        <v>54</v>
      </c>
      <c r="C652" s="2" t="inlineStr">
        <is>
          <t>F</t>
        </is>
      </c>
      <c r="D652" s="2" t="n">
        <v>100</v>
      </c>
      <c r="E652" s="4">
        <f>HYPERLINK("./Results/DLO\20180701_1.3.46.670589.33.1.63666473683097677100001.5288711686469088481_201_512_512_\Osteo_Sarco_1.png","RPT")</f>
        <v/>
      </c>
      <c r="F652" s="3" t="n">
        <v>116</v>
      </c>
      <c r="G652" s="3" t="n">
        <v>11</v>
      </c>
      <c r="H652" s="7" t="n"/>
      <c r="I652" t="inlineStr">
        <is>
          <t>Ingenuity Core 128</t>
        </is>
      </c>
      <c r="J652" t="inlineStr">
        <is>
          <t>Post 100/236 i3, iDose (3)</t>
        </is>
      </c>
    </row>
    <row r="653">
      <c r="A653" s="2" t="n">
        <v>8839356</v>
      </c>
      <c r="B653" s="2" t="n">
        <v>54</v>
      </c>
      <c r="C653" s="2" t="inlineStr">
        <is>
          <t>F</t>
        </is>
      </c>
      <c r="D653" s="2" t="n">
        <v>100</v>
      </c>
      <c r="E653" s="4">
        <f>HYPERLINK("./Results/DLO\20181201_1.3.46.670589.33.1.63680983067059262000001.4721260919511454592_201_512_512_\Osteo_Sarco_1.png","RPT")</f>
        <v/>
      </c>
      <c r="F653" s="3" t="n">
        <v>116</v>
      </c>
      <c r="G653" s="3" t="n">
        <v>14</v>
      </c>
      <c r="H653" s="7" t="n"/>
      <c r="I653" t="inlineStr">
        <is>
          <t>Ingenuity Core 128</t>
        </is>
      </c>
      <c r="J653" t="inlineStr">
        <is>
          <t>Post 100/236 i3, iDose (3)</t>
        </is>
      </c>
    </row>
    <row r="654">
      <c r="A654" s="2" t="n">
        <v>9006224</v>
      </c>
      <c r="B654" s="2" t="n">
        <v>54</v>
      </c>
      <c r="C654" s="2" t="inlineStr">
        <is>
          <t>F</t>
        </is>
      </c>
      <c r="D654" s="2" t="n">
        <v>100</v>
      </c>
      <c r="E654" s="4">
        <f>HYPERLINK("./Results/DLO\20180801_1.3.12.2.1107.5.1.4.54310.30000018080523331884300010600_2_512_512_\Osteo_Sarco_1.png","RPT")</f>
        <v/>
      </c>
      <c r="F654" s="3" t="n">
        <v>114</v>
      </c>
      <c r="G654" s="3" t="n">
        <v>7</v>
      </c>
      <c r="H654" s="7" t="n"/>
      <c r="I654" t="inlineStr">
        <is>
          <t>Sensation 64</t>
        </is>
      </c>
      <c r="J654" t="inlineStr">
        <is>
          <t>With Contrast 3.0 B30f</t>
        </is>
      </c>
    </row>
    <row r="655">
      <c r="A655" s="2" t="n">
        <v>9521289</v>
      </c>
      <c r="B655" s="2" t="n">
        <v>54</v>
      </c>
      <c r="C655" s="2" t="inlineStr">
        <is>
          <t>F</t>
        </is>
      </c>
      <c r="D655" s="2" t="n">
        <v>100</v>
      </c>
      <c r="E655" s="4">
        <f>HYPERLINK("./Results/DLO\20181201_1.3.12.2.1107.5.1.4.54310.30000018121000053173400010768_2_512_512_\Osteo_Sarco_1.png","RPT")</f>
        <v/>
      </c>
      <c r="F655" s="3" t="n">
        <v>114</v>
      </c>
      <c r="G655" s="3" t="n">
        <v>10</v>
      </c>
      <c r="H655" s="7" t="n"/>
      <c r="I655" t="inlineStr">
        <is>
          <t>Sensation 64</t>
        </is>
      </c>
      <c r="J655" t="inlineStr">
        <is>
          <t>With Contrast 3.0 B30f</t>
        </is>
      </c>
    </row>
    <row r="656">
      <c r="A656" s="2" t="n">
        <v>6130088</v>
      </c>
      <c r="B656" s="2" t="n">
        <v>54</v>
      </c>
      <c r="C656" s="2" t="inlineStr">
        <is>
          <t>F</t>
        </is>
      </c>
      <c r="D656" s="2" t="n">
        <v>100</v>
      </c>
      <c r="E656" s="4">
        <f>HYPERLINK("./Results/DLO\20181001_1.2.840.113619.2.311.280994848955811059520298061659653214882_304_512_512_\Osteo_Sarco_1.png","RPT")</f>
        <v/>
      </c>
      <c r="F656" s="3" t="n">
        <v>111</v>
      </c>
      <c r="G656" s="3" t="n">
        <v>12</v>
      </c>
      <c r="H656" s="6" t="n">
        <v>24.25</v>
      </c>
      <c r="I656" t="inlineStr">
        <is>
          <t>Revolution CT</t>
        </is>
      </c>
      <c r="J656" t="inlineStr">
        <is>
          <t>ABD 2.5mm</t>
        </is>
      </c>
    </row>
    <row r="657">
      <c r="A657" s="2" t="n">
        <v>2424061</v>
      </c>
      <c r="B657" s="2" t="n">
        <v>54</v>
      </c>
      <c r="C657" s="2" t="inlineStr">
        <is>
          <t>F</t>
        </is>
      </c>
      <c r="D657" s="2" t="n">
        <v>100</v>
      </c>
      <c r="E657" s="4">
        <f>HYPERLINK("./Results/DLO\20190501_1.3.46.670589.33.1.63694120181612918100001.5274828817518869519_601_512_512_\Osteo_Sarco_1.png","RPT")</f>
        <v/>
      </c>
      <c r="F657" s="3" t="n">
        <v>110</v>
      </c>
      <c r="G657" s="3" t="n">
        <v>7</v>
      </c>
      <c r="H657" s="7" t="n"/>
      <c r="I657" t="inlineStr">
        <is>
          <t>Ingenuity Core 128</t>
        </is>
      </c>
      <c r="J657" t="inlineStr">
        <is>
          <t>Post 3mm, iDose (3)</t>
        </is>
      </c>
    </row>
    <row r="658">
      <c r="A658" s="2" t="n">
        <v>723671</v>
      </c>
      <c r="B658" s="2" t="n">
        <v>54</v>
      </c>
      <c r="C658" s="2" t="inlineStr">
        <is>
          <t>F</t>
        </is>
      </c>
      <c r="D658" s="2" t="n">
        <v>100</v>
      </c>
      <c r="E658" s="4">
        <f>HYPERLINK("./Results/DLO\20181201_1.2.840.113619.2.416.4887534510279740699704757425488857777_303_512_512_\Osteo_Sarco_1.png","RPT")</f>
        <v/>
      </c>
      <c r="F658" s="3" t="n">
        <v>108</v>
      </c>
      <c r="G658" s="3" t="n">
        <v>7</v>
      </c>
      <c r="H658" s="7" t="n"/>
      <c r="I658" t="inlineStr">
        <is>
          <t>Revolution CT</t>
        </is>
      </c>
      <c r="J658" t="inlineStr">
        <is>
          <t>ABD 2.5mm</t>
        </is>
      </c>
    </row>
    <row r="659">
      <c r="A659" s="2" t="n">
        <v>5974055</v>
      </c>
      <c r="B659" s="2" t="n">
        <v>54</v>
      </c>
      <c r="C659" s="2" t="inlineStr">
        <is>
          <t>F</t>
        </is>
      </c>
      <c r="D659" s="2" t="n">
        <v>100</v>
      </c>
      <c r="E659" s="4">
        <f>HYPERLINK("./Results/DLO\20180101_1.3.12.2.1107.5.1.4.54310.30000018010823145746800018078_2_512_512_\Osteo_Sarco_1.png","RPT")</f>
        <v/>
      </c>
      <c r="F659" s="3" t="n">
        <v>106</v>
      </c>
      <c r="G659" s="3" t="n">
        <v>8</v>
      </c>
      <c r="H659" s="7" t="n"/>
      <c r="I659" t="inlineStr">
        <is>
          <t>Sensation 64</t>
        </is>
      </c>
      <c r="J659" t="inlineStr">
        <is>
          <t>With Contrast 3.0 B30f</t>
        </is>
      </c>
    </row>
    <row r="660">
      <c r="A660" s="2" t="n">
        <v>8804668</v>
      </c>
      <c r="B660" s="2" t="n">
        <v>54</v>
      </c>
      <c r="C660" s="2" t="inlineStr">
        <is>
          <t>F</t>
        </is>
      </c>
      <c r="D660" s="2" t="n">
        <v>100</v>
      </c>
      <c r="E660" s="4">
        <f>HYPERLINK("./Results/DLO\20190601_1.3.46.670589.33.1.63695503265996794100001.5699913524826573999_201_512_512_\Osteo_Sarco_1.png","RPT")</f>
        <v/>
      </c>
      <c r="F660" s="3" t="n">
        <v>106</v>
      </c>
      <c r="G660" s="3" t="n">
        <v>8</v>
      </c>
      <c r="H660" s="6" t="n">
        <v>20.06</v>
      </c>
      <c r="I660" t="inlineStr">
        <is>
          <t>Ingenuity Core 128</t>
        </is>
      </c>
      <c r="J660" t="inlineStr">
        <is>
          <t>Post 3mm, iDose (3)</t>
        </is>
      </c>
    </row>
    <row r="661">
      <c r="A661" s="2" t="n">
        <v>2126945</v>
      </c>
      <c r="B661" s="2" t="n">
        <v>54</v>
      </c>
      <c r="C661" s="2" t="inlineStr">
        <is>
          <t>F</t>
        </is>
      </c>
      <c r="D661" s="2" t="n">
        <v>100</v>
      </c>
      <c r="E661" s="4">
        <f>HYPERLINK("./Results/DLO\20181001_1.3.12.2.1107.5.1.4.65253.30000018101918161339600002233_2_512_512_\Osteo_Sarco_1.png","RPT")</f>
        <v/>
      </c>
      <c r="F661" s="3" t="n">
        <v>105</v>
      </c>
      <c r="G661" s="3" t="n">
        <v>9</v>
      </c>
      <c r="H661" s="7" t="n"/>
      <c r="I661" t="inlineStr">
        <is>
          <t>SOMATOM Definition AS</t>
        </is>
      </c>
      <c r="J661" t="inlineStr">
        <is>
          <t>Pre Contrast 3.0 B30f</t>
        </is>
      </c>
    </row>
    <row r="662">
      <c r="A662" s="2" t="n">
        <v>5572259</v>
      </c>
      <c r="B662" s="2" t="n">
        <v>54</v>
      </c>
      <c r="C662" s="2" t="inlineStr">
        <is>
          <t>F</t>
        </is>
      </c>
      <c r="D662" s="2" t="n">
        <v>100</v>
      </c>
      <c r="E662" s="4">
        <f>HYPERLINK("./Results/DLO\20180101_1.3.12.2.1107.5.1.4.54310.30000018013023115745300044073_2_512_512_\Osteo_Sarco_1.png","RPT")</f>
        <v/>
      </c>
      <c r="F662" s="3" t="n">
        <v>104</v>
      </c>
      <c r="G662" s="3" t="n">
        <v>11</v>
      </c>
      <c r="H662" s="7" t="n"/>
      <c r="I662" t="inlineStr">
        <is>
          <t>Sensation 64</t>
        </is>
      </c>
      <c r="J662" t="inlineStr">
        <is>
          <t>With Contrast 3.0 B30f</t>
        </is>
      </c>
    </row>
    <row r="663">
      <c r="A663" s="2" t="n">
        <v>5022935</v>
      </c>
      <c r="B663" s="2" t="n">
        <v>54</v>
      </c>
      <c r="C663" s="2" t="inlineStr">
        <is>
          <t>F</t>
        </is>
      </c>
      <c r="D663" s="2" t="n">
        <v>100</v>
      </c>
      <c r="E663" s="4">
        <f>HYPERLINK("./Results/DLO\20191201_1.2.840.113619.2.416.311521595830104165190266916593628799023_310_512_512_\Osteo_Sarco_1.png","RPT")</f>
        <v/>
      </c>
      <c r="F663" s="3" t="n">
        <v>100</v>
      </c>
      <c r="G663" s="3" t="n">
        <v>7</v>
      </c>
      <c r="H663" s="7" t="n"/>
      <c r="I663" t="inlineStr">
        <is>
          <t>Revolution CT</t>
        </is>
      </c>
      <c r="J663" t="inlineStr">
        <is>
          <t>ABD</t>
        </is>
      </c>
    </row>
    <row r="664">
      <c r="A664" s="2" t="n">
        <v>2029339</v>
      </c>
      <c r="B664" s="2" t="n">
        <v>55</v>
      </c>
      <c r="C664" s="2" t="inlineStr">
        <is>
          <t>F</t>
        </is>
      </c>
      <c r="D664" s="2" t="n">
        <v>100</v>
      </c>
      <c r="E664" s="4">
        <f>HYPERLINK("./Results/DLO\20180801_1.2.840.113619.2.311.278979947826288775840946704926061992987_304_512_512_\Osteo_Sarco_1.png","RPT")</f>
        <v/>
      </c>
      <c r="F664" s="3" t="n">
        <v>99</v>
      </c>
      <c r="G664" s="3" t="n">
        <v>8</v>
      </c>
      <c r="H664" s="7" t="n"/>
      <c r="I664" t="inlineStr">
        <is>
          <t>Revolution CT</t>
        </is>
      </c>
      <c r="J664" t="inlineStr">
        <is>
          <t>ABD 2.5mm</t>
        </is>
      </c>
    </row>
    <row r="665">
      <c r="A665" s="2" t="n">
        <v>5656754</v>
      </c>
      <c r="B665" s="2" t="n">
        <v>55</v>
      </c>
      <c r="C665" s="2" t="inlineStr">
        <is>
          <t>F</t>
        </is>
      </c>
      <c r="D665" s="2" t="n">
        <v>100</v>
      </c>
      <c r="E665" s="4">
        <f>HYPERLINK("./Results/DLO\20181201_1.3.46.670589.33.1.63680032346092826300001.4669803608228358361_201_512_512_\Osteo_Sarco_1.png","RPT")</f>
        <v/>
      </c>
      <c r="F665" s="3" t="n">
        <v>98</v>
      </c>
      <c r="G665" s="3" t="n">
        <v>8</v>
      </c>
      <c r="H665" s="7" t="n"/>
      <c r="I665" t="inlineStr">
        <is>
          <t>Ingenuity Core 128</t>
        </is>
      </c>
      <c r="J665" t="inlineStr">
        <is>
          <t>Post 100/236 i3, iDose (3)</t>
        </is>
      </c>
    </row>
    <row r="666">
      <c r="A666" s="2" t="n">
        <v>1711119</v>
      </c>
      <c r="B666" s="2" t="n">
        <v>55</v>
      </c>
      <c r="C666" s="2" t="inlineStr">
        <is>
          <t>F</t>
        </is>
      </c>
      <c r="D666" s="2" t="n">
        <v>100</v>
      </c>
      <c r="E666" s="4">
        <f>HYPERLINK("./Results/DLO\20190801_1.3.46.670589.33.1.63700256048239246500001.5122669567908638529_201_512_512_\Osteo_Sarco_1.png","RPT")</f>
        <v/>
      </c>
      <c r="F666" s="3" t="n">
        <v>96</v>
      </c>
      <c r="G666" s="3" t="n">
        <v>12</v>
      </c>
      <c r="H666" s="7" t="n"/>
      <c r="I666" t="inlineStr">
        <is>
          <t>Ingenuity Core 128</t>
        </is>
      </c>
      <c r="J666" t="inlineStr">
        <is>
          <t>Post 3mm, iDose (3)</t>
        </is>
      </c>
    </row>
    <row r="667">
      <c r="A667" s="2" t="n">
        <v>5528589</v>
      </c>
      <c r="B667" s="2" t="n">
        <v>55</v>
      </c>
      <c r="C667" s="2" t="inlineStr">
        <is>
          <t>F</t>
        </is>
      </c>
      <c r="D667" s="2" t="n">
        <v>100</v>
      </c>
      <c r="E667" s="4">
        <f>HYPERLINK("./Results/DLO\20181201_1.2.840.113619.2.416.132888273300966102763919001268387392496_304_512_512_\Osteo_Sarco_1.png","RPT")</f>
        <v/>
      </c>
      <c r="F667" s="3" t="n">
        <v>93</v>
      </c>
      <c r="G667" s="3" t="n">
        <v>6</v>
      </c>
      <c r="H667" s="7" t="n"/>
      <c r="I667" t="inlineStr">
        <is>
          <t>Revolution CT</t>
        </is>
      </c>
      <c r="J667" t="inlineStr">
        <is>
          <t>ABD 2.5mm</t>
        </is>
      </c>
    </row>
    <row r="668">
      <c r="A668" s="2" t="n">
        <v>9793253</v>
      </c>
      <c r="B668" s="2" t="n">
        <v>55</v>
      </c>
      <c r="C668" s="2" t="inlineStr">
        <is>
          <t>F</t>
        </is>
      </c>
      <c r="D668" s="2" t="n">
        <v>100</v>
      </c>
      <c r="E668" s="4">
        <f>HYPERLINK("./Results/DLO\20191101_1.3.46.670589.33.1.63710014364779256700001.5147744739380040103_201_512_512_\Osteo_Sarco_1.png","RPT")</f>
        <v/>
      </c>
      <c r="F668" s="3" t="n">
        <v>92</v>
      </c>
      <c r="G668" s="3" t="n">
        <v>9</v>
      </c>
      <c r="H668" s="7" t="n"/>
      <c r="I668" t="inlineStr">
        <is>
          <t>Ingenuity Core 128</t>
        </is>
      </c>
      <c r="J668" t="inlineStr">
        <is>
          <t>Post 3mm, iDose (3)</t>
        </is>
      </c>
    </row>
    <row r="669">
      <c r="A669" s="2" t="n">
        <v>5554323</v>
      </c>
      <c r="B669" s="2" t="n">
        <v>55</v>
      </c>
      <c r="C669" s="2" t="inlineStr">
        <is>
          <t>F</t>
        </is>
      </c>
      <c r="D669" s="2" t="n">
        <v>100</v>
      </c>
      <c r="E669" s="4">
        <f>HYPERLINK("./Results/DLO\20181201_1.3.12.2.1107.5.1.4.65253.30000018122918373693900044706_2_512_512_\Osteo_Sarco_1.png","RPT")</f>
        <v/>
      </c>
      <c r="F669" s="3" t="n">
        <v>91</v>
      </c>
      <c r="G669" s="3" t="n">
        <v>9</v>
      </c>
      <c r="H669" s="7" t="n"/>
      <c r="I669" t="inlineStr">
        <is>
          <t>SOMATOM Definition AS</t>
        </is>
      </c>
      <c r="J669" t="inlineStr">
        <is>
          <t>With Contrast 3.0 B30f</t>
        </is>
      </c>
    </row>
    <row r="670">
      <c r="A670" s="2" t="n">
        <v>8600970</v>
      </c>
      <c r="B670" s="2" t="n">
        <v>55</v>
      </c>
      <c r="C670" s="2" t="inlineStr">
        <is>
          <t>F</t>
        </is>
      </c>
      <c r="D670" s="2" t="n">
        <v>100</v>
      </c>
      <c r="E670" s="4">
        <f>HYPERLINK("./Results/DLO\20190201_1.3.46.670589.33.1.63685739931445153000001.5177182601132767286_201_512_512_\Osteo_Sarco_1.png","RPT")</f>
        <v/>
      </c>
      <c r="F670" s="3" t="n">
        <v>89</v>
      </c>
      <c r="G670" s="3" t="n">
        <v>13</v>
      </c>
      <c r="H670" s="7" t="n"/>
      <c r="I670" t="inlineStr">
        <is>
          <t>Ingenuity Core 128</t>
        </is>
      </c>
      <c r="J670" t="inlineStr">
        <is>
          <t>Post 3mm, iDose (3)</t>
        </is>
      </c>
    </row>
    <row r="671">
      <c r="A671" s="2" t="n">
        <v>5026705</v>
      </c>
      <c r="B671" s="2" t="n">
        <v>55</v>
      </c>
      <c r="C671" s="2" t="inlineStr">
        <is>
          <t>F</t>
        </is>
      </c>
      <c r="D671" s="2" t="n">
        <v>100</v>
      </c>
      <c r="E671" s="4">
        <f>HYPERLINK("./Results/DLO\20180701_1.3.12.2.1107.5.1.4.54310.30000018071123383703100003740_2_512_512_\Osteo_Sarco_1.png","RPT")</f>
        <v/>
      </c>
      <c r="F671" s="3" t="n">
        <v>85</v>
      </c>
      <c r="G671" s="3" t="n">
        <v>4</v>
      </c>
      <c r="H671" s="7" t="n"/>
      <c r="I671" t="inlineStr">
        <is>
          <t>Sensation 64</t>
        </is>
      </c>
      <c r="J671" t="inlineStr">
        <is>
          <t>With Contrast 3.0 B30f</t>
        </is>
      </c>
    </row>
    <row r="672">
      <c r="A672" s="2" t="n">
        <v>6741645</v>
      </c>
      <c r="B672" s="2" t="n">
        <v>55</v>
      </c>
      <c r="C672" s="2" t="inlineStr">
        <is>
          <t>F</t>
        </is>
      </c>
      <c r="D672" s="2" t="n">
        <v>100</v>
      </c>
      <c r="E672" s="4">
        <f>HYPERLINK("./Results/DLO\20190901_1.3.12.2.1107.5.1.4.54310.30000019090222280856200046087_2_512_512_\Osteo_Sarco_1.png","RPT")</f>
        <v/>
      </c>
      <c r="F672" s="3" t="n">
        <v>81</v>
      </c>
      <c r="G672" s="3" t="n">
        <v>7</v>
      </c>
      <c r="H672" s="7" t="n"/>
      <c r="I672" t="inlineStr">
        <is>
          <t>Sensation 64</t>
        </is>
      </c>
      <c r="J672" t="inlineStr">
        <is>
          <t>With Contrast 3.0 B30f</t>
        </is>
      </c>
    </row>
    <row r="673">
      <c r="A673" s="2" t="n">
        <v>6006880</v>
      </c>
      <c r="B673" s="2" t="n">
        <v>55</v>
      </c>
      <c r="C673" s="2" t="inlineStr">
        <is>
          <t>F</t>
        </is>
      </c>
      <c r="D673" s="2" t="n">
        <v>100</v>
      </c>
      <c r="E673" s="4">
        <f>HYPERLINK("./Results/DLO\20180401_1.2.840.113619.2.94.485650834948.2.8753034.18917699.1_2_512_512_\Osteo_Sarco_1.png","RPT")</f>
        <v/>
      </c>
      <c r="F673" s="3" t="n">
        <v>80</v>
      </c>
      <c r="G673" s="3" t="n">
        <v>8</v>
      </c>
      <c r="H673" s="7" t="n"/>
      <c r="I673" t="inlineStr">
        <is>
          <t>Sensation 64</t>
        </is>
      </c>
      <c r="J673" t="inlineStr">
        <is>
          <t>With Contrast 3.0 B30f</t>
        </is>
      </c>
    </row>
    <row r="674">
      <c r="A674" s="2" t="n">
        <v>1818904</v>
      </c>
      <c r="B674" s="2" t="n">
        <v>55</v>
      </c>
      <c r="C674" s="2" t="inlineStr">
        <is>
          <t>M</t>
        </is>
      </c>
      <c r="D674" s="2" t="n">
        <v>100</v>
      </c>
      <c r="E674" s="4">
        <f>HYPERLINK("./Results/DLO\20180101_1.3.12.2.1107.5.1.4.54310.30000018010323200323400006001_2_512_512_\Osteo_Sarco_1.png","RPT")</f>
        <v/>
      </c>
      <c r="F674" s="3" t="n">
        <v>181</v>
      </c>
      <c r="G674" s="3" t="n">
        <v>16</v>
      </c>
      <c r="H674" s="7" t="n"/>
      <c r="I674" t="inlineStr">
        <is>
          <t>Sensation 64</t>
        </is>
      </c>
      <c r="J674" t="inlineStr">
        <is>
          <t>With Contrast 3.0 B30f</t>
        </is>
      </c>
    </row>
    <row r="675">
      <c r="A675" s="2" t="n">
        <v>4108147</v>
      </c>
      <c r="B675" s="2" t="n">
        <v>55</v>
      </c>
      <c r="C675" s="2" t="inlineStr">
        <is>
          <t>M</t>
        </is>
      </c>
      <c r="D675" s="2" t="n">
        <v>100</v>
      </c>
      <c r="E675" s="4">
        <f>HYPERLINK("./Results/DLO\20191001_1.3.46.670589.33.1.63706987667251951800001.4984285590264864885_201_512_512_\Osteo_Sarco_1.png","RPT")</f>
        <v/>
      </c>
      <c r="F675" s="3" t="n">
        <v>159</v>
      </c>
      <c r="G675" s="3" t="n">
        <v>6</v>
      </c>
      <c r="H675" s="7" t="n"/>
      <c r="I675" t="inlineStr">
        <is>
          <t>Ingenuity Core 128</t>
        </is>
      </c>
      <c r="J675" t="inlineStr">
        <is>
          <t>Post 3mm, iDose (3)</t>
        </is>
      </c>
    </row>
    <row r="676">
      <c r="A676" s="2" t="n">
        <v>8256739</v>
      </c>
      <c r="B676" s="2" t="n">
        <v>55</v>
      </c>
      <c r="C676" s="2" t="inlineStr">
        <is>
          <t>M</t>
        </is>
      </c>
      <c r="D676" s="2" t="n">
        <v>100</v>
      </c>
      <c r="E676" s="4">
        <f>HYPERLINK("./Results/DLO\20190101_1.3.46.670589.33.1.63684285947684746500001.4803219383185109634_701_512_512_\Osteo_Sarco_1.png","RPT")</f>
        <v/>
      </c>
      <c r="F676" s="3" t="n">
        <v>157</v>
      </c>
      <c r="G676" s="3" t="n">
        <v>6</v>
      </c>
      <c r="H676" s="7" t="n"/>
      <c r="I676" t="inlineStr">
        <is>
          <t>Ingenuity Core 128</t>
        </is>
      </c>
      <c r="J676" t="inlineStr">
        <is>
          <t>Delay 3mm, iDose (3)</t>
        </is>
      </c>
    </row>
    <row r="677">
      <c r="A677" s="2" t="n">
        <v>9669385</v>
      </c>
      <c r="B677" s="2" t="n">
        <v>55</v>
      </c>
      <c r="C677" s="2" t="inlineStr">
        <is>
          <t>F</t>
        </is>
      </c>
      <c r="D677" s="2" t="n">
        <v>100</v>
      </c>
      <c r="E677" s="4">
        <f>HYPERLINK("./Results/DLO\20190501_1.2.840.113619.2.416.116883814098503416780403959640158876712_310_512_512_\Osteo_Sarco_1.png","RPT")</f>
        <v/>
      </c>
      <c r="F677" s="3" t="n">
        <v>156</v>
      </c>
      <c r="G677" s="3" t="n">
        <v>13</v>
      </c>
      <c r="H677" s="7" t="n"/>
      <c r="I677" t="inlineStr">
        <is>
          <t>Revolution CT</t>
        </is>
      </c>
      <c r="J677" t="inlineStr">
        <is>
          <t>ABD</t>
        </is>
      </c>
    </row>
    <row r="678">
      <c r="A678" s="2" t="n">
        <v>8907056</v>
      </c>
      <c r="B678" s="2" t="n">
        <v>55</v>
      </c>
      <c r="C678" s="2" t="inlineStr">
        <is>
          <t>F</t>
        </is>
      </c>
      <c r="D678" s="2" t="n">
        <v>100</v>
      </c>
      <c r="E678" s="4">
        <f>HYPERLINK("./Results/DLO\20180201_1.3.46.670589.33.1.63653512799589993700001.5473354873300867354_201_512_512_\Osteo_Sarco_1.png","RPT")</f>
        <v/>
      </c>
      <c r="F678" s="3" t="n">
        <v>154</v>
      </c>
      <c r="G678" s="3" t="n">
        <v>12</v>
      </c>
      <c r="H678" s="7" t="n"/>
      <c r="I678" t="inlineStr">
        <is>
          <t>Ingenuity Core 128</t>
        </is>
      </c>
      <c r="J678" t="inlineStr">
        <is>
          <t>Post 100/236 i3, iDose (3)</t>
        </is>
      </c>
    </row>
    <row r="679">
      <c r="A679" s="2" t="n">
        <v>5792651</v>
      </c>
      <c r="B679" s="2" t="n">
        <v>55</v>
      </c>
      <c r="C679" s="2" t="inlineStr">
        <is>
          <t>M</t>
        </is>
      </c>
      <c r="D679" s="2" t="n">
        <v>100</v>
      </c>
      <c r="E679" s="4">
        <f>HYPERLINK("./Results/DLO\20180601_1.3.46.670589.33.1.63665776419776169400001.4668358974717394725_201_512_512_\Osteo_Sarco_1.png","RPT")</f>
        <v/>
      </c>
      <c r="F679" s="3" t="n">
        <v>153</v>
      </c>
      <c r="G679" s="3" t="n">
        <v>4</v>
      </c>
      <c r="H679" s="7" t="n"/>
      <c r="I679" t="inlineStr">
        <is>
          <t>Ingenuity Core 128</t>
        </is>
      </c>
      <c r="J679" t="inlineStr">
        <is>
          <t>Post 100/236 i3, iDose (3)</t>
        </is>
      </c>
    </row>
    <row r="680">
      <c r="A680" s="2" t="n">
        <v>9678263</v>
      </c>
      <c r="B680" s="2" t="n">
        <v>55</v>
      </c>
      <c r="C680" s="2" t="inlineStr">
        <is>
          <t>M</t>
        </is>
      </c>
      <c r="D680" s="2" t="n">
        <v>100</v>
      </c>
      <c r="E680" s="4">
        <f>HYPERLINK("./Results/DLO\20190501_1.3.12.2.1107.5.1.4.65253.30000019051319530377800095372_14_512_512_\Osteo_Sarco_1.png","RPT")</f>
        <v/>
      </c>
      <c r="F680" s="3" t="n">
        <v>153</v>
      </c>
      <c r="G680" s="3" t="n">
        <v>5</v>
      </c>
      <c r="H680" s="6" t="n">
        <v>23.24</v>
      </c>
      <c r="I680" t="inlineStr">
        <is>
          <t>SOMATOM Definition AS</t>
        </is>
      </c>
      <c r="J680" t="inlineStr">
        <is>
          <t>Delay Phase 3.0 B30f</t>
        </is>
      </c>
    </row>
    <row r="681">
      <c r="A681" s="2" t="n">
        <v>9988990</v>
      </c>
      <c r="B681" s="2" t="n">
        <v>55</v>
      </c>
      <c r="C681" s="2" t="inlineStr">
        <is>
          <t>M</t>
        </is>
      </c>
      <c r="D681" s="2" t="n">
        <v>100</v>
      </c>
      <c r="E681" s="4">
        <f>HYPERLINK("./Results/DLO\20200601_1.3.46.670589.33.1.63728592492401107800001.4650917021105646796_201_512_512_\Osteo_Sarco_1.png","RPT")</f>
        <v/>
      </c>
      <c r="F681" s="3" t="n">
        <v>151</v>
      </c>
      <c r="G681" s="3" t="n">
        <v>6</v>
      </c>
      <c r="H681" s="7" t="n"/>
      <c r="I681" t="inlineStr">
        <is>
          <t>Ingenuity Core 128</t>
        </is>
      </c>
      <c r="J681" t="inlineStr">
        <is>
          <t>Post 3mm, iDose (3)</t>
        </is>
      </c>
    </row>
    <row r="682">
      <c r="A682" s="2" t="n">
        <v>5639536</v>
      </c>
      <c r="B682" s="2" t="n">
        <v>55</v>
      </c>
      <c r="C682" s="2" t="inlineStr">
        <is>
          <t>M</t>
        </is>
      </c>
      <c r="D682" s="2" t="n">
        <v>100</v>
      </c>
      <c r="E682" s="4">
        <f>HYPERLINK("./Results/DLO\20180401_1.2.840.113619.2.416.252422636975321879098811493749889896111_301_512_512_\Osteo_Sarco_1.png","RPT")</f>
        <v/>
      </c>
      <c r="F682" s="3" t="n">
        <v>145</v>
      </c>
      <c r="G682" s="3" t="n">
        <v>4</v>
      </c>
      <c r="H682" s="7" t="n"/>
      <c r="I682" t="inlineStr">
        <is>
          <t>Revolution CT</t>
        </is>
      </c>
      <c r="J682" t="inlineStr">
        <is>
          <t>ARTERY</t>
        </is>
      </c>
    </row>
    <row r="683">
      <c r="A683" s="2" t="n">
        <v>9843428</v>
      </c>
      <c r="B683" s="2" t="n">
        <v>55</v>
      </c>
      <c r="C683" s="2" t="inlineStr">
        <is>
          <t>M</t>
        </is>
      </c>
      <c r="D683" s="2" t="n">
        <v>100</v>
      </c>
      <c r="E683" s="4">
        <f>HYPERLINK("./Results/DLO\20191201_1.3.46.670589.33.1.63711910836352357500001.4683200484931882393_201_512_512_\Osteo_Sarco_1.png","RPT")</f>
        <v/>
      </c>
      <c r="F683" s="3" t="n">
        <v>142</v>
      </c>
      <c r="G683" s="3" t="n">
        <v>6</v>
      </c>
      <c r="H683" s="7" t="n"/>
      <c r="I683" t="inlineStr">
        <is>
          <t>Ingenuity Core 128</t>
        </is>
      </c>
      <c r="J683" t="inlineStr">
        <is>
          <t>Post 3mm, iDose (3)</t>
        </is>
      </c>
    </row>
    <row r="684">
      <c r="A684" s="2" t="n">
        <v>9632636</v>
      </c>
      <c r="B684" s="2" t="n">
        <v>55</v>
      </c>
      <c r="C684" s="2" t="inlineStr">
        <is>
          <t>M</t>
        </is>
      </c>
      <c r="D684" s="2" t="n">
        <v>100</v>
      </c>
      <c r="E684" s="4">
        <f>HYPERLINK("./Results/DLO\20200501_1.3.12.2.1107.5.1.4.65253.30000020050920122728800012411_2_512_512_\Osteo_Sarco_1.png","RPT")</f>
        <v/>
      </c>
      <c r="F684" s="3" t="n">
        <v>136</v>
      </c>
      <c r="G684" s="3" t="n">
        <v>8</v>
      </c>
      <c r="H684" s="6" t="n">
        <v>25.1</v>
      </c>
      <c r="I684" t="inlineStr">
        <is>
          <t>SOMATOM Definition AS</t>
        </is>
      </c>
      <c r="J684" t="inlineStr">
        <is>
          <t>W/O ABD 2.0 B30f</t>
        </is>
      </c>
    </row>
    <row r="685">
      <c r="A685" s="2" t="n">
        <v>5606783</v>
      </c>
      <c r="B685" s="2" t="n">
        <v>55</v>
      </c>
      <c r="C685" s="2" t="inlineStr">
        <is>
          <t>M</t>
        </is>
      </c>
      <c r="D685" s="2" t="n">
        <v>100</v>
      </c>
      <c r="E685" s="4">
        <f>HYPERLINK("./Results/DLO\20180501_1.3.12.2.1107.5.1.4.65253.30000018051617441060800046283_5_512_512_\Osteo_Sarco_1.png","RPT")</f>
        <v/>
      </c>
      <c r="F685" s="3" t="n">
        <v>135</v>
      </c>
      <c r="G685" s="3" t="n">
        <v>10</v>
      </c>
      <c r="H685" s="6" t="n">
        <v>26.99</v>
      </c>
      <c r="I685" t="inlineStr">
        <is>
          <t>SOMATOM Definition AS</t>
        </is>
      </c>
      <c r="J685" t="inlineStr">
        <is>
          <t>Arterial Phase 3.0 B30f</t>
        </is>
      </c>
    </row>
    <row r="686">
      <c r="A686" s="2" t="n">
        <v>8649754</v>
      </c>
      <c r="B686" s="2" t="n">
        <v>55</v>
      </c>
      <c r="C686" s="2" t="inlineStr">
        <is>
          <t>F</t>
        </is>
      </c>
      <c r="D686" s="2" t="n">
        <v>100</v>
      </c>
      <c r="E686" s="4">
        <f>HYPERLINK("./Results/DLO\20180501_1.2.840.113619.2.311.208055440641785584711686102570876068169_304_512_512_\Osteo_Sarco_1.png","RPT")</f>
        <v/>
      </c>
      <c r="F686" s="3" t="n">
        <v>130</v>
      </c>
      <c r="G686" s="3" t="n">
        <v>17</v>
      </c>
      <c r="H686" s="7" t="n"/>
      <c r="I686" t="inlineStr">
        <is>
          <t>Revolution CT</t>
        </is>
      </c>
      <c r="J686" t="inlineStr">
        <is>
          <t>ABD 2.5mm</t>
        </is>
      </c>
    </row>
    <row r="687">
      <c r="A687" s="2" t="n">
        <v>9002440</v>
      </c>
      <c r="B687" s="2" t="n">
        <v>55</v>
      </c>
      <c r="C687" s="2" t="inlineStr">
        <is>
          <t>F</t>
        </is>
      </c>
      <c r="D687" s="2" t="n">
        <v>100</v>
      </c>
      <c r="E687" s="4">
        <f>HYPERLINK("./Results/DLO\20180701_1.2.840.113619.2.311.149525423213644679275422438566367921682_304_512_512_\Osteo_Sarco_1.png","RPT")</f>
        <v/>
      </c>
      <c r="F687" s="3" t="n">
        <v>127</v>
      </c>
      <c r="G687" s="3" t="n">
        <v>7</v>
      </c>
      <c r="H687" s="7" t="n"/>
      <c r="I687" t="inlineStr">
        <is>
          <t>Revolution CT</t>
        </is>
      </c>
      <c r="J687" t="inlineStr">
        <is>
          <t>ABD 2.5mm</t>
        </is>
      </c>
    </row>
    <row r="688">
      <c r="A688" s="2" t="n">
        <v>6738001</v>
      </c>
      <c r="B688" s="2" t="n">
        <v>55</v>
      </c>
      <c r="C688" s="2" t="inlineStr">
        <is>
          <t>F</t>
        </is>
      </c>
      <c r="D688" s="2" t="n">
        <v>100</v>
      </c>
      <c r="E688" s="4">
        <f>HYPERLINK("./Results/DLO\20191201_1.2.840.113619.2.416.128392015363168305643908448240226739575_310_512_512_\Osteo_Sarco_1.png","RPT")</f>
        <v/>
      </c>
      <c r="F688" s="3" t="n">
        <v>126</v>
      </c>
      <c r="G688" s="3" t="n">
        <v>11</v>
      </c>
      <c r="H688" s="7" t="n"/>
      <c r="I688" t="inlineStr">
        <is>
          <t>Revolution CT</t>
        </is>
      </c>
      <c r="J688" t="inlineStr">
        <is>
          <t>ABD</t>
        </is>
      </c>
    </row>
    <row r="689">
      <c r="A689" s="2" t="n">
        <v>5094410</v>
      </c>
      <c r="B689" s="2" t="n">
        <v>55</v>
      </c>
      <c r="C689" s="2" t="inlineStr">
        <is>
          <t>M</t>
        </is>
      </c>
      <c r="D689" s="2" t="n">
        <v>100</v>
      </c>
      <c r="E689" s="4">
        <f>HYPERLINK("./Results/DLO\20180901_1.3.12.2.1107.5.1.4.54310.30000018091023182362500029731_3_512_512_\Osteo_Sarco_1.png","RPT")</f>
        <v/>
      </c>
      <c r="F689" s="3" t="n">
        <v>123</v>
      </c>
      <c r="G689" s="3" t="n">
        <v>14</v>
      </c>
      <c r="H689" s="7" t="n"/>
      <c r="I689" t="inlineStr">
        <is>
          <t>Sensation 64</t>
        </is>
      </c>
      <c r="J689" t="inlineStr">
        <is>
          <t>Pre Contrast 3.0 B30f</t>
        </is>
      </c>
    </row>
    <row r="690">
      <c r="A690" s="2" t="n">
        <v>8926172</v>
      </c>
      <c r="B690" s="2" t="n">
        <v>55</v>
      </c>
      <c r="C690" s="2" t="inlineStr">
        <is>
          <t>F</t>
        </is>
      </c>
      <c r="D690" s="2" t="n">
        <v>100</v>
      </c>
      <c r="E690" s="4">
        <f>HYPERLINK("./Results/DLO\20190901_1.3.46.670589.33.1.63704572118833091000001.5498517215774728925_201_512_512_\Osteo_Sarco_1.png","RPT")</f>
        <v/>
      </c>
      <c r="F690" s="3" t="n">
        <v>123</v>
      </c>
      <c r="G690" s="3" t="n">
        <v>6</v>
      </c>
      <c r="H690" s="7" t="n"/>
      <c r="I690" t="inlineStr">
        <is>
          <t>Ingenuity Core 128</t>
        </is>
      </c>
      <c r="J690" t="inlineStr">
        <is>
          <t>Post 3mm, iDose (3)</t>
        </is>
      </c>
    </row>
    <row r="691">
      <c r="A691" s="2" t="n">
        <v>8933611</v>
      </c>
      <c r="B691" s="2" t="n">
        <v>55</v>
      </c>
      <c r="C691" s="2" t="inlineStr">
        <is>
          <t>F</t>
        </is>
      </c>
      <c r="D691" s="2" t="n">
        <v>100</v>
      </c>
      <c r="E691" s="4">
        <f>HYPERLINK("./Results/DLO\20180401_1.2.840.113619.2.311.126483193208732497322063656420833616529_303_512_512_\Osteo_Sarco_1.png","RPT")</f>
        <v/>
      </c>
      <c r="F691" s="3" t="n">
        <v>116</v>
      </c>
      <c r="G691" s="3" t="n">
        <v>9</v>
      </c>
      <c r="H691" s="7" t="n"/>
      <c r="I691" t="inlineStr">
        <is>
          <t>Revolution CT</t>
        </is>
      </c>
      <c r="J691" t="inlineStr">
        <is>
          <t>ABD 2.5mm</t>
        </is>
      </c>
    </row>
    <row r="692">
      <c r="A692" s="2" t="n">
        <v>6740107</v>
      </c>
      <c r="B692" s="2" t="n">
        <v>55</v>
      </c>
      <c r="C692" s="2" t="inlineStr">
        <is>
          <t>F</t>
        </is>
      </c>
      <c r="D692" s="2" t="n">
        <v>100</v>
      </c>
      <c r="E692" s="4">
        <f>HYPERLINK("./Results/DLO\20190401_1.2.840.113619.2.94.485650834948.2.9540022.20880191.1_2_512_512_\Osteo_Sarco_1.png","RPT")</f>
        <v/>
      </c>
      <c r="F692" s="3" t="n">
        <v>114</v>
      </c>
      <c r="G692" s="3" t="n">
        <v>8</v>
      </c>
      <c r="H692" s="7" t="n"/>
      <c r="I692" t="inlineStr">
        <is>
          <t>Sensation 64</t>
        </is>
      </c>
      <c r="J692" t="inlineStr">
        <is>
          <t>With Contrast 3.0 B30f</t>
        </is>
      </c>
    </row>
    <row r="693">
      <c r="A693" s="2" t="n">
        <v>5985077</v>
      </c>
      <c r="B693" s="2" t="n">
        <v>55</v>
      </c>
      <c r="C693" s="2" t="inlineStr">
        <is>
          <t>F</t>
        </is>
      </c>
      <c r="D693" s="2" t="n">
        <v>100</v>
      </c>
      <c r="E693" s="4">
        <f>HYPERLINK("./Results/DLO\20180901_1.2.840.113619.2.94.485650834948.2.9099468.19770235.1_2_512_512_\Osteo_Sarco_1.png","RPT")</f>
        <v/>
      </c>
      <c r="F693" s="3" t="n">
        <v>113</v>
      </c>
      <c r="G693" s="3" t="n">
        <v>9</v>
      </c>
      <c r="H693" s="7" t="n"/>
      <c r="I693" t="inlineStr">
        <is>
          <t>Sensation 64</t>
        </is>
      </c>
      <c r="J693" t="inlineStr">
        <is>
          <t>With Contrast 3.0 B30f</t>
        </is>
      </c>
    </row>
    <row r="694">
      <c r="A694" s="2" t="n">
        <v>6048199</v>
      </c>
      <c r="B694" s="2" t="n">
        <v>55</v>
      </c>
      <c r="C694" s="2" t="inlineStr">
        <is>
          <t>F</t>
        </is>
      </c>
      <c r="D694" s="2" t="n">
        <v>100</v>
      </c>
      <c r="E694" s="4">
        <f>HYPERLINK("./Results/DLO\20200101_1.3.12.2.1107.5.1.4.54310.30000020010121465246800040677_7_512_512_\Osteo_Sarco_1.png","RPT")</f>
        <v/>
      </c>
      <c r="F694" s="3" t="n">
        <v>112</v>
      </c>
      <c r="G694" s="3" t="n">
        <v>9</v>
      </c>
      <c r="H694" s="7" t="n"/>
      <c r="I694" t="inlineStr">
        <is>
          <t>Sensation 64</t>
        </is>
      </c>
      <c r="J694" t="inlineStr">
        <is>
          <t>Arterial 3mm B30f</t>
        </is>
      </c>
    </row>
    <row r="695">
      <c r="A695" s="2" t="n">
        <v>1003064</v>
      </c>
      <c r="B695" s="2" t="n">
        <v>55</v>
      </c>
      <c r="C695" s="2" t="inlineStr">
        <is>
          <t>F</t>
        </is>
      </c>
      <c r="D695" s="2" t="n">
        <v>100</v>
      </c>
      <c r="E695" s="4">
        <f>HYPERLINK("./Results/DLO\20190301_1.2.840.113619.2.416.222046030437918032467119324062661404155_304_512_512_\Osteo_Sarco_1.png","RPT")</f>
        <v/>
      </c>
      <c r="F695" s="3" t="n">
        <v>111</v>
      </c>
      <c r="G695" s="3" t="n">
        <v>7</v>
      </c>
      <c r="H695" s="7" t="n"/>
      <c r="I695" t="inlineStr">
        <is>
          <t>Revolution CT</t>
        </is>
      </c>
      <c r="J695" t="inlineStr">
        <is>
          <t>ABD 2.5mm</t>
        </is>
      </c>
    </row>
    <row r="696">
      <c r="A696" s="2" t="n">
        <v>3089582</v>
      </c>
      <c r="B696" s="2" t="n">
        <v>55</v>
      </c>
      <c r="C696" s="2" t="inlineStr">
        <is>
          <t>F</t>
        </is>
      </c>
      <c r="D696" s="2" t="n">
        <v>100</v>
      </c>
      <c r="E696" s="4">
        <f>HYPERLINK("./Results/DLO\20181101_1.2.840.113619.2.416.75563837257038355786865241492885484353_304_512_512_\Osteo_Sarco_1.png","RPT")</f>
        <v/>
      </c>
      <c r="F696" s="3" t="n">
        <v>110</v>
      </c>
      <c r="G696" s="3" t="n">
        <v>9</v>
      </c>
      <c r="H696" s="7" t="n"/>
      <c r="I696" t="inlineStr">
        <is>
          <t>Revolution CT</t>
        </is>
      </c>
      <c r="J696" t="inlineStr">
        <is>
          <t>ABD 2.5mm</t>
        </is>
      </c>
    </row>
    <row r="697">
      <c r="A697" s="2" t="n">
        <v>3279703</v>
      </c>
      <c r="B697" s="2" t="n">
        <v>55</v>
      </c>
      <c r="C697" s="2" t="inlineStr">
        <is>
          <t>F</t>
        </is>
      </c>
      <c r="D697" s="2" t="n">
        <v>100</v>
      </c>
      <c r="E697" s="4">
        <f>HYPERLINK("./Results/DLO\20190701_1.3.12.2.1107.5.1.4.54310.30000019072121195101500067557_2_512_512_\Osteo_Sarco_1.png","RPT")</f>
        <v/>
      </c>
      <c r="F697" s="3" t="n">
        <v>110</v>
      </c>
      <c r="G697" s="3" t="n">
        <v>5</v>
      </c>
      <c r="H697" s="7" t="n"/>
      <c r="I697" t="inlineStr">
        <is>
          <t>Sensation 64</t>
        </is>
      </c>
      <c r="J697" t="inlineStr">
        <is>
          <t>With Contrast 3.0 B30f</t>
        </is>
      </c>
    </row>
    <row r="698">
      <c r="A698" s="2" t="n">
        <v>5824650</v>
      </c>
      <c r="B698" s="2" t="n">
        <v>55</v>
      </c>
      <c r="C698" s="2" t="inlineStr">
        <is>
          <t>F</t>
        </is>
      </c>
      <c r="D698" s="2" t="n">
        <v>100</v>
      </c>
      <c r="E698" s="4">
        <f>HYPERLINK("./Results/DLO\20190801_1.3.12.2.1107.5.1.4.65253.30000019081419583491200000404_2_512_512_\Osteo_Sarco_1.png","RPT")</f>
        <v/>
      </c>
      <c r="F698" s="3" t="n">
        <v>105</v>
      </c>
      <c r="G698" s="3" t="n">
        <v>8</v>
      </c>
      <c r="H698" s="6" t="n">
        <v>25.89</v>
      </c>
      <c r="I698" t="inlineStr">
        <is>
          <t>SOMATOM Definition AS</t>
        </is>
      </c>
      <c r="J698" t="inlineStr">
        <is>
          <t>Pre Contrast 3.0 B30f</t>
        </is>
      </c>
    </row>
    <row r="699">
      <c r="A699" s="2" t="n">
        <v>6084839</v>
      </c>
      <c r="B699" s="2" t="n">
        <v>55</v>
      </c>
      <c r="C699" s="2" t="inlineStr">
        <is>
          <t>F</t>
        </is>
      </c>
      <c r="D699" s="2" t="n">
        <v>100</v>
      </c>
      <c r="E699" s="4">
        <f>HYPERLINK("./Results/DLO\20180801_1.2.840.113619.2.416.223029194982506395454964758214670929995_302_512_512_\Osteo_Sarco_1.png","RPT")</f>
        <v/>
      </c>
      <c r="F699" s="3" t="n">
        <v>103</v>
      </c>
      <c r="G699" s="3" t="n">
        <v>11</v>
      </c>
      <c r="H699" s="7" t="n"/>
      <c r="I699" t="inlineStr">
        <is>
          <t>Revolution CT</t>
        </is>
      </c>
      <c r="J699" t="inlineStr">
        <is>
          <t>PORTAL</t>
        </is>
      </c>
    </row>
    <row r="700">
      <c r="A700" s="2" t="n">
        <v>6739715</v>
      </c>
      <c r="B700" s="2" t="n">
        <v>55</v>
      </c>
      <c r="C700" s="2" t="inlineStr">
        <is>
          <t>F</t>
        </is>
      </c>
      <c r="D700" s="2" t="n">
        <v>100</v>
      </c>
      <c r="E700" s="4">
        <f>HYPERLINK("./Results/DLO\20180501_1.3.12.2.1107.5.1.4.65253.30000018051117012582000031100_2_512_512_\Osteo_Sarco_1.png","RPT")</f>
        <v/>
      </c>
      <c r="F700" s="3" t="n">
        <v>102</v>
      </c>
      <c r="G700" s="3" t="n">
        <v>9</v>
      </c>
      <c r="H700" s="6" t="n">
        <v>17.97</v>
      </c>
      <c r="I700" t="inlineStr">
        <is>
          <t>SOMATOM Definition AS</t>
        </is>
      </c>
      <c r="J700" t="inlineStr">
        <is>
          <t>Non Contrast 3.0 B30f</t>
        </is>
      </c>
    </row>
    <row r="701">
      <c r="A701" s="2" t="n">
        <v>8524383</v>
      </c>
      <c r="B701" s="2" t="n">
        <v>55</v>
      </c>
      <c r="C701" s="2" t="inlineStr">
        <is>
          <t>F</t>
        </is>
      </c>
      <c r="D701" s="2" t="n">
        <v>100</v>
      </c>
      <c r="E701" s="4">
        <f>HYPERLINK("./Results/DLO\20181001_1.2.840.113619.2.311.129950274840239085406211954972982826165_304_512_512_\Osteo_Sarco_1.png","RPT")</f>
        <v/>
      </c>
      <c r="F701" s="3" t="n">
        <v>102</v>
      </c>
      <c r="G701" s="3" t="n">
        <v>6</v>
      </c>
      <c r="H701" s="7" t="n"/>
      <c r="I701" t="inlineStr">
        <is>
          <t>Revolution CT</t>
        </is>
      </c>
      <c r="J701" t="inlineStr">
        <is>
          <t>ABD 2.5mm</t>
        </is>
      </c>
    </row>
    <row r="702">
      <c r="A702" s="2" t="n">
        <v>1836890</v>
      </c>
      <c r="B702" s="2" t="n">
        <v>55</v>
      </c>
      <c r="C702" s="2" t="inlineStr">
        <is>
          <t>F</t>
        </is>
      </c>
      <c r="D702" s="2" t="n">
        <v>100</v>
      </c>
      <c r="E702" s="4">
        <f>HYPERLINK("./Results/DLO\20190901_1.3.12.2.1107.5.1.4.54310.30000019090821263114000064666_3_512_512_\Osteo_Sarco_1.png","RPT")</f>
        <v/>
      </c>
      <c r="F702" s="3" t="n">
        <v>101</v>
      </c>
      <c r="G702" s="3" t="n">
        <v>12</v>
      </c>
      <c r="H702" s="7" t="n"/>
      <c r="I702" t="inlineStr">
        <is>
          <t>Sensation 64</t>
        </is>
      </c>
      <c r="J702" t="inlineStr">
        <is>
          <t>With Contrast 3.0 B30f</t>
        </is>
      </c>
    </row>
    <row r="703">
      <c r="A703" s="2" t="n">
        <v>6123539</v>
      </c>
      <c r="B703" s="2" t="n">
        <v>55</v>
      </c>
      <c r="C703" s="2" t="inlineStr">
        <is>
          <t>F</t>
        </is>
      </c>
      <c r="D703" s="2" t="n">
        <v>100</v>
      </c>
      <c r="E703" s="4">
        <f>HYPERLINK("./Results/DLO\20200401_1.2.840.113619.2.416.76519729009718077699539870259415474272_310_512_512_\Osteo_Sarco_1.png","RPT")</f>
        <v/>
      </c>
      <c r="F703" s="3" t="n">
        <v>101</v>
      </c>
      <c r="G703" s="3" t="n">
        <v>8</v>
      </c>
      <c r="H703" s="7" t="n"/>
      <c r="I703" t="inlineStr">
        <is>
          <t>Revolution CT</t>
        </is>
      </c>
      <c r="J703" t="inlineStr">
        <is>
          <t>ABD</t>
        </is>
      </c>
    </row>
    <row r="704">
      <c r="A704" s="2" t="n">
        <v>9947604</v>
      </c>
      <c r="B704" s="2" t="n">
        <v>55</v>
      </c>
      <c r="C704" s="2" t="inlineStr">
        <is>
          <t>F</t>
        </is>
      </c>
      <c r="D704" s="2" t="n">
        <v>100</v>
      </c>
      <c r="E704" s="4">
        <f>HYPERLINK("./Results/DLO\20200401_1.2.840.113619.2.416.34928253740845621910123118420587796959_310_512_512_\Osteo_Sarco_1.png","RPT")</f>
        <v/>
      </c>
      <c r="F704" s="3" t="n">
        <v>100</v>
      </c>
      <c r="G704" s="3" t="n">
        <v>7</v>
      </c>
      <c r="H704" s="7" t="n"/>
      <c r="I704" t="inlineStr">
        <is>
          <t>Revolution CT</t>
        </is>
      </c>
      <c r="J704" t="inlineStr">
        <is>
          <t>ABD</t>
        </is>
      </c>
    </row>
    <row r="705">
      <c r="A705" s="2" t="n">
        <v>8765915</v>
      </c>
      <c r="B705" s="2" t="n">
        <v>56</v>
      </c>
      <c r="C705" s="2" t="inlineStr">
        <is>
          <t>F</t>
        </is>
      </c>
      <c r="D705" s="2" t="n">
        <v>100</v>
      </c>
      <c r="E705" s="4">
        <f>HYPERLINK("./Results/DLO\20181201_1.2.840.113619.2.311.8164940829146072563401014609875466457_304_512_512_\Osteo_Sarco_1.png","RPT")</f>
        <v/>
      </c>
      <c r="F705" s="3" t="n">
        <v>99</v>
      </c>
      <c r="G705" s="3" t="n">
        <v>7</v>
      </c>
      <c r="H705" s="7" t="n"/>
      <c r="I705" t="inlineStr">
        <is>
          <t>Revolution CT</t>
        </is>
      </c>
      <c r="J705" t="inlineStr">
        <is>
          <t>ABD 2.5mm</t>
        </is>
      </c>
    </row>
    <row r="706">
      <c r="A706" s="2" t="n">
        <v>9746592</v>
      </c>
      <c r="B706" s="2" t="n">
        <v>56</v>
      </c>
      <c r="C706" s="2" t="inlineStr">
        <is>
          <t>F</t>
        </is>
      </c>
      <c r="D706" s="2" t="n">
        <v>100</v>
      </c>
      <c r="E706" s="4">
        <f>HYPERLINK("./Results/DLO\20190801_1.2.840.113619.2.416.102100766577587175984091874384364118896_310_512_512_\Osteo_Sarco_1.png","RPT")</f>
        <v/>
      </c>
      <c r="F706" s="3" t="n">
        <v>97</v>
      </c>
      <c r="G706" s="3" t="n">
        <v>11</v>
      </c>
      <c r="H706" s="6" t="n">
        <v>25.05</v>
      </c>
      <c r="I706" t="inlineStr">
        <is>
          <t>Revolution CT</t>
        </is>
      </c>
      <c r="J706" t="inlineStr">
        <is>
          <t>ABD</t>
        </is>
      </c>
    </row>
    <row r="707">
      <c r="A707" s="2" t="n">
        <v>8696182</v>
      </c>
      <c r="B707" s="2" t="n">
        <v>56</v>
      </c>
      <c r="C707" s="2" t="inlineStr">
        <is>
          <t>F</t>
        </is>
      </c>
      <c r="D707" s="2" t="n">
        <v>100</v>
      </c>
      <c r="E707" s="4">
        <f>HYPERLINK("./Results/DLO\20180101_1.2.840.113619.2.94.485650834948.2.8578383.18490770.1_2_512_512_\Osteo_Sarco_1.png","RPT")</f>
        <v/>
      </c>
      <c r="F707" s="3" t="n">
        <v>96</v>
      </c>
      <c r="G707" s="3" t="n">
        <v>9</v>
      </c>
      <c r="H707" s="7" t="n"/>
      <c r="I707" t="inlineStr">
        <is>
          <t>Sensation 64</t>
        </is>
      </c>
      <c r="J707" t="inlineStr">
        <is>
          <t>With Contrast 3.0 B30f</t>
        </is>
      </c>
    </row>
    <row r="708">
      <c r="A708" s="2" t="n">
        <v>8309944</v>
      </c>
      <c r="B708" s="2" t="n">
        <v>56</v>
      </c>
      <c r="C708" s="2" t="inlineStr">
        <is>
          <t>F</t>
        </is>
      </c>
      <c r="D708" s="2" t="n">
        <v>100</v>
      </c>
      <c r="E708" s="4">
        <f>HYPERLINK("./Results/DLO\20181001_1.3.46.670589.33.1.63676493102997608800001.5369277022383683351_201_512_512_\Osteo_Sarco_1.png","RPT")</f>
        <v/>
      </c>
      <c r="F708" s="3" t="n">
        <v>96</v>
      </c>
      <c r="G708" s="3" t="n">
        <v>7</v>
      </c>
      <c r="H708" s="7" t="n"/>
      <c r="I708" t="inlineStr">
        <is>
          <t>Ingenuity Core 128</t>
        </is>
      </c>
      <c r="J708" t="inlineStr">
        <is>
          <t>Post 100/236 i3, iDose (3)</t>
        </is>
      </c>
    </row>
    <row r="709">
      <c r="A709" s="2" t="n">
        <v>5589398</v>
      </c>
      <c r="B709" s="2" t="n">
        <v>56</v>
      </c>
      <c r="C709" s="2" t="inlineStr">
        <is>
          <t>F</t>
        </is>
      </c>
      <c r="D709" s="2" t="n">
        <v>100</v>
      </c>
      <c r="E709" s="4">
        <f>HYPERLINK("./Results/DLO\20180701_1.2.840.113619.2.311.164499591707594864847619874690899855524_303_512_512_\Osteo_Sarco_1.png","RPT")</f>
        <v/>
      </c>
      <c r="F709" s="3" t="n">
        <v>95</v>
      </c>
      <c r="G709" s="3" t="n">
        <v>8</v>
      </c>
      <c r="H709" s="7" t="n"/>
      <c r="I709" t="inlineStr">
        <is>
          <t>Revolution CT</t>
        </is>
      </c>
      <c r="J709" t="inlineStr">
        <is>
          <t>ABD 2.5mm</t>
        </is>
      </c>
    </row>
    <row r="710">
      <c r="A710" s="2" t="n">
        <v>8918936</v>
      </c>
      <c r="B710" s="2" t="n">
        <v>56</v>
      </c>
      <c r="C710" s="2" t="inlineStr">
        <is>
          <t>F</t>
        </is>
      </c>
      <c r="D710" s="2" t="n">
        <v>100</v>
      </c>
      <c r="E710" s="4">
        <f>HYPERLINK("./Results/DLO\20180801_1.2.840.113619.2.311.156855464120582943255229450266138581129_304_512_512_\Osteo_Sarco_1.png","RPT")</f>
        <v/>
      </c>
      <c r="F710" s="3" t="n">
        <v>95</v>
      </c>
      <c r="G710" s="3" t="n">
        <v>6</v>
      </c>
      <c r="H710" s="7" t="n"/>
      <c r="I710" t="inlineStr">
        <is>
          <t>Revolution CT</t>
        </is>
      </c>
      <c r="J710" t="inlineStr">
        <is>
          <t>ABD 2.5mm</t>
        </is>
      </c>
    </row>
    <row r="711">
      <c r="A711" s="2" t="n">
        <v>5388890</v>
      </c>
      <c r="B711" s="2" t="n">
        <v>56</v>
      </c>
      <c r="C711" s="2" t="inlineStr">
        <is>
          <t>F</t>
        </is>
      </c>
      <c r="D711" s="2" t="n">
        <v>100</v>
      </c>
      <c r="E711" s="4">
        <f>HYPERLINK("./Results/DLO\20190401_1.3.46.670589.33.1.63690570798702234600001.5612693976593100803_201_512_512_\Osteo_Sarco_1.png","RPT")</f>
        <v/>
      </c>
      <c r="F711" s="3" t="n">
        <v>94</v>
      </c>
      <c r="G711" s="3" t="n">
        <v>7</v>
      </c>
      <c r="H711" s="7" t="n"/>
      <c r="I711" t="inlineStr">
        <is>
          <t>Ingenuity Core 128</t>
        </is>
      </c>
      <c r="J711" t="inlineStr">
        <is>
          <t>Post 3mm, iDose (3)</t>
        </is>
      </c>
    </row>
    <row r="712">
      <c r="A712" s="2" t="n">
        <v>9543175</v>
      </c>
      <c r="B712" s="2" t="n">
        <v>56</v>
      </c>
      <c r="C712" s="2" t="inlineStr">
        <is>
          <t>F</t>
        </is>
      </c>
      <c r="D712" s="2" t="n">
        <v>100</v>
      </c>
      <c r="E712" s="4">
        <f>HYPERLINK("./Results/DLO\20190101_1.3.12.2.1107.5.1.4.65253.30000019012420445121800014870_2_512_512_\Osteo_Sarco_1.png","RPT")</f>
        <v/>
      </c>
      <c r="F712" s="3" t="n">
        <v>93</v>
      </c>
      <c r="G712" s="3" t="n">
        <v>11</v>
      </c>
      <c r="H712" s="7" t="n"/>
      <c r="I712" t="inlineStr">
        <is>
          <t>SOMATOM Definition AS</t>
        </is>
      </c>
      <c r="J712" t="inlineStr">
        <is>
          <t>With Contrast 3.0 B30f</t>
        </is>
      </c>
    </row>
    <row r="713">
      <c r="A713" s="2" t="n">
        <v>9424232</v>
      </c>
      <c r="B713" s="2" t="n">
        <v>56</v>
      </c>
      <c r="C713" s="2" t="inlineStr">
        <is>
          <t>F</t>
        </is>
      </c>
      <c r="D713" s="2" t="n">
        <v>100</v>
      </c>
      <c r="E713" s="4">
        <f>HYPERLINK("./Results/DLO\20180901_1.2.840.113619.2.94.485650834948.2.9063105.19682428.1_2_512_512_\Osteo_Sarco_1.png","RPT")</f>
        <v/>
      </c>
      <c r="F713" s="3" t="n">
        <v>91</v>
      </c>
      <c r="G713" s="3" t="n">
        <v>9</v>
      </c>
      <c r="H713" s="7" t="n"/>
      <c r="I713" t="inlineStr">
        <is>
          <t>Sensation 64</t>
        </is>
      </c>
      <c r="J713" t="inlineStr">
        <is>
          <t>With Contrast 3.0 B30f</t>
        </is>
      </c>
    </row>
    <row r="714">
      <c r="A714" s="2" t="n">
        <v>8696323</v>
      </c>
      <c r="B714" s="2" t="n">
        <v>56</v>
      </c>
      <c r="C714" s="2" t="inlineStr">
        <is>
          <t>F</t>
        </is>
      </c>
      <c r="D714" s="2" t="n">
        <v>100</v>
      </c>
      <c r="E714" s="4">
        <f>HYPERLINK("./Results/DLO\20191101_1.3.46.670589.33.1.63709753320968008800001.4803655587145024473_201_512_512_\Osteo_Sarco_1.png","RPT")</f>
        <v/>
      </c>
      <c r="F714" s="3" t="n">
        <v>88</v>
      </c>
      <c r="G714" s="3" t="n">
        <v>10</v>
      </c>
      <c r="H714" s="7" t="n"/>
      <c r="I714" t="inlineStr">
        <is>
          <t>Ingenuity Core 128</t>
        </is>
      </c>
      <c r="J714" t="inlineStr">
        <is>
          <t>Post 3mm, iDose (3)</t>
        </is>
      </c>
    </row>
    <row r="715">
      <c r="A715" s="2" t="n">
        <v>8828846</v>
      </c>
      <c r="B715" s="2" t="n">
        <v>56</v>
      </c>
      <c r="C715" s="2" t="inlineStr">
        <is>
          <t>F</t>
        </is>
      </c>
      <c r="D715" s="2" t="n">
        <v>100</v>
      </c>
      <c r="E715" s="4">
        <f>HYPERLINK("./Results/DLO\20181101_1.2.840.113619.2.416.292251063492261061438379484303096803968_304_512_512_\Osteo_Sarco_1.png","RPT")</f>
        <v/>
      </c>
      <c r="F715" s="3" t="n">
        <v>86</v>
      </c>
      <c r="G715" s="3" t="n">
        <v>6</v>
      </c>
      <c r="H715" s="7" t="n"/>
      <c r="I715" t="inlineStr">
        <is>
          <t>Revolution CT</t>
        </is>
      </c>
      <c r="J715" t="inlineStr">
        <is>
          <t>ABD 2.5mm</t>
        </is>
      </c>
    </row>
    <row r="716">
      <c r="A716" s="2" t="n">
        <v>8463472</v>
      </c>
      <c r="B716" s="2" t="n">
        <v>56</v>
      </c>
      <c r="C716" s="2" t="inlineStr">
        <is>
          <t>M</t>
        </is>
      </c>
      <c r="D716" s="2" t="n">
        <v>100</v>
      </c>
      <c r="E716" s="4">
        <f>HYPERLINK("./Results/DLO\20190901_1.3.46.670589.33.1.63703279895731473800001.5444151021629442648_201_512_512_\Osteo_Sarco_1.png","RPT")</f>
        <v/>
      </c>
      <c r="F716" s="3" t="n">
        <v>188</v>
      </c>
      <c r="G716" s="3" t="n">
        <v>10</v>
      </c>
      <c r="H716" s="7" t="n"/>
      <c r="I716" t="inlineStr">
        <is>
          <t>Ingenuity Core 128</t>
        </is>
      </c>
      <c r="J716" t="inlineStr">
        <is>
          <t>Post 3mm, iDose (3)</t>
        </is>
      </c>
    </row>
    <row r="717">
      <c r="A717" s="2" t="n">
        <v>6741876</v>
      </c>
      <c r="B717" s="2" t="n">
        <v>56</v>
      </c>
      <c r="C717" s="2" t="inlineStr">
        <is>
          <t>M</t>
        </is>
      </c>
      <c r="D717" s="2" t="n">
        <v>100</v>
      </c>
      <c r="E717" s="4">
        <f>HYPERLINK("./Results/DLO\20180501_1.3.46.670589.33.1.63660935881517979900001.4917050589533728199_601_512_512_\Osteo_Sarco_1.png","RPT")</f>
        <v/>
      </c>
      <c r="F717" s="3" t="n">
        <v>175</v>
      </c>
      <c r="G717" s="3" t="n">
        <v>7</v>
      </c>
      <c r="H717" s="7" t="n"/>
      <c r="I717" t="inlineStr">
        <is>
          <t>Ingenuity Core 128</t>
        </is>
      </c>
      <c r="J717" t="inlineStr">
        <is>
          <t>Port 100/236 i3, iDose (3)</t>
        </is>
      </c>
    </row>
    <row r="718">
      <c r="A718" s="2" t="n">
        <v>8485344</v>
      </c>
      <c r="B718" s="2" t="n">
        <v>56</v>
      </c>
      <c r="C718" s="2" t="inlineStr">
        <is>
          <t>M</t>
        </is>
      </c>
      <c r="D718" s="2" t="n">
        <v>100</v>
      </c>
      <c r="E718" s="4">
        <f>HYPERLINK("./Results/DLO\20180801_1.3.12.2.1107.5.1.4.65253.30000018081918425213000000782_2_512_512_\Osteo_Sarco_1.png","RPT")</f>
        <v/>
      </c>
      <c r="F718" s="3" t="n">
        <v>169</v>
      </c>
      <c r="G718" s="3" t="n">
        <v>11</v>
      </c>
      <c r="H718" s="6" t="n">
        <v>25.87</v>
      </c>
      <c r="I718" t="inlineStr">
        <is>
          <t>SOMATOM Definition AS</t>
        </is>
      </c>
      <c r="J718" t="inlineStr">
        <is>
          <t>W/O Contrast 2.0 B30f</t>
        </is>
      </c>
    </row>
    <row r="719">
      <c r="A719" s="2" t="n">
        <v>2617738</v>
      </c>
      <c r="B719" s="2" t="n">
        <v>56</v>
      </c>
      <c r="C719" s="2" t="inlineStr">
        <is>
          <t>M</t>
        </is>
      </c>
      <c r="D719" s="2" t="n">
        <v>100</v>
      </c>
      <c r="E719" s="4">
        <f>HYPERLINK("./Results/DLO\20180301_1.3.12.2.1107.5.1.4.54310.30000018030523103939000003633_3_512_512_\Osteo_Sarco_1.png","RPT")</f>
        <v/>
      </c>
      <c r="F719" s="3" t="n">
        <v>166</v>
      </c>
      <c r="G719" s="3" t="n">
        <v>7</v>
      </c>
      <c r="H719" s="7" t="n"/>
      <c r="I719" t="inlineStr">
        <is>
          <t>Sensation 64</t>
        </is>
      </c>
      <c r="J719" t="inlineStr">
        <is>
          <t>Pre Contrast 3.0 B30f</t>
        </is>
      </c>
    </row>
    <row r="720">
      <c r="A720" s="2" t="n">
        <v>1983780</v>
      </c>
      <c r="B720" s="2" t="n">
        <v>56</v>
      </c>
      <c r="C720" s="2" t="inlineStr">
        <is>
          <t>M</t>
        </is>
      </c>
      <c r="D720" s="2" t="n">
        <v>100</v>
      </c>
      <c r="E720" s="4">
        <f>HYPERLINK("./Results/DLO\20180901_1.3.46.670589.33.1.63671567644889202000001.4688977216722449191_201_512_512_\Osteo_Sarco_1.png","RPT")</f>
        <v/>
      </c>
      <c r="F720" s="3" t="n">
        <v>163</v>
      </c>
      <c r="G720" s="3" t="n">
        <v>7</v>
      </c>
      <c r="H720" s="6" t="n">
        <v>28.56</v>
      </c>
      <c r="I720" t="inlineStr">
        <is>
          <t>Ingenuity Core 128</t>
        </is>
      </c>
      <c r="J720" t="inlineStr">
        <is>
          <t>Pre 100/107 i4, iDose (4)</t>
        </is>
      </c>
    </row>
    <row r="721">
      <c r="A721" s="2" t="n">
        <v>8879875</v>
      </c>
      <c r="B721" s="2" t="n">
        <v>56</v>
      </c>
      <c r="C721" s="2" t="inlineStr">
        <is>
          <t>M</t>
        </is>
      </c>
      <c r="D721" s="2" t="n">
        <v>100</v>
      </c>
      <c r="E721" s="4">
        <f>HYPERLINK("./Results/DLO\20180401_1.3.12.2.1107.5.1.4.65253.30000018042420550416800028170_2_512_512_\Osteo_Sarco_1.png","RPT")</f>
        <v/>
      </c>
      <c r="F721" s="3" t="n">
        <v>157</v>
      </c>
      <c r="G721" s="3" t="n">
        <v>6</v>
      </c>
      <c r="H721" s="7" t="n"/>
      <c r="I721" t="inlineStr">
        <is>
          <t>SOMATOM Definition AS</t>
        </is>
      </c>
      <c r="J721" t="inlineStr">
        <is>
          <t>With Contrast 3.0 B30f</t>
        </is>
      </c>
    </row>
    <row r="722">
      <c r="A722" s="2" t="n">
        <v>8364628</v>
      </c>
      <c r="B722" s="2" t="n">
        <v>56</v>
      </c>
      <c r="C722" s="2" t="inlineStr">
        <is>
          <t>M</t>
        </is>
      </c>
      <c r="D722" s="2" t="n">
        <v>100</v>
      </c>
      <c r="E722" s="4">
        <f>HYPERLINK("./Results/DLO\20191201_1.3.12.2.1107.5.1.4.54310.30000019120822065890600014829_7_512_512_\Osteo_Sarco_1.png","RPT")</f>
        <v/>
      </c>
      <c r="F722" s="3" t="n">
        <v>156</v>
      </c>
      <c r="G722" s="3" t="n">
        <v>6</v>
      </c>
      <c r="H722" s="7" t="n"/>
      <c r="I722" t="inlineStr">
        <is>
          <t>Sensation 64</t>
        </is>
      </c>
      <c r="J722" t="inlineStr">
        <is>
          <t>ABD 3mm B30f</t>
        </is>
      </c>
    </row>
    <row r="723">
      <c r="A723" s="2" t="n">
        <v>5383177</v>
      </c>
      <c r="B723" s="2" t="n">
        <v>56</v>
      </c>
      <c r="C723" s="2" t="inlineStr">
        <is>
          <t>M</t>
        </is>
      </c>
      <c r="D723" s="2" t="n">
        <v>100</v>
      </c>
      <c r="E723" s="4">
        <f>HYPERLINK("./Results/DLO\20200401_1.3.12.2.1107.5.1.4.65253.30000020041020013508100013497_2_512_512_\Osteo_Sarco_1.png","RPT")</f>
        <v/>
      </c>
      <c r="F723" s="3" t="n">
        <v>152</v>
      </c>
      <c r="G723" s="3" t="n">
        <v>11</v>
      </c>
      <c r="H723" s="7" t="n"/>
      <c r="I723" t="inlineStr">
        <is>
          <t>SOMATOM Definition AS</t>
        </is>
      </c>
      <c r="J723" t="inlineStr">
        <is>
          <t>Pre Contrast 3.0 B30f</t>
        </is>
      </c>
    </row>
    <row r="724">
      <c r="A724" s="2" t="n">
        <v>9653410</v>
      </c>
      <c r="B724" s="2" t="n">
        <v>56</v>
      </c>
      <c r="C724" s="2" t="inlineStr">
        <is>
          <t>F</t>
        </is>
      </c>
      <c r="D724" s="2" t="n">
        <v>100</v>
      </c>
      <c r="E724" s="4">
        <f>HYPERLINK("./Results/DLO\20190401_1.2.840.113619.2.416.305022112754260968978989791228291925715_306_512_512_\Osteo_Sarco_1.png","RPT")</f>
        <v/>
      </c>
      <c r="F724" s="3" t="n">
        <v>150</v>
      </c>
      <c r="G724" s="3" t="n">
        <v>14</v>
      </c>
      <c r="H724" s="7" t="n"/>
      <c r="I724" t="inlineStr">
        <is>
          <t>Revolution CT</t>
        </is>
      </c>
      <c r="J724" t="inlineStr">
        <is>
          <t>ABD 2.5mm</t>
        </is>
      </c>
    </row>
    <row r="725">
      <c r="A725" s="2" t="n">
        <v>10019743</v>
      </c>
      <c r="B725" s="2" t="n">
        <v>56</v>
      </c>
      <c r="C725" s="2" t="inlineStr">
        <is>
          <t>M</t>
        </is>
      </c>
      <c r="D725" s="2" t="n">
        <v>100</v>
      </c>
      <c r="E725" s="4">
        <f>HYPERLINK("./Results/DLO\20200601_1.2.410.100011.172.16.68.114.6372910216606539069.2_2_512_512_\Osteo_Sarco_1.png","RPT")</f>
        <v/>
      </c>
      <c r="F725" s="3" t="n">
        <v>147</v>
      </c>
      <c r="G725" s="3" t="n">
        <v>8</v>
      </c>
      <c r="H725" s="7" t="n"/>
      <c r="I725" t="inlineStr">
        <is>
          <t>SOMATOM Definition AS</t>
        </is>
      </c>
      <c r="J725" t="inlineStr">
        <is>
          <t>Abd_Pel_Pre 3.0 I30f 1</t>
        </is>
      </c>
    </row>
    <row r="726">
      <c r="A726" s="2" t="n">
        <v>2775238</v>
      </c>
      <c r="B726" s="2" t="n">
        <v>56</v>
      </c>
      <c r="C726" s="2" t="inlineStr">
        <is>
          <t>M</t>
        </is>
      </c>
      <c r="D726" s="2" t="n">
        <v>100</v>
      </c>
      <c r="E726" s="4">
        <f>HYPERLINK("./Results/DLO\20200601_1.3.46.670589.33.1.63727893355635512900001.5024890195418637152_201_512_512_\Osteo_Sarco_1.png","RPT")</f>
        <v/>
      </c>
      <c r="F726" s="3" t="n">
        <v>146</v>
      </c>
      <c r="G726" s="3" t="n">
        <v>5</v>
      </c>
      <c r="H726" s="7" t="n"/>
      <c r="I726" t="inlineStr">
        <is>
          <t>Ingenuity Core 128</t>
        </is>
      </c>
      <c r="J726" t="inlineStr">
        <is>
          <t>Post 3mm, iDose (3)</t>
        </is>
      </c>
    </row>
    <row r="727">
      <c r="A727" s="2" t="n">
        <v>9005615</v>
      </c>
      <c r="B727" s="2" t="n">
        <v>56</v>
      </c>
      <c r="C727" s="2" t="inlineStr">
        <is>
          <t>M</t>
        </is>
      </c>
      <c r="D727" s="2" t="n">
        <v>100</v>
      </c>
      <c r="E727" s="4">
        <f>HYPERLINK("./Results/DLO\20180601_1.2.840.113619.2.416.10277551774599038985034936990122505850_301_512_512_\Osteo_Sarco_1.png","RPT")</f>
        <v/>
      </c>
      <c r="F727" s="3" t="n">
        <v>144</v>
      </c>
      <c r="G727" s="3" t="n">
        <v>12</v>
      </c>
      <c r="H727" s="7" t="n"/>
      <c r="I727" t="inlineStr">
        <is>
          <t>Revolution CT</t>
        </is>
      </c>
      <c r="J727" t="inlineStr">
        <is>
          <t>ARTERY</t>
        </is>
      </c>
    </row>
    <row r="728">
      <c r="A728" s="2" t="n">
        <v>9597542</v>
      </c>
      <c r="B728" s="2" t="n">
        <v>56</v>
      </c>
      <c r="C728" s="2" t="inlineStr">
        <is>
          <t>M</t>
        </is>
      </c>
      <c r="D728" s="2" t="n">
        <v>100</v>
      </c>
      <c r="E728" s="4">
        <f>HYPERLINK("./Results/DLO\20190201_1.3.46.670589.33.1.63686446679895116000001.5138507482153836103_701_512_512_\Osteo_Sarco_1.png","RPT")</f>
        <v/>
      </c>
      <c r="F728" s="3" t="n">
        <v>135</v>
      </c>
      <c r="G728" s="3" t="n">
        <v>10</v>
      </c>
      <c r="H728" s="7" t="n"/>
      <c r="I728" t="inlineStr">
        <is>
          <t>Ingenuity Core 128</t>
        </is>
      </c>
      <c r="J728" t="inlineStr">
        <is>
          <t>Delay 3mm, iDose (3)</t>
        </is>
      </c>
    </row>
    <row r="729">
      <c r="A729" s="2" t="n">
        <v>8431150</v>
      </c>
      <c r="B729" s="2" t="n">
        <v>56</v>
      </c>
      <c r="C729" s="2" t="inlineStr">
        <is>
          <t>F</t>
        </is>
      </c>
      <c r="D729" s="2" t="n">
        <v>100</v>
      </c>
      <c r="E729" s="4">
        <f>HYPERLINK("./Results/DLO\20190601_1.2.840.113619.2.416.74023941507664375799573197957487680857_310_512_512_\Osteo_Sarco_1.png","RPT")</f>
        <v/>
      </c>
      <c r="F729" s="3" t="n">
        <v>124</v>
      </c>
      <c r="G729" s="3" t="n">
        <v>10</v>
      </c>
      <c r="H729" s="7" t="n"/>
      <c r="I729" t="inlineStr">
        <is>
          <t>Revolution CT</t>
        </is>
      </c>
      <c r="J729" t="inlineStr">
        <is>
          <t>ABD</t>
        </is>
      </c>
    </row>
    <row r="730">
      <c r="A730" s="2" t="n">
        <v>5014338</v>
      </c>
      <c r="B730" s="2" t="n">
        <v>56</v>
      </c>
      <c r="C730" s="2" t="inlineStr">
        <is>
          <t>F</t>
        </is>
      </c>
      <c r="D730" s="2" t="n">
        <v>100</v>
      </c>
      <c r="E730" s="4">
        <f>HYPERLINK("./Results/DLO\20180701_1.3.12.2.1107.5.1.4.54310.30000018072500113304600006953_2_512_512_\Osteo_Sarco_1.png","RPT")</f>
        <v/>
      </c>
      <c r="F730" s="3" t="n">
        <v>121</v>
      </c>
      <c r="G730" s="3" t="n">
        <v>6</v>
      </c>
      <c r="H730" s="6" t="n">
        <v>23.88</v>
      </c>
      <c r="I730" t="inlineStr">
        <is>
          <t>Sensation 64</t>
        </is>
      </c>
      <c r="J730" t="inlineStr">
        <is>
          <t>With Contrast 3.0 B30f</t>
        </is>
      </c>
    </row>
    <row r="731">
      <c r="A731" s="2" t="n">
        <v>3757780</v>
      </c>
      <c r="B731" s="2" t="n">
        <v>56</v>
      </c>
      <c r="C731" s="2" t="inlineStr">
        <is>
          <t>F</t>
        </is>
      </c>
      <c r="D731" s="2" t="n">
        <v>100</v>
      </c>
      <c r="E731" s="4">
        <f>HYPERLINK("./Results/DLO\20180101_1.3.12.2.1107.5.1.4.54310.30000018010923142259300011944_2_512_512_\Osteo_Sarco_1.png","RPT")</f>
        <v/>
      </c>
      <c r="F731" s="3" t="n">
        <v>120</v>
      </c>
      <c r="G731" s="3" t="n">
        <v>14</v>
      </c>
      <c r="H731" s="7" t="n"/>
      <c r="I731" t="inlineStr">
        <is>
          <t>Sensation 64</t>
        </is>
      </c>
      <c r="J731" t="inlineStr">
        <is>
          <t>With Contrast 3.0 B30f</t>
        </is>
      </c>
    </row>
    <row r="732">
      <c r="A732" s="2" t="n">
        <v>6140364</v>
      </c>
      <c r="B732" s="2" t="n">
        <v>56</v>
      </c>
      <c r="C732" s="2" t="inlineStr">
        <is>
          <t>F</t>
        </is>
      </c>
      <c r="D732" s="2" t="n">
        <v>100</v>
      </c>
      <c r="E732" s="4">
        <f>HYPERLINK("./Results/DLO\20181001_1.2.840.113619.2.311.260110096900458087788625003136006484286_304_512_512_\Osteo_Sarco_1.png","RPT")</f>
        <v/>
      </c>
      <c r="F732" s="3" t="n">
        <v>120</v>
      </c>
      <c r="G732" s="3" t="n">
        <v>9</v>
      </c>
      <c r="H732" s="7" t="n"/>
      <c r="I732" t="inlineStr">
        <is>
          <t>Revolution CT</t>
        </is>
      </c>
      <c r="J732" t="inlineStr">
        <is>
          <t>ABD 2.5mm</t>
        </is>
      </c>
    </row>
    <row r="733">
      <c r="A733" s="2" t="n">
        <v>5238351</v>
      </c>
      <c r="B733" s="2" t="n">
        <v>56</v>
      </c>
      <c r="C733" s="2" t="inlineStr">
        <is>
          <t>F</t>
        </is>
      </c>
      <c r="D733" s="2" t="n">
        <v>100</v>
      </c>
      <c r="E733" s="4">
        <f>HYPERLINK("./Results/DLO\20190301_1.3.46.670589.33.1.63687917405935937600001.5472926122633059143_501_512_512_\Osteo_Sarco_1.png","RPT")</f>
        <v/>
      </c>
      <c r="F733" s="3" t="n">
        <v>120</v>
      </c>
      <c r="G733" s="3" t="n">
        <v>10</v>
      </c>
      <c r="H733" s="7" t="n"/>
      <c r="I733" t="inlineStr">
        <is>
          <t>Ingenuity Core 128</t>
        </is>
      </c>
      <c r="J733" t="inlineStr">
        <is>
          <t>Arterial 3mm, iDose (3)</t>
        </is>
      </c>
    </row>
    <row r="734">
      <c r="A734" s="2" t="n">
        <v>9754706</v>
      </c>
      <c r="B734" s="2" t="n">
        <v>56</v>
      </c>
      <c r="C734" s="2" t="inlineStr">
        <is>
          <t>F</t>
        </is>
      </c>
      <c r="D734" s="2" t="n">
        <v>100</v>
      </c>
      <c r="E734" s="4">
        <f>HYPERLINK("./Results/DLO\20190801_1.2.840.113619.2.416.125736505068487395361068771581070620536_310_512_512_\Osteo_Sarco_1.png","RPT")</f>
        <v/>
      </c>
      <c r="F734" s="3" t="n">
        <v>118</v>
      </c>
      <c r="G734" s="3" t="n">
        <v>10</v>
      </c>
      <c r="H734" s="6" t="n">
        <v>23.8</v>
      </c>
      <c r="I734" t="inlineStr">
        <is>
          <t>Revolution CT</t>
        </is>
      </c>
      <c r="J734" t="inlineStr">
        <is>
          <t>ABD</t>
        </is>
      </c>
    </row>
    <row r="735">
      <c r="A735" s="2" t="n">
        <v>8310862</v>
      </c>
      <c r="B735" s="2" t="n">
        <v>56</v>
      </c>
      <c r="C735" s="2" t="inlineStr">
        <is>
          <t>F</t>
        </is>
      </c>
      <c r="D735" s="2" t="n">
        <v>100</v>
      </c>
      <c r="E735" s="4">
        <f>HYPERLINK("./Results/DLO\20181101_1.2.840.113619.2.311.63111280180678392379504976224204470452_304_512_512_\Osteo_Sarco_1.png","RPT")</f>
        <v/>
      </c>
      <c r="F735" s="3" t="n">
        <v>117</v>
      </c>
      <c r="G735" s="3" t="n">
        <v>8</v>
      </c>
      <c r="H735" s="7" t="n"/>
      <c r="I735" t="inlineStr">
        <is>
          <t>Revolution CT</t>
        </is>
      </c>
      <c r="J735" t="inlineStr">
        <is>
          <t>ABD 2.5mm</t>
        </is>
      </c>
    </row>
    <row r="736">
      <c r="A736" s="2" t="n">
        <v>6013820</v>
      </c>
      <c r="B736" s="2" t="n">
        <v>56</v>
      </c>
      <c r="C736" s="2" t="inlineStr">
        <is>
          <t>F</t>
        </is>
      </c>
      <c r="D736" s="2" t="n">
        <v>100</v>
      </c>
      <c r="E736" s="4">
        <f>HYPERLINK("./Results/DLO\20200301_1.3.12.2.1107.5.1.4.54310.30000020031522042278100031207_7_512_512_\Osteo_Sarco_1.png","RPT")</f>
        <v/>
      </c>
      <c r="F736" s="3" t="n">
        <v>117</v>
      </c>
      <c r="G736" s="3" t="n">
        <v>10</v>
      </c>
      <c r="H736" s="6" t="n">
        <v>27.11</v>
      </c>
      <c r="I736" t="inlineStr">
        <is>
          <t>Sensation 64</t>
        </is>
      </c>
      <c r="J736" t="inlineStr">
        <is>
          <t>ABD 3mm B30f</t>
        </is>
      </c>
    </row>
    <row r="737">
      <c r="A737" s="2" t="n">
        <v>3242550</v>
      </c>
      <c r="B737" s="2" t="n">
        <v>56</v>
      </c>
      <c r="C737" s="2" t="inlineStr">
        <is>
          <t>M</t>
        </is>
      </c>
      <c r="D737" s="2" t="n">
        <v>100</v>
      </c>
      <c r="E737" s="4">
        <f>HYPERLINK("./Results/DLO\20181201_1.3.46.670589.33.1.63679776814732138500001.5481823806141728030_201_512_512_\Osteo_Sarco_1.png","RPT")</f>
        <v/>
      </c>
      <c r="F737" s="3" t="n">
        <v>116</v>
      </c>
      <c r="G737" s="3" t="n">
        <v>9</v>
      </c>
      <c r="H737" s="7" t="n"/>
      <c r="I737" t="inlineStr">
        <is>
          <t>Ingenuity Core 128</t>
        </is>
      </c>
      <c r="J737" t="inlineStr">
        <is>
          <t>Post 100/236 i3, iDose (3)</t>
        </is>
      </c>
    </row>
    <row r="738">
      <c r="A738" s="2" t="n">
        <v>9908767</v>
      </c>
      <c r="B738" s="2" t="n">
        <v>56</v>
      </c>
      <c r="C738" s="2" t="inlineStr">
        <is>
          <t>F</t>
        </is>
      </c>
      <c r="D738" s="2" t="n">
        <v>100</v>
      </c>
      <c r="E738" s="4">
        <f>HYPERLINK("./Results/DLO\20200101_1.2.410.100011.172.24.16.217.6371597823707017232.3_3_512_512_\Osteo_Sarco_1.png","RPT")</f>
        <v/>
      </c>
      <c r="F738" s="3" t="n">
        <v>116</v>
      </c>
      <c r="G738" s="3" t="n">
        <v>8</v>
      </c>
      <c r="H738" s="6" t="n">
        <v>22.85</v>
      </c>
      <c r="I738" t="inlineStr">
        <is>
          <t>SOMATOM Definition Flabh</t>
        </is>
      </c>
      <c r="J738" t="inlineStr">
        <is>
          <t>Arterial Phase 3.0 I30f 2</t>
        </is>
      </c>
    </row>
    <row r="739">
      <c r="A739" s="2" t="n">
        <v>8727149</v>
      </c>
      <c r="B739" s="2" t="n">
        <v>56</v>
      </c>
      <c r="C739" s="2" t="inlineStr">
        <is>
          <t>F</t>
        </is>
      </c>
      <c r="D739" s="2" t="n">
        <v>100</v>
      </c>
      <c r="E739" s="4">
        <f>HYPERLINK("./Results/DLO\20180501_1.2.840.113619.2.311.1119799695293133625111846018945558034_304_512_512_\Osteo_Sarco_1.png","RPT")</f>
        <v/>
      </c>
      <c r="F739" s="3" t="n">
        <v>115</v>
      </c>
      <c r="G739" s="3" t="n">
        <v>10</v>
      </c>
      <c r="H739" s="7" t="n"/>
      <c r="I739" t="inlineStr">
        <is>
          <t>Revolution CT</t>
        </is>
      </c>
      <c r="J739" t="inlineStr">
        <is>
          <t>ABD 2.5mm</t>
        </is>
      </c>
    </row>
    <row r="740">
      <c r="A740" s="2" t="n">
        <v>3179626</v>
      </c>
      <c r="B740" s="2" t="n">
        <v>56</v>
      </c>
      <c r="C740" s="2" t="inlineStr">
        <is>
          <t>F</t>
        </is>
      </c>
      <c r="D740" s="2" t="n">
        <v>100</v>
      </c>
      <c r="E740" s="4">
        <f>HYPERLINK("./Results/DLO\20181001_1.3.12.2.1107.5.1.4.54310.30000018100323223954600034956_3_512_512_\Osteo_Sarco_1.png","RPT")</f>
        <v/>
      </c>
      <c r="F740" s="3" t="n">
        <v>115</v>
      </c>
      <c r="G740" s="3" t="n">
        <v>10</v>
      </c>
      <c r="H740" s="7" t="n"/>
      <c r="I740" t="inlineStr">
        <is>
          <t>Sensation 64</t>
        </is>
      </c>
      <c r="J740" t="inlineStr">
        <is>
          <t>Pre Contrast 3.0 B30f</t>
        </is>
      </c>
    </row>
    <row r="741">
      <c r="A741" s="2" t="n">
        <v>9523633</v>
      </c>
      <c r="B741" s="2" t="n">
        <v>56</v>
      </c>
      <c r="C741" s="2" t="inlineStr">
        <is>
          <t>F</t>
        </is>
      </c>
      <c r="D741" s="2" t="n">
        <v>100</v>
      </c>
      <c r="E741" s="4">
        <f>HYPERLINK("./Results/DLO\20190401_1.3.12.2.1107.5.1.4.65253.30000019040419163826100040295_2_512_512_\Osteo_Sarco_1.png","RPT")</f>
        <v/>
      </c>
      <c r="F741" s="3" t="n">
        <v>115</v>
      </c>
      <c r="G741" s="3" t="n">
        <v>10</v>
      </c>
      <c r="H741" s="7" t="n"/>
      <c r="I741" t="inlineStr">
        <is>
          <t>SOMATOM Definition AS</t>
        </is>
      </c>
      <c r="J741" t="inlineStr">
        <is>
          <t>Pre Contrast 3.0 B30f</t>
        </is>
      </c>
    </row>
    <row r="742">
      <c r="A742" s="2" t="n">
        <v>8372404</v>
      </c>
      <c r="B742" s="2" t="n">
        <v>56</v>
      </c>
      <c r="C742" s="2" t="inlineStr">
        <is>
          <t>F</t>
        </is>
      </c>
      <c r="D742" s="2" t="n">
        <v>100</v>
      </c>
      <c r="E742" s="4">
        <f>HYPERLINK("./Results/DLO\20180101_1.3.12.2.1107.5.1.4.54310.30000018010823111673400040191_2_512_512_\Osteo_Sarco_1.png","RPT")</f>
        <v/>
      </c>
      <c r="F742" s="3" t="n">
        <v>111</v>
      </c>
      <c r="G742" s="3" t="n">
        <v>11</v>
      </c>
      <c r="H742" s="7" t="n"/>
      <c r="I742" t="inlineStr">
        <is>
          <t>Sensation 64</t>
        </is>
      </c>
      <c r="J742" t="inlineStr">
        <is>
          <t>With Contrast 3.0 B30f</t>
        </is>
      </c>
    </row>
    <row r="743">
      <c r="A743" s="2" t="n">
        <v>3845771</v>
      </c>
      <c r="B743" s="2" t="n">
        <v>56</v>
      </c>
      <c r="C743" s="2" t="inlineStr">
        <is>
          <t>F</t>
        </is>
      </c>
      <c r="D743" s="2" t="n">
        <v>100</v>
      </c>
      <c r="E743" s="4">
        <f>HYPERLINK("./Results/DLO\20181101_1.3.12.2.1107.5.1.4.54310.30000018111523274756200005849_3_512_512_\Osteo_Sarco_1.png","RPT")</f>
        <v/>
      </c>
      <c r="F743" s="3" t="n">
        <v>107</v>
      </c>
      <c r="G743" s="3" t="n">
        <v>11</v>
      </c>
      <c r="H743" s="6" t="n">
        <v>30.31</v>
      </c>
      <c r="I743" t="inlineStr">
        <is>
          <t>Sensation 64</t>
        </is>
      </c>
      <c r="J743" t="inlineStr">
        <is>
          <t>Pre Contrast 3.0 B30f</t>
        </is>
      </c>
    </row>
    <row r="744">
      <c r="A744" s="2" t="n">
        <v>580790</v>
      </c>
      <c r="B744" s="2" t="n">
        <v>56</v>
      </c>
      <c r="C744" s="2" t="inlineStr">
        <is>
          <t>F</t>
        </is>
      </c>
      <c r="D744" s="2" t="n">
        <v>100</v>
      </c>
      <c r="E744" s="4">
        <f>HYPERLINK("./Results/DLO\20191201_1.2.840.113619.2.416.213069094443892945780647116642919061498_311_512_512_\Osteo_Sarco_1.png","RPT")</f>
        <v/>
      </c>
      <c r="F744" s="3" t="n">
        <v>106</v>
      </c>
      <c r="G744" s="3" t="n">
        <v>11</v>
      </c>
      <c r="H744" s="7" t="n"/>
      <c r="I744" t="inlineStr">
        <is>
          <t>Revolution CT</t>
        </is>
      </c>
      <c r="J744" t="inlineStr">
        <is>
          <t>ABD</t>
        </is>
      </c>
    </row>
    <row r="745">
      <c r="A745" s="2" t="n">
        <v>9685667</v>
      </c>
      <c r="B745" s="2" t="n">
        <v>56</v>
      </c>
      <c r="C745" s="2" t="inlineStr">
        <is>
          <t>F</t>
        </is>
      </c>
      <c r="D745" s="2" t="n">
        <v>100</v>
      </c>
      <c r="E745" s="4">
        <f>HYPERLINK("./Results/DLO\20190601_1.3.12.2.1107.5.1.4.54310.30000019061622243689000050434_6_512_512_\Osteo_Sarco_1.png","RPT")</f>
        <v/>
      </c>
      <c r="F745" s="3" t="n">
        <v>105</v>
      </c>
      <c r="G745" s="3" t="n">
        <v>7</v>
      </c>
      <c r="H745" s="7" t="n"/>
      <c r="I745" t="inlineStr">
        <is>
          <t>Sensation 64</t>
        </is>
      </c>
      <c r="J745" t="inlineStr">
        <is>
          <t>Portal 3.0 B30f</t>
        </is>
      </c>
    </row>
    <row r="746">
      <c r="A746" s="2" t="n">
        <v>5954385</v>
      </c>
      <c r="B746" s="2" t="n">
        <v>56</v>
      </c>
      <c r="C746" s="2" t="inlineStr">
        <is>
          <t>F</t>
        </is>
      </c>
      <c r="D746" s="2" t="n">
        <v>100</v>
      </c>
      <c r="E746" s="4">
        <f>HYPERLINK("./Results/DLO\20180301_1.3.12.2.1107.5.1.4.54310.30000018031223122687500019334_2_512_512_\Osteo_Sarco_1.png","RPT")</f>
        <v/>
      </c>
      <c r="F746" s="3" t="n">
        <v>102</v>
      </c>
      <c r="G746" s="3" t="n">
        <v>10</v>
      </c>
      <c r="H746" s="7" t="n"/>
      <c r="I746" t="inlineStr">
        <is>
          <t>Sensation 64</t>
        </is>
      </c>
      <c r="J746" t="inlineStr">
        <is>
          <t>With Contrast 3.0 B30f</t>
        </is>
      </c>
    </row>
    <row r="747">
      <c r="A747" s="2" t="n">
        <v>8273370</v>
      </c>
      <c r="B747" s="2" t="n">
        <v>56</v>
      </c>
      <c r="C747" s="2" t="inlineStr">
        <is>
          <t>F</t>
        </is>
      </c>
      <c r="D747" s="2" t="n">
        <v>100</v>
      </c>
      <c r="E747" s="4">
        <f>HYPERLINK("./Results/DLO\20180601_1.3.46.670589.33.1.63664567390967847500001.4947434203196013119_201_512_512_\Osteo_Sarco_1.png","RPT")</f>
        <v/>
      </c>
      <c r="F747" s="3" t="n">
        <v>102</v>
      </c>
      <c r="G747" s="3" t="n">
        <v>7</v>
      </c>
      <c r="H747" s="7" t="n"/>
      <c r="I747" t="inlineStr">
        <is>
          <t>Ingenuity Core 128</t>
        </is>
      </c>
      <c r="J747" t="inlineStr">
        <is>
          <t>Post 100/236 i3, iDose (3)</t>
        </is>
      </c>
    </row>
    <row r="748">
      <c r="A748" s="2" t="n">
        <v>5150101</v>
      </c>
      <c r="B748" s="2" t="n">
        <v>56</v>
      </c>
      <c r="C748" s="2" t="inlineStr">
        <is>
          <t>F</t>
        </is>
      </c>
      <c r="D748" s="2" t="n">
        <v>100</v>
      </c>
      <c r="E748" s="4">
        <f>HYPERLINK("./Results/DLO\20181201_1.2.840.113619.2.311.277302025558323392721221567776533597076_304_512_512_\Osteo_Sarco_1.png","RPT")</f>
        <v/>
      </c>
      <c r="F748" s="3" t="n">
        <v>102</v>
      </c>
      <c r="G748" s="3" t="n">
        <v>10</v>
      </c>
      <c r="H748" s="7" t="n"/>
      <c r="I748" t="inlineStr">
        <is>
          <t>Revolution CT</t>
        </is>
      </c>
      <c r="J748" t="inlineStr">
        <is>
          <t>ABD 2.5mm</t>
        </is>
      </c>
    </row>
    <row r="749">
      <c r="A749" s="2" t="n">
        <v>9555920</v>
      </c>
      <c r="B749" s="2" t="n">
        <v>56</v>
      </c>
      <c r="C749" s="2" t="inlineStr">
        <is>
          <t>M</t>
        </is>
      </c>
      <c r="D749" s="2" t="n">
        <v>100</v>
      </c>
      <c r="E749" s="4">
        <f>HYPERLINK("./Results/DLO\20181201_1.2.410.100011.172.16.68.202.6368374864724174322.6.6_6_512_512_\Osteo_Sarco_1.png","RPT")</f>
        <v/>
      </c>
      <c r="F749" s="3" t="n">
        <v>1</v>
      </c>
      <c r="G749" s="3" t="n"/>
      <c r="H749" s="7" t="n"/>
      <c r="I749" t="inlineStr">
        <is>
          <t>ECLOS</t>
        </is>
      </c>
      <c r="J749" t="inlineStr">
        <is>
          <t>N/A</t>
        </is>
      </c>
    </row>
    <row r="750">
      <c r="A750" s="2" t="n">
        <v>2099998</v>
      </c>
      <c r="B750" s="2" t="n">
        <v>57</v>
      </c>
      <c r="C750" s="2" t="inlineStr">
        <is>
          <t>F</t>
        </is>
      </c>
      <c r="D750" s="2" t="n">
        <v>100</v>
      </c>
      <c r="E750" s="4">
        <f>HYPERLINK("./Results/DLO\20200201_1.3.46.670589.33.1.63717535005350228200001.4746116657741851927_201_512_512_\Osteo_Sarco_1.png","RPT")</f>
        <v/>
      </c>
      <c r="F750" s="3" t="n">
        <v>96</v>
      </c>
      <c r="G750" s="3" t="n">
        <v>4</v>
      </c>
      <c r="H750" s="7" t="n"/>
      <c r="I750" t="inlineStr">
        <is>
          <t>Ingenuity Core 128</t>
        </is>
      </c>
      <c r="J750" t="inlineStr">
        <is>
          <t>Post 3mm, iDose (3)</t>
        </is>
      </c>
    </row>
    <row r="751">
      <c r="A751" s="2" t="n">
        <v>2286472</v>
      </c>
      <c r="B751" s="2" t="n">
        <v>57</v>
      </c>
      <c r="C751" s="2" t="inlineStr">
        <is>
          <t>F</t>
        </is>
      </c>
      <c r="D751" s="2" t="n">
        <v>100</v>
      </c>
      <c r="E751" s="4">
        <f>HYPERLINK("./Results/DLO\20181101_1.2.840.113619.2.416.215537860886842095587102872001677908971_301_512_512_\Osteo_Sarco_1.png","RPT")</f>
        <v/>
      </c>
      <c r="F751" s="3" t="n">
        <v>93</v>
      </c>
      <c r="G751" s="3" t="n">
        <v>9</v>
      </c>
      <c r="H751" s="6" t="n">
        <v>23.92</v>
      </c>
      <c r="I751" t="inlineStr">
        <is>
          <t>Revolution CT</t>
        </is>
      </c>
      <c r="J751" t="inlineStr">
        <is>
          <t>ARTERY</t>
        </is>
      </c>
    </row>
    <row r="752">
      <c r="A752" s="2" t="n">
        <v>9488459</v>
      </c>
      <c r="B752" s="2" t="n">
        <v>57</v>
      </c>
      <c r="C752" s="2" t="inlineStr">
        <is>
          <t>F</t>
        </is>
      </c>
      <c r="D752" s="2" t="n">
        <v>100</v>
      </c>
      <c r="E752" s="4">
        <f>HYPERLINK("./Results/DLO\20181001_1.2.840.113619.2.94.485650834948.2.9154805.19904112.1_2_512_512_\Osteo_Sarco_1.png","RPT")</f>
        <v/>
      </c>
      <c r="F752" s="3" t="n">
        <v>92</v>
      </c>
      <c r="G752" s="3" t="n">
        <v>1</v>
      </c>
      <c r="H752" s="7" t="n"/>
      <c r="I752" t="inlineStr">
        <is>
          <t>SOMATOM Definition AS</t>
        </is>
      </c>
      <c r="J752" t="inlineStr">
        <is>
          <t>With Contrast 3.0 B30f</t>
        </is>
      </c>
    </row>
    <row r="753">
      <c r="A753" s="2" t="n">
        <v>5883186</v>
      </c>
      <c r="B753" s="2" t="n">
        <v>57</v>
      </c>
      <c r="C753" s="2" t="inlineStr">
        <is>
          <t>F</t>
        </is>
      </c>
      <c r="D753" s="2" t="n">
        <v>100</v>
      </c>
      <c r="E753" s="4">
        <f>HYPERLINK("./Results/DLO\20200201_1.3.46.670589.33.1.63716494665208772600001.5679588839433332030_201_512_512_\Osteo_Sarco_1.png","RPT")</f>
        <v/>
      </c>
      <c r="F753" s="3" t="n">
        <v>91</v>
      </c>
      <c r="G753" s="3" t="n">
        <v>8</v>
      </c>
      <c r="H753" s="7" t="n"/>
      <c r="I753" t="inlineStr">
        <is>
          <t>Ingenuity Core 128</t>
        </is>
      </c>
      <c r="J753" t="inlineStr">
        <is>
          <t>Post 3mm, iDose (3)</t>
        </is>
      </c>
    </row>
    <row r="754">
      <c r="A754" s="2" t="n">
        <v>5752927</v>
      </c>
      <c r="B754" s="2" t="n">
        <v>57</v>
      </c>
      <c r="C754" s="2" t="inlineStr">
        <is>
          <t>F</t>
        </is>
      </c>
      <c r="D754" s="2" t="n">
        <v>100</v>
      </c>
      <c r="E754" s="4">
        <f>HYPERLINK("./Results/DLO\20180401_1.3.12.2.1107.5.1.4.54310.30000018042423043556200008931_2_512_512_\Osteo_Sarco_1.png","RPT")</f>
        <v/>
      </c>
      <c r="F754" s="3" t="n">
        <v>86</v>
      </c>
      <c r="G754" s="3" t="n">
        <v>5</v>
      </c>
      <c r="H754" s="7" t="n"/>
      <c r="I754" t="inlineStr">
        <is>
          <t>Sensation 64</t>
        </is>
      </c>
      <c r="J754" t="inlineStr">
        <is>
          <t>With Contrast 3.0 B30f</t>
        </is>
      </c>
    </row>
    <row r="755">
      <c r="A755" s="2" t="n">
        <v>4116560</v>
      </c>
      <c r="B755" s="2" t="n">
        <v>57</v>
      </c>
      <c r="C755" s="2" t="inlineStr">
        <is>
          <t>F</t>
        </is>
      </c>
      <c r="D755" s="2" t="n">
        <v>100</v>
      </c>
      <c r="E755" s="4">
        <f>HYPERLINK("./Results/DLO\20190401_1.2.840.113619.2.311.128882065376023269643487477514982071697_304_512_512_\Osteo_Sarco_1.png","RPT")</f>
        <v/>
      </c>
      <c r="F755" s="3" t="n">
        <v>85</v>
      </c>
      <c r="G755" s="3" t="n">
        <v>7</v>
      </c>
      <c r="H755" s="7" t="n"/>
      <c r="I755" t="inlineStr">
        <is>
          <t>Revolution CT</t>
        </is>
      </c>
      <c r="J755" t="inlineStr">
        <is>
          <t>ABD 2.5mm</t>
        </is>
      </c>
    </row>
    <row r="756">
      <c r="A756" s="2" t="n">
        <v>8307340</v>
      </c>
      <c r="B756" s="2" t="n">
        <v>57</v>
      </c>
      <c r="C756" s="2" t="inlineStr">
        <is>
          <t>F</t>
        </is>
      </c>
      <c r="D756" s="2" t="n">
        <v>100</v>
      </c>
      <c r="E756" s="4">
        <f>HYPERLINK("./Results/DLO\20181001_1.3.12.2.1107.5.1.4.54310.30000018102823274178100006255_3_512_512_\Osteo_Sarco_1.png","RPT")</f>
        <v/>
      </c>
      <c r="F756" s="3" t="n">
        <v>82</v>
      </c>
      <c r="G756" s="3" t="n">
        <v>8</v>
      </c>
      <c r="H756" s="6" t="n">
        <v>20.46</v>
      </c>
      <c r="I756" t="inlineStr">
        <is>
          <t>Sensation 64</t>
        </is>
      </c>
      <c r="J756" t="inlineStr">
        <is>
          <t>Pre Contrast 3.0 B30f</t>
        </is>
      </c>
    </row>
    <row r="757">
      <c r="A757" s="2" t="n">
        <v>9925941</v>
      </c>
      <c r="B757" s="2" t="n">
        <v>57</v>
      </c>
      <c r="C757" s="2" t="inlineStr">
        <is>
          <t>M</t>
        </is>
      </c>
      <c r="D757" s="2" t="n">
        <v>100</v>
      </c>
      <c r="E757" s="4">
        <f>HYPERLINK("./Results/DLO\20200501_1.3.46.670589.33.1.63725735519090781100001.4948965571379115583_601_512_512_\Osteo_Sarco_1.png","RPT")</f>
        <v/>
      </c>
      <c r="F757" s="3" t="n">
        <v>229</v>
      </c>
      <c r="G757" s="3" t="n">
        <v>13</v>
      </c>
      <c r="H757" s="7" t="n"/>
      <c r="I757" t="inlineStr">
        <is>
          <t>Ingenuity Core 128</t>
        </is>
      </c>
      <c r="J757" t="inlineStr">
        <is>
          <t>Post 3mm, iDose (3)</t>
        </is>
      </c>
    </row>
    <row r="758">
      <c r="A758" s="2" t="n">
        <v>9889534</v>
      </c>
      <c r="B758" s="2" t="n">
        <v>57</v>
      </c>
      <c r="C758" s="2" t="inlineStr">
        <is>
          <t>M</t>
        </is>
      </c>
      <c r="D758" s="2" t="n">
        <v>100</v>
      </c>
      <c r="E758" s="4">
        <f>HYPERLINK("./Results/DLO\20191201_1.2.410.100011.172.24.16.221.6371398199617016787.2_2_512_512_\Osteo_Sarco_1.png","RPT")</f>
        <v/>
      </c>
      <c r="F758" s="3" t="n">
        <v>195</v>
      </c>
      <c r="G758" s="3" t="n">
        <v>15</v>
      </c>
      <c r="H758" s="7" t="n"/>
      <c r="I758" t="inlineStr">
        <is>
          <t>iCT 256</t>
        </is>
      </c>
      <c r="J758" t="inlineStr">
        <is>
          <t>Abd. Pre 5mm, iDose (2)</t>
        </is>
      </c>
    </row>
    <row r="759">
      <c r="A759" s="2" t="n">
        <v>8321772</v>
      </c>
      <c r="B759" s="2" t="n">
        <v>57</v>
      </c>
      <c r="C759" s="2" t="inlineStr">
        <is>
          <t>M</t>
        </is>
      </c>
      <c r="D759" s="2" t="n">
        <v>100</v>
      </c>
      <c r="E759" s="4">
        <f>HYPERLINK("./Results/DLO\20180101_1.3.46.670589.33.1.63651693599231803800001.5086788679987913434_201_512_512_\Osteo_Sarco_1.png","RPT")</f>
        <v/>
      </c>
      <c r="F759" s="3" t="n">
        <v>191</v>
      </c>
      <c r="G759" s="3" t="n">
        <v>12</v>
      </c>
      <c r="H759" s="6" t="n">
        <v>29.35</v>
      </c>
      <c r="I759" t="inlineStr">
        <is>
          <t>Ingenuity Core 128</t>
        </is>
      </c>
      <c r="J759" t="inlineStr">
        <is>
          <t>Post 100/236 i3, iDose (3)</t>
        </is>
      </c>
    </row>
    <row r="760">
      <c r="A760" s="2" t="n">
        <v>8488328</v>
      </c>
      <c r="B760" s="2" t="n">
        <v>57</v>
      </c>
      <c r="C760" s="2" t="inlineStr">
        <is>
          <t>M</t>
        </is>
      </c>
      <c r="D760" s="2" t="n">
        <v>100</v>
      </c>
      <c r="E760" s="4">
        <f>HYPERLINK("./Results/DLO\20191001_1.3.46.670589.33.1.63706812370693272300001.5037424852123916599_201_512_512_\Osteo_Sarco_1.png","RPT")</f>
        <v/>
      </c>
      <c r="F760" s="3" t="n">
        <v>187</v>
      </c>
      <c r="G760" s="3" t="n">
        <v>14</v>
      </c>
      <c r="H760" s="6" t="n">
        <v>27.45</v>
      </c>
      <c r="I760" t="inlineStr">
        <is>
          <t>Ingenuity Core 128</t>
        </is>
      </c>
      <c r="J760" t="inlineStr">
        <is>
          <t>Post 3mm, iDose (3)</t>
        </is>
      </c>
    </row>
    <row r="761">
      <c r="A761" s="2" t="n">
        <v>9749816</v>
      </c>
      <c r="B761" s="2" t="n">
        <v>57</v>
      </c>
      <c r="C761" s="2" t="inlineStr">
        <is>
          <t>M</t>
        </is>
      </c>
      <c r="D761" s="2" t="n">
        <v>100</v>
      </c>
      <c r="E761" s="4">
        <f>HYPERLINK("./Results/DLO\20200301_1.3.12.2.1107.5.1.4.54310.30000020032422394403100024404_8_512_512_\Osteo_Sarco_1.png","RPT")</f>
        <v/>
      </c>
      <c r="F761" s="3" t="n">
        <v>186</v>
      </c>
      <c r="G761" s="3" t="n">
        <v>9</v>
      </c>
      <c r="H761" s="7" t="n"/>
      <c r="I761" t="inlineStr">
        <is>
          <t>Sensation 64</t>
        </is>
      </c>
      <c r="J761" t="inlineStr">
        <is>
          <t>Post ABD 3mm B30f</t>
        </is>
      </c>
    </row>
    <row r="762">
      <c r="A762" s="2" t="n">
        <v>9019512</v>
      </c>
      <c r="B762" s="2" t="n">
        <v>57</v>
      </c>
      <c r="C762" s="2" t="inlineStr">
        <is>
          <t>M</t>
        </is>
      </c>
      <c r="D762" s="2" t="n">
        <v>100</v>
      </c>
      <c r="E762" s="4">
        <f>HYPERLINK("./Results/DLO\20180801_1.3.46.670589.33.1.63669495324014819500001.5708848782296969758_201_512_512_\Osteo_Sarco_1.png","RPT")</f>
        <v/>
      </c>
      <c r="F762" s="3" t="n">
        <v>164</v>
      </c>
      <c r="G762" s="3" t="n">
        <v>5</v>
      </c>
      <c r="H762" s="6" t="n">
        <v>25.14</v>
      </c>
      <c r="I762" t="inlineStr">
        <is>
          <t>Ingenuity Core 128</t>
        </is>
      </c>
      <c r="J762" t="inlineStr">
        <is>
          <t>Post 100/236 i3, iDose (3)</t>
        </is>
      </c>
    </row>
    <row r="763">
      <c r="A763" s="2" t="n">
        <v>5131525</v>
      </c>
      <c r="B763" s="2" t="n">
        <v>57</v>
      </c>
      <c r="C763" s="2" t="inlineStr">
        <is>
          <t>M</t>
        </is>
      </c>
      <c r="D763" s="2" t="n">
        <v>100</v>
      </c>
      <c r="E763" s="4">
        <f>HYPERLINK("./Results/DLO\20180201_1.3.46.670589.33.1.63653677652528304100001.5517351163593947148_201_512_512_\Osteo_Sarco_1.png","RPT")</f>
        <v/>
      </c>
      <c r="F763" s="3" t="n">
        <v>163</v>
      </c>
      <c r="G763" s="3" t="n">
        <v>11</v>
      </c>
      <c r="H763" s="7" t="n"/>
      <c r="I763" t="inlineStr">
        <is>
          <t>Ingenuity Core 128</t>
        </is>
      </c>
      <c r="J763" t="inlineStr">
        <is>
          <t>Pre 100/68 i3, iDose (3)</t>
        </is>
      </c>
    </row>
    <row r="764">
      <c r="A764" s="2" t="n">
        <v>5226958</v>
      </c>
      <c r="B764" s="2" t="n">
        <v>57</v>
      </c>
      <c r="C764" s="2" t="inlineStr">
        <is>
          <t>M</t>
        </is>
      </c>
      <c r="D764" s="2" t="n">
        <v>100</v>
      </c>
      <c r="E764" s="4">
        <f>HYPERLINK("./Results/DLO\20181201_1.3.46.670589.33.1.63679429472469600000001.5370005735733794665_201_512_512_\Osteo_Sarco_1.png","RPT")</f>
        <v/>
      </c>
      <c r="F764" s="3" t="n">
        <v>160</v>
      </c>
      <c r="G764" s="3" t="n">
        <v>10</v>
      </c>
      <c r="H764" s="7" t="n"/>
      <c r="I764" t="inlineStr">
        <is>
          <t>Ingenuity Core 128</t>
        </is>
      </c>
      <c r="J764" t="inlineStr">
        <is>
          <t>Post 100/236 i3, iDose (3)</t>
        </is>
      </c>
    </row>
    <row r="765">
      <c r="A765" s="2" t="n">
        <v>8927441</v>
      </c>
      <c r="B765" s="2" t="n">
        <v>57</v>
      </c>
      <c r="C765" s="2" t="inlineStr">
        <is>
          <t>M</t>
        </is>
      </c>
      <c r="D765" s="2" t="n">
        <v>100</v>
      </c>
      <c r="E765" s="4">
        <f>HYPERLINK("./Results/DLO\20190801_1.3.46.670589.33.1.63702147760149516200001.5465523018905906712_201_512_512_\Osteo_Sarco_1.png","RPT")</f>
        <v/>
      </c>
      <c r="F765" s="3" t="n">
        <v>160</v>
      </c>
      <c r="G765" s="3" t="n">
        <v>8</v>
      </c>
      <c r="H765" s="7" t="n"/>
      <c r="I765" t="inlineStr">
        <is>
          <t>Ingenuity Core 128</t>
        </is>
      </c>
      <c r="J765" t="inlineStr">
        <is>
          <t>Post 3mm, iDose (3)</t>
        </is>
      </c>
    </row>
    <row r="766">
      <c r="A766" s="2" t="n">
        <v>6180328</v>
      </c>
      <c r="B766" s="2" t="n">
        <v>57</v>
      </c>
      <c r="C766" s="2" t="inlineStr">
        <is>
          <t>M</t>
        </is>
      </c>
      <c r="D766" s="2" t="n">
        <v>100</v>
      </c>
      <c r="E766" s="4">
        <f>HYPERLINK("./Results/DLO\20181201_1.3.46.670589.33.1.63680205738188044200001.5320529816200132667_201_512_512_\Osteo_Sarco_1.png","RPT")</f>
        <v/>
      </c>
      <c r="F766" s="3" t="n">
        <v>158</v>
      </c>
      <c r="G766" s="3" t="n">
        <v>15</v>
      </c>
      <c r="H766" s="7" t="n"/>
      <c r="I766" t="inlineStr">
        <is>
          <t>Ingenuity Core 128</t>
        </is>
      </c>
      <c r="J766" t="inlineStr">
        <is>
          <t>Post 100/236 i3, iDose (3)</t>
        </is>
      </c>
    </row>
    <row r="767">
      <c r="A767" s="2" t="n">
        <v>3920674</v>
      </c>
      <c r="B767" s="2" t="n">
        <v>57</v>
      </c>
      <c r="C767" s="2" t="inlineStr">
        <is>
          <t>M</t>
        </is>
      </c>
      <c r="D767" s="2" t="n">
        <v>100</v>
      </c>
      <c r="E767" s="4">
        <f>HYPERLINK("./Results/DLO\20180401_1.3.46.670589.33.1.63658255964933733000001.4875461748427343892_201_512_512_\Osteo_Sarco_1.png","RPT")</f>
        <v/>
      </c>
      <c r="F767" s="3" t="n">
        <v>157</v>
      </c>
      <c r="G767" s="3" t="n">
        <v>8</v>
      </c>
      <c r="H767" s="7" t="n"/>
      <c r="I767" t="inlineStr">
        <is>
          <t>Ingenuity Core 128</t>
        </is>
      </c>
      <c r="J767" t="inlineStr">
        <is>
          <t>Post 100/236 i3, iDose (3)</t>
        </is>
      </c>
    </row>
    <row r="768">
      <c r="A768" s="2" t="n">
        <v>6005507</v>
      </c>
      <c r="B768" s="2" t="n">
        <v>57</v>
      </c>
      <c r="C768" s="2" t="inlineStr">
        <is>
          <t>M</t>
        </is>
      </c>
      <c r="D768" s="2" t="n">
        <v>100</v>
      </c>
      <c r="E768" s="4">
        <f>HYPERLINK("./Results/DLO\20200201_1.2.840.113619.2.416.156335771787909421781446094057169928362_303_512_512_\Osteo_Sarco_1.png","RPT")</f>
        <v/>
      </c>
      <c r="F768" s="3" t="n">
        <v>154</v>
      </c>
      <c r="G768" s="3" t="n">
        <v>22</v>
      </c>
      <c r="H768" s="7" t="n"/>
      <c r="I768" t="inlineStr">
        <is>
          <t>Revolution CT</t>
        </is>
      </c>
      <c r="J768" t="inlineStr">
        <is>
          <t>ABD</t>
        </is>
      </c>
    </row>
    <row r="769">
      <c r="A769" s="2" t="n">
        <v>8349946</v>
      </c>
      <c r="B769" s="2" t="n">
        <v>57</v>
      </c>
      <c r="C769" s="2" t="inlineStr">
        <is>
          <t>M</t>
        </is>
      </c>
      <c r="D769" s="2" t="n">
        <v>100</v>
      </c>
      <c r="E769" s="4">
        <f>HYPERLINK("./Results/DLO\20180101_1.3.12.2.1107.5.1.4.54310.30000018010723300587500007635_2_512_512_\Osteo_Sarco_1.png","RPT")</f>
        <v/>
      </c>
      <c r="F769" s="3" t="n">
        <v>151</v>
      </c>
      <c r="G769" s="3" t="n">
        <v>12</v>
      </c>
      <c r="H769" s="7" t="n"/>
      <c r="I769" t="inlineStr">
        <is>
          <t>Sensation 64</t>
        </is>
      </c>
      <c r="J769" t="inlineStr">
        <is>
          <t>With Contrast 3.0 B30f</t>
        </is>
      </c>
    </row>
    <row r="770">
      <c r="A770" s="2" t="n">
        <v>6742555</v>
      </c>
      <c r="B770" s="2" t="n">
        <v>57</v>
      </c>
      <c r="C770" s="2" t="inlineStr">
        <is>
          <t>M</t>
        </is>
      </c>
      <c r="D770" s="2" t="n">
        <v>100</v>
      </c>
      <c r="E770" s="4">
        <f>HYPERLINK("./Results/DLO\20180201_1.3.46.670589.33.1.63654202878107488900001.5011709875376533780_601_512_512_\Osteo_Sarco_1.png","RPT")</f>
        <v/>
      </c>
      <c r="F770" s="3" t="n">
        <v>150</v>
      </c>
      <c r="G770" s="3" t="n">
        <v>7</v>
      </c>
      <c r="H770" s="7" t="n"/>
      <c r="I770" t="inlineStr">
        <is>
          <t>Ingenuity Core 128</t>
        </is>
      </c>
      <c r="J770" t="inlineStr">
        <is>
          <t>Post 100/236 i3, iDose (3)</t>
        </is>
      </c>
    </row>
    <row r="771">
      <c r="A771" s="2" t="n">
        <v>5983968</v>
      </c>
      <c r="B771" s="2" t="n">
        <v>57</v>
      </c>
      <c r="C771" s="2" t="inlineStr">
        <is>
          <t>M</t>
        </is>
      </c>
      <c r="D771" s="2" t="n">
        <v>100</v>
      </c>
      <c r="E771" s="4">
        <f>HYPERLINK("./Results/DLO\20180301_1.3.12.2.1107.5.1.4.65253.30000018031620492516800031649_2_512_512_\Osteo_Sarco_1.png","RPT")</f>
        <v/>
      </c>
      <c r="F771" s="3" t="n">
        <v>150</v>
      </c>
      <c r="G771" s="3" t="n">
        <v>5</v>
      </c>
      <c r="H771" s="7" t="n"/>
      <c r="I771" t="inlineStr">
        <is>
          <t>SOMATOM Definition AS</t>
        </is>
      </c>
      <c r="J771" t="inlineStr">
        <is>
          <t>Pre 3.0 I40f</t>
        </is>
      </c>
    </row>
    <row r="772">
      <c r="A772" s="2" t="n">
        <v>5706950</v>
      </c>
      <c r="B772" s="2" t="n">
        <v>57</v>
      </c>
      <c r="C772" s="2" t="inlineStr">
        <is>
          <t>M</t>
        </is>
      </c>
      <c r="D772" s="2" t="n">
        <v>100</v>
      </c>
      <c r="E772" s="4">
        <f>HYPERLINK("./Results/DLO\20181001_1.3.46.670589.33.1.63676486925806293700001.4614842550719194004_201_512_512_\Osteo_Sarco_1.png","RPT")</f>
        <v/>
      </c>
      <c r="F772" s="3" t="n">
        <v>149</v>
      </c>
      <c r="G772" s="3" t="n">
        <v>15</v>
      </c>
      <c r="H772" s="7" t="n"/>
      <c r="I772" t="inlineStr">
        <is>
          <t>Ingenuity Core 128</t>
        </is>
      </c>
      <c r="J772" t="inlineStr">
        <is>
          <t>Post 100/236 i3, iDose (3)</t>
        </is>
      </c>
    </row>
    <row r="773">
      <c r="A773" s="2" t="n">
        <v>8366765</v>
      </c>
      <c r="B773" s="2" t="n">
        <v>57</v>
      </c>
      <c r="C773" s="2" t="inlineStr">
        <is>
          <t>M</t>
        </is>
      </c>
      <c r="D773" s="2" t="n">
        <v>100</v>
      </c>
      <c r="E773" s="4">
        <f>HYPERLINK("./Results/DLO\20180201_1.2.840.113619.2.311.159685549445192673318176094701042640274_304_512_512_\Osteo_Sarco_1.png","RPT")</f>
        <v/>
      </c>
      <c r="F773" s="3" t="n">
        <v>146</v>
      </c>
      <c r="G773" s="3" t="n">
        <v>11</v>
      </c>
      <c r="H773" s="7" t="n"/>
      <c r="I773" t="inlineStr">
        <is>
          <t>Revolution CT</t>
        </is>
      </c>
      <c r="J773" t="inlineStr">
        <is>
          <t>ABD 2.5mm</t>
        </is>
      </c>
    </row>
    <row r="774">
      <c r="A774" s="2" t="n">
        <v>2089584</v>
      </c>
      <c r="B774" s="2" t="n">
        <v>57</v>
      </c>
      <c r="C774" s="2" t="inlineStr">
        <is>
          <t>M</t>
        </is>
      </c>
      <c r="D774" s="2" t="n">
        <v>100</v>
      </c>
      <c r="E774" s="4">
        <f>HYPERLINK("./Results/DLO\20181001_1.3.12.2.1107.5.1.4.54310.30000018101100161426500014105_3_512_512_\Osteo_Sarco_1.png","RPT")</f>
        <v/>
      </c>
      <c r="F774" s="3" t="n">
        <v>145</v>
      </c>
      <c r="G774" s="3" t="n">
        <v>7</v>
      </c>
      <c r="H774" s="6" t="n">
        <v>23.41</v>
      </c>
      <c r="I774" t="inlineStr">
        <is>
          <t>Sensation 64</t>
        </is>
      </c>
      <c r="J774" t="inlineStr">
        <is>
          <t>With Contrast 3.0 B30f</t>
        </is>
      </c>
    </row>
    <row r="775">
      <c r="A775" s="2" t="n">
        <v>8381753</v>
      </c>
      <c r="B775" s="2" t="n">
        <v>57</v>
      </c>
      <c r="C775" s="2" t="inlineStr">
        <is>
          <t>M</t>
        </is>
      </c>
      <c r="D775" s="2" t="n">
        <v>100</v>
      </c>
      <c r="E775" s="4">
        <f>HYPERLINK("./Results/DLO\20190201_1.3.12.2.1107.5.1.4.54310.30000019022523304521800014571_2_512_512_\Osteo_Sarco_1.png","RPT")</f>
        <v/>
      </c>
      <c r="F775" s="3" t="n">
        <v>144</v>
      </c>
      <c r="G775" s="3" t="n">
        <v>6</v>
      </c>
      <c r="H775" s="7" t="n"/>
      <c r="I775" t="inlineStr">
        <is>
          <t>Sensation 64</t>
        </is>
      </c>
      <c r="J775" t="inlineStr">
        <is>
          <t>With Contrast 3.0 B30f</t>
        </is>
      </c>
    </row>
    <row r="776">
      <c r="A776" s="2" t="n">
        <v>5744656</v>
      </c>
      <c r="B776" s="2" t="n">
        <v>57</v>
      </c>
      <c r="C776" s="2" t="inlineStr">
        <is>
          <t>M</t>
        </is>
      </c>
      <c r="D776" s="2" t="n">
        <v>100</v>
      </c>
      <c r="E776" s="4">
        <f>HYPERLINK("./Results/DLO\20190501_1.3.12.2.1107.5.1.4.54310.30000019052621325350000024198_6_512_512_\Osteo_Sarco_1.png","RPT")</f>
        <v/>
      </c>
      <c r="F776" s="3" t="n">
        <v>141</v>
      </c>
      <c r="G776" s="3" t="n">
        <v>6</v>
      </c>
      <c r="H776" s="7" t="n"/>
      <c r="I776" t="inlineStr">
        <is>
          <t>Sensation 64</t>
        </is>
      </c>
      <c r="J776" t="inlineStr">
        <is>
          <t>ABD Contrast 3.0 B30f</t>
        </is>
      </c>
    </row>
    <row r="777">
      <c r="A777" s="2" t="n">
        <v>3648841</v>
      </c>
      <c r="B777" s="2" t="n">
        <v>57</v>
      </c>
      <c r="C777" s="2" t="inlineStr">
        <is>
          <t>M</t>
        </is>
      </c>
      <c r="D777" s="2" t="n">
        <v>100</v>
      </c>
      <c r="E777" s="4">
        <f>HYPERLINK("./Results/DLO\20200201_1.3.46.670589.33.1.63717179252472902200001.5636752981289577340_201_512_512_\Osteo_Sarco_1.png","RPT")</f>
        <v/>
      </c>
      <c r="F777" s="3" t="n">
        <v>140</v>
      </c>
      <c r="G777" s="3" t="n">
        <v>9</v>
      </c>
      <c r="H777" s="6" t="n">
        <v>26.45</v>
      </c>
      <c r="I777" t="inlineStr">
        <is>
          <t>Ingenuity Core 128</t>
        </is>
      </c>
      <c r="J777" t="inlineStr">
        <is>
          <t>Post 3mm, iDose (3)</t>
        </is>
      </c>
    </row>
    <row r="778">
      <c r="A778" s="2" t="n">
        <v>5020931</v>
      </c>
      <c r="B778" s="2" t="n">
        <v>57</v>
      </c>
      <c r="C778" s="2" t="inlineStr">
        <is>
          <t>F</t>
        </is>
      </c>
      <c r="D778" s="2" t="n">
        <v>100</v>
      </c>
      <c r="E778" s="4">
        <f>HYPERLINK("./Results/DLO\20181101_1.2.840.113619.2.416.211499439491267007709180581376486837092_304_512_512_\Osteo_Sarco_1.png","RPT")</f>
        <v/>
      </c>
      <c r="F778" s="3" t="n">
        <v>135</v>
      </c>
      <c r="G778" s="3" t="n">
        <v>14</v>
      </c>
      <c r="H778" s="7" t="n"/>
      <c r="I778" t="inlineStr">
        <is>
          <t>Revolution CT</t>
        </is>
      </c>
      <c r="J778" t="inlineStr">
        <is>
          <t>ABD 2.5mm</t>
        </is>
      </c>
    </row>
    <row r="779">
      <c r="A779" s="2" t="n">
        <v>8277873</v>
      </c>
      <c r="B779" s="2" t="n">
        <v>57</v>
      </c>
      <c r="C779" s="2" t="inlineStr">
        <is>
          <t>M</t>
        </is>
      </c>
      <c r="D779" s="2" t="n">
        <v>100</v>
      </c>
      <c r="E779" s="4">
        <f>HYPERLINK("./Results/DLO\20191101_1.3.46.670589.33.1.63710530226709857300001.5562643206396736056_201_512_512_\Osteo_Sarco_1.png","RPT")</f>
        <v/>
      </c>
      <c r="F779" s="3" t="n">
        <v>132</v>
      </c>
      <c r="G779" s="3" t="n">
        <v>10</v>
      </c>
      <c r="H779" s="7" t="n"/>
      <c r="I779" t="inlineStr">
        <is>
          <t>Ingenuity Core 128</t>
        </is>
      </c>
      <c r="J779" t="inlineStr">
        <is>
          <t>Post 3mm, iDose (3)</t>
        </is>
      </c>
    </row>
    <row r="780">
      <c r="A780" s="2" t="n">
        <v>6106940</v>
      </c>
      <c r="B780" s="2" t="n">
        <v>57</v>
      </c>
      <c r="C780" s="2" t="inlineStr">
        <is>
          <t>F</t>
        </is>
      </c>
      <c r="D780" s="2" t="n">
        <v>100</v>
      </c>
      <c r="E780" s="4">
        <f>HYPERLINK("./Results/DLO\20190401_1.3.12.2.1107.5.1.4.54310.30000019041623401839000000716_2_512_512_\Osteo_Sarco_1.png","RPT")</f>
        <v/>
      </c>
      <c r="F780" s="3" t="n">
        <v>131</v>
      </c>
      <c r="G780" s="3" t="n">
        <v>11</v>
      </c>
      <c r="H780" s="7" t="n"/>
      <c r="I780" t="inlineStr">
        <is>
          <t>Sensation 64</t>
        </is>
      </c>
      <c r="J780" t="inlineStr">
        <is>
          <t>With Contrast 3.0 B30f</t>
        </is>
      </c>
    </row>
    <row r="781">
      <c r="A781" s="2" t="n">
        <v>5869380</v>
      </c>
      <c r="B781" s="2" t="n">
        <v>57</v>
      </c>
      <c r="C781" s="2" t="inlineStr">
        <is>
          <t>F</t>
        </is>
      </c>
      <c r="D781" s="2" t="n">
        <v>100</v>
      </c>
      <c r="E781" s="4">
        <f>HYPERLINK("./Results/DLO\20190101_1.3.12.2.1107.5.1.4.54310.30000019013000370112500008060_2_512_512_\Osteo_Sarco_1.png","RPT")</f>
        <v/>
      </c>
      <c r="F781" s="3" t="n">
        <v>128</v>
      </c>
      <c r="G781" s="3" t="n">
        <v>5</v>
      </c>
      <c r="H781" s="7" t="n"/>
      <c r="I781" t="inlineStr">
        <is>
          <t>Sensation 64</t>
        </is>
      </c>
      <c r="J781" t="inlineStr">
        <is>
          <t>With Contrast 3.0 B30f</t>
        </is>
      </c>
    </row>
    <row r="782">
      <c r="A782" s="2" t="n">
        <v>8851572</v>
      </c>
      <c r="B782" s="2" t="n">
        <v>57</v>
      </c>
      <c r="C782" s="2" t="inlineStr">
        <is>
          <t>M</t>
        </is>
      </c>
      <c r="D782" s="2" t="n">
        <v>100</v>
      </c>
      <c r="E782" s="4">
        <f>HYPERLINK("./Results/DLO\20191001_1.3.46.670589.33.1.63707426213927846500001.5076606594230436207_201_512_512_\Osteo_Sarco_1.png","RPT")</f>
        <v/>
      </c>
      <c r="F782" s="3" t="n">
        <v>127</v>
      </c>
      <c r="G782" s="3" t="n">
        <v>8</v>
      </c>
      <c r="H782" s="7" t="n"/>
      <c r="I782" t="inlineStr">
        <is>
          <t>Ingenuity Core 128</t>
        </is>
      </c>
      <c r="J782" t="inlineStr">
        <is>
          <t>Pre 3mm, iDose (4)</t>
        </is>
      </c>
    </row>
    <row r="783">
      <c r="A783" s="2" t="n">
        <v>8570577</v>
      </c>
      <c r="B783" s="2" t="n">
        <v>57</v>
      </c>
      <c r="C783" s="2" t="inlineStr">
        <is>
          <t>F</t>
        </is>
      </c>
      <c r="D783" s="2" t="n">
        <v>100</v>
      </c>
      <c r="E783" s="4">
        <f>HYPERLINK("./Results/DLO\20180301_1.2.840.113619.2.311.236091038096259703036544964899182435120_304_512_512_\Osteo_Sarco_1.png","RPT")</f>
        <v/>
      </c>
      <c r="F783" s="3" t="n">
        <v>126</v>
      </c>
      <c r="G783" s="3" t="n">
        <v>15</v>
      </c>
      <c r="H783" s="7" t="n"/>
      <c r="I783" t="inlineStr">
        <is>
          <t>Revolution CT</t>
        </is>
      </c>
      <c r="J783" t="inlineStr">
        <is>
          <t>ABD 2.5mm</t>
        </is>
      </c>
    </row>
    <row r="784">
      <c r="A784" s="2" t="n">
        <v>5966316</v>
      </c>
      <c r="B784" s="2" t="n">
        <v>57</v>
      </c>
      <c r="C784" s="2" t="inlineStr">
        <is>
          <t>M</t>
        </is>
      </c>
      <c r="D784" s="2" t="n">
        <v>100</v>
      </c>
      <c r="E784" s="4">
        <f>HYPERLINK("./Results/DLO\20190101_1.2.840.113619.2.311.193776212824333823010045949917247159626_304_512_512_\Osteo_Sarco_1.png","RPT")</f>
        <v/>
      </c>
      <c r="F784" s="3" t="n">
        <v>125</v>
      </c>
      <c r="G784" s="3" t="n">
        <v>5</v>
      </c>
      <c r="H784" s="7" t="n"/>
      <c r="I784" t="inlineStr">
        <is>
          <t>Revolution CT</t>
        </is>
      </c>
      <c r="J784" t="inlineStr">
        <is>
          <t>ABD 2.5mm</t>
        </is>
      </c>
    </row>
    <row r="785">
      <c r="A785" s="2" t="n">
        <v>1459329</v>
      </c>
      <c r="B785" s="2" t="n">
        <v>57</v>
      </c>
      <c r="C785" s="2" t="inlineStr">
        <is>
          <t>F</t>
        </is>
      </c>
      <c r="D785" s="2" t="n">
        <v>100</v>
      </c>
      <c r="E785" s="4">
        <f>HYPERLINK("./Results/DLO\20190101_1.2.840.113619.2.311.94364996060561483147522917520879894549_304_512_512_\Osteo_Sarco_1.png","RPT")</f>
        <v/>
      </c>
      <c r="F785" s="3" t="n">
        <v>125</v>
      </c>
      <c r="G785" s="3" t="n">
        <v>12</v>
      </c>
      <c r="H785" s="7" t="n"/>
      <c r="I785" t="inlineStr">
        <is>
          <t>Revolution CT</t>
        </is>
      </c>
      <c r="J785" t="inlineStr">
        <is>
          <t>ABD 2.5mm</t>
        </is>
      </c>
    </row>
    <row r="786">
      <c r="A786" s="2" t="n">
        <v>8343755</v>
      </c>
      <c r="B786" s="2" t="n">
        <v>57</v>
      </c>
      <c r="C786" s="2" t="inlineStr">
        <is>
          <t>F</t>
        </is>
      </c>
      <c r="D786" s="2" t="n">
        <v>100</v>
      </c>
      <c r="E786" s="4">
        <f>HYPERLINK("./Results/DLO\20181001_1.3.12.2.1107.5.1.4.54310.30000018093023302303100005658_2_512_512_\Osteo_Sarco_1.png","RPT")</f>
        <v/>
      </c>
      <c r="F786" s="3" t="n">
        <v>121</v>
      </c>
      <c r="G786" s="3" t="n">
        <v>10</v>
      </c>
      <c r="H786" s="7" t="n"/>
      <c r="I786" t="inlineStr">
        <is>
          <t>Sensation 64</t>
        </is>
      </c>
      <c r="J786" t="inlineStr">
        <is>
          <t>With Contrast 3.0 B30f</t>
        </is>
      </c>
    </row>
    <row r="787">
      <c r="A787" s="2" t="n">
        <v>6738330</v>
      </c>
      <c r="B787" s="2" t="n">
        <v>57</v>
      </c>
      <c r="C787" s="2" t="inlineStr">
        <is>
          <t>F</t>
        </is>
      </c>
      <c r="D787" s="2" t="n">
        <v>100</v>
      </c>
      <c r="E787" s="4">
        <f>HYPERLINK("./Results/DLO\20190601_1.2.840.113619.2.416.279934401143079305161592720155425410702_310_512_512_\Osteo_Sarco_1.png","RPT")</f>
        <v/>
      </c>
      <c r="F787" s="3" t="n">
        <v>120</v>
      </c>
      <c r="G787" s="3" t="n">
        <v>22</v>
      </c>
      <c r="H787" s="7" t="n"/>
      <c r="I787" t="inlineStr">
        <is>
          <t>Revolution CT</t>
        </is>
      </c>
      <c r="J787" t="inlineStr">
        <is>
          <t>ABD</t>
        </is>
      </c>
    </row>
    <row r="788">
      <c r="A788" s="2" t="n">
        <v>5023314</v>
      </c>
      <c r="B788" s="2" t="n">
        <v>57</v>
      </c>
      <c r="C788" s="2" t="inlineStr">
        <is>
          <t>F</t>
        </is>
      </c>
      <c r="D788" s="2" t="n">
        <v>100</v>
      </c>
      <c r="E788" s="4">
        <f>HYPERLINK("./Results/DLO\20180301_1.2.840.113619.2.94.485650834948.2.8734066.18869954.1_2_512_512_\Osteo_Sarco_1.png","RPT")</f>
        <v/>
      </c>
      <c r="F788" s="3" t="n">
        <v>111</v>
      </c>
      <c r="G788" s="3" t="n">
        <v>10</v>
      </c>
      <c r="H788" s="7" t="n"/>
      <c r="I788" t="inlineStr">
        <is>
          <t>Sensation 64</t>
        </is>
      </c>
      <c r="J788" t="inlineStr">
        <is>
          <t>With Contrast 3.0 B30f</t>
        </is>
      </c>
    </row>
    <row r="789">
      <c r="A789" s="2" t="n">
        <v>3181128</v>
      </c>
      <c r="B789" s="2" t="n">
        <v>57</v>
      </c>
      <c r="C789" s="2" t="inlineStr">
        <is>
          <t>F</t>
        </is>
      </c>
      <c r="D789" s="2" t="n">
        <v>100</v>
      </c>
      <c r="E789" s="4">
        <f>HYPERLINK("./Results/DLO\20191001_1.3.12.2.1107.5.1.4.54310.30000019101407382498400004064_7_512_512_\Osteo_Sarco_1.png","RPT")</f>
        <v/>
      </c>
      <c r="F789" s="3" t="n">
        <v>109</v>
      </c>
      <c r="G789" s="3" t="n">
        <v>5</v>
      </c>
      <c r="H789" s="7" t="n"/>
      <c r="I789" t="inlineStr">
        <is>
          <t>Sensation 64</t>
        </is>
      </c>
      <c r="J789" t="inlineStr">
        <is>
          <t>ABD Contrast 3.0 B30f</t>
        </is>
      </c>
    </row>
    <row r="790">
      <c r="A790" s="2" t="n">
        <v>5871361</v>
      </c>
      <c r="B790" s="2" t="n">
        <v>57</v>
      </c>
      <c r="C790" s="2" t="inlineStr">
        <is>
          <t>F</t>
        </is>
      </c>
      <c r="D790" s="2" t="n">
        <v>100</v>
      </c>
      <c r="E790" s="4">
        <f>HYPERLINK("./Results/DLO\20180801_1.2.840.113619.2.311.206525386978765428021041553589638931921_304_512_512_\Osteo_Sarco_1.png","RPT")</f>
        <v/>
      </c>
      <c r="F790" s="3" t="n">
        <v>108</v>
      </c>
      <c r="G790" s="3" t="n">
        <v>6</v>
      </c>
      <c r="H790" s="6" t="n">
        <v>23.41</v>
      </c>
      <c r="I790" t="inlineStr">
        <is>
          <t>Revolution CT</t>
        </is>
      </c>
      <c r="J790" t="inlineStr">
        <is>
          <t>ABD 2.5mm</t>
        </is>
      </c>
    </row>
    <row r="791">
      <c r="A791" s="2" t="n">
        <v>2712394</v>
      </c>
      <c r="B791" s="2" t="n">
        <v>57</v>
      </c>
      <c r="C791" s="2" t="inlineStr">
        <is>
          <t>F</t>
        </is>
      </c>
      <c r="D791" s="2" t="n">
        <v>100</v>
      </c>
      <c r="E791" s="4">
        <f>HYPERLINK("./Results/DLO\20180201_1.3.12.2.1107.5.1.4.54310.30000018020723145868700012997_4_512_512_\Osteo_Sarco_1.png","RPT")</f>
        <v/>
      </c>
      <c r="F791" s="3" t="n">
        <v>107</v>
      </c>
      <c r="G791" s="3" t="n">
        <v>8</v>
      </c>
      <c r="H791" s="7" t="n"/>
      <c r="I791" t="inlineStr">
        <is>
          <t>Sensation 64</t>
        </is>
      </c>
      <c r="J791" t="inlineStr">
        <is>
          <t>Pre Contrast 3.0 B30f</t>
        </is>
      </c>
    </row>
    <row r="792">
      <c r="A792" s="2" t="n">
        <v>8398393</v>
      </c>
      <c r="B792" s="2" t="n">
        <v>57</v>
      </c>
      <c r="C792" s="2" t="inlineStr">
        <is>
          <t>F</t>
        </is>
      </c>
      <c r="D792" s="2" t="n">
        <v>100</v>
      </c>
      <c r="E792" s="4">
        <f>HYPERLINK("./Results/DLO\20180801_1.3.12.2.1107.5.1.4.65253.30000018083020022700600020854_3_512_512_\Osteo_Sarco_1.png","RPT")</f>
        <v/>
      </c>
      <c r="F792" s="3" t="n">
        <v>105</v>
      </c>
      <c r="G792" s="3" t="n">
        <v>4</v>
      </c>
      <c r="H792" s="7" t="n"/>
      <c r="I792" t="inlineStr">
        <is>
          <t>SOMATOM Definition AS</t>
        </is>
      </c>
      <c r="J792" t="inlineStr">
        <is>
          <t>Post Contrast 3.0 B30f</t>
        </is>
      </c>
    </row>
    <row r="793">
      <c r="A793" s="2" t="n">
        <v>2265515</v>
      </c>
      <c r="B793" s="2" t="n">
        <v>57</v>
      </c>
      <c r="C793" s="2" t="inlineStr">
        <is>
          <t>M</t>
        </is>
      </c>
      <c r="D793" s="2" t="n">
        <v>100</v>
      </c>
      <c r="E793" s="4">
        <f>HYPERLINK("./Results/DLO\20180401_1.3.12.2.1107.5.1.4.54310.30000018040823074450000046244_3_512_512_\Osteo_Sarco_1.png","RPT")</f>
        <v/>
      </c>
      <c r="F793" s="3" t="n">
        <v>104</v>
      </c>
      <c r="G793" s="3" t="n">
        <v>8</v>
      </c>
      <c r="H793" s="7" t="n"/>
      <c r="I793" t="inlineStr">
        <is>
          <t>Sensation 64</t>
        </is>
      </c>
      <c r="J793" t="inlineStr">
        <is>
          <t>Pre Contrast 3.0 B30f</t>
        </is>
      </c>
    </row>
    <row r="794">
      <c r="A794" s="2" t="n">
        <v>6022586</v>
      </c>
      <c r="B794" s="2" t="n">
        <v>57</v>
      </c>
      <c r="C794" s="2" t="inlineStr">
        <is>
          <t>F</t>
        </is>
      </c>
      <c r="D794" s="2" t="n">
        <v>100</v>
      </c>
      <c r="E794" s="4">
        <f>HYPERLINK("./Results/DLO\20180501_1.3.12.2.1107.5.1.4.65253.30000018052118531314100062664_5_512_512_\Osteo_Sarco_1.png","RPT")</f>
        <v/>
      </c>
      <c r="F794" s="3" t="n">
        <v>104</v>
      </c>
      <c r="G794" s="3" t="n">
        <v>7</v>
      </c>
      <c r="H794" s="7" t="n"/>
      <c r="I794" t="inlineStr">
        <is>
          <t>SOMATOM Definition AS</t>
        </is>
      </c>
      <c r="J794" t="inlineStr">
        <is>
          <t>Arterial Phase 3.0 B30f</t>
        </is>
      </c>
    </row>
    <row r="795">
      <c r="A795" s="2" t="n">
        <v>4688846</v>
      </c>
      <c r="B795" s="2" t="n">
        <v>57</v>
      </c>
      <c r="C795" s="2" t="inlineStr">
        <is>
          <t>F</t>
        </is>
      </c>
      <c r="D795" s="2" t="n">
        <v>100</v>
      </c>
      <c r="E795" s="4">
        <f>HYPERLINK("./Results/DLO\20190501_1.2.840.113619.2.416.285798306634871822182323035429444940085_310_512_512_\Osteo_Sarco_1.png","RPT")</f>
        <v/>
      </c>
      <c r="F795" s="3" t="n">
        <v>102</v>
      </c>
      <c r="G795" s="3" t="n">
        <v>6</v>
      </c>
      <c r="H795" s="7" t="n"/>
      <c r="I795" t="inlineStr">
        <is>
          <t>Revolution CT</t>
        </is>
      </c>
      <c r="J795" t="inlineStr">
        <is>
          <t>ABD</t>
        </is>
      </c>
    </row>
    <row r="796">
      <c r="A796" s="2" t="n">
        <v>6017649</v>
      </c>
      <c r="B796" s="2" t="n">
        <v>57</v>
      </c>
      <c r="C796" s="2" t="inlineStr">
        <is>
          <t>F</t>
        </is>
      </c>
      <c r="D796" s="2" t="n">
        <v>100</v>
      </c>
      <c r="E796" s="4">
        <f>HYPERLINK("./Results/DLO\20200501_1.2.840.113619.2.416.166532564081695542890484292555781056575_307_512_512_\Osteo_Sarco_1.png","RPT")</f>
        <v/>
      </c>
      <c r="F796" s="3" t="n">
        <v>101</v>
      </c>
      <c r="G796" s="3" t="n">
        <v>8</v>
      </c>
      <c r="H796" s="7" t="n"/>
      <c r="I796" t="inlineStr">
        <is>
          <t>Revolution CT</t>
        </is>
      </c>
      <c r="J796" t="inlineStr">
        <is>
          <t>ABD</t>
        </is>
      </c>
    </row>
    <row r="797">
      <c r="A797" s="2" t="n">
        <v>5520454</v>
      </c>
      <c r="B797" s="2" t="n">
        <v>57</v>
      </c>
      <c r="C797" s="2" t="inlineStr">
        <is>
          <t>F</t>
        </is>
      </c>
      <c r="D797" s="2" t="n">
        <v>100</v>
      </c>
      <c r="E797" s="4">
        <f>HYPERLINK("./Results/DLO\20180501_1.3.12.2.1107.5.1.4.54310.30000018051323243418700013061_2_512_512_\Osteo_Sarco_1.png","RPT")</f>
        <v/>
      </c>
      <c r="F797" s="3" t="n">
        <v>100</v>
      </c>
      <c r="G797" s="3" t="n">
        <v>14</v>
      </c>
      <c r="H797" s="6" t="n">
        <v>23.6</v>
      </c>
      <c r="I797" t="inlineStr">
        <is>
          <t>Sensation 64</t>
        </is>
      </c>
      <c r="J797" t="inlineStr">
        <is>
          <t>With Contrast 3.0 B30f</t>
        </is>
      </c>
    </row>
    <row r="798">
      <c r="A798" s="2" t="n">
        <v>2924108</v>
      </c>
      <c r="B798" s="2" t="n">
        <v>57</v>
      </c>
      <c r="C798" s="2" t="inlineStr">
        <is>
          <t>F</t>
        </is>
      </c>
      <c r="D798" s="2" t="n">
        <v>100</v>
      </c>
      <c r="E798" s="4">
        <f>HYPERLINK("./Results/DLO\20180901_1.3.12.2.1107.5.1.4.54310.30000018092723151085900018991_3_512_512_\Osteo_Sarco_1.png","RPT")</f>
        <v/>
      </c>
      <c r="F798" s="3" t="n">
        <v>100</v>
      </c>
      <c r="G798" s="3" t="n">
        <v>8</v>
      </c>
      <c r="H798" s="7" t="n"/>
      <c r="I798" t="inlineStr">
        <is>
          <t>Sensation 64</t>
        </is>
      </c>
      <c r="J798" t="inlineStr">
        <is>
          <t>Pre Contrast 3.0 B30f</t>
        </is>
      </c>
    </row>
    <row r="799">
      <c r="A799" s="2" t="n">
        <v>2022837</v>
      </c>
      <c r="B799" s="2" t="n">
        <v>57</v>
      </c>
      <c r="C799" s="2" t="inlineStr">
        <is>
          <t>F</t>
        </is>
      </c>
      <c r="D799" s="2" t="n">
        <v>100</v>
      </c>
      <c r="E799" s="4">
        <f>HYPERLINK("./Results/DLO\20190101_1.3.12.2.1107.5.1.4.54310.30000019012823333212500025301_3_512_512_\Osteo_Sarco_1.png","RPT")</f>
        <v/>
      </c>
      <c r="F799" s="3" t="n">
        <v>100</v>
      </c>
      <c r="G799" s="3" t="n">
        <v>8</v>
      </c>
      <c r="H799" s="7" t="n"/>
      <c r="I799" t="inlineStr">
        <is>
          <t>Sensation 64</t>
        </is>
      </c>
      <c r="J799" t="inlineStr">
        <is>
          <t>With Contrast 3.0 B30f</t>
        </is>
      </c>
    </row>
    <row r="800">
      <c r="A800" s="2" t="n">
        <v>8447268</v>
      </c>
      <c r="B800" s="2" t="n">
        <v>57</v>
      </c>
      <c r="C800" s="2" t="inlineStr">
        <is>
          <t>F</t>
        </is>
      </c>
      <c r="D800" s="2" t="n">
        <v>100</v>
      </c>
      <c r="E800" s="4">
        <f>HYPERLINK("./Results/DLO\20190501_1.3.12.2.1107.5.1.4.65253.30000019050202342184700031522_3_512_512_\Osteo_Sarco_1.png","RPT")</f>
        <v/>
      </c>
      <c r="F800" s="3" t="n">
        <v>100</v>
      </c>
      <c r="G800" s="3" t="n">
        <v>5</v>
      </c>
      <c r="H800" s="6" t="n">
        <v>18.03</v>
      </c>
      <c r="I800" t="inlineStr">
        <is>
          <t>SOMATOM Definition AS</t>
        </is>
      </c>
      <c r="J800" t="inlineStr">
        <is>
          <t>Post Contrast 3.0 B30f</t>
        </is>
      </c>
    </row>
    <row r="801">
      <c r="A801" s="2" t="n">
        <v>4673903</v>
      </c>
      <c r="B801" s="2" t="n">
        <v>57</v>
      </c>
      <c r="C801" s="2" t="inlineStr">
        <is>
          <t>F</t>
        </is>
      </c>
      <c r="D801" s="2" t="n">
        <v>100</v>
      </c>
      <c r="E801" s="4">
        <f>HYPERLINK("./Results/DLO\20191201_1.2.840.113619.2.416.101738630868512168997182727986645694717_310_512_512_\Osteo_Sarco_1.png","RPT")</f>
        <v/>
      </c>
      <c r="F801" s="3" t="n">
        <v>100</v>
      </c>
      <c r="G801" s="3" t="n">
        <v>8</v>
      </c>
      <c r="H801" s="6" t="n">
        <v>19.42</v>
      </c>
      <c r="I801" t="inlineStr">
        <is>
          <t>Revolution CT</t>
        </is>
      </c>
      <c r="J801" t="inlineStr">
        <is>
          <t>ABD</t>
        </is>
      </c>
    </row>
    <row r="802">
      <c r="A802" s="2" t="n">
        <v>5062104</v>
      </c>
      <c r="B802" s="2" t="n">
        <v>58</v>
      </c>
      <c r="C802" s="2" t="inlineStr">
        <is>
          <t>F</t>
        </is>
      </c>
      <c r="D802" s="2" t="n">
        <v>100</v>
      </c>
      <c r="E802" s="4">
        <f>HYPERLINK("./Results/DLO\20180501_1.3.12.2.1107.5.1.4.65253.30000018052821115411400033360_2_512_512_\Osteo_Sarco_1.png","RPT")</f>
        <v/>
      </c>
      <c r="F802" s="3" t="n">
        <v>97</v>
      </c>
      <c r="G802" s="3" t="n">
        <v>8</v>
      </c>
      <c r="H802" s="7" t="n"/>
      <c r="I802" t="inlineStr">
        <is>
          <t>SOMATOM Definition AS</t>
        </is>
      </c>
      <c r="J802" t="inlineStr">
        <is>
          <t>Pre Contrast 3.0 B30f</t>
        </is>
      </c>
    </row>
    <row r="803">
      <c r="A803" s="2" t="n">
        <v>400017</v>
      </c>
      <c r="B803" s="2" t="n">
        <v>58</v>
      </c>
      <c r="C803" s="2" t="inlineStr">
        <is>
          <t>F</t>
        </is>
      </c>
      <c r="D803" s="2" t="n">
        <v>100</v>
      </c>
      <c r="E803" s="4">
        <f>HYPERLINK("./Results/DLO\20180601_1.3.46.670589.33.1.63663959250418081500001.5290208534671366020_201_512_512_\Osteo_Sarco_1.png","RPT")</f>
        <v/>
      </c>
      <c r="F803" s="3" t="n">
        <v>97</v>
      </c>
      <c r="G803" s="3" t="n">
        <v>7</v>
      </c>
      <c r="H803" s="7" t="n"/>
      <c r="I803" t="inlineStr">
        <is>
          <t>Ingenuity Core 128</t>
        </is>
      </c>
      <c r="J803" t="inlineStr">
        <is>
          <t>Post 100/236 i3, iDose (3)</t>
        </is>
      </c>
    </row>
    <row r="804">
      <c r="A804" s="2" t="n">
        <v>9728951</v>
      </c>
      <c r="B804" s="2" t="n">
        <v>58</v>
      </c>
      <c r="C804" s="2" t="inlineStr">
        <is>
          <t>F</t>
        </is>
      </c>
      <c r="D804" s="2" t="n">
        <v>100</v>
      </c>
      <c r="E804" s="4">
        <f>HYPERLINK("./Results/DLO\20190601_1.2.410.100011.172.16.64.21.6369843152207513842.3_3_512_512_\Osteo_Sarco_1.png","RPT")</f>
        <v/>
      </c>
      <c r="F804" s="3" t="n">
        <v>96</v>
      </c>
      <c r="G804" s="3" t="n">
        <v>10</v>
      </c>
      <c r="H804" s="7" t="n"/>
      <c r="I804" t="inlineStr">
        <is>
          <t>SOMATOM Definition</t>
        </is>
      </c>
      <c r="J804" t="inlineStr">
        <is>
          <t>ABD P-P 3.0 B30f</t>
        </is>
      </c>
    </row>
    <row r="805">
      <c r="A805" s="2" t="n">
        <v>4598951</v>
      </c>
      <c r="B805" s="2" t="n">
        <v>58</v>
      </c>
      <c r="C805" s="2" t="inlineStr">
        <is>
          <t>F</t>
        </is>
      </c>
      <c r="D805" s="2" t="n">
        <v>100</v>
      </c>
      <c r="E805" s="4">
        <f>HYPERLINK("./Results/DLO\20180901_1.3.46.670589.33.1.63672781139476756000001.4801942015156520284_201_512_512_\Osteo_Sarco_1.png","RPT")</f>
        <v/>
      </c>
      <c r="F805" s="3" t="n">
        <v>95</v>
      </c>
      <c r="G805" s="3" t="n">
        <v>7</v>
      </c>
      <c r="H805" s="7" t="n"/>
      <c r="I805" t="inlineStr">
        <is>
          <t>Ingenuity Core 128</t>
        </is>
      </c>
      <c r="J805" t="inlineStr">
        <is>
          <t>Post 100/236 i3, iDose (3)</t>
        </is>
      </c>
    </row>
    <row r="806">
      <c r="A806" s="2" t="n">
        <v>5027496</v>
      </c>
      <c r="B806" s="2" t="n">
        <v>58</v>
      </c>
      <c r="C806" s="2" t="inlineStr">
        <is>
          <t>F</t>
        </is>
      </c>
      <c r="D806" s="2" t="n">
        <v>100</v>
      </c>
      <c r="E806" s="4">
        <f>HYPERLINK("./Results/DLO\20180501_1.2.840.113619.2.311.332186189087386552602880072760527298633_304_512_512_\Osteo_Sarco_1.png","RPT")</f>
        <v/>
      </c>
      <c r="F806" s="3" t="n">
        <v>93</v>
      </c>
      <c r="G806" s="3" t="n">
        <v>11</v>
      </c>
      <c r="H806" s="7" t="n"/>
      <c r="I806" t="inlineStr">
        <is>
          <t>Revolution CT</t>
        </is>
      </c>
      <c r="J806" t="inlineStr">
        <is>
          <t>ABD 2.5mm</t>
        </is>
      </c>
    </row>
    <row r="807">
      <c r="A807" s="2" t="n">
        <v>6032881</v>
      </c>
      <c r="B807" s="2" t="n">
        <v>58</v>
      </c>
      <c r="C807" s="2" t="inlineStr">
        <is>
          <t>F</t>
        </is>
      </c>
      <c r="D807" s="2" t="n">
        <v>100</v>
      </c>
      <c r="E807" s="4">
        <f>HYPERLINK("./Results/DLO\20180501_1.3.46.670589.33.1.63661369567924423500001.5163888679918569933_201_512_512_\Osteo_Sarco_1.png","RPT")</f>
        <v/>
      </c>
      <c r="F807" s="3" t="n">
        <v>91</v>
      </c>
      <c r="G807" s="3" t="n">
        <v>8</v>
      </c>
      <c r="H807" s="7" t="n"/>
      <c r="I807" t="inlineStr">
        <is>
          <t>Ingenuity Core 128</t>
        </is>
      </c>
      <c r="J807" t="inlineStr">
        <is>
          <t>Post 100/236 i3, iDose (3)</t>
        </is>
      </c>
    </row>
    <row r="808">
      <c r="A808" s="2" t="n">
        <v>6738643</v>
      </c>
      <c r="B808" s="2" t="n">
        <v>58</v>
      </c>
      <c r="C808" s="2" t="inlineStr">
        <is>
          <t>F</t>
        </is>
      </c>
      <c r="D808" s="2" t="n">
        <v>100</v>
      </c>
      <c r="E808" s="4">
        <f>HYPERLINK("./Results/DLO\20180601_1.3.12.2.1107.5.1.4.54310.30000018062423352937500007974_2_512_512_\Osteo_Sarco_1.png","RPT")</f>
        <v/>
      </c>
      <c r="F808" s="3" t="n">
        <v>90</v>
      </c>
      <c r="G808" s="3" t="n">
        <v>7</v>
      </c>
      <c r="H808" s="7" t="n"/>
      <c r="I808" t="inlineStr">
        <is>
          <t>Sensation 64</t>
        </is>
      </c>
      <c r="J808" t="inlineStr">
        <is>
          <t>With Contrast 3.0 B30f</t>
        </is>
      </c>
    </row>
    <row r="809">
      <c r="A809" s="2" t="n">
        <v>8975765</v>
      </c>
      <c r="B809" s="2" t="n">
        <v>58</v>
      </c>
      <c r="C809" s="2" t="inlineStr">
        <is>
          <t>F</t>
        </is>
      </c>
      <c r="D809" s="2" t="n">
        <v>100</v>
      </c>
      <c r="E809" s="4">
        <f>HYPERLINK("./Results/DLO\20180801_1.2.840.113619.2.94.485650834948.2.9014090.19560286.1_2_512_512_\Osteo_Sarco_1.png","RPT")</f>
        <v/>
      </c>
      <c r="F809" s="3" t="n">
        <v>89</v>
      </c>
      <c r="G809" s="3" t="n">
        <v>7</v>
      </c>
      <c r="H809" s="7" t="n"/>
      <c r="I809" t="inlineStr">
        <is>
          <t>Sensation 64</t>
        </is>
      </c>
      <c r="J809" t="inlineStr">
        <is>
          <t>With Contrast 3.0 B30f</t>
        </is>
      </c>
    </row>
    <row r="810">
      <c r="A810" s="2" t="n">
        <v>8560412</v>
      </c>
      <c r="B810" s="2" t="n">
        <v>58</v>
      </c>
      <c r="C810" s="2" t="inlineStr">
        <is>
          <t>F</t>
        </is>
      </c>
      <c r="D810" s="2" t="n">
        <v>100</v>
      </c>
      <c r="E810" s="4">
        <f>HYPERLINK("./Results/DLO\20180901_1.3.12.2.1107.5.1.4.54310.30000018090923154709300005045_2_512_512_\Osteo_Sarco_1.png","RPT")</f>
        <v/>
      </c>
      <c r="F810" s="3" t="n">
        <v>89</v>
      </c>
      <c r="G810" s="3" t="n">
        <v>8</v>
      </c>
      <c r="H810" s="7" t="n"/>
      <c r="I810" t="inlineStr">
        <is>
          <t>Sensation 64</t>
        </is>
      </c>
      <c r="J810" t="inlineStr">
        <is>
          <t>With Contrast 3.0 B30f</t>
        </is>
      </c>
    </row>
    <row r="811">
      <c r="A811" s="2" t="n">
        <v>8339453</v>
      </c>
      <c r="B811" s="2" t="n">
        <v>58</v>
      </c>
      <c r="C811" s="2" t="inlineStr">
        <is>
          <t>F</t>
        </is>
      </c>
      <c r="D811" s="2" t="n">
        <v>100</v>
      </c>
      <c r="E811" s="4">
        <f>HYPERLINK("./Results/DLO\20190701_1.3.46.670589.33.1.63698266183104847800001.5702169899904581371_201_512_512_\Osteo_Sarco_1.png","RPT")</f>
        <v/>
      </c>
      <c r="F811" s="3" t="n">
        <v>89</v>
      </c>
      <c r="G811" s="3" t="n">
        <v>9</v>
      </c>
      <c r="H811" s="7" t="n"/>
      <c r="I811" t="inlineStr">
        <is>
          <t>Ingenuity Core 128</t>
        </is>
      </c>
      <c r="J811" t="inlineStr">
        <is>
          <t>Pre 3mm, iDose (3)</t>
        </is>
      </c>
    </row>
    <row r="812">
      <c r="A812" s="2" t="n">
        <v>9972967</v>
      </c>
      <c r="B812" s="2" t="n">
        <v>58</v>
      </c>
      <c r="C812" s="2" t="inlineStr">
        <is>
          <t>F</t>
        </is>
      </c>
      <c r="D812" s="2" t="n">
        <v>100</v>
      </c>
      <c r="E812" s="4">
        <f>HYPERLINK("./Results/DLO\20200501_1.2.840.113619.2.416.194970229939116807540023958066662443766_307_512_512_\Osteo_Sarco_1.png","RPT")</f>
        <v/>
      </c>
      <c r="F812" s="3" t="n">
        <v>89</v>
      </c>
      <c r="G812" s="3" t="n">
        <v>9</v>
      </c>
      <c r="H812" s="7" t="n"/>
      <c r="I812" t="inlineStr">
        <is>
          <t>Revolution CT</t>
        </is>
      </c>
      <c r="J812" t="inlineStr">
        <is>
          <t>ABD</t>
        </is>
      </c>
    </row>
    <row r="813">
      <c r="A813" s="2" t="n">
        <v>1894727</v>
      </c>
      <c r="B813" s="2" t="n">
        <v>58</v>
      </c>
      <c r="C813" s="2" t="inlineStr">
        <is>
          <t>F</t>
        </is>
      </c>
      <c r="D813" s="2" t="n">
        <v>100</v>
      </c>
      <c r="E813" s="4">
        <f>HYPERLINK("./Results/DLO\20180501_1.2.840.113619.2.94.485650834948.2.8802867.19040160.1_2_512_512_\Osteo_Sarco_1.png","RPT")</f>
        <v/>
      </c>
      <c r="F813" s="3" t="n">
        <v>88</v>
      </c>
      <c r="G813" s="3" t="n">
        <v>7</v>
      </c>
      <c r="H813" s="7" t="n"/>
      <c r="I813" t="inlineStr">
        <is>
          <t>Sensation 64</t>
        </is>
      </c>
      <c r="J813" t="inlineStr">
        <is>
          <t>With Contrast 3.0 B30f</t>
        </is>
      </c>
    </row>
    <row r="814">
      <c r="A814" s="2" t="n">
        <v>11290398</v>
      </c>
      <c r="B814" s="2" t="n">
        <v>58</v>
      </c>
      <c r="C814" s="2" t="inlineStr">
        <is>
          <t>F</t>
        </is>
      </c>
      <c r="D814" s="2" t="n">
        <v>100</v>
      </c>
      <c r="E814" s="4">
        <f>HYPERLINK("./Results/DLO\20190101_1.3.12.2.1107.5.1.4.54310.30000019010200054464000005359_2_512_512_\Osteo_Sarco_1.png","RPT")</f>
        <v/>
      </c>
      <c r="F814" s="3" t="n">
        <v>84</v>
      </c>
      <c r="G814" s="3" t="n">
        <v>10</v>
      </c>
      <c r="H814" s="7" t="n"/>
      <c r="I814" t="inlineStr">
        <is>
          <t>Sensation 64</t>
        </is>
      </c>
      <c r="J814" t="inlineStr">
        <is>
          <t>With Contrast 3.0 B30f</t>
        </is>
      </c>
    </row>
    <row r="815">
      <c r="A815" s="2" t="n">
        <v>5872661</v>
      </c>
      <c r="B815" s="2" t="n">
        <v>58</v>
      </c>
      <c r="C815" s="2" t="inlineStr">
        <is>
          <t>M</t>
        </is>
      </c>
      <c r="D815" s="2" t="n">
        <v>100</v>
      </c>
      <c r="E815" s="4">
        <f>HYPERLINK("./Results/DLO\20190801_1.3.46.670589.33.1.63700334636400407200001.5615272364003759354_201_512_512_\Osteo_Sarco_1.png","RPT")</f>
        <v/>
      </c>
      <c r="F815" s="3" t="n">
        <v>203</v>
      </c>
      <c r="G815" s="3" t="n">
        <v>13</v>
      </c>
      <c r="H815" s="7" t="n"/>
      <c r="I815" t="inlineStr">
        <is>
          <t>Ingenuity Core 128</t>
        </is>
      </c>
      <c r="J815" t="inlineStr">
        <is>
          <t>Post 3mm, iDose (3)</t>
        </is>
      </c>
    </row>
    <row r="816">
      <c r="A816" s="2" t="n">
        <v>8694818</v>
      </c>
      <c r="B816" s="2" t="n">
        <v>58</v>
      </c>
      <c r="C816" s="2" t="inlineStr">
        <is>
          <t>M</t>
        </is>
      </c>
      <c r="D816" s="2" t="n">
        <v>100</v>
      </c>
      <c r="E816" s="4">
        <f>HYPERLINK("./Results/DLO\20200101_1.3.46.670589.33.1.63714847421033277000001.5484098004990873855_201_512_512_\Osteo_Sarco_1.png","RPT")</f>
        <v/>
      </c>
      <c r="F816" s="3" t="n">
        <v>199</v>
      </c>
      <c r="G816" s="3" t="n">
        <v>11</v>
      </c>
      <c r="H816" s="7" t="n"/>
      <c r="I816" t="inlineStr">
        <is>
          <t>Ingenuity Core 128</t>
        </is>
      </c>
      <c r="J816" t="inlineStr">
        <is>
          <t>Post 3mm, iDose (3)</t>
        </is>
      </c>
    </row>
    <row r="817">
      <c r="A817" s="2" t="n">
        <v>2299542</v>
      </c>
      <c r="B817" s="2" t="n">
        <v>58</v>
      </c>
      <c r="C817" s="2" t="inlineStr">
        <is>
          <t>M</t>
        </is>
      </c>
      <c r="D817" s="2" t="n">
        <v>100</v>
      </c>
      <c r="E817" s="4">
        <f>HYPERLINK("./Results/DLO\20190301_1.3.46.670589.33.1.63687379407990004100001.5196155857973664468_201_512_512_\Osteo_Sarco_1.png","RPT")</f>
        <v/>
      </c>
      <c r="F817" s="3" t="n">
        <v>194</v>
      </c>
      <c r="G817" s="3" t="n">
        <v>9</v>
      </c>
      <c r="H817" s="7" t="n"/>
      <c r="I817" t="inlineStr">
        <is>
          <t>Ingenuity Core 128</t>
        </is>
      </c>
      <c r="J817" t="inlineStr">
        <is>
          <t>Post 3mm, iDose (3)</t>
        </is>
      </c>
    </row>
    <row r="818">
      <c r="A818" s="2" t="n">
        <v>8624315</v>
      </c>
      <c r="B818" s="2" t="n">
        <v>58</v>
      </c>
      <c r="C818" s="2" t="inlineStr">
        <is>
          <t>M</t>
        </is>
      </c>
      <c r="D818" s="2" t="n">
        <v>100</v>
      </c>
      <c r="E818" s="4">
        <f>HYPERLINK("./Results/DLO\20180301_1.2.840.113619.2.311.2473561051800056176432592307189900881_304_512_512_\Osteo_Sarco_1.png","RPT")</f>
        <v/>
      </c>
      <c r="F818" s="3" t="n">
        <v>192</v>
      </c>
      <c r="G818" s="3" t="n">
        <v>7</v>
      </c>
      <c r="H818" s="6" t="n">
        <v>30.94</v>
      </c>
      <c r="I818" t="inlineStr">
        <is>
          <t>Revolution CT</t>
        </is>
      </c>
      <c r="J818" t="inlineStr">
        <is>
          <t>ABD 2.5mm</t>
        </is>
      </c>
    </row>
    <row r="819">
      <c r="A819" s="2" t="n">
        <v>8845110</v>
      </c>
      <c r="B819" s="2" t="n">
        <v>58</v>
      </c>
      <c r="C819" s="2" t="inlineStr">
        <is>
          <t>M</t>
        </is>
      </c>
      <c r="D819" s="2" t="n">
        <v>100</v>
      </c>
      <c r="E819" s="4">
        <f>HYPERLINK("./Results/DLO\20190901_1.3.12.2.1107.5.1.4.54310.30000019090121244076500013208_2_512_512_\Osteo_Sarco_1.png","RPT")</f>
        <v/>
      </c>
      <c r="F819" s="3" t="n">
        <v>191</v>
      </c>
      <c r="G819" s="3" t="n">
        <v>8</v>
      </c>
      <c r="H819" s="7" t="n"/>
      <c r="I819" t="inlineStr">
        <is>
          <t>Sensation 64</t>
        </is>
      </c>
      <c r="J819" t="inlineStr">
        <is>
          <t>Pre Contrast 3.0 B30f</t>
        </is>
      </c>
    </row>
    <row r="820">
      <c r="A820" s="2" t="n">
        <v>6744188</v>
      </c>
      <c r="B820" s="2" t="n">
        <v>58</v>
      </c>
      <c r="C820" s="2" t="inlineStr">
        <is>
          <t>M</t>
        </is>
      </c>
      <c r="D820" s="2" t="n">
        <v>100</v>
      </c>
      <c r="E820" s="4">
        <f>HYPERLINK("./Results/DLO\20191101_1.3.46.670589.33.1.63709839613928418900001.4910478049676773131_201_512_512_\Osteo_Sarco_1.png","RPT")</f>
        <v/>
      </c>
      <c r="F820" s="3" t="n">
        <v>174</v>
      </c>
      <c r="G820" s="3" t="n">
        <v>8</v>
      </c>
      <c r="H820" s="7" t="n"/>
      <c r="I820" t="inlineStr">
        <is>
          <t>Ingenuity Core 128</t>
        </is>
      </c>
      <c r="J820" t="inlineStr">
        <is>
          <t>Post 3mm, iDose (3)</t>
        </is>
      </c>
    </row>
    <row r="821">
      <c r="A821" s="2" t="n">
        <v>5193001</v>
      </c>
      <c r="B821" s="2" t="n">
        <v>58</v>
      </c>
      <c r="C821" s="2" t="inlineStr">
        <is>
          <t>M</t>
        </is>
      </c>
      <c r="D821" s="2" t="n">
        <v>100</v>
      </c>
      <c r="E821" s="4">
        <f>HYPERLINK("./Results/DLO\20200101_1.2.410.100011.172.16.68.114.6371512474547706241.8_8_512_512_\Osteo_Sarco_1.png","RPT")</f>
        <v/>
      </c>
      <c r="F821" s="3" t="n">
        <v>173</v>
      </c>
      <c r="G821" s="3" t="n">
        <v>15</v>
      </c>
      <c r="H821" s="6" t="n">
        <v>27.07</v>
      </c>
      <c r="I821" t="inlineStr">
        <is>
          <t>SOMATOM Definition Flabh</t>
        </is>
      </c>
      <c r="J821" t="inlineStr">
        <is>
          <t>Pre 5.0 ax</t>
        </is>
      </c>
    </row>
    <row r="822">
      <c r="A822" s="2" t="n">
        <v>5081344</v>
      </c>
      <c r="B822" s="2" t="n">
        <v>58</v>
      </c>
      <c r="C822" s="2" t="inlineStr">
        <is>
          <t>M</t>
        </is>
      </c>
      <c r="D822" s="2" t="n">
        <v>100</v>
      </c>
      <c r="E822" s="4">
        <f>HYPERLINK("./Results/DLO\20180701_1.3.12.2.1107.5.1.4.54310.30000018070523140267100006034_2_512_512_\Osteo_Sarco_1.png","RPT")</f>
        <v/>
      </c>
      <c r="F822" s="3" t="n">
        <v>172</v>
      </c>
      <c r="G822" s="3" t="n">
        <v>12</v>
      </c>
      <c r="H822" s="7" t="n"/>
      <c r="I822" t="inlineStr">
        <is>
          <t>Sensation 64</t>
        </is>
      </c>
      <c r="J822" t="inlineStr">
        <is>
          <t>With Contrast 3.0 B30f</t>
        </is>
      </c>
    </row>
    <row r="823">
      <c r="A823" s="2" t="n">
        <v>8739848</v>
      </c>
      <c r="B823" s="2" t="n">
        <v>58</v>
      </c>
      <c r="C823" s="2" t="inlineStr">
        <is>
          <t>M</t>
        </is>
      </c>
      <c r="D823" s="2" t="n">
        <v>100</v>
      </c>
      <c r="E823" s="4">
        <f>HYPERLINK("./Results/DLO\20181001_1.3.46.670589.33.1.63674761925064235500001.4848328252025860643_201_512_512_\Osteo_Sarco_1.png","RPT")</f>
        <v/>
      </c>
      <c r="F823" s="3" t="n">
        <v>170</v>
      </c>
      <c r="G823" s="3" t="n">
        <v>21</v>
      </c>
      <c r="H823" s="7" t="n"/>
      <c r="I823" t="inlineStr">
        <is>
          <t>Ingenuity Core 128</t>
        </is>
      </c>
      <c r="J823" t="inlineStr">
        <is>
          <t>Post 100/236 i3, iDose (3)</t>
        </is>
      </c>
    </row>
    <row r="824">
      <c r="A824" s="2" t="n">
        <v>5481149</v>
      </c>
      <c r="B824" s="2" t="n">
        <v>58</v>
      </c>
      <c r="C824" s="2" t="inlineStr">
        <is>
          <t>M</t>
        </is>
      </c>
      <c r="D824" s="2" t="n">
        <v>100</v>
      </c>
      <c r="E824" s="4">
        <f>HYPERLINK("./Results/DLO\20180801_1.3.12.2.1107.5.1.4.65253.30000018081621120209200024257_3_512_512_\Osteo_Sarco_1.png","RPT")</f>
        <v/>
      </c>
      <c r="F824" s="3" t="n">
        <v>168</v>
      </c>
      <c r="G824" s="3" t="n">
        <v>10</v>
      </c>
      <c r="H824" s="7" t="n"/>
      <c r="I824" t="inlineStr">
        <is>
          <t>SOMATOM Definition AS</t>
        </is>
      </c>
      <c r="J824" t="inlineStr">
        <is>
          <t>Post Contrast 3.0 B30f</t>
        </is>
      </c>
    </row>
    <row r="825">
      <c r="A825" s="2" t="n">
        <v>10011634</v>
      </c>
      <c r="B825" s="2" t="n">
        <v>58</v>
      </c>
      <c r="C825" s="2" t="inlineStr">
        <is>
          <t>M</t>
        </is>
      </c>
      <c r="D825" s="2" t="n">
        <v>100</v>
      </c>
      <c r="E825" s="4">
        <f>HYPERLINK("./Results/DLO\20200601_1.2.410.100011.172.24.16.220.6372782620421900382.2_2_512_512_\Osteo_Sarco_1.png","RPT")</f>
        <v/>
      </c>
      <c r="F825" s="3" t="n">
        <v>163</v>
      </c>
      <c r="G825" s="3" t="n">
        <v>8</v>
      </c>
      <c r="H825" s="7" t="n"/>
      <c r="I825" t="inlineStr">
        <is>
          <t>SOMATOM Definition AS</t>
        </is>
      </c>
      <c r="J825" t="inlineStr">
        <is>
          <t>Pre 3.0 I40f 2</t>
        </is>
      </c>
    </row>
    <row r="826">
      <c r="A826" s="2" t="n">
        <v>4100895</v>
      </c>
      <c r="B826" s="2" t="n">
        <v>58</v>
      </c>
      <c r="C826" s="2" t="inlineStr">
        <is>
          <t>M</t>
        </is>
      </c>
      <c r="D826" s="2" t="n">
        <v>100</v>
      </c>
      <c r="E826" s="4">
        <f>HYPERLINK("./Results/DLO\20180801_1.3.12.2.1107.5.1.4.65253.30000018082019264265900058142_2_512_512_\Osteo_Sarco_1.png","RPT")</f>
        <v/>
      </c>
      <c r="F826" s="3" t="n">
        <v>162</v>
      </c>
      <c r="G826" s="3" t="n">
        <v>10</v>
      </c>
      <c r="H826" s="7" t="n"/>
      <c r="I826" t="inlineStr">
        <is>
          <t>SOMATOM Definition AS</t>
        </is>
      </c>
      <c r="J826" t="inlineStr">
        <is>
          <t>Pre Contrast 3.0 B30f</t>
        </is>
      </c>
    </row>
    <row r="827">
      <c r="A827" s="2" t="n">
        <v>9009940</v>
      </c>
      <c r="B827" s="2" t="n">
        <v>58</v>
      </c>
      <c r="C827" s="2" t="inlineStr">
        <is>
          <t>M</t>
        </is>
      </c>
      <c r="D827" s="2" t="n">
        <v>100</v>
      </c>
      <c r="E827" s="4">
        <f>HYPERLINK("./Results/DLO\20180101_1.2.840.113619.2.416.275192118121543213622361560071275841048_2_512_512_\Osteo_Sarco_1.png","RPT")</f>
        <v/>
      </c>
      <c r="F827" s="3" t="n">
        <v>161</v>
      </c>
      <c r="G827" s="3" t="n">
        <v>12</v>
      </c>
      <c r="H827" s="7" t="n"/>
      <c r="I827" t="inlineStr">
        <is>
          <t>Revolution CT</t>
        </is>
      </c>
      <c r="J827" t="inlineStr">
        <is>
          <t>POST 2.5mm</t>
        </is>
      </c>
    </row>
    <row r="828">
      <c r="A828" s="2" t="n">
        <v>8295847</v>
      </c>
      <c r="B828" s="2" t="n">
        <v>58</v>
      </c>
      <c r="C828" s="2" t="inlineStr">
        <is>
          <t>M</t>
        </is>
      </c>
      <c r="D828" s="2" t="n">
        <v>100</v>
      </c>
      <c r="E828" s="4">
        <f>HYPERLINK("./Results/DLO\20190801_1.3.12.2.1107.5.1.4.54310.30000019082722430853100053788_2_512_512_\Osteo_Sarco_1.png","RPT")</f>
        <v/>
      </c>
      <c r="F828" s="3" t="n">
        <v>160</v>
      </c>
      <c r="G828" s="3" t="n">
        <v>10</v>
      </c>
      <c r="H828" s="6" t="n">
        <v>28.62</v>
      </c>
      <c r="I828" t="inlineStr">
        <is>
          <t>Sensation 64</t>
        </is>
      </c>
      <c r="J828" t="inlineStr">
        <is>
          <t>ABD Pre 3.0 B30f</t>
        </is>
      </c>
    </row>
    <row r="829">
      <c r="A829" s="2" t="n">
        <v>5879813</v>
      </c>
      <c r="B829" s="2" t="n">
        <v>58</v>
      </c>
      <c r="C829" s="2" t="inlineStr">
        <is>
          <t>M</t>
        </is>
      </c>
      <c r="D829" s="2" t="n">
        <v>100</v>
      </c>
      <c r="E829" s="4">
        <f>HYPERLINK("./Results/DLO\20200501_1.3.12.2.1107.5.1.4.54310.30000020051422075267100023363_2_512_512_\Osteo_Sarco_1.png","RPT")</f>
        <v/>
      </c>
      <c r="F829" s="3" t="n">
        <v>159</v>
      </c>
      <c r="G829" s="3" t="n">
        <v>3</v>
      </c>
      <c r="H829" s="7" t="n"/>
      <c r="I829" t="inlineStr">
        <is>
          <t>Sensation 64</t>
        </is>
      </c>
      <c r="J829" t="inlineStr">
        <is>
          <t>With Contrast 3.0 B30f</t>
        </is>
      </c>
    </row>
    <row r="830">
      <c r="A830" s="2" t="n">
        <v>8597283</v>
      </c>
      <c r="B830" s="2" t="n">
        <v>58</v>
      </c>
      <c r="C830" s="2" t="inlineStr">
        <is>
          <t>M</t>
        </is>
      </c>
      <c r="D830" s="2" t="n">
        <v>100</v>
      </c>
      <c r="E830" s="4">
        <f>HYPERLINK("./Results/DLO\20181201_1.3.46.670589.33.1.63680375722060177000001.4816676892453297943_201_512_512_\Osteo_Sarco_1.png","RPT")</f>
        <v/>
      </c>
      <c r="F830" s="3" t="n">
        <v>157</v>
      </c>
      <c r="G830" s="3" t="n">
        <v>14</v>
      </c>
      <c r="H830" s="7" t="n"/>
      <c r="I830" t="inlineStr">
        <is>
          <t>Ingenuity Core 128</t>
        </is>
      </c>
      <c r="J830" t="inlineStr">
        <is>
          <t>Pre 100/107 i4, iDose (4)</t>
        </is>
      </c>
    </row>
    <row r="831">
      <c r="A831" s="2" t="n">
        <v>6064661</v>
      </c>
      <c r="B831" s="2" t="n">
        <v>58</v>
      </c>
      <c r="C831" s="2" t="inlineStr">
        <is>
          <t>M</t>
        </is>
      </c>
      <c r="D831" s="2" t="n">
        <v>100</v>
      </c>
      <c r="E831" s="4">
        <f>HYPERLINK("./Results/DLO\20190401_1.3.46.670589.33.1.63690403073138457500001.5359722426669552488_601_512_512_\Osteo_Sarco_1.png","RPT")</f>
        <v/>
      </c>
      <c r="F831" s="3" t="n">
        <v>155</v>
      </c>
      <c r="G831" s="3" t="n">
        <v>6</v>
      </c>
      <c r="H831" s="7" t="n"/>
      <c r="I831" t="inlineStr">
        <is>
          <t>Ingenuity Core 128</t>
        </is>
      </c>
      <c r="J831" t="inlineStr">
        <is>
          <t>Post 3mm, iDose (3)</t>
        </is>
      </c>
    </row>
    <row r="832">
      <c r="A832" s="2" t="n">
        <v>5405233</v>
      </c>
      <c r="B832" s="2" t="n">
        <v>58</v>
      </c>
      <c r="C832" s="2" t="inlineStr">
        <is>
          <t>M</t>
        </is>
      </c>
      <c r="D832" s="2" t="n">
        <v>100</v>
      </c>
      <c r="E832" s="4">
        <f>HYPERLINK("./Results/DLO\20190401_1.3.12.2.1107.5.1.4.65253.30000019041520001469200058763_2_512_512_\Osteo_Sarco_1.png","RPT")</f>
        <v/>
      </c>
      <c r="F832" s="3" t="n">
        <v>154</v>
      </c>
      <c r="G832" s="3" t="n">
        <v>6</v>
      </c>
      <c r="H832" s="7" t="n"/>
      <c r="I832" t="inlineStr">
        <is>
          <t>SOMATOM Definition AS</t>
        </is>
      </c>
      <c r="J832" t="inlineStr">
        <is>
          <t>With Contrast 3.0 B30f</t>
        </is>
      </c>
    </row>
    <row r="833">
      <c r="A833" s="2" t="n">
        <v>9894125</v>
      </c>
      <c r="B833" s="2" t="n">
        <v>58</v>
      </c>
      <c r="C833" s="2" t="inlineStr">
        <is>
          <t>M</t>
        </is>
      </c>
      <c r="D833" s="2" t="n">
        <v>100</v>
      </c>
      <c r="E833" s="4">
        <f>HYPERLINK("./Results/DLO\20200201_1.3.12.2.1107.5.1.4.65253.30000020020220085805700066934_5_512_512_\Osteo_Sarco_1.png","RPT")</f>
        <v/>
      </c>
      <c r="F833" s="3" t="n">
        <v>153</v>
      </c>
      <c r="G833" s="3" t="n">
        <v>8</v>
      </c>
      <c r="H833" s="7" t="n"/>
      <c r="I833" t="inlineStr">
        <is>
          <t>SOMATOM Definition AS</t>
        </is>
      </c>
      <c r="J833" t="inlineStr">
        <is>
          <t>Arterial Phase 3.0 B30f</t>
        </is>
      </c>
    </row>
    <row r="834">
      <c r="A834" s="2" t="n">
        <v>9002806</v>
      </c>
      <c r="B834" s="2" t="n">
        <v>58</v>
      </c>
      <c r="C834" s="2" t="inlineStr">
        <is>
          <t>M</t>
        </is>
      </c>
      <c r="D834" s="2" t="n">
        <v>100</v>
      </c>
      <c r="E834" s="4">
        <f>HYPERLINK("./Results/DLO\20180701_1.3.46.670589.33.1.63667679872915102800001.4848591074710443006_201_512_512_\Osteo_Sarco_1.png","RPT")</f>
        <v/>
      </c>
      <c r="F834" s="3" t="n">
        <v>152</v>
      </c>
      <c r="G834" s="3" t="n">
        <v>10</v>
      </c>
      <c r="H834" s="7" t="n"/>
      <c r="I834" t="inlineStr">
        <is>
          <t>Ingenuity Core 128</t>
        </is>
      </c>
      <c r="J834" t="inlineStr">
        <is>
          <t>Post 100/236 i3, iDose (3)</t>
        </is>
      </c>
    </row>
    <row r="835">
      <c r="A835" s="2" t="n">
        <v>5604740</v>
      </c>
      <c r="B835" s="2" t="n">
        <v>58</v>
      </c>
      <c r="C835" s="2" t="inlineStr">
        <is>
          <t>M</t>
        </is>
      </c>
      <c r="D835" s="2" t="n">
        <v>100</v>
      </c>
      <c r="E835" s="4">
        <f>HYPERLINK("./Results/DLO\20180501_1.2.410.100011.172.16.68.201.6366328081434927551.2_2_512_512_\Osteo_Sarco_1.png","RPT")</f>
        <v/>
      </c>
      <c r="F835" s="3" t="n">
        <v>150</v>
      </c>
      <c r="G835" s="3" t="n">
        <v>9</v>
      </c>
      <c r="H835" s="7" t="n"/>
      <c r="I835" t="inlineStr">
        <is>
          <t>SOMATOM Definition Edge</t>
        </is>
      </c>
      <c r="J835" t="inlineStr">
        <is>
          <t>Liver Pre 3.0 B40f ax</t>
        </is>
      </c>
    </row>
    <row r="836">
      <c r="A836" s="2" t="n">
        <v>8330346</v>
      </c>
      <c r="B836" s="2" t="n">
        <v>58</v>
      </c>
      <c r="C836" s="2" t="inlineStr">
        <is>
          <t>M</t>
        </is>
      </c>
      <c r="D836" s="2" t="n">
        <v>100</v>
      </c>
      <c r="E836" s="4">
        <f>HYPERLINK("./Results/DLO\20180701_1.3.12.2.1107.5.1.4.54310.30000018070923133301500042769_3_512_512_\Osteo_Sarco_1.png","RPT")</f>
        <v/>
      </c>
      <c r="F836" s="3" t="n">
        <v>150</v>
      </c>
      <c r="G836" s="3" t="n">
        <v>15</v>
      </c>
      <c r="H836" s="7" t="n"/>
      <c r="I836" t="inlineStr">
        <is>
          <t>Sensation 64</t>
        </is>
      </c>
      <c r="J836" t="inlineStr">
        <is>
          <t>Pre Contrast 3.0 B30f</t>
        </is>
      </c>
    </row>
    <row r="837">
      <c r="A837" s="2" t="n">
        <v>3573692</v>
      </c>
      <c r="B837" s="2" t="n">
        <v>58</v>
      </c>
      <c r="C837" s="2" t="inlineStr">
        <is>
          <t>M</t>
        </is>
      </c>
      <c r="D837" s="2" t="n">
        <v>100</v>
      </c>
      <c r="E837" s="4">
        <f>HYPERLINK("./Results/DLO\20180201_1.3.12.2.1107.5.1.4.54310.30000018022623140737500024228_3_512_512_\Osteo_Sarco_1.png","RPT")</f>
        <v/>
      </c>
      <c r="F837" s="3" t="n">
        <v>146</v>
      </c>
      <c r="G837" s="3" t="n">
        <v>7</v>
      </c>
      <c r="H837" s="6" t="n">
        <v>22.44</v>
      </c>
      <c r="I837" t="inlineStr">
        <is>
          <t>Sensation 64</t>
        </is>
      </c>
      <c r="J837" t="inlineStr">
        <is>
          <t>Pre Contrast 3.0 B30f</t>
        </is>
      </c>
    </row>
    <row r="838">
      <c r="A838" s="2" t="n">
        <v>5764905</v>
      </c>
      <c r="B838" s="2" t="n">
        <v>58</v>
      </c>
      <c r="C838" s="2" t="inlineStr">
        <is>
          <t>M</t>
        </is>
      </c>
      <c r="D838" s="2" t="n">
        <v>100</v>
      </c>
      <c r="E838" s="4">
        <f>HYPERLINK("./Results/DLO\20180601_1.3.12.2.1107.5.1.4.54310.30000018060723034957800030770_2_512_512_\Osteo_Sarco_1.png","RPT")</f>
        <v/>
      </c>
      <c r="F838" s="3" t="n">
        <v>146</v>
      </c>
      <c r="G838" s="3" t="n">
        <v>8</v>
      </c>
      <c r="H838" s="7" t="n"/>
      <c r="I838" t="inlineStr">
        <is>
          <t>Sensation 64</t>
        </is>
      </c>
      <c r="J838" t="inlineStr">
        <is>
          <t>With Contrast 3.0 B30f</t>
        </is>
      </c>
    </row>
    <row r="839">
      <c r="A839" s="2" t="n">
        <v>9963566</v>
      </c>
      <c r="B839" s="2" t="n">
        <v>58</v>
      </c>
      <c r="C839" s="2" t="inlineStr">
        <is>
          <t>M</t>
        </is>
      </c>
      <c r="D839" s="2" t="n">
        <v>100</v>
      </c>
      <c r="E839" s="4">
        <f>HYPERLINK("./Results/DLO\20200401_1.3.12.2.1107.5.1.4.54310.30000020041921220792100020118_6_512_512_\Osteo_Sarco_1.png","RPT")</f>
        <v/>
      </c>
      <c r="F839" s="3" t="n">
        <v>144</v>
      </c>
      <c r="G839" s="3" t="n">
        <v>5</v>
      </c>
      <c r="H839" s="6" t="n">
        <v>25.04</v>
      </c>
      <c r="I839" t="inlineStr">
        <is>
          <t>Sensation 64</t>
        </is>
      </c>
      <c r="J839" t="inlineStr">
        <is>
          <t>Portal 3.0 B30f</t>
        </is>
      </c>
    </row>
    <row r="840">
      <c r="A840" s="2" t="n">
        <v>5976855</v>
      </c>
      <c r="B840" s="2" t="n">
        <v>58</v>
      </c>
      <c r="C840" s="2" t="inlineStr">
        <is>
          <t>F</t>
        </is>
      </c>
      <c r="D840" s="2" t="n">
        <v>100</v>
      </c>
      <c r="E840" s="4">
        <f>HYPERLINK("./Results/DLO\20180301_1.3.12.2.1107.5.1.4.54310.30000018032623215707800012348_2_512_512_\Osteo_Sarco_1.png","RPT")</f>
        <v/>
      </c>
      <c r="F840" s="3" t="n">
        <v>139</v>
      </c>
      <c r="G840" s="3" t="n">
        <v>11</v>
      </c>
      <c r="H840" s="7" t="n"/>
      <c r="I840" t="inlineStr">
        <is>
          <t>Sensation 64</t>
        </is>
      </c>
      <c r="J840" t="inlineStr">
        <is>
          <t>With Contrast 3.0 B30f</t>
        </is>
      </c>
    </row>
    <row r="841">
      <c r="A841" s="2" t="n">
        <v>5029208</v>
      </c>
      <c r="B841" s="2" t="n">
        <v>58</v>
      </c>
      <c r="C841" s="2" t="inlineStr">
        <is>
          <t>F</t>
        </is>
      </c>
      <c r="D841" s="2" t="n">
        <v>100</v>
      </c>
      <c r="E841" s="4">
        <f>HYPERLINK("./Results/DLO\20190401_1.2.840.113619.2.311.163656565099751939903456777616832754443_304_512_512_\Osteo_Sarco_1.png","RPT")</f>
        <v/>
      </c>
      <c r="F841" s="3" t="n">
        <v>138</v>
      </c>
      <c r="G841" s="3" t="n">
        <v>14</v>
      </c>
      <c r="H841" s="6" t="n">
        <v>30.61</v>
      </c>
      <c r="I841" t="inlineStr">
        <is>
          <t>Revolution CT</t>
        </is>
      </c>
      <c r="J841" t="inlineStr">
        <is>
          <t>ABD 2.5mm</t>
        </is>
      </c>
    </row>
    <row r="842">
      <c r="A842" s="2" t="n">
        <v>2596661</v>
      </c>
      <c r="B842" s="2" t="n">
        <v>58</v>
      </c>
      <c r="C842" s="2" t="inlineStr">
        <is>
          <t>M</t>
        </is>
      </c>
      <c r="D842" s="2" t="n">
        <v>100</v>
      </c>
      <c r="E842" s="4">
        <f>HYPERLINK("./Results/DLO\20180501_1.3.12.2.1107.5.1.4.54310.30000018052923310892100000838_2_512_512_\Osteo_Sarco_1.png","RPT")</f>
        <v/>
      </c>
      <c r="F842" s="3" t="n">
        <v>135</v>
      </c>
      <c r="G842" s="3" t="n">
        <v>4</v>
      </c>
      <c r="H842" s="7" t="n"/>
      <c r="I842" t="inlineStr">
        <is>
          <t>Sensation 64</t>
        </is>
      </c>
      <c r="J842" t="inlineStr">
        <is>
          <t>With Contrast 3.0 B30f</t>
        </is>
      </c>
    </row>
    <row r="843">
      <c r="A843" s="2" t="n">
        <v>8898064</v>
      </c>
      <c r="B843" s="2" t="n">
        <v>58</v>
      </c>
      <c r="C843" s="2" t="inlineStr">
        <is>
          <t>M</t>
        </is>
      </c>
      <c r="D843" s="2" t="n">
        <v>100</v>
      </c>
      <c r="E843" s="4">
        <f>HYPERLINK("./Results/DLO\20180301_1.3.12.2.1107.5.1.4.54310.30000018031323122990600014503_2_512_512_\Osteo_Sarco_1.png","RPT")</f>
        <v/>
      </c>
      <c r="F843" s="3" t="n">
        <v>134</v>
      </c>
      <c r="G843" s="3" t="n">
        <v>5</v>
      </c>
      <c r="H843" s="7" t="n"/>
      <c r="I843" t="inlineStr">
        <is>
          <t>Sensation 64</t>
        </is>
      </c>
      <c r="J843" t="inlineStr">
        <is>
          <t>With Contrast 3.0 B30f</t>
        </is>
      </c>
    </row>
    <row r="844">
      <c r="A844" s="2" t="n">
        <v>2438507</v>
      </c>
      <c r="B844" s="2" t="n">
        <v>58</v>
      </c>
      <c r="C844" s="2" t="inlineStr">
        <is>
          <t>M</t>
        </is>
      </c>
      <c r="D844" s="2" t="n">
        <v>100</v>
      </c>
      <c r="E844" s="4">
        <f>HYPERLINK("./Results/DLO\20190301_1.3.46.670589.33.1.63689126417124182600001.4794660027985709986_201_512_512_\Osteo_Sarco_1.png","RPT")</f>
        <v/>
      </c>
      <c r="F844" s="3" t="n">
        <v>131</v>
      </c>
      <c r="G844" s="3" t="n">
        <v>12</v>
      </c>
      <c r="H844" s="6" t="n">
        <v>27.52</v>
      </c>
      <c r="I844" t="inlineStr">
        <is>
          <t>Ingenuity Core 128</t>
        </is>
      </c>
      <c r="J844" t="inlineStr">
        <is>
          <t>Pre 3mm, iDose (3)</t>
        </is>
      </c>
    </row>
    <row r="845">
      <c r="A845" s="2" t="n">
        <v>5360460</v>
      </c>
      <c r="B845" s="2" t="n">
        <v>58</v>
      </c>
      <c r="C845" s="2" t="inlineStr">
        <is>
          <t>M</t>
        </is>
      </c>
      <c r="D845" s="2" t="n">
        <v>100</v>
      </c>
      <c r="E845" s="4">
        <f>HYPERLINK("./Results/DLO\20180701_1.3.46.670589.33.1.63666467351828549200001.5222483228686862995_301_512_512_\Osteo_Sarco_1.png","RPT")</f>
        <v/>
      </c>
      <c r="F845" s="3" t="n">
        <v>120</v>
      </c>
      <c r="G845" s="3" t="n">
        <v>8</v>
      </c>
      <c r="H845" s="7" t="n"/>
      <c r="I845" t="inlineStr">
        <is>
          <t>Ingenuity Core 128</t>
        </is>
      </c>
      <c r="J845" t="inlineStr">
        <is>
          <t>Post 100/236 i3, iDose (3)</t>
        </is>
      </c>
    </row>
    <row r="846">
      <c r="A846" s="2" t="n">
        <v>9606568</v>
      </c>
      <c r="B846" s="2" t="n">
        <v>58</v>
      </c>
      <c r="C846" s="2" t="inlineStr">
        <is>
          <t>F</t>
        </is>
      </c>
      <c r="D846" s="2" t="n">
        <v>100</v>
      </c>
      <c r="E846" s="4">
        <f>HYPERLINK("./Results/DLO\20190301_1.2.840.113619.2.311.1081545390122300537118693958127065218_304_512_512_\Osteo_Sarco_1.png","RPT")</f>
        <v/>
      </c>
      <c r="F846" s="3" t="n">
        <v>120</v>
      </c>
      <c r="G846" s="3" t="n">
        <v>8</v>
      </c>
      <c r="H846" s="7" t="n"/>
      <c r="I846" t="inlineStr">
        <is>
          <t>Revolution CT</t>
        </is>
      </c>
      <c r="J846" t="inlineStr">
        <is>
          <t>ABD 2.5mm</t>
        </is>
      </c>
    </row>
    <row r="847">
      <c r="A847" s="2" t="n">
        <v>3585485</v>
      </c>
      <c r="B847" s="2" t="n">
        <v>58</v>
      </c>
      <c r="C847" s="2" t="inlineStr">
        <is>
          <t>F</t>
        </is>
      </c>
      <c r="D847" s="2" t="n">
        <v>100</v>
      </c>
      <c r="E847" s="4">
        <f>HYPERLINK("./Results/DLO\20190901_1.2.840.113619.2.416.14852211782325477869458551585700489950_310_512_512_\Osteo_Sarco_1.png","RPT")</f>
        <v/>
      </c>
      <c r="F847" s="3" t="n">
        <v>118</v>
      </c>
      <c r="G847" s="3" t="n">
        <v>6</v>
      </c>
      <c r="H847" s="7" t="n"/>
      <c r="I847" t="inlineStr">
        <is>
          <t>Revolution CT</t>
        </is>
      </c>
      <c r="J847" t="inlineStr">
        <is>
          <t>ABD</t>
        </is>
      </c>
    </row>
    <row r="848">
      <c r="A848" s="2" t="n">
        <v>9852335</v>
      </c>
      <c r="B848" s="2" t="n">
        <v>58</v>
      </c>
      <c r="C848" s="2" t="inlineStr">
        <is>
          <t>F</t>
        </is>
      </c>
      <c r="D848" s="2" t="n">
        <v>100</v>
      </c>
      <c r="E848" s="4">
        <f>HYPERLINK("./Results/DLO\20191101_1.2.840.113619.2.416.278272186728087961951062854446878500532_310_512_512_\Osteo_Sarco_1.png","RPT")</f>
        <v/>
      </c>
      <c r="F848" s="3" t="n">
        <v>118</v>
      </c>
      <c r="G848" s="3" t="n">
        <v>8</v>
      </c>
      <c r="H848" s="7" t="n"/>
      <c r="I848" t="inlineStr">
        <is>
          <t>Revolution CT</t>
        </is>
      </c>
      <c r="J848" t="inlineStr">
        <is>
          <t>ABD</t>
        </is>
      </c>
    </row>
    <row r="849">
      <c r="A849" s="2" t="n">
        <v>3307240</v>
      </c>
      <c r="B849" s="2" t="n">
        <v>58</v>
      </c>
      <c r="C849" s="2" t="inlineStr">
        <is>
          <t>M</t>
        </is>
      </c>
      <c r="D849" s="2" t="n">
        <v>100</v>
      </c>
      <c r="E849" s="4">
        <f>HYPERLINK("./Results/DLO\20190901_1.3.46.670589.33.1.63703030441747084500001.5250460237870808220_201_512_512_\Osteo_Sarco_1.png","RPT")</f>
        <v/>
      </c>
      <c r="F849" s="3" t="n">
        <v>117</v>
      </c>
      <c r="G849" s="3" t="n">
        <v>1</v>
      </c>
      <c r="H849" s="7" t="n"/>
      <c r="I849" t="inlineStr">
        <is>
          <t>Ingenuity Core 128</t>
        </is>
      </c>
      <c r="J849" t="inlineStr">
        <is>
          <t>Post 3mm, iDose (3)</t>
        </is>
      </c>
    </row>
    <row r="850">
      <c r="A850" s="2" t="n">
        <v>5793211</v>
      </c>
      <c r="B850" s="2" t="n">
        <v>58</v>
      </c>
      <c r="C850" s="2" t="inlineStr">
        <is>
          <t>F</t>
        </is>
      </c>
      <c r="D850" s="2" t="n">
        <v>100</v>
      </c>
      <c r="E850" s="4">
        <f>HYPERLINK("./Results/DLO\20191101_1.3.12.2.1107.5.1.4.54310.30000019110321144820300082917_7_512_512_\Osteo_Sarco_1.png","RPT")</f>
        <v/>
      </c>
      <c r="F850" s="3" t="n">
        <v>112</v>
      </c>
      <c r="G850" s="3" t="n">
        <v>23</v>
      </c>
      <c r="H850" s="7" t="n"/>
      <c r="I850" t="inlineStr">
        <is>
          <t>Sensation 64</t>
        </is>
      </c>
      <c r="J850" t="inlineStr">
        <is>
          <t>ABD Contrast 3.0 B30f</t>
        </is>
      </c>
    </row>
    <row r="851">
      <c r="A851" s="2" t="n">
        <v>5020621</v>
      </c>
      <c r="B851" s="2" t="n">
        <v>58</v>
      </c>
      <c r="C851" s="2" t="inlineStr">
        <is>
          <t>F</t>
        </is>
      </c>
      <c r="D851" s="2" t="n">
        <v>100</v>
      </c>
      <c r="E851" s="4">
        <f>HYPERLINK("./Results/DLO\20180401_1.3.12.2.1107.5.1.4.54310.30000018042623035920300035018_2_512_512_\Osteo_Sarco_1.png","RPT")</f>
        <v/>
      </c>
      <c r="F851" s="3" t="n">
        <v>110</v>
      </c>
      <c r="G851" s="3" t="n">
        <v>9</v>
      </c>
      <c r="H851" s="7" t="n"/>
      <c r="I851" t="inlineStr">
        <is>
          <t>Sensation 64</t>
        </is>
      </c>
      <c r="J851" t="inlineStr">
        <is>
          <t>With Contrast 3.0 B30f</t>
        </is>
      </c>
    </row>
    <row r="852">
      <c r="A852" s="2" t="n">
        <v>6737524</v>
      </c>
      <c r="B852" s="2" t="n">
        <v>58</v>
      </c>
      <c r="C852" s="2" t="inlineStr">
        <is>
          <t>F</t>
        </is>
      </c>
      <c r="D852" s="2" t="n">
        <v>100</v>
      </c>
      <c r="E852" s="4">
        <f>HYPERLINK("./Results/DLO\20190601_1.3.12.2.1107.5.1.4.54310.30000019061722305715600035587_6_512_512_\Osteo_Sarco_1.png","RPT")</f>
        <v/>
      </c>
      <c r="F852" s="3" t="n">
        <v>109</v>
      </c>
      <c r="G852" s="3" t="n">
        <v>13</v>
      </c>
      <c r="H852" s="7" t="n"/>
      <c r="I852" t="inlineStr">
        <is>
          <t>Sensation 64</t>
        </is>
      </c>
      <c r="J852" t="inlineStr">
        <is>
          <t>ABD Contrast 3.0 B30f</t>
        </is>
      </c>
    </row>
    <row r="853">
      <c r="A853" s="2" t="n">
        <v>8543518</v>
      </c>
      <c r="B853" s="2" t="n">
        <v>58</v>
      </c>
      <c r="C853" s="2" t="inlineStr">
        <is>
          <t>F</t>
        </is>
      </c>
      <c r="D853" s="2" t="n">
        <v>100</v>
      </c>
      <c r="E853" s="4">
        <f>HYPERLINK("./Results/DLO\20180101_1.2.840.113619.2.416.299044790564445979846552081968136704404_304_512_512_\Osteo_Sarco_1.png","RPT")</f>
        <v/>
      </c>
      <c r="F853" s="3" t="n">
        <v>107</v>
      </c>
      <c r="G853" s="3" t="n">
        <v>7</v>
      </c>
      <c r="H853" s="6" t="n">
        <v>25.72</v>
      </c>
      <c r="I853" t="inlineStr">
        <is>
          <t>Revolution CT</t>
        </is>
      </c>
      <c r="J853" t="inlineStr">
        <is>
          <t>ABD 2.5mm</t>
        </is>
      </c>
    </row>
    <row r="854">
      <c r="A854" s="2" t="n">
        <v>6739497</v>
      </c>
      <c r="B854" s="2" t="n">
        <v>58</v>
      </c>
      <c r="C854" s="2" t="inlineStr">
        <is>
          <t>F</t>
        </is>
      </c>
      <c r="D854" s="2" t="n">
        <v>100</v>
      </c>
      <c r="E854" s="4">
        <f>HYPERLINK("./Results/DLO\20180201_1.3.12.2.1107.5.1.4.54310.30000018021323345021800012839_2_512_512_\Osteo_Sarco_1.png","RPT")</f>
        <v/>
      </c>
      <c r="F854" s="3" t="n">
        <v>105</v>
      </c>
      <c r="G854" s="3" t="n">
        <v>7</v>
      </c>
      <c r="H854" s="7" t="n"/>
      <c r="I854" t="inlineStr">
        <is>
          <t>Sensation 64</t>
        </is>
      </c>
      <c r="J854" t="inlineStr">
        <is>
          <t>With Contrast 3.0 B30f</t>
        </is>
      </c>
    </row>
    <row r="855">
      <c r="A855" s="2" t="n">
        <v>9628081</v>
      </c>
      <c r="B855" s="2" t="n">
        <v>58</v>
      </c>
      <c r="C855" s="2" t="inlineStr">
        <is>
          <t>F</t>
        </is>
      </c>
      <c r="D855" s="2" t="n">
        <v>100</v>
      </c>
      <c r="E855" s="4">
        <f>HYPERLINK("./Results/DLO\20190301_1.2.840.113619.2.94.485650834948.2.9486268.20740822.1_2_512_512_\Osteo_Sarco_1.png","RPT")</f>
        <v/>
      </c>
      <c r="F855" s="3" t="n">
        <v>105</v>
      </c>
      <c r="G855" s="3" t="n">
        <v>13</v>
      </c>
      <c r="H855" s="6" t="n">
        <v>24.8</v>
      </c>
      <c r="I855" t="inlineStr">
        <is>
          <t>Sensation 64</t>
        </is>
      </c>
      <c r="J855" t="inlineStr">
        <is>
          <t>With Contrast 3.0 B30f</t>
        </is>
      </c>
    </row>
    <row r="856">
      <c r="A856" s="2" t="n">
        <v>6737149</v>
      </c>
      <c r="B856" s="2" t="n">
        <v>58</v>
      </c>
      <c r="C856" s="2" t="inlineStr">
        <is>
          <t>F</t>
        </is>
      </c>
      <c r="D856" s="2" t="n">
        <v>100</v>
      </c>
      <c r="E856" s="4">
        <f>HYPERLINK("./Results/DLO\20190401_1.3.46.670589.33.1.63691005493131479200001.5532986981185921112_201_512_512_\Osteo_Sarco_1.png","RPT")</f>
        <v/>
      </c>
      <c r="F856" s="3" t="n">
        <v>105</v>
      </c>
      <c r="G856" s="3" t="n">
        <v>8</v>
      </c>
      <c r="H856" s="7" t="n"/>
      <c r="I856" t="inlineStr">
        <is>
          <t>Ingenuity Core 128</t>
        </is>
      </c>
      <c r="J856" t="inlineStr">
        <is>
          <t>Post 3mm, iDose (3)</t>
        </is>
      </c>
    </row>
    <row r="857">
      <c r="A857" s="2" t="n">
        <v>5666640</v>
      </c>
      <c r="B857" s="2" t="n">
        <v>58</v>
      </c>
      <c r="C857" s="2" t="inlineStr">
        <is>
          <t>F</t>
        </is>
      </c>
      <c r="D857" s="2" t="n">
        <v>100</v>
      </c>
      <c r="E857" s="4">
        <f>HYPERLINK("./Results/DLO\20180101_1.3.12.2.1107.5.1.4.65253.30000018010221080404900004423_2_512_512_\Osteo_Sarco_1.png","RPT")</f>
        <v/>
      </c>
      <c r="F857" s="3" t="n">
        <v>104</v>
      </c>
      <c r="G857" s="3" t="n">
        <v>10</v>
      </c>
      <c r="H857" s="7" t="n"/>
      <c r="I857" t="inlineStr">
        <is>
          <t>SOMATOM Definition AS</t>
        </is>
      </c>
      <c r="J857" t="inlineStr">
        <is>
          <t>Pre Contrast 3.0 B40f</t>
        </is>
      </c>
    </row>
    <row r="858">
      <c r="A858" s="2" t="n">
        <v>9742179</v>
      </c>
      <c r="B858" s="2" t="n">
        <v>58</v>
      </c>
      <c r="C858" s="2" t="inlineStr">
        <is>
          <t>F</t>
        </is>
      </c>
      <c r="D858" s="2" t="n">
        <v>100</v>
      </c>
      <c r="E858" s="4">
        <f>HYPERLINK("./Results/DLO\20190701_1.2.840.113619.2.416.6976744883034041937941250016987251467_310_512_512_\Osteo_Sarco_1.png","RPT")</f>
        <v/>
      </c>
      <c r="F858" s="3" t="n">
        <v>104</v>
      </c>
      <c r="G858" s="3" t="n">
        <v>7</v>
      </c>
      <c r="H858" s="7" t="n"/>
      <c r="I858" t="inlineStr">
        <is>
          <t>Revolution CT</t>
        </is>
      </c>
      <c r="J858" t="inlineStr">
        <is>
          <t>ABD</t>
        </is>
      </c>
    </row>
    <row r="859">
      <c r="A859" s="2" t="n">
        <v>8338393</v>
      </c>
      <c r="B859" s="2" t="n">
        <v>58</v>
      </c>
      <c r="C859" s="2" t="inlineStr">
        <is>
          <t>F</t>
        </is>
      </c>
      <c r="D859" s="2" t="n">
        <v>100</v>
      </c>
      <c r="E859" s="4">
        <f>HYPERLINK("./Results/DLO\20180501_1.2.840.113619.2.416.335343522219183779223431816483276944831_303_512_512_\Osteo_Sarco_1.png","RPT")</f>
        <v/>
      </c>
      <c r="F859" s="3" t="n">
        <v>102</v>
      </c>
      <c r="G859" s="3" t="n">
        <v>9</v>
      </c>
      <c r="H859" s="7" t="n"/>
      <c r="I859" t="inlineStr">
        <is>
          <t>Revolution CT</t>
        </is>
      </c>
      <c r="J859" t="inlineStr">
        <is>
          <t>ABD 2.5mm</t>
        </is>
      </c>
    </row>
    <row r="860">
      <c r="A860" s="2" t="n">
        <v>5631735</v>
      </c>
      <c r="B860" s="2" t="n">
        <v>58</v>
      </c>
      <c r="C860" s="2" t="inlineStr">
        <is>
          <t>F</t>
        </is>
      </c>
      <c r="D860" s="2" t="n">
        <v>100</v>
      </c>
      <c r="E860" s="4">
        <f>HYPERLINK("./Results/DLO\20180801_1.2.840.113619.2.94.485650834948.2.9029683.19598861.1_2_512_512_\Osteo_Sarco_1.png","RPT")</f>
        <v/>
      </c>
      <c r="F860" s="3" t="n">
        <v>100</v>
      </c>
      <c r="G860" s="3" t="n">
        <v>5</v>
      </c>
      <c r="H860" s="7" t="n"/>
      <c r="I860" t="inlineStr">
        <is>
          <t>Sensation 64</t>
        </is>
      </c>
      <c r="J860" t="inlineStr">
        <is>
          <t>With Contrast 3.0 B30f</t>
        </is>
      </c>
    </row>
    <row r="861">
      <c r="A861" s="2" t="n">
        <v>8999621</v>
      </c>
      <c r="B861" s="2" t="n">
        <v>58</v>
      </c>
      <c r="C861" s="2" t="inlineStr">
        <is>
          <t>F</t>
        </is>
      </c>
      <c r="D861" s="2" t="n">
        <v>100</v>
      </c>
      <c r="E861" s="4">
        <f>HYPERLINK("./Results/DLO\20180901_1.3.12.2.1107.5.1.4.65253.30000018092919332208000013618_2_512_512_\Osteo_Sarco_1.png","RPT")</f>
        <v/>
      </c>
      <c r="F861" s="3" t="n">
        <v>100</v>
      </c>
      <c r="G861" s="3" t="n">
        <v>11</v>
      </c>
      <c r="H861" s="7" t="n"/>
      <c r="I861" t="inlineStr">
        <is>
          <t>SOMATOM Definition AS</t>
        </is>
      </c>
      <c r="J861" t="inlineStr">
        <is>
          <t>With Contrast 3.0 B30f</t>
        </is>
      </c>
    </row>
    <row r="862">
      <c r="A862" s="2" t="n">
        <v>9678098</v>
      </c>
      <c r="B862" s="2" t="n">
        <v>58</v>
      </c>
      <c r="C862" s="2" t="inlineStr">
        <is>
          <t>F</t>
        </is>
      </c>
      <c r="D862" s="2" t="n">
        <v>100</v>
      </c>
      <c r="E862" s="4">
        <f>HYPERLINK("./Results/DLO\20190501_1.2.410.100011.172.16.64.21.6369402425603911753.4_4_512_512_\Osteo_Sarco_1.png","RPT")</f>
        <v/>
      </c>
      <c r="F862" s="3" t="n">
        <v>100</v>
      </c>
      <c r="G862" s="3" t="n">
        <v>5</v>
      </c>
      <c r="H862" s="6" t="n">
        <v>23.86</v>
      </c>
      <c r="I862" t="inlineStr">
        <is>
          <t>SOMATOM Definition AS</t>
        </is>
      </c>
      <c r="J862" t="inlineStr">
        <is>
          <t>Delay 3.0 I40f 2</t>
        </is>
      </c>
    </row>
    <row r="863">
      <c r="A863" s="2" t="n">
        <v>8840514</v>
      </c>
      <c r="B863" s="2" t="n">
        <v>58</v>
      </c>
      <c r="C863" s="2" t="inlineStr">
        <is>
          <t>F</t>
        </is>
      </c>
      <c r="D863" s="2" t="n">
        <v>100</v>
      </c>
      <c r="E863" s="4">
        <f>HYPERLINK("./Results/DLO\20191101_1.3.46.670589.33.1.63709497718164749700001.5378541565072533470_201_512_512_\Osteo_Sarco_1.png","RPT")</f>
        <v/>
      </c>
      <c r="F863" s="3" t="n">
        <v>100</v>
      </c>
      <c r="G863" s="3" t="n">
        <v>8</v>
      </c>
      <c r="H863" s="7" t="n"/>
      <c r="I863" t="inlineStr">
        <is>
          <t>Ingenuity Core 128</t>
        </is>
      </c>
      <c r="J863" t="inlineStr">
        <is>
          <t>Post 3mm, iDose (3)</t>
        </is>
      </c>
    </row>
    <row r="864">
      <c r="A864" s="2" t="n">
        <v>5432554</v>
      </c>
      <c r="B864" s="2" t="n">
        <v>59</v>
      </c>
      <c r="C864" s="2" t="inlineStr">
        <is>
          <t>F</t>
        </is>
      </c>
      <c r="D864" s="2" t="n">
        <v>100</v>
      </c>
      <c r="E864" s="4">
        <f>HYPERLINK("./Results/DLO\20190601_1.3.46.670589.33.1.63696983217397101500001.5476908798405839048_301_512_512_\Osteo_Sarco_1.png","RPT")</f>
        <v/>
      </c>
      <c r="F864" s="3" t="n">
        <v>96</v>
      </c>
      <c r="G864" s="3" t="n">
        <v>5</v>
      </c>
      <c r="H864" s="7" t="n"/>
      <c r="I864" t="inlineStr">
        <is>
          <t>Ingenuity Core 128</t>
        </is>
      </c>
      <c r="J864" t="inlineStr">
        <is>
          <t>Post 3mm, iDose (3)</t>
        </is>
      </c>
    </row>
    <row r="865">
      <c r="A865" s="2" t="n">
        <v>5324170</v>
      </c>
      <c r="B865" s="2" t="n">
        <v>59</v>
      </c>
      <c r="C865" s="2" t="inlineStr">
        <is>
          <t>F</t>
        </is>
      </c>
      <c r="D865" s="2" t="n">
        <v>100</v>
      </c>
      <c r="E865" s="4">
        <f>HYPERLINK("./Results/DLO\20190501_1.2.840.113619.2.416.210043271202124802820373258883619238686_310_512_512_\Osteo_Sarco_1.png","RPT")</f>
        <v/>
      </c>
      <c r="F865" s="3" t="n">
        <v>95</v>
      </c>
      <c r="G865" s="3" t="n">
        <v>9</v>
      </c>
      <c r="H865" s="7" t="n"/>
      <c r="I865" t="inlineStr">
        <is>
          <t>Revolution CT</t>
        </is>
      </c>
      <c r="J865" t="inlineStr">
        <is>
          <t>ABD</t>
        </is>
      </c>
    </row>
    <row r="866">
      <c r="A866" s="2" t="n">
        <v>8819792</v>
      </c>
      <c r="B866" s="2" t="n">
        <v>59</v>
      </c>
      <c r="C866" s="2" t="inlineStr">
        <is>
          <t>F</t>
        </is>
      </c>
      <c r="D866" s="2" t="n">
        <v>100</v>
      </c>
      <c r="E866" s="4">
        <f>HYPERLINK("./Results/DLO\20200101_1.3.12.2.1107.5.1.4.54310.30000020010821244917100033573_7_512_512_\Osteo_Sarco_1.png","RPT")</f>
        <v/>
      </c>
      <c r="F866" s="3" t="n">
        <v>95</v>
      </c>
      <c r="G866" s="3" t="n">
        <v>13</v>
      </c>
      <c r="H866" s="7" t="n"/>
      <c r="I866" t="inlineStr">
        <is>
          <t>Sensation 64</t>
        </is>
      </c>
      <c r="J866" t="inlineStr">
        <is>
          <t>ABD 3mm B30f</t>
        </is>
      </c>
    </row>
    <row r="867">
      <c r="A867" s="2" t="n">
        <v>6367386</v>
      </c>
      <c r="B867" s="2" t="n">
        <v>59</v>
      </c>
      <c r="C867" s="2" t="inlineStr">
        <is>
          <t>F</t>
        </is>
      </c>
      <c r="D867" s="2" t="n">
        <v>100</v>
      </c>
      <c r="E867" s="4">
        <f>HYPERLINK("./Results/DLO\20200101_1.3.46.670589.33.1.63714591519145463100001.4991791082952845464_201_512_512_\Osteo_Sarco_1.png","RPT")</f>
        <v/>
      </c>
      <c r="F867" s="3" t="n">
        <v>95</v>
      </c>
      <c r="G867" s="3" t="n">
        <v>8</v>
      </c>
      <c r="H867" s="7" t="n"/>
      <c r="I867" t="inlineStr">
        <is>
          <t>Ingenuity Core 128</t>
        </is>
      </c>
      <c r="J867" t="inlineStr">
        <is>
          <t>Post 3mm, iDose (3)</t>
        </is>
      </c>
    </row>
    <row r="868">
      <c r="A868" s="2" t="n">
        <v>6040991</v>
      </c>
      <c r="B868" s="2" t="n">
        <v>59</v>
      </c>
      <c r="C868" s="2" t="inlineStr">
        <is>
          <t>F</t>
        </is>
      </c>
      <c r="D868" s="2" t="n">
        <v>100</v>
      </c>
      <c r="E868" s="4">
        <f>HYPERLINK("./Results/DLO\20181201_1.3.46.670589.33.1.63679519230686739700001.5748881010021881409_201_512_512_\Osteo_Sarco_1.png","RPT")</f>
        <v/>
      </c>
      <c r="F868" s="3" t="n">
        <v>94</v>
      </c>
      <c r="G868" s="3" t="n">
        <v>16</v>
      </c>
      <c r="H868" s="7" t="n"/>
      <c r="I868" t="inlineStr">
        <is>
          <t>Ingenuity Core 128</t>
        </is>
      </c>
      <c r="J868" t="inlineStr">
        <is>
          <t>Post 100/236 i3, iDose (3)</t>
        </is>
      </c>
    </row>
    <row r="869">
      <c r="A869" s="2" t="n">
        <v>9520170</v>
      </c>
      <c r="B869" s="2" t="n">
        <v>59</v>
      </c>
      <c r="C869" s="2" t="inlineStr">
        <is>
          <t>F</t>
        </is>
      </c>
      <c r="D869" s="2" t="n">
        <v>100</v>
      </c>
      <c r="E869" s="4">
        <f>HYPERLINK("./Results/DLO\20190101_1.3.46.670589.33.1.63682718295180449600001.4904439648820910448_601_512_512_\Osteo_Sarco_1.png","RPT")</f>
        <v/>
      </c>
      <c r="F869" s="3" t="n">
        <v>94</v>
      </c>
      <c r="G869" s="3" t="n">
        <v>5</v>
      </c>
      <c r="H869" s="7" t="n"/>
      <c r="I869" t="inlineStr">
        <is>
          <t>Ingenuity Core 128</t>
        </is>
      </c>
      <c r="J869" t="inlineStr">
        <is>
          <t>Post 3mm, iDose (3)</t>
        </is>
      </c>
    </row>
    <row r="870">
      <c r="A870" s="2" t="n">
        <v>5660791</v>
      </c>
      <c r="B870" s="2" t="n">
        <v>59</v>
      </c>
      <c r="C870" s="2" t="inlineStr">
        <is>
          <t>F</t>
        </is>
      </c>
      <c r="D870" s="2" t="n">
        <v>100</v>
      </c>
      <c r="E870" s="4">
        <f>HYPERLINK("./Results/DLO\20190501_1.3.12.2.1107.5.1.4.54310.30000019052021130364000016440_3_512_512_\Osteo_Sarco_1.png","RPT")</f>
        <v/>
      </c>
      <c r="F870" s="3" t="n">
        <v>90</v>
      </c>
      <c r="G870" s="3" t="n">
        <v>6</v>
      </c>
      <c r="H870" s="7" t="n"/>
      <c r="I870" t="inlineStr">
        <is>
          <t>Sensation 64</t>
        </is>
      </c>
      <c r="J870" t="inlineStr">
        <is>
          <t>With Contrast 3.0 B30f</t>
        </is>
      </c>
    </row>
    <row r="871">
      <c r="A871" s="2" t="n">
        <v>8839027</v>
      </c>
      <c r="B871" s="2" t="n">
        <v>59</v>
      </c>
      <c r="C871" s="2" t="inlineStr">
        <is>
          <t>F</t>
        </is>
      </c>
      <c r="D871" s="2" t="n">
        <v>100</v>
      </c>
      <c r="E871" s="4">
        <f>HYPERLINK("./Results/DLO\20190501_1.3.46.670589.33.1.63694632903457526100001.5271536337109449246_201_512_512_\Osteo_Sarco_1.png","RPT")</f>
        <v/>
      </c>
      <c r="F871" s="3" t="n">
        <v>90</v>
      </c>
      <c r="G871" s="3" t="n">
        <v>4</v>
      </c>
      <c r="H871" s="7" t="n"/>
      <c r="I871" t="inlineStr">
        <is>
          <t>Ingenuity Core 128</t>
        </is>
      </c>
      <c r="J871" t="inlineStr">
        <is>
          <t>Post 3mm, iDose (3)</t>
        </is>
      </c>
    </row>
    <row r="872">
      <c r="A872" s="2" t="n">
        <v>2705287</v>
      </c>
      <c r="B872" s="2" t="n">
        <v>59</v>
      </c>
      <c r="C872" s="2" t="inlineStr">
        <is>
          <t>F</t>
        </is>
      </c>
      <c r="D872" s="2" t="n">
        <v>100</v>
      </c>
      <c r="E872" s="4">
        <f>HYPERLINK("./Results/DLO\20180901_1.3.12.2.1107.5.1.4.54310.30000018091623220746800034194_3_512_512_\Osteo_Sarco_1.png","RPT")</f>
        <v/>
      </c>
      <c r="F872" s="3" t="n">
        <v>89</v>
      </c>
      <c r="G872" s="3" t="n">
        <v>6</v>
      </c>
      <c r="H872" s="6" t="n">
        <v>19.14</v>
      </c>
      <c r="I872" t="inlineStr">
        <is>
          <t>Sensation 64</t>
        </is>
      </c>
      <c r="J872" t="inlineStr">
        <is>
          <t>Pre Contrast 3.0 B30f</t>
        </is>
      </c>
    </row>
    <row r="873">
      <c r="A873" s="2" t="n">
        <v>3719565</v>
      </c>
      <c r="B873" s="2" t="n">
        <v>59</v>
      </c>
      <c r="C873" s="2" t="inlineStr">
        <is>
          <t>F</t>
        </is>
      </c>
      <c r="D873" s="2" t="n">
        <v>100</v>
      </c>
      <c r="E873" s="4">
        <f>HYPERLINK("./Results/DLO\20181001_1.3.46.670589.33.1.63676489474716083000001.5570128932567574970_201_512_512_\Osteo_Sarco_1.png","RPT")</f>
        <v/>
      </c>
      <c r="F873" s="3" t="n">
        <v>89</v>
      </c>
      <c r="G873" s="3" t="n">
        <v>8</v>
      </c>
      <c r="H873" s="7" t="n"/>
      <c r="I873" t="inlineStr">
        <is>
          <t>Ingenuity Core 128</t>
        </is>
      </c>
      <c r="J873" t="inlineStr">
        <is>
          <t>Post 100/236 i3, iDose (3)</t>
        </is>
      </c>
    </row>
    <row r="874">
      <c r="A874" s="2" t="n">
        <v>4042595</v>
      </c>
      <c r="B874" s="2" t="n">
        <v>59</v>
      </c>
      <c r="C874" s="2" t="inlineStr">
        <is>
          <t>F</t>
        </is>
      </c>
      <c r="D874" s="2" t="n">
        <v>100</v>
      </c>
      <c r="E874" s="4">
        <f>HYPERLINK("./Results/DLO\20200301_1.3.46.670589.33.1.63720900468475952600001.4694249003702506293_201_512_512_\Osteo_Sarco_1.png","RPT")</f>
        <v/>
      </c>
      <c r="F874" s="3" t="n">
        <v>87</v>
      </c>
      <c r="G874" s="3" t="n">
        <v>6</v>
      </c>
      <c r="H874" s="7" t="n"/>
      <c r="I874" t="inlineStr">
        <is>
          <t>Ingenuity Core 128</t>
        </is>
      </c>
      <c r="J874" t="inlineStr">
        <is>
          <t>Post 3mm, iDose (3)</t>
        </is>
      </c>
    </row>
    <row r="875">
      <c r="A875" s="2" t="n">
        <v>6739573</v>
      </c>
      <c r="B875" s="2" t="n">
        <v>59</v>
      </c>
      <c r="C875" s="2" t="inlineStr">
        <is>
          <t>F</t>
        </is>
      </c>
      <c r="D875" s="2" t="n">
        <v>100</v>
      </c>
      <c r="E875" s="4">
        <f>HYPERLINK("./Results/DLO\20180301_1.2.840.113619.2.311.236106390230357474638993407204060608439_304_512_512_\Osteo_Sarco_1.png","RPT")</f>
        <v/>
      </c>
      <c r="F875" s="3" t="n">
        <v>85</v>
      </c>
      <c r="G875" s="3" t="n">
        <v>12</v>
      </c>
      <c r="H875" s="7" t="n"/>
      <c r="I875" t="inlineStr">
        <is>
          <t>Revolution CT</t>
        </is>
      </c>
      <c r="J875" t="inlineStr">
        <is>
          <t>ABD 2.5mm</t>
        </is>
      </c>
    </row>
    <row r="876">
      <c r="A876" s="2" t="n">
        <v>6743388</v>
      </c>
      <c r="B876" s="2" t="n">
        <v>59</v>
      </c>
      <c r="C876" s="2" t="inlineStr">
        <is>
          <t>M</t>
        </is>
      </c>
      <c r="D876" s="2" t="n">
        <v>100</v>
      </c>
      <c r="E876" s="4">
        <f>HYPERLINK("./Results/DLO\20180401_1.3.46.670589.33.1.63659814021129912800001.5216854516525449480_601_512_512_\Osteo_Sarco_1.png","RPT")</f>
        <v/>
      </c>
      <c r="F876" s="3" t="n">
        <v>198</v>
      </c>
      <c r="G876" s="3" t="n">
        <v>22</v>
      </c>
      <c r="H876" s="7" t="n"/>
      <c r="I876" t="inlineStr">
        <is>
          <t>Ingenuity Core 128</t>
        </is>
      </c>
      <c r="J876" t="inlineStr">
        <is>
          <t>Post 100/236 i3, iDose (3)</t>
        </is>
      </c>
    </row>
    <row r="877">
      <c r="A877" s="2" t="n">
        <v>2144147</v>
      </c>
      <c r="B877" s="2" t="n">
        <v>59</v>
      </c>
      <c r="C877" s="2" t="inlineStr">
        <is>
          <t>M</t>
        </is>
      </c>
      <c r="D877" s="2" t="n">
        <v>100</v>
      </c>
      <c r="E877" s="4">
        <f>HYPERLINK("./Results/DLO\20190701_1.3.12.2.1107.5.1.4.54310.30000019072321271154600005790_3_512_512_\Osteo_Sarco_1.png","RPT")</f>
        <v/>
      </c>
      <c r="F877" s="3" t="n">
        <v>187</v>
      </c>
      <c r="G877" s="3" t="n">
        <v>4</v>
      </c>
      <c r="H877" s="7" t="n"/>
      <c r="I877" t="inlineStr">
        <is>
          <t>Sensation 64</t>
        </is>
      </c>
      <c r="J877" t="inlineStr">
        <is>
          <t>With Contrast 3.0 B30f</t>
        </is>
      </c>
    </row>
    <row r="878">
      <c r="A878" s="2" t="n">
        <v>3362457</v>
      </c>
      <c r="B878" s="2" t="n">
        <v>59</v>
      </c>
      <c r="C878" s="2" t="inlineStr">
        <is>
          <t>M</t>
        </is>
      </c>
      <c r="D878" s="2" t="n">
        <v>100</v>
      </c>
      <c r="E878" s="4">
        <f>HYPERLINK("./Results/DLO\20190201_1.3.46.670589.33.1.63686861451619042400001.5173329365243563580_201_512_512_\Osteo_Sarco_1.png","RPT")</f>
        <v/>
      </c>
      <c r="F878" s="3" t="n">
        <v>175</v>
      </c>
      <c r="G878" s="3" t="n">
        <v>6</v>
      </c>
      <c r="H878" s="7" t="n"/>
      <c r="I878" t="inlineStr">
        <is>
          <t>Ingenuity Core 128</t>
        </is>
      </c>
      <c r="J878" t="inlineStr">
        <is>
          <t>Post 3mm, iDose (3)</t>
        </is>
      </c>
    </row>
    <row r="879">
      <c r="A879" s="2" t="n">
        <v>9763058</v>
      </c>
      <c r="B879" s="2" t="n">
        <v>59</v>
      </c>
      <c r="C879" s="2" t="inlineStr">
        <is>
          <t>M</t>
        </is>
      </c>
      <c r="D879" s="2" t="n">
        <v>100</v>
      </c>
      <c r="E879" s="4">
        <f>HYPERLINK("./Results/DLO\20190801_1.3.12.2.1107.5.1.4.54310.30000019081822233132800039852_6_512_512_\Osteo_Sarco_1.png","RPT")</f>
        <v/>
      </c>
      <c r="F879" s="3" t="n">
        <v>173</v>
      </c>
      <c r="G879" s="3" t="n">
        <v>6</v>
      </c>
      <c r="H879" s="6" t="n">
        <v>30.78</v>
      </c>
      <c r="I879" t="inlineStr">
        <is>
          <t>Sensation 64</t>
        </is>
      </c>
      <c r="J879" t="inlineStr">
        <is>
          <t>Portal 3.0 B30f</t>
        </is>
      </c>
    </row>
    <row r="880">
      <c r="A880" s="2" t="n">
        <v>5023910</v>
      </c>
      <c r="B880" s="2" t="n">
        <v>59</v>
      </c>
      <c r="C880" s="2" t="inlineStr">
        <is>
          <t>M</t>
        </is>
      </c>
      <c r="D880" s="2" t="n">
        <v>100</v>
      </c>
      <c r="E880" s="4">
        <f>HYPERLINK("./Results/DLO\20181201_1.3.46.670589.33.1.63680809166380914400001.5059061118865523852_201_512_512_\Osteo_Sarco_1.png","RPT")</f>
        <v/>
      </c>
      <c r="F880" s="3" t="n">
        <v>172</v>
      </c>
      <c r="G880" s="3" t="n">
        <v>10</v>
      </c>
      <c r="H880" s="7" t="n"/>
      <c r="I880" t="inlineStr">
        <is>
          <t>Ingenuity Core 128</t>
        </is>
      </c>
      <c r="J880" t="inlineStr">
        <is>
          <t>Post 100/236 i3, iDose (3)</t>
        </is>
      </c>
    </row>
    <row r="881">
      <c r="A881" s="2" t="n">
        <v>8704079</v>
      </c>
      <c r="B881" s="2" t="n">
        <v>59</v>
      </c>
      <c r="C881" s="2" t="inlineStr">
        <is>
          <t>M</t>
        </is>
      </c>
      <c r="D881" s="2" t="n">
        <v>100</v>
      </c>
      <c r="E881" s="4">
        <f>HYPERLINK("./Results/DLO\20180101_1.3.46.670589.33.1.63652479944222164600001.5103702319572656725_401_512_512_\Osteo_Sarco_1.png","RPT")</f>
        <v/>
      </c>
      <c r="F881" s="3" t="n">
        <v>166</v>
      </c>
      <c r="G881" s="3" t="n">
        <v>6</v>
      </c>
      <c r="H881" s="7" t="n"/>
      <c r="I881" t="inlineStr">
        <is>
          <t>Ingenuity Core 128</t>
        </is>
      </c>
      <c r="J881" t="inlineStr">
        <is>
          <t>Post 100/236 i3, iDose (3)</t>
        </is>
      </c>
    </row>
    <row r="882">
      <c r="A882" s="2" t="n">
        <v>5918992</v>
      </c>
      <c r="B882" s="2" t="n">
        <v>59</v>
      </c>
      <c r="C882" s="2" t="inlineStr">
        <is>
          <t>M</t>
        </is>
      </c>
      <c r="D882" s="2" t="n">
        <v>100</v>
      </c>
      <c r="E882" s="4">
        <f>HYPERLINK("./Results/DLO\20180401_1.3.12.2.1107.5.1.4.54310.30000018042923092775000010615_3_512_512_\Osteo_Sarco_1.png","RPT")</f>
        <v/>
      </c>
      <c r="F882" s="3" t="n">
        <v>165</v>
      </c>
      <c r="G882" s="3" t="n">
        <v>6</v>
      </c>
      <c r="H882" s="6" t="n">
        <v>27.55</v>
      </c>
      <c r="I882" t="inlineStr">
        <is>
          <t>Sensation 64</t>
        </is>
      </c>
      <c r="J882" t="inlineStr">
        <is>
          <t>With Contrast 3.0 B30f</t>
        </is>
      </c>
    </row>
    <row r="883">
      <c r="A883" s="2" t="n">
        <v>6737680</v>
      </c>
      <c r="B883" s="2" t="n">
        <v>59</v>
      </c>
      <c r="C883" s="2" t="inlineStr">
        <is>
          <t>M</t>
        </is>
      </c>
      <c r="D883" s="2" t="n">
        <v>100</v>
      </c>
      <c r="E883" s="4">
        <f>HYPERLINK("./Results/DLO\20181101_1.3.12.2.1107.5.1.4.54310.30000018112323405271800004064_3_512_512_\Osteo_Sarco_1.png","RPT")</f>
        <v/>
      </c>
      <c r="F883" s="3" t="n">
        <v>162</v>
      </c>
      <c r="G883" s="3" t="n">
        <v>9</v>
      </c>
      <c r="H883" s="6" t="n">
        <v>26.18</v>
      </c>
      <c r="I883" t="inlineStr">
        <is>
          <t>Sensation 64</t>
        </is>
      </c>
      <c r="J883" t="inlineStr">
        <is>
          <t>Pre Contrast 3.0 B30f</t>
        </is>
      </c>
    </row>
    <row r="884">
      <c r="A884" s="2" t="n">
        <v>4749602</v>
      </c>
      <c r="B884" s="2" t="n">
        <v>59</v>
      </c>
      <c r="C884" s="2" t="inlineStr">
        <is>
          <t>M</t>
        </is>
      </c>
      <c r="D884" s="2" t="n">
        <v>100</v>
      </c>
      <c r="E884" s="4">
        <f>HYPERLINK("./Results/DLO\20180401_1.2.840.113619.2.416.185883361503008300647445105301978529463_2_512_512_\Osteo_Sarco_1.png","RPT")</f>
        <v/>
      </c>
      <c r="F884" s="3" t="n">
        <v>160</v>
      </c>
      <c r="G884" s="3" t="n">
        <v>5</v>
      </c>
      <c r="H884" s="7" t="n"/>
      <c r="I884" t="inlineStr">
        <is>
          <t>Revolution CT</t>
        </is>
      </c>
      <c r="J884" t="inlineStr">
        <is>
          <t>ABD</t>
        </is>
      </c>
    </row>
    <row r="885">
      <c r="A885" s="2" t="n">
        <v>1352435</v>
      </c>
      <c r="B885" s="2" t="n">
        <v>59</v>
      </c>
      <c r="C885" s="2" t="inlineStr">
        <is>
          <t>M</t>
        </is>
      </c>
      <c r="D885" s="2" t="n">
        <v>100</v>
      </c>
      <c r="E885" s="4">
        <f>HYPERLINK("./Results/DLO\20180901_1.3.12.2.1107.5.1.4.65253.30000018091320460370100009121_2_512_512_\Osteo_Sarco_1.png","RPT")</f>
        <v/>
      </c>
      <c r="F885" s="3" t="n">
        <v>158</v>
      </c>
      <c r="G885" s="3" t="n">
        <v>9</v>
      </c>
      <c r="H885" s="6" t="n">
        <v>23.39</v>
      </c>
      <c r="I885" t="inlineStr">
        <is>
          <t>SOMATOM Definition AS</t>
        </is>
      </c>
      <c r="J885" t="inlineStr">
        <is>
          <t>Pre Contrast 3.0 B30f</t>
        </is>
      </c>
    </row>
    <row r="886">
      <c r="A886" s="2" t="n">
        <v>9843392</v>
      </c>
      <c r="B886" s="2" t="n">
        <v>59</v>
      </c>
      <c r="C886" s="2" t="inlineStr">
        <is>
          <t>M</t>
        </is>
      </c>
      <c r="D886" s="2" t="n">
        <v>100</v>
      </c>
      <c r="E886" s="4">
        <f>HYPERLINK("./Results/DLO\20191101_1.3.12.2.1107.5.1.4.65253.30000019111418062746000046606_2_512_512_\Osteo_Sarco_1.png","RPT")</f>
        <v/>
      </c>
      <c r="F886" s="3" t="n">
        <v>155</v>
      </c>
      <c r="G886" s="3" t="n">
        <v>10</v>
      </c>
      <c r="H886" s="7" t="n"/>
      <c r="I886" t="inlineStr">
        <is>
          <t>SOMATOM Definition AS</t>
        </is>
      </c>
      <c r="J886" t="inlineStr">
        <is>
          <t>W/O Contrast 2.0 B30f</t>
        </is>
      </c>
    </row>
    <row r="887">
      <c r="A887" s="2" t="n">
        <v>8414266</v>
      </c>
      <c r="B887" s="2" t="n">
        <v>59</v>
      </c>
      <c r="C887" s="2" t="inlineStr">
        <is>
          <t>M</t>
        </is>
      </c>
      <c r="D887" s="2" t="n">
        <v>100</v>
      </c>
      <c r="E887" s="4">
        <f>HYPERLINK("./Results/DLO\20190101_1.2.410.100011.172.16.68.202.6368454070287785255.2.3_3_512_512_\Osteo_Sarco_1.png","RPT")</f>
        <v/>
      </c>
      <c r="F887" s="3" t="n">
        <v>154</v>
      </c>
      <c r="G887" s="3" t="n">
        <v>12</v>
      </c>
      <c r="H887" s="6" t="n">
        <v>31.45</v>
      </c>
      <c r="I887" t="inlineStr">
        <is>
          <t>SOMATOM Definition Flabh</t>
        </is>
      </c>
      <c r="J887" t="inlineStr">
        <is>
          <t>Pre 4.0 B45f</t>
        </is>
      </c>
    </row>
    <row r="888">
      <c r="A888" s="2" t="n">
        <v>5252693</v>
      </c>
      <c r="B888" s="2" t="n">
        <v>59</v>
      </c>
      <c r="C888" s="2" t="inlineStr">
        <is>
          <t>M</t>
        </is>
      </c>
      <c r="D888" s="2" t="n">
        <v>100</v>
      </c>
      <c r="E888" s="4">
        <f>HYPERLINK("./Results/DLO\20200601_1.3.46.670589.33.1.63727299134801211300001.4884463995433057719_301_512_512_\Osteo_Sarco_1.png","RPT")</f>
        <v/>
      </c>
      <c r="F888" s="3" t="n">
        <v>153</v>
      </c>
      <c r="G888" s="3" t="n">
        <v>6</v>
      </c>
      <c r="H888" s="7" t="n"/>
      <c r="I888" t="inlineStr">
        <is>
          <t>Ingenuity Core 128</t>
        </is>
      </c>
      <c r="J888" t="inlineStr">
        <is>
          <t>Post 3mm, iDose (3)</t>
        </is>
      </c>
    </row>
    <row r="889">
      <c r="A889" s="2" t="n">
        <v>3086214</v>
      </c>
      <c r="B889" s="2" t="n">
        <v>59</v>
      </c>
      <c r="C889" s="2" t="inlineStr">
        <is>
          <t>M</t>
        </is>
      </c>
      <c r="D889" s="2" t="n">
        <v>100</v>
      </c>
      <c r="E889" s="4">
        <f>HYPERLINK("./Results/DLO\20180301_1.2.840.113619.2.311.251737076276581879488627379666174489543_304_512_512_\Osteo_Sarco_1.png","RPT")</f>
        <v/>
      </c>
      <c r="F889" s="3" t="n">
        <v>150</v>
      </c>
      <c r="G889" s="3" t="n">
        <v>15</v>
      </c>
      <c r="H889" s="6" t="n">
        <v>24.93</v>
      </c>
      <c r="I889" t="inlineStr">
        <is>
          <t>Revolution CT</t>
        </is>
      </c>
      <c r="J889" t="inlineStr">
        <is>
          <t>ABD 2.5mm</t>
        </is>
      </c>
    </row>
    <row r="890">
      <c r="A890" s="2" t="n">
        <v>6127628</v>
      </c>
      <c r="B890" s="2" t="n">
        <v>59</v>
      </c>
      <c r="C890" s="2" t="inlineStr">
        <is>
          <t>M</t>
        </is>
      </c>
      <c r="D890" s="2" t="n">
        <v>100</v>
      </c>
      <c r="E890" s="4">
        <f>HYPERLINK("./Results/DLO\20181001_1.3.46.670589.33.1.63675537678775958500001.5379276426301839849_201_512_512_\Osteo_Sarco_1.png","RPT")</f>
        <v/>
      </c>
      <c r="F890" s="3" t="n">
        <v>150</v>
      </c>
      <c r="G890" s="3" t="n">
        <v>6</v>
      </c>
      <c r="H890" s="7" t="n"/>
      <c r="I890" t="inlineStr">
        <is>
          <t>Ingenuity Core 128</t>
        </is>
      </c>
      <c r="J890" t="inlineStr">
        <is>
          <t>Post 100/236 i3, iDose (3)</t>
        </is>
      </c>
    </row>
    <row r="891">
      <c r="A891" s="2" t="n">
        <v>6739917</v>
      </c>
      <c r="B891" s="2" t="n">
        <v>59</v>
      </c>
      <c r="C891" s="2" t="inlineStr">
        <is>
          <t>M</t>
        </is>
      </c>
      <c r="D891" s="2" t="n">
        <v>100</v>
      </c>
      <c r="E891" s="4">
        <f>HYPERLINK("./Results/DLO\20180501_1.2.840.113619.2.416.326068907876675612974272799180227619452_2_512_512_\Osteo_Sarco_1.png","RPT")</f>
        <v/>
      </c>
      <c r="F891" s="3" t="n">
        <v>148</v>
      </c>
      <c r="G891" s="3" t="n">
        <v>7</v>
      </c>
      <c r="H891" s="6" t="n">
        <v>27.49</v>
      </c>
      <c r="I891" t="inlineStr">
        <is>
          <t>Revolution CT</t>
        </is>
      </c>
      <c r="J891" t="inlineStr">
        <is>
          <t>Pre</t>
        </is>
      </c>
    </row>
    <row r="892">
      <c r="A892" s="2" t="n">
        <v>2713167</v>
      </c>
      <c r="B892" s="2" t="n">
        <v>59</v>
      </c>
      <c r="C892" s="2" t="inlineStr">
        <is>
          <t>M</t>
        </is>
      </c>
      <c r="D892" s="2" t="n">
        <v>100</v>
      </c>
      <c r="E892" s="4">
        <f>HYPERLINK("./Results/DLO\20190201_1.3.46.670589.33.1.63686083651104653100001.5760692568807531608_201_512_512_\Osteo_Sarco_1.png","RPT")</f>
        <v/>
      </c>
      <c r="F892" s="3" t="n">
        <v>148</v>
      </c>
      <c r="G892" s="3" t="n">
        <v>7</v>
      </c>
      <c r="H892" s="6" t="n">
        <v>22.51</v>
      </c>
      <c r="I892" t="inlineStr">
        <is>
          <t>Ingenuity Core 128</t>
        </is>
      </c>
      <c r="J892" t="inlineStr">
        <is>
          <t>Post 3mm, iDose (3)</t>
        </is>
      </c>
    </row>
    <row r="893">
      <c r="A893" s="2" t="n">
        <v>1220966</v>
      </c>
      <c r="B893" s="2" t="n">
        <v>59</v>
      </c>
      <c r="C893" s="2" t="inlineStr">
        <is>
          <t>M</t>
        </is>
      </c>
      <c r="D893" s="2" t="n">
        <v>100</v>
      </c>
      <c r="E893" s="4">
        <f>HYPERLINK("./Results/DLO\20200101_1.3.12.2.1107.5.1.4.54310.30000020012022362432800020518_8_512_512_\Osteo_Sarco_1.png","RPT")</f>
        <v/>
      </c>
      <c r="F893" s="3" t="n">
        <v>148</v>
      </c>
      <c r="G893" s="3" t="n">
        <v>5</v>
      </c>
      <c r="H893" s="6" t="n">
        <v>25.61</v>
      </c>
      <c r="I893" t="inlineStr">
        <is>
          <t>Sensation 64</t>
        </is>
      </c>
      <c r="J893" t="inlineStr">
        <is>
          <t>Post ABD 3mm B30f</t>
        </is>
      </c>
    </row>
    <row r="894">
      <c r="A894" s="2" t="n">
        <v>8934006</v>
      </c>
      <c r="B894" s="2" t="n">
        <v>59</v>
      </c>
      <c r="C894" s="2" t="inlineStr">
        <is>
          <t>M</t>
        </is>
      </c>
      <c r="D894" s="2" t="n">
        <v>100</v>
      </c>
      <c r="E894" s="4">
        <f>HYPERLINK("./Results/DLO\20180401_1.2.840.113619.2.311.62374883936298372765454932133509291446_2_512_512_\Osteo_Sarco_1.png","RPT")</f>
        <v/>
      </c>
      <c r="F894" s="3" t="n">
        <v>145</v>
      </c>
      <c r="G894" s="3" t="n">
        <v>15</v>
      </c>
      <c r="H894" s="6" t="n">
        <v>22.51</v>
      </c>
      <c r="I894" t="inlineStr">
        <is>
          <t>Revolution CT</t>
        </is>
      </c>
      <c r="J894" t="inlineStr">
        <is>
          <t>ABD</t>
        </is>
      </c>
    </row>
    <row r="895">
      <c r="A895" s="2" t="n">
        <v>9783654</v>
      </c>
      <c r="B895" s="2" t="n">
        <v>59</v>
      </c>
      <c r="C895" s="2" t="inlineStr">
        <is>
          <t>M</t>
        </is>
      </c>
      <c r="D895" s="2" t="n">
        <v>100</v>
      </c>
      <c r="E895" s="4">
        <f>HYPERLINK("./Results/DLO\20190901_1.3.12.2.1107.5.1.4.54310.30000019090421365968700000000_2_512_512_\Osteo_Sarco_1.png","RPT")</f>
        <v/>
      </c>
      <c r="F895" s="3" t="n">
        <v>142</v>
      </c>
      <c r="G895" s="3" t="n">
        <v>9</v>
      </c>
      <c r="H895" s="7" t="n"/>
      <c r="I895" t="inlineStr">
        <is>
          <t>Sensation 64</t>
        </is>
      </c>
      <c r="J895" t="inlineStr">
        <is>
          <t>With Contrast 3.0 B30f</t>
        </is>
      </c>
    </row>
    <row r="896">
      <c r="A896" s="2" t="n">
        <v>9421021</v>
      </c>
      <c r="B896" s="2" t="n">
        <v>59</v>
      </c>
      <c r="C896" s="2" t="inlineStr">
        <is>
          <t>F</t>
        </is>
      </c>
      <c r="D896" s="2" t="n">
        <v>100</v>
      </c>
      <c r="E896" s="4">
        <f>HYPERLINK("./Results/DLO\20180801_1.3.46.670589.33.1.63670358428178962300001.5482168023966956485_201_512_512_\Osteo_Sarco_1.png","RPT")</f>
        <v/>
      </c>
      <c r="F896" s="3" t="n">
        <v>141</v>
      </c>
      <c r="G896" s="3" t="n">
        <v>16</v>
      </c>
      <c r="H896" s="6" t="n">
        <v>33.24</v>
      </c>
      <c r="I896" t="inlineStr">
        <is>
          <t>Ingenuity Core 128</t>
        </is>
      </c>
      <c r="J896" t="inlineStr">
        <is>
          <t>Post 100/236 i3, iDose (3)</t>
        </is>
      </c>
    </row>
    <row r="897">
      <c r="A897" s="2" t="n">
        <v>2201063</v>
      </c>
      <c r="B897" s="2" t="n">
        <v>59</v>
      </c>
      <c r="C897" s="2" t="inlineStr">
        <is>
          <t>M</t>
        </is>
      </c>
      <c r="D897" s="2" t="n">
        <v>100</v>
      </c>
      <c r="E897" s="4">
        <f>HYPERLINK("./Results/DLO\20191101_1.3.12.2.1107.5.1.4.65253.30000019110820232568400010874_2_512_512_\Osteo_Sarco_1.png","RPT")</f>
        <v/>
      </c>
      <c r="F897" s="3" t="n">
        <v>140</v>
      </c>
      <c r="G897" s="3" t="n">
        <v>8</v>
      </c>
      <c r="H897" s="7" t="n"/>
      <c r="I897" t="inlineStr">
        <is>
          <t>SOMATOM Definition AS</t>
        </is>
      </c>
      <c r="J897" t="inlineStr">
        <is>
          <t>Pre Contrast 3.0 B30f</t>
        </is>
      </c>
    </row>
    <row r="898">
      <c r="A898" s="2" t="n">
        <v>4787996</v>
      </c>
      <c r="B898" s="2" t="n">
        <v>59</v>
      </c>
      <c r="C898" s="2" t="inlineStr">
        <is>
          <t>M</t>
        </is>
      </c>
      <c r="D898" s="2" t="n">
        <v>100</v>
      </c>
      <c r="E898" s="4">
        <f>HYPERLINK("./Results/DLO\20181201_1.3.46.670589.33.1.63680897913285616300001.5455985563772403817_201_512_512_\Osteo_Sarco_1.png","RPT")</f>
        <v/>
      </c>
      <c r="F898" s="3" t="n">
        <v>138</v>
      </c>
      <c r="G898" s="3" t="n">
        <v>18</v>
      </c>
      <c r="H898" s="7" t="n"/>
      <c r="I898" t="inlineStr">
        <is>
          <t>Ingenuity Core 128</t>
        </is>
      </c>
      <c r="J898" t="inlineStr">
        <is>
          <t>Pre 100/107 i4, iDose (4)</t>
        </is>
      </c>
    </row>
    <row r="899">
      <c r="A899" s="2" t="n">
        <v>10009144</v>
      </c>
      <c r="B899" s="2" t="n">
        <v>59</v>
      </c>
      <c r="C899" s="2" t="inlineStr">
        <is>
          <t>F</t>
        </is>
      </c>
      <c r="D899" s="2" t="n">
        <v>100</v>
      </c>
      <c r="E899" s="4">
        <f>HYPERLINK("./Results/DLO\20200501_1.2.840.113619.2.416.262326276205028591567649050373012801924_307_512_512_\Osteo_Sarco_1.png","RPT")</f>
        <v/>
      </c>
      <c r="F899" s="3" t="n">
        <v>137</v>
      </c>
      <c r="G899" s="3" t="n">
        <v>23</v>
      </c>
      <c r="H899" s="7" t="n"/>
      <c r="I899" t="inlineStr">
        <is>
          <t>Revolution CT</t>
        </is>
      </c>
      <c r="J899" t="inlineStr">
        <is>
          <t>ABD</t>
        </is>
      </c>
    </row>
    <row r="900">
      <c r="A900" s="2" t="n">
        <v>5624518</v>
      </c>
      <c r="B900" s="2" t="n">
        <v>59</v>
      </c>
      <c r="C900" s="2" t="inlineStr">
        <is>
          <t>M</t>
        </is>
      </c>
      <c r="D900" s="2" t="n">
        <v>100</v>
      </c>
      <c r="E900" s="4">
        <f>HYPERLINK("./Results/DLO\20180701_1.3.12.2.1107.5.1.4.54310.30000018070923133301500009702_3_512_512_\Osteo_Sarco_1.png","RPT")</f>
        <v/>
      </c>
      <c r="F900" s="3" t="n">
        <v>136</v>
      </c>
      <c r="G900" s="3" t="n">
        <v>6</v>
      </c>
      <c r="H900" s="7" t="n"/>
      <c r="I900" t="inlineStr">
        <is>
          <t>Sensation 64</t>
        </is>
      </c>
      <c r="J900" t="inlineStr">
        <is>
          <t>Pre Contrast 3.0 B30f</t>
        </is>
      </c>
    </row>
    <row r="901">
      <c r="A901" s="2" t="n">
        <v>5139514</v>
      </c>
      <c r="B901" s="2" t="n">
        <v>59</v>
      </c>
      <c r="C901" s="2" t="inlineStr">
        <is>
          <t>F</t>
        </is>
      </c>
      <c r="D901" s="2" t="n">
        <v>100</v>
      </c>
      <c r="E901" s="4">
        <f>HYPERLINK("./Results/DLO\20181201_1.3.12.2.1107.5.1.4.65253.30000018122519362635700029693_2_512_512_\Osteo_Sarco_1.png","RPT")</f>
        <v/>
      </c>
      <c r="F901" s="3" t="n">
        <v>135</v>
      </c>
      <c r="G901" s="3" t="n">
        <v>11</v>
      </c>
      <c r="H901" s="7" t="n"/>
      <c r="I901" t="inlineStr">
        <is>
          <t>SOMATOM Definition AS</t>
        </is>
      </c>
      <c r="J901" t="inlineStr">
        <is>
          <t>W/O Contrast 2.0 B30f</t>
        </is>
      </c>
    </row>
    <row r="902">
      <c r="A902" s="2" t="n">
        <v>9589702</v>
      </c>
      <c r="B902" s="2" t="n">
        <v>59</v>
      </c>
      <c r="C902" s="2" t="inlineStr">
        <is>
          <t>F</t>
        </is>
      </c>
      <c r="D902" s="2" t="n">
        <v>100</v>
      </c>
      <c r="E902" s="4">
        <f>HYPERLINK("./Results/DLO\20190201_1.3.12.2.1107.5.1.4.54310.30000019021023283385900055721_2_512_512_\Osteo_Sarco_1.png","RPT")</f>
        <v/>
      </c>
      <c r="F902" s="3" t="n">
        <v>131</v>
      </c>
      <c r="G902" s="3" t="n">
        <v>11</v>
      </c>
      <c r="H902" s="7" t="n"/>
      <c r="I902" t="inlineStr">
        <is>
          <t>Sensation 64</t>
        </is>
      </c>
      <c r="J902" t="inlineStr">
        <is>
          <t>With Contrast 3.0 B30f</t>
        </is>
      </c>
    </row>
    <row r="903">
      <c r="A903" s="2" t="n">
        <v>671458</v>
      </c>
      <c r="B903" s="2" t="n">
        <v>59</v>
      </c>
      <c r="C903" s="2" t="inlineStr">
        <is>
          <t>F</t>
        </is>
      </c>
      <c r="D903" s="2" t="n">
        <v>100</v>
      </c>
      <c r="E903" s="4">
        <f>HYPERLINK("./Results/DLO\20200301_1.2.840.113619.2.416.168566396275768113841710760840174871078_310_512_512_\Osteo_Sarco_1.png","RPT")</f>
        <v/>
      </c>
      <c r="F903" s="3" t="n">
        <v>130</v>
      </c>
      <c r="G903" s="3" t="n">
        <v>14</v>
      </c>
      <c r="H903" s="7" t="n"/>
      <c r="I903" t="inlineStr">
        <is>
          <t>Revolution CT</t>
        </is>
      </c>
      <c r="J903" t="inlineStr">
        <is>
          <t>ABD</t>
        </is>
      </c>
    </row>
    <row r="904">
      <c r="A904" s="2" t="n">
        <v>8455532</v>
      </c>
      <c r="B904" s="2" t="n">
        <v>59</v>
      </c>
      <c r="C904" s="2" t="inlineStr">
        <is>
          <t>F</t>
        </is>
      </c>
      <c r="D904" s="2" t="n">
        <v>100</v>
      </c>
      <c r="E904" s="4">
        <f>HYPERLINK("./Results/DLO\20190401_1.2.840.113619.2.416.38009505846657785379836656840532231688_305_512_512_\Osteo_Sarco_1.png","RPT")</f>
        <v/>
      </c>
      <c r="F904" s="3" t="n">
        <v>123</v>
      </c>
      <c r="G904" s="3" t="n">
        <v>15</v>
      </c>
      <c r="H904" s="7" t="n"/>
      <c r="I904" t="inlineStr">
        <is>
          <t>Revolution CT</t>
        </is>
      </c>
      <c r="J904" t="inlineStr">
        <is>
          <t>ABD 2.5mm</t>
        </is>
      </c>
    </row>
    <row r="905">
      <c r="A905" s="2" t="n">
        <v>8957014</v>
      </c>
      <c r="B905" s="2" t="n">
        <v>59</v>
      </c>
      <c r="C905" s="2" t="inlineStr">
        <is>
          <t>M</t>
        </is>
      </c>
      <c r="D905" s="2" t="n">
        <v>100</v>
      </c>
      <c r="E905" s="4">
        <f>HYPERLINK("./Results/DLO\20190201_1.3.12.2.1107.5.1.4.65253.30000019020807431774100015826_3_512_512_\Osteo_Sarco_1.png","RPT")</f>
        <v/>
      </c>
      <c r="F905" s="3" t="n">
        <v>122</v>
      </c>
      <c r="G905" s="3" t="n">
        <v>7</v>
      </c>
      <c r="H905" s="6" t="n">
        <v>21.3</v>
      </c>
      <c r="I905" t="inlineStr">
        <is>
          <t>SOMATOM Definition AS</t>
        </is>
      </c>
      <c r="J905" t="inlineStr">
        <is>
          <t>Pre Contrast 3.0 B30f</t>
        </is>
      </c>
    </row>
    <row r="906">
      <c r="A906" s="2" t="n">
        <v>5203638</v>
      </c>
      <c r="B906" s="2" t="n">
        <v>59</v>
      </c>
      <c r="C906" s="2" t="inlineStr">
        <is>
          <t>F</t>
        </is>
      </c>
      <c r="D906" s="2" t="n">
        <v>100</v>
      </c>
      <c r="E906" s="4">
        <f>HYPERLINK("./Results/DLO\20180501_1.2.840.113619.2.311.264192054861343587389442421870784130557_306_512_512_\Osteo_Sarco_1.png","RPT")</f>
        <v/>
      </c>
      <c r="F906" s="3" t="n">
        <v>121</v>
      </c>
      <c r="G906" s="3" t="n">
        <v>8</v>
      </c>
      <c r="H906" s="7" t="n"/>
      <c r="I906" t="inlineStr">
        <is>
          <t>Revolution CT</t>
        </is>
      </c>
      <c r="J906" t="inlineStr">
        <is>
          <t>ABD 2.5mm</t>
        </is>
      </c>
    </row>
    <row r="907">
      <c r="A907" s="2" t="n">
        <v>9601229</v>
      </c>
      <c r="B907" s="2" t="n">
        <v>59</v>
      </c>
      <c r="C907" s="2" t="inlineStr">
        <is>
          <t>F</t>
        </is>
      </c>
      <c r="D907" s="2" t="n">
        <v>100</v>
      </c>
      <c r="E907" s="4">
        <f>HYPERLINK("./Results/DLO\20200101_1.2.840.113619.2.416.187095922914466320967073925811668164565_310_512_512_\Osteo_Sarco_1.png","RPT")</f>
        <v/>
      </c>
      <c r="F907" s="3" t="n">
        <v>121</v>
      </c>
      <c r="G907" s="3" t="n">
        <v>5</v>
      </c>
      <c r="H907" s="7" t="n"/>
      <c r="I907" t="inlineStr">
        <is>
          <t>Revolution CT</t>
        </is>
      </c>
      <c r="J907" t="inlineStr">
        <is>
          <t>ABD</t>
        </is>
      </c>
    </row>
    <row r="908">
      <c r="A908" s="2" t="n">
        <v>9967296</v>
      </c>
      <c r="B908" s="2" t="n">
        <v>59</v>
      </c>
      <c r="C908" s="2" t="inlineStr">
        <is>
          <t>F</t>
        </is>
      </c>
      <c r="D908" s="2" t="n">
        <v>100</v>
      </c>
      <c r="E908" s="4">
        <f>HYPERLINK("./Results/DLO\20200401_1.3.12.2.1107.5.1.4.54310.30000020042222003634300037202_7_512_512_\Osteo_Sarco_1.png","RPT")</f>
        <v/>
      </c>
      <c r="F908" s="3" t="n">
        <v>118</v>
      </c>
      <c r="G908" s="3" t="n">
        <v>5</v>
      </c>
      <c r="H908" s="7" t="n"/>
      <c r="I908" t="inlineStr">
        <is>
          <t>Sensation 64</t>
        </is>
      </c>
      <c r="J908" t="inlineStr">
        <is>
          <t>ABD 3mm B30f</t>
        </is>
      </c>
    </row>
    <row r="909">
      <c r="A909" s="2" t="n">
        <v>9601284</v>
      </c>
      <c r="B909" s="2" t="n">
        <v>59</v>
      </c>
      <c r="C909" s="2" t="inlineStr">
        <is>
          <t>F</t>
        </is>
      </c>
      <c r="D909" s="2" t="n">
        <v>100</v>
      </c>
      <c r="E909" s="4">
        <f>HYPERLINK("./Results/DLO\20190201_1.2.840.113619.2.311.129928327079861903905589953539221480249_304_512_512_\Osteo_Sarco_1.png","RPT")</f>
        <v/>
      </c>
      <c r="F909" s="3" t="n">
        <v>117</v>
      </c>
      <c r="G909" s="3" t="n">
        <v>10</v>
      </c>
      <c r="H909" s="6" t="n">
        <v>29.26</v>
      </c>
      <c r="I909" t="inlineStr">
        <is>
          <t>Revolution CT</t>
        </is>
      </c>
      <c r="J909" t="inlineStr">
        <is>
          <t>ABD 2.5mm</t>
        </is>
      </c>
    </row>
    <row r="910">
      <c r="A910" s="2" t="n">
        <v>4992797</v>
      </c>
      <c r="B910" s="2" t="n">
        <v>59</v>
      </c>
      <c r="C910" s="2" t="inlineStr">
        <is>
          <t>F</t>
        </is>
      </c>
      <c r="D910" s="2" t="n">
        <v>100</v>
      </c>
      <c r="E910" s="4">
        <f>HYPERLINK("./Results/DLO\20190601_1.3.12.2.1107.5.1.4.54310.30000019062522114878100006254_2_512_512_\Osteo_Sarco_1.png","RPT")</f>
        <v/>
      </c>
      <c r="F910" s="3" t="n">
        <v>115</v>
      </c>
      <c r="G910" s="3" t="n">
        <v>6</v>
      </c>
      <c r="H910" s="7" t="n"/>
      <c r="I910" t="inlineStr">
        <is>
          <t>Sensation 64</t>
        </is>
      </c>
      <c r="J910" t="inlineStr">
        <is>
          <t>With Contrast 3.0 B30f</t>
        </is>
      </c>
    </row>
    <row r="911">
      <c r="A911" s="2" t="n">
        <v>3350154</v>
      </c>
      <c r="B911" s="2" t="n">
        <v>59</v>
      </c>
      <c r="C911" s="2" t="inlineStr">
        <is>
          <t>F</t>
        </is>
      </c>
      <c r="D911" s="2" t="n">
        <v>100</v>
      </c>
      <c r="E911" s="4">
        <f>HYPERLINK("./Results/DLO\20180201_1.3.46.670589.33.1.63654982183722469800001.5345385589393425314_201_512_512_\Osteo_Sarco_1.png","RPT")</f>
        <v/>
      </c>
      <c r="F911" s="3" t="n">
        <v>113</v>
      </c>
      <c r="G911" s="3" t="n">
        <v>11</v>
      </c>
      <c r="H911" s="7" t="n"/>
      <c r="I911" t="inlineStr">
        <is>
          <t>Ingenuity Core 128</t>
        </is>
      </c>
      <c r="J911" t="inlineStr">
        <is>
          <t>Pre 100/107 i4, iDose (4)</t>
        </is>
      </c>
    </row>
    <row r="912">
      <c r="A912" s="2" t="n">
        <v>4269453</v>
      </c>
      <c r="B912" s="2" t="n">
        <v>59</v>
      </c>
      <c r="C912" s="2" t="inlineStr">
        <is>
          <t>M</t>
        </is>
      </c>
      <c r="D912" s="2" t="n">
        <v>100</v>
      </c>
      <c r="E912" s="4">
        <f>HYPERLINK("./Results/DLO\20180401_1.3.12.2.1107.5.1.4.65253.30000018042420550416800068859_2_512_512_\Osteo_Sarco_1.png","RPT")</f>
        <v/>
      </c>
      <c r="F912" s="3" t="n">
        <v>113</v>
      </c>
      <c r="G912" s="3" t="n">
        <v>8</v>
      </c>
      <c r="H912" s="7" t="n"/>
      <c r="I912" t="inlineStr">
        <is>
          <t>SOMATOM Definition AS</t>
        </is>
      </c>
      <c r="J912" t="inlineStr">
        <is>
          <t>Pre Contrast 3.0 B30f</t>
        </is>
      </c>
    </row>
    <row r="913">
      <c r="A913" s="2" t="n">
        <v>8901310</v>
      </c>
      <c r="B913" s="2" t="n">
        <v>59</v>
      </c>
      <c r="C913" s="2" t="inlineStr">
        <is>
          <t>F</t>
        </is>
      </c>
      <c r="D913" s="2" t="n">
        <v>100</v>
      </c>
      <c r="E913" s="4">
        <f>HYPERLINK("./Results/DLO\20181201_1.3.12.2.1107.5.1.4.54310.30000018122800201220300001753_2_512_512_\Osteo_Sarco_1.png","RPT")</f>
        <v/>
      </c>
      <c r="F913" s="3" t="n">
        <v>109</v>
      </c>
      <c r="G913" s="3" t="n">
        <v>12</v>
      </c>
      <c r="H913" s="7" t="n"/>
      <c r="I913" t="inlineStr">
        <is>
          <t>Sensation 64</t>
        </is>
      </c>
      <c r="J913" t="inlineStr">
        <is>
          <t>With Contrast 3.0 B30f</t>
        </is>
      </c>
    </row>
    <row r="914">
      <c r="A914" s="2" t="n">
        <v>9684651</v>
      </c>
      <c r="B914" s="2" t="n">
        <v>59</v>
      </c>
      <c r="C914" s="2" t="inlineStr">
        <is>
          <t>F</t>
        </is>
      </c>
      <c r="D914" s="2" t="n">
        <v>100</v>
      </c>
      <c r="E914" s="4">
        <f>HYPERLINK("./Results/DLO\20190601_1.3.12.2.1107.5.1.4.65253.30000019060919561741600049900_2_512_512_\Osteo_Sarco_1.png","RPT")</f>
        <v/>
      </c>
      <c r="F914" s="3" t="n">
        <v>109</v>
      </c>
      <c r="G914" s="3" t="n">
        <v>8</v>
      </c>
      <c r="H914" s="7" t="n"/>
      <c r="I914" t="inlineStr">
        <is>
          <t>SOMATOM Definition AS</t>
        </is>
      </c>
      <c r="J914" t="inlineStr">
        <is>
          <t>Pre Contrast 3.0 B30f</t>
        </is>
      </c>
    </row>
    <row r="915">
      <c r="A915" s="2" t="n">
        <v>10013411</v>
      </c>
      <c r="B915" s="2" t="n">
        <v>59</v>
      </c>
      <c r="C915" s="2" t="inlineStr">
        <is>
          <t>F</t>
        </is>
      </c>
      <c r="D915" s="2" t="n">
        <v>100</v>
      </c>
      <c r="E915" s="4">
        <f>HYPERLINK("./Results/DLO\20200601_1.2.840.113619.2.416.147379348716436545238771801777364780392_307_512_512_\Osteo_Sarco_1.png","RPT")</f>
        <v/>
      </c>
      <c r="F915" s="3" t="n">
        <v>108</v>
      </c>
      <c r="G915" s="3" t="n">
        <v>12</v>
      </c>
      <c r="H915" s="7" t="n"/>
      <c r="I915" t="inlineStr">
        <is>
          <t>Revolution CT</t>
        </is>
      </c>
      <c r="J915" t="inlineStr">
        <is>
          <t>ABD</t>
        </is>
      </c>
    </row>
    <row r="916">
      <c r="A916" s="2" t="n">
        <v>3971852</v>
      </c>
      <c r="B916" s="2" t="n">
        <v>59</v>
      </c>
      <c r="C916" s="2" t="inlineStr">
        <is>
          <t>F</t>
        </is>
      </c>
      <c r="D916" s="2" t="n">
        <v>100</v>
      </c>
      <c r="E916" s="4">
        <f>HYPERLINK("./Results/DLO\20180101_1.3.12.2.1107.5.1.4.54310.30000018010923092446800033301_5_512_512_\Osteo_Sarco_1.png","RPT")</f>
        <v/>
      </c>
      <c r="F916" s="3" t="n">
        <v>105</v>
      </c>
      <c r="G916" s="3" t="n">
        <v>14</v>
      </c>
      <c r="H916" s="7" t="n"/>
      <c r="I916" t="inlineStr">
        <is>
          <t>Sensation 64</t>
        </is>
      </c>
      <c r="J916" t="inlineStr">
        <is>
          <t>Arterial 3.0 B30f</t>
        </is>
      </c>
    </row>
    <row r="917">
      <c r="A917" s="2" t="n">
        <v>6146451</v>
      </c>
      <c r="B917" s="2" t="n">
        <v>59</v>
      </c>
      <c r="C917" s="2" t="inlineStr">
        <is>
          <t>F</t>
        </is>
      </c>
      <c r="D917" s="2" t="n">
        <v>100</v>
      </c>
      <c r="E917" s="4">
        <f>HYPERLINK("./Results/DLO\20180801_1.2.840.113619.2.311.328700180963641815261878013490363714489_304_512_512_\Osteo_Sarco_1.png","RPT")</f>
        <v/>
      </c>
      <c r="F917" s="3" t="n">
        <v>104</v>
      </c>
      <c r="G917" s="3" t="n">
        <v>8</v>
      </c>
      <c r="H917" s="6" t="n">
        <v>21.22</v>
      </c>
      <c r="I917" t="inlineStr">
        <is>
          <t>Revolution CT</t>
        </is>
      </c>
      <c r="J917" t="inlineStr">
        <is>
          <t>ABD 2.5mm</t>
        </is>
      </c>
    </row>
    <row r="918">
      <c r="A918" s="2" t="n">
        <v>5357005</v>
      </c>
      <c r="B918" s="2" t="n">
        <v>59</v>
      </c>
      <c r="C918" s="2" t="inlineStr">
        <is>
          <t>F</t>
        </is>
      </c>
      <c r="D918" s="2" t="n">
        <v>100</v>
      </c>
      <c r="E918" s="4">
        <f>HYPERLINK("./Results/DLO\20180201_1.2.840.113619.2.94.485650834948.2.8655257.18677389.1_2_512_512_\Osteo_Sarco_1.png","RPT")</f>
        <v/>
      </c>
      <c r="F918" s="3" t="n">
        <v>103</v>
      </c>
      <c r="G918" s="3" t="n">
        <v>5</v>
      </c>
      <c r="H918" s="7" t="n"/>
      <c r="I918" t="inlineStr">
        <is>
          <t>SOMATOM Definition AS</t>
        </is>
      </c>
      <c r="J918" t="inlineStr">
        <is>
          <t>With Contrast 3.0 B30f</t>
        </is>
      </c>
    </row>
    <row r="919">
      <c r="A919" s="2" t="n">
        <v>3795850</v>
      </c>
      <c r="B919" s="2" t="n">
        <v>59</v>
      </c>
      <c r="C919" s="2" t="inlineStr">
        <is>
          <t>F</t>
        </is>
      </c>
      <c r="D919" s="2" t="n">
        <v>100</v>
      </c>
      <c r="E919" s="4">
        <f>HYPERLINK("./Results/DLO\20190601_1.3.46.670589.33.1.63696105157122293400001.5296152621331369251_601_512_512_\Osteo_Sarco_1.png","RPT")</f>
        <v/>
      </c>
      <c r="F919" s="3" t="n">
        <v>102</v>
      </c>
      <c r="G919" s="3" t="n">
        <v>8</v>
      </c>
      <c r="H919" s="7" t="n"/>
      <c r="I919" t="inlineStr">
        <is>
          <t>Ingenuity Core 128</t>
        </is>
      </c>
      <c r="J919" t="inlineStr">
        <is>
          <t>Post 3mm, iDose (3)</t>
        </is>
      </c>
    </row>
    <row r="920">
      <c r="A920" s="2" t="n">
        <v>9926692</v>
      </c>
      <c r="B920" s="2" t="n">
        <v>59</v>
      </c>
      <c r="C920" s="2" t="inlineStr">
        <is>
          <t>F</t>
        </is>
      </c>
      <c r="D920" s="2" t="n">
        <v>100</v>
      </c>
      <c r="E920" s="4">
        <f>HYPERLINK("./Results/DLO\20200201_1.3.12.2.1107.5.1.4.92118.30000020021901261106400000552_4_512_512_\Osteo_Sarco_1.png","RPT")</f>
        <v/>
      </c>
      <c r="F920" s="3" t="n">
        <v>102</v>
      </c>
      <c r="G920" s="3" t="n">
        <v>11</v>
      </c>
      <c r="H920" s="6" t="n">
        <v>24.75</v>
      </c>
      <c r="I920" t="inlineStr">
        <is>
          <t>SOMATOM Definition AS</t>
        </is>
      </c>
      <c r="J920" t="inlineStr">
        <is>
          <t>abdomen pre 5.0 I40f 2</t>
        </is>
      </c>
    </row>
    <row r="921">
      <c r="A921" s="2" t="n">
        <v>8749771</v>
      </c>
      <c r="B921" s="2" t="n">
        <v>59</v>
      </c>
      <c r="C921" s="2" t="inlineStr">
        <is>
          <t>F</t>
        </is>
      </c>
      <c r="D921" s="2" t="n">
        <v>100</v>
      </c>
      <c r="E921" s="4">
        <f>HYPERLINK("./Results/DLO\20200501_1.3.46.670589.33.1.63725217606198271800001.4879260449914763885_201_512_512_\Osteo_Sarco_1.png","RPT")</f>
        <v/>
      </c>
      <c r="F921" s="3" t="n">
        <v>102</v>
      </c>
      <c r="G921" s="3" t="n">
        <v>7</v>
      </c>
      <c r="H921" s="6" t="n">
        <v>20.14</v>
      </c>
      <c r="I921" t="inlineStr">
        <is>
          <t>Ingenuity Core 128</t>
        </is>
      </c>
      <c r="J921" t="inlineStr">
        <is>
          <t>Post 3mm, iDose (3)</t>
        </is>
      </c>
    </row>
    <row r="922">
      <c r="A922" s="2" t="n">
        <v>487434</v>
      </c>
      <c r="B922" s="2" t="n">
        <v>59</v>
      </c>
      <c r="C922" s="2" t="inlineStr">
        <is>
          <t>F</t>
        </is>
      </c>
      <c r="D922" s="2" t="n">
        <v>100</v>
      </c>
      <c r="E922" s="4">
        <f>HYPERLINK("./Results/DLO\20191101_1.3.12.2.1107.5.1.4.54310.30000019111321163662500070390_7_512_512_\Osteo_Sarco_1.png","RPT")</f>
        <v/>
      </c>
      <c r="F922" s="3" t="n">
        <v>101</v>
      </c>
      <c r="G922" s="3" t="n">
        <v>9</v>
      </c>
      <c r="H922" s="7" t="n"/>
      <c r="I922" t="inlineStr">
        <is>
          <t>Sensation 64</t>
        </is>
      </c>
      <c r="J922" t="inlineStr">
        <is>
          <t>ABD Contrast 3.0 B30f</t>
        </is>
      </c>
    </row>
    <row r="923">
      <c r="A923" s="2" t="n">
        <v>9915257</v>
      </c>
      <c r="B923" s="2" t="n">
        <v>59</v>
      </c>
      <c r="C923" s="2" t="inlineStr">
        <is>
          <t>F</t>
        </is>
      </c>
      <c r="D923" s="2" t="n">
        <v>100</v>
      </c>
      <c r="E923" s="4">
        <f>HYPERLINK("./Results/DLO\20200201_1.3.12.2.1107.5.1.4.54310.30000020020522331550000031892_6_512_512_\Osteo_Sarco_1.png","RPT")</f>
        <v/>
      </c>
      <c r="F923" s="3" t="n">
        <v>100</v>
      </c>
      <c r="G923" s="3" t="n">
        <v>7</v>
      </c>
      <c r="H923" s="6" t="n">
        <v>24.85</v>
      </c>
      <c r="I923" t="inlineStr">
        <is>
          <t>Sensation 64</t>
        </is>
      </c>
      <c r="J923" t="inlineStr">
        <is>
          <t>Portal 3.0 B30f</t>
        </is>
      </c>
    </row>
    <row r="924">
      <c r="A924" s="2" t="n">
        <v>4046266</v>
      </c>
      <c r="B924" s="2" t="n">
        <v>60</v>
      </c>
      <c r="C924" s="2" t="inlineStr">
        <is>
          <t>F</t>
        </is>
      </c>
      <c r="D924" s="2" t="n">
        <v>100</v>
      </c>
      <c r="E924" s="4">
        <f>HYPERLINK("./Results/DLO\20180801_1.3.12.2.1107.5.1.4.54310.30000018080623422143700005375_2_512_512_\Osteo_Sarco_1.png","RPT")</f>
        <v/>
      </c>
      <c r="F924" s="3" t="n">
        <v>99</v>
      </c>
      <c r="G924" s="3" t="n">
        <v>13</v>
      </c>
      <c r="H924" s="7" t="n"/>
      <c r="I924" t="inlineStr">
        <is>
          <t>Sensation 64</t>
        </is>
      </c>
      <c r="J924" t="inlineStr">
        <is>
          <t>With Contrast 3.0 B30f</t>
        </is>
      </c>
    </row>
    <row r="925">
      <c r="A925" s="2" t="n">
        <v>3867761</v>
      </c>
      <c r="B925" s="2" t="n">
        <v>60</v>
      </c>
      <c r="C925" s="2" t="inlineStr">
        <is>
          <t>F</t>
        </is>
      </c>
      <c r="D925" s="2" t="n">
        <v>100</v>
      </c>
      <c r="E925" s="4">
        <f>HYPERLINK("./Results/DLO\20180801_1.2.840.113619.2.311.144731390659622771008156345057377875546_304_512_512_\Osteo_Sarco_1.png","RPT")</f>
        <v/>
      </c>
      <c r="F925" s="3" t="n">
        <v>98</v>
      </c>
      <c r="G925" s="3" t="n">
        <v>13</v>
      </c>
      <c r="H925" s="7" t="n"/>
      <c r="I925" t="inlineStr">
        <is>
          <t>Revolution CT</t>
        </is>
      </c>
      <c r="J925" t="inlineStr">
        <is>
          <t>ABD 2.5mm</t>
        </is>
      </c>
    </row>
    <row r="926">
      <c r="A926" s="2" t="n">
        <v>5162501</v>
      </c>
      <c r="B926" s="2" t="n">
        <v>60</v>
      </c>
      <c r="C926" s="2" t="inlineStr">
        <is>
          <t>F</t>
        </is>
      </c>
      <c r="D926" s="2" t="n">
        <v>100</v>
      </c>
      <c r="E926" s="4">
        <f>HYPERLINK("./Results/DLO\20180201_1.3.12.2.1107.5.1.4.65253.30000018020521561162500006350_3_512_512_\Osteo_Sarco_1.png","RPT")</f>
        <v/>
      </c>
      <c r="F926" s="3" t="n">
        <v>96</v>
      </c>
      <c r="G926" s="3" t="n">
        <v>4</v>
      </c>
      <c r="H926" s="7" t="n"/>
      <c r="I926" t="inlineStr">
        <is>
          <t>SOMATOM Definition AS</t>
        </is>
      </c>
      <c r="J926" t="inlineStr">
        <is>
          <t>With Contrast 3.0 B40f</t>
        </is>
      </c>
    </row>
    <row r="927">
      <c r="A927" s="2" t="n">
        <v>5068711</v>
      </c>
      <c r="B927" s="2" t="n">
        <v>60</v>
      </c>
      <c r="C927" s="2" t="inlineStr">
        <is>
          <t>F</t>
        </is>
      </c>
      <c r="D927" s="2" t="n">
        <v>100</v>
      </c>
      <c r="E927" s="4">
        <f>HYPERLINK("./Results/DLO\20181001_1.3.12.2.1107.5.1.4.54310.30000018102823274178100033241_4_512_512_\Osteo_Sarco_1.png","RPT")</f>
        <v/>
      </c>
      <c r="F927" s="3" t="n">
        <v>94</v>
      </c>
      <c r="G927" s="3" t="n">
        <v>9</v>
      </c>
      <c r="H927" s="7" t="n"/>
      <c r="I927" t="inlineStr">
        <is>
          <t>Sensation 64</t>
        </is>
      </c>
      <c r="J927" t="inlineStr">
        <is>
          <t>Arterial 3.0 B30f</t>
        </is>
      </c>
    </row>
    <row r="928">
      <c r="A928" s="2" t="n">
        <v>5792322</v>
      </c>
      <c r="B928" s="2" t="n">
        <v>60</v>
      </c>
      <c r="C928" s="2" t="inlineStr">
        <is>
          <t>F</t>
        </is>
      </c>
      <c r="D928" s="2" t="n">
        <v>100</v>
      </c>
      <c r="E928" s="4">
        <f>HYPERLINK("./Results/DLO\20181101_1.2.840.113619.2.94.485650834948.2.9220351.20068281.1_2_512_512_\Osteo_Sarco_1.png","RPT")</f>
        <v/>
      </c>
      <c r="F928" s="3" t="n">
        <v>94</v>
      </c>
      <c r="G928" s="3" t="n">
        <v>16</v>
      </c>
      <c r="H928" s="6" t="n">
        <v>26.22</v>
      </c>
      <c r="I928" t="inlineStr">
        <is>
          <t>Sensation 64</t>
        </is>
      </c>
      <c r="J928" t="inlineStr">
        <is>
          <t>With Contrast 3.0 B30f</t>
        </is>
      </c>
    </row>
    <row r="929">
      <c r="A929" s="2" t="n">
        <v>3192904</v>
      </c>
      <c r="B929" s="2" t="n">
        <v>60</v>
      </c>
      <c r="C929" s="2" t="inlineStr">
        <is>
          <t>F</t>
        </is>
      </c>
      <c r="D929" s="2" t="n">
        <v>100</v>
      </c>
      <c r="E929" s="4">
        <f>HYPERLINK("./Results/DLO\20190901_1.2.840.113619.2.416.221045669435982723748333980580170535143_310_512_512_\Osteo_Sarco_1.png","RPT")</f>
        <v/>
      </c>
      <c r="F929" s="3" t="n">
        <v>92</v>
      </c>
      <c r="G929" s="3" t="n">
        <v>16</v>
      </c>
      <c r="H929" s="6" t="n">
        <v>23.3</v>
      </c>
      <c r="I929" t="inlineStr">
        <is>
          <t>Revolution CT</t>
        </is>
      </c>
      <c r="J929" t="inlineStr">
        <is>
          <t>ABD</t>
        </is>
      </c>
    </row>
    <row r="930">
      <c r="A930" s="2" t="n">
        <v>9528165</v>
      </c>
      <c r="B930" s="2" t="n">
        <v>60</v>
      </c>
      <c r="C930" s="2" t="inlineStr">
        <is>
          <t>F</t>
        </is>
      </c>
      <c r="D930" s="2" t="n">
        <v>100</v>
      </c>
      <c r="E930" s="4">
        <f>HYPERLINK("./Results/DLO\20181201_1.3.12.2.1107.5.1.4.54310.30000018121623584253100003195_2_512_512_\Osteo_Sarco_1.png","RPT")</f>
        <v/>
      </c>
      <c r="F930" s="3" t="n">
        <v>90</v>
      </c>
      <c r="G930" s="3" t="n">
        <v>9</v>
      </c>
      <c r="H930" s="6" t="n">
        <v>21.44</v>
      </c>
      <c r="I930" t="inlineStr">
        <is>
          <t>Sensation 64</t>
        </is>
      </c>
      <c r="J930" t="inlineStr">
        <is>
          <t>With Contrast 3.0 B30f</t>
        </is>
      </c>
    </row>
    <row r="931">
      <c r="A931" s="2" t="n">
        <v>689169</v>
      </c>
      <c r="B931" s="2" t="n">
        <v>60</v>
      </c>
      <c r="C931" s="2" t="inlineStr">
        <is>
          <t>F</t>
        </is>
      </c>
      <c r="D931" s="2" t="n">
        <v>100</v>
      </c>
      <c r="E931" s="4">
        <f>HYPERLINK("./Results/DLO\20200601_1.3.12.2.1107.5.1.4.54310.30000020053121250062500084213_7_512_512_\Osteo_Sarco_1.png","RPT")</f>
        <v/>
      </c>
      <c r="F931" s="3" t="n">
        <v>87</v>
      </c>
      <c r="G931" s="3" t="n">
        <v>8</v>
      </c>
      <c r="H931" s="7" t="n"/>
      <c r="I931" t="inlineStr">
        <is>
          <t>Sensation 64</t>
        </is>
      </c>
      <c r="J931" t="inlineStr">
        <is>
          <t>ABD 3mm B30f</t>
        </is>
      </c>
    </row>
    <row r="932">
      <c r="A932" s="2" t="n">
        <v>8429407</v>
      </c>
      <c r="B932" s="2" t="n">
        <v>60</v>
      </c>
      <c r="C932" s="2" t="inlineStr">
        <is>
          <t>F</t>
        </is>
      </c>
      <c r="D932" s="2" t="n">
        <v>100</v>
      </c>
      <c r="E932" s="4">
        <f>HYPERLINK("./Results/DLO\20190101_1.2.840.113619.2.94.485650834948.2.9319026.20311005.1_2_512_512_\Osteo_Sarco_1.png","RPT")</f>
        <v/>
      </c>
      <c r="F932" s="3" t="n">
        <v>86</v>
      </c>
      <c r="G932" s="3" t="n">
        <v>7</v>
      </c>
      <c r="H932" s="6" t="n">
        <v>19.98</v>
      </c>
      <c r="I932" t="inlineStr">
        <is>
          <t>Sensation 64</t>
        </is>
      </c>
      <c r="J932" t="inlineStr">
        <is>
          <t>With Contrast 3.0 B30f</t>
        </is>
      </c>
    </row>
    <row r="933">
      <c r="A933" s="2" t="n">
        <v>3164398</v>
      </c>
      <c r="B933" s="2" t="n">
        <v>60</v>
      </c>
      <c r="C933" s="2" t="inlineStr">
        <is>
          <t>F</t>
        </is>
      </c>
      <c r="D933" s="2" t="n">
        <v>100</v>
      </c>
      <c r="E933" s="4">
        <f>HYPERLINK("./Results/DLO\20191101_1.3.12.2.1107.5.1.4.54310.30000019111721190531200035331_6_512_512_\Osteo_Sarco_1.png","RPT")</f>
        <v/>
      </c>
      <c r="F933" s="3" t="n">
        <v>82</v>
      </c>
      <c r="G933" s="3" t="n">
        <v>6</v>
      </c>
      <c r="H933" s="7" t="n"/>
      <c r="I933" t="inlineStr">
        <is>
          <t>Sensation 64</t>
        </is>
      </c>
      <c r="J933" t="inlineStr">
        <is>
          <t>Portal 3.0 B30f</t>
        </is>
      </c>
    </row>
    <row r="934">
      <c r="A934" s="2" t="n">
        <v>8562070</v>
      </c>
      <c r="B934" s="2" t="n">
        <v>60</v>
      </c>
      <c r="C934" s="2" t="inlineStr">
        <is>
          <t>F</t>
        </is>
      </c>
      <c r="D934" s="2" t="n">
        <v>100</v>
      </c>
      <c r="E934" s="4">
        <f>HYPERLINK("./Results/DLO\20190101_1.3.12.2.1107.5.1.4.54310.30000019013023361779600025771_2_512_512_\Osteo_Sarco_1.png","RPT")</f>
        <v/>
      </c>
      <c r="F934" s="3" t="n">
        <v>80</v>
      </c>
      <c r="G934" s="3" t="n">
        <v>7</v>
      </c>
      <c r="H934" s="7" t="n"/>
      <c r="I934" t="inlineStr">
        <is>
          <t>Sensation 64</t>
        </is>
      </c>
      <c r="J934" t="inlineStr">
        <is>
          <t>Pre Contrast 3.0 B30f</t>
        </is>
      </c>
    </row>
    <row r="935">
      <c r="A935" s="2" t="n">
        <v>9549878</v>
      </c>
      <c r="B935" s="2" t="n">
        <v>60</v>
      </c>
      <c r="C935" s="2" t="inlineStr">
        <is>
          <t>M</t>
        </is>
      </c>
      <c r="D935" s="2" t="n">
        <v>100</v>
      </c>
      <c r="E935" s="4">
        <f>HYPERLINK("./Results/DLO\20200501_1.3.12.2.1107.5.1.4.54310.30000020051922585582800021224_5_512_512_\Osteo_Sarco_1.png","RPT")</f>
        <v/>
      </c>
      <c r="F935" s="3" t="n">
        <v>211</v>
      </c>
      <c r="G935" s="3" t="n">
        <v>8</v>
      </c>
      <c r="H935" s="6" t="n">
        <v>32.59</v>
      </c>
      <c r="I935" t="inlineStr">
        <is>
          <t>Sensation 64</t>
        </is>
      </c>
      <c r="J935" t="inlineStr">
        <is>
          <t>ABD 3mm B30f</t>
        </is>
      </c>
    </row>
    <row r="936">
      <c r="A936" s="2" t="n">
        <v>2043620</v>
      </c>
      <c r="B936" s="2" t="n">
        <v>60</v>
      </c>
      <c r="C936" s="2" t="inlineStr">
        <is>
          <t>M</t>
        </is>
      </c>
      <c r="D936" s="2" t="n">
        <v>100</v>
      </c>
      <c r="E936" s="4">
        <f>HYPERLINK("./Results/DLO\20180801_1.3.12.2.1107.5.1.4.54310.30000018083023120093700064764_3_512_512_\Osteo_Sarco_1.png","RPT")</f>
        <v/>
      </c>
      <c r="F936" s="3" t="n">
        <v>200</v>
      </c>
      <c r="G936" s="3" t="n">
        <v>9</v>
      </c>
      <c r="H936" s="7" t="n"/>
      <c r="I936" t="inlineStr">
        <is>
          <t>Sensation 64</t>
        </is>
      </c>
      <c r="J936" t="inlineStr">
        <is>
          <t>Pre Contrast 3.0 B30f</t>
        </is>
      </c>
    </row>
    <row r="937">
      <c r="A937" s="2" t="n">
        <v>5930635</v>
      </c>
      <c r="B937" s="2" t="n">
        <v>60</v>
      </c>
      <c r="C937" s="2" t="inlineStr">
        <is>
          <t>M</t>
        </is>
      </c>
      <c r="D937" s="2" t="n">
        <v>100</v>
      </c>
      <c r="E937" s="4">
        <f>HYPERLINK("./Results/DLO\20181201_1.3.12.2.1107.5.1.4.54310.30000018121823264617100024391_5_512_512_\Osteo_Sarco_1.png","RPT")</f>
        <v/>
      </c>
      <c r="F937" s="3" t="n">
        <v>191</v>
      </c>
      <c r="G937" s="3" t="n">
        <v>11</v>
      </c>
      <c r="H937" s="7" t="n"/>
      <c r="I937" t="inlineStr">
        <is>
          <t>Sensation 64</t>
        </is>
      </c>
      <c r="J937" t="inlineStr">
        <is>
          <t>3 Min Delay 3.0 B30f</t>
        </is>
      </c>
    </row>
    <row r="938">
      <c r="A938" s="2" t="n">
        <v>2727745</v>
      </c>
      <c r="B938" s="2" t="n">
        <v>60</v>
      </c>
      <c r="C938" s="2" t="inlineStr">
        <is>
          <t>M</t>
        </is>
      </c>
      <c r="D938" s="2" t="n">
        <v>100</v>
      </c>
      <c r="E938" s="4">
        <f>HYPERLINK("./Results/DLO\20180901_1.3.12.2.1107.5.1.4.65253.30000018092019375004400047461_2_512_512_\Osteo_Sarco_1.png","RPT")</f>
        <v/>
      </c>
      <c r="F938" s="3" t="n">
        <v>177</v>
      </c>
      <c r="G938" s="3" t="n">
        <v>11</v>
      </c>
      <c r="H938" s="7" t="n"/>
      <c r="I938" t="inlineStr">
        <is>
          <t>SOMATOM Definition AS</t>
        </is>
      </c>
      <c r="J938" t="inlineStr">
        <is>
          <t>Pre Contrast 3.0 B30f</t>
        </is>
      </c>
    </row>
    <row r="939">
      <c r="A939" s="2" t="n">
        <v>9618374</v>
      </c>
      <c r="B939" s="2" t="n">
        <v>60</v>
      </c>
      <c r="C939" s="2" t="inlineStr">
        <is>
          <t>M</t>
        </is>
      </c>
      <c r="D939" s="2" t="n">
        <v>100</v>
      </c>
      <c r="E939" s="4">
        <f>HYPERLINK("./Results/DLO\20190201_1.2.410.100011.172.24.16.218.6368885823871030593.2_2_512_512_\Osteo_Sarco_1.png","RPT")</f>
        <v/>
      </c>
      <c r="F939" s="3" t="n">
        <v>177</v>
      </c>
      <c r="G939" s="3" t="n">
        <v>9</v>
      </c>
      <c r="H939" s="7" t="n"/>
      <c r="I939" t="inlineStr">
        <is>
          <t>SOMATOM Definition Edge</t>
        </is>
      </c>
      <c r="J939" t="inlineStr">
        <is>
          <t>Pre Abdomen 3.0 I[30f 2 iMAR</t>
        </is>
      </c>
    </row>
    <row r="940">
      <c r="A940" s="2" t="n">
        <v>8702991</v>
      </c>
      <c r="B940" s="2" t="n">
        <v>60</v>
      </c>
      <c r="C940" s="2" t="inlineStr">
        <is>
          <t>M</t>
        </is>
      </c>
      <c r="D940" s="2" t="n">
        <v>100</v>
      </c>
      <c r="E940" s="4">
        <f>HYPERLINK("./Results/DLO\20190501_1.3.12.2.1107.5.1.4.54310.30000019052423435651500010371_3_512_512_\Osteo_Sarco_1.png","RPT")</f>
        <v/>
      </c>
      <c r="F940" s="3" t="n">
        <v>175</v>
      </c>
      <c r="G940" s="3" t="n">
        <v>8</v>
      </c>
      <c r="H940" s="7" t="n"/>
      <c r="I940" t="inlineStr">
        <is>
          <t>Sensation 64</t>
        </is>
      </c>
      <c r="J940" t="inlineStr">
        <is>
          <t>With Contrast 3.0 B30f</t>
        </is>
      </c>
    </row>
    <row r="941">
      <c r="A941" s="2" t="n">
        <v>8781000</v>
      </c>
      <c r="B941" s="2" t="n">
        <v>60</v>
      </c>
      <c r="C941" s="2" t="inlineStr">
        <is>
          <t>M</t>
        </is>
      </c>
      <c r="D941" s="2" t="n">
        <v>100</v>
      </c>
      <c r="E941" s="4">
        <f>HYPERLINK("./Results/DLO\20190701_1.3.46.670589.33.1.63697759315138992800001.5100089436385358014_201_512_512_\Osteo_Sarco_1.png","RPT")</f>
        <v/>
      </c>
      <c r="F941" s="3" t="n">
        <v>173</v>
      </c>
      <c r="G941" s="3" t="n">
        <v>14</v>
      </c>
      <c r="H941" s="7" t="n"/>
      <c r="I941" t="inlineStr">
        <is>
          <t>Ingenuity Core 128</t>
        </is>
      </c>
      <c r="J941" t="inlineStr">
        <is>
          <t>Pre 3mm, iDose (3)</t>
        </is>
      </c>
    </row>
    <row r="942">
      <c r="A942" s="2" t="n">
        <v>5553660</v>
      </c>
      <c r="B942" s="2" t="n">
        <v>60</v>
      </c>
      <c r="C942" s="2" t="inlineStr">
        <is>
          <t>M</t>
        </is>
      </c>
      <c r="D942" s="2" t="n">
        <v>100</v>
      </c>
      <c r="E942" s="4">
        <f>HYPERLINK("./Results/DLO\20181001_1.3.12.2.1107.5.1.4.54310.30000018100123342643700057403_2_512_512_\Osteo_Sarco_1.png","RPT")</f>
        <v/>
      </c>
      <c r="F942" s="3" t="n">
        <v>171</v>
      </c>
      <c r="G942" s="3" t="n">
        <v>6</v>
      </c>
      <c r="H942" s="7" t="n"/>
      <c r="I942" t="inlineStr">
        <is>
          <t>Sensation 64</t>
        </is>
      </c>
      <c r="J942" t="inlineStr">
        <is>
          <t>With Contrast 3.0 B30f</t>
        </is>
      </c>
    </row>
    <row r="943">
      <c r="A943" s="2" t="n">
        <v>8502843</v>
      </c>
      <c r="B943" s="2" t="n">
        <v>60</v>
      </c>
      <c r="C943" s="2" t="inlineStr">
        <is>
          <t>M</t>
        </is>
      </c>
      <c r="D943" s="2" t="n">
        <v>100</v>
      </c>
      <c r="E943" s="4">
        <f>HYPERLINK("./Results/DLO\20191101_1.3.12.2.1107.5.1.4.65253.30000019112420402667700059114_2_512_512_\Osteo_Sarco_1.png","RPT")</f>
        <v/>
      </c>
      <c r="F943" s="3" t="n">
        <v>170</v>
      </c>
      <c r="G943" s="3" t="n">
        <v>7</v>
      </c>
      <c r="H943" s="7" t="n"/>
      <c r="I943" t="inlineStr">
        <is>
          <t>SOMATOM Definition AS</t>
        </is>
      </c>
      <c r="J943" t="inlineStr">
        <is>
          <t>W/O Contrast 2.0 B30f</t>
        </is>
      </c>
    </row>
    <row r="944">
      <c r="A944" s="2" t="n">
        <v>8701789</v>
      </c>
      <c r="B944" s="2" t="n">
        <v>60</v>
      </c>
      <c r="C944" s="2" t="inlineStr">
        <is>
          <t>M</t>
        </is>
      </c>
      <c r="D944" s="2" t="n">
        <v>100</v>
      </c>
      <c r="E944" s="4">
        <f>HYPERLINK("./Results/DLO\20180501_1.2.840.113619.2.311.208010177080180262026853306159010039544_305_512_512_\Osteo_Sarco_1.png","RPT")</f>
        <v/>
      </c>
      <c r="F944" s="3" t="n">
        <v>166</v>
      </c>
      <c r="G944" s="3" t="n">
        <v>14</v>
      </c>
      <c r="H944" s="6" t="n">
        <v>24.34</v>
      </c>
      <c r="I944" t="inlineStr">
        <is>
          <t>Revolution CT</t>
        </is>
      </c>
      <c r="J944" t="inlineStr">
        <is>
          <t>ABD 2.5mm</t>
        </is>
      </c>
    </row>
    <row r="945">
      <c r="A945" s="2" t="n">
        <v>8571915</v>
      </c>
      <c r="B945" s="2" t="n">
        <v>60</v>
      </c>
      <c r="C945" s="2" t="inlineStr">
        <is>
          <t>M</t>
        </is>
      </c>
      <c r="D945" s="2" t="n">
        <v>100</v>
      </c>
      <c r="E945" s="4">
        <f>HYPERLINK("./Results/DLO\20191201_1.3.46.670589.33.1.63712428306560016600001.5134877238824299262_201_512_512_\Osteo_Sarco_1.png","RPT")</f>
        <v/>
      </c>
      <c r="F945" s="3" t="n">
        <v>162</v>
      </c>
      <c r="G945" s="3" t="n">
        <v>8</v>
      </c>
      <c r="H945" s="7" t="n"/>
      <c r="I945" t="inlineStr">
        <is>
          <t>Ingenuity Core 128</t>
        </is>
      </c>
      <c r="J945" t="inlineStr">
        <is>
          <t>Post 3mm, iDose (3)</t>
        </is>
      </c>
    </row>
    <row r="946">
      <c r="A946" s="2" t="n">
        <v>9485957</v>
      </c>
      <c r="B946" s="2" t="n">
        <v>60</v>
      </c>
      <c r="C946" s="2" t="inlineStr">
        <is>
          <t>M</t>
        </is>
      </c>
      <c r="D946" s="2" t="n">
        <v>100</v>
      </c>
      <c r="E946" s="4">
        <f>HYPERLINK("./Results/DLO\20181001_1.3.12.2.1107.5.1.4.65253.30000018103018572732600012931_2_512_512_\Osteo_Sarco_1.png","RPT")</f>
        <v/>
      </c>
      <c r="F946" s="3" t="n">
        <v>157</v>
      </c>
      <c r="G946" s="3" t="n">
        <v>9</v>
      </c>
      <c r="H946" s="7" t="n"/>
      <c r="I946" t="inlineStr">
        <is>
          <t>SOMATOM Definition AS</t>
        </is>
      </c>
      <c r="J946" t="inlineStr">
        <is>
          <t>Pre Contrast 3.0 B30f</t>
        </is>
      </c>
    </row>
    <row r="947">
      <c r="A947" s="2" t="n">
        <v>9974456</v>
      </c>
      <c r="B947" s="2" t="n">
        <v>60</v>
      </c>
      <c r="C947" s="2" t="inlineStr">
        <is>
          <t>M</t>
        </is>
      </c>
      <c r="D947" s="2" t="n">
        <v>100</v>
      </c>
      <c r="E947" s="4">
        <f>HYPERLINK("./Results/DLO\20200201_1.2.410.100011.172.16.64.21.6372634069528479411.2_2_512_512_\Osteo_Sarco_1.png","RPT")</f>
        <v/>
      </c>
      <c r="F947" s="3" t="n">
        <v>151</v>
      </c>
      <c r="G947" s="3" t="n">
        <v>8</v>
      </c>
      <c r="H947" s="6" t="n">
        <v>24.14</v>
      </c>
      <c r="I947" t="inlineStr">
        <is>
          <t>SOMATOM Definition AS</t>
        </is>
      </c>
      <c r="J947" t="inlineStr">
        <is>
          <t>abdomen pre 3.0 I40f 2</t>
        </is>
      </c>
    </row>
    <row r="948">
      <c r="A948" s="2" t="n">
        <v>5400427</v>
      </c>
      <c r="B948" s="2" t="n">
        <v>60</v>
      </c>
      <c r="C948" s="2" t="inlineStr">
        <is>
          <t>M</t>
        </is>
      </c>
      <c r="D948" s="2" t="n">
        <v>100</v>
      </c>
      <c r="E948" s="4">
        <f>HYPERLINK("./Results/DLO\20180101_1.3.12.2.1107.5.1.4.54310.30000018013023115745300002996_9_512_512_\Osteo_Sarco_1.png","RPT")</f>
        <v/>
      </c>
      <c r="F948" s="3" t="n">
        <v>148</v>
      </c>
      <c r="G948" s="3" t="n">
        <v>9</v>
      </c>
      <c r="H948" s="7" t="n"/>
      <c r="I948" t="inlineStr">
        <is>
          <t>Sensation 64</t>
        </is>
      </c>
      <c r="J948" t="inlineStr">
        <is>
          <t>Delay 3.0 B30f</t>
        </is>
      </c>
    </row>
    <row r="949">
      <c r="A949" s="2" t="n">
        <v>9528010</v>
      </c>
      <c r="B949" s="2" t="n">
        <v>60</v>
      </c>
      <c r="C949" s="2" t="inlineStr">
        <is>
          <t>M</t>
        </is>
      </c>
      <c r="D949" s="2" t="n">
        <v>100</v>
      </c>
      <c r="E949" s="4">
        <f>HYPERLINK("./Results/DLO\20190101_1.3.46.670589.33.1.63682538317682145900001.4817309626651682940_201_512_512_\Osteo_Sarco_1.png","RPT")</f>
        <v/>
      </c>
      <c r="F949" s="3" t="n">
        <v>148</v>
      </c>
      <c r="G949" s="3" t="n">
        <v>7</v>
      </c>
      <c r="H949" s="7" t="n"/>
      <c r="I949" t="inlineStr">
        <is>
          <t>Ingenuity Core 128</t>
        </is>
      </c>
      <c r="J949" t="inlineStr">
        <is>
          <t>Post 3mm, iDose (3)</t>
        </is>
      </c>
    </row>
    <row r="950">
      <c r="A950" s="2" t="n">
        <v>9007487</v>
      </c>
      <c r="B950" s="2" t="n">
        <v>60</v>
      </c>
      <c r="C950" s="2" t="inlineStr">
        <is>
          <t>M</t>
        </is>
      </c>
      <c r="D950" s="2" t="n">
        <v>100</v>
      </c>
      <c r="E950" s="4">
        <f>HYPERLINK("./Results/DLO\20190301_1.3.12.2.1107.5.1.4.65253.30000019032320075768000015086_2_512_512_\Osteo_Sarco_1.png","RPT")</f>
        <v/>
      </c>
      <c r="F950" s="3" t="n">
        <v>146</v>
      </c>
      <c r="G950" s="3" t="n">
        <v>8</v>
      </c>
      <c r="H950" s="7" t="n"/>
      <c r="I950" t="inlineStr">
        <is>
          <t>SOMATOM Definition AS</t>
        </is>
      </c>
      <c r="J950" t="inlineStr">
        <is>
          <t>Pre Contrast 3.0 B30f</t>
        </is>
      </c>
    </row>
    <row r="951">
      <c r="A951" s="2" t="n">
        <v>5954285</v>
      </c>
      <c r="B951" s="2" t="n">
        <v>60</v>
      </c>
      <c r="C951" s="2" t="inlineStr">
        <is>
          <t>M</t>
        </is>
      </c>
      <c r="D951" s="2" t="n">
        <v>100</v>
      </c>
      <c r="E951" s="4">
        <f>HYPERLINK("./Results/DLO\20200501_1.2.840.113619.2.416.91047213641595426617529982317042682023_303_512_512_\Osteo_Sarco_1.png","RPT")</f>
        <v/>
      </c>
      <c r="F951" s="3" t="n">
        <v>146</v>
      </c>
      <c r="G951" s="3" t="n">
        <v>8</v>
      </c>
      <c r="H951" s="7" t="n"/>
      <c r="I951" t="inlineStr">
        <is>
          <t>Revolution CT</t>
        </is>
      </c>
      <c r="J951" t="inlineStr">
        <is>
          <t>POST TF-M</t>
        </is>
      </c>
    </row>
    <row r="952">
      <c r="A952" s="2" t="n">
        <v>6737517</v>
      </c>
      <c r="B952" s="2" t="n">
        <v>60</v>
      </c>
      <c r="C952" s="2" t="inlineStr">
        <is>
          <t>M</t>
        </is>
      </c>
      <c r="D952" s="2" t="n">
        <v>100</v>
      </c>
      <c r="E952" s="4">
        <f>HYPERLINK("./Results/DLO\20180501_1.3.12.2.1107.5.1.4.54310.30000018052423121998400004929_2_512_512_\Osteo_Sarco_1.png","RPT")</f>
        <v/>
      </c>
      <c r="F952" s="3" t="n">
        <v>140</v>
      </c>
      <c r="G952" s="3" t="n">
        <v>6</v>
      </c>
      <c r="H952" s="7" t="n"/>
      <c r="I952" t="inlineStr">
        <is>
          <t>Sensation 64</t>
        </is>
      </c>
      <c r="J952" t="inlineStr">
        <is>
          <t>With Contrast 3.0 B30f</t>
        </is>
      </c>
    </row>
    <row r="953">
      <c r="A953" s="2" t="n">
        <v>2817512</v>
      </c>
      <c r="B953" s="2" t="n">
        <v>60</v>
      </c>
      <c r="C953" s="2" t="inlineStr">
        <is>
          <t>F</t>
        </is>
      </c>
      <c r="D953" s="2" t="n">
        <v>100</v>
      </c>
      <c r="E953" s="4">
        <f>HYPERLINK("./Results/DLO\20200501_1.2.840.113619.2.416.152773004022873042133117112022309251840_307_512_512_\Osteo_Sarco_1.png","RPT")</f>
        <v/>
      </c>
      <c r="F953" s="3" t="n">
        <v>139</v>
      </c>
      <c r="G953" s="3" t="n">
        <v>12</v>
      </c>
      <c r="H953" s="7" t="n"/>
      <c r="I953" t="inlineStr">
        <is>
          <t>Revolution CT</t>
        </is>
      </c>
      <c r="J953" t="inlineStr">
        <is>
          <t>ABD</t>
        </is>
      </c>
    </row>
    <row r="954">
      <c r="A954" s="2" t="n">
        <v>5642002</v>
      </c>
      <c r="B954" s="2" t="n">
        <v>60</v>
      </c>
      <c r="C954" s="2" t="inlineStr">
        <is>
          <t>F</t>
        </is>
      </c>
      <c r="D954" s="2" t="n">
        <v>100</v>
      </c>
      <c r="E954" s="4">
        <f>HYPERLINK("./Results/DLO\20180401_1.2.840.113619.2.416.247734809164555291394089994184761525104_304_512_512_\Osteo_Sarco_1.png","RPT")</f>
        <v/>
      </c>
      <c r="F954" s="3" t="n">
        <v>137</v>
      </c>
      <c r="G954" s="3" t="n">
        <v>10</v>
      </c>
      <c r="H954" s="7" t="n"/>
      <c r="I954" t="inlineStr">
        <is>
          <t>Revolution CT</t>
        </is>
      </c>
      <c r="J954" t="inlineStr">
        <is>
          <t>ABD 2.5mm</t>
        </is>
      </c>
    </row>
    <row r="955">
      <c r="A955" s="2" t="n">
        <v>4681481</v>
      </c>
      <c r="B955" s="2" t="n">
        <v>60</v>
      </c>
      <c r="C955" s="2" t="inlineStr">
        <is>
          <t>F</t>
        </is>
      </c>
      <c r="D955" s="2" t="n">
        <v>100</v>
      </c>
      <c r="E955" s="4">
        <f>HYPERLINK("./Results/DLO\20180201_1.2.840.113619.2.94.485650834948.2.8673233.18721130.1_2_512_512_\Osteo_Sarco_1.png","RPT")</f>
        <v/>
      </c>
      <c r="F955" s="3" t="n">
        <v>135</v>
      </c>
      <c r="G955" s="3" t="n">
        <v>14</v>
      </c>
      <c r="H955" s="6" t="n">
        <v>27.17</v>
      </c>
      <c r="I955" t="inlineStr">
        <is>
          <t>Sensation 64</t>
        </is>
      </c>
      <c r="J955" t="inlineStr">
        <is>
          <t>With Contrast 3.0 B30f</t>
        </is>
      </c>
    </row>
    <row r="956">
      <c r="A956" s="2" t="n">
        <v>6737811</v>
      </c>
      <c r="B956" s="2" t="n">
        <v>60</v>
      </c>
      <c r="C956" s="2" t="inlineStr">
        <is>
          <t>F</t>
        </is>
      </c>
      <c r="D956" s="2" t="n">
        <v>100</v>
      </c>
      <c r="E956" s="4">
        <f>HYPERLINK("./Results/DLO\20180101_1.2.840.113619.2.311.24806101870163044486499958023939686697_304_512_512_\Osteo_Sarco_1.png","RPT")</f>
        <v/>
      </c>
      <c r="F956" s="3" t="n">
        <v>132</v>
      </c>
      <c r="G956" s="3" t="n">
        <v>18</v>
      </c>
      <c r="H956" s="7" t="n"/>
      <c r="I956" t="inlineStr">
        <is>
          <t>Revolution CT</t>
        </is>
      </c>
      <c r="J956" t="inlineStr">
        <is>
          <t>ABD 2.5mm</t>
        </is>
      </c>
    </row>
    <row r="957">
      <c r="A957" s="2" t="n">
        <v>4969079</v>
      </c>
      <c r="B957" s="2" t="n">
        <v>60</v>
      </c>
      <c r="C957" s="2" t="inlineStr">
        <is>
          <t>F</t>
        </is>
      </c>
      <c r="D957" s="2" t="n">
        <v>100</v>
      </c>
      <c r="E957" s="4">
        <f>HYPERLINK("./Results/DLO\20180601_1.2.840.113619.2.311.133918581337682042899742154119373063386_303_512_512_\Osteo_Sarco_1.png","RPT")</f>
        <v/>
      </c>
      <c r="F957" s="3" t="n">
        <v>132</v>
      </c>
      <c r="G957" s="3" t="n">
        <v>12</v>
      </c>
      <c r="H957" s="7" t="n"/>
      <c r="I957" t="inlineStr">
        <is>
          <t>Revolution CT</t>
        </is>
      </c>
      <c r="J957" t="inlineStr">
        <is>
          <t>ABD 2.5mm</t>
        </is>
      </c>
    </row>
    <row r="958">
      <c r="A958" s="2" t="n">
        <v>2911955</v>
      </c>
      <c r="B958" s="2" t="n">
        <v>60</v>
      </c>
      <c r="C958" s="2" t="inlineStr">
        <is>
          <t>M</t>
        </is>
      </c>
      <c r="D958" s="2" t="n">
        <v>100</v>
      </c>
      <c r="E958" s="4">
        <f>HYPERLINK("./Results/DLO\20181201_1.3.12.2.1107.5.1.4.54310.30000018121923192868700044827_3_512_512_\Osteo_Sarco_1.png","RPT")</f>
        <v/>
      </c>
      <c r="F958" s="3" t="n">
        <v>130</v>
      </c>
      <c r="G958" s="3" t="n">
        <v>11</v>
      </c>
      <c r="H958" s="6" t="n">
        <v>25.98</v>
      </c>
      <c r="I958" t="inlineStr">
        <is>
          <t>Sensation 64</t>
        </is>
      </c>
      <c r="J958" t="inlineStr">
        <is>
          <t>Pre Contrast 3.0 B30f</t>
        </is>
      </c>
    </row>
    <row r="959">
      <c r="A959" s="2" t="n">
        <v>3079951</v>
      </c>
      <c r="B959" s="2" t="n">
        <v>60</v>
      </c>
      <c r="C959" s="2" t="inlineStr">
        <is>
          <t>F</t>
        </is>
      </c>
      <c r="D959" s="2" t="n">
        <v>100</v>
      </c>
      <c r="E959" s="4">
        <f>HYPERLINK("./Results/DLO\20180501_1.2.840.113619.2.311.183739700963246357921278542400624829595_303_512_512_\Osteo_Sarco_1.png","RPT")</f>
        <v/>
      </c>
      <c r="F959" s="3" t="n">
        <v>128</v>
      </c>
      <c r="G959" s="3" t="n">
        <v>9</v>
      </c>
      <c r="H959" s="7" t="n"/>
      <c r="I959" t="inlineStr">
        <is>
          <t>Revolution CT</t>
        </is>
      </c>
      <c r="J959" t="inlineStr">
        <is>
          <t>ABD 2.5mm</t>
        </is>
      </c>
    </row>
    <row r="960">
      <c r="A960" s="2" t="n">
        <v>9689853</v>
      </c>
      <c r="B960" s="2" t="n">
        <v>60</v>
      </c>
      <c r="C960" s="2" t="inlineStr">
        <is>
          <t>F</t>
        </is>
      </c>
      <c r="D960" s="2" t="n">
        <v>100</v>
      </c>
      <c r="E960" s="4">
        <f>HYPERLINK("./Results/DLO\20190601_1.3.12.2.1107.5.1.4.54310.30000019061821272012500065127_6_512_512_\Osteo_Sarco_1.png","RPT")</f>
        <v/>
      </c>
      <c r="F960" s="3" t="n">
        <v>125</v>
      </c>
      <c r="G960" s="3" t="n">
        <v>8</v>
      </c>
      <c r="H960" s="7" t="n"/>
      <c r="I960" t="inlineStr">
        <is>
          <t>Sensation 64</t>
        </is>
      </c>
      <c r="J960" t="inlineStr">
        <is>
          <t>ABD Contrast 3.0 B30f</t>
        </is>
      </c>
    </row>
    <row r="961">
      <c r="A961" s="2" t="n">
        <v>8860348</v>
      </c>
      <c r="B961" s="2" t="n">
        <v>60</v>
      </c>
      <c r="C961" s="2" t="inlineStr">
        <is>
          <t>M</t>
        </is>
      </c>
      <c r="D961" s="2" t="n">
        <v>100</v>
      </c>
      <c r="E961" s="4">
        <f>HYPERLINK("./Results/DLO\20180201_1.3.12.2.1107.5.1.4.54310.30000018013123112864000010210_2_512_512_\Osteo_Sarco_1.png","RPT")</f>
        <v/>
      </c>
      <c r="F961" s="3" t="n">
        <v>124</v>
      </c>
      <c r="G961" s="3" t="n">
        <v>7</v>
      </c>
      <c r="H961" s="7" t="n"/>
      <c r="I961" t="inlineStr">
        <is>
          <t>Sensation 64</t>
        </is>
      </c>
      <c r="J961" t="inlineStr">
        <is>
          <t>With Contrast 3.0 B30f</t>
        </is>
      </c>
    </row>
    <row r="962">
      <c r="A962" s="2" t="n">
        <v>9756117</v>
      </c>
      <c r="B962" s="2" t="n">
        <v>60</v>
      </c>
      <c r="C962" s="2" t="inlineStr">
        <is>
          <t>M</t>
        </is>
      </c>
      <c r="D962" s="2" t="n">
        <v>100</v>
      </c>
      <c r="E962" s="4">
        <f>HYPERLINK("./Results/DLO\20190901_1.3.12.2.1107.5.1.4.65253.30000019083019581583200123089_4_512_512_\Osteo_Sarco_1.png","RPT")</f>
        <v/>
      </c>
      <c r="F962" s="3" t="n">
        <v>124</v>
      </c>
      <c r="G962" s="3" t="n">
        <v>6</v>
      </c>
      <c r="H962" s="7" t="n"/>
      <c r="I962" t="inlineStr">
        <is>
          <t>SOMATOM Definition AS</t>
        </is>
      </c>
      <c r="J962" t="inlineStr">
        <is>
          <t>Arterial Phase 3.0 B30f</t>
        </is>
      </c>
    </row>
    <row r="963">
      <c r="A963" s="2" t="n">
        <v>3399551</v>
      </c>
      <c r="B963" s="2" t="n">
        <v>60</v>
      </c>
      <c r="C963" s="2" t="inlineStr">
        <is>
          <t>F</t>
        </is>
      </c>
      <c r="D963" s="2" t="n">
        <v>100</v>
      </c>
      <c r="E963" s="4">
        <f>HYPERLINK("./Results/DLO\20180301_1.3.12.2.1107.5.1.4.54310.30000018030223453910900000234_3_512_512_\Osteo_Sarco_1.png","RPT")</f>
        <v/>
      </c>
      <c r="F963" s="3" t="n">
        <v>117</v>
      </c>
      <c r="G963" s="3" t="n">
        <v>11</v>
      </c>
      <c r="H963" s="7" t="n"/>
      <c r="I963" t="inlineStr">
        <is>
          <t>Sensation 64</t>
        </is>
      </c>
      <c r="J963" t="inlineStr">
        <is>
          <t>Pre Contrast 3.0 B30f</t>
        </is>
      </c>
    </row>
    <row r="964">
      <c r="A964" s="2" t="n">
        <v>8662121</v>
      </c>
      <c r="B964" s="2" t="n">
        <v>60</v>
      </c>
      <c r="C964" s="2" t="inlineStr">
        <is>
          <t>F</t>
        </is>
      </c>
      <c r="D964" s="2" t="n">
        <v>100</v>
      </c>
      <c r="E964" s="4">
        <f>HYPERLINK("./Results/DLO\20180201_1.2.840.113619.2.311.303123830200895034782041723829388836654_303_512_512_\Osteo_Sarco_1.png","RPT")</f>
        <v/>
      </c>
      <c r="F964" s="3" t="n">
        <v>114</v>
      </c>
      <c r="G964" s="3" t="n">
        <v>23</v>
      </c>
      <c r="H964" s="6" t="n">
        <v>23.35</v>
      </c>
      <c r="I964" t="inlineStr">
        <is>
          <t>Revolution CT</t>
        </is>
      </c>
      <c r="J964" t="inlineStr">
        <is>
          <t>ABD 2.5mm</t>
        </is>
      </c>
    </row>
    <row r="965">
      <c r="A965" s="2" t="n">
        <v>4154023</v>
      </c>
      <c r="B965" s="2" t="n">
        <v>60</v>
      </c>
      <c r="C965" s="2" t="inlineStr">
        <is>
          <t>F</t>
        </is>
      </c>
      <c r="D965" s="2" t="n">
        <v>100</v>
      </c>
      <c r="E965" s="4">
        <f>HYPERLINK("./Results/DLO\20181001_1.3.12.2.1107.5.1.4.54310.30000018100722583300000022612_2_512_512_\Osteo_Sarco_1.png","RPT")</f>
        <v/>
      </c>
      <c r="F965" s="3" t="n">
        <v>113</v>
      </c>
      <c r="G965" s="3" t="n">
        <v>8</v>
      </c>
      <c r="H965" s="7" t="n"/>
      <c r="I965" t="inlineStr">
        <is>
          <t>Sensation 64</t>
        </is>
      </c>
      <c r="J965" t="inlineStr">
        <is>
          <t>With Contrast 3.0 B30f</t>
        </is>
      </c>
    </row>
    <row r="966">
      <c r="A966" s="2" t="n">
        <v>6742074</v>
      </c>
      <c r="B966" s="2" t="n">
        <v>60</v>
      </c>
      <c r="C966" s="2" t="inlineStr">
        <is>
          <t>F</t>
        </is>
      </c>
      <c r="D966" s="2" t="n">
        <v>100</v>
      </c>
      <c r="E966" s="4">
        <f>HYPERLINK("./Results/DLO\20181201_1.2.840.113619.2.94.485650834948.2.9268944.20187751.1_2_512_512_\Osteo_Sarco_1.png","RPT")</f>
        <v/>
      </c>
      <c r="F966" s="3" t="n">
        <v>111</v>
      </c>
      <c r="G966" s="3" t="n">
        <v>15</v>
      </c>
      <c r="H966" s="7" t="n"/>
      <c r="I966" t="inlineStr">
        <is>
          <t>Sensation 64</t>
        </is>
      </c>
      <c r="J966" t="inlineStr">
        <is>
          <t>With Contrast 3.0 B30f</t>
        </is>
      </c>
    </row>
    <row r="967">
      <c r="A967" s="2" t="n">
        <v>3478617</v>
      </c>
      <c r="B967" s="2" t="n">
        <v>60</v>
      </c>
      <c r="C967" s="2" t="inlineStr">
        <is>
          <t>M</t>
        </is>
      </c>
      <c r="D967" s="2" t="n">
        <v>100</v>
      </c>
      <c r="E967" s="4">
        <f>HYPERLINK("./Results/DLO\20190901_1.3.12.2.1107.5.1.4.65253.30000019091720340989800018374_2_512_512_\Osteo_Sarco_1.png","RPT")</f>
        <v/>
      </c>
      <c r="F967" s="3" t="n">
        <v>111</v>
      </c>
      <c r="G967" s="3" t="n">
        <v>7</v>
      </c>
      <c r="H967" s="7" t="n"/>
      <c r="I967" t="inlineStr">
        <is>
          <t>SOMATOM Definition AS</t>
        </is>
      </c>
      <c r="J967" t="inlineStr">
        <is>
          <t>With Contrast 3.0 B30f</t>
        </is>
      </c>
    </row>
    <row r="968">
      <c r="A968" s="2" t="n">
        <v>8287878</v>
      </c>
      <c r="B968" s="2" t="n">
        <v>60</v>
      </c>
      <c r="C968" s="2" t="inlineStr">
        <is>
          <t>F</t>
        </is>
      </c>
      <c r="D968" s="2" t="n">
        <v>100</v>
      </c>
      <c r="E968" s="4">
        <f>HYPERLINK("./Results/DLO\20180501_1.3.12.2.1107.5.1.4.54310.30000018050223082665600013818_2_512_512_\Osteo_Sarco_1.png","RPT")</f>
        <v/>
      </c>
      <c r="F968" s="3" t="n">
        <v>108</v>
      </c>
      <c r="G968" s="3" t="n">
        <v>15</v>
      </c>
      <c r="H968" s="7" t="n"/>
      <c r="I968" t="inlineStr">
        <is>
          <t>Sensation 64</t>
        </is>
      </c>
      <c r="J968" t="inlineStr">
        <is>
          <t>Pre Contrast 3.0 B30f</t>
        </is>
      </c>
    </row>
    <row r="969">
      <c r="A969" s="2" t="n">
        <v>8999605</v>
      </c>
      <c r="B969" s="2" t="n">
        <v>60</v>
      </c>
      <c r="C969" s="2" t="inlineStr">
        <is>
          <t>F</t>
        </is>
      </c>
      <c r="D969" s="2" t="n">
        <v>100</v>
      </c>
      <c r="E969" s="4">
        <f>HYPERLINK("./Results/DLO\20180601_1.3.12.2.1107.5.1.4.54310.30000018061423463395300012055_2_512_512_\Osteo_Sarco_1.png","RPT")</f>
        <v/>
      </c>
      <c r="F969" s="3" t="n">
        <v>106</v>
      </c>
      <c r="G969" s="3" t="n">
        <v>6</v>
      </c>
      <c r="H969" s="7" t="n"/>
      <c r="I969" t="inlineStr">
        <is>
          <t>Sensation 64</t>
        </is>
      </c>
      <c r="J969" t="inlineStr">
        <is>
          <t>With Contrast 3.0 B30f</t>
        </is>
      </c>
    </row>
    <row r="970">
      <c r="A970" s="2" t="n">
        <v>6738320</v>
      </c>
      <c r="B970" s="2" t="n">
        <v>60</v>
      </c>
      <c r="C970" s="2" t="inlineStr">
        <is>
          <t>F</t>
        </is>
      </c>
      <c r="D970" s="2" t="n">
        <v>100</v>
      </c>
      <c r="E970" s="4">
        <f>HYPERLINK("./Results/DLO\20190701_1.3.12.2.1107.5.1.4.54310.30000019070921141615600014856_2_512_512_\Osteo_Sarco_1.png","RPT")</f>
        <v/>
      </c>
      <c r="F970" s="3" t="n">
        <v>104</v>
      </c>
      <c r="G970" s="3" t="n">
        <v>8</v>
      </c>
      <c r="H970" s="7" t="n"/>
      <c r="I970" t="inlineStr">
        <is>
          <t>Sensation 64</t>
        </is>
      </c>
      <c r="J970" t="inlineStr">
        <is>
          <t>Pre Contrast 3.0 B30f</t>
        </is>
      </c>
    </row>
    <row r="971">
      <c r="A971" s="2" t="n">
        <v>5597076</v>
      </c>
      <c r="B971" s="2" t="n">
        <v>60</v>
      </c>
      <c r="C971" s="2" t="inlineStr">
        <is>
          <t>F</t>
        </is>
      </c>
      <c r="D971" s="2" t="n">
        <v>100</v>
      </c>
      <c r="E971" s="4">
        <f>HYPERLINK("./Results/DLO\20180601_1.3.12.2.1107.5.1.4.54310.30000018062023242529600009134_3_512_512_\Osteo_Sarco_1.png","RPT")</f>
        <v/>
      </c>
      <c r="F971" s="3" t="n">
        <v>103</v>
      </c>
      <c r="G971" s="3" t="n">
        <v>6</v>
      </c>
      <c r="H971" s="7" t="n"/>
      <c r="I971" t="inlineStr">
        <is>
          <t>Sensation 64</t>
        </is>
      </c>
      <c r="J971" t="inlineStr">
        <is>
          <t>With Contrast 3.0 B30f</t>
        </is>
      </c>
    </row>
    <row r="972">
      <c r="A972" s="2" t="n">
        <v>6736927</v>
      </c>
      <c r="B972" s="2" t="n">
        <v>60</v>
      </c>
      <c r="C972" s="2" t="inlineStr">
        <is>
          <t>F</t>
        </is>
      </c>
      <c r="D972" s="2" t="n">
        <v>100</v>
      </c>
      <c r="E972" s="4">
        <f>HYPERLINK("./Results/DLO\20180601_1.3.12.2.1107.5.1.4.65253.30000018053120270839700012840_2_512_512_\Osteo_Sarco_1.png","RPT")</f>
        <v/>
      </c>
      <c r="F972" s="3" t="n">
        <v>103</v>
      </c>
      <c r="G972" s="3" t="n">
        <v>11</v>
      </c>
      <c r="H972" s="7" t="n"/>
      <c r="I972" t="inlineStr">
        <is>
          <t>SOMATOM Definition AS</t>
        </is>
      </c>
      <c r="J972" t="inlineStr">
        <is>
          <t>Non Contrast 3.0 B30f</t>
        </is>
      </c>
    </row>
    <row r="973">
      <c r="A973" s="2" t="n">
        <v>9921395</v>
      </c>
      <c r="B973" s="2" t="n">
        <v>60</v>
      </c>
      <c r="C973" s="2" t="inlineStr">
        <is>
          <t>F</t>
        </is>
      </c>
      <c r="D973" s="2" t="n">
        <v>100</v>
      </c>
      <c r="E973" s="4">
        <f>HYPERLINK("./Results/DLO\20200201_1.2.840.113619.2.416.203300564946585595068280908026477282875_302_512_512_\Osteo_Sarco_1.png","RPT")</f>
        <v/>
      </c>
      <c r="F973" s="3" t="n">
        <v>102</v>
      </c>
      <c r="G973" s="3" t="n">
        <v>13</v>
      </c>
      <c r="H973" s="7" t="n"/>
      <c r="I973" t="inlineStr">
        <is>
          <t>Revolution CT</t>
        </is>
      </c>
      <c r="J973" t="inlineStr">
        <is>
          <t>ABD</t>
        </is>
      </c>
    </row>
    <row r="974">
      <c r="A974" s="2" t="n">
        <v>1634115</v>
      </c>
      <c r="B974" s="2" t="n">
        <v>60</v>
      </c>
      <c r="C974" s="2" t="inlineStr">
        <is>
          <t>F</t>
        </is>
      </c>
      <c r="D974" s="2" t="n">
        <v>100</v>
      </c>
      <c r="E974" s="4">
        <f>HYPERLINK("./Results/DLO\20200601_1.3.46.670589.33.1.63728413297741764600001.5013148458173627995_201_512_512_\Osteo_Sarco_1.png","RPT")</f>
        <v/>
      </c>
      <c r="F974" s="3" t="n">
        <v>102</v>
      </c>
      <c r="G974" s="3" t="n">
        <v>9</v>
      </c>
      <c r="H974" s="7" t="n"/>
      <c r="I974" t="inlineStr">
        <is>
          <t>Ingenuity Core 128</t>
        </is>
      </c>
      <c r="J974" t="inlineStr">
        <is>
          <t>Pre 3mm, iDose (3)</t>
        </is>
      </c>
    </row>
    <row r="975">
      <c r="A975" s="2" t="n">
        <v>5663611</v>
      </c>
      <c r="B975" s="2" t="n">
        <v>60</v>
      </c>
      <c r="C975" s="2" t="inlineStr">
        <is>
          <t>F</t>
        </is>
      </c>
      <c r="D975" s="2" t="n">
        <v>100</v>
      </c>
      <c r="E975" s="4">
        <f>HYPERLINK("./Results/DLO\20191001_1.3.46.670589.33.1.63706747708256350200001.4945649390006429961_301_512_512_\Osteo_Sarco_1.png","RPT")</f>
        <v/>
      </c>
      <c r="F975" s="3" t="n">
        <v>101</v>
      </c>
      <c r="G975" s="3" t="n">
        <v>7</v>
      </c>
      <c r="H975" s="7" t="n"/>
      <c r="I975" t="inlineStr">
        <is>
          <t>Ingenuity Core 128</t>
        </is>
      </c>
      <c r="J975" t="inlineStr">
        <is>
          <t>Post 3mm, iDose (3)</t>
        </is>
      </c>
    </row>
    <row r="976">
      <c r="A976" s="2" t="n">
        <v>8295294</v>
      </c>
      <c r="B976" s="2" t="n">
        <v>60</v>
      </c>
      <c r="C976" s="2" t="inlineStr">
        <is>
          <t>F</t>
        </is>
      </c>
      <c r="D976" s="2" t="n">
        <v>100</v>
      </c>
      <c r="E976" s="4">
        <f>HYPERLINK("./Results/DLO\20181001_1.2.840.113619.2.311.282547392134162793147986106648553084386_304_512_512_\Osteo_Sarco_1.png","RPT")</f>
        <v/>
      </c>
      <c r="F976" s="3" t="n">
        <v>100</v>
      </c>
      <c r="G976" s="3" t="n">
        <v>11</v>
      </c>
      <c r="H976" s="6" t="n">
        <v>22.43</v>
      </c>
      <c r="I976" t="inlineStr">
        <is>
          <t>Revolution CT</t>
        </is>
      </c>
      <c r="J976" t="inlineStr">
        <is>
          <t>ABD 2.5mm</t>
        </is>
      </c>
    </row>
    <row r="977">
      <c r="A977" s="2" t="n">
        <v>1325942</v>
      </c>
      <c r="B977" s="2" t="n">
        <v>60</v>
      </c>
      <c r="C977" s="2" t="inlineStr">
        <is>
          <t>F</t>
        </is>
      </c>
      <c r="D977" s="2" t="n">
        <v>100</v>
      </c>
      <c r="E977" s="4">
        <f>HYPERLINK("./Results/DLO\20181001_1.3.12.2.1107.5.1.4.54310.30000018100323223954600024481_3_512_512_\Osteo_Sarco_1.png","RPT")</f>
        <v/>
      </c>
      <c r="F977" s="3" t="n">
        <v>100</v>
      </c>
      <c r="G977" s="3" t="n">
        <v>11</v>
      </c>
      <c r="H977" s="7" t="n"/>
      <c r="I977" t="inlineStr">
        <is>
          <t>Sensation 64</t>
        </is>
      </c>
      <c r="J977" t="inlineStr">
        <is>
          <t>With Contrast 3.0 B30f</t>
        </is>
      </c>
    </row>
    <row r="978">
      <c r="A978" s="2" t="n">
        <v>3518815</v>
      </c>
      <c r="B978" s="2" t="n">
        <v>60</v>
      </c>
      <c r="C978" s="2" t="inlineStr">
        <is>
          <t>F</t>
        </is>
      </c>
      <c r="D978" s="2" t="n">
        <v>100</v>
      </c>
      <c r="E978" s="4">
        <f>HYPERLINK("./Results/DLO\20200101_1.3.12.2.1107.5.1.4.54310.30000020013022422185900048529_5_512_512_\Osteo_Sarco_1.png","RPT")</f>
        <v/>
      </c>
      <c r="F978" s="3" t="n">
        <v>100</v>
      </c>
      <c r="G978" s="3" t="n">
        <v>8</v>
      </c>
      <c r="H978" s="7" t="n"/>
      <c r="I978" t="inlineStr">
        <is>
          <t>Sensation 64</t>
        </is>
      </c>
      <c r="J978" t="inlineStr">
        <is>
          <t>Arterial 3.0 B30f</t>
        </is>
      </c>
    </row>
    <row r="979">
      <c r="A979" s="2" t="n">
        <v>8305937</v>
      </c>
      <c r="B979" s="2" t="n">
        <v>61</v>
      </c>
      <c r="C979" s="2" t="inlineStr">
        <is>
          <t>F</t>
        </is>
      </c>
      <c r="D979" s="2" t="n">
        <v>100</v>
      </c>
      <c r="E979" s="4">
        <f>HYPERLINK("./Results/DLO\20180301_1.3.12.2.1107.5.1.4.54310.30000018032823230890600009150_2_512_512_\Osteo_Sarco_1.png","RPT")</f>
        <v/>
      </c>
      <c r="F979" s="3" t="n">
        <v>99</v>
      </c>
      <c r="G979" s="3" t="n">
        <v>7</v>
      </c>
      <c r="H979" s="7" t="n"/>
      <c r="I979" t="inlineStr">
        <is>
          <t>Sensation 64</t>
        </is>
      </c>
      <c r="J979" t="inlineStr">
        <is>
          <t>With Contrast 3.0 B30f</t>
        </is>
      </c>
    </row>
    <row r="980">
      <c r="A980" s="2" t="n">
        <v>8978647</v>
      </c>
      <c r="B980" s="2" t="n">
        <v>61</v>
      </c>
      <c r="C980" s="2" t="inlineStr">
        <is>
          <t>F</t>
        </is>
      </c>
      <c r="D980" s="2" t="n">
        <v>100</v>
      </c>
      <c r="E980" s="4">
        <f>HYPERLINK("./Results/DLO\20180601_1.3.46.670589.33.1.63665262299677181700001.4886293737524869066_201_512_512_\Osteo_Sarco_1.png","RPT")</f>
        <v/>
      </c>
      <c r="F980" s="3" t="n">
        <v>99</v>
      </c>
      <c r="G980" s="3" t="n">
        <v>8</v>
      </c>
      <c r="H980" s="7" t="n"/>
      <c r="I980" t="inlineStr">
        <is>
          <t>Ingenuity Core 128</t>
        </is>
      </c>
      <c r="J980" t="inlineStr">
        <is>
          <t>Post 100/236 i3, iDose (3)</t>
        </is>
      </c>
    </row>
    <row r="981">
      <c r="A981" s="2" t="n">
        <v>8860099</v>
      </c>
      <c r="B981" s="2" t="n">
        <v>61</v>
      </c>
      <c r="C981" s="2" t="inlineStr">
        <is>
          <t>F</t>
        </is>
      </c>
      <c r="D981" s="2" t="n">
        <v>100</v>
      </c>
      <c r="E981" s="4">
        <f>HYPERLINK("./Results/DLO\20180401_1.3.12.2.1107.5.1.4.54310.30000018041823081834300014883_3_512_512_\Osteo_Sarco_1.png","RPT")</f>
        <v/>
      </c>
      <c r="F981" s="3" t="n">
        <v>96</v>
      </c>
      <c r="G981" s="3" t="n">
        <v>9</v>
      </c>
      <c r="H981" s="7" t="n"/>
      <c r="I981" t="inlineStr">
        <is>
          <t>Sensation 64</t>
        </is>
      </c>
      <c r="J981" t="inlineStr">
        <is>
          <t>With Contrast 3.0 B30f</t>
        </is>
      </c>
    </row>
    <row r="982">
      <c r="A982" s="2" t="n">
        <v>5586517</v>
      </c>
      <c r="B982" s="2" t="n">
        <v>61</v>
      </c>
      <c r="C982" s="2" t="inlineStr">
        <is>
          <t>F</t>
        </is>
      </c>
      <c r="D982" s="2" t="n">
        <v>100</v>
      </c>
      <c r="E982" s="4">
        <f>HYPERLINK("./Results/DLO\20180201_1.3.12.2.1107.5.1.4.54310.30000018020823081534300026719_2_512_512_\Osteo_Sarco_1.png","RPT")</f>
        <v/>
      </c>
      <c r="F982" s="3" t="n">
        <v>95</v>
      </c>
      <c r="G982" s="3" t="n">
        <v>8</v>
      </c>
      <c r="H982" s="7" t="n"/>
      <c r="I982" t="inlineStr">
        <is>
          <t>Sensation 64</t>
        </is>
      </c>
      <c r="J982" t="inlineStr">
        <is>
          <t>Pre Contrast 3.0 B30f</t>
        </is>
      </c>
    </row>
    <row r="983">
      <c r="A983" s="2" t="n">
        <v>2424624</v>
      </c>
      <c r="B983" s="2" t="n">
        <v>61</v>
      </c>
      <c r="C983" s="2" t="inlineStr">
        <is>
          <t>F</t>
        </is>
      </c>
      <c r="D983" s="2" t="n">
        <v>100</v>
      </c>
      <c r="E983" s="4">
        <f>HYPERLINK("./Results/DLO\20180401_1.3.12.2.1107.5.1.4.54310.30000018040323102348400004733_3_512_512_\Osteo_Sarco_1.png","RPT")</f>
        <v/>
      </c>
      <c r="F983" s="3" t="n">
        <v>95</v>
      </c>
      <c r="G983" s="3" t="n">
        <v>11</v>
      </c>
      <c r="H983" s="6" t="n">
        <v>23.68</v>
      </c>
      <c r="I983" t="inlineStr">
        <is>
          <t>Sensation 64</t>
        </is>
      </c>
      <c r="J983" t="inlineStr">
        <is>
          <t>Pre Contrast 3.0 B30f</t>
        </is>
      </c>
    </row>
    <row r="984">
      <c r="A984" s="2" t="n">
        <v>4218368</v>
      </c>
      <c r="B984" s="2" t="n">
        <v>61</v>
      </c>
      <c r="C984" s="2" t="inlineStr">
        <is>
          <t>F</t>
        </is>
      </c>
      <c r="D984" s="2" t="n">
        <v>100</v>
      </c>
      <c r="E984" s="4">
        <f>HYPERLINK("./Results/DLO\20190501_1.3.46.670589.33.1.63694562392638025700001.4811153454665379938_201_512_512_\Osteo_Sarco_1.png","RPT")</f>
        <v/>
      </c>
      <c r="F984" s="3" t="n">
        <v>95</v>
      </c>
      <c r="G984" s="3" t="n">
        <v>10</v>
      </c>
      <c r="H984" s="7" t="n"/>
      <c r="I984" t="inlineStr">
        <is>
          <t>Ingenuity Core 128</t>
        </is>
      </c>
      <c r="J984" t="inlineStr">
        <is>
          <t>Post 3mm, iDose (3)</t>
        </is>
      </c>
    </row>
    <row r="985">
      <c r="A985" s="2" t="n">
        <v>8608724</v>
      </c>
      <c r="B985" s="2" t="n">
        <v>61</v>
      </c>
      <c r="C985" s="2" t="inlineStr">
        <is>
          <t>F</t>
        </is>
      </c>
      <c r="D985" s="2" t="n">
        <v>100</v>
      </c>
      <c r="E985" s="4">
        <f>HYPERLINK("./Results/DLO\20190501_1.3.46.670589.33.1.63694638878206262200001.5675365064062875417_201_512_512_\Osteo_Sarco_1.png","RPT")</f>
        <v/>
      </c>
      <c r="F985" s="3" t="n">
        <v>93</v>
      </c>
      <c r="G985" s="3" t="n">
        <v>14</v>
      </c>
      <c r="H985" s="7" t="n"/>
      <c r="I985" t="inlineStr">
        <is>
          <t>Ingenuity Core 128</t>
        </is>
      </c>
      <c r="J985" t="inlineStr">
        <is>
          <t>Post 3mm, iDose (3)</t>
        </is>
      </c>
    </row>
    <row r="986">
      <c r="A986" s="2" t="n">
        <v>5116531</v>
      </c>
      <c r="B986" s="2" t="n">
        <v>61</v>
      </c>
      <c r="C986" s="2" t="inlineStr">
        <is>
          <t>F</t>
        </is>
      </c>
      <c r="D986" s="2" t="n">
        <v>100</v>
      </c>
      <c r="E986" s="4">
        <f>HYPERLINK("./Results/DLO\20200501_1.3.46.670589.33.1.63725569056052364200001.4781798020740391096_201_512_512_\Osteo_Sarco_1.png","RPT")</f>
        <v/>
      </c>
      <c r="F986" s="3" t="n">
        <v>91</v>
      </c>
      <c r="G986" s="3" t="n">
        <v>9</v>
      </c>
      <c r="H986" s="7" t="n"/>
      <c r="I986" t="inlineStr">
        <is>
          <t>Ingenuity Core 128</t>
        </is>
      </c>
      <c r="J986" t="inlineStr">
        <is>
          <t>Pre 3mm, iDose (3)</t>
        </is>
      </c>
    </row>
    <row r="987">
      <c r="A987" s="2" t="n">
        <v>5922311</v>
      </c>
      <c r="B987" s="2" t="n">
        <v>61</v>
      </c>
      <c r="C987" s="2" t="inlineStr">
        <is>
          <t>F</t>
        </is>
      </c>
      <c r="D987" s="2" t="n">
        <v>100</v>
      </c>
      <c r="E987" s="4">
        <f>HYPERLINK("./Results/DLO\20190601_1.3.12.2.1107.5.1.4.54310.30000019061121210946800028206_6_512_512_\Osteo_Sarco_1.png","RPT")</f>
        <v/>
      </c>
      <c r="F987" s="3" t="n">
        <v>77</v>
      </c>
      <c r="G987" s="3" t="n">
        <v>7</v>
      </c>
      <c r="H987" s="7" t="n"/>
      <c r="I987" t="inlineStr">
        <is>
          <t>Sensation 64</t>
        </is>
      </c>
      <c r="J987" t="inlineStr">
        <is>
          <t>ABD Contrast 3.0 B30f</t>
        </is>
      </c>
    </row>
    <row r="988">
      <c r="A988" s="2" t="n">
        <v>5027124</v>
      </c>
      <c r="B988" s="2" t="n">
        <v>61</v>
      </c>
      <c r="C988" s="2" t="inlineStr">
        <is>
          <t>M</t>
        </is>
      </c>
      <c r="D988" s="2" t="n">
        <v>100</v>
      </c>
      <c r="E988" s="4">
        <f>HYPERLINK("./Results/DLO\20180201_1.3.12.2.1107.5.1.4.54310.30000018020823251125000001918_2_512_512_\Osteo_Sarco_1.png","RPT")</f>
        <v/>
      </c>
      <c r="F988" s="3" t="n">
        <v>198</v>
      </c>
      <c r="G988" s="3" t="n">
        <v>11</v>
      </c>
      <c r="H988" s="6" t="n">
        <v>32.85</v>
      </c>
      <c r="I988" t="inlineStr">
        <is>
          <t>Sensation 64</t>
        </is>
      </c>
      <c r="J988" t="inlineStr">
        <is>
          <t>W/O Contrast 3.0 B30f</t>
        </is>
      </c>
    </row>
    <row r="989">
      <c r="A989" s="2" t="n">
        <v>5024921</v>
      </c>
      <c r="B989" s="2" t="n">
        <v>61</v>
      </c>
      <c r="C989" s="2" t="inlineStr">
        <is>
          <t>M</t>
        </is>
      </c>
      <c r="D989" s="2" t="n">
        <v>100</v>
      </c>
      <c r="E989" s="4">
        <f>HYPERLINK("./Results/DLO\20190201_1.2.840.113619.2.416.173115557273546936261478558676010532583_301_512_512_\Osteo_Sarco_1.png","RPT")</f>
        <v/>
      </c>
      <c r="F989" s="3" t="n">
        <v>194</v>
      </c>
      <c r="G989" s="3" t="n">
        <v>16</v>
      </c>
      <c r="H989" s="6" t="n">
        <v>28.37</v>
      </c>
      <c r="I989" t="inlineStr">
        <is>
          <t>Revolution CT</t>
        </is>
      </c>
      <c r="J989" t="inlineStr">
        <is>
          <t>ARTERY</t>
        </is>
      </c>
    </row>
    <row r="990">
      <c r="A990" s="2" t="n">
        <v>5344947</v>
      </c>
      <c r="B990" s="2" t="n">
        <v>61</v>
      </c>
      <c r="C990" s="2" t="inlineStr">
        <is>
          <t>M</t>
        </is>
      </c>
      <c r="D990" s="2" t="n">
        <v>100</v>
      </c>
      <c r="E990" s="4">
        <f>HYPERLINK("./Results/DLO\20190101_1.3.46.670589.33.1.63682883007155458300001.4813772839266402813_301_512_512_\Osteo_Sarco_1.png","RPT")</f>
        <v/>
      </c>
      <c r="F990" s="3" t="n">
        <v>188</v>
      </c>
      <c r="G990" s="3" t="n">
        <v>7</v>
      </c>
      <c r="H990" s="7" t="n"/>
      <c r="I990" t="inlineStr">
        <is>
          <t>Ingenuity Core 128</t>
        </is>
      </c>
      <c r="J990" t="inlineStr">
        <is>
          <t>Post 3mm, iDose (3)</t>
        </is>
      </c>
    </row>
    <row r="991">
      <c r="A991" s="2" t="n">
        <v>5158026</v>
      </c>
      <c r="B991" s="2" t="n">
        <v>61</v>
      </c>
      <c r="C991" s="2" t="inlineStr">
        <is>
          <t>M</t>
        </is>
      </c>
      <c r="D991" s="2" t="n">
        <v>100</v>
      </c>
      <c r="E991" s="4">
        <f>HYPERLINK("./Results/DLO\20190901_1.3.12.2.1107.5.1.4.65253.30000019091621022448300077475_2_512_512_\Osteo_Sarco_1.png","RPT")</f>
        <v/>
      </c>
      <c r="F991" s="3" t="n">
        <v>174</v>
      </c>
      <c r="G991" s="3" t="n">
        <v>9</v>
      </c>
      <c r="H991" s="7" t="n"/>
      <c r="I991" t="inlineStr">
        <is>
          <t>SOMATOM Definition AS</t>
        </is>
      </c>
      <c r="J991" t="inlineStr">
        <is>
          <t>Pre Contrast 3.0 B30f</t>
        </is>
      </c>
    </row>
    <row r="992">
      <c r="A992" s="2" t="n">
        <v>6742573</v>
      </c>
      <c r="B992" s="2" t="n">
        <v>61</v>
      </c>
      <c r="C992" s="2" t="inlineStr">
        <is>
          <t>M</t>
        </is>
      </c>
      <c r="D992" s="2" t="n">
        <v>100</v>
      </c>
      <c r="E992" s="4">
        <f>HYPERLINK("./Results/DLO\20180101_1.2.840.113619.2.416.257234994763541664194064799983206176130_301_512_512_\Osteo_Sarco_1.png","RPT")</f>
        <v/>
      </c>
      <c r="F992" s="3" t="n">
        <v>173</v>
      </c>
      <c r="G992" s="3" t="n">
        <v>11</v>
      </c>
      <c r="H992" s="7" t="n"/>
      <c r="I992" t="inlineStr">
        <is>
          <t>Revolution CT</t>
        </is>
      </c>
      <c r="J992" t="inlineStr">
        <is>
          <t>ARTERY</t>
        </is>
      </c>
    </row>
    <row r="993">
      <c r="A993" s="2" t="n">
        <v>6081961</v>
      </c>
      <c r="B993" s="2" t="n">
        <v>61</v>
      </c>
      <c r="C993" s="2" t="inlineStr">
        <is>
          <t>M</t>
        </is>
      </c>
      <c r="D993" s="2" t="n">
        <v>100</v>
      </c>
      <c r="E993" s="4">
        <f>HYPERLINK("./Results/DLO\20180701_1.3.46.670589.33.1.63668194458359706700001.5704901570287968688_601_512_512_\Osteo_Sarco_1.png","RPT")</f>
        <v/>
      </c>
      <c r="F993" s="3" t="n">
        <v>171</v>
      </c>
      <c r="G993" s="3" t="n">
        <v>14</v>
      </c>
      <c r="H993" s="7" t="n"/>
      <c r="I993" t="inlineStr">
        <is>
          <t>Ingenuity Core 128</t>
        </is>
      </c>
      <c r="J993" t="inlineStr">
        <is>
          <t>Post 100/236 i3, iDose (3)</t>
        </is>
      </c>
    </row>
    <row r="994">
      <c r="A994" s="2" t="n">
        <v>2987367</v>
      </c>
      <c r="B994" s="2" t="n">
        <v>61</v>
      </c>
      <c r="C994" s="2" t="inlineStr">
        <is>
          <t>M</t>
        </is>
      </c>
      <c r="D994" s="2" t="n">
        <v>100</v>
      </c>
      <c r="E994" s="4">
        <f>HYPERLINK("./Results/DLO\20181201_1.3.12.2.1107.5.1.4.54310.30000018120323211295300028096_3_512_512_\Osteo_Sarco_1.png","RPT")</f>
        <v/>
      </c>
      <c r="F994" s="3" t="n">
        <v>169</v>
      </c>
      <c r="G994" s="3" t="n">
        <v>9</v>
      </c>
      <c r="H994" s="7" t="n"/>
      <c r="I994" t="inlineStr">
        <is>
          <t>Sensation 64</t>
        </is>
      </c>
      <c r="J994" t="inlineStr">
        <is>
          <t>With Contrast 3.0 B30f</t>
        </is>
      </c>
    </row>
    <row r="995">
      <c r="A995" s="2" t="n">
        <v>9620516</v>
      </c>
      <c r="B995" s="2" t="n">
        <v>61</v>
      </c>
      <c r="C995" s="2" t="inlineStr">
        <is>
          <t>M</t>
        </is>
      </c>
      <c r="D995" s="2" t="n">
        <v>100</v>
      </c>
      <c r="E995" s="4">
        <f>HYPERLINK("./Results/DLO\20190301_1.2.840.113619.2.416.250992546058450698177045917484945301511_2_512_512_\Osteo_Sarco_1.png","RPT")</f>
        <v/>
      </c>
      <c r="F995" s="3" t="n">
        <v>167</v>
      </c>
      <c r="G995" s="3" t="n">
        <v>6</v>
      </c>
      <c r="H995" s="6" t="n">
        <v>24.61</v>
      </c>
      <c r="I995" t="inlineStr">
        <is>
          <t>Revolution CT</t>
        </is>
      </c>
      <c r="J995" t="inlineStr">
        <is>
          <t>ABD</t>
        </is>
      </c>
    </row>
    <row r="996">
      <c r="A996" s="2" t="n">
        <v>6743363</v>
      </c>
      <c r="B996" s="2" t="n">
        <v>61</v>
      </c>
      <c r="C996" s="2" t="inlineStr">
        <is>
          <t>M</t>
        </is>
      </c>
      <c r="D996" s="2" t="n">
        <v>100</v>
      </c>
      <c r="E996" s="4">
        <f>HYPERLINK("./Results/DLO\20191101_1.3.12.2.1107.5.1.4.54310.30000019111922145526500031361_2_512_512_\Osteo_Sarco_1.png","RPT")</f>
        <v/>
      </c>
      <c r="F996" s="3" t="n">
        <v>166</v>
      </c>
      <c r="G996" s="3" t="n">
        <v>11</v>
      </c>
      <c r="H996" s="7" t="n"/>
      <c r="I996" t="inlineStr">
        <is>
          <t>Sensation 64</t>
        </is>
      </c>
      <c r="J996" t="inlineStr">
        <is>
          <t>With Contrast 3.0 B30f</t>
        </is>
      </c>
    </row>
    <row r="997">
      <c r="A997" s="2" t="n">
        <v>3598805</v>
      </c>
      <c r="B997" s="2" t="n">
        <v>61</v>
      </c>
      <c r="C997" s="2" t="inlineStr">
        <is>
          <t>M</t>
        </is>
      </c>
      <c r="D997" s="2" t="n">
        <v>100</v>
      </c>
      <c r="E997" s="4">
        <f>HYPERLINK("./Results/DLO\20180301_1.3.12.2.1107.5.1.4.54310.30000018032123032989000026728_3_512_512_\Osteo_Sarco_1.png","RPT")</f>
        <v/>
      </c>
      <c r="F997" s="3" t="n">
        <v>165</v>
      </c>
      <c r="G997" s="3" t="n">
        <v>4</v>
      </c>
      <c r="H997" s="7" t="n"/>
      <c r="I997" t="inlineStr">
        <is>
          <t>Sensation 64</t>
        </is>
      </c>
      <c r="J997" t="inlineStr">
        <is>
          <t>Pre Contrast 3.0 B30f</t>
        </is>
      </c>
    </row>
    <row r="998">
      <c r="A998" s="2" t="n">
        <v>2694856</v>
      </c>
      <c r="B998" s="2" t="n">
        <v>61</v>
      </c>
      <c r="C998" s="2" t="inlineStr">
        <is>
          <t>M</t>
        </is>
      </c>
      <c r="D998" s="2" t="n">
        <v>100</v>
      </c>
      <c r="E998" s="4">
        <f>HYPERLINK("./Results/DLO\20180801_1.3.46.670589.33.1.63669489939453840200001.5098161664949122964_201_512_512_\Osteo_Sarco_1.png","RPT")</f>
        <v/>
      </c>
      <c r="F998" s="3" t="n">
        <v>165</v>
      </c>
      <c r="G998" s="3" t="n">
        <v>5</v>
      </c>
      <c r="H998" s="6" t="n">
        <v>26.21</v>
      </c>
      <c r="I998" t="inlineStr">
        <is>
          <t>Ingenuity Core 128</t>
        </is>
      </c>
      <c r="J998" t="inlineStr">
        <is>
          <t>Post 100/236 i3, iDose (3)</t>
        </is>
      </c>
    </row>
    <row r="999">
      <c r="A999" s="2" t="n">
        <v>9008942</v>
      </c>
      <c r="B999" s="2" t="n">
        <v>61</v>
      </c>
      <c r="C999" s="2" t="inlineStr">
        <is>
          <t>M</t>
        </is>
      </c>
      <c r="D999" s="2" t="n">
        <v>100</v>
      </c>
      <c r="E999" s="4">
        <f>HYPERLINK("./Results/DLO\20190101_1.3.12.2.1107.5.1.4.54310.30000019010923263304600008359_3_512_512_\Osteo_Sarco_1.png","RPT")</f>
        <v/>
      </c>
      <c r="F999" s="3" t="n">
        <v>165</v>
      </c>
      <c r="G999" s="3" t="n">
        <v>15</v>
      </c>
      <c r="H999" s="7" t="n"/>
      <c r="I999" t="inlineStr">
        <is>
          <t>Sensation 64</t>
        </is>
      </c>
      <c r="J999" t="inlineStr">
        <is>
          <t>Pre Contrast 3.0 B30f</t>
        </is>
      </c>
    </row>
    <row r="1000">
      <c r="A1000" s="2" t="n">
        <v>6737016</v>
      </c>
      <c r="B1000" s="2" t="n">
        <v>61</v>
      </c>
      <c r="C1000" s="2" t="inlineStr">
        <is>
          <t>M</t>
        </is>
      </c>
      <c r="D1000" s="2" t="n">
        <v>100</v>
      </c>
      <c r="E1000" s="4">
        <f>HYPERLINK("./Results/DLO\20180201_1.2.840.113619.2.311.212197502810269196778201797403103606984_2_512_512_\Osteo_Sarco_1.png","RPT")</f>
        <v/>
      </c>
      <c r="F1000" s="3" t="n">
        <v>164</v>
      </c>
      <c r="G1000" s="3" t="n">
        <v>13</v>
      </c>
      <c r="H1000" s="6" t="n">
        <v>30.81</v>
      </c>
      <c r="I1000" t="inlineStr">
        <is>
          <t>Revolution CT</t>
        </is>
      </c>
      <c r="J1000" t="inlineStr">
        <is>
          <t>Pre</t>
        </is>
      </c>
    </row>
    <row r="1001">
      <c r="A1001" s="2" t="n">
        <v>1199519</v>
      </c>
      <c r="B1001" s="2" t="n">
        <v>61</v>
      </c>
      <c r="C1001" s="2" t="inlineStr">
        <is>
          <t>M</t>
        </is>
      </c>
      <c r="D1001" s="2" t="n">
        <v>100</v>
      </c>
      <c r="E1001" s="4">
        <f>HYPERLINK("./Results/DLO\20190201_1.3.46.670589.33.1.63686341877491043600001.5657948898709736145_201_512_512_\Osteo_Sarco_1.png","RPT")</f>
        <v/>
      </c>
      <c r="F1001" s="3" t="n">
        <v>157</v>
      </c>
      <c r="G1001" s="3" t="n">
        <v>5</v>
      </c>
      <c r="H1001" s="7" t="n"/>
      <c r="I1001" t="inlineStr">
        <is>
          <t>Ingenuity Core 128</t>
        </is>
      </c>
      <c r="J1001" t="inlineStr">
        <is>
          <t>Post 3mm, iDose (3)</t>
        </is>
      </c>
    </row>
    <row r="1002">
      <c r="A1002" s="2" t="n">
        <v>3996412</v>
      </c>
      <c r="B1002" s="2" t="n">
        <v>61</v>
      </c>
      <c r="C1002" s="2" t="inlineStr">
        <is>
          <t>M</t>
        </is>
      </c>
      <c r="D1002" s="2" t="n">
        <v>100</v>
      </c>
      <c r="E1002" s="4">
        <f>HYPERLINK("./Results/DLO\20190701_1.3.12.2.1107.5.1.4.54310.30000019072121195101500020991_3_512_512_\Osteo_Sarco_1.png","RPT")</f>
        <v/>
      </c>
      <c r="F1002" s="3" t="n">
        <v>157</v>
      </c>
      <c r="G1002" s="3" t="n">
        <v>5</v>
      </c>
      <c r="H1002" s="6" t="n">
        <v>23.18</v>
      </c>
      <c r="I1002" t="inlineStr">
        <is>
          <t>Sensation 64</t>
        </is>
      </c>
      <c r="J1002" t="inlineStr">
        <is>
          <t>Pre Contrast 3.0 B30f</t>
        </is>
      </c>
    </row>
    <row r="1003">
      <c r="A1003" s="2" t="n">
        <v>6597666</v>
      </c>
      <c r="B1003" s="2" t="n">
        <v>61</v>
      </c>
      <c r="C1003" s="2" t="inlineStr">
        <is>
          <t>M</t>
        </is>
      </c>
      <c r="D1003" s="2" t="n">
        <v>100</v>
      </c>
      <c r="E1003" s="4">
        <f>HYPERLINK("./Results/DLO\20200501_1.3.46.670589.33.1.63724871352701941500001.5357571368978422998_201_512_512_\Osteo_Sarco_1.png","RPT")</f>
        <v/>
      </c>
      <c r="F1003" s="3" t="n">
        <v>155</v>
      </c>
      <c r="G1003" s="3" t="n">
        <v>4</v>
      </c>
      <c r="H1003" s="7" t="n"/>
      <c r="I1003" t="inlineStr">
        <is>
          <t>Ingenuity Core 128</t>
        </is>
      </c>
      <c r="J1003" t="inlineStr">
        <is>
          <t>Post 3mm, iDose (3)</t>
        </is>
      </c>
    </row>
    <row r="1004">
      <c r="A1004" s="2" t="n">
        <v>9050363</v>
      </c>
      <c r="B1004" s="2" t="n">
        <v>61</v>
      </c>
      <c r="C1004" s="2" t="inlineStr">
        <is>
          <t>M</t>
        </is>
      </c>
      <c r="D1004" s="2" t="n">
        <v>100</v>
      </c>
      <c r="E1004" s="4">
        <f>HYPERLINK("./Results/DLO\20190601_1.3.12.2.1107.5.1.4.54310.30000019061322155054600014422_3_512_512_\Osteo_Sarco_1.png","RPT")</f>
        <v/>
      </c>
      <c r="F1004" s="3" t="n">
        <v>152</v>
      </c>
      <c r="G1004" s="3" t="n">
        <v>7</v>
      </c>
      <c r="H1004" s="7" t="n"/>
      <c r="I1004" t="inlineStr">
        <is>
          <t>Sensation 64</t>
        </is>
      </c>
      <c r="J1004" t="inlineStr">
        <is>
          <t>Pre Contrast 3.0 B30f</t>
        </is>
      </c>
    </row>
    <row r="1005">
      <c r="A1005" s="2" t="n">
        <v>5023526</v>
      </c>
      <c r="B1005" s="2" t="n">
        <v>61</v>
      </c>
      <c r="C1005" s="2" t="inlineStr">
        <is>
          <t>M</t>
        </is>
      </c>
      <c r="D1005" s="2" t="n">
        <v>100</v>
      </c>
      <c r="E1005" s="4">
        <f>HYPERLINK("./Results/DLO\20180201_1.2.840.113619.2.311.284361135597320667535134895009926008942_304_512_512_\Osteo_Sarco_1.png","RPT")</f>
        <v/>
      </c>
      <c r="F1005" s="3" t="n">
        <v>147</v>
      </c>
      <c r="G1005" s="3" t="n">
        <v>9</v>
      </c>
      <c r="H1005" s="6" t="n">
        <v>28.85</v>
      </c>
      <c r="I1005" t="inlineStr">
        <is>
          <t>Revolution CT</t>
        </is>
      </c>
      <c r="J1005" t="inlineStr">
        <is>
          <t>ABD 2.5mm</t>
        </is>
      </c>
    </row>
    <row r="1006">
      <c r="A1006" s="2" t="n">
        <v>5024399</v>
      </c>
      <c r="B1006" s="2" t="n">
        <v>61</v>
      </c>
      <c r="C1006" s="2" t="inlineStr">
        <is>
          <t>M</t>
        </is>
      </c>
      <c r="D1006" s="2" t="n">
        <v>100</v>
      </c>
      <c r="E1006" s="4">
        <f>HYPERLINK("./Results/DLO\20180101_1.2.840.113619.2.94.485650834948.2.8603152.18551144.1_2_512_512_\Osteo_Sarco_1.png","RPT")</f>
        <v/>
      </c>
      <c r="F1006" s="3" t="n">
        <v>145</v>
      </c>
      <c r="G1006" s="3" t="n">
        <v>6</v>
      </c>
      <c r="H1006" s="6" t="n">
        <v>21.31</v>
      </c>
      <c r="I1006" t="inlineStr">
        <is>
          <t>Sensation 64</t>
        </is>
      </c>
      <c r="J1006" t="inlineStr">
        <is>
          <t>With Contrast 3.0 B30f</t>
        </is>
      </c>
    </row>
    <row r="1007">
      <c r="A1007" s="2" t="n">
        <v>5697818</v>
      </c>
      <c r="B1007" s="2" t="n">
        <v>61</v>
      </c>
      <c r="C1007" s="2" t="inlineStr">
        <is>
          <t>M</t>
        </is>
      </c>
      <c r="D1007" s="2" t="n">
        <v>100</v>
      </c>
      <c r="E1007" s="4">
        <f>HYPERLINK("./Results/DLO\20181101_1.3.46.670589.33.1.63678992429305160800001.4692219219500057745_201_512_512_\Osteo_Sarco_1.png","RPT")</f>
        <v/>
      </c>
      <c r="F1007" s="3" t="n">
        <v>144</v>
      </c>
      <c r="G1007" s="3" t="n">
        <v>6</v>
      </c>
      <c r="H1007" s="7" t="n"/>
      <c r="I1007" t="inlineStr">
        <is>
          <t>Ingenuity Core 128</t>
        </is>
      </c>
      <c r="J1007" t="inlineStr">
        <is>
          <t>Post 100/236 i3, iDose (3)</t>
        </is>
      </c>
    </row>
    <row r="1008">
      <c r="A1008" s="2" t="n">
        <v>6743222</v>
      </c>
      <c r="B1008" s="2" t="n">
        <v>61</v>
      </c>
      <c r="C1008" s="2" t="inlineStr">
        <is>
          <t>M</t>
        </is>
      </c>
      <c r="D1008" s="2" t="n">
        <v>100</v>
      </c>
      <c r="E1008" s="4">
        <f>HYPERLINK("./Results/DLO\20180301_1.3.12.2.1107.5.1.4.65253.30000018032521013524600049361_4_512_512_\Osteo_Sarco_1.png","RPT")</f>
        <v/>
      </c>
      <c r="F1008" s="3" t="n">
        <v>142</v>
      </c>
      <c r="G1008" s="3" t="n">
        <v>6</v>
      </c>
      <c r="H1008" s="6" t="n">
        <v>26.51</v>
      </c>
      <c r="I1008" t="inlineStr">
        <is>
          <t>SOMATOM Definition AS</t>
        </is>
      </c>
      <c r="J1008" t="inlineStr">
        <is>
          <t>Arterial Phase 3.0 B30f</t>
        </is>
      </c>
    </row>
    <row r="1009">
      <c r="A1009" s="2" t="n">
        <v>5029097</v>
      </c>
      <c r="B1009" s="2" t="n">
        <v>61</v>
      </c>
      <c r="C1009" s="2" t="inlineStr">
        <is>
          <t>F</t>
        </is>
      </c>
      <c r="D1009" s="2" t="n">
        <v>100</v>
      </c>
      <c r="E1009" s="4">
        <f>HYPERLINK("./Results/DLO\20181001_1.3.12.2.1107.5.1.4.54310.30000018101023215771800002696_8_512_512_\Osteo_Sarco_1.png","RPT")</f>
        <v/>
      </c>
      <c r="F1009" s="3" t="n">
        <v>131</v>
      </c>
      <c r="G1009" s="3" t="n">
        <v>11</v>
      </c>
      <c r="H1009" s="7" t="n"/>
      <c r="I1009" t="inlineStr">
        <is>
          <t>Sensation 64</t>
        </is>
      </c>
      <c r="J1009" t="inlineStr">
        <is>
          <t>Delay 3.0 B30f</t>
        </is>
      </c>
    </row>
    <row r="1010">
      <c r="A1010" s="2" t="n">
        <v>9718151</v>
      </c>
      <c r="B1010" s="2" t="n">
        <v>61</v>
      </c>
      <c r="C1010" s="2" t="inlineStr">
        <is>
          <t>F</t>
        </is>
      </c>
      <c r="D1010" s="2" t="n">
        <v>100</v>
      </c>
      <c r="E1010" s="4">
        <f>HYPERLINK("./Results/DLO\20190701_1.3.12.2.1107.5.1.4.54310.30000019063022203612500042405_6_512_512_\Osteo_Sarco_1.png","RPT")</f>
        <v/>
      </c>
      <c r="F1010" s="3" t="n">
        <v>129</v>
      </c>
      <c r="G1010" s="3" t="n">
        <v>6</v>
      </c>
      <c r="H1010" s="7" t="n"/>
      <c r="I1010" t="inlineStr">
        <is>
          <t>Sensation 64</t>
        </is>
      </c>
      <c r="J1010" t="inlineStr">
        <is>
          <t>ABD Contrast 3.0 B30f</t>
        </is>
      </c>
    </row>
    <row r="1011">
      <c r="A1011" s="2" t="n">
        <v>2501934</v>
      </c>
      <c r="B1011" s="2" t="n">
        <v>61</v>
      </c>
      <c r="C1011" s="2" t="inlineStr">
        <is>
          <t>F</t>
        </is>
      </c>
      <c r="D1011" s="2" t="n">
        <v>100</v>
      </c>
      <c r="E1011" s="4">
        <f>HYPERLINK("./Results/DLO\20180301_1.2.840.113619.2.94.485650834948.2.8719361.18834260.1_2_512_512_\Osteo_Sarco_1.png","RPT")</f>
        <v/>
      </c>
      <c r="F1011" s="3" t="n">
        <v>122</v>
      </c>
      <c r="G1011" s="3" t="n">
        <v>10</v>
      </c>
      <c r="H1011" s="7" t="n"/>
      <c r="I1011" t="inlineStr">
        <is>
          <t>Sensation 64</t>
        </is>
      </c>
      <c r="J1011" t="inlineStr">
        <is>
          <t>With Contrast 3.0 B30f</t>
        </is>
      </c>
    </row>
    <row r="1012">
      <c r="A1012" s="2" t="n">
        <v>5586222</v>
      </c>
      <c r="B1012" s="2" t="n">
        <v>61</v>
      </c>
      <c r="C1012" s="2" t="inlineStr">
        <is>
          <t>F</t>
        </is>
      </c>
      <c r="D1012" s="2" t="n">
        <v>100</v>
      </c>
      <c r="E1012" s="4">
        <f>HYPERLINK("./Results/DLO\20180901_1.2.840.113619.2.311.122240098346109616880847048489128966075_304_512_512_\Osteo_Sarco_1.png","RPT")</f>
        <v/>
      </c>
      <c r="F1012" s="3" t="n">
        <v>121</v>
      </c>
      <c r="G1012" s="3" t="n">
        <v>12</v>
      </c>
      <c r="H1012" s="7" t="n"/>
      <c r="I1012" t="inlineStr">
        <is>
          <t>Revolution CT</t>
        </is>
      </c>
      <c r="J1012" t="inlineStr">
        <is>
          <t>ABD 2.5mm</t>
        </is>
      </c>
    </row>
    <row r="1013">
      <c r="A1013" s="2" t="n">
        <v>9438674</v>
      </c>
      <c r="B1013" s="2" t="n">
        <v>61</v>
      </c>
      <c r="C1013" s="2" t="inlineStr">
        <is>
          <t>M</t>
        </is>
      </c>
      <c r="D1013" s="2" t="n">
        <v>100</v>
      </c>
      <c r="E1013" s="4">
        <f>HYPERLINK("./Results/DLO\20190301_1.3.12.2.1107.5.1.4.54310.30000019030423323884300038767_3_512_512_\Osteo_Sarco_1.png","RPT")</f>
        <v/>
      </c>
      <c r="F1013" s="3" t="n">
        <v>121</v>
      </c>
      <c r="G1013" s="3" t="n">
        <v>7</v>
      </c>
      <c r="H1013" s="6" t="n">
        <v>16.49</v>
      </c>
      <c r="I1013" t="inlineStr">
        <is>
          <t>Sensation 64</t>
        </is>
      </c>
      <c r="J1013" t="inlineStr">
        <is>
          <t>Pre Contrast 3.0 B30f</t>
        </is>
      </c>
    </row>
    <row r="1014">
      <c r="A1014" s="2" t="n">
        <v>5028632</v>
      </c>
      <c r="B1014" s="2" t="n">
        <v>61</v>
      </c>
      <c r="C1014" s="2" t="inlineStr">
        <is>
          <t>F</t>
        </is>
      </c>
      <c r="D1014" s="2" t="n">
        <v>100</v>
      </c>
      <c r="E1014" s="4">
        <f>HYPERLINK("./Results/DLO\20190401_1.3.12.2.1107.5.1.4.54310.30000019040323295310900033395_3_512_512_\Osteo_Sarco_1.png","RPT")</f>
        <v/>
      </c>
      <c r="F1014" s="3" t="n">
        <v>119</v>
      </c>
      <c r="G1014" s="3" t="n">
        <v>13</v>
      </c>
      <c r="H1014" s="7" t="n"/>
      <c r="I1014" t="inlineStr">
        <is>
          <t>Sensation 64</t>
        </is>
      </c>
      <c r="J1014" t="inlineStr">
        <is>
          <t>Pre Contrast 3.0 B30f</t>
        </is>
      </c>
    </row>
    <row r="1015">
      <c r="A1015" s="2" t="n">
        <v>5564419</v>
      </c>
      <c r="B1015" s="2" t="n">
        <v>61</v>
      </c>
      <c r="C1015" s="2" t="inlineStr">
        <is>
          <t>F</t>
        </is>
      </c>
      <c r="D1015" s="2" t="n">
        <v>100</v>
      </c>
      <c r="E1015" s="4">
        <f>HYPERLINK("./Results/DLO\20180401_1.3.46.670589.33.1.63658956344049589900001.5746710344174920777_601_512_512_\Osteo_Sarco_1.png","RPT")</f>
        <v/>
      </c>
      <c r="F1015" s="3" t="n">
        <v>113</v>
      </c>
      <c r="G1015" s="3" t="n">
        <v>15</v>
      </c>
      <c r="H1015" s="7" t="n"/>
      <c r="I1015" t="inlineStr">
        <is>
          <t>Ingenuity Core 128</t>
        </is>
      </c>
      <c r="J1015" t="inlineStr">
        <is>
          <t>Post 100/236 i3, iDose (3)</t>
        </is>
      </c>
    </row>
    <row r="1016">
      <c r="A1016" s="2" t="n">
        <v>5010031</v>
      </c>
      <c r="B1016" s="2" t="n">
        <v>61</v>
      </c>
      <c r="C1016" s="2" t="inlineStr">
        <is>
          <t>F</t>
        </is>
      </c>
      <c r="D1016" s="2" t="n">
        <v>100</v>
      </c>
      <c r="E1016" s="4">
        <f>HYPERLINK("./Results/DLO\20180701_1.3.12.2.1107.5.1.4.65253.30000018070519484028700087805_2_512_512_\Osteo_Sarco_1.png","RPT")</f>
        <v/>
      </c>
      <c r="F1016" s="3" t="n">
        <v>113</v>
      </c>
      <c r="G1016" s="3" t="n">
        <v>16</v>
      </c>
      <c r="H1016" s="6" t="n">
        <v>26.04</v>
      </c>
      <c r="I1016" t="inlineStr">
        <is>
          <t>SOMATOM Definition AS</t>
        </is>
      </c>
      <c r="J1016" t="inlineStr">
        <is>
          <t>Pre Contrast 3.0 B30f</t>
        </is>
      </c>
    </row>
    <row r="1017">
      <c r="A1017" s="2" t="n">
        <v>5366541</v>
      </c>
      <c r="B1017" s="2" t="n">
        <v>61</v>
      </c>
      <c r="C1017" s="2" t="inlineStr">
        <is>
          <t>F</t>
        </is>
      </c>
      <c r="D1017" s="2" t="n">
        <v>100</v>
      </c>
      <c r="E1017" s="4">
        <f>HYPERLINK("./Results/DLO\20200401_1.2.840.113619.2.416.336905442527249691658035809950614817490_310_512_512_\Osteo_Sarco_1.png","RPT")</f>
        <v/>
      </c>
      <c r="F1017" s="3" t="n">
        <v>112</v>
      </c>
      <c r="G1017" s="3" t="n">
        <v>11</v>
      </c>
      <c r="H1017" s="7" t="n"/>
      <c r="I1017" t="inlineStr">
        <is>
          <t>Revolution CT</t>
        </is>
      </c>
      <c r="J1017" t="inlineStr">
        <is>
          <t>ABD</t>
        </is>
      </c>
    </row>
    <row r="1018">
      <c r="A1018" s="2" t="n">
        <v>5586991</v>
      </c>
      <c r="B1018" s="2" t="n">
        <v>61</v>
      </c>
      <c r="C1018" s="2" t="inlineStr">
        <is>
          <t>F</t>
        </is>
      </c>
      <c r="D1018" s="2" t="n">
        <v>100</v>
      </c>
      <c r="E1018" s="4">
        <f>HYPERLINK("./Results/DLO\20181201_1.3.12.2.1107.5.1.4.54310.30000018122323150262500001757_2_512_512_\Osteo_Sarco_1.png","RPT")</f>
        <v/>
      </c>
      <c r="F1018" s="3" t="n">
        <v>108</v>
      </c>
      <c r="G1018" s="3" t="n">
        <v>11</v>
      </c>
      <c r="H1018" s="7" t="n"/>
      <c r="I1018" t="inlineStr">
        <is>
          <t>Sensation 64</t>
        </is>
      </c>
      <c r="J1018" t="inlineStr">
        <is>
          <t>With Contrast 3.0 B30f</t>
        </is>
      </c>
    </row>
    <row r="1019">
      <c r="A1019" s="2" t="n">
        <v>1751229</v>
      </c>
      <c r="B1019" s="2" t="n">
        <v>61</v>
      </c>
      <c r="C1019" s="2" t="inlineStr">
        <is>
          <t>F</t>
        </is>
      </c>
      <c r="D1019" s="2" t="n">
        <v>100</v>
      </c>
      <c r="E1019" s="4">
        <f>HYPERLINK("./Results/DLO\20180101_1.3.12.2.1107.5.1.4.54310.30000018011623145625000013201_2_512_512_\Osteo_Sarco_1.png","RPT")</f>
        <v/>
      </c>
      <c r="F1019" s="3" t="n">
        <v>107</v>
      </c>
      <c r="G1019" s="3" t="n">
        <v>14</v>
      </c>
      <c r="H1019" s="7" t="n"/>
      <c r="I1019" t="inlineStr">
        <is>
          <t>Sensation 64</t>
        </is>
      </c>
      <c r="J1019" t="inlineStr">
        <is>
          <t>With Contrast 3.0 B30f</t>
        </is>
      </c>
    </row>
    <row r="1020">
      <c r="A1020" s="2" t="n">
        <v>6739477</v>
      </c>
      <c r="B1020" s="2" t="n">
        <v>61</v>
      </c>
      <c r="C1020" s="2" t="inlineStr">
        <is>
          <t>F</t>
        </is>
      </c>
      <c r="D1020" s="2" t="n">
        <v>100</v>
      </c>
      <c r="E1020" s="4">
        <f>HYPERLINK("./Results/DLO\20180201_1.2.840.113619.2.311.216841001584021917571731356451643412943_304_512_512_\Osteo_Sarco_1.png","RPT")</f>
        <v/>
      </c>
      <c r="F1020" s="3" t="n">
        <v>107</v>
      </c>
      <c r="G1020" s="3" t="n">
        <v>5</v>
      </c>
      <c r="H1020" s="7" t="n"/>
      <c r="I1020" t="inlineStr">
        <is>
          <t>Revolution CT</t>
        </is>
      </c>
      <c r="J1020" t="inlineStr">
        <is>
          <t>ABD 2.5mm</t>
        </is>
      </c>
    </row>
    <row r="1021">
      <c r="A1021" s="2" t="n">
        <v>9738005</v>
      </c>
      <c r="B1021" s="2" t="n">
        <v>61</v>
      </c>
      <c r="C1021" s="2" t="inlineStr">
        <is>
          <t>F</t>
        </is>
      </c>
      <c r="D1021" s="2" t="n">
        <v>100</v>
      </c>
      <c r="E1021" s="4">
        <f>HYPERLINK("./Results/DLO\20190701_1.3.12.2.1107.5.1.4.54310.30000019072121195101500043006_7_512_512_\Osteo_Sarco_1.png","RPT")</f>
        <v/>
      </c>
      <c r="F1021" s="3" t="n">
        <v>107</v>
      </c>
      <c r="G1021" s="3" t="n">
        <v>9</v>
      </c>
      <c r="H1021" s="7" t="n"/>
      <c r="I1021" t="inlineStr">
        <is>
          <t>Sensation 64</t>
        </is>
      </c>
      <c r="J1021" t="inlineStr">
        <is>
          <t>ABD Contrast 3.0 B30f</t>
        </is>
      </c>
    </row>
    <row r="1022">
      <c r="A1022" s="2" t="n">
        <v>9774381</v>
      </c>
      <c r="B1022" s="2" t="n">
        <v>61</v>
      </c>
      <c r="C1022" s="2" t="inlineStr">
        <is>
          <t>F</t>
        </is>
      </c>
      <c r="D1022" s="2" t="n">
        <v>100</v>
      </c>
      <c r="E1022" s="4">
        <f>HYPERLINK("./Results/DLO\20190901_1.3.12.2.1107.5.1.4.54310.30000019091521212910900049879_7_512_512_\Osteo_Sarco_1.png","RPT")</f>
        <v/>
      </c>
      <c r="F1022" s="3" t="n">
        <v>106</v>
      </c>
      <c r="G1022" s="3" t="n">
        <v>10</v>
      </c>
      <c r="H1022" s="7" t="n"/>
      <c r="I1022" t="inlineStr">
        <is>
          <t>Sensation 64</t>
        </is>
      </c>
      <c r="J1022" t="inlineStr">
        <is>
          <t>ABD Contrast 3.0 B30f</t>
        </is>
      </c>
    </row>
    <row r="1023">
      <c r="A1023" s="2" t="n">
        <v>5191860</v>
      </c>
      <c r="B1023" s="2" t="n">
        <v>61</v>
      </c>
      <c r="C1023" s="2" t="inlineStr">
        <is>
          <t>F</t>
        </is>
      </c>
      <c r="D1023" s="2" t="n">
        <v>100</v>
      </c>
      <c r="E1023" s="4">
        <f>HYPERLINK("./Results/DLO\20200201_1.2.840.113619.2.416.78233471538649871174653582994245861097_310_512_512_\Osteo_Sarco_1.png","RPT")</f>
        <v/>
      </c>
      <c r="F1023" s="3" t="n">
        <v>104</v>
      </c>
      <c r="G1023" s="3" t="n">
        <v>7</v>
      </c>
      <c r="H1023" s="7" t="n"/>
      <c r="I1023" t="inlineStr">
        <is>
          <t>Revolution CT</t>
        </is>
      </c>
      <c r="J1023" t="inlineStr">
        <is>
          <t>ABD</t>
        </is>
      </c>
    </row>
    <row r="1024">
      <c r="A1024" s="2" t="n">
        <v>8566129</v>
      </c>
      <c r="B1024" s="2" t="n">
        <v>61</v>
      </c>
      <c r="C1024" s="2" t="inlineStr">
        <is>
          <t>F</t>
        </is>
      </c>
      <c r="D1024" s="2" t="n">
        <v>100</v>
      </c>
      <c r="E1024" s="4">
        <f>HYPERLINK("./Results/DLO\20190301_1.3.12.2.1107.5.1.4.54310.30000019030323381145300002094_2_512_512_\Osteo_Sarco_1.png","RPT")</f>
        <v/>
      </c>
      <c r="F1024" s="3" t="n">
        <v>103</v>
      </c>
      <c r="G1024" s="3" t="n">
        <v>15</v>
      </c>
      <c r="H1024" s="7" t="n"/>
      <c r="I1024" t="inlineStr">
        <is>
          <t>Sensation 64</t>
        </is>
      </c>
      <c r="J1024" t="inlineStr">
        <is>
          <t>With Contrast 3.0 B30f</t>
        </is>
      </c>
    </row>
    <row r="1025">
      <c r="A1025" s="2" t="n">
        <v>5875129</v>
      </c>
      <c r="B1025" s="2" t="n">
        <v>61</v>
      </c>
      <c r="C1025" s="2" t="inlineStr">
        <is>
          <t>F</t>
        </is>
      </c>
      <c r="D1025" s="2" t="n">
        <v>100</v>
      </c>
      <c r="E1025" s="4">
        <f>HYPERLINK("./Results/DLO\20190701_1.3.12.2.1107.5.1.4.54310.30000019071022051254600072236_2_512_512_\Osteo_Sarco_1.png","RPT")</f>
        <v/>
      </c>
      <c r="F1025" s="3" t="n">
        <v>103</v>
      </c>
      <c r="G1025" s="3" t="n">
        <v>8</v>
      </c>
      <c r="H1025" s="7" t="n"/>
      <c r="I1025" t="inlineStr">
        <is>
          <t>Sensation 64</t>
        </is>
      </c>
      <c r="J1025" t="inlineStr">
        <is>
          <t>With Contrast 3.0 B30f</t>
        </is>
      </c>
    </row>
    <row r="1026">
      <c r="A1026" s="2" t="n">
        <v>9769201</v>
      </c>
      <c r="B1026" s="2" t="n">
        <v>61</v>
      </c>
      <c r="C1026" s="2" t="inlineStr">
        <is>
          <t>F</t>
        </is>
      </c>
      <c r="D1026" s="2" t="n">
        <v>100</v>
      </c>
      <c r="E1026" s="4">
        <f>HYPERLINK("./Results/DLO\20190801_1.2.410.100011.172.16.68.114.6370205834462428601.8_8_512_512_\Osteo_Sarco_1.png","RPT")</f>
        <v/>
      </c>
      <c r="F1026" s="3" t="n">
        <v>103</v>
      </c>
      <c r="G1026" s="3" t="n">
        <v>8</v>
      </c>
      <c r="H1026" s="7" t="n"/>
      <c r="I1026" t="inlineStr">
        <is>
          <t>SOMATOM Definition Flabh</t>
        </is>
      </c>
      <c r="J1026" t="inlineStr">
        <is>
          <t>Portal phase 2.0 B40f OPT130cc</t>
        </is>
      </c>
    </row>
    <row r="1027">
      <c r="A1027" s="2" t="n">
        <v>9589915</v>
      </c>
      <c r="B1027" s="2" t="n">
        <v>61</v>
      </c>
      <c r="C1027" s="2" t="inlineStr">
        <is>
          <t>M</t>
        </is>
      </c>
      <c r="D1027" s="2" t="n">
        <v>100</v>
      </c>
      <c r="E1027" s="4">
        <f>HYPERLINK("./Results/DLO\20190801_1.2.840.113619.2.416.49257436276846129315789986892108304775_302_512_512_\Osteo_Sarco_1.png","RPT")</f>
        <v/>
      </c>
      <c r="F1027" s="3" t="n">
        <v>101</v>
      </c>
      <c r="G1027" s="3" t="n">
        <v>13</v>
      </c>
      <c r="H1027" s="6" t="n">
        <v>23.4</v>
      </c>
      <c r="I1027" t="inlineStr">
        <is>
          <t>Revolution CT</t>
        </is>
      </c>
      <c r="J1027" t="inlineStr">
        <is>
          <t>ABD</t>
        </is>
      </c>
    </row>
    <row r="1028">
      <c r="A1028" s="2" t="n">
        <v>8457993</v>
      </c>
      <c r="B1028" s="2" t="n">
        <v>61</v>
      </c>
      <c r="C1028" s="2" t="inlineStr">
        <is>
          <t>F</t>
        </is>
      </c>
      <c r="D1028" s="2" t="n">
        <v>100</v>
      </c>
      <c r="E1028" s="4">
        <f>HYPERLINK("./Results/DLO\20181101_1.2.840.113619.2.311.132403999605033296892649249701721317419_304_512_512_\Osteo_Sarco_1.png","RPT")</f>
        <v/>
      </c>
      <c r="F1028" s="3" t="n">
        <v>100</v>
      </c>
      <c r="G1028" s="3" t="n">
        <v>8</v>
      </c>
      <c r="H1028" s="7" t="n"/>
      <c r="I1028" t="inlineStr">
        <is>
          <t>Revolution CT</t>
        </is>
      </c>
      <c r="J1028" t="inlineStr">
        <is>
          <t>ABD 2.5mm</t>
        </is>
      </c>
    </row>
    <row r="1029">
      <c r="A1029" s="2" t="n">
        <v>3639829</v>
      </c>
      <c r="B1029" s="2" t="n">
        <v>62</v>
      </c>
      <c r="C1029" s="2" t="inlineStr">
        <is>
          <t>F</t>
        </is>
      </c>
      <c r="D1029" s="2" t="n">
        <v>100</v>
      </c>
      <c r="E1029" s="4">
        <f>HYPERLINK("./Results/DLO\20190101_1.3.12.2.1107.5.1.4.54310.30000019012223310779600033804_3_512_512_\Osteo_Sarco_1.png","RPT")</f>
        <v/>
      </c>
      <c r="F1029" s="3" t="n">
        <v>98</v>
      </c>
      <c r="G1029" s="3" t="n">
        <v>15</v>
      </c>
      <c r="H1029" s="7" t="n"/>
      <c r="I1029" t="inlineStr">
        <is>
          <t>Sensation 64</t>
        </is>
      </c>
      <c r="J1029" t="inlineStr">
        <is>
          <t>Pre Contrast 3.0 B30f</t>
        </is>
      </c>
    </row>
    <row r="1030">
      <c r="A1030" s="2" t="n">
        <v>6742150</v>
      </c>
      <c r="B1030" s="2" t="n">
        <v>62</v>
      </c>
      <c r="C1030" s="2" t="inlineStr">
        <is>
          <t>F</t>
        </is>
      </c>
      <c r="D1030" s="2" t="n">
        <v>100</v>
      </c>
      <c r="E1030" s="4">
        <f>HYPERLINK("./Results/DLO\20180301_1.3.46.670589.33.1.63657393578319040100001.4896804738825511358_201_512_512_\Osteo_Sarco_1.png","RPT")</f>
        <v/>
      </c>
      <c r="F1030" s="3" t="n">
        <v>97</v>
      </c>
      <c r="G1030" s="3" t="n">
        <v>16</v>
      </c>
      <c r="H1030" s="7" t="n"/>
      <c r="I1030" t="inlineStr">
        <is>
          <t>Ingenuity Core 128</t>
        </is>
      </c>
      <c r="J1030" t="inlineStr">
        <is>
          <t>Post 100/236 i3, iDose (3)</t>
        </is>
      </c>
    </row>
    <row r="1031">
      <c r="A1031" s="2" t="n">
        <v>2324663</v>
      </c>
      <c r="B1031" s="2" t="n">
        <v>62</v>
      </c>
      <c r="C1031" s="2" t="inlineStr">
        <is>
          <t>F</t>
        </is>
      </c>
      <c r="D1031" s="2" t="n">
        <v>100</v>
      </c>
      <c r="E1031" s="4">
        <f>HYPERLINK("./Results/DLO\20181001_1.3.12.2.1107.5.1.4.54310.30000018101623353367100033159_2_512_512_\Osteo_Sarco_1.png","RPT")</f>
        <v/>
      </c>
      <c r="F1031" s="3" t="n">
        <v>97</v>
      </c>
      <c r="G1031" s="3" t="n">
        <v>8</v>
      </c>
      <c r="H1031" s="6" t="n">
        <v>24.81</v>
      </c>
      <c r="I1031" t="inlineStr">
        <is>
          <t>Sensation 64</t>
        </is>
      </c>
      <c r="J1031" t="inlineStr">
        <is>
          <t>With Contrast 3.0 B30f</t>
        </is>
      </c>
    </row>
    <row r="1032">
      <c r="A1032" s="2" t="n">
        <v>6739944</v>
      </c>
      <c r="B1032" s="2" t="n">
        <v>62</v>
      </c>
      <c r="C1032" s="2" t="inlineStr">
        <is>
          <t>F</t>
        </is>
      </c>
      <c r="D1032" s="2" t="n">
        <v>100</v>
      </c>
      <c r="E1032" s="4">
        <f>HYPERLINK("./Results/DLO\20180401_1.2.840.113619.2.311.193377353984907254968220118653167160127_304_512_512_\Osteo_Sarco_1.png","RPT")</f>
        <v/>
      </c>
      <c r="F1032" s="3" t="n">
        <v>96</v>
      </c>
      <c r="G1032" s="3" t="n">
        <v>7</v>
      </c>
      <c r="H1032" s="7" t="n"/>
      <c r="I1032" t="inlineStr">
        <is>
          <t>Revolution CT</t>
        </is>
      </c>
      <c r="J1032" t="inlineStr">
        <is>
          <t>ABD 2.5mm</t>
        </is>
      </c>
    </row>
    <row r="1033">
      <c r="A1033" s="2" t="n">
        <v>8314986</v>
      </c>
      <c r="B1033" s="2" t="n">
        <v>62</v>
      </c>
      <c r="C1033" s="2" t="inlineStr">
        <is>
          <t>F</t>
        </is>
      </c>
      <c r="D1033" s="2" t="n">
        <v>100</v>
      </c>
      <c r="E1033" s="4">
        <f>HYPERLINK("./Results/DLO\20180801_1.3.12.2.1107.5.1.4.54310.30000018081623351726500004595_2_512_512_\Osteo_Sarco_1.png","RPT")</f>
        <v/>
      </c>
      <c r="F1033" s="3" t="n">
        <v>96</v>
      </c>
      <c r="G1033" s="3" t="n">
        <v>10</v>
      </c>
      <c r="H1033" s="7" t="n"/>
      <c r="I1033" t="inlineStr">
        <is>
          <t>Sensation 64</t>
        </is>
      </c>
      <c r="J1033" t="inlineStr">
        <is>
          <t>With Contrast 3.0 B30f</t>
        </is>
      </c>
    </row>
    <row r="1034">
      <c r="A1034" s="2" t="n">
        <v>5700228</v>
      </c>
      <c r="B1034" s="2" t="n">
        <v>62</v>
      </c>
      <c r="C1034" s="2" t="inlineStr">
        <is>
          <t>F</t>
        </is>
      </c>
      <c r="D1034" s="2" t="n">
        <v>100</v>
      </c>
      <c r="E1034" s="4">
        <f>HYPERLINK("./Results/DLO\20180401_1.3.12.2.1107.5.1.4.54310.30000018041123090860900044709_2_512_512_\Osteo_Sarco_1.png","RPT")</f>
        <v/>
      </c>
      <c r="F1034" s="3" t="n">
        <v>91</v>
      </c>
      <c r="G1034" s="3" t="n">
        <v>18</v>
      </c>
      <c r="H1034" s="6" t="n">
        <v>22.7</v>
      </c>
      <c r="I1034" t="inlineStr">
        <is>
          <t>Sensation 64</t>
        </is>
      </c>
      <c r="J1034" t="inlineStr">
        <is>
          <t>WiOContrast 3.0 B30f</t>
        </is>
      </c>
    </row>
    <row r="1035">
      <c r="A1035" s="2" t="n">
        <v>5171351</v>
      </c>
      <c r="B1035" s="2" t="n">
        <v>62</v>
      </c>
      <c r="C1035" s="2" t="inlineStr">
        <is>
          <t>F</t>
        </is>
      </c>
      <c r="D1035" s="2" t="n">
        <v>100</v>
      </c>
      <c r="E1035" s="4">
        <f>HYPERLINK("./Results/DLO\20190201_1.3.12.2.1107.5.1.4.65253.30000019021419584686600031524_2_512_512_\Osteo_Sarco_1.png","RPT")</f>
        <v/>
      </c>
      <c r="F1035" s="3" t="n">
        <v>89</v>
      </c>
      <c r="G1035" s="3" t="n">
        <v>8</v>
      </c>
      <c r="H1035" s="7" t="n"/>
      <c r="I1035" t="inlineStr">
        <is>
          <t>SOMATOM Definition AS</t>
        </is>
      </c>
      <c r="J1035" t="inlineStr">
        <is>
          <t>W/O Contrast 2.0 B30f</t>
        </is>
      </c>
    </row>
    <row r="1036">
      <c r="A1036" s="2" t="n">
        <v>5131631</v>
      </c>
      <c r="B1036" s="2" t="n">
        <v>62</v>
      </c>
      <c r="C1036" s="2" t="inlineStr">
        <is>
          <t>F</t>
        </is>
      </c>
      <c r="D1036" s="2" t="n">
        <v>100</v>
      </c>
      <c r="E1036" s="4">
        <f>HYPERLINK("./Results/DLO\20181001_1.3.12.2.1107.5.1.4.54310.30000018100323223954600015916_2_512_512_\Osteo_Sarco_1.png","RPT")</f>
        <v/>
      </c>
      <c r="F1036" s="3" t="n">
        <v>87</v>
      </c>
      <c r="G1036" s="3" t="n">
        <v>7</v>
      </c>
      <c r="H1036" s="6" t="n">
        <v>22.64</v>
      </c>
      <c r="I1036" t="inlineStr">
        <is>
          <t>Sensation 64</t>
        </is>
      </c>
      <c r="J1036" t="inlineStr">
        <is>
          <t>With Contrast 3.0 B30f</t>
        </is>
      </c>
    </row>
    <row r="1037">
      <c r="A1037" s="2" t="n">
        <v>5531308</v>
      </c>
      <c r="B1037" s="2" t="n">
        <v>62</v>
      </c>
      <c r="C1037" s="2" t="inlineStr">
        <is>
          <t>F</t>
        </is>
      </c>
      <c r="D1037" s="2" t="n">
        <v>100</v>
      </c>
      <c r="E1037" s="4">
        <f>HYPERLINK("./Results/DLO\20191001_1.3.12.2.1107.5.1.4.54310.30000019102021060200000039147_10_512_512_\Osteo_Sarco_1.png","RPT")</f>
        <v/>
      </c>
      <c r="F1037" s="3" t="n">
        <v>85</v>
      </c>
      <c r="G1037" s="3" t="n">
        <v>5</v>
      </c>
      <c r="H1037" s="6" t="n">
        <v>19.67</v>
      </c>
      <c r="I1037" t="inlineStr">
        <is>
          <t>Sensation 64</t>
        </is>
      </c>
      <c r="J1037" t="inlineStr">
        <is>
          <t>ABD Contrast 3.0 B30f</t>
        </is>
      </c>
    </row>
    <row r="1038">
      <c r="A1038" s="2" t="n">
        <v>9976954</v>
      </c>
      <c r="B1038" s="2" t="n">
        <v>62</v>
      </c>
      <c r="C1038" s="2" t="inlineStr">
        <is>
          <t>F</t>
        </is>
      </c>
      <c r="D1038" s="2" t="n">
        <v>100</v>
      </c>
      <c r="E1038" s="4">
        <f>HYPERLINK("./Results/DLO\20200501_1.3.12.2.1107.5.1.4.54310.30000020051022522803100031576_7_512_512_\Osteo_Sarco_1.png","RPT")</f>
        <v/>
      </c>
      <c r="F1038" s="3" t="n">
        <v>85</v>
      </c>
      <c r="G1038" s="3" t="n">
        <v>9</v>
      </c>
      <c r="H1038" s="6" t="n">
        <v>20.36</v>
      </c>
      <c r="I1038" t="inlineStr">
        <is>
          <t>Sensation 64</t>
        </is>
      </c>
      <c r="J1038" t="inlineStr">
        <is>
          <t>ABD 3mm B30f</t>
        </is>
      </c>
    </row>
    <row r="1039">
      <c r="A1039" s="2" t="n">
        <v>9772574</v>
      </c>
      <c r="B1039" s="2" t="n">
        <v>62</v>
      </c>
      <c r="C1039" s="2" t="inlineStr">
        <is>
          <t>F</t>
        </is>
      </c>
      <c r="D1039" s="2" t="n">
        <v>100</v>
      </c>
      <c r="E1039" s="4">
        <f>HYPERLINK("./Results/DLO\20190901_1.3.12.2.1107.5.1.4.65253.30000019090921314081500000936_2_512_512_\Osteo_Sarco_1.png","RPT")</f>
        <v/>
      </c>
      <c r="F1039" s="3" t="n">
        <v>83</v>
      </c>
      <c r="G1039" s="3" t="n">
        <v>11</v>
      </c>
      <c r="H1039" s="6" t="n">
        <v>21.79</v>
      </c>
      <c r="I1039" t="inlineStr">
        <is>
          <t>SOMATOM Definition AS</t>
        </is>
      </c>
      <c r="J1039" t="inlineStr">
        <is>
          <t>ABD Contrast 3.0 B30f</t>
        </is>
      </c>
    </row>
    <row r="1040">
      <c r="A1040" s="2" t="n">
        <v>9002860</v>
      </c>
      <c r="B1040" s="2" t="n">
        <v>62</v>
      </c>
      <c r="C1040" s="2" t="inlineStr">
        <is>
          <t>F</t>
        </is>
      </c>
      <c r="D1040" s="2" t="n">
        <v>100</v>
      </c>
      <c r="E1040" s="4">
        <f>HYPERLINK("./Results/DLO\20190101_1.3.12.2.1107.5.1.4.65253.30000018123019150732100084806_3_512_512_\Osteo_Sarco_1.png","RPT")</f>
        <v/>
      </c>
      <c r="F1040" s="3" t="n">
        <v>79</v>
      </c>
      <c r="G1040" s="3" t="n">
        <v>10</v>
      </c>
      <c r="H1040" s="6" t="n">
        <v>18.49</v>
      </c>
      <c r="I1040" t="inlineStr">
        <is>
          <t>SOMATOM Definition AS</t>
        </is>
      </c>
      <c r="J1040" t="inlineStr">
        <is>
          <t>With Contrast 3.0 B30f</t>
        </is>
      </c>
    </row>
    <row r="1041">
      <c r="A1041" s="2" t="n">
        <v>5965726</v>
      </c>
      <c r="B1041" s="2" t="n">
        <v>62</v>
      </c>
      <c r="C1041" s="2" t="inlineStr">
        <is>
          <t>M</t>
        </is>
      </c>
      <c r="D1041" s="2" t="n">
        <v>100</v>
      </c>
      <c r="E1041" s="4">
        <f>HYPERLINK("./Results/DLO\20180301_1.3.12.2.1107.5.1.4.54310.30000018032623135123400033380_4_512_512_\Osteo_Sarco_1.png","RPT")</f>
        <v/>
      </c>
      <c r="F1041" s="3" t="n">
        <v>193</v>
      </c>
      <c r="G1041" s="3" t="n">
        <v>14</v>
      </c>
      <c r="H1041" s="7" t="n"/>
      <c r="I1041" t="inlineStr">
        <is>
          <t>Sensation 64</t>
        </is>
      </c>
      <c r="J1041" t="inlineStr">
        <is>
          <t>Pre Contrast 3.0 B30f</t>
        </is>
      </c>
    </row>
    <row r="1042">
      <c r="A1042" s="2" t="n">
        <v>4660467</v>
      </c>
      <c r="B1042" s="2" t="n">
        <v>62</v>
      </c>
      <c r="C1042" s="2" t="inlineStr">
        <is>
          <t>M</t>
        </is>
      </c>
      <c r="D1042" s="2" t="n">
        <v>100</v>
      </c>
      <c r="E1042" s="4">
        <f>HYPERLINK("./Results/DLO\20190201_1.3.12.2.1107.5.1.4.54310.30000019021723320575000000705_2_512_512_\Osteo_Sarco_1.png","RPT")</f>
        <v/>
      </c>
      <c r="F1042" s="3" t="n">
        <v>172</v>
      </c>
      <c r="G1042" s="3" t="n">
        <v>12</v>
      </c>
      <c r="H1042" s="7" t="n"/>
      <c r="I1042" t="inlineStr">
        <is>
          <t>Sensation 64</t>
        </is>
      </c>
      <c r="J1042" t="inlineStr">
        <is>
          <t>With Contrast 3.0 B30f</t>
        </is>
      </c>
    </row>
    <row r="1043">
      <c r="A1043" s="2" t="n">
        <v>5657695</v>
      </c>
      <c r="B1043" s="2" t="n">
        <v>62</v>
      </c>
      <c r="C1043" s="2" t="inlineStr">
        <is>
          <t>M</t>
        </is>
      </c>
      <c r="D1043" s="2" t="n">
        <v>100</v>
      </c>
      <c r="E1043" s="4">
        <f>HYPERLINK("./Results/DLO\20190901_1.3.12.2.1107.5.1.4.65253.30000019092317151984300108998_6_512_512_\Osteo_Sarco_1.png","RPT")</f>
        <v/>
      </c>
      <c r="F1043" s="3" t="n">
        <v>172</v>
      </c>
      <c r="G1043" s="3" t="n">
        <v>12</v>
      </c>
      <c r="H1043" s="7" t="n"/>
      <c r="I1043" t="inlineStr">
        <is>
          <t>SOMATOM Definition AS</t>
        </is>
      </c>
      <c r="J1043" t="inlineStr">
        <is>
          <t>Portal Phase 3.0 B30f</t>
        </is>
      </c>
    </row>
    <row r="1044">
      <c r="A1044" s="2" t="n">
        <v>6737805</v>
      </c>
      <c r="B1044" s="2" t="n">
        <v>62</v>
      </c>
      <c r="C1044" s="2" t="inlineStr">
        <is>
          <t>M</t>
        </is>
      </c>
      <c r="D1044" s="2" t="n">
        <v>100</v>
      </c>
      <c r="E1044" s="4">
        <f>HYPERLINK("./Results/DLO\20180401_1.3.12.2.1107.5.1.4.54310.30000018041623104917100033290_2_512_512_\Osteo_Sarco_1.png","RPT")</f>
        <v/>
      </c>
      <c r="F1044" s="3" t="n">
        <v>169</v>
      </c>
      <c r="G1044" s="3" t="n">
        <v>11</v>
      </c>
      <c r="H1044" s="6" t="n">
        <v>27.47</v>
      </c>
      <c r="I1044" t="inlineStr">
        <is>
          <t>Sensation 64</t>
        </is>
      </c>
      <c r="J1044" t="inlineStr">
        <is>
          <t>Pre Contrast 3.0 B30f</t>
        </is>
      </c>
    </row>
    <row r="1045">
      <c r="A1045" s="2" t="n">
        <v>8290367</v>
      </c>
      <c r="B1045" s="2" t="n">
        <v>62</v>
      </c>
      <c r="C1045" s="2" t="inlineStr">
        <is>
          <t>M</t>
        </is>
      </c>
      <c r="D1045" s="2" t="n">
        <v>100</v>
      </c>
      <c r="E1045" s="4">
        <f>HYPERLINK("./Results/DLO\20180101_1.3.46.670589.33.1.63651775557529550300001.5672649677951615889_201_512_512_\Osteo_Sarco_1.png","RPT")</f>
        <v/>
      </c>
      <c r="F1045" s="3" t="n">
        <v>167</v>
      </c>
      <c r="G1045" s="3" t="n">
        <v>7</v>
      </c>
      <c r="H1045" s="6" t="n">
        <v>26.3</v>
      </c>
      <c r="I1045" t="inlineStr">
        <is>
          <t>Ingenuity Core 128</t>
        </is>
      </c>
      <c r="J1045" t="inlineStr">
        <is>
          <t>Post 100/236 i3, iDose (3)</t>
        </is>
      </c>
    </row>
    <row r="1046">
      <c r="A1046" s="2" t="n">
        <v>5911456</v>
      </c>
      <c r="B1046" s="2" t="n">
        <v>62</v>
      </c>
      <c r="C1046" s="2" t="inlineStr">
        <is>
          <t>M</t>
        </is>
      </c>
      <c r="D1046" s="2" t="n">
        <v>100</v>
      </c>
      <c r="E1046" s="4">
        <f>HYPERLINK("./Results/DLO\20191001_1.3.46.670589.33.1.63705776397915302100001.5616007867439704024_201_512_512_\Osteo_Sarco_1.png","RPT")</f>
        <v/>
      </c>
      <c r="F1046" s="3" t="n">
        <v>167</v>
      </c>
      <c r="G1046" s="3" t="n">
        <v>10</v>
      </c>
      <c r="H1046" s="6" t="n">
        <v>26.4</v>
      </c>
      <c r="I1046" t="inlineStr">
        <is>
          <t>Ingenuity Core 128</t>
        </is>
      </c>
      <c r="J1046" t="inlineStr">
        <is>
          <t>Post 3mm, iDose (3)</t>
        </is>
      </c>
    </row>
    <row r="1047">
      <c r="A1047" s="2" t="n">
        <v>9000857</v>
      </c>
      <c r="B1047" s="2" t="n">
        <v>62</v>
      </c>
      <c r="C1047" s="2" t="inlineStr">
        <is>
          <t>M</t>
        </is>
      </c>
      <c r="D1047" s="2" t="n">
        <v>100</v>
      </c>
      <c r="E1047" s="4">
        <f>HYPERLINK("./Results/DLO\20180301_1.3.12.2.1107.5.1.4.65253.30000018032921180635200049512_3_512_512_\Osteo_Sarco_1.png","RPT")</f>
        <v/>
      </c>
      <c r="F1047" s="3" t="n">
        <v>161</v>
      </c>
      <c r="G1047" s="3" t="n">
        <v>4</v>
      </c>
      <c r="H1047" s="7" t="n"/>
      <c r="I1047" t="inlineStr">
        <is>
          <t>SOMATOM Definition AS</t>
        </is>
      </c>
      <c r="J1047" t="inlineStr">
        <is>
          <t>Post Contrast 3.0 B30f</t>
        </is>
      </c>
    </row>
    <row r="1048">
      <c r="A1048" s="2" t="n">
        <v>5029874</v>
      </c>
      <c r="B1048" s="2" t="n">
        <v>62</v>
      </c>
      <c r="C1048" s="2" t="inlineStr">
        <is>
          <t>M</t>
        </is>
      </c>
      <c r="D1048" s="2" t="n">
        <v>100</v>
      </c>
      <c r="E1048" s="4">
        <f>HYPERLINK("./Results/DLO\20180701_1.3.12.2.1107.5.1.4.54310.30000018070823321646800011591_3_512_512_\Osteo_Sarco_1.png","RPT")</f>
        <v/>
      </c>
      <c r="F1048" s="3" t="n">
        <v>160</v>
      </c>
      <c r="G1048" s="3" t="n">
        <v>7</v>
      </c>
      <c r="H1048" s="6" t="n">
        <v>27.64</v>
      </c>
      <c r="I1048" t="inlineStr">
        <is>
          <t>Sensation 64</t>
        </is>
      </c>
      <c r="J1048" t="inlineStr">
        <is>
          <t>With Contrast 3.0 B30f</t>
        </is>
      </c>
    </row>
    <row r="1049">
      <c r="A1049" s="2" t="n">
        <v>8855221</v>
      </c>
      <c r="B1049" s="2" t="n">
        <v>62</v>
      </c>
      <c r="C1049" s="2" t="inlineStr">
        <is>
          <t>M</t>
        </is>
      </c>
      <c r="D1049" s="2" t="n">
        <v>100</v>
      </c>
      <c r="E1049" s="4">
        <f>HYPERLINK("./Results/DLO\20190201_1.3.46.670589.33.1.63685134681012564600001.5570424443759296127_601_512_512_\Osteo_Sarco_1.png","RPT")</f>
        <v/>
      </c>
      <c r="F1049" s="3" t="n">
        <v>159</v>
      </c>
      <c r="G1049" s="3" t="n">
        <v>16</v>
      </c>
      <c r="H1049" s="6" t="n">
        <v>29.96</v>
      </c>
      <c r="I1049" t="inlineStr">
        <is>
          <t>Ingenuity Core 128</t>
        </is>
      </c>
      <c r="J1049" t="inlineStr">
        <is>
          <t>Post 3mm, iDose (3)</t>
        </is>
      </c>
    </row>
    <row r="1050">
      <c r="A1050" s="2" t="n">
        <v>5660543</v>
      </c>
      <c r="B1050" s="2" t="n">
        <v>62</v>
      </c>
      <c r="C1050" s="2" t="inlineStr">
        <is>
          <t>M</t>
        </is>
      </c>
      <c r="D1050" s="2" t="n">
        <v>100</v>
      </c>
      <c r="E1050" s="4">
        <f>HYPERLINK("./Results/DLO\20190101_1.3.46.670589.33.1.63682800874269703300001.4612475223014868662_601_512_512_\Osteo_Sarco_1.png","RPT")</f>
        <v/>
      </c>
      <c r="F1050" s="3" t="n">
        <v>157</v>
      </c>
      <c r="G1050" s="3" t="n">
        <v>6</v>
      </c>
      <c r="H1050" s="6" t="n">
        <v>24.72</v>
      </c>
      <c r="I1050" t="inlineStr">
        <is>
          <t>Ingenuity Core 128</t>
        </is>
      </c>
      <c r="J1050" t="inlineStr">
        <is>
          <t>Port 3mm, iDose (3)</t>
        </is>
      </c>
    </row>
    <row r="1051">
      <c r="A1051" s="2" t="n">
        <v>8869645</v>
      </c>
      <c r="B1051" s="2" t="n">
        <v>62</v>
      </c>
      <c r="C1051" s="2" t="inlineStr">
        <is>
          <t>M</t>
        </is>
      </c>
      <c r="D1051" s="2" t="n">
        <v>100</v>
      </c>
      <c r="E1051" s="4">
        <f>HYPERLINK("./Results/DLO\20190501_1.3.12.2.1107.5.1.4.65253.30000019050920435793200031057_2_512_512_\Osteo_Sarco_1.png","RPT")</f>
        <v/>
      </c>
      <c r="F1051" s="3" t="n">
        <v>157</v>
      </c>
      <c r="G1051" s="3" t="n">
        <v>7</v>
      </c>
      <c r="H1051" s="7" t="n"/>
      <c r="I1051" t="inlineStr">
        <is>
          <t>SOMATOM Definition AS</t>
        </is>
      </c>
      <c r="J1051" t="inlineStr">
        <is>
          <t>W/O Contrast 2.0 B30f</t>
        </is>
      </c>
    </row>
    <row r="1052">
      <c r="A1052" s="2" t="n">
        <v>9860301</v>
      </c>
      <c r="B1052" s="2" t="n">
        <v>62</v>
      </c>
      <c r="C1052" s="2" t="inlineStr">
        <is>
          <t>M</t>
        </is>
      </c>
      <c r="D1052" s="2" t="n">
        <v>100</v>
      </c>
      <c r="E1052" s="4">
        <f>HYPERLINK("./Results/DLO\20191201_1.3.12.2.1107.5.1.4.54310.30000019120222244193700077379_4_512_512_\Osteo_Sarco_1.png","RPT")</f>
        <v/>
      </c>
      <c r="F1052" s="3" t="n">
        <v>155</v>
      </c>
      <c r="G1052" s="3" t="n">
        <v>11</v>
      </c>
      <c r="H1052" s="7" t="n"/>
      <c r="I1052" t="inlineStr">
        <is>
          <t>Sensation 64</t>
        </is>
      </c>
      <c r="J1052" t="inlineStr">
        <is>
          <t>Arterial 3.0 B30f</t>
        </is>
      </c>
    </row>
    <row r="1053">
      <c r="A1053" s="2" t="n">
        <v>4440616</v>
      </c>
      <c r="B1053" s="2" t="n">
        <v>62</v>
      </c>
      <c r="C1053" s="2" t="inlineStr">
        <is>
          <t>M</t>
        </is>
      </c>
      <c r="D1053" s="2" t="n">
        <v>100</v>
      </c>
      <c r="E1053" s="4">
        <f>HYPERLINK("./Results/DLO\20180501_1.3.12.2.1107.5.1.4.54310.30000018051423153218700018557_3_512_512_\Osteo_Sarco_1.png","RPT")</f>
        <v/>
      </c>
      <c r="F1053" s="3" t="n">
        <v>151</v>
      </c>
      <c r="G1053" s="3" t="n">
        <v>8</v>
      </c>
      <c r="H1053" s="6" t="n">
        <v>23.51</v>
      </c>
      <c r="I1053" t="inlineStr">
        <is>
          <t>Sensation 64</t>
        </is>
      </c>
      <c r="J1053" t="inlineStr">
        <is>
          <t>Pre Contrast 3.0 B30f</t>
        </is>
      </c>
    </row>
    <row r="1054">
      <c r="A1054" s="2" t="n">
        <v>3334419</v>
      </c>
      <c r="B1054" s="2" t="n">
        <v>62</v>
      </c>
      <c r="C1054" s="2" t="inlineStr">
        <is>
          <t>M</t>
        </is>
      </c>
      <c r="D1054" s="2" t="n">
        <v>100</v>
      </c>
      <c r="E1054" s="4">
        <f>HYPERLINK("./Results/DLO\20180201_1.3.12.2.1107.5.1.4.54310.30000018022123092040600003162_3_512_512_\Osteo_Sarco_1.png","RPT")</f>
        <v/>
      </c>
      <c r="F1054" s="3" t="n">
        <v>149</v>
      </c>
      <c r="G1054" s="3" t="n">
        <v>9</v>
      </c>
      <c r="H1054" s="7" t="n"/>
      <c r="I1054" t="inlineStr">
        <is>
          <t>Sensation 64</t>
        </is>
      </c>
      <c r="J1054" t="inlineStr">
        <is>
          <t>Pre Contrast 3.0 B30f</t>
        </is>
      </c>
    </row>
    <row r="1055">
      <c r="A1055" s="2" t="n">
        <v>8631815</v>
      </c>
      <c r="B1055" s="2" t="n">
        <v>62</v>
      </c>
      <c r="C1055" s="2" t="inlineStr">
        <is>
          <t>M</t>
        </is>
      </c>
      <c r="D1055" s="2" t="n">
        <v>100</v>
      </c>
      <c r="E1055" s="4">
        <f>HYPERLINK("./Results/DLO\20190201_1.2.840.113619.2.416.49498463756036702056049157774875371887_304_512_512_\Osteo_Sarco_1.png","RPT")</f>
        <v/>
      </c>
      <c r="F1055" s="3" t="n">
        <v>149</v>
      </c>
      <c r="G1055" s="3" t="n">
        <v>8</v>
      </c>
      <c r="H1055" s="7" t="n"/>
      <c r="I1055" t="inlineStr">
        <is>
          <t>Revolution CT</t>
        </is>
      </c>
      <c r="J1055" t="inlineStr">
        <is>
          <t>ABD 2.5mm</t>
        </is>
      </c>
    </row>
    <row r="1056">
      <c r="A1056" s="2" t="n">
        <v>300279</v>
      </c>
      <c r="B1056" s="2" t="n">
        <v>62</v>
      </c>
      <c r="C1056" s="2" t="inlineStr">
        <is>
          <t>F</t>
        </is>
      </c>
      <c r="D1056" s="2" t="n">
        <v>100</v>
      </c>
      <c r="E1056" s="4">
        <f>HYPERLINK("./Results/DLO\20180401_1.2.840.113619.2.416.166895534450409067193557544536559208277_304_512_512_\Osteo_Sarco_1.png","RPT")</f>
        <v/>
      </c>
      <c r="F1056" s="3" t="n">
        <v>139</v>
      </c>
      <c r="G1056" s="3" t="n">
        <v>8</v>
      </c>
      <c r="H1056" s="7" t="n"/>
      <c r="I1056" t="inlineStr">
        <is>
          <t>Revolution CT</t>
        </is>
      </c>
      <c r="J1056" t="inlineStr">
        <is>
          <t>ABD 2.5mm</t>
        </is>
      </c>
    </row>
    <row r="1057">
      <c r="A1057" s="2" t="n">
        <v>9550963</v>
      </c>
      <c r="B1057" s="2" t="n">
        <v>62</v>
      </c>
      <c r="C1057" s="2" t="inlineStr">
        <is>
          <t>M</t>
        </is>
      </c>
      <c r="D1057" s="2" t="n">
        <v>100</v>
      </c>
      <c r="E1057" s="4">
        <f>HYPERLINK("./Results/DLO\20190101_1.2.840.113619.2.94.485650834948.2.9354138.20400905.1_2_512_512_\Osteo_Sarco_1.png","RPT")</f>
        <v/>
      </c>
      <c r="F1057" s="3" t="n">
        <v>138</v>
      </c>
      <c r="G1057" s="3" t="n">
        <v>9</v>
      </c>
      <c r="H1057" s="7" t="n"/>
      <c r="I1057" t="inlineStr">
        <is>
          <t>SOMATOM Definition AS</t>
        </is>
      </c>
      <c r="J1057" t="inlineStr">
        <is>
          <t>With Contrast 3.0 B30f</t>
        </is>
      </c>
    </row>
    <row r="1058">
      <c r="A1058" s="2" t="n">
        <v>8626070</v>
      </c>
      <c r="B1058" s="2" t="n">
        <v>62</v>
      </c>
      <c r="C1058" s="2" t="inlineStr">
        <is>
          <t>F</t>
        </is>
      </c>
      <c r="D1058" s="2" t="n">
        <v>100</v>
      </c>
      <c r="E1058" s="4">
        <f>HYPERLINK("./Results/DLO\20190701_1.3.46.670589.33.1.63699384080349445800001.5648132833675810348_201_512_512_\Osteo_Sarco_1.png","RPT")</f>
        <v/>
      </c>
      <c r="F1058" s="3" t="n">
        <v>134</v>
      </c>
      <c r="G1058" s="3" t="n">
        <v>17</v>
      </c>
      <c r="H1058" s="6" t="n">
        <v>30.81</v>
      </c>
      <c r="I1058" t="inlineStr">
        <is>
          <t>Ingenuity Core 128</t>
        </is>
      </c>
      <c r="J1058" t="inlineStr">
        <is>
          <t>Post 3mm, iDose (3)</t>
        </is>
      </c>
    </row>
    <row r="1059">
      <c r="A1059" s="2" t="n">
        <v>9744561</v>
      </c>
      <c r="B1059" s="2" t="n">
        <v>62</v>
      </c>
      <c r="C1059" s="2" t="inlineStr">
        <is>
          <t>M</t>
        </is>
      </c>
      <c r="D1059" s="2" t="n">
        <v>100</v>
      </c>
      <c r="E1059" s="4">
        <f>HYPERLINK("./Results/DLO\20190801_1.3.12.2.1107.5.1.4.65253.30000019080319364173000056282_2_512_512_\Osteo_Sarco_1.png","RPT")</f>
        <v/>
      </c>
      <c r="F1059" s="3" t="n">
        <v>132</v>
      </c>
      <c r="G1059" s="3" t="n">
        <v>12</v>
      </c>
      <c r="H1059" s="6" t="n">
        <v>26.12</v>
      </c>
      <c r="I1059" t="inlineStr">
        <is>
          <t>SOMATOM Definition AS</t>
        </is>
      </c>
      <c r="J1059" t="inlineStr">
        <is>
          <t>Pre Contrast 3.0 B30f</t>
        </is>
      </c>
    </row>
    <row r="1060">
      <c r="A1060" s="2" t="n">
        <v>2752564</v>
      </c>
      <c r="B1060" s="2" t="n">
        <v>62</v>
      </c>
      <c r="C1060" s="2" t="inlineStr">
        <is>
          <t>M</t>
        </is>
      </c>
      <c r="D1060" s="2" t="n">
        <v>100</v>
      </c>
      <c r="E1060" s="4">
        <f>HYPERLINK("./Results/DLO\20190901_1.3.46.670589.33.1.63703707105719417700001.4794780123325992409_201_512_512_\Osteo_Sarco_1.png","RPT")</f>
        <v/>
      </c>
      <c r="F1060" s="3" t="n">
        <v>131</v>
      </c>
      <c r="G1060" s="3" t="n">
        <v>10</v>
      </c>
      <c r="H1060" s="7" t="n"/>
      <c r="I1060" t="inlineStr">
        <is>
          <t>Ingenuity Core 128</t>
        </is>
      </c>
      <c r="J1060" t="inlineStr">
        <is>
          <t>Post 3mm, iDose (3)</t>
        </is>
      </c>
    </row>
    <row r="1061">
      <c r="A1061" s="2" t="n">
        <v>5111602</v>
      </c>
      <c r="B1061" s="2" t="n">
        <v>62</v>
      </c>
      <c r="C1061" s="2" t="inlineStr">
        <is>
          <t>F</t>
        </is>
      </c>
      <c r="D1061" s="2" t="n">
        <v>100</v>
      </c>
      <c r="E1061" s="4">
        <f>HYPERLINK("./Results/DLO\20180301_1.3.12.2.1107.5.1.4.54310.30000018031823122465600002189_2_512_512_\Osteo_Sarco_1.png","RPT")</f>
        <v/>
      </c>
      <c r="F1061" s="3" t="n">
        <v>128</v>
      </c>
      <c r="G1061" s="3" t="n">
        <v>10</v>
      </c>
      <c r="H1061" s="7" t="n"/>
      <c r="I1061" t="inlineStr">
        <is>
          <t>Sensation 64</t>
        </is>
      </c>
      <c r="J1061" t="inlineStr">
        <is>
          <t>With Contrast 3.0 B30f</t>
        </is>
      </c>
    </row>
    <row r="1062">
      <c r="A1062" s="2" t="n">
        <v>3133776</v>
      </c>
      <c r="B1062" s="2" t="n">
        <v>62</v>
      </c>
      <c r="C1062" s="2" t="inlineStr">
        <is>
          <t>M</t>
        </is>
      </c>
      <c r="D1062" s="2" t="n">
        <v>100</v>
      </c>
      <c r="E1062" s="4">
        <f>HYPERLINK("./Results/DLO\20190901_1.3.12.2.1107.5.1.4.65253.30000019092317151984300090030_3_512_512_\Osteo_Sarco_1.png","RPT")</f>
        <v/>
      </c>
      <c r="F1062" s="3" t="n">
        <v>124</v>
      </c>
      <c r="G1062" s="3" t="n">
        <v>6</v>
      </c>
      <c r="H1062" s="7" t="n"/>
      <c r="I1062" t="inlineStr">
        <is>
          <t>SOMATOM Definition AS</t>
        </is>
      </c>
      <c r="J1062" t="inlineStr">
        <is>
          <t>With Contrast 3.0 B30f</t>
        </is>
      </c>
    </row>
    <row r="1063">
      <c r="A1063" s="2" t="n">
        <v>6114552</v>
      </c>
      <c r="B1063" s="2" t="n">
        <v>62</v>
      </c>
      <c r="C1063" s="2" t="inlineStr">
        <is>
          <t>M</t>
        </is>
      </c>
      <c r="D1063" s="2" t="n">
        <v>100</v>
      </c>
      <c r="E1063" s="4">
        <f>HYPERLINK("./Results/DLO\20180401_1.3.12.2.1107.5.1.4.54310.30000018041123090860900000721_2_512_512_\Osteo_Sarco_1.png","RPT")</f>
        <v/>
      </c>
      <c r="F1063" s="3" t="n">
        <v>122</v>
      </c>
      <c r="G1063" s="3" t="n">
        <v>8</v>
      </c>
      <c r="H1063" s="7" t="n"/>
      <c r="I1063" t="inlineStr">
        <is>
          <t>Sensation 64</t>
        </is>
      </c>
      <c r="J1063" t="inlineStr">
        <is>
          <t>With Contrast 3.0 B30f</t>
        </is>
      </c>
    </row>
    <row r="1064">
      <c r="A1064" s="2" t="n">
        <v>5600856</v>
      </c>
      <c r="B1064" s="2" t="n">
        <v>62</v>
      </c>
      <c r="C1064" s="2" t="inlineStr">
        <is>
          <t>F</t>
        </is>
      </c>
      <c r="D1064" s="2" t="n">
        <v>100</v>
      </c>
      <c r="E1064" s="4">
        <f>HYPERLINK("./Results/DLO\20190901_1.3.12.2.1107.5.1.4.54310.30000019092221440764000007911_7_512_512_\Osteo_Sarco_1.png","RPT")</f>
        <v/>
      </c>
      <c r="F1064" s="3" t="n">
        <v>120</v>
      </c>
      <c r="G1064" s="3" t="n">
        <v>9</v>
      </c>
      <c r="H1064" s="6" t="n">
        <v>23.42</v>
      </c>
      <c r="I1064" t="inlineStr">
        <is>
          <t>Sensation 64</t>
        </is>
      </c>
      <c r="J1064" t="inlineStr">
        <is>
          <t>ABD Contrast 3.0 B30f</t>
        </is>
      </c>
    </row>
    <row r="1065">
      <c r="A1065" s="2" t="n">
        <v>9490135</v>
      </c>
      <c r="B1065" s="2" t="n">
        <v>62</v>
      </c>
      <c r="C1065" s="2" t="inlineStr">
        <is>
          <t>F</t>
        </is>
      </c>
      <c r="D1065" s="2" t="n">
        <v>100</v>
      </c>
      <c r="E1065" s="4">
        <f>HYPERLINK("./Results/DLO\20181201_1.2.840.113619.2.416.254003209397964596344712981335219159154_301_512_512_\Osteo_Sarco_1.png","RPT")</f>
        <v/>
      </c>
      <c r="F1065" s="3" t="n">
        <v>119</v>
      </c>
      <c r="G1065" s="3" t="n">
        <v>12</v>
      </c>
      <c r="H1065" s="7" t="n"/>
      <c r="I1065" t="inlineStr">
        <is>
          <t>Revolution CT</t>
        </is>
      </c>
      <c r="J1065" t="inlineStr">
        <is>
          <t>ARTERY</t>
        </is>
      </c>
    </row>
    <row r="1066">
      <c r="A1066" s="2" t="n">
        <v>9941989</v>
      </c>
      <c r="B1066" s="2" t="n">
        <v>62</v>
      </c>
      <c r="C1066" s="2" t="inlineStr">
        <is>
          <t>F</t>
        </is>
      </c>
      <c r="D1066" s="2" t="n">
        <v>100</v>
      </c>
      <c r="E1066" s="4">
        <f>HYPERLINK("./Results/DLO\20200401_1.3.12.2.1107.5.1.4.54310.30000020033122400060900034204_7_512_512_\Osteo_Sarco_1.png","RPT")</f>
        <v/>
      </c>
      <c r="F1066" s="3" t="n">
        <v>117</v>
      </c>
      <c r="G1066" s="3" t="n">
        <v>6</v>
      </c>
      <c r="H1066" s="7" t="n"/>
      <c r="I1066" t="inlineStr">
        <is>
          <t>Sensation 64</t>
        </is>
      </c>
      <c r="J1066" t="inlineStr">
        <is>
          <t>ABD 3mm B30f</t>
        </is>
      </c>
    </row>
    <row r="1067">
      <c r="A1067" s="2" t="n">
        <v>5023110</v>
      </c>
      <c r="B1067" s="2" t="n">
        <v>62</v>
      </c>
      <c r="C1067" s="2" t="inlineStr">
        <is>
          <t>F</t>
        </is>
      </c>
      <c r="D1067" s="2" t="n">
        <v>100</v>
      </c>
      <c r="E1067" s="4">
        <f>HYPERLINK("./Results/DLO\20180401_1.2.840.113619.2.311.57463088585648069160740303072040725528_303_512_512_\Osteo_Sarco_1.png","RPT")</f>
        <v/>
      </c>
      <c r="F1067" s="3" t="n">
        <v>116</v>
      </c>
      <c r="G1067" s="3" t="n">
        <v>12</v>
      </c>
      <c r="H1067" s="7" t="n"/>
      <c r="I1067" t="inlineStr">
        <is>
          <t>Revolution CT</t>
        </is>
      </c>
      <c r="J1067" t="inlineStr">
        <is>
          <t>ABD 2.5mm</t>
        </is>
      </c>
    </row>
    <row r="1068">
      <c r="A1068" s="2" t="n">
        <v>6394553</v>
      </c>
      <c r="B1068" s="2" t="n">
        <v>62</v>
      </c>
      <c r="C1068" s="2" t="inlineStr">
        <is>
          <t>M</t>
        </is>
      </c>
      <c r="D1068" s="2" t="n">
        <v>100</v>
      </c>
      <c r="E1068" s="4">
        <f>HYPERLINK("./Results/DLO\20191201_1.3.12.2.1107.5.1.4.54310.30000019121922262284300034213_3_512_512_\Osteo_Sarco_1.png","RPT")</f>
        <v/>
      </c>
      <c r="F1068" s="3" t="n">
        <v>116</v>
      </c>
      <c r="G1068" s="3" t="n">
        <v>7</v>
      </c>
      <c r="H1068" s="7" t="n"/>
      <c r="I1068" t="inlineStr">
        <is>
          <t>Sensation 64</t>
        </is>
      </c>
      <c r="J1068" t="inlineStr">
        <is>
          <t>Pre Contrast 3.0 B30f</t>
        </is>
      </c>
    </row>
    <row r="1069">
      <c r="A1069" s="2" t="n">
        <v>5590445</v>
      </c>
      <c r="B1069" s="2" t="n">
        <v>62</v>
      </c>
      <c r="C1069" s="2" t="inlineStr">
        <is>
          <t>F</t>
        </is>
      </c>
      <c r="D1069" s="2" t="n">
        <v>100</v>
      </c>
      <c r="E1069" s="4">
        <f>HYPERLINK("./Results/DLO\20180401_1.3.46.670589.33.1.63659212688247639300001.5367098466310288591_201_512_512_\Osteo_Sarco_1.png","RPT")</f>
        <v/>
      </c>
      <c r="F1069" s="3" t="n">
        <v>114</v>
      </c>
      <c r="G1069" s="3" t="n">
        <v>11</v>
      </c>
      <c r="H1069" s="7" t="n"/>
      <c r="I1069" t="inlineStr">
        <is>
          <t>Ingenuity Core 128</t>
        </is>
      </c>
      <c r="J1069" t="inlineStr">
        <is>
          <t>Post 100/236 i3, iDose (3)</t>
        </is>
      </c>
    </row>
    <row r="1070">
      <c r="A1070" s="2" t="n">
        <v>3199645</v>
      </c>
      <c r="B1070" s="2" t="n">
        <v>62</v>
      </c>
      <c r="C1070" s="2" t="inlineStr">
        <is>
          <t>F</t>
        </is>
      </c>
      <c r="D1070" s="2" t="n">
        <v>100</v>
      </c>
      <c r="E1070" s="4">
        <f>HYPERLINK("./Results/DLO\20190201_1.3.46.670589.33.1.63685822478708461200001.5153312878486458961_201_512_512_\Osteo_Sarco_1.png","RPT")</f>
        <v/>
      </c>
      <c r="F1070" s="3" t="n">
        <v>113</v>
      </c>
      <c r="G1070" s="3" t="n">
        <v>7</v>
      </c>
      <c r="H1070" s="7" t="n"/>
      <c r="I1070" t="inlineStr">
        <is>
          <t>Ingenuity Core 128</t>
        </is>
      </c>
      <c r="J1070" t="inlineStr">
        <is>
          <t>Post 3mm, iDose (3)</t>
        </is>
      </c>
    </row>
    <row r="1071">
      <c r="A1071" s="2" t="n">
        <v>8489851</v>
      </c>
      <c r="B1071" s="2" t="n">
        <v>62</v>
      </c>
      <c r="C1071" s="2" t="inlineStr">
        <is>
          <t>F</t>
        </is>
      </c>
      <c r="D1071" s="2" t="n">
        <v>100</v>
      </c>
      <c r="E1071" s="4">
        <f>HYPERLINK("./Results/DLO\20180201_1.3.12.2.1107.5.1.4.54310.30000018022523191717100009358_2_512_512_\Osteo_Sarco_1.png","RPT")</f>
        <v/>
      </c>
      <c r="F1071" s="3" t="n">
        <v>111</v>
      </c>
      <c r="G1071" s="3" t="n">
        <v>12</v>
      </c>
      <c r="H1071" s="7" t="n"/>
      <c r="I1071" t="inlineStr">
        <is>
          <t>Sensation 64</t>
        </is>
      </c>
      <c r="J1071" t="inlineStr">
        <is>
          <t>With Contrast 3.0 B30f</t>
        </is>
      </c>
    </row>
    <row r="1072">
      <c r="A1072" s="2" t="n">
        <v>5142357</v>
      </c>
      <c r="B1072" s="2" t="n">
        <v>62</v>
      </c>
      <c r="C1072" s="2" t="inlineStr">
        <is>
          <t>F</t>
        </is>
      </c>
      <c r="D1072" s="2" t="n">
        <v>100</v>
      </c>
      <c r="E1072" s="4">
        <f>HYPERLINK("./Results/DLO\20190301_1.3.12.2.1107.5.1.4.54310.30000019032523301885900002956_3_512_512_\Osteo_Sarco_1.png","RPT")</f>
        <v/>
      </c>
      <c r="F1072" s="3" t="n">
        <v>110</v>
      </c>
      <c r="G1072" s="3" t="n">
        <v>7</v>
      </c>
      <c r="H1072" s="7" t="n"/>
      <c r="I1072" t="inlineStr">
        <is>
          <t>Sensation 64</t>
        </is>
      </c>
      <c r="J1072" t="inlineStr">
        <is>
          <t>Pre Contrast 3.0 B30f</t>
        </is>
      </c>
    </row>
    <row r="1073">
      <c r="A1073" s="2" t="n">
        <v>3993660</v>
      </c>
      <c r="B1073" s="2" t="n">
        <v>62</v>
      </c>
      <c r="C1073" s="2" t="inlineStr">
        <is>
          <t>F</t>
        </is>
      </c>
      <c r="D1073" s="2" t="n">
        <v>100</v>
      </c>
      <c r="E1073" s="4">
        <f>HYPERLINK("./Results/DLO\20190501_1.3.12.2.1107.5.1.4.54310.30000019052021130364000061828_2_512_512_\Osteo_Sarco_1.png","RPT")</f>
        <v/>
      </c>
      <c r="F1073" s="3" t="n">
        <v>110</v>
      </c>
      <c r="G1073" s="3" t="n">
        <v>14</v>
      </c>
      <c r="H1073" s="6" t="n">
        <v>25.93</v>
      </c>
      <c r="I1073" t="inlineStr">
        <is>
          <t>Sensation 64</t>
        </is>
      </c>
      <c r="J1073" t="inlineStr">
        <is>
          <t>Non Contrast 2.0 B30f</t>
        </is>
      </c>
    </row>
    <row r="1074">
      <c r="A1074" s="2" t="n">
        <v>2901790</v>
      </c>
      <c r="B1074" s="2" t="n">
        <v>62</v>
      </c>
      <c r="C1074" s="2" t="inlineStr">
        <is>
          <t>F</t>
        </is>
      </c>
      <c r="D1074" s="2" t="n">
        <v>100</v>
      </c>
      <c r="E1074" s="4">
        <f>HYPERLINK("./Results/DLO\20191201_1.3.12.2.1107.5.1.4.54310.30000019122921240779600021572_3_512_512_\Osteo_Sarco_1.png","RPT")</f>
        <v/>
      </c>
      <c r="F1074" s="3" t="n">
        <v>109</v>
      </c>
      <c r="G1074" s="3" t="n">
        <v>12</v>
      </c>
      <c r="H1074" s="6" t="n">
        <v>28.54</v>
      </c>
      <c r="I1074" t="inlineStr">
        <is>
          <t>Sensation 64</t>
        </is>
      </c>
      <c r="J1074" t="inlineStr">
        <is>
          <t>Pre Contrast 3.0 B30f</t>
        </is>
      </c>
    </row>
    <row r="1075">
      <c r="A1075" s="2" t="n">
        <v>307070</v>
      </c>
      <c r="B1075" s="2" t="n">
        <v>62</v>
      </c>
      <c r="C1075" s="2" t="inlineStr">
        <is>
          <t>F</t>
        </is>
      </c>
      <c r="D1075" s="2" t="n">
        <v>100</v>
      </c>
      <c r="E1075" s="4">
        <f>HYPERLINK("./Results/DLO\20180901_1.3.12.2.1107.5.1.4.54310.30000018090523165039000008682_2_512_512_\Osteo_Sarco_1.png","RPT")</f>
        <v/>
      </c>
      <c r="F1075" s="3" t="n">
        <v>108</v>
      </c>
      <c r="G1075" s="3" t="n">
        <v>9</v>
      </c>
      <c r="H1075" s="7" t="n"/>
      <c r="I1075" t="inlineStr">
        <is>
          <t>Sensation 64</t>
        </is>
      </c>
      <c r="J1075" t="inlineStr">
        <is>
          <t>With Contrast 3.0 B30f</t>
        </is>
      </c>
    </row>
    <row r="1076">
      <c r="A1076" s="2" t="n">
        <v>8765074</v>
      </c>
      <c r="B1076" s="2" t="n">
        <v>62</v>
      </c>
      <c r="C1076" s="2" t="inlineStr">
        <is>
          <t>F</t>
        </is>
      </c>
      <c r="D1076" s="2" t="n">
        <v>100</v>
      </c>
      <c r="E1076" s="4">
        <f>HYPERLINK("./Results/DLO\20181101_1.2.840.113619.2.311.300479592310638836442138029475396753696_304_512_512_\Osteo_Sarco_1.png","RPT")</f>
        <v/>
      </c>
      <c r="F1076" s="3" t="n">
        <v>108</v>
      </c>
      <c r="G1076" s="3" t="n">
        <v>11</v>
      </c>
      <c r="H1076" s="7" t="n"/>
      <c r="I1076" t="inlineStr">
        <is>
          <t>Revolution CT</t>
        </is>
      </c>
      <c r="J1076" t="inlineStr">
        <is>
          <t>ABD 2.5mm</t>
        </is>
      </c>
    </row>
    <row r="1077">
      <c r="A1077" s="2" t="n">
        <v>5506522</v>
      </c>
      <c r="B1077" s="2" t="n">
        <v>62</v>
      </c>
      <c r="C1077" s="2" t="inlineStr">
        <is>
          <t>F</t>
        </is>
      </c>
      <c r="D1077" s="2" t="n">
        <v>100</v>
      </c>
      <c r="E1077" s="4">
        <f>HYPERLINK("./Results/DLO\20180701_1.3.12.2.1107.5.1.4.54310.30000018071123231618700010614_2_512_512_\Osteo_Sarco_1.png","RPT")</f>
        <v/>
      </c>
      <c r="F1077" s="3" t="n">
        <v>107</v>
      </c>
      <c r="G1077" s="3" t="n">
        <v>9</v>
      </c>
      <c r="H1077" s="7" t="n"/>
      <c r="I1077" t="inlineStr">
        <is>
          <t>Sensation 64</t>
        </is>
      </c>
      <c r="J1077" t="inlineStr">
        <is>
          <t>With Contrast 3.0 B30f</t>
        </is>
      </c>
    </row>
    <row r="1078">
      <c r="A1078" s="2" t="n">
        <v>9006984</v>
      </c>
      <c r="B1078" s="2" t="n">
        <v>62</v>
      </c>
      <c r="C1078" s="2" t="inlineStr">
        <is>
          <t>F</t>
        </is>
      </c>
      <c r="D1078" s="2" t="n">
        <v>100</v>
      </c>
      <c r="E1078" s="4">
        <f>HYPERLINK("./Results/DLO\20190801_1.3.12.2.1107.5.1.4.54310.30000019080723041839000047422_7_512_512_\Osteo_Sarco_1.png","RPT")</f>
        <v/>
      </c>
      <c r="F1078" s="3" t="n">
        <v>107</v>
      </c>
      <c r="G1078" s="3" t="n">
        <v>10</v>
      </c>
      <c r="H1078" s="7" t="n"/>
      <c r="I1078" t="inlineStr">
        <is>
          <t>Sensation 64</t>
        </is>
      </c>
      <c r="J1078" t="inlineStr">
        <is>
          <t>ABD Contrast 3.0 B30f</t>
        </is>
      </c>
    </row>
    <row r="1079">
      <c r="A1079" s="2" t="n">
        <v>5814700</v>
      </c>
      <c r="B1079" s="2" t="n">
        <v>62</v>
      </c>
      <c r="C1079" s="2" t="inlineStr">
        <is>
          <t>F</t>
        </is>
      </c>
      <c r="D1079" s="2" t="n">
        <v>100</v>
      </c>
      <c r="E1079" s="4">
        <f>HYPERLINK("./Results/DLO\20180701_1.3.12.2.1107.5.1.4.65253.30000018071916364286400045781_2_512_512_\Osteo_Sarco_1.png","RPT")</f>
        <v/>
      </c>
      <c r="F1079" s="3" t="n">
        <v>104</v>
      </c>
      <c r="G1079" s="3" t="n">
        <v>6</v>
      </c>
      <c r="H1079" s="6" t="n">
        <v>24.3</v>
      </c>
      <c r="I1079" t="inlineStr">
        <is>
          <t>SOMATOM Definition AS</t>
        </is>
      </c>
      <c r="J1079" t="inlineStr">
        <is>
          <t>Pre Contrast 3.0 B30f</t>
        </is>
      </c>
    </row>
    <row r="1080">
      <c r="A1080" s="2" t="n">
        <v>8518259</v>
      </c>
      <c r="B1080" s="2" t="n">
        <v>62</v>
      </c>
      <c r="C1080" s="2" t="inlineStr">
        <is>
          <t>F</t>
        </is>
      </c>
      <c r="D1080" s="2" t="n">
        <v>100</v>
      </c>
      <c r="E1080" s="4">
        <f>HYPERLINK("./Results/DLO\20180101_1.2.840.113619.2.94.485650834948.2.8603224.18551300.1_2_512_512_\Osteo_Sarco_1.png","RPT")</f>
        <v/>
      </c>
      <c r="F1080" s="3" t="n">
        <v>103</v>
      </c>
      <c r="G1080" s="3" t="n">
        <v>5</v>
      </c>
      <c r="H1080" s="6" t="n">
        <v>25.84</v>
      </c>
      <c r="I1080" t="inlineStr">
        <is>
          <t>Sensation 64</t>
        </is>
      </c>
      <c r="J1080" t="inlineStr">
        <is>
          <t>With Contrast 3.0 B30f</t>
        </is>
      </c>
    </row>
    <row r="1081">
      <c r="A1081" s="2" t="n">
        <v>2380953</v>
      </c>
      <c r="B1081" s="2" t="n">
        <v>62</v>
      </c>
      <c r="C1081" s="2" t="inlineStr">
        <is>
          <t>F</t>
        </is>
      </c>
      <c r="D1081" s="2" t="n">
        <v>100</v>
      </c>
      <c r="E1081" s="4">
        <f>HYPERLINK("./Results/DLO\20191001_1.3.12.2.1107.5.1.4.65253.30000019093020481743200000285_2_512_512_\Osteo_Sarco_1.png","RPT")</f>
        <v/>
      </c>
      <c r="F1081" s="3" t="n">
        <v>101</v>
      </c>
      <c r="G1081" s="3" t="n">
        <v>19</v>
      </c>
      <c r="H1081" s="6" t="n">
        <v>23.53</v>
      </c>
      <c r="I1081" t="inlineStr">
        <is>
          <t>SOMATOM Definition AS</t>
        </is>
      </c>
      <c r="J1081" t="inlineStr">
        <is>
          <t>ABD Pre 3.0 B30f</t>
        </is>
      </c>
    </row>
    <row r="1082">
      <c r="A1082" s="2" t="n">
        <v>3961252</v>
      </c>
      <c r="B1082" s="2" t="n">
        <v>62</v>
      </c>
      <c r="C1082" s="2" t="inlineStr">
        <is>
          <t>F</t>
        </is>
      </c>
      <c r="D1082" s="2" t="n">
        <v>100</v>
      </c>
      <c r="E1082" s="4">
        <f>HYPERLINK("./Results/DLO\20180401_1.3.46.670589.33.1.63658612914149523200001.5601493247217734461_301_512_512_\Osteo_Sarco_1.png","RPT")</f>
        <v/>
      </c>
      <c r="F1082" s="3" t="n">
        <v>100</v>
      </c>
      <c r="G1082" s="3" t="n">
        <v>7</v>
      </c>
      <c r="H1082" s="6" t="n">
        <v>23.96</v>
      </c>
      <c r="I1082" t="inlineStr">
        <is>
          <t>Ingenuity Core 128</t>
        </is>
      </c>
      <c r="J1082" t="inlineStr">
        <is>
          <t>Post 100/236 i3, iDose (3)</t>
        </is>
      </c>
    </row>
    <row r="1083">
      <c r="A1083" s="2" t="n">
        <v>5800841</v>
      </c>
      <c r="B1083" s="2" t="n">
        <v>63</v>
      </c>
      <c r="C1083" s="2" t="inlineStr">
        <is>
          <t>F</t>
        </is>
      </c>
      <c r="D1083" s="2" t="n">
        <v>100</v>
      </c>
      <c r="E1083" s="4">
        <f>HYPERLINK("./Results/DLO\20180301_1.2.840.113619.2.416.118226959588253105653124724468761463593_304_512_512_\Osteo_Sarco_1.png","RPT")</f>
        <v/>
      </c>
      <c r="F1083" s="3" t="n">
        <v>98</v>
      </c>
      <c r="G1083" s="3" t="n">
        <v>10</v>
      </c>
      <c r="H1083" s="7" t="n"/>
      <c r="I1083" t="inlineStr">
        <is>
          <t>Revolution CT</t>
        </is>
      </c>
      <c r="J1083" t="inlineStr">
        <is>
          <t>ABD 2.5mm</t>
        </is>
      </c>
    </row>
    <row r="1084">
      <c r="A1084" s="2" t="n">
        <v>6738110</v>
      </c>
      <c r="B1084" s="2" t="n">
        <v>63</v>
      </c>
      <c r="C1084" s="2" t="inlineStr">
        <is>
          <t>F</t>
        </is>
      </c>
      <c r="D1084" s="2" t="n">
        <v>100</v>
      </c>
      <c r="E1084" s="4">
        <f>HYPERLINK("./Results/DLO\20180801_1.2.840.113619.2.94.485650834948.2.9053115.19658517.1_2_512_512_\Osteo_Sarco_1.png","RPT")</f>
        <v/>
      </c>
      <c r="F1084" s="3" t="n">
        <v>98</v>
      </c>
      <c r="G1084" s="3" t="n">
        <v>5</v>
      </c>
      <c r="H1084" s="7" t="n"/>
      <c r="I1084" t="inlineStr">
        <is>
          <t>Sensation 64</t>
        </is>
      </c>
      <c r="J1084" t="inlineStr">
        <is>
          <t>With Contrast 3.0 B30f</t>
        </is>
      </c>
    </row>
    <row r="1085">
      <c r="A1085" s="2" t="n">
        <v>8508208</v>
      </c>
      <c r="B1085" s="2" t="n">
        <v>63</v>
      </c>
      <c r="C1085" s="2" t="inlineStr">
        <is>
          <t>F</t>
        </is>
      </c>
      <c r="D1085" s="2" t="n">
        <v>100</v>
      </c>
      <c r="E1085" s="4">
        <f>HYPERLINK("./Results/DLO\20180201_1.2.840.113619.2.311.194338233937210382677445147917778887684_305_512_512_\Osteo_Sarco_1.png","RPT")</f>
        <v/>
      </c>
      <c r="F1085" s="3" t="n">
        <v>97</v>
      </c>
      <c r="G1085" s="3" t="n">
        <v>14</v>
      </c>
      <c r="H1085" s="6" t="n">
        <v>21.81</v>
      </c>
      <c r="I1085" t="inlineStr">
        <is>
          <t>Revolution CT</t>
        </is>
      </c>
      <c r="J1085" t="inlineStr">
        <is>
          <t>ABD 2.5mm</t>
        </is>
      </c>
    </row>
    <row r="1086">
      <c r="A1086" s="2" t="n">
        <v>5583950</v>
      </c>
      <c r="B1086" s="2" t="n">
        <v>63</v>
      </c>
      <c r="C1086" s="2" t="inlineStr">
        <is>
          <t>F</t>
        </is>
      </c>
      <c r="D1086" s="2" t="n">
        <v>100</v>
      </c>
      <c r="E1086" s="4">
        <f>HYPERLINK("./Results/DLO\20190401_1.3.12.2.1107.5.1.4.54310.30000019040423312360900041459_2_512_512_\Osteo_Sarco_1.png","RPT")</f>
        <v/>
      </c>
      <c r="F1086" s="3" t="n">
        <v>97</v>
      </c>
      <c r="G1086" s="3" t="n">
        <v>9</v>
      </c>
      <c r="H1086" s="7" t="n"/>
      <c r="I1086" t="inlineStr">
        <is>
          <t>Sensation 64</t>
        </is>
      </c>
      <c r="J1086" t="inlineStr">
        <is>
          <t>Pre Contrast 3.0 B30f</t>
        </is>
      </c>
    </row>
    <row r="1087">
      <c r="A1087" s="2" t="n">
        <v>9945929</v>
      </c>
      <c r="B1087" s="2" t="n">
        <v>63</v>
      </c>
      <c r="C1087" s="2" t="inlineStr">
        <is>
          <t>F</t>
        </is>
      </c>
      <c r="D1087" s="2" t="n">
        <v>100</v>
      </c>
      <c r="E1087" s="4">
        <f>HYPERLINK("./Results/DLO\20200301_1.3.12.2.1107.5.1.4.54310.30000020032321040095300027479_6_512_512_\Osteo_Sarco_1.png","RPT")</f>
        <v/>
      </c>
      <c r="F1087" s="3" t="n">
        <v>97</v>
      </c>
      <c r="G1087" s="3" t="n">
        <v>11</v>
      </c>
      <c r="H1087" s="6" t="n">
        <v>21.69</v>
      </c>
      <c r="I1087" t="inlineStr">
        <is>
          <t>Sensation 64</t>
        </is>
      </c>
      <c r="J1087" t="inlineStr">
        <is>
          <t>Portal 3.0 B30f</t>
        </is>
      </c>
    </row>
    <row r="1088">
      <c r="A1088" s="2" t="n">
        <v>3054990</v>
      </c>
      <c r="B1088" s="2" t="n">
        <v>63</v>
      </c>
      <c r="C1088" s="2" t="inlineStr">
        <is>
          <t>F</t>
        </is>
      </c>
      <c r="D1088" s="2" t="n">
        <v>100</v>
      </c>
      <c r="E1088" s="4">
        <f>HYPERLINK("./Results/DLO\20200601_1.3.12.2.1107.5.1.4.54310.30000020062122312240600037379_5_512_512_\Osteo_Sarco_1.png","RPT")</f>
        <v/>
      </c>
      <c r="F1088" s="3" t="n">
        <v>95</v>
      </c>
      <c r="G1088" s="3" t="n">
        <v>13</v>
      </c>
      <c r="H1088" s="6" t="n">
        <v>26.42</v>
      </c>
      <c r="I1088" t="inlineStr">
        <is>
          <t>Sensation 64</t>
        </is>
      </c>
      <c r="J1088" t="inlineStr">
        <is>
          <t>ABD 3mm B30f</t>
        </is>
      </c>
    </row>
    <row r="1089">
      <c r="A1089" s="2" t="n">
        <v>5193831</v>
      </c>
      <c r="B1089" s="2" t="n">
        <v>63</v>
      </c>
      <c r="C1089" s="2" t="inlineStr">
        <is>
          <t>F</t>
        </is>
      </c>
      <c r="D1089" s="2" t="n">
        <v>100</v>
      </c>
      <c r="E1089" s="4">
        <f>HYPERLINK("./Results/DLO\20180401_1.3.46.670589.33.1.63658956696541751300001.5644887033988533569_201_512_512_\Osteo_Sarco_1.png","RPT")</f>
        <v/>
      </c>
      <c r="F1089" s="3" t="n">
        <v>93</v>
      </c>
      <c r="G1089" s="3" t="n">
        <v>10</v>
      </c>
      <c r="H1089" s="7" t="n"/>
      <c r="I1089" t="inlineStr">
        <is>
          <t>Ingenuity Core 128</t>
        </is>
      </c>
      <c r="J1089" t="inlineStr">
        <is>
          <t>Post 100/236 i3, iDose (3)</t>
        </is>
      </c>
    </row>
    <row r="1090">
      <c r="A1090" s="2" t="n">
        <v>5240861</v>
      </c>
      <c r="B1090" s="2" t="n">
        <v>63</v>
      </c>
      <c r="C1090" s="2" t="inlineStr">
        <is>
          <t>F</t>
        </is>
      </c>
      <c r="D1090" s="2" t="n">
        <v>100</v>
      </c>
      <c r="E1090" s="4">
        <f>HYPERLINK("./Results/DLO\20190301_1.3.46.670589.33.1.63687288102246590700001.4776319597885277823_201_512_512_\Osteo_Sarco_1.png","RPT")</f>
        <v/>
      </c>
      <c r="F1090" s="3" t="n">
        <v>93</v>
      </c>
      <c r="G1090" s="3" t="n">
        <v>8</v>
      </c>
      <c r="H1090" s="7" t="n"/>
      <c r="I1090" t="inlineStr">
        <is>
          <t>Ingenuity Core 128</t>
        </is>
      </c>
      <c r="J1090" t="inlineStr">
        <is>
          <t>Post 3mm, iDose (3)</t>
        </is>
      </c>
    </row>
    <row r="1091">
      <c r="A1091" s="2" t="n">
        <v>8752220</v>
      </c>
      <c r="B1091" s="2" t="n">
        <v>63</v>
      </c>
      <c r="C1091" s="2" t="inlineStr">
        <is>
          <t>F</t>
        </is>
      </c>
      <c r="D1091" s="2" t="n">
        <v>100</v>
      </c>
      <c r="E1091" s="4">
        <f>HYPERLINK("./Results/DLO\20190901_1.3.46.670589.33.1.63703361907969920000001.5015349785036724031_201_512_512_\Osteo_Sarco_1.png","RPT")</f>
        <v/>
      </c>
      <c r="F1091" s="3" t="n">
        <v>93</v>
      </c>
      <c r="G1091" s="3" t="n">
        <v>10</v>
      </c>
      <c r="H1091" s="7" t="n"/>
      <c r="I1091" t="inlineStr">
        <is>
          <t>Ingenuity Core 128</t>
        </is>
      </c>
      <c r="J1091" t="inlineStr">
        <is>
          <t>Post 3mm, iDose (3)</t>
        </is>
      </c>
    </row>
    <row r="1092">
      <c r="A1092" s="2" t="n">
        <v>1834025</v>
      </c>
      <c r="B1092" s="2" t="n">
        <v>63</v>
      </c>
      <c r="C1092" s="2" t="inlineStr">
        <is>
          <t>F</t>
        </is>
      </c>
      <c r="D1092" s="2" t="n">
        <v>100</v>
      </c>
      <c r="E1092" s="4">
        <f>HYPERLINK("./Results/DLO\20180801_1.3.46.670589.33.1.63669496906113310300001.5028447648949523837_201_512_512_\Osteo_Sarco_1.png","RPT")</f>
        <v/>
      </c>
      <c r="F1092" s="3" t="n">
        <v>92</v>
      </c>
      <c r="G1092" s="3" t="n">
        <v>9</v>
      </c>
      <c r="H1092" s="7" t="n"/>
      <c r="I1092" t="inlineStr">
        <is>
          <t>Ingenuity Core 128</t>
        </is>
      </c>
      <c r="J1092" t="inlineStr">
        <is>
          <t>Post 100/236 i3, iDose (3)</t>
        </is>
      </c>
    </row>
    <row r="1093">
      <c r="A1093" s="2" t="n">
        <v>3529642</v>
      </c>
      <c r="B1093" s="2" t="n">
        <v>63</v>
      </c>
      <c r="C1093" s="2" t="inlineStr">
        <is>
          <t>F</t>
        </is>
      </c>
      <c r="D1093" s="2" t="n">
        <v>100</v>
      </c>
      <c r="E1093" s="4">
        <f>HYPERLINK("./Results/DLO\20190401_1.3.12.2.1107.5.1.4.54310.30000019040323295310900048969_3_512_512_\Osteo_Sarco_1.png","RPT")</f>
        <v/>
      </c>
      <c r="F1093" s="3" t="n">
        <v>84</v>
      </c>
      <c r="G1093" s="3" t="n">
        <v>11</v>
      </c>
      <c r="H1093" s="7" t="n"/>
      <c r="I1093" t="inlineStr">
        <is>
          <t>Sensation 64</t>
        </is>
      </c>
      <c r="J1093" t="inlineStr">
        <is>
          <t>Pre Contrast 3.0 B30f</t>
        </is>
      </c>
    </row>
    <row r="1094">
      <c r="A1094" s="2" t="n">
        <v>9670885</v>
      </c>
      <c r="B1094" s="2" t="n">
        <v>63</v>
      </c>
      <c r="C1094" s="2" t="inlineStr">
        <is>
          <t>F</t>
        </is>
      </c>
      <c r="D1094" s="2" t="n">
        <v>100</v>
      </c>
      <c r="E1094" s="4">
        <f>HYPERLINK("./Results/DLO\20190501_1.3.12.2.1107.5.1.4.54310.30000019051421202614000046826_6_512_512_\Osteo_Sarco_1.png","RPT")</f>
        <v/>
      </c>
      <c r="F1094" s="3" t="n">
        <v>82</v>
      </c>
      <c r="G1094" s="3" t="n">
        <v>7</v>
      </c>
      <c r="H1094" s="7" t="n"/>
      <c r="I1094" t="inlineStr">
        <is>
          <t>Sensation 64</t>
        </is>
      </c>
      <c r="J1094" t="inlineStr">
        <is>
          <t>ABD Contrast 3.0 B30f</t>
        </is>
      </c>
    </row>
    <row r="1095">
      <c r="A1095" s="2" t="n">
        <v>5086939</v>
      </c>
      <c r="B1095" s="2" t="n">
        <v>63</v>
      </c>
      <c r="C1095" s="2" t="inlineStr">
        <is>
          <t>F</t>
        </is>
      </c>
      <c r="D1095" s="2" t="n">
        <v>100</v>
      </c>
      <c r="E1095" s="4">
        <f>HYPERLINK("./Results/DLO\20181101_1.3.12.2.1107.5.1.4.65253.30000018111519212941400012286_2_512_512_\Osteo_Sarco_1.png","RPT")</f>
        <v/>
      </c>
      <c r="F1095" s="3" t="n">
        <v>80</v>
      </c>
      <c r="G1095" s="3" t="n">
        <v>6</v>
      </c>
      <c r="H1095" s="7" t="n"/>
      <c r="I1095" t="inlineStr">
        <is>
          <t>SOMATOM Definition AS</t>
        </is>
      </c>
      <c r="J1095" t="inlineStr">
        <is>
          <t>With Contrast 3.0 B30f</t>
        </is>
      </c>
    </row>
    <row r="1096">
      <c r="A1096" s="2" t="n">
        <v>5051051</v>
      </c>
      <c r="B1096" s="2" t="n">
        <v>63</v>
      </c>
      <c r="C1096" s="2" t="inlineStr">
        <is>
          <t>F</t>
        </is>
      </c>
      <c r="D1096" s="2" t="n">
        <v>100</v>
      </c>
      <c r="E1096" s="4">
        <f>HYPERLINK("./Results/DLO\20180801_1.3.12.2.1107.5.1.4.54310.30000018082923354242100017600_2_512_512_\Osteo_Sarco_1.png","RPT")</f>
        <v/>
      </c>
      <c r="F1096" s="3" t="n">
        <v>75</v>
      </c>
      <c r="G1096" s="3" t="n">
        <v>8</v>
      </c>
      <c r="H1096" s="7" t="n"/>
      <c r="I1096" t="inlineStr">
        <is>
          <t>Sensation 64</t>
        </is>
      </c>
      <c r="J1096" t="inlineStr">
        <is>
          <t>With Contrast 3.0 B30f</t>
        </is>
      </c>
    </row>
    <row r="1097">
      <c r="A1097" s="2" t="n">
        <v>3492583</v>
      </c>
      <c r="B1097" s="2" t="n">
        <v>63</v>
      </c>
      <c r="C1097" s="2" t="inlineStr">
        <is>
          <t>M</t>
        </is>
      </c>
      <c r="D1097" s="2" t="n">
        <v>100</v>
      </c>
      <c r="E1097" s="4">
        <f>HYPERLINK("./Results/DLO\20190801_1.3.12.2.1107.5.1.4.65253.30000019080420462225600045524_3_512_512_\Osteo_Sarco_1.png","RPT")</f>
        <v/>
      </c>
      <c r="F1097" s="3" t="n">
        <v>61</v>
      </c>
      <c r="G1097" s="3" t="n">
        <v>23</v>
      </c>
      <c r="H1097" s="7" t="n"/>
      <c r="I1097" t="inlineStr">
        <is>
          <t>SOMATOM Definition AS</t>
        </is>
      </c>
      <c r="J1097" t="inlineStr">
        <is>
          <t>ABD Contrast 3.0 B30f</t>
        </is>
      </c>
    </row>
    <row r="1098">
      <c r="A1098" s="2" t="n">
        <v>1461206</v>
      </c>
      <c r="B1098" s="2" t="n">
        <v>63</v>
      </c>
      <c r="C1098" s="2" t="inlineStr">
        <is>
          <t>M</t>
        </is>
      </c>
      <c r="D1098" s="2" t="n">
        <v>100</v>
      </c>
      <c r="E1098" s="4">
        <f>HYPERLINK("./Results/DLO\20180201_1.3.46.670589.33.1.63653675992385349400001.5256286800430969385_201_512_512_\Osteo_Sarco_1.png","RPT")</f>
        <v/>
      </c>
      <c r="F1098" s="3" t="n">
        <v>172</v>
      </c>
      <c r="G1098" s="3" t="n">
        <v>9</v>
      </c>
      <c r="H1098" s="7" t="n"/>
      <c r="I1098" t="inlineStr">
        <is>
          <t>Ingenuity Core 128</t>
        </is>
      </c>
      <c r="J1098" t="inlineStr">
        <is>
          <t>Post 100/236 i3, iDose (3)</t>
        </is>
      </c>
    </row>
    <row r="1099">
      <c r="A1099" s="2" t="n">
        <v>8796993</v>
      </c>
      <c r="B1099" s="2" t="n">
        <v>63</v>
      </c>
      <c r="C1099" s="2" t="inlineStr">
        <is>
          <t>M</t>
        </is>
      </c>
      <c r="D1099" s="2" t="n">
        <v>100</v>
      </c>
      <c r="E1099" s="4">
        <f>HYPERLINK("./Results/DLO\20190501_1.3.12.2.1107.5.1.4.65253.30000019050718452245500037929_2_512_512_\Osteo_Sarco_1.png","RPT")</f>
        <v/>
      </c>
      <c r="F1099" s="3" t="n">
        <v>166</v>
      </c>
      <c r="G1099" s="3" t="n">
        <v>9</v>
      </c>
      <c r="H1099" s="6" t="n">
        <v>24.28</v>
      </c>
      <c r="I1099" t="inlineStr">
        <is>
          <t>SOMATOM Definition AS</t>
        </is>
      </c>
      <c r="J1099" t="inlineStr">
        <is>
          <t>Pre Contrast 3.0 B30f</t>
        </is>
      </c>
    </row>
    <row r="1100">
      <c r="A1100" s="2" t="n">
        <v>5980526</v>
      </c>
      <c r="B1100" s="2" t="n">
        <v>63</v>
      </c>
      <c r="C1100" s="2" t="inlineStr">
        <is>
          <t>M</t>
        </is>
      </c>
      <c r="D1100" s="2" t="n">
        <v>100</v>
      </c>
      <c r="E1100" s="4">
        <f>HYPERLINK("./Results/DLO\20180701_1.2.840.113619.2.416.203541951606416429686325995891261651874_301_512_512_\Osteo_Sarco_1.png","RPT")</f>
        <v/>
      </c>
      <c r="F1100" s="3" t="n">
        <v>163</v>
      </c>
      <c r="G1100" s="3" t="n">
        <v>8</v>
      </c>
      <c r="H1100" s="7" t="n"/>
      <c r="I1100" t="inlineStr">
        <is>
          <t>Revolution CT</t>
        </is>
      </c>
      <c r="J1100" t="inlineStr">
        <is>
          <t>ARTERY</t>
        </is>
      </c>
    </row>
    <row r="1101">
      <c r="A1101" s="2" t="n">
        <v>5846797</v>
      </c>
      <c r="B1101" s="2" t="n">
        <v>63</v>
      </c>
      <c r="C1101" s="2" t="inlineStr">
        <is>
          <t>M</t>
        </is>
      </c>
      <c r="D1101" s="2" t="n">
        <v>100</v>
      </c>
      <c r="E1101" s="4">
        <f>HYPERLINK("./Results/DLO\20181201_1.3.46.670589.33.1.63679514479528989000001.4997051850462017487_201_512_512_\Osteo_Sarco_1.png","RPT")</f>
        <v/>
      </c>
      <c r="F1101" s="3" t="n">
        <v>159</v>
      </c>
      <c r="G1101" s="3" t="n">
        <v>9</v>
      </c>
      <c r="H1101" s="7" t="n"/>
      <c r="I1101" t="inlineStr">
        <is>
          <t>Ingenuity Core 128</t>
        </is>
      </c>
      <c r="J1101" t="inlineStr">
        <is>
          <t>Post 100/236 i3, iDose (3)</t>
        </is>
      </c>
    </row>
    <row r="1102">
      <c r="A1102" s="2" t="n">
        <v>8951290</v>
      </c>
      <c r="B1102" s="2" t="n">
        <v>63</v>
      </c>
      <c r="C1102" s="2" t="inlineStr">
        <is>
          <t>M</t>
        </is>
      </c>
      <c r="D1102" s="2" t="n">
        <v>100</v>
      </c>
      <c r="E1102" s="4">
        <f>HYPERLINK("./Results/DLO\20180101_1.2.840.113619.2.416.47496877758960552238790582485680106521_302_512_512_\Osteo_Sarco_1.png","RPT")</f>
        <v/>
      </c>
      <c r="F1102" s="3" t="n">
        <v>153</v>
      </c>
      <c r="G1102" s="3" t="n">
        <v>9</v>
      </c>
      <c r="H1102" s="7" t="n"/>
      <c r="I1102" t="inlineStr">
        <is>
          <t>Revolution CT</t>
        </is>
      </c>
      <c r="J1102" t="inlineStr">
        <is>
          <t>PORTAL</t>
        </is>
      </c>
    </row>
    <row r="1103">
      <c r="A1103" s="2" t="n">
        <v>5833204</v>
      </c>
      <c r="B1103" s="2" t="n">
        <v>63</v>
      </c>
      <c r="C1103" s="2" t="inlineStr">
        <is>
          <t>M</t>
        </is>
      </c>
      <c r="D1103" s="2" t="n">
        <v>100</v>
      </c>
      <c r="E1103" s="4">
        <f>HYPERLINK("./Results/DLO\20180501_1.2.840.113619.2.311.4692435422433793178902746247251271309_303_512_512_\Osteo_Sarco_1.png","RPT")</f>
        <v/>
      </c>
      <c r="F1103" s="3" t="n">
        <v>152</v>
      </c>
      <c r="G1103" s="3" t="n">
        <v>9</v>
      </c>
      <c r="H1103" s="6" t="n">
        <v>25.03</v>
      </c>
      <c r="I1103" t="inlineStr">
        <is>
          <t>Revolution CT</t>
        </is>
      </c>
      <c r="J1103" t="inlineStr">
        <is>
          <t>ABD 2.5mm</t>
        </is>
      </c>
    </row>
    <row r="1104">
      <c r="A1104" s="2" t="n">
        <v>3737623</v>
      </c>
      <c r="B1104" s="2" t="n">
        <v>63</v>
      </c>
      <c r="C1104" s="2" t="inlineStr">
        <is>
          <t>M</t>
        </is>
      </c>
      <c r="D1104" s="2" t="n">
        <v>100</v>
      </c>
      <c r="E1104" s="4">
        <f>HYPERLINK("./Results/DLO\20180101_1.3.12.2.1107.5.1.4.54310.30000018010123073556200031451_3_512_512_\Osteo_Sarco_1.png","RPT")</f>
        <v/>
      </c>
      <c r="F1104" s="3" t="n">
        <v>147</v>
      </c>
      <c r="G1104" s="3" t="n">
        <v>9</v>
      </c>
      <c r="H1104" s="6" t="n">
        <v>23.64</v>
      </c>
      <c r="I1104" t="inlineStr">
        <is>
          <t>Sensation 64</t>
        </is>
      </c>
      <c r="J1104" t="inlineStr">
        <is>
          <t>Pre Contrast 3.0 B30f</t>
        </is>
      </c>
    </row>
    <row r="1105">
      <c r="A1105" s="2" t="n">
        <v>8476680</v>
      </c>
      <c r="B1105" s="2" t="n">
        <v>63</v>
      </c>
      <c r="C1105" s="2" t="inlineStr">
        <is>
          <t>M</t>
        </is>
      </c>
      <c r="D1105" s="2" t="n">
        <v>100</v>
      </c>
      <c r="E1105" s="4">
        <f>HYPERLINK("./Results/DLO\20190301_1.2.840.113619.2.311.119253718109012792770318254313079711595_304_512_512_\Osteo_Sarco_1.png","RPT")</f>
        <v/>
      </c>
      <c r="F1105" s="3" t="n">
        <v>144</v>
      </c>
      <c r="G1105" s="3" t="n">
        <v>10</v>
      </c>
      <c r="H1105" s="6" t="n">
        <v>18.23</v>
      </c>
      <c r="I1105" t="inlineStr">
        <is>
          <t>Revolution CT</t>
        </is>
      </c>
      <c r="J1105" t="inlineStr">
        <is>
          <t>ABD 2.5mm</t>
        </is>
      </c>
    </row>
    <row r="1106">
      <c r="A1106" s="2" t="n">
        <v>9722231</v>
      </c>
      <c r="B1106" s="2" t="n">
        <v>63</v>
      </c>
      <c r="C1106" s="2" t="inlineStr">
        <is>
          <t>M</t>
        </is>
      </c>
      <c r="D1106" s="2" t="n">
        <v>100</v>
      </c>
      <c r="E1106" s="4">
        <f>HYPERLINK("./Results/DLO\20190701_1.3.12.2.1107.5.1.4.65253.30000019070818395746600015407_6_512_512_\Osteo_Sarco_1.png","RPT")</f>
        <v/>
      </c>
      <c r="F1106" s="3" t="n">
        <v>141</v>
      </c>
      <c r="G1106" s="3" t="n">
        <v>6</v>
      </c>
      <c r="H1106" s="6" t="n">
        <v>24.21</v>
      </c>
      <c r="I1106" t="inlineStr">
        <is>
          <t>SOMATOM Definition AS</t>
        </is>
      </c>
      <c r="J1106" t="inlineStr">
        <is>
          <t>2min-Delay 3.0 B30f</t>
        </is>
      </c>
    </row>
    <row r="1107">
      <c r="A1107" s="2" t="n">
        <v>4486003</v>
      </c>
      <c r="B1107" s="2" t="n">
        <v>63</v>
      </c>
      <c r="C1107" s="2" t="inlineStr">
        <is>
          <t>M</t>
        </is>
      </c>
      <c r="D1107" s="2" t="n">
        <v>100</v>
      </c>
      <c r="E1107" s="4">
        <f>HYPERLINK("./Results/DLO\20180601_1.2.840.113619.2.416.56982516287351464992560379961711454375_303_512_512_\Osteo_Sarco_1.png","RPT")</f>
        <v/>
      </c>
      <c r="F1107" s="3" t="n">
        <v>140</v>
      </c>
      <c r="G1107" s="3" t="n">
        <v>5</v>
      </c>
      <c r="H1107" s="6" t="n">
        <v>22.21</v>
      </c>
      <c r="I1107" t="inlineStr">
        <is>
          <t>Revolution CT</t>
        </is>
      </c>
      <c r="J1107" t="inlineStr">
        <is>
          <t>ABD 2.5mm</t>
        </is>
      </c>
    </row>
    <row r="1108">
      <c r="A1108" s="2" t="n">
        <v>4929736</v>
      </c>
      <c r="B1108" s="2" t="n">
        <v>63</v>
      </c>
      <c r="C1108" s="2" t="inlineStr">
        <is>
          <t>M</t>
        </is>
      </c>
      <c r="D1108" s="2" t="n">
        <v>100</v>
      </c>
      <c r="E1108" s="4">
        <f>HYPERLINK("./Results/DLO\20181001_1.3.12.2.1107.5.1.4.54310.30000018102323155025000060428_2_512_512_\Osteo_Sarco_1.png","RPT")</f>
        <v/>
      </c>
      <c r="F1108" s="3" t="n">
        <v>138</v>
      </c>
      <c r="G1108" s="3" t="n">
        <v>8</v>
      </c>
      <c r="H1108" s="7" t="n"/>
      <c r="I1108" t="inlineStr">
        <is>
          <t>Sensation 64</t>
        </is>
      </c>
      <c r="J1108" t="inlineStr">
        <is>
          <t>Non Contrast 2.0 B30f</t>
        </is>
      </c>
    </row>
    <row r="1109">
      <c r="A1109" s="2" t="n">
        <v>6742326</v>
      </c>
      <c r="B1109" s="2" t="n">
        <v>63</v>
      </c>
      <c r="C1109" s="2" t="inlineStr">
        <is>
          <t>M</t>
        </is>
      </c>
      <c r="D1109" s="2" t="n">
        <v>100</v>
      </c>
      <c r="E1109" s="4">
        <f>HYPERLINK("./Results/DLO\20190201_1.3.46.670589.33.1.63686424446872459900001.5444630602908408236_601_512_512_\Osteo_Sarco_1.png","RPT")</f>
        <v/>
      </c>
      <c r="F1109" s="3" t="n">
        <v>137</v>
      </c>
      <c r="G1109" s="3" t="n">
        <v>6</v>
      </c>
      <c r="H1109" s="7" t="n"/>
      <c r="I1109" t="inlineStr">
        <is>
          <t>Ingenuity Core 128</t>
        </is>
      </c>
      <c r="J1109" t="inlineStr">
        <is>
          <t>Post 3mm, iDose (3)</t>
        </is>
      </c>
    </row>
    <row r="1110">
      <c r="A1110" s="2" t="n">
        <v>5882753</v>
      </c>
      <c r="B1110" s="2" t="n">
        <v>63</v>
      </c>
      <c r="C1110" s="2" t="inlineStr">
        <is>
          <t>M</t>
        </is>
      </c>
      <c r="D1110" s="2" t="n">
        <v>100</v>
      </c>
      <c r="E1110" s="4">
        <f>HYPERLINK("./Results/DLO\20190801_1.2.840.113619.2.416.43264294877871166684481518469502523774_306_512_512_\Osteo_Sarco_1.png","RPT")</f>
        <v/>
      </c>
      <c r="F1110" s="3" t="n">
        <v>137</v>
      </c>
      <c r="G1110" s="3" t="n">
        <v>9</v>
      </c>
      <c r="H1110" s="7" t="n"/>
      <c r="I1110" t="inlineStr">
        <is>
          <t>Revolution CT</t>
        </is>
      </c>
      <c r="J1110" t="inlineStr">
        <is>
          <t>2min</t>
        </is>
      </c>
    </row>
    <row r="1111">
      <c r="A1111" s="2" t="n">
        <v>6165261</v>
      </c>
      <c r="B1111" s="2" t="n">
        <v>63</v>
      </c>
      <c r="C1111" s="2" t="inlineStr">
        <is>
          <t>F</t>
        </is>
      </c>
      <c r="D1111" s="2" t="n">
        <v>100</v>
      </c>
      <c r="E1111" s="4">
        <f>HYPERLINK("./Results/DLO\20190601_1.2.840.113619.2.416.313987117975397790119785878638484380317_310_512_512_\Osteo_Sarco_1.png","RPT")</f>
        <v/>
      </c>
      <c r="F1111" s="3" t="n">
        <v>134</v>
      </c>
      <c r="G1111" s="3" t="n">
        <v>11</v>
      </c>
      <c r="H1111" s="7" t="n"/>
      <c r="I1111" t="inlineStr">
        <is>
          <t>Revolution CT</t>
        </is>
      </c>
      <c r="J1111" t="inlineStr">
        <is>
          <t>ABD</t>
        </is>
      </c>
    </row>
    <row r="1112">
      <c r="A1112" s="2" t="n">
        <v>2227174</v>
      </c>
      <c r="B1112" s="2" t="n">
        <v>63</v>
      </c>
      <c r="C1112" s="2" t="inlineStr">
        <is>
          <t>M</t>
        </is>
      </c>
      <c r="D1112" s="2" t="n">
        <v>100</v>
      </c>
      <c r="E1112" s="4">
        <f>HYPERLINK("./Results/DLO\20190601_1.3.46.670589.33.1.63697059889917086500001.4949211579004393431_201_512_512_\Osteo_Sarco_1.png","RPT")</f>
        <v/>
      </c>
      <c r="F1112" s="3" t="n">
        <v>134</v>
      </c>
      <c r="G1112" s="3" t="n">
        <v>5</v>
      </c>
      <c r="H1112" s="7" t="n"/>
      <c r="I1112" t="inlineStr">
        <is>
          <t>Ingenuity Core 128</t>
        </is>
      </c>
      <c r="J1112" t="inlineStr">
        <is>
          <t>Post 3mm, iDose (3)</t>
        </is>
      </c>
    </row>
    <row r="1113">
      <c r="A1113" s="2" t="n">
        <v>5826150</v>
      </c>
      <c r="B1113" s="2" t="n">
        <v>63</v>
      </c>
      <c r="C1113" s="2" t="inlineStr">
        <is>
          <t>M</t>
        </is>
      </c>
      <c r="D1113" s="2" t="n">
        <v>100</v>
      </c>
      <c r="E1113" s="4">
        <f>HYPERLINK("./Results/DLO\20200501_1.3.46.670589.33.1.63726169454981708200001.5580302612523345548_201_512_512_\Osteo_Sarco_1.png","RPT")</f>
        <v/>
      </c>
      <c r="F1113" s="3" t="n">
        <v>134</v>
      </c>
      <c r="G1113" s="3" t="n">
        <v>6</v>
      </c>
      <c r="H1113" s="6" t="n">
        <v>24.68</v>
      </c>
      <c r="I1113" t="inlineStr">
        <is>
          <t>Ingenuity Core 128</t>
        </is>
      </c>
      <c r="J1113" t="inlineStr">
        <is>
          <t>Post 3mm, iDose (3)</t>
        </is>
      </c>
    </row>
    <row r="1114">
      <c r="A1114" s="2" t="n">
        <v>8415113</v>
      </c>
      <c r="B1114" s="2" t="n">
        <v>63</v>
      </c>
      <c r="C1114" s="2" t="inlineStr">
        <is>
          <t>M</t>
        </is>
      </c>
      <c r="D1114" s="2" t="n">
        <v>100</v>
      </c>
      <c r="E1114" s="4">
        <f>HYPERLINK("./Results/DLO\20190101_1.3.12.2.1107.5.1.4.54310.30000019012323404510900010888_2_512_512_\Osteo_Sarco_1.png","RPT")</f>
        <v/>
      </c>
      <c r="F1114" s="3" t="n">
        <v>128</v>
      </c>
      <c r="G1114" s="3" t="n">
        <v>12</v>
      </c>
      <c r="H1114" s="7" t="n"/>
      <c r="I1114" t="inlineStr">
        <is>
          <t>Sensation 64</t>
        </is>
      </c>
      <c r="J1114" t="inlineStr">
        <is>
          <t>With Contrast 3.0 B30f</t>
        </is>
      </c>
    </row>
    <row r="1115">
      <c r="A1115" s="2" t="n">
        <v>4730535</v>
      </c>
      <c r="B1115" s="2" t="n">
        <v>63</v>
      </c>
      <c r="C1115" s="2" t="inlineStr">
        <is>
          <t>M</t>
        </is>
      </c>
      <c r="D1115" s="2" t="n">
        <v>100</v>
      </c>
      <c r="E1115" s="4">
        <f>HYPERLINK("./Results/DLO\20190201_1.2.840.113619.2.311.176828585044251693873277943922055969428_304_512_512_\Osteo_Sarco_1.png","RPT")</f>
        <v/>
      </c>
      <c r="F1115" s="3" t="n">
        <v>128</v>
      </c>
      <c r="G1115" s="3" t="n">
        <v>15</v>
      </c>
      <c r="H1115" s="7" t="n"/>
      <c r="I1115" t="inlineStr">
        <is>
          <t>Revolution CT</t>
        </is>
      </c>
      <c r="J1115" t="inlineStr">
        <is>
          <t>ABD 2.5mm</t>
        </is>
      </c>
    </row>
    <row r="1116">
      <c r="A1116" s="2" t="n">
        <v>5824236</v>
      </c>
      <c r="B1116" s="2" t="n">
        <v>63</v>
      </c>
      <c r="C1116" s="2" t="inlineStr">
        <is>
          <t>M</t>
        </is>
      </c>
      <c r="D1116" s="2" t="n">
        <v>100</v>
      </c>
      <c r="E1116" s="4">
        <f>HYPERLINK("./Results/DLO\20180701_1.3.12.2.1107.5.1.4.65253.30000018070220044347800023847_2_512_512_\Osteo_Sarco_1.png","RPT")</f>
        <v/>
      </c>
      <c r="F1116" s="3" t="n">
        <v>123</v>
      </c>
      <c r="G1116" s="3" t="n">
        <v>9</v>
      </c>
      <c r="H1116" s="6" t="n">
        <v>23.51</v>
      </c>
      <c r="I1116" t="inlineStr">
        <is>
          <t>SOMATOM Definition AS</t>
        </is>
      </c>
      <c r="J1116" t="inlineStr">
        <is>
          <t>Pre Contrast 3.0 B30f</t>
        </is>
      </c>
    </row>
    <row r="1117">
      <c r="A1117" s="2" t="n">
        <v>5250765</v>
      </c>
      <c r="B1117" s="2" t="n">
        <v>63</v>
      </c>
      <c r="C1117" s="2" t="inlineStr">
        <is>
          <t>F</t>
        </is>
      </c>
      <c r="D1117" s="2" t="n">
        <v>100</v>
      </c>
      <c r="E1117" s="4">
        <f>HYPERLINK("./Results/DLO\20200301_1.2.840.113619.2.416.95600333001732210999748279221329692132_307_512_512_\Osteo_Sarco_1.png","RPT")</f>
        <v/>
      </c>
      <c r="F1117" s="3" t="n">
        <v>112</v>
      </c>
      <c r="G1117" s="3" t="n">
        <v>20</v>
      </c>
      <c r="H1117" s="6" t="n">
        <v>25.13</v>
      </c>
      <c r="I1117" t="inlineStr">
        <is>
          <t>Revolution CT</t>
        </is>
      </c>
      <c r="J1117" t="inlineStr">
        <is>
          <t>ABD</t>
        </is>
      </c>
    </row>
    <row r="1118">
      <c r="A1118" s="2" t="n">
        <v>2383198</v>
      </c>
      <c r="B1118" s="2" t="n">
        <v>63</v>
      </c>
      <c r="C1118" s="2" t="inlineStr">
        <is>
          <t>F</t>
        </is>
      </c>
      <c r="D1118" s="2" t="n">
        <v>100</v>
      </c>
      <c r="E1118" s="4">
        <f>HYPERLINK("./Results/DLO\20180601_1.2.840.113619.2.94.485650834948.2.8902681.19285781.1_2_512_512_\Osteo_Sarco_1.png","RPT")</f>
        <v/>
      </c>
      <c r="F1118" s="3" t="n">
        <v>111</v>
      </c>
      <c r="G1118" s="3" t="n">
        <v>16</v>
      </c>
      <c r="H1118" s="7" t="n"/>
      <c r="I1118" t="inlineStr">
        <is>
          <t>Sensation 64</t>
        </is>
      </c>
      <c r="J1118" t="inlineStr">
        <is>
          <t>With Contrast 3.0 B30f</t>
        </is>
      </c>
    </row>
    <row r="1119">
      <c r="A1119" s="2" t="n">
        <v>5804076</v>
      </c>
      <c r="B1119" s="2" t="n">
        <v>63</v>
      </c>
      <c r="C1119" s="2" t="inlineStr">
        <is>
          <t>F</t>
        </is>
      </c>
      <c r="D1119" s="2" t="n">
        <v>100</v>
      </c>
      <c r="E1119" s="4">
        <f>HYPERLINK("./Results/DLO\20190101_1.2.840.113619.2.94.485650834948.2.9349613.20389800.1_2_512_512_\Osteo_Sarco_1.png","RPT")</f>
        <v/>
      </c>
      <c r="F1119" s="3" t="n">
        <v>109</v>
      </c>
      <c r="G1119" s="3" t="n">
        <v>7</v>
      </c>
      <c r="H1119" s="7" t="n"/>
      <c r="I1119" t="inlineStr">
        <is>
          <t>Sensation 64</t>
        </is>
      </c>
      <c r="J1119" t="inlineStr">
        <is>
          <t>With Contrast 3.0 B30f</t>
        </is>
      </c>
    </row>
    <row r="1120">
      <c r="A1120" s="2" t="n">
        <v>9515260</v>
      </c>
      <c r="B1120" s="2" t="n">
        <v>63</v>
      </c>
      <c r="C1120" s="2" t="inlineStr">
        <is>
          <t>F</t>
        </is>
      </c>
      <c r="D1120" s="2" t="n">
        <v>100</v>
      </c>
      <c r="E1120" s="4">
        <f>HYPERLINK("./Results/DLO\20190901_1.3.12.2.1107.5.1.4.65253.30000019091218471390500006801_2_512_512_\Osteo_Sarco_1.png","RPT")</f>
        <v/>
      </c>
      <c r="F1120" s="3" t="n">
        <v>109</v>
      </c>
      <c r="G1120" s="3" t="n">
        <v>23</v>
      </c>
      <c r="H1120" s="6" t="n">
        <v>30.22</v>
      </c>
      <c r="I1120" t="inlineStr">
        <is>
          <t>SOMATOM Definition AS</t>
        </is>
      </c>
      <c r="J1120" t="inlineStr">
        <is>
          <t>Pre Contrast 3.0 B30f</t>
        </is>
      </c>
    </row>
    <row r="1121">
      <c r="A1121" s="2" t="n">
        <v>5026088</v>
      </c>
      <c r="B1121" s="2" t="n">
        <v>63</v>
      </c>
      <c r="C1121" s="2" t="inlineStr">
        <is>
          <t>F</t>
        </is>
      </c>
      <c r="D1121" s="2" t="n">
        <v>100</v>
      </c>
      <c r="E1121" s="4">
        <f>HYPERLINK("./Results/DLO\20180701_1.3.12.2.1107.5.1.4.54310.30000018071100583907800003891_2_512_512_\Osteo_Sarco_1.png","RPT")</f>
        <v/>
      </c>
      <c r="F1121" s="3" t="n">
        <v>108</v>
      </c>
      <c r="G1121" s="3" t="n">
        <v>13</v>
      </c>
      <c r="H1121" s="6" t="n">
        <v>29.36</v>
      </c>
      <c r="I1121" t="inlineStr">
        <is>
          <t>Sensation 64</t>
        </is>
      </c>
      <c r="J1121" t="inlineStr">
        <is>
          <t>With Contrast 3.0 B30f</t>
        </is>
      </c>
    </row>
    <row r="1122">
      <c r="A1122" s="2" t="n">
        <v>2718145</v>
      </c>
      <c r="B1122" s="2" t="n">
        <v>63</v>
      </c>
      <c r="C1122" s="2" t="inlineStr">
        <is>
          <t>F</t>
        </is>
      </c>
      <c r="D1122" s="2" t="n">
        <v>100</v>
      </c>
      <c r="E1122" s="4">
        <f>HYPERLINK("./Results/DLO\20191001_1.3.12.2.1107.5.1.4.54310.30000019101321220551500067575_5_512_512_\Osteo_Sarco_1.png","RPT")</f>
        <v/>
      </c>
      <c r="F1122" s="3" t="n">
        <v>108</v>
      </c>
      <c r="G1122" s="3" t="n">
        <v>15</v>
      </c>
      <c r="H1122" s="7" t="n"/>
      <c r="I1122" t="inlineStr">
        <is>
          <t>Sensation 64</t>
        </is>
      </c>
      <c r="J1122" t="inlineStr">
        <is>
          <t>Arterial 3.0 B30f</t>
        </is>
      </c>
    </row>
    <row r="1123">
      <c r="A1123" s="2" t="n">
        <v>8309715</v>
      </c>
      <c r="B1123" s="2" t="n">
        <v>63</v>
      </c>
      <c r="C1123" s="2" t="inlineStr">
        <is>
          <t>F</t>
        </is>
      </c>
      <c r="D1123" s="2" t="n">
        <v>100</v>
      </c>
      <c r="E1123" s="4">
        <f>HYPERLINK("./Results/DLO\20180701_1.3.12.2.1107.5.1.4.54310.30000018071623140512500012197_2_512_512_\Osteo_Sarco_1.png","RPT")</f>
        <v/>
      </c>
      <c r="F1123" s="3" t="n">
        <v>106</v>
      </c>
      <c r="G1123" s="3" t="n">
        <v>10</v>
      </c>
      <c r="H1123" s="7" t="n"/>
      <c r="I1123" t="inlineStr">
        <is>
          <t>Sensation 64</t>
        </is>
      </c>
      <c r="J1123" t="inlineStr">
        <is>
          <t>With Contrast 3.0 B30f</t>
        </is>
      </c>
    </row>
    <row r="1124">
      <c r="A1124" s="2" t="n">
        <v>2574743</v>
      </c>
      <c r="B1124" s="2" t="n">
        <v>63</v>
      </c>
      <c r="C1124" s="2" t="inlineStr">
        <is>
          <t>F</t>
        </is>
      </c>
      <c r="D1124" s="2" t="n">
        <v>100</v>
      </c>
      <c r="E1124" s="4">
        <f>HYPERLINK("./Results/DLO\20181101_1.2.840.113619.2.94.485650834948.2.9186090.19982562.1_2_512_512_\Osteo_Sarco_1.png","RPT")</f>
        <v/>
      </c>
      <c r="F1124" s="3" t="n">
        <v>106</v>
      </c>
      <c r="G1124" s="3" t="n">
        <v>8</v>
      </c>
      <c r="H1124" s="7" t="n"/>
      <c r="I1124" t="inlineStr">
        <is>
          <t>Sensation 64</t>
        </is>
      </c>
      <c r="J1124" t="inlineStr">
        <is>
          <t>With Contrast 3.0 B30f</t>
        </is>
      </c>
    </row>
    <row r="1125">
      <c r="A1125" s="2" t="n">
        <v>8384371</v>
      </c>
      <c r="B1125" s="2" t="n">
        <v>63</v>
      </c>
      <c r="C1125" s="2" t="inlineStr">
        <is>
          <t>F</t>
        </is>
      </c>
      <c r="D1125" s="2" t="n">
        <v>100</v>
      </c>
      <c r="E1125" s="4">
        <f>HYPERLINK("./Results/DLO\20181101_1.3.12.2.1107.5.1.4.54310.30000018111223223626500007283_2_512_512_\Osteo_Sarco_1.png","RPT")</f>
        <v/>
      </c>
      <c r="F1125" s="3" t="n">
        <v>105</v>
      </c>
      <c r="G1125" s="3" t="n">
        <v>15</v>
      </c>
      <c r="H1125" s="7" t="n"/>
      <c r="I1125" t="inlineStr">
        <is>
          <t>Sensation 64</t>
        </is>
      </c>
      <c r="J1125" t="inlineStr">
        <is>
          <t>With Contrast 3.0 B30f</t>
        </is>
      </c>
    </row>
    <row r="1126">
      <c r="A1126" s="2" t="n">
        <v>9658097</v>
      </c>
      <c r="B1126" s="2" t="n">
        <v>63</v>
      </c>
      <c r="C1126" s="2" t="inlineStr">
        <is>
          <t>F</t>
        </is>
      </c>
      <c r="D1126" s="2" t="n">
        <v>100</v>
      </c>
      <c r="E1126" s="4">
        <f>HYPERLINK("./Results/DLO\20190701_1.2.840.113619.2.416.164133535479079767189190766821113420835_310_512_512_\Osteo_Sarco_1.png","RPT")</f>
        <v/>
      </c>
      <c r="F1126" s="3" t="n">
        <v>102</v>
      </c>
      <c r="G1126" s="3" t="n">
        <v>9</v>
      </c>
      <c r="H1126" s="7" t="n"/>
      <c r="I1126" t="inlineStr">
        <is>
          <t>Revolution CT</t>
        </is>
      </c>
      <c r="J1126" t="inlineStr">
        <is>
          <t>ABD</t>
        </is>
      </c>
    </row>
    <row r="1127">
      <c r="A1127" s="2" t="n">
        <v>9005823</v>
      </c>
      <c r="B1127" s="2" t="n">
        <v>63</v>
      </c>
      <c r="C1127" s="2" t="inlineStr">
        <is>
          <t>F</t>
        </is>
      </c>
      <c r="D1127" s="2" t="n">
        <v>100</v>
      </c>
      <c r="E1127" s="4">
        <f>HYPERLINK("./Results/DLO\20180401_1.3.12.2.1107.5.1.4.65253.30000018042120041257300057848_5_512_512_\Osteo_Sarco_1.png","RPT")</f>
        <v/>
      </c>
      <c r="F1127" s="3" t="n">
        <v>101</v>
      </c>
      <c r="G1127" s="3" t="n">
        <v>9</v>
      </c>
      <c r="H1127" s="6" t="n">
        <v>27.39</v>
      </c>
      <c r="I1127" t="inlineStr">
        <is>
          <t>SOMATOM Definition AS</t>
        </is>
      </c>
      <c r="J1127" t="inlineStr">
        <is>
          <t>Arterial Phase 3.0 B30f</t>
        </is>
      </c>
    </row>
    <row r="1128">
      <c r="A1128" s="2" t="n">
        <v>5019783</v>
      </c>
      <c r="B1128" s="2" t="n">
        <v>63</v>
      </c>
      <c r="C1128" s="2" t="inlineStr">
        <is>
          <t>F</t>
        </is>
      </c>
      <c r="D1128" s="2" t="n">
        <v>100</v>
      </c>
      <c r="E1128" s="4">
        <f>HYPERLINK("./Results/DLO\20180101_1.2.840.113619.2.416.140214452324076969287780194021563096382_2_512_512_\Osteo_Sarco_1.png","RPT")</f>
        <v/>
      </c>
      <c r="F1128" s="3" t="n">
        <v>100</v>
      </c>
      <c r="G1128" s="3" t="n">
        <v>9</v>
      </c>
      <c r="H1128" s="7" t="n"/>
      <c r="I1128" t="inlineStr">
        <is>
          <t>Revolution CT</t>
        </is>
      </c>
      <c r="J1128" t="inlineStr">
        <is>
          <t>POST 2.5mm</t>
        </is>
      </c>
    </row>
    <row r="1129">
      <c r="A1129" s="2" t="n">
        <v>3788953</v>
      </c>
      <c r="B1129" s="2" t="n">
        <v>63</v>
      </c>
      <c r="C1129" s="2" t="inlineStr">
        <is>
          <t>F</t>
        </is>
      </c>
      <c r="D1129" s="2" t="n">
        <v>100</v>
      </c>
      <c r="E1129" s="4">
        <f>HYPERLINK("./Results/DLO\20181201_1.3.12.2.1107.5.1.4.54310.30000018121823264617100000001_3_512_512_\Osteo_Sarco_1.png","RPT")</f>
        <v/>
      </c>
      <c r="F1129" s="3" t="n">
        <v>100</v>
      </c>
      <c r="G1129" s="3" t="n">
        <v>7</v>
      </c>
      <c r="H1129" s="7" t="n"/>
      <c r="I1129" t="inlineStr">
        <is>
          <t>Sensation 64</t>
        </is>
      </c>
      <c r="J1129" t="inlineStr">
        <is>
          <t>Pre Contrast 3.0 B30f</t>
        </is>
      </c>
    </row>
    <row r="1130">
      <c r="A1130" s="2" t="n">
        <v>3967371</v>
      </c>
      <c r="B1130" s="2" t="n">
        <v>64</v>
      </c>
      <c r="C1130" s="2" t="inlineStr">
        <is>
          <t>F</t>
        </is>
      </c>
      <c r="D1130" s="2" t="n">
        <v>100</v>
      </c>
      <c r="E1130" s="4">
        <f>HYPERLINK("./Results/DLO\20190201_1.3.12.2.1107.5.1.4.54310.30000019022723310850000026407_3_512_512_\Osteo_Sarco_1.png","RPT")</f>
        <v/>
      </c>
      <c r="F1130" s="3" t="n">
        <v>95</v>
      </c>
      <c r="G1130" s="3" t="n">
        <v>9</v>
      </c>
      <c r="H1130" s="7" t="n"/>
      <c r="I1130" t="inlineStr">
        <is>
          <t>Sensation 64</t>
        </is>
      </c>
      <c r="J1130" t="inlineStr">
        <is>
          <t>Pre Contrast 3.0 B30f</t>
        </is>
      </c>
    </row>
    <row r="1131">
      <c r="A1131" s="2" t="n">
        <v>6738544</v>
      </c>
      <c r="B1131" s="2" t="n">
        <v>64</v>
      </c>
      <c r="C1131" s="2" t="inlineStr">
        <is>
          <t>F</t>
        </is>
      </c>
      <c r="D1131" s="2" t="n">
        <v>100</v>
      </c>
      <c r="E1131" s="4">
        <f>HYPERLINK("./Results/DLO\20180501_1.3.12.2.1107.5.1.4.54310.30000018050123303617100006818_2_512_512_\Osteo_Sarco_1.png","RPT")</f>
        <v/>
      </c>
      <c r="F1131" s="3" t="n">
        <v>88</v>
      </c>
      <c r="G1131" s="3" t="n">
        <v>8</v>
      </c>
      <c r="H1131" s="7" t="n"/>
      <c r="I1131" t="inlineStr">
        <is>
          <t>Sensation 64</t>
        </is>
      </c>
      <c r="J1131" t="inlineStr">
        <is>
          <t>With Contrast 3.0 B30f</t>
        </is>
      </c>
    </row>
    <row r="1132">
      <c r="A1132" s="2" t="n">
        <v>5685204</v>
      </c>
      <c r="B1132" s="2" t="n">
        <v>64</v>
      </c>
      <c r="C1132" s="2" t="inlineStr">
        <is>
          <t>F</t>
        </is>
      </c>
      <c r="D1132" s="2" t="n">
        <v>100</v>
      </c>
      <c r="E1132" s="4">
        <f>HYPERLINK("./Results/DLO\20181001_1.3.46.670589.33.1.63674770262911133100001.4618877171822503796_601_512_512_\Osteo_Sarco_1.png","RPT")</f>
        <v/>
      </c>
      <c r="F1132" s="3" t="n">
        <v>88</v>
      </c>
      <c r="G1132" s="3" t="n">
        <v>5</v>
      </c>
      <c r="H1132" s="7" t="n"/>
      <c r="I1132" t="inlineStr">
        <is>
          <t>Ingenuity Core 128</t>
        </is>
      </c>
      <c r="J1132" t="inlineStr">
        <is>
          <t>Post 100/236 i3, iDose (3)</t>
        </is>
      </c>
    </row>
    <row r="1133">
      <c r="A1133" s="2" t="n">
        <v>8919762</v>
      </c>
      <c r="B1133" s="2" t="n">
        <v>64</v>
      </c>
      <c r="C1133" s="2" t="inlineStr">
        <is>
          <t>F</t>
        </is>
      </c>
      <c r="D1133" s="2" t="n">
        <v>100</v>
      </c>
      <c r="E1133" s="4">
        <f>HYPERLINK("./Results/DLO\20200501_1.3.12.2.1107.5.1.4.54310.30000020052121302584300049864_2_512_512_\Osteo_Sarco_1.png","RPT")</f>
        <v/>
      </c>
      <c r="F1133" s="3" t="n">
        <v>83</v>
      </c>
      <c r="G1133" s="3" t="n">
        <v>8</v>
      </c>
      <c r="H1133" s="7" t="n"/>
      <c r="I1133" t="inlineStr">
        <is>
          <t>Sensation 64</t>
        </is>
      </c>
      <c r="J1133" t="inlineStr">
        <is>
          <t>With Contrast 3.0 B30f</t>
        </is>
      </c>
    </row>
    <row r="1134">
      <c r="A1134" s="2" t="n">
        <v>6737009</v>
      </c>
      <c r="B1134" s="2" t="n">
        <v>64</v>
      </c>
      <c r="C1134" s="2" t="inlineStr">
        <is>
          <t>F</t>
        </is>
      </c>
      <c r="D1134" s="2" t="n">
        <v>100</v>
      </c>
      <c r="E1134" s="4">
        <f>HYPERLINK("./Results/DLO\20180401_1.2.840.113619.2.311.215708363854978231225662313191036508078_305_512_512_\Osteo_Sarco_1.png","RPT")</f>
        <v/>
      </c>
      <c r="F1134" s="3" t="n">
        <v>78</v>
      </c>
      <c r="G1134" s="3" t="n">
        <v>10</v>
      </c>
      <c r="H1134" s="6" t="n">
        <v>24.86</v>
      </c>
      <c r="I1134" t="inlineStr">
        <is>
          <t>Revolution CT</t>
        </is>
      </c>
      <c r="J1134" t="inlineStr">
        <is>
          <t>ABD 2.5mm</t>
        </is>
      </c>
    </row>
    <row r="1135">
      <c r="A1135" s="2" t="n">
        <v>9863353</v>
      </c>
      <c r="B1135" s="2" t="n">
        <v>64</v>
      </c>
      <c r="C1135" s="2" t="inlineStr">
        <is>
          <t>M</t>
        </is>
      </c>
      <c r="D1135" s="2" t="n">
        <v>100</v>
      </c>
      <c r="E1135" s="4">
        <f>HYPERLINK("./Results/DLO\20191201_1.2.410.100011.172.24.16.220.6371234156833306522.2_2_512_512_\Osteo_Sarco_1.png","RPT")</f>
        <v/>
      </c>
      <c r="F1135" s="3" t="n">
        <v>178</v>
      </c>
      <c r="G1135" s="3" t="n">
        <v>10</v>
      </c>
      <c r="H1135" s="6" t="n">
        <v>28.48</v>
      </c>
      <c r="I1135" t="inlineStr">
        <is>
          <t>IQon - Spectral CT</t>
        </is>
      </c>
      <c r="J1135" t="inlineStr">
        <is>
          <t>Pre 3.0 ax BO, iDose (1)</t>
        </is>
      </c>
    </row>
    <row r="1136">
      <c r="A1136" s="2" t="n">
        <v>3137499</v>
      </c>
      <c r="B1136" s="2" t="n">
        <v>64</v>
      </c>
      <c r="C1136" s="2" t="inlineStr">
        <is>
          <t>M</t>
        </is>
      </c>
      <c r="D1136" s="2" t="n">
        <v>100</v>
      </c>
      <c r="E1136" s="4">
        <f>HYPERLINK("./Results/DLO\20200401_1.3.12.2.1107.5.1.4.54310.30000020040622271903100049786_5_512_512_\Osteo_Sarco_1.png","RPT")</f>
        <v/>
      </c>
      <c r="F1136" s="3" t="n">
        <v>178</v>
      </c>
      <c r="G1136" s="3" t="n">
        <v>17</v>
      </c>
      <c r="H1136" s="6" t="n">
        <v>26.86</v>
      </c>
      <c r="I1136" t="inlineStr">
        <is>
          <t>Sensation 64</t>
        </is>
      </c>
      <c r="J1136" t="inlineStr">
        <is>
          <t>Arterial 3.0 B30f</t>
        </is>
      </c>
    </row>
    <row r="1137">
      <c r="A1137" s="2" t="n">
        <v>8382866</v>
      </c>
      <c r="B1137" s="2" t="n">
        <v>64</v>
      </c>
      <c r="C1137" s="2" t="inlineStr">
        <is>
          <t>M</t>
        </is>
      </c>
      <c r="D1137" s="2" t="n">
        <v>100</v>
      </c>
      <c r="E1137" s="4">
        <f>HYPERLINK("./Results/DLO\20180301_1.2.840.113619.2.416.64020552591007960127964572396378503121_304_512_512_\Osteo_Sarco_1.png","RPT")</f>
        <v/>
      </c>
      <c r="F1137" s="3" t="n">
        <v>177</v>
      </c>
      <c r="G1137" s="3" t="n">
        <v>11</v>
      </c>
      <c r="H1137" s="6" t="n">
        <v>29.16</v>
      </c>
      <c r="I1137" t="inlineStr">
        <is>
          <t>Revolution CT</t>
        </is>
      </c>
      <c r="J1137" t="inlineStr">
        <is>
          <t>ABD 2.5mm</t>
        </is>
      </c>
    </row>
    <row r="1138">
      <c r="A1138" s="2" t="n">
        <v>4048134</v>
      </c>
      <c r="B1138" s="2" t="n">
        <v>64</v>
      </c>
      <c r="C1138" s="2" t="inlineStr">
        <is>
          <t>M</t>
        </is>
      </c>
      <c r="D1138" s="2" t="n">
        <v>100</v>
      </c>
      <c r="E1138" s="4">
        <f>HYPERLINK("./Results/DLO\20180501_1.3.12.2.1107.5.1.4.54310.30000018051023125081200082643_3_512_512_\Osteo_Sarco_1.png","RPT")</f>
        <v/>
      </c>
      <c r="F1138" s="3" t="n">
        <v>177</v>
      </c>
      <c r="G1138" s="3" t="n">
        <v>14</v>
      </c>
      <c r="H1138" s="7" t="n"/>
      <c r="I1138" t="inlineStr">
        <is>
          <t>Sensation 64</t>
        </is>
      </c>
      <c r="J1138" t="inlineStr">
        <is>
          <t>Pre Contrast 3.0 B30f</t>
        </is>
      </c>
    </row>
    <row r="1139">
      <c r="A1139" s="2" t="n">
        <v>6695154</v>
      </c>
      <c r="B1139" s="2" t="n">
        <v>64</v>
      </c>
      <c r="C1139" s="2" t="inlineStr">
        <is>
          <t>M</t>
        </is>
      </c>
      <c r="D1139" s="2" t="n">
        <v>100</v>
      </c>
      <c r="E1139" s="4">
        <f>HYPERLINK("./Results/DLO\20190601_1.3.12.2.1107.5.1.4.54310.30000019060422065695300019629_2_512_512_\Osteo_Sarco_1.png","RPT")</f>
        <v/>
      </c>
      <c r="F1139" s="3" t="n">
        <v>176</v>
      </c>
      <c r="G1139" s="3" t="n">
        <v>11</v>
      </c>
      <c r="H1139" s="6" t="n">
        <v>30.77</v>
      </c>
      <c r="I1139" t="inlineStr">
        <is>
          <t>Sensation 64</t>
        </is>
      </c>
      <c r="J1139" t="inlineStr">
        <is>
          <t>ABD Pre 3.0 B30f</t>
        </is>
      </c>
    </row>
    <row r="1140">
      <c r="A1140" s="2" t="n">
        <v>4023338</v>
      </c>
      <c r="B1140" s="2" t="n">
        <v>64</v>
      </c>
      <c r="C1140" s="2" t="inlineStr">
        <is>
          <t>M</t>
        </is>
      </c>
      <c r="D1140" s="2" t="n">
        <v>100</v>
      </c>
      <c r="E1140" s="4">
        <f>HYPERLINK("./Results/DLO\20180201_1.2.840.113619.2.416.210469087082205484342046043571988462010_2_512_512_\Osteo_Sarco_1.png","RPT")</f>
        <v/>
      </c>
      <c r="F1140" s="3" t="n">
        <v>168</v>
      </c>
      <c r="G1140" s="3" t="n">
        <v>11</v>
      </c>
      <c r="H1140" s="6" t="n">
        <v>25.21</v>
      </c>
      <c r="I1140" t="inlineStr">
        <is>
          <t>Revolution CT</t>
        </is>
      </c>
      <c r="J1140" t="inlineStr">
        <is>
          <t>Pre</t>
        </is>
      </c>
    </row>
    <row r="1141">
      <c r="A1141" s="2" t="n">
        <v>6737751</v>
      </c>
      <c r="B1141" s="2" t="n">
        <v>64</v>
      </c>
      <c r="C1141" s="2" t="inlineStr">
        <is>
          <t>M</t>
        </is>
      </c>
      <c r="D1141" s="2" t="n">
        <v>100</v>
      </c>
      <c r="E1141" s="4">
        <f>HYPERLINK("./Results/DLO\20180201_1.3.46.670589.33.1.63654805692594754700001.4663741958341964911_201_512_512_\Osteo_Sarco_1.png","RPT")</f>
        <v/>
      </c>
      <c r="F1141" s="3" t="n">
        <v>168</v>
      </c>
      <c r="G1141" s="3" t="n">
        <v>10</v>
      </c>
      <c r="H1141" s="7" t="n"/>
      <c r="I1141" t="inlineStr">
        <is>
          <t>Ingenuity Core 128</t>
        </is>
      </c>
      <c r="J1141" t="inlineStr">
        <is>
          <t>Post 100/236 i3, iDose (3)</t>
        </is>
      </c>
    </row>
    <row r="1142">
      <c r="A1142" s="2" t="n">
        <v>617712</v>
      </c>
      <c r="B1142" s="2" t="n">
        <v>64</v>
      </c>
      <c r="C1142" s="2" t="inlineStr">
        <is>
          <t>M</t>
        </is>
      </c>
      <c r="D1142" s="2" t="n">
        <v>100</v>
      </c>
      <c r="E1142" s="4">
        <f>HYPERLINK("./Results/DLO\20180101_1.3.12.2.1107.5.1.4.65253.30000018011021170500300005697_2_512_512_\Osteo_Sarco_1.png","RPT")</f>
        <v/>
      </c>
      <c r="F1142" s="3" t="n">
        <v>166</v>
      </c>
      <c r="G1142" s="3" t="n">
        <v>5</v>
      </c>
      <c r="H1142" s="7" t="n"/>
      <c r="I1142" t="inlineStr">
        <is>
          <t>SOMATOM Definition AS</t>
        </is>
      </c>
      <c r="J1142" t="inlineStr">
        <is>
          <t>W/O Contrast 2.0 B40f</t>
        </is>
      </c>
    </row>
    <row r="1143">
      <c r="A1143" s="2" t="n">
        <v>9577058</v>
      </c>
      <c r="B1143" s="2" t="n">
        <v>64</v>
      </c>
      <c r="C1143" s="2" t="inlineStr">
        <is>
          <t>M</t>
        </is>
      </c>
      <c r="D1143" s="2" t="n">
        <v>100</v>
      </c>
      <c r="E1143" s="4">
        <f>HYPERLINK("./Results/DLO\20190301_1.2.840.113619.2.311.244873303197898923209191553278041194559_304_512_512_\Osteo_Sarco_1.png","RPT")</f>
        <v/>
      </c>
      <c r="F1143" s="3" t="n">
        <v>162</v>
      </c>
      <c r="G1143" s="3" t="n">
        <v>19</v>
      </c>
      <c r="H1143" s="7" t="n"/>
      <c r="I1143" t="inlineStr">
        <is>
          <t>Revolution CT</t>
        </is>
      </c>
      <c r="J1143" t="inlineStr">
        <is>
          <t>ABD 2.5mm</t>
        </is>
      </c>
    </row>
    <row r="1144">
      <c r="A1144" s="2" t="n">
        <v>2618993</v>
      </c>
      <c r="B1144" s="2" t="n">
        <v>64</v>
      </c>
      <c r="C1144" s="2" t="inlineStr">
        <is>
          <t>M</t>
        </is>
      </c>
      <c r="D1144" s="2" t="n">
        <v>100</v>
      </c>
      <c r="E1144" s="4">
        <f>HYPERLINK("./Results/DLO\20180701_1.3.46.670589.33.1.63666464064841544300001.5605466430119751617_201_512_512_\Osteo_Sarco_1.png","RPT")</f>
        <v/>
      </c>
      <c r="F1144" s="3" t="n">
        <v>160</v>
      </c>
      <c r="G1144" s="3" t="n">
        <v>8</v>
      </c>
      <c r="H1144" s="7" t="n"/>
      <c r="I1144" t="inlineStr">
        <is>
          <t>Ingenuity Core 128</t>
        </is>
      </c>
      <c r="J1144" t="inlineStr">
        <is>
          <t>Pre 100/107 i4, iDose (4)</t>
        </is>
      </c>
    </row>
    <row r="1145">
      <c r="A1145" s="2" t="n">
        <v>8418711</v>
      </c>
      <c r="B1145" s="2" t="n">
        <v>64</v>
      </c>
      <c r="C1145" s="2" t="inlineStr">
        <is>
          <t>M</t>
        </is>
      </c>
      <c r="D1145" s="2" t="n">
        <v>100</v>
      </c>
      <c r="E1145" s="4">
        <f>HYPERLINK("./Results/DLO\20190501_1.2.840.113619.2.416.141609215373217003195097922872904013625_310_512_512_\Osteo_Sarco_1.png","RPT")</f>
        <v/>
      </c>
      <c r="F1145" s="3" t="n">
        <v>159</v>
      </c>
      <c r="G1145" s="3" t="n">
        <v>11</v>
      </c>
      <c r="H1145" s="6" t="n">
        <v>24.12</v>
      </c>
      <c r="I1145" t="inlineStr">
        <is>
          <t>Revolution CT</t>
        </is>
      </c>
      <c r="J1145" t="inlineStr">
        <is>
          <t>ABD</t>
        </is>
      </c>
    </row>
    <row r="1146">
      <c r="A1146" s="2" t="n">
        <v>9784473</v>
      </c>
      <c r="B1146" s="2" t="n">
        <v>64</v>
      </c>
      <c r="C1146" s="2" t="inlineStr">
        <is>
          <t>M</t>
        </is>
      </c>
      <c r="D1146" s="2" t="n">
        <v>100</v>
      </c>
      <c r="E1146" s="4">
        <f>HYPERLINK("./Results/DLO\20191001_1.3.46.670589.33.1.63705775147077758300001.4758655725568748592_201_512_512_\Osteo_Sarco_1.png","RPT")</f>
        <v/>
      </c>
      <c r="F1146" s="3" t="n">
        <v>150</v>
      </c>
      <c r="G1146" s="3" t="n">
        <v>8</v>
      </c>
      <c r="H1146" s="6" t="n">
        <v>24.66</v>
      </c>
      <c r="I1146" t="inlineStr">
        <is>
          <t>Ingenuity Core 128</t>
        </is>
      </c>
      <c r="J1146" t="inlineStr">
        <is>
          <t>Post 3mm, iDose (3)</t>
        </is>
      </c>
    </row>
    <row r="1147">
      <c r="A1147" s="2" t="n">
        <v>4681397</v>
      </c>
      <c r="B1147" s="2" t="n">
        <v>64</v>
      </c>
      <c r="C1147" s="2" t="inlineStr">
        <is>
          <t>M</t>
        </is>
      </c>
      <c r="D1147" s="2" t="n">
        <v>100</v>
      </c>
      <c r="E1147" s="4">
        <f>HYPERLINK("./Results/DLO\20190701_1.3.12.2.1107.5.1.4.54310.30000019070222121175000003609_3_512_512_\Osteo_Sarco_1.png","RPT")</f>
        <v/>
      </c>
      <c r="F1147" s="3" t="n">
        <v>148</v>
      </c>
      <c r="G1147" s="3" t="n">
        <v>9</v>
      </c>
      <c r="H1147" s="7" t="n"/>
      <c r="I1147" t="inlineStr">
        <is>
          <t>Sensation 64</t>
        </is>
      </c>
      <c r="J1147" t="inlineStr">
        <is>
          <t>Pre Contrast 3.0 B30f</t>
        </is>
      </c>
    </row>
    <row r="1148">
      <c r="A1148" s="2" t="n">
        <v>9683040</v>
      </c>
      <c r="B1148" s="2" t="n">
        <v>64</v>
      </c>
      <c r="C1148" s="2" t="inlineStr">
        <is>
          <t>M</t>
        </is>
      </c>
      <c r="D1148" s="2" t="n">
        <v>100</v>
      </c>
      <c r="E1148" s="4">
        <f>HYPERLINK("./Results/DLO\20190901_1.3.12.2.1107.5.1.4.54310.30000019090421365968700056809_9_512_512_\Osteo_Sarco_1.png","RPT")</f>
        <v/>
      </c>
      <c r="F1148" s="3" t="n">
        <v>146</v>
      </c>
      <c r="G1148" s="3" t="n">
        <v>6</v>
      </c>
      <c r="H1148" s="7" t="n"/>
      <c r="I1148" t="inlineStr">
        <is>
          <t>Sensation 64</t>
        </is>
      </c>
      <c r="J1148" t="inlineStr">
        <is>
          <t>Delay 3.0 B30f</t>
        </is>
      </c>
    </row>
    <row r="1149">
      <c r="A1149" s="2" t="n">
        <v>3036502</v>
      </c>
      <c r="B1149" s="2" t="n">
        <v>64</v>
      </c>
      <c r="C1149" s="2" t="inlineStr">
        <is>
          <t>M</t>
        </is>
      </c>
      <c r="D1149" s="2" t="n">
        <v>100</v>
      </c>
      <c r="E1149" s="4">
        <f>HYPERLINK("./Results/DLO\20180401_1.3.12.2.1107.5.1.4.54310.30000018042923092775000015859_3_512_512_\Osteo_Sarco_1.png","RPT")</f>
        <v/>
      </c>
      <c r="F1149" s="3" t="n">
        <v>145</v>
      </c>
      <c r="G1149" s="3" t="n">
        <v>5</v>
      </c>
      <c r="H1149" s="7" t="n"/>
      <c r="I1149" t="inlineStr">
        <is>
          <t>Sensation 64</t>
        </is>
      </c>
      <c r="J1149" t="inlineStr">
        <is>
          <t>With Contrast 3.0 B30f</t>
        </is>
      </c>
    </row>
    <row r="1150">
      <c r="A1150" s="2" t="n">
        <v>6060306</v>
      </c>
      <c r="B1150" s="2" t="n">
        <v>64</v>
      </c>
      <c r="C1150" s="2" t="inlineStr">
        <is>
          <t>M</t>
        </is>
      </c>
      <c r="D1150" s="2" t="n">
        <v>100</v>
      </c>
      <c r="E1150" s="4">
        <f>HYPERLINK("./Results/DLO\20180901_1.3.46.670589.33.1.63672774557470286700001.5203709612606107985_201_512_512_\Osteo_Sarco_1.png","RPT")</f>
        <v/>
      </c>
      <c r="F1150" s="3" t="n">
        <v>144</v>
      </c>
      <c r="G1150" s="3" t="n">
        <v>9</v>
      </c>
      <c r="H1150" s="7" t="n"/>
      <c r="I1150" t="inlineStr">
        <is>
          <t>Ingenuity Core 128</t>
        </is>
      </c>
      <c r="J1150" t="inlineStr">
        <is>
          <t>Post 100/236 i3, iDose (3)</t>
        </is>
      </c>
    </row>
    <row r="1151">
      <c r="A1151" s="2" t="n">
        <v>8801204</v>
      </c>
      <c r="B1151" s="2" t="n">
        <v>64</v>
      </c>
      <c r="C1151" s="2" t="inlineStr">
        <is>
          <t>M</t>
        </is>
      </c>
      <c r="D1151" s="2" t="n">
        <v>100</v>
      </c>
      <c r="E1151" s="4">
        <f>HYPERLINK("./Results/DLO\20180201_1.3.12.2.1107.5.1.4.54310.30000018020623090128100000000_2_512_512_\Osteo_Sarco_1.png","RPT")</f>
        <v/>
      </c>
      <c r="F1151" s="3" t="n">
        <v>143</v>
      </c>
      <c r="G1151" s="3" t="n">
        <v>9</v>
      </c>
      <c r="H1151" s="7" t="n"/>
      <c r="I1151" t="inlineStr">
        <is>
          <t>Sensation 64</t>
        </is>
      </c>
      <c r="J1151" t="inlineStr">
        <is>
          <t>With Contrast 3.0 B30f</t>
        </is>
      </c>
    </row>
    <row r="1152">
      <c r="A1152" s="2" t="n">
        <v>8574251</v>
      </c>
      <c r="B1152" s="2" t="n">
        <v>64</v>
      </c>
      <c r="C1152" s="2" t="inlineStr">
        <is>
          <t>F</t>
        </is>
      </c>
      <c r="D1152" s="2" t="n">
        <v>100</v>
      </c>
      <c r="E1152" s="4">
        <f>HYPERLINK("./Results/DLO\20180401_1.2.840.113619.2.311.130070325314127139215394222537855775776_304_512_512_\Osteo_Sarco_1.png","RPT")</f>
        <v/>
      </c>
      <c r="F1152" s="3" t="n">
        <v>128</v>
      </c>
      <c r="G1152" s="3" t="n">
        <v>12</v>
      </c>
      <c r="H1152" s="7" t="n"/>
      <c r="I1152" t="inlineStr">
        <is>
          <t>Revolution CT</t>
        </is>
      </c>
      <c r="J1152" t="inlineStr">
        <is>
          <t>ABD 2.5mm</t>
        </is>
      </c>
    </row>
    <row r="1153">
      <c r="A1153" s="2" t="n">
        <v>2537999</v>
      </c>
      <c r="B1153" s="2" t="n">
        <v>64</v>
      </c>
      <c r="C1153" s="2" t="inlineStr">
        <is>
          <t>M</t>
        </is>
      </c>
      <c r="D1153" s="2" t="n">
        <v>100</v>
      </c>
      <c r="E1153" s="4">
        <f>HYPERLINK("./Results/DLO\20190101_1.3.46.670589.33.1.63683313991511893600001.5681921398382606398_201_512_512_\Osteo_Sarco_1.png","RPT")</f>
        <v/>
      </c>
      <c r="F1153" s="3" t="n">
        <v>128</v>
      </c>
      <c r="G1153" s="3" t="n">
        <v>7</v>
      </c>
      <c r="H1153" s="7" t="n"/>
      <c r="I1153" t="inlineStr">
        <is>
          <t>Ingenuity Core 128</t>
        </is>
      </c>
      <c r="J1153" t="inlineStr">
        <is>
          <t>Pre 3mm, iDose (4)</t>
        </is>
      </c>
    </row>
    <row r="1154">
      <c r="A1154" s="2" t="n">
        <v>6210718</v>
      </c>
      <c r="B1154" s="2" t="n">
        <v>64</v>
      </c>
      <c r="C1154" s="2" t="inlineStr">
        <is>
          <t>F</t>
        </is>
      </c>
      <c r="D1154" s="2" t="n">
        <v>100</v>
      </c>
      <c r="E1154" s="4">
        <f>HYPERLINK("./Results/DLO\20180301_1.3.12.2.1107.5.1.4.54310.30000018032523091828100014693_2_512_512_\Osteo_Sarco_1.png","RPT")</f>
        <v/>
      </c>
      <c r="F1154" s="3" t="n">
        <v>127</v>
      </c>
      <c r="G1154" s="3" t="n">
        <v>19</v>
      </c>
      <c r="H1154" s="6" t="n">
        <v>30.44</v>
      </c>
      <c r="I1154" t="inlineStr">
        <is>
          <t>Sensation 64</t>
        </is>
      </c>
      <c r="J1154" t="inlineStr">
        <is>
          <t>Pre Contrast 3.0 B30f</t>
        </is>
      </c>
    </row>
    <row r="1155">
      <c r="A1155" s="2" t="n">
        <v>9549908</v>
      </c>
      <c r="B1155" s="2" t="n">
        <v>64</v>
      </c>
      <c r="C1155" s="2" t="inlineStr">
        <is>
          <t>M</t>
        </is>
      </c>
      <c r="D1155" s="2" t="n">
        <v>100</v>
      </c>
      <c r="E1155" s="4">
        <f>HYPERLINK("./Results/DLO\20190501_1.3.12.2.1107.5.1.4.65253.30000019051319530377800248775_3_512_512_\Osteo_Sarco_1.png","RPT")</f>
        <v/>
      </c>
      <c r="F1155" s="3" t="n">
        <v>125</v>
      </c>
      <c r="G1155" s="3" t="n">
        <v>7</v>
      </c>
      <c r="H1155" s="7" t="n"/>
      <c r="I1155" t="inlineStr">
        <is>
          <t>SOMATOM Definition AS</t>
        </is>
      </c>
      <c r="J1155" t="inlineStr">
        <is>
          <t>Post Contrast 3.0 B30f</t>
        </is>
      </c>
    </row>
    <row r="1156">
      <c r="A1156" s="2" t="n">
        <v>5027448</v>
      </c>
      <c r="B1156" s="2" t="n">
        <v>64</v>
      </c>
      <c r="C1156" s="2" t="inlineStr">
        <is>
          <t>F</t>
        </is>
      </c>
      <c r="D1156" s="2" t="n">
        <v>100</v>
      </c>
      <c r="E1156" s="4">
        <f>HYPERLINK("./Results/DLO\20181101_1.2.840.113619.2.311.47898682616850284632299010045638110481_304_512_512_\Osteo_Sarco_1.png","RPT")</f>
        <v/>
      </c>
      <c r="F1156" s="3" t="n">
        <v>123</v>
      </c>
      <c r="G1156" s="3" t="n">
        <v>13</v>
      </c>
      <c r="H1156" s="6" t="n">
        <v>23.94</v>
      </c>
      <c r="I1156" t="inlineStr">
        <is>
          <t>Revolution CT</t>
        </is>
      </c>
      <c r="J1156" t="inlineStr">
        <is>
          <t>ABD 2.5mm</t>
        </is>
      </c>
    </row>
    <row r="1157">
      <c r="A1157" s="2" t="n">
        <v>9817176</v>
      </c>
      <c r="B1157" s="2" t="n">
        <v>64</v>
      </c>
      <c r="C1157" s="2" t="inlineStr">
        <is>
          <t>F</t>
        </is>
      </c>
      <c r="D1157" s="2" t="n">
        <v>100</v>
      </c>
      <c r="E1157" s="4">
        <f>HYPERLINK("./Results/DLO\20191001_1.3.12.2.1107.5.1.4.65253.30000019102020073045200105136_4_512_512_\Osteo_Sarco_1.png","RPT")</f>
        <v/>
      </c>
      <c r="F1157" s="3" t="n">
        <v>121</v>
      </c>
      <c r="G1157" s="3" t="n">
        <v>9</v>
      </c>
      <c r="H1157" s="7" t="n"/>
      <c r="I1157" t="inlineStr">
        <is>
          <t>SOMATOM Definition AS</t>
        </is>
      </c>
      <c r="J1157" t="inlineStr">
        <is>
          <t>Arterial Phase 3.0 B30f</t>
        </is>
      </c>
    </row>
    <row r="1158">
      <c r="A1158" s="2" t="n">
        <v>3557507</v>
      </c>
      <c r="B1158" s="2" t="n">
        <v>64</v>
      </c>
      <c r="C1158" s="2" t="inlineStr">
        <is>
          <t>F</t>
        </is>
      </c>
      <c r="D1158" s="2" t="n">
        <v>100</v>
      </c>
      <c r="E1158" s="4">
        <f>HYPERLINK("./Results/DLO\20180101_1.2.840.113619.2.416.167818081927203375287689596582164659789_2_512_512_\Osteo_Sarco_1.png","RPT")</f>
        <v/>
      </c>
      <c r="F1158" s="3" t="n">
        <v>119</v>
      </c>
      <c r="G1158" s="3" t="n">
        <v>7</v>
      </c>
      <c r="H1158" s="6" t="n">
        <v>24.23</v>
      </c>
      <c r="I1158" t="inlineStr">
        <is>
          <t>Revolution CT</t>
        </is>
      </c>
      <c r="J1158" t="inlineStr">
        <is>
          <t>POST 2.5mm</t>
        </is>
      </c>
    </row>
    <row r="1159">
      <c r="A1159" s="2" t="n">
        <v>5634011</v>
      </c>
      <c r="B1159" s="2" t="n">
        <v>64</v>
      </c>
      <c r="C1159" s="2" t="inlineStr">
        <is>
          <t>F</t>
        </is>
      </c>
      <c r="D1159" s="2" t="n">
        <v>100</v>
      </c>
      <c r="E1159" s="4">
        <f>HYPERLINK("./Results/DLO\20200401_1.2.840.113619.2.416.244831784358837831770421943556086280645_307_512_512_\Osteo_Sarco_1.png","RPT")</f>
        <v/>
      </c>
      <c r="F1159" s="3" t="n">
        <v>117</v>
      </c>
      <c r="G1159" s="3" t="n">
        <v>15</v>
      </c>
      <c r="H1159" s="6" t="n">
        <v>33.15</v>
      </c>
      <c r="I1159" t="inlineStr">
        <is>
          <t>Revolution CT</t>
        </is>
      </c>
      <c r="J1159" t="inlineStr">
        <is>
          <t>ABD</t>
        </is>
      </c>
    </row>
    <row r="1160">
      <c r="A1160" s="2" t="n">
        <v>10015741</v>
      </c>
      <c r="B1160" s="2" t="n">
        <v>64</v>
      </c>
      <c r="C1160" s="2" t="inlineStr">
        <is>
          <t>F</t>
        </is>
      </c>
      <c r="D1160" s="2" t="n">
        <v>100</v>
      </c>
      <c r="E1160" s="4">
        <f>HYPERLINK("./Results/DLO\20200601_1.3.12.2.1107.5.1.4.54310.30000020062122312240600054165_7_512_512_\Osteo_Sarco_1.png","RPT")</f>
        <v/>
      </c>
      <c r="F1160" s="3" t="n">
        <v>117</v>
      </c>
      <c r="G1160" s="3" t="n">
        <v>8</v>
      </c>
      <c r="H1160" s="6" t="n">
        <v>26.73</v>
      </c>
      <c r="I1160" t="inlineStr">
        <is>
          <t>Sensation 64</t>
        </is>
      </c>
      <c r="J1160" t="inlineStr">
        <is>
          <t>ABD 3mm B30f</t>
        </is>
      </c>
    </row>
    <row r="1161">
      <c r="A1161" s="2" t="n">
        <v>5742672</v>
      </c>
      <c r="B1161" s="2" t="n">
        <v>64</v>
      </c>
      <c r="C1161" s="2" t="inlineStr">
        <is>
          <t>F</t>
        </is>
      </c>
      <c r="D1161" s="2" t="n">
        <v>100</v>
      </c>
      <c r="E1161" s="4">
        <f>HYPERLINK("./Results/DLO\20190801_1.2.840.113619.2.416.20484738338683021397500534413619422496_312_512_512_\Osteo_Sarco_1.png","RPT")</f>
        <v/>
      </c>
      <c r="F1161" s="3" t="n">
        <v>116</v>
      </c>
      <c r="G1161" s="3" t="n">
        <v>10</v>
      </c>
      <c r="H1161" s="7" t="n"/>
      <c r="I1161" t="inlineStr">
        <is>
          <t>Revolution CT</t>
        </is>
      </c>
      <c r="J1161" t="inlineStr">
        <is>
          <t>ABD</t>
        </is>
      </c>
    </row>
    <row r="1162">
      <c r="A1162" s="2" t="n">
        <v>9543000</v>
      </c>
      <c r="B1162" s="2" t="n">
        <v>64</v>
      </c>
      <c r="C1162" s="2" t="inlineStr">
        <is>
          <t>F</t>
        </is>
      </c>
      <c r="D1162" s="2" t="n">
        <v>100</v>
      </c>
      <c r="E1162" s="4">
        <f>HYPERLINK("./Results/DLO\20181201_1.2.410.100011.172.16.68.201.63681506760527168719.2_2_512_512_\Osteo_Sarco_1.png","RPT")</f>
        <v/>
      </c>
      <c r="F1162" s="3" t="n">
        <v>110</v>
      </c>
      <c r="G1162" s="3" t="n">
        <v>12</v>
      </c>
      <c r="H1162" s="6" t="n">
        <v>25.62</v>
      </c>
      <c r="I1162" t="inlineStr">
        <is>
          <t>iCT 256</t>
        </is>
      </c>
      <c r="J1162" t="inlineStr">
        <is>
          <t>80 DELAY, iDose (1)</t>
        </is>
      </c>
    </row>
    <row r="1163">
      <c r="A1163" s="2" t="n">
        <v>5601185</v>
      </c>
      <c r="B1163" s="2" t="n">
        <v>64</v>
      </c>
      <c r="C1163" s="2" t="inlineStr">
        <is>
          <t>M</t>
        </is>
      </c>
      <c r="D1163" s="2" t="n">
        <v>100</v>
      </c>
      <c r="E1163" s="4">
        <f>HYPERLINK("./Results/DLO\20190201_1.3.12.2.1107.5.1.4.65253.30000019022420505630900073672_2_512_512_\Osteo_Sarco_1.png","RPT")</f>
        <v/>
      </c>
      <c r="F1163" s="3" t="n">
        <v>109</v>
      </c>
      <c r="G1163" s="3" t="n">
        <v>20</v>
      </c>
      <c r="H1163" s="7" t="n"/>
      <c r="I1163" t="inlineStr">
        <is>
          <t>SOMATOM Definition AS</t>
        </is>
      </c>
      <c r="J1163" t="inlineStr">
        <is>
          <t>W/O Contrast 2.0 B30f</t>
        </is>
      </c>
    </row>
    <row r="1164">
      <c r="A1164" s="2" t="n">
        <v>6740358</v>
      </c>
      <c r="B1164" s="2" t="n">
        <v>64</v>
      </c>
      <c r="C1164" s="2" t="inlineStr">
        <is>
          <t>F</t>
        </is>
      </c>
      <c r="D1164" s="2" t="n">
        <v>100</v>
      </c>
      <c r="E1164" s="4">
        <f>HYPERLINK("./Results/DLO\20180501_1.3.12.2.1107.5.1.4.54310.30000018051423393509300005716_2_512_512_\Osteo_Sarco_1.png","RPT")</f>
        <v/>
      </c>
      <c r="F1164" s="3" t="n">
        <v>105</v>
      </c>
      <c r="G1164" s="3" t="n">
        <v>10</v>
      </c>
      <c r="H1164" s="7" t="n"/>
      <c r="I1164" t="inlineStr">
        <is>
          <t>Sensation 64</t>
        </is>
      </c>
      <c r="J1164" t="inlineStr">
        <is>
          <t>With Contrast 3.0 B30f</t>
        </is>
      </c>
    </row>
    <row r="1165">
      <c r="A1165" s="2" t="n">
        <v>2188500</v>
      </c>
      <c r="B1165" s="2" t="n">
        <v>64</v>
      </c>
      <c r="C1165" s="2" t="inlineStr">
        <is>
          <t>F</t>
        </is>
      </c>
      <c r="D1165" s="2" t="n">
        <v>100</v>
      </c>
      <c r="E1165" s="4">
        <f>HYPERLINK("./Results/DLO\20181101_1.3.12.2.1107.5.1.4.54310.30000018112623404506200029179_2_512_512_\Osteo_Sarco_1.png","RPT")</f>
        <v/>
      </c>
      <c r="F1165" s="3" t="n">
        <v>104</v>
      </c>
      <c r="G1165" s="3" t="n">
        <v>8</v>
      </c>
      <c r="H1165" s="7" t="n"/>
      <c r="I1165" t="inlineStr">
        <is>
          <t>Sensation 64</t>
        </is>
      </c>
      <c r="J1165" t="inlineStr">
        <is>
          <t>Pre Contrast 3.0 B30f</t>
        </is>
      </c>
    </row>
    <row r="1166">
      <c r="A1166" s="2" t="n">
        <v>2993899</v>
      </c>
      <c r="B1166" s="2" t="n">
        <v>64</v>
      </c>
      <c r="C1166" s="2" t="inlineStr">
        <is>
          <t>F</t>
        </is>
      </c>
      <c r="D1166" s="2" t="n">
        <v>100</v>
      </c>
      <c r="E1166" s="4">
        <f>HYPERLINK("./Results/DLO\20180201_1.3.12.2.1107.5.1.4.65253.30000018021321121032000051024_2_512_512_\Osteo_Sarco_1.png","RPT")</f>
        <v/>
      </c>
      <c r="F1166" s="3" t="n">
        <v>103</v>
      </c>
      <c r="G1166" s="3" t="n">
        <v>16</v>
      </c>
      <c r="H1166" s="7" t="n"/>
      <c r="I1166" t="inlineStr">
        <is>
          <t>SOMATOM Definition AS</t>
        </is>
      </c>
      <c r="J1166" t="inlineStr">
        <is>
          <t>With Contrast 3.0 B30f</t>
        </is>
      </c>
    </row>
    <row r="1167">
      <c r="A1167" s="2" t="n">
        <v>4101608</v>
      </c>
      <c r="B1167" s="2" t="n">
        <v>64</v>
      </c>
      <c r="C1167" s="2" t="inlineStr">
        <is>
          <t>F</t>
        </is>
      </c>
      <c r="D1167" s="2" t="n">
        <v>100</v>
      </c>
      <c r="E1167" s="4">
        <f>HYPERLINK("./Results/DLO\20180901_1.3.12.2.1107.5.1.4.54310.30000018091723274276500011965_2_512_512_\Osteo_Sarco_1.png","RPT")</f>
        <v/>
      </c>
      <c r="F1167" s="3" t="n">
        <v>103</v>
      </c>
      <c r="G1167" s="3" t="n">
        <v>9</v>
      </c>
      <c r="H1167" s="7" t="n"/>
      <c r="I1167" t="inlineStr">
        <is>
          <t>Sensation 64</t>
        </is>
      </c>
      <c r="J1167" t="inlineStr">
        <is>
          <t>With Contrast 3.0 B30f</t>
        </is>
      </c>
    </row>
    <row r="1168">
      <c r="A1168" s="2" t="n">
        <v>6738740</v>
      </c>
      <c r="B1168" s="2" t="n">
        <v>64</v>
      </c>
      <c r="C1168" s="2" t="inlineStr">
        <is>
          <t>F</t>
        </is>
      </c>
      <c r="D1168" s="2" t="n">
        <v>100</v>
      </c>
      <c r="E1168" s="4">
        <f>HYPERLINK("./Results/DLO\20190101_1.2.840.113619.2.311.39552632195567707649005839273552780088_305_512_512_\Osteo_Sarco_1.png","RPT")</f>
        <v/>
      </c>
      <c r="F1168" s="3" t="n">
        <v>103</v>
      </c>
      <c r="G1168" s="3" t="n">
        <v>11</v>
      </c>
      <c r="H1168" s="6" t="n">
        <v>22.7</v>
      </c>
      <c r="I1168" t="inlineStr">
        <is>
          <t>Revolution CT</t>
        </is>
      </c>
      <c r="J1168" t="inlineStr">
        <is>
          <t>ABD 2.5mm</t>
        </is>
      </c>
    </row>
    <row r="1169">
      <c r="A1169" s="2" t="n">
        <v>5307068</v>
      </c>
      <c r="B1169" s="2" t="n">
        <v>64</v>
      </c>
      <c r="C1169" s="2" t="inlineStr">
        <is>
          <t>F</t>
        </is>
      </c>
      <c r="D1169" s="2" t="n">
        <v>100</v>
      </c>
      <c r="E1169" s="4">
        <f>HYPERLINK("./Results/DLO\20181201_1.3.12.2.1107.5.1.4.65253.30000018122320161194500066927_3_512_512_\Osteo_Sarco_1.png","RPT")</f>
        <v/>
      </c>
      <c r="F1169" s="3" t="n">
        <v>102</v>
      </c>
      <c r="G1169" s="3" t="n">
        <v>12</v>
      </c>
      <c r="H1169" s="6" t="n">
        <v>23.73</v>
      </c>
      <c r="I1169" t="inlineStr">
        <is>
          <t>SOMATOM Definition AS</t>
        </is>
      </c>
      <c r="J1169" t="inlineStr">
        <is>
          <t>Post Contrast 3.0 B30f</t>
        </is>
      </c>
    </row>
    <row r="1170">
      <c r="A1170" s="2" t="n">
        <v>6739252</v>
      </c>
      <c r="B1170" s="2" t="n">
        <v>64</v>
      </c>
      <c r="C1170" s="2" t="inlineStr">
        <is>
          <t>F</t>
        </is>
      </c>
      <c r="D1170" s="2" t="n">
        <v>100</v>
      </c>
      <c r="E1170" s="4">
        <f>HYPERLINK("./Results/DLO\20190301_1.2.840.113619.2.94.485650834948.2.9436235.20613555.1_3_512_512_\Osteo_Sarco_1.png","RPT")</f>
        <v/>
      </c>
      <c r="F1170" s="3" t="n">
        <v>101</v>
      </c>
      <c r="G1170" s="3" t="n">
        <v>13</v>
      </c>
      <c r="H1170" s="7" t="n"/>
      <c r="I1170" t="inlineStr">
        <is>
          <t>Sensation 64</t>
        </is>
      </c>
      <c r="J1170" t="inlineStr">
        <is>
          <t>With Contrast 3.0 B30f</t>
        </is>
      </c>
    </row>
    <row r="1171">
      <c r="A1171" s="2" t="n">
        <v>5940478</v>
      </c>
      <c r="B1171" s="2" t="n">
        <v>64</v>
      </c>
      <c r="C1171" s="2" t="inlineStr">
        <is>
          <t>F</t>
        </is>
      </c>
      <c r="D1171" s="2" t="n">
        <v>100</v>
      </c>
      <c r="E1171" s="4">
        <f>HYPERLINK("./Results/DLO\20181201_1.3.12.2.1107.5.1.4.54310.30000018120623584184300002008_2_512_512_\Osteo_Sarco_1.png","RPT")</f>
        <v/>
      </c>
      <c r="F1171" s="3" t="n">
        <v>100</v>
      </c>
      <c r="G1171" s="3" t="n">
        <v>8</v>
      </c>
      <c r="H1171" s="7" t="n"/>
      <c r="I1171" t="inlineStr">
        <is>
          <t>Sensation 64</t>
        </is>
      </c>
      <c r="J1171" t="inlineStr">
        <is>
          <t>With Contrast 3.0 B30f</t>
        </is>
      </c>
    </row>
    <row r="1172">
      <c r="A1172" s="2" t="n">
        <v>5519640</v>
      </c>
      <c r="B1172" s="2" t="n">
        <v>64</v>
      </c>
      <c r="C1172" s="2" t="inlineStr">
        <is>
          <t>F</t>
        </is>
      </c>
      <c r="D1172" s="2" t="n">
        <v>100</v>
      </c>
      <c r="E1172" s="4">
        <f>HYPERLINK("./Results/DLO\20190301_1.3.46.670589.33.1.63687656076553315300001.5192303813348767080_601_512_512_\Osteo_Sarco_1.png","RPT")</f>
        <v/>
      </c>
      <c r="F1172" s="3" t="n">
        <v>100</v>
      </c>
      <c r="G1172" s="3" t="n">
        <v>11</v>
      </c>
      <c r="H1172" s="6" t="n">
        <v>21.45</v>
      </c>
      <c r="I1172" t="inlineStr">
        <is>
          <t>Ingenuity Core 128</t>
        </is>
      </c>
      <c r="J1172" t="inlineStr">
        <is>
          <t>Portal 3mm, iDose (3)</t>
        </is>
      </c>
    </row>
    <row r="1173">
      <c r="A1173" s="2" t="n">
        <v>9900694</v>
      </c>
      <c r="B1173" s="2" t="n">
        <v>64</v>
      </c>
      <c r="C1173" s="2" t="inlineStr">
        <is>
          <t>F</t>
        </is>
      </c>
      <c r="D1173" s="2" t="n">
        <v>100</v>
      </c>
      <c r="E1173" s="4">
        <f>HYPERLINK("./Results/DLO\20200101_1.3.12.2.1107.5.1.4.54310.30000020012223193617100029578_4_512_512_\Osteo_Sarco_1.png","RPT")</f>
        <v/>
      </c>
      <c r="F1173" s="3" t="n">
        <v>100</v>
      </c>
      <c r="G1173" s="3" t="n">
        <v>12</v>
      </c>
      <c r="H1173" s="6" t="n">
        <v>26.64</v>
      </c>
      <c r="I1173" t="inlineStr">
        <is>
          <t>Sensation 64</t>
        </is>
      </c>
      <c r="J1173" t="inlineStr">
        <is>
          <t>Arterial 3.0 B30f</t>
        </is>
      </c>
    </row>
    <row r="1174">
      <c r="A1174" s="2" t="n">
        <v>6739175</v>
      </c>
      <c r="B1174" s="2" t="n">
        <v>65</v>
      </c>
      <c r="C1174" s="2" t="inlineStr">
        <is>
          <t>F</t>
        </is>
      </c>
      <c r="D1174" s="2" t="n">
        <v>100</v>
      </c>
      <c r="E1174" s="4">
        <f>HYPERLINK("./Results/DLO\20190701_1.3.12.2.1107.5.1.4.54310.30000019071522353964000022002_7_512_512_\Osteo_Sarco_1.png","RPT")</f>
        <v/>
      </c>
      <c r="F1174" s="3" t="n">
        <v>99</v>
      </c>
      <c r="G1174" s="3" t="n">
        <v>11</v>
      </c>
      <c r="H1174" s="7" t="n"/>
      <c r="I1174" t="inlineStr">
        <is>
          <t>Sensation 64</t>
        </is>
      </c>
      <c r="J1174" t="inlineStr">
        <is>
          <t>ABD Contrast 3.0 B30f</t>
        </is>
      </c>
    </row>
    <row r="1175">
      <c r="A1175" s="2" t="n">
        <v>4053097</v>
      </c>
      <c r="B1175" s="2" t="n">
        <v>65</v>
      </c>
      <c r="C1175" s="2" t="inlineStr">
        <is>
          <t>F</t>
        </is>
      </c>
      <c r="D1175" s="2" t="n">
        <v>100</v>
      </c>
      <c r="E1175" s="4">
        <f>HYPERLINK("./Results/DLO\20190601_1.2.840.113619.2.416.157754438127058901056487180752154836979_310_512_512_\Osteo_Sarco_1.png","RPT")</f>
        <v/>
      </c>
      <c r="F1175" s="3" t="n">
        <v>98</v>
      </c>
      <c r="G1175" s="3" t="n">
        <v>12</v>
      </c>
      <c r="H1175" s="7" t="n"/>
      <c r="I1175" t="inlineStr">
        <is>
          <t>Revolution CT</t>
        </is>
      </c>
      <c r="J1175" t="inlineStr">
        <is>
          <t>ABD</t>
        </is>
      </c>
    </row>
    <row r="1176">
      <c r="A1176" s="2" t="n">
        <v>5522515</v>
      </c>
      <c r="B1176" s="2" t="n">
        <v>65</v>
      </c>
      <c r="C1176" s="2" t="inlineStr">
        <is>
          <t>F</t>
        </is>
      </c>
      <c r="D1176" s="2" t="n">
        <v>100</v>
      </c>
      <c r="E1176" s="4">
        <f>HYPERLINK("./Results/DLO\20180101_1.2.840.113619.2.311.25756708768632386100385548214433197972_304_512_512_\Osteo_Sarco_1.png","RPT")</f>
        <v/>
      </c>
      <c r="F1176" s="3" t="n">
        <v>97</v>
      </c>
      <c r="G1176" s="3" t="n">
        <v>9</v>
      </c>
      <c r="H1176" s="7" t="n"/>
      <c r="I1176" t="inlineStr">
        <is>
          <t>Revolution CT</t>
        </is>
      </c>
      <c r="J1176" t="inlineStr">
        <is>
          <t>ABD 2.5mm</t>
        </is>
      </c>
    </row>
    <row r="1177">
      <c r="A1177" s="2" t="n">
        <v>1906679</v>
      </c>
      <c r="B1177" s="2" t="n">
        <v>65</v>
      </c>
      <c r="C1177" s="2" t="inlineStr">
        <is>
          <t>F</t>
        </is>
      </c>
      <c r="D1177" s="2" t="n">
        <v>100</v>
      </c>
      <c r="E1177" s="4">
        <f>HYPERLINK("./Results/DLO\20181201_1.3.46.670589.33.1.63680036203576461800001.5200999139904475074_601_512_512_\Osteo_Sarco_1.png","RPT")</f>
        <v/>
      </c>
      <c r="F1177" s="3" t="n">
        <v>97</v>
      </c>
      <c r="G1177" s="3" t="n">
        <v>9</v>
      </c>
      <c r="H1177" s="7" t="n"/>
      <c r="I1177" t="inlineStr">
        <is>
          <t>Ingenuity Core 128</t>
        </is>
      </c>
      <c r="J1177" t="inlineStr">
        <is>
          <t>Post 100/236 i3, iDose (3)</t>
        </is>
      </c>
    </row>
    <row r="1178">
      <c r="A1178" s="2" t="n">
        <v>6739526</v>
      </c>
      <c r="B1178" s="2" t="n">
        <v>65</v>
      </c>
      <c r="C1178" s="2" t="inlineStr">
        <is>
          <t>F</t>
        </is>
      </c>
      <c r="D1178" s="2" t="n">
        <v>100</v>
      </c>
      <c r="E1178" s="4">
        <f>HYPERLINK("./Results/DLO\20180201_1.2.840.113619.2.311.53339799595939907618225591602629572653_304_512_512_\Osteo_Sarco_1.png","RPT")</f>
        <v/>
      </c>
      <c r="F1178" s="3" t="n">
        <v>96</v>
      </c>
      <c r="G1178" s="3" t="n">
        <v>7</v>
      </c>
      <c r="H1178" s="7" t="n"/>
      <c r="I1178" t="inlineStr">
        <is>
          <t>Revolution CT</t>
        </is>
      </c>
      <c r="J1178" t="inlineStr">
        <is>
          <t>ABD 2.5mm</t>
        </is>
      </c>
    </row>
    <row r="1179">
      <c r="A1179" s="2" t="n">
        <v>5988905</v>
      </c>
      <c r="B1179" s="2" t="n">
        <v>65</v>
      </c>
      <c r="C1179" s="2" t="inlineStr">
        <is>
          <t>F</t>
        </is>
      </c>
      <c r="D1179" s="2" t="n">
        <v>100</v>
      </c>
      <c r="E1179" s="4">
        <f>HYPERLINK("./Results/DLO\20181201_1.3.12.2.1107.5.1.4.54310.30000018123023561453100005492_2_512_512_\Osteo_Sarco_1.png","RPT")</f>
        <v/>
      </c>
      <c r="F1179" s="3" t="n">
        <v>96</v>
      </c>
      <c r="G1179" s="3" t="n">
        <v>8</v>
      </c>
      <c r="H1179" s="7" t="n"/>
      <c r="I1179" t="inlineStr">
        <is>
          <t>Sensation 64</t>
        </is>
      </c>
      <c r="J1179" t="inlineStr">
        <is>
          <t>With Contrast 3.0 B30f</t>
        </is>
      </c>
    </row>
    <row r="1180">
      <c r="A1180" s="2" t="n">
        <v>5342850</v>
      </c>
      <c r="B1180" s="2" t="n">
        <v>65</v>
      </c>
      <c r="C1180" s="2" t="inlineStr">
        <is>
          <t>F</t>
        </is>
      </c>
      <c r="D1180" s="2" t="n">
        <v>100</v>
      </c>
      <c r="E1180" s="4">
        <f>HYPERLINK("./Results/DLO\20190201_1.3.46.670589.33.1.63686353690527710600001.5235982689043348977_201_512_512_\Osteo_Sarco_1.png","RPT")</f>
        <v/>
      </c>
      <c r="F1180" s="3" t="n">
        <v>94</v>
      </c>
      <c r="G1180" s="3" t="n">
        <v>5</v>
      </c>
      <c r="H1180" s="7" t="n"/>
      <c r="I1180" t="inlineStr">
        <is>
          <t>Ingenuity Core 128</t>
        </is>
      </c>
      <c r="J1180" t="inlineStr">
        <is>
          <t>Post 3mm, iDose (3)</t>
        </is>
      </c>
    </row>
    <row r="1181">
      <c r="A1181" s="2" t="n">
        <v>5716171</v>
      </c>
      <c r="B1181" s="2" t="n">
        <v>65</v>
      </c>
      <c r="C1181" s="2" t="inlineStr">
        <is>
          <t>F</t>
        </is>
      </c>
      <c r="D1181" s="2" t="n">
        <v>100</v>
      </c>
      <c r="E1181" s="4">
        <f>HYPERLINK("./Results/DLO\20191101_1.2.840.113619.2.416.189293471084043930114326237681208494035_310_512_512_\Osteo_Sarco_1.png","RPT")</f>
        <v/>
      </c>
      <c r="F1181" s="3" t="n">
        <v>92</v>
      </c>
      <c r="G1181" s="3" t="n">
        <v>11</v>
      </c>
      <c r="H1181" s="6" t="n">
        <v>21.48</v>
      </c>
      <c r="I1181" t="inlineStr">
        <is>
          <t>Revolution CT</t>
        </is>
      </c>
      <c r="J1181" t="inlineStr">
        <is>
          <t>ABD</t>
        </is>
      </c>
    </row>
    <row r="1182">
      <c r="A1182" s="2" t="n">
        <v>5025780</v>
      </c>
      <c r="B1182" s="2" t="n">
        <v>65</v>
      </c>
      <c r="C1182" s="2" t="inlineStr">
        <is>
          <t>F</t>
        </is>
      </c>
      <c r="D1182" s="2" t="n">
        <v>100</v>
      </c>
      <c r="E1182" s="4">
        <f>HYPERLINK("./Results/DLO\20180401_1.3.12.2.1107.5.1.4.54310.30000018041023080612500005767_2_512_512_\Osteo_Sarco_1.png","RPT")</f>
        <v/>
      </c>
      <c r="F1182" s="3" t="n">
        <v>89</v>
      </c>
      <c r="G1182" s="3" t="n">
        <v>5</v>
      </c>
      <c r="H1182" s="7" t="n"/>
      <c r="I1182" t="inlineStr">
        <is>
          <t>Sensation 64</t>
        </is>
      </c>
      <c r="J1182" t="inlineStr">
        <is>
          <t>With Contrast 3.0 B30f</t>
        </is>
      </c>
    </row>
    <row r="1183">
      <c r="A1183" s="2" t="n">
        <v>5027594</v>
      </c>
      <c r="B1183" s="2" t="n">
        <v>65</v>
      </c>
      <c r="C1183" s="2" t="inlineStr">
        <is>
          <t>F</t>
        </is>
      </c>
      <c r="D1183" s="2" t="n">
        <v>100</v>
      </c>
      <c r="E1183" s="4">
        <f>HYPERLINK("./Results/DLO\20180101_1.2.840.113619.2.94.485650834948.2.8573485.18478242.1_2_512_512_\Osteo_Sarco_1.png","RPT")</f>
        <v/>
      </c>
      <c r="F1183" s="3" t="n">
        <v>86</v>
      </c>
      <c r="G1183" s="3" t="n">
        <v>14</v>
      </c>
      <c r="H1183" s="6" t="n">
        <v>24.73</v>
      </c>
      <c r="I1183" t="inlineStr">
        <is>
          <t>Sensation 64</t>
        </is>
      </c>
      <c r="J1183" t="inlineStr">
        <is>
          <t>With Contrast 3.0 B30f</t>
        </is>
      </c>
    </row>
    <row r="1184">
      <c r="A1184" s="2" t="n">
        <v>3462543</v>
      </c>
      <c r="B1184" s="2" t="n">
        <v>65</v>
      </c>
      <c r="C1184" s="2" t="inlineStr">
        <is>
          <t>F</t>
        </is>
      </c>
      <c r="D1184" s="2" t="n">
        <v>100</v>
      </c>
      <c r="E1184" s="4">
        <f>HYPERLINK("./Results/DLO\20180501_1.3.12.2.1107.5.1.4.54310.30000018051823462175000007595_3_512_512_\Osteo_Sarco_1.png","RPT")</f>
        <v/>
      </c>
      <c r="F1184" s="3" t="n">
        <v>86</v>
      </c>
      <c r="G1184" s="3" t="n">
        <v>12</v>
      </c>
      <c r="H1184" s="6" t="n">
        <v>24.06</v>
      </c>
      <c r="I1184" t="inlineStr">
        <is>
          <t>Sensation 64</t>
        </is>
      </c>
      <c r="J1184" t="inlineStr">
        <is>
          <t>Pre Contrast 3.0 B30f</t>
        </is>
      </c>
    </row>
    <row r="1185">
      <c r="A1185" s="2" t="n">
        <v>9036035</v>
      </c>
      <c r="B1185" s="2" t="n">
        <v>65</v>
      </c>
      <c r="C1185" s="2" t="inlineStr">
        <is>
          <t>F</t>
        </is>
      </c>
      <c r="D1185" s="2" t="n">
        <v>100</v>
      </c>
      <c r="E1185" s="4">
        <f>HYPERLINK("./Results/DLO\20190101_1.3.12.2.1107.5.1.4.65253.30000019010721143784700056882_2_512_512_\Osteo_Sarco_1.png","RPT")</f>
        <v/>
      </c>
      <c r="F1185" s="3" t="n">
        <v>84</v>
      </c>
      <c r="G1185" s="3" t="n">
        <v>11</v>
      </c>
      <c r="H1185" s="7" t="n"/>
      <c r="I1185" t="inlineStr">
        <is>
          <t>SOMATOM Definition AS</t>
        </is>
      </c>
      <c r="J1185" t="inlineStr">
        <is>
          <t>Pre Contrast 3.0 B30f</t>
        </is>
      </c>
    </row>
    <row r="1186">
      <c r="A1186" s="2" t="n">
        <v>9694476</v>
      </c>
      <c r="B1186" s="2" t="n">
        <v>65</v>
      </c>
      <c r="C1186" s="2" t="inlineStr">
        <is>
          <t>F</t>
        </is>
      </c>
      <c r="D1186" s="2" t="n">
        <v>100</v>
      </c>
      <c r="E1186" s="4">
        <f>HYPERLINK("./Results/DLO\20190501_1.3.12.2.1107.5.1.4.65253.30000019053020461533200033504_2_512_512_\Osteo_Sarco_1.png","RPT")</f>
        <v/>
      </c>
      <c r="F1186" s="3" t="n">
        <v>83</v>
      </c>
      <c r="G1186" s="3" t="n">
        <v>8</v>
      </c>
      <c r="H1186" s="7" t="n"/>
      <c r="I1186" t="inlineStr">
        <is>
          <t>SOMATOM Definition AS</t>
        </is>
      </c>
      <c r="J1186" t="inlineStr">
        <is>
          <t>Pre Contrast 3.0 B30f</t>
        </is>
      </c>
    </row>
    <row r="1187">
      <c r="A1187" s="2" t="n">
        <v>5600073</v>
      </c>
      <c r="B1187" s="2" t="n">
        <v>65</v>
      </c>
      <c r="C1187" s="2" t="inlineStr">
        <is>
          <t>F</t>
        </is>
      </c>
      <c r="D1187" s="2" t="n">
        <v>100</v>
      </c>
      <c r="E1187" s="4">
        <f>HYPERLINK("./Results/DLO\20180501_1.2.840.113619.2.311.178163184454965333239721844413542412348_304_512_512_\Osteo_Sarco_1.png","RPT")</f>
        <v/>
      </c>
      <c r="F1187" s="3" t="n">
        <v>78</v>
      </c>
      <c r="G1187" s="3" t="n">
        <v>10</v>
      </c>
      <c r="H1187" s="7" t="n"/>
      <c r="I1187" t="inlineStr">
        <is>
          <t>Revolution CT</t>
        </is>
      </c>
      <c r="J1187" t="inlineStr">
        <is>
          <t>ABD 2.5mm</t>
        </is>
      </c>
    </row>
    <row r="1188">
      <c r="A1188" s="2" t="n">
        <v>3288992</v>
      </c>
      <c r="B1188" s="2" t="n">
        <v>65</v>
      </c>
      <c r="C1188" s="2" t="inlineStr">
        <is>
          <t>M</t>
        </is>
      </c>
      <c r="D1188" s="2" t="n">
        <v>100</v>
      </c>
      <c r="E1188" s="4">
        <f>HYPERLINK("./Results/DLO\20180101_1.3.12.2.1107.5.1.4.54310.30000018010423122176500008607_4_512_512_\Osteo_Sarco_1.png","RPT")</f>
        <v/>
      </c>
      <c r="F1188" s="3" t="n">
        <v>178</v>
      </c>
      <c r="G1188" s="3" t="n">
        <v>10</v>
      </c>
      <c r="H1188" s="6" t="n">
        <v>25.42</v>
      </c>
      <c r="I1188" t="inlineStr">
        <is>
          <t>Sensation 64</t>
        </is>
      </c>
      <c r="J1188" t="inlineStr">
        <is>
          <t>Pre Contrast 3.0 B30f</t>
        </is>
      </c>
    </row>
    <row r="1189">
      <c r="A1189" s="2" t="n">
        <v>4987191</v>
      </c>
      <c r="B1189" s="2" t="n">
        <v>65</v>
      </c>
      <c r="C1189" s="2" t="inlineStr">
        <is>
          <t>M</t>
        </is>
      </c>
      <c r="D1189" s="2" t="n">
        <v>100</v>
      </c>
      <c r="E1189" s="4">
        <f>HYPERLINK("./Results/DLO\20190501_1.3.12.2.1107.5.1.4.54310.30000019053020160098400048774_3_512_512_\Osteo_Sarco_1.png","RPT")</f>
        <v/>
      </c>
      <c r="F1189" s="3" t="n">
        <v>165</v>
      </c>
      <c r="G1189" s="3" t="n">
        <v>9</v>
      </c>
      <c r="H1189" s="7" t="n"/>
      <c r="I1189" t="inlineStr">
        <is>
          <t>Sensation 64</t>
        </is>
      </c>
      <c r="J1189" t="inlineStr">
        <is>
          <t>Pre Contrast 3.0 B30f</t>
        </is>
      </c>
    </row>
    <row r="1190">
      <c r="A1190" s="2" t="n">
        <v>8939708</v>
      </c>
      <c r="B1190" s="2" t="n">
        <v>65</v>
      </c>
      <c r="C1190" s="2" t="inlineStr">
        <is>
          <t>M</t>
        </is>
      </c>
      <c r="D1190" s="2" t="n">
        <v>100</v>
      </c>
      <c r="E1190" s="4">
        <f>HYPERLINK("./Results/DLO\20180101_1.3.46.670589.33.1.63652557971140049100001.5472189695257154985_201_512_512_\Osteo_Sarco_1.png","RPT")</f>
        <v/>
      </c>
      <c r="F1190" s="3" t="n">
        <v>163</v>
      </c>
      <c r="G1190" s="3" t="n">
        <v>9</v>
      </c>
      <c r="H1190" s="7" t="n"/>
      <c r="I1190" t="inlineStr">
        <is>
          <t>Ingenuity Core 128</t>
        </is>
      </c>
      <c r="J1190" t="inlineStr">
        <is>
          <t>Post 100/236 i3, iDose (3)</t>
        </is>
      </c>
    </row>
    <row r="1191">
      <c r="A1191" s="2" t="n">
        <v>8578293</v>
      </c>
      <c r="B1191" s="2" t="n">
        <v>65</v>
      </c>
      <c r="C1191" s="2" t="inlineStr">
        <is>
          <t>M</t>
        </is>
      </c>
      <c r="D1191" s="2" t="n">
        <v>100</v>
      </c>
      <c r="E1191" s="4">
        <f>HYPERLINK("./Results/DLO\20180301_1.3.12.2.1107.5.1.4.54310.30000018032823073635900001116_2_512_512_\Osteo_Sarco_1.png","RPT")</f>
        <v/>
      </c>
      <c r="F1191" s="3" t="n">
        <v>160</v>
      </c>
      <c r="G1191" s="3" t="n">
        <v>11</v>
      </c>
      <c r="H1191" s="7" t="n"/>
      <c r="I1191" t="inlineStr">
        <is>
          <t>Sensation 64</t>
        </is>
      </c>
      <c r="J1191" t="inlineStr">
        <is>
          <t>Pre Contrast 3.0 B30f</t>
        </is>
      </c>
    </row>
    <row r="1192">
      <c r="A1192" s="2" t="n">
        <v>6114782</v>
      </c>
      <c r="B1192" s="2" t="n">
        <v>65</v>
      </c>
      <c r="C1192" s="2" t="inlineStr">
        <is>
          <t>M</t>
        </is>
      </c>
      <c r="D1192" s="2" t="n">
        <v>100</v>
      </c>
      <c r="E1192" s="4">
        <f>HYPERLINK("./Results/DLO\20181001_1.3.46.670589.33.1.63676575847726087200001.5016658063087365547_201_512_512_\Osteo_Sarco_1.png","RPT")</f>
        <v/>
      </c>
      <c r="F1192" s="3" t="n">
        <v>157</v>
      </c>
      <c r="G1192" s="3" t="n">
        <v>18</v>
      </c>
      <c r="H1192" s="7" t="n"/>
      <c r="I1192" t="inlineStr">
        <is>
          <t>Ingenuity Core 128</t>
        </is>
      </c>
      <c r="J1192" t="inlineStr">
        <is>
          <t>Post 100/236 i3, iDose (3)</t>
        </is>
      </c>
    </row>
    <row r="1193">
      <c r="A1193" s="2" t="n">
        <v>2131822</v>
      </c>
      <c r="B1193" s="2" t="n">
        <v>65</v>
      </c>
      <c r="C1193" s="2" t="inlineStr">
        <is>
          <t>M</t>
        </is>
      </c>
      <c r="D1193" s="2" t="n">
        <v>100</v>
      </c>
      <c r="E1193" s="4">
        <f>HYPERLINK("./Results/DLO\20180401_1.3.12.2.1107.5.1.4.54310.30000018041623104917100002864_3_512_512_\Osteo_Sarco_1.png","RPT")</f>
        <v/>
      </c>
      <c r="F1193" s="3" t="n">
        <v>154</v>
      </c>
      <c r="G1193" s="3" t="n">
        <v>7</v>
      </c>
      <c r="H1193" s="6" t="n">
        <v>26.5</v>
      </c>
      <c r="I1193" t="inlineStr">
        <is>
          <t>Sensation 64</t>
        </is>
      </c>
      <c r="J1193" t="inlineStr">
        <is>
          <t>Pre Contrast 3.0 B30f</t>
        </is>
      </c>
    </row>
    <row r="1194">
      <c r="A1194" s="2" t="n">
        <v>5818336</v>
      </c>
      <c r="B1194" s="2" t="n">
        <v>65</v>
      </c>
      <c r="C1194" s="2" t="inlineStr">
        <is>
          <t>M</t>
        </is>
      </c>
      <c r="D1194" s="2" t="n">
        <v>100</v>
      </c>
      <c r="E1194" s="4">
        <f>HYPERLINK("./Results/DLO\20180301_1.3.12.2.1107.5.1.4.65253.30000018032521013524600038452_2_512_512_\Osteo_Sarco_1.png","RPT")</f>
        <v/>
      </c>
      <c r="F1194" s="3" t="n">
        <v>143</v>
      </c>
      <c r="G1194" s="3" t="n">
        <v>15</v>
      </c>
      <c r="H1194" s="7" t="n"/>
      <c r="I1194" t="inlineStr">
        <is>
          <t>SOMATOM Definition AS</t>
        </is>
      </c>
      <c r="J1194" t="inlineStr">
        <is>
          <t>W/O Contrast 2.0 B30f</t>
        </is>
      </c>
    </row>
    <row r="1195">
      <c r="A1195" s="2" t="n">
        <v>6107234</v>
      </c>
      <c r="B1195" s="2" t="n">
        <v>65</v>
      </c>
      <c r="C1195" s="2" t="inlineStr">
        <is>
          <t>F</t>
        </is>
      </c>
      <c r="D1195" s="2" t="n">
        <v>100</v>
      </c>
      <c r="E1195" s="4">
        <f>HYPERLINK("./Results/DLO\20200601_1.3.46.670589.33.1.63728587406499210800001.4888920694891216046_201_512_512_\Osteo_Sarco_1.png","RPT")</f>
        <v/>
      </c>
      <c r="F1195" s="3" t="n">
        <v>140</v>
      </c>
      <c r="G1195" s="3" t="n">
        <v>7</v>
      </c>
      <c r="H1195" s="7" t="n"/>
      <c r="I1195" t="inlineStr">
        <is>
          <t>Ingenuity Core 128</t>
        </is>
      </c>
      <c r="J1195" t="inlineStr">
        <is>
          <t>Post 3mm, iDose (3)</t>
        </is>
      </c>
    </row>
    <row r="1196">
      <c r="A1196" s="2" t="n">
        <v>5973711</v>
      </c>
      <c r="B1196" s="2" t="n">
        <v>65</v>
      </c>
      <c r="C1196" s="2" t="inlineStr">
        <is>
          <t>M</t>
        </is>
      </c>
      <c r="D1196" s="2" t="n">
        <v>100</v>
      </c>
      <c r="E1196" s="4">
        <f>HYPERLINK("./Results/DLO\20200101_1.3.46.670589.33.1.63714852221611854300001.4619818758474411193_201_512_512_\Osteo_Sarco_1.png","RPT")</f>
        <v/>
      </c>
      <c r="F1196" s="3" t="n">
        <v>139</v>
      </c>
      <c r="G1196" s="3" t="n">
        <v>10</v>
      </c>
      <c r="H1196" s="7" t="n"/>
      <c r="I1196" t="inlineStr">
        <is>
          <t>Ingenuity Core 128</t>
        </is>
      </c>
      <c r="J1196" t="inlineStr">
        <is>
          <t>Post 3mm, iDose (3)</t>
        </is>
      </c>
    </row>
    <row r="1197">
      <c r="A1197" s="2" t="n">
        <v>6010461</v>
      </c>
      <c r="B1197" s="2" t="n">
        <v>65</v>
      </c>
      <c r="C1197" s="2" t="inlineStr">
        <is>
          <t>F</t>
        </is>
      </c>
      <c r="D1197" s="2" t="n">
        <v>100</v>
      </c>
      <c r="E1197" s="4">
        <f>HYPERLINK("./Results/DLO\20190601_1.2.840.113619.2.416.207622654566165327622788334467860901424_310_512_512_\Osteo_Sarco_1.png","RPT")</f>
        <v/>
      </c>
      <c r="F1197" s="3" t="n">
        <v>133</v>
      </c>
      <c r="G1197" s="3" t="n">
        <v>11</v>
      </c>
      <c r="H1197" s="7" t="n"/>
      <c r="I1197" t="inlineStr">
        <is>
          <t>Revolution CT</t>
        </is>
      </c>
      <c r="J1197" t="inlineStr">
        <is>
          <t>ABD</t>
        </is>
      </c>
    </row>
    <row r="1198">
      <c r="A1198" s="2" t="n">
        <v>1977568</v>
      </c>
      <c r="B1198" s="2" t="n">
        <v>65</v>
      </c>
      <c r="C1198" s="2" t="inlineStr">
        <is>
          <t>M</t>
        </is>
      </c>
      <c r="D1198" s="2" t="n">
        <v>100</v>
      </c>
      <c r="E1198" s="4">
        <f>HYPERLINK("./Results/DLO\20180101_1.3.12.2.1107.5.1.4.54310.30000018011723045789000015378_2_512_512_\Osteo_Sarco_1.png","RPT")</f>
        <v/>
      </c>
      <c r="F1198" s="3" t="n">
        <v>132</v>
      </c>
      <c r="G1198" s="3" t="n">
        <v>12</v>
      </c>
      <c r="H1198" s="7" t="n"/>
      <c r="I1198" t="inlineStr">
        <is>
          <t>Sensation 64</t>
        </is>
      </c>
      <c r="J1198" t="inlineStr">
        <is>
          <t>Pre Contrast 3.0 B30f</t>
        </is>
      </c>
    </row>
    <row r="1199">
      <c r="A1199" s="2" t="n">
        <v>4830421</v>
      </c>
      <c r="B1199" s="2" t="n">
        <v>65</v>
      </c>
      <c r="C1199" s="2" t="inlineStr">
        <is>
          <t>M</t>
        </is>
      </c>
      <c r="D1199" s="2" t="n">
        <v>100</v>
      </c>
      <c r="E1199" s="4">
        <f>HYPERLINK("./Results/DLO\20190901_1.3.46.670589.33.1.63703099895325566000001.4622249186319710413_201_512_512_\Osteo_Sarco_1.png","RPT")</f>
        <v/>
      </c>
      <c r="F1199" s="3" t="n">
        <v>132</v>
      </c>
      <c r="G1199" s="3" t="n">
        <v>8</v>
      </c>
      <c r="H1199" s="7" t="n"/>
      <c r="I1199" t="inlineStr">
        <is>
          <t>Ingenuity Core 128</t>
        </is>
      </c>
      <c r="J1199" t="inlineStr">
        <is>
          <t>Pre 3mm, iDose (3)</t>
        </is>
      </c>
    </row>
    <row r="1200">
      <c r="A1200" s="2" t="n">
        <v>4788416</v>
      </c>
      <c r="B1200" s="2" t="n">
        <v>65</v>
      </c>
      <c r="C1200" s="2" t="inlineStr">
        <is>
          <t>M</t>
        </is>
      </c>
      <c r="D1200" s="2" t="n">
        <v>100</v>
      </c>
      <c r="E1200" s="4">
        <f>HYPERLINK("./Results/DLO\20180401_1.2.840.113619.2.311.37306506524022263382664494716574048320_2_512_512_\Osteo_Sarco_1.png","RPT")</f>
        <v/>
      </c>
      <c r="F1200" s="3" t="n">
        <v>125</v>
      </c>
      <c r="G1200" s="3" t="n">
        <v>10</v>
      </c>
      <c r="H1200" s="6" t="n">
        <v>23.53</v>
      </c>
      <c r="I1200" t="inlineStr">
        <is>
          <t>Revolution CT</t>
        </is>
      </c>
      <c r="J1200" t="inlineStr">
        <is>
          <t>Pre</t>
        </is>
      </c>
    </row>
    <row r="1201">
      <c r="A1201" s="2" t="n">
        <v>8883037</v>
      </c>
      <c r="B1201" s="2" t="n">
        <v>65</v>
      </c>
      <c r="C1201" s="2" t="inlineStr">
        <is>
          <t>M</t>
        </is>
      </c>
      <c r="D1201" s="2" t="n">
        <v>100</v>
      </c>
      <c r="E1201" s="4">
        <f>HYPERLINK("./Results/DLO\20181201_1.2.840.113619.2.311.320371817557582972004401898479400798836_2_512_512_\Osteo_Sarco_1.png","RPT")</f>
        <v/>
      </c>
      <c r="F1201" s="3" t="n">
        <v>124</v>
      </c>
      <c r="G1201" s="3" t="n">
        <v>9</v>
      </c>
      <c r="H1201" s="6" t="n">
        <v>24.03</v>
      </c>
      <c r="I1201" t="inlineStr">
        <is>
          <t>Revolution CT</t>
        </is>
      </c>
      <c r="J1201" t="inlineStr">
        <is>
          <t>PRE</t>
        </is>
      </c>
    </row>
    <row r="1202">
      <c r="A1202" s="2" t="n">
        <v>9832208</v>
      </c>
      <c r="B1202" s="2" t="n">
        <v>65</v>
      </c>
      <c r="C1202" s="2" t="inlineStr">
        <is>
          <t>F</t>
        </is>
      </c>
      <c r="D1202" s="2" t="n">
        <v>100</v>
      </c>
      <c r="E1202" s="4">
        <f>HYPERLINK("./Results/DLO\20191101_1.2.840.113619.2.416.71320876313347252845131569694001945336_306_512_512_\Osteo_Sarco_1.png","RPT")</f>
        <v/>
      </c>
      <c r="F1202" s="3" t="n">
        <v>122</v>
      </c>
      <c r="G1202" s="3" t="n">
        <v>12</v>
      </c>
      <c r="H1202" s="7" t="n"/>
      <c r="I1202" t="inlineStr">
        <is>
          <t>Revolution CT</t>
        </is>
      </c>
      <c r="J1202" t="inlineStr">
        <is>
          <t>ABD</t>
        </is>
      </c>
    </row>
    <row r="1203">
      <c r="A1203" s="2" t="n">
        <v>743398</v>
      </c>
      <c r="B1203" s="2" t="n">
        <v>65</v>
      </c>
      <c r="C1203" s="2" t="inlineStr">
        <is>
          <t>M</t>
        </is>
      </c>
      <c r="D1203" s="2" t="n">
        <v>100</v>
      </c>
      <c r="E1203" s="4">
        <f>HYPERLINK("./Results/DLO\20180401_1.3.12.2.1107.5.1.4.54310.30000018042323250732800000127_2_512_512_\Osteo_Sarco_1.png","RPT")</f>
        <v/>
      </c>
      <c r="F1203" s="3" t="n">
        <v>117</v>
      </c>
      <c r="G1203" s="3" t="n">
        <v>14</v>
      </c>
      <c r="H1203" s="6" t="n">
        <v>22.91</v>
      </c>
      <c r="I1203" t="inlineStr">
        <is>
          <t>Sensation 64</t>
        </is>
      </c>
      <c r="J1203" t="inlineStr">
        <is>
          <t>W/O Contrast 3.0 B30f</t>
        </is>
      </c>
    </row>
    <row r="1204">
      <c r="A1204" s="2" t="n">
        <v>2546971</v>
      </c>
      <c r="B1204" s="2" t="n">
        <v>65</v>
      </c>
      <c r="C1204" s="2" t="inlineStr">
        <is>
          <t>F</t>
        </is>
      </c>
      <c r="D1204" s="2" t="n">
        <v>100</v>
      </c>
      <c r="E1204" s="4">
        <f>HYPERLINK("./Results/DLO\20191201_1.3.46.670589.33.1.63711831918631086700001.5551471656243911739_201_512_512_\Osteo_Sarco_1.png","RPT")</f>
        <v/>
      </c>
      <c r="F1204" s="3" t="n">
        <v>117</v>
      </c>
      <c r="G1204" s="3" t="n">
        <v>10</v>
      </c>
      <c r="H1204" s="7" t="n"/>
      <c r="I1204" t="inlineStr">
        <is>
          <t>Ingenuity Core 128</t>
        </is>
      </c>
      <c r="J1204" t="inlineStr">
        <is>
          <t>Post 3mm, iDose (3)</t>
        </is>
      </c>
    </row>
    <row r="1205">
      <c r="A1205" s="2" t="n">
        <v>4431435</v>
      </c>
      <c r="B1205" s="2" t="n">
        <v>65</v>
      </c>
      <c r="C1205" s="2" t="inlineStr">
        <is>
          <t>M</t>
        </is>
      </c>
      <c r="D1205" s="2" t="n">
        <v>100</v>
      </c>
      <c r="E1205" s="4">
        <f>HYPERLINK("./Results/DLO\20200201_1.3.12.2.1107.5.1.4.54310.30000020021022515807800000538_2_512_512_\Osteo_Sarco_1.png","RPT")</f>
        <v/>
      </c>
      <c r="F1205" s="3" t="n">
        <v>117</v>
      </c>
      <c r="G1205" s="3" t="n">
        <v>7</v>
      </c>
      <c r="H1205" s="7" t="n"/>
      <c r="I1205" t="inlineStr">
        <is>
          <t>Sensation 64</t>
        </is>
      </c>
      <c r="J1205" t="inlineStr">
        <is>
          <t>With Contrast 3.0 B30f</t>
        </is>
      </c>
    </row>
    <row r="1206">
      <c r="A1206" s="2" t="n">
        <v>248989</v>
      </c>
      <c r="B1206" s="2" t="n">
        <v>65</v>
      </c>
      <c r="C1206" s="2" t="inlineStr">
        <is>
          <t>M</t>
        </is>
      </c>
      <c r="D1206" s="2" t="n">
        <v>100</v>
      </c>
      <c r="E1206" s="4">
        <f>HYPERLINK("./Results/DLO\20180401_1.3.46.670589.33.1.63658629564124847300001.5617373119828169367_201_512_512_\Osteo_Sarco_1.png","RPT")</f>
        <v/>
      </c>
      <c r="F1206" s="3" t="n">
        <v>116</v>
      </c>
      <c r="G1206" s="3" t="n">
        <v>6</v>
      </c>
      <c r="H1206" s="7" t="n"/>
      <c r="I1206" t="inlineStr">
        <is>
          <t>Ingenuity Core 128</t>
        </is>
      </c>
      <c r="J1206" t="inlineStr">
        <is>
          <t>Pre 100/236 i6, iDose (3)</t>
        </is>
      </c>
    </row>
    <row r="1207">
      <c r="A1207" s="2" t="n">
        <v>5026769</v>
      </c>
      <c r="B1207" s="2" t="n">
        <v>65</v>
      </c>
      <c r="C1207" s="2" t="inlineStr">
        <is>
          <t>F</t>
        </is>
      </c>
      <c r="D1207" s="2" t="n">
        <v>100</v>
      </c>
      <c r="E1207" s="4">
        <f>HYPERLINK("./Results/DLO\20180401_1.3.12.2.1107.5.1.4.54310.30000018042723395856200009359_3_512_512_\Osteo_Sarco_1.png","RPT")</f>
        <v/>
      </c>
      <c r="F1207" s="3" t="n">
        <v>114</v>
      </c>
      <c r="G1207" s="3" t="n">
        <v>7</v>
      </c>
      <c r="H1207" s="6" t="n">
        <v>21.36</v>
      </c>
      <c r="I1207" t="inlineStr">
        <is>
          <t>Sensation 64</t>
        </is>
      </c>
      <c r="J1207" t="inlineStr">
        <is>
          <t>Pre Contrast 3.0 B30f</t>
        </is>
      </c>
    </row>
    <row r="1208">
      <c r="A1208" s="2" t="n">
        <v>9612576</v>
      </c>
      <c r="B1208" s="2" t="n">
        <v>65</v>
      </c>
      <c r="C1208" s="2" t="inlineStr">
        <is>
          <t>F</t>
        </is>
      </c>
      <c r="D1208" s="2" t="n">
        <v>100</v>
      </c>
      <c r="E1208" s="4">
        <f>HYPERLINK("./Results/DLO\20190301_1.2.840.113619.2.94.485650834948.2.9442859.20630090.1_2_512_512_\Osteo_Sarco_1.png","RPT")</f>
        <v/>
      </c>
      <c r="F1208" s="3" t="n">
        <v>114</v>
      </c>
      <c r="G1208" s="3" t="n">
        <v>21</v>
      </c>
      <c r="H1208" s="7" t="n"/>
      <c r="I1208" t="inlineStr">
        <is>
          <t>Sensation 64</t>
        </is>
      </c>
      <c r="J1208" t="inlineStr">
        <is>
          <t>With Contrast 3.0 B30f</t>
        </is>
      </c>
    </row>
    <row r="1209">
      <c r="A1209" s="2" t="n">
        <v>6741498</v>
      </c>
      <c r="B1209" s="2" t="n">
        <v>65</v>
      </c>
      <c r="C1209" s="2" t="inlineStr">
        <is>
          <t>M</t>
        </is>
      </c>
      <c r="D1209" s="2" t="n">
        <v>100</v>
      </c>
      <c r="E1209" s="4">
        <f>HYPERLINK("./Results/DLO\20181001_1.3.46.670589.33.1.63676147426944430800001.5023109743060541148_201_512_512_\Osteo_Sarco_1.png","RPT")</f>
        <v/>
      </c>
      <c r="F1209" s="3" t="n">
        <v>112</v>
      </c>
      <c r="G1209" s="3" t="n">
        <v>8</v>
      </c>
      <c r="H1209" s="7" t="n"/>
      <c r="I1209" t="inlineStr">
        <is>
          <t>Ingenuity Core 128</t>
        </is>
      </c>
      <c r="J1209" t="inlineStr">
        <is>
          <t>Pre 100/68 i3, iDose (3)</t>
        </is>
      </c>
    </row>
    <row r="1210">
      <c r="A1210" s="2" t="n">
        <v>8523989</v>
      </c>
      <c r="B1210" s="2" t="n">
        <v>65</v>
      </c>
      <c r="C1210" s="2" t="inlineStr">
        <is>
          <t>F</t>
        </is>
      </c>
      <c r="D1210" s="2" t="n">
        <v>100</v>
      </c>
      <c r="E1210" s="4">
        <f>HYPERLINK("./Results/DLO\20180401_1.3.12.2.1107.5.1.4.54310.30000018040523200193700003141_2_512_512_\Osteo_Sarco_1.png","RPT")</f>
        <v/>
      </c>
      <c r="F1210" s="3" t="n">
        <v>110</v>
      </c>
      <c r="G1210" s="3" t="n">
        <v>15</v>
      </c>
      <c r="H1210" s="6" t="n">
        <v>25.73</v>
      </c>
      <c r="I1210" t="inlineStr">
        <is>
          <t>Sensation 64</t>
        </is>
      </c>
      <c r="J1210" t="inlineStr">
        <is>
          <t>With Contrast 3.0 B30f</t>
        </is>
      </c>
    </row>
    <row r="1211">
      <c r="A1211" s="2" t="n">
        <v>5723155</v>
      </c>
      <c r="B1211" s="2" t="n">
        <v>65</v>
      </c>
      <c r="C1211" s="2" t="inlineStr">
        <is>
          <t>F</t>
        </is>
      </c>
      <c r="D1211" s="2" t="n">
        <v>100</v>
      </c>
      <c r="E1211" s="4">
        <f>HYPERLINK("./Results/DLO\20180801_1.3.46.670589.33.1.63669490273916970400001.5364659182771128693_201_512_512_\Osteo_Sarco_1.png","RPT")</f>
        <v/>
      </c>
      <c r="F1211" s="3" t="n">
        <v>107</v>
      </c>
      <c r="G1211" s="3" t="n">
        <v>10</v>
      </c>
      <c r="H1211" s="7" t="n"/>
      <c r="I1211" t="inlineStr">
        <is>
          <t>Ingenuity Core 128</t>
        </is>
      </c>
      <c r="J1211" t="inlineStr">
        <is>
          <t>Post 100/236 i3, iDose (3)</t>
        </is>
      </c>
    </row>
    <row r="1212">
      <c r="A1212" s="2" t="n">
        <v>6086217</v>
      </c>
      <c r="B1212" s="2" t="n">
        <v>65</v>
      </c>
      <c r="C1212" s="2" t="inlineStr">
        <is>
          <t>F</t>
        </is>
      </c>
      <c r="D1212" s="2" t="n">
        <v>100</v>
      </c>
      <c r="E1212" s="4">
        <f>HYPERLINK("./Results/DLO\20180401_1.3.12.2.1107.5.1.4.54310.30000018040123083078100005638_2_512_512_\Osteo_Sarco_1.png","RPT")</f>
        <v/>
      </c>
      <c r="F1212" s="3" t="n">
        <v>106</v>
      </c>
      <c r="G1212" s="3" t="n">
        <v>8</v>
      </c>
      <c r="H1212" s="7" t="n"/>
      <c r="I1212" t="inlineStr">
        <is>
          <t>Sensation 64</t>
        </is>
      </c>
      <c r="J1212" t="inlineStr">
        <is>
          <t>With Contrast 3.0 B30f</t>
        </is>
      </c>
    </row>
    <row r="1213">
      <c r="A1213" s="2" t="n">
        <v>3123463</v>
      </c>
      <c r="B1213" s="2" t="n">
        <v>65</v>
      </c>
      <c r="C1213" s="2" t="inlineStr">
        <is>
          <t>F</t>
        </is>
      </c>
      <c r="D1213" s="2" t="n">
        <v>100</v>
      </c>
      <c r="E1213" s="4">
        <f>HYPERLINK("./Results/DLO\20190801_1.3.12.2.1107.5.1.4.54310.30000019081122344496800029837_2_512_512_\Osteo_Sarco_1.png","RPT")</f>
        <v/>
      </c>
      <c r="F1213" s="3" t="n">
        <v>106</v>
      </c>
      <c r="G1213" s="3" t="n">
        <v>7</v>
      </c>
      <c r="H1213" s="6" t="n">
        <v>30.24</v>
      </c>
      <c r="I1213" t="inlineStr">
        <is>
          <t>Sensation 64</t>
        </is>
      </c>
      <c r="J1213" t="inlineStr">
        <is>
          <t>With Contrast 3.0 B30f</t>
        </is>
      </c>
    </row>
    <row r="1214">
      <c r="A1214" s="2" t="n">
        <v>6741326</v>
      </c>
      <c r="B1214" s="2" t="n">
        <v>65</v>
      </c>
      <c r="C1214" s="2" t="inlineStr">
        <is>
          <t>F</t>
        </is>
      </c>
      <c r="D1214" s="2" t="n">
        <v>100</v>
      </c>
      <c r="E1214" s="4">
        <f>HYPERLINK("./Results/DLO\20180401_1.3.12.2.1107.5.1.4.65253.30000018042321504630500029043_2_512_512_\Osteo_Sarco_1.png","RPT")</f>
        <v/>
      </c>
      <c r="F1214" s="3" t="n">
        <v>105</v>
      </c>
      <c r="G1214" s="3" t="n">
        <v>5</v>
      </c>
      <c r="H1214" s="7" t="n"/>
      <c r="I1214" t="inlineStr">
        <is>
          <t>SOMATOM Definition AS</t>
        </is>
      </c>
      <c r="J1214" t="inlineStr">
        <is>
          <t>With Contrast 3.0 B30f</t>
        </is>
      </c>
    </row>
    <row r="1215">
      <c r="A1215" s="2" t="n">
        <v>5022511</v>
      </c>
      <c r="B1215" s="2" t="n">
        <v>65</v>
      </c>
      <c r="C1215" s="2" t="inlineStr">
        <is>
          <t>F</t>
        </is>
      </c>
      <c r="D1215" s="2" t="n">
        <v>100</v>
      </c>
      <c r="E1215" s="4">
        <f>HYPERLINK("./Results/DLO\20180501_1.2.840.113619.2.311.271113021956068627703543587579902210870_304_512_512_\Osteo_Sarco_1.png","RPT")</f>
        <v/>
      </c>
      <c r="F1215" s="3" t="n">
        <v>104</v>
      </c>
      <c r="G1215" s="3" t="n">
        <v>7</v>
      </c>
      <c r="H1215" s="7" t="n"/>
      <c r="I1215" t="inlineStr">
        <is>
          <t>Revolution CT</t>
        </is>
      </c>
      <c r="J1215" t="inlineStr">
        <is>
          <t>ABD 2.5mm</t>
        </is>
      </c>
    </row>
    <row r="1216">
      <c r="A1216" s="2" t="n">
        <v>1400938</v>
      </c>
      <c r="B1216" s="2" t="n">
        <v>65</v>
      </c>
      <c r="C1216" s="2" t="inlineStr">
        <is>
          <t>F</t>
        </is>
      </c>
      <c r="D1216" s="2" t="n">
        <v>100</v>
      </c>
      <c r="E1216" s="4">
        <f>HYPERLINK("./Results/DLO\20180701_1.2.840.113619.2.94.485650834948.2.8961813.19430180.1_304_512_512_\Osteo_Sarco_1.png","RPT")</f>
        <v/>
      </c>
      <c r="F1216" s="3" t="n">
        <v>97</v>
      </c>
      <c r="G1216" s="3" t="n">
        <v>10</v>
      </c>
      <c r="H1216" s="6" t="n">
        <v>16.78</v>
      </c>
      <c r="I1216" t="inlineStr">
        <is>
          <t>Revolution CT</t>
        </is>
      </c>
      <c r="J1216" t="inlineStr">
        <is>
          <t>ABD 2.5mm</t>
        </is>
      </c>
    </row>
    <row r="1217">
      <c r="A1217" s="2" t="n">
        <v>5674393</v>
      </c>
      <c r="B1217" s="2" t="n">
        <v>66</v>
      </c>
      <c r="C1217" s="2" t="inlineStr">
        <is>
          <t>F</t>
        </is>
      </c>
      <c r="D1217" s="2" t="n">
        <v>100</v>
      </c>
      <c r="E1217" s="4">
        <f>HYPERLINK("./Results/DLO\20180301_1.3.12.2.1107.5.1.4.54310.30000018030623290892100000465_2_512_512_\Osteo_Sarco_1.png","RPT")</f>
        <v/>
      </c>
      <c r="F1217" s="3" t="n">
        <v>99</v>
      </c>
      <c r="G1217" s="3" t="n">
        <v>6</v>
      </c>
      <c r="H1217" s="7" t="n"/>
      <c r="I1217" t="inlineStr">
        <is>
          <t>Sensation 64</t>
        </is>
      </c>
      <c r="J1217" t="inlineStr">
        <is>
          <t>With Contrast 3.0 B30f</t>
        </is>
      </c>
    </row>
    <row r="1218">
      <c r="A1218" s="2" t="n">
        <v>3340021</v>
      </c>
      <c r="B1218" s="2" t="n">
        <v>66</v>
      </c>
      <c r="C1218" s="2" t="inlineStr">
        <is>
          <t>F</t>
        </is>
      </c>
      <c r="D1218" s="2" t="n">
        <v>100</v>
      </c>
      <c r="E1218" s="4">
        <f>HYPERLINK("./Results/DLO\20180301_1.3.12.2.1107.5.1.4.54310.30000018030623114193700018437_2_512_512_\Osteo_Sarco_1.png","RPT")</f>
        <v/>
      </c>
      <c r="F1218" s="3" t="n">
        <v>97</v>
      </c>
      <c r="G1218" s="3" t="n">
        <v>10</v>
      </c>
      <c r="H1218" s="7" t="n"/>
      <c r="I1218" t="inlineStr">
        <is>
          <t>Sensation 64</t>
        </is>
      </c>
      <c r="J1218" t="inlineStr">
        <is>
          <t>With Contrast 3.0 B30f</t>
        </is>
      </c>
    </row>
    <row r="1219">
      <c r="A1219" s="2" t="n">
        <v>3894275</v>
      </c>
      <c r="B1219" s="2" t="n">
        <v>66</v>
      </c>
      <c r="C1219" s="2" t="inlineStr">
        <is>
          <t>F</t>
        </is>
      </c>
      <c r="D1219" s="2" t="n">
        <v>100</v>
      </c>
      <c r="E1219" s="4">
        <f>HYPERLINK("./Results/DLO\20180301_1.3.12.2.1107.5.1.4.65253.30000018031501281491200000754_2_512_512_\Osteo_Sarco_1.png","RPT")</f>
        <v/>
      </c>
      <c r="F1219" s="3" t="n">
        <v>96</v>
      </c>
      <c r="G1219" s="3" t="n">
        <v>20</v>
      </c>
      <c r="H1219" s="6" t="n">
        <v>23.31</v>
      </c>
      <c r="I1219" t="inlineStr">
        <is>
          <t>SOMATOM Definition AS</t>
        </is>
      </c>
      <c r="J1219" t="inlineStr">
        <is>
          <t>W/O Contrast 3.0 B30f</t>
        </is>
      </c>
    </row>
    <row r="1220">
      <c r="A1220" s="2" t="n">
        <v>2491286</v>
      </c>
      <c r="B1220" s="2" t="n">
        <v>66</v>
      </c>
      <c r="C1220" s="2" t="inlineStr">
        <is>
          <t>F</t>
        </is>
      </c>
      <c r="D1220" s="2" t="n">
        <v>100</v>
      </c>
      <c r="E1220" s="4">
        <f>HYPERLINK("./Results/DLO\20181201_1.3.46.670589.33.1.63680118900452594900001.5644952929415899837_201_512_512_\Osteo_Sarco_1.png","RPT")</f>
        <v/>
      </c>
      <c r="F1220" s="3" t="n">
        <v>96</v>
      </c>
      <c r="G1220" s="3" t="n">
        <v>5</v>
      </c>
      <c r="H1220" s="7" t="n"/>
      <c r="I1220" t="inlineStr">
        <is>
          <t>Ingenuity Core 128</t>
        </is>
      </c>
      <c r="J1220" t="inlineStr">
        <is>
          <t>Post 100/236 i3, iDose (3)</t>
        </is>
      </c>
    </row>
    <row r="1221">
      <c r="A1221" s="2" t="n">
        <v>5705745</v>
      </c>
      <c r="B1221" s="2" t="n">
        <v>66</v>
      </c>
      <c r="C1221" s="2" t="inlineStr">
        <is>
          <t>F</t>
        </is>
      </c>
      <c r="D1221" s="2" t="n">
        <v>100</v>
      </c>
      <c r="E1221" s="4">
        <f>HYPERLINK("./Results/DLO\20180401_1.3.12.2.1107.5.1.4.54310.30000018042323110564000005024_2_512_512_\Osteo_Sarco_1.png","RPT")</f>
        <v/>
      </c>
      <c r="F1221" s="3" t="n">
        <v>94</v>
      </c>
      <c r="G1221" s="3" t="n">
        <v>12</v>
      </c>
      <c r="H1221" s="7" t="n"/>
      <c r="I1221" t="inlineStr">
        <is>
          <t>Sensation 64</t>
        </is>
      </c>
      <c r="J1221" t="inlineStr">
        <is>
          <t>With Contrast 3.0 B30f</t>
        </is>
      </c>
    </row>
    <row r="1222">
      <c r="A1222" s="2" t="n">
        <v>9727137</v>
      </c>
      <c r="B1222" s="2" t="n">
        <v>66</v>
      </c>
      <c r="C1222" s="2" t="inlineStr">
        <is>
          <t>M</t>
        </is>
      </c>
      <c r="D1222" s="2" t="n">
        <v>100</v>
      </c>
      <c r="E1222" s="4">
        <f>HYPERLINK("./Results/DLO\20190701_1.3.12.2.1107.5.1.4.54310.30000019070721291192100051365_4_512_512_\Osteo_Sarco_1.png","RPT")</f>
        <v/>
      </c>
      <c r="F1222" s="3" t="n">
        <v>94</v>
      </c>
      <c r="G1222" s="3" t="n">
        <v>4</v>
      </c>
      <c r="H1222" s="6" t="n">
        <v>18.49</v>
      </c>
      <c r="I1222" t="inlineStr">
        <is>
          <t>Sensation 64</t>
        </is>
      </c>
      <c r="J1222" t="inlineStr">
        <is>
          <t>Arterial 3.0 B30f</t>
        </is>
      </c>
    </row>
    <row r="1223">
      <c r="A1223" s="2" t="n">
        <v>5509970</v>
      </c>
      <c r="B1223" s="2" t="n">
        <v>66</v>
      </c>
      <c r="C1223" s="2" t="inlineStr">
        <is>
          <t>F</t>
        </is>
      </c>
      <c r="D1223" s="2" t="n">
        <v>100</v>
      </c>
      <c r="E1223" s="4">
        <f>HYPERLINK("./Results/DLO\20190801_1.3.12.2.1107.5.1.4.65253.30000019082918300811400038937_2_512_512_\Osteo_Sarco_1.png","RPT")</f>
        <v/>
      </c>
      <c r="F1223" s="3" t="n">
        <v>92</v>
      </c>
      <c r="G1223" s="3" t="n">
        <v>10</v>
      </c>
      <c r="H1223" s="7" t="n"/>
      <c r="I1223" t="inlineStr">
        <is>
          <t>SOMATOM Definition AS</t>
        </is>
      </c>
      <c r="J1223" t="inlineStr">
        <is>
          <t>Pre Contrast 3.0 B30f</t>
        </is>
      </c>
    </row>
    <row r="1224">
      <c r="A1224" s="2" t="n">
        <v>5394483</v>
      </c>
      <c r="B1224" s="2" t="n">
        <v>66</v>
      </c>
      <c r="C1224" s="2" t="inlineStr">
        <is>
          <t>F</t>
        </is>
      </c>
      <c r="D1224" s="2" t="n">
        <v>100</v>
      </c>
      <c r="E1224" s="4">
        <f>HYPERLINK("./Results/DLO\20191001_1.2.840.113619.2.416.239167574522727094177485946241085638810_310_512_512_\Osteo_Sarco_1.png","RPT")</f>
        <v/>
      </c>
      <c r="F1224" s="3" t="n">
        <v>90</v>
      </c>
      <c r="G1224" s="3" t="n">
        <v>10</v>
      </c>
      <c r="H1224" s="6" t="n">
        <v>23.31</v>
      </c>
      <c r="I1224" t="inlineStr">
        <is>
          <t>Revolution CT</t>
        </is>
      </c>
      <c r="J1224" t="inlineStr">
        <is>
          <t>ABD</t>
        </is>
      </c>
    </row>
    <row r="1225">
      <c r="A1225" s="2" t="n">
        <v>6037579</v>
      </c>
      <c r="B1225" s="2" t="n">
        <v>66</v>
      </c>
      <c r="C1225" s="2" t="inlineStr">
        <is>
          <t>F</t>
        </is>
      </c>
      <c r="D1225" s="2" t="n">
        <v>100</v>
      </c>
      <c r="E1225" s="4">
        <f>HYPERLINK("./Results/DLO\20181001_1.3.12.2.1107.5.1.4.54310.30000018101423484621800004746_2_512_512_\Osteo_Sarco_1.png","RPT")</f>
        <v/>
      </c>
      <c r="F1225" s="3" t="n">
        <v>87</v>
      </c>
      <c r="G1225" s="3" t="n">
        <v>8</v>
      </c>
      <c r="H1225" s="7" t="n"/>
      <c r="I1225" t="inlineStr">
        <is>
          <t>Sensation 64</t>
        </is>
      </c>
      <c r="J1225" t="inlineStr">
        <is>
          <t>With Contrast 3.0 B30f</t>
        </is>
      </c>
    </row>
    <row r="1226">
      <c r="A1226" s="2" t="n">
        <v>2437651</v>
      </c>
      <c r="B1226" s="2" t="n">
        <v>66</v>
      </c>
      <c r="C1226" s="2" t="inlineStr">
        <is>
          <t>F</t>
        </is>
      </c>
      <c r="D1226" s="2" t="n">
        <v>100</v>
      </c>
      <c r="E1226" s="4">
        <f>HYPERLINK("./Results/DLO\20180101_1.3.12.2.1107.5.1.4.65253.30000018012401533305800000205_2_512_512_\Osteo_Sarco_1.png","RPT")</f>
        <v/>
      </c>
      <c r="F1226" s="3" t="n">
        <v>82</v>
      </c>
      <c r="G1226" s="3" t="n">
        <v>9</v>
      </c>
      <c r="H1226" s="7" t="n"/>
      <c r="I1226" t="inlineStr">
        <is>
          <t>SOMATOM Definition AS</t>
        </is>
      </c>
      <c r="J1226" t="inlineStr">
        <is>
          <t>With Contrast 3.0 B40f</t>
        </is>
      </c>
    </row>
    <row r="1227">
      <c r="A1227" s="2" t="n">
        <v>5028408</v>
      </c>
      <c r="B1227" s="2" t="n">
        <v>66</v>
      </c>
      <c r="C1227" s="2" t="inlineStr">
        <is>
          <t>F</t>
        </is>
      </c>
      <c r="D1227" s="2" t="n">
        <v>100</v>
      </c>
      <c r="E1227" s="4">
        <f>HYPERLINK("./Results/DLO\20180601_1.2.840.113619.2.416.239452496526436264430299001448428591834_304_512_512_\Osteo_Sarco_1.png","RPT")</f>
        <v/>
      </c>
      <c r="F1227" s="3" t="n">
        <v>82</v>
      </c>
      <c r="G1227" s="3" t="n">
        <v>12</v>
      </c>
      <c r="H1227" s="7" t="n"/>
      <c r="I1227" t="inlineStr">
        <is>
          <t>Revolution CT</t>
        </is>
      </c>
      <c r="J1227" t="inlineStr">
        <is>
          <t>ABD 2.5mm</t>
        </is>
      </c>
    </row>
    <row r="1228">
      <c r="A1228" s="2" t="n">
        <v>5703569</v>
      </c>
      <c r="B1228" s="2" t="n">
        <v>66</v>
      </c>
      <c r="C1228" s="2" t="inlineStr">
        <is>
          <t>F</t>
        </is>
      </c>
      <c r="D1228" s="2" t="n">
        <v>100</v>
      </c>
      <c r="E1228" s="4">
        <f>HYPERLINK("./Results/DLO\20190101_1.2.840.113619.2.311.226382789470519353840476473261389261910_304_512_512_\Osteo_Sarco_1.png","RPT")</f>
        <v/>
      </c>
      <c r="F1228" s="3" t="n">
        <v>82</v>
      </c>
      <c r="G1228" s="3" t="n">
        <v>6</v>
      </c>
      <c r="H1228" s="7" t="n"/>
      <c r="I1228" t="inlineStr">
        <is>
          <t>Revolution CT</t>
        </is>
      </c>
      <c r="J1228" t="inlineStr">
        <is>
          <t>ABD 2.5mm</t>
        </is>
      </c>
    </row>
    <row r="1229">
      <c r="A1229" s="2" t="n">
        <v>5253702</v>
      </c>
      <c r="B1229" s="2" t="n">
        <v>66</v>
      </c>
      <c r="C1229" s="2" t="inlineStr">
        <is>
          <t>M</t>
        </is>
      </c>
      <c r="D1229" s="2" t="n">
        <v>100</v>
      </c>
      <c r="E1229" s="4">
        <f>HYPERLINK("./Results/DLO\20180201_1.2.840.113619.2.311.140153554238661793924725868696225691547_304_512_512_\Osteo_Sarco_1.png","RPT")</f>
        <v/>
      </c>
      <c r="F1229" s="3" t="n">
        <v>70</v>
      </c>
      <c r="G1229" s="3" t="n">
        <v>2</v>
      </c>
      <c r="H1229" s="6" t="n">
        <v>21.26</v>
      </c>
      <c r="I1229" t="inlineStr">
        <is>
          <t>Revolution CT</t>
        </is>
      </c>
      <c r="J1229" t="inlineStr">
        <is>
          <t>ABD 2.5mm</t>
        </is>
      </c>
    </row>
    <row r="1230">
      <c r="A1230" s="2" t="n">
        <v>2056764</v>
      </c>
      <c r="B1230" s="2" t="n">
        <v>66</v>
      </c>
      <c r="C1230" s="2" t="inlineStr">
        <is>
          <t>M</t>
        </is>
      </c>
      <c r="D1230" s="2" t="n">
        <v>100</v>
      </c>
      <c r="E1230" s="4">
        <f>HYPERLINK("./Results/DLO\20180601_1.3.12.2.1107.5.1.4.54310.30000018053123305925000003045_2_512_512_\Osteo_Sarco_1.png","RPT")</f>
        <v/>
      </c>
      <c r="F1230" s="3" t="n">
        <v>181</v>
      </c>
      <c r="G1230" s="3" t="n">
        <v>11</v>
      </c>
      <c r="H1230" s="7" t="n"/>
      <c r="I1230" t="inlineStr">
        <is>
          <t>Sensation 64</t>
        </is>
      </c>
      <c r="J1230" t="inlineStr">
        <is>
          <t>With Contrast 3.0 B30f</t>
        </is>
      </c>
    </row>
    <row r="1231">
      <c r="A1231" s="2" t="n">
        <v>3344618</v>
      </c>
      <c r="B1231" s="2" t="n">
        <v>66</v>
      </c>
      <c r="C1231" s="2" t="inlineStr">
        <is>
          <t>M</t>
        </is>
      </c>
      <c r="D1231" s="2" t="n">
        <v>100</v>
      </c>
      <c r="E1231" s="4">
        <f>HYPERLINK("./Results/DLO\20190301_1.3.46.670589.33.1.63687998439836361200001.5762896598361634052_201_512_512_\Osteo_Sarco_1.png","RPT")</f>
        <v/>
      </c>
      <c r="F1231" s="3" t="n">
        <v>166</v>
      </c>
      <c r="G1231" s="3" t="n">
        <v>14</v>
      </c>
      <c r="H1231" s="6" t="n">
        <v>24.19</v>
      </c>
      <c r="I1231" t="inlineStr">
        <is>
          <t>Ingenuity Core 128</t>
        </is>
      </c>
      <c r="J1231" t="inlineStr">
        <is>
          <t>Pre 3mm, iDose (4)</t>
        </is>
      </c>
    </row>
    <row r="1232">
      <c r="A1232" s="2" t="n">
        <v>5027690</v>
      </c>
      <c r="B1232" s="2" t="n">
        <v>66</v>
      </c>
      <c r="C1232" s="2" t="inlineStr">
        <is>
          <t>M</t>
        </is>
      </c>
      <c r="D1232" s="2" t="n">
        <v>100</v>
      </c>
      <c r="E1232" s="4">
        <f>HYPERLINK("./Results/DLO\20190201_1.2.840.113619.2.311.209856016570805583132519547062979688533_304_512_512_\Osteo_Sarco_1.png","RPT")</f>
        <v/>
      </c>
      <c r="F1232" s="3" t="n">
        <v>162</v>
      </c>
      <c r="G1232" s="3" t="n">
        <v>15</v>
      </c>
      <c r="H1232" s="6" t="n">
        <v>25.86</v>
      </c>
      <c r="I1232" t="inlineStr">
        <is>
          <t>Revolution CT</t>
        </is>
      </c>
      <c r="J1232" t="inlineStr">
        <is>
          <t>ABD 2.5mm</t>
        </is>
      </c>
    </row>
    <row r="1233">
      <c r="A1233" s="2" t="n">
        <v>5605727</v>
      </c>
      <c r="B1233" s="2" t="n">
        <v>66</v>
      </c>
      <c r="C1233" s="2" t="inlineStr">
        <is>
          <t>M</t>
        </is>
      </c>
      <c r="D1233" s="2" t="n">
        <v>100</v>
      </c>
      <c r="E1233" s="4">
        <f>HYPERLINK("./Results/DLO\20191201_1.3.12.2.1107.5.1.4.54310.30000019120222244193700010569_2_512_512_\Osteo_Sarco_1.png","RPT")</f>
        <v/>
      </c>
      <c r="F1233" s="3" t="n">
        <v>161</v>
      </c>
      <c r="G1233" s="3" t="n">
        <v>6</v>
      </c>
      <c r="H1233" s="7" t="n"/>
      <c r="I1233" t="inlineStr">
        <is>
          <t>Sensation 64</t>
        </is>
      </c>
      <c r="J1233" t="inlineStr">
        <is>
          <t>With Contrast 3.0 B30f</t>
        </is>
      </c>
    </row>
    <row r="1234">
      <c r="A1234" s="2" t="n">
        <v>9814061</v>
      </c>
      <c r="B1234" s="2" t="n">
        <v>66</v>
      </c>
      <c r="C1234" s="2" t="inlineStr">
        <is>
          <t>M</t>
        </is>
      </c>
      <c r="D1234" s="2" t="n">
        <v>100</v>
      </c>
      <c r="E1234" s="4">
        <f>HYPERLINK("./Results/DLO\20191001_1.3.12.2.1107.5.1.4.65253.30000019102220114824900005782_2_512_512_\Osteo_Sarco_1.png","RPT")</f>
        <v/>
      </c>
      <c r="F1234" s="3" t="n">
        <v>158</v>
      </c>
      <c r="G1234" s="3" t="n">
        <v>15</v>
      </c>
      <c r="H1234" s="6" t="n">
        <v>21.41</v>
      </c>
      <c r="I1234" t="inlineStr">
        <is>
          <t>SOMATOM Definition AS</t>
        </is>
      </c>
      <c r="J1234" t="inlineStr">
        <is>
          <t>Pre Contrast 3.0 B30f</t>
        </is>
      </c>
    </row>
    <row r="1235">
      <c r="A1235" s="2" t="n">
        <v>9853914</v>
      </c>
      <c r="B1235" s="2" t="n">
        <v>66</v>
      </c>
      <c r="C1235" s="2" t="inlineStr">
        <is>
          <t>M</t>
        </is>
      </c>
      <c r="D1235" s="2" t="n">
        <v>100</v>
      </c>
      <c r="E1235" s="4">
        <f>HYPERLINK("./Results/DLO\20191201_1.3.46.670589.33.1.63711049804469782900001.4627041820548518348_601_512_512_\Osteo_Sarco_1.png","RPT")</f>
        <v/>
      </c>
      <c r="F1235" s="3" t="n">
        <v>157</v>
      </c>
      <c r="G1235" s="3" t="n">
        <v>7</v>
      </c>
      <c r="H1235" s="6" t="n">
        <v>26.57</v>
      </c>
      <c r="I1235" t="inlineStr">
        <is>
          <t>Ingenuity Core 128</t>
        </is>
      </c>
      <c r="J1235" t="inlineStr">
        <is>
          <t>Post 3mm, iDose (3)</t>
        </is>
      </c>
    </row>
    <row r="1236">
      <c r="A1236" s="2" t="n">
        <v>8756313</v>
      </c>
      <c r="B1236" s="2" t="n">
        <v>66</v>
      </c>
      <c r="C1236" s="2" t="inlineStr">
        <is>
          <t>M</t>
        </is>
      </c>
      <c r="D1236" s="2" t="n">
        <v>100</v>
      </c>
      <c r="E1236" s="4">
        <f>HYPERLINK("./Results/DLO\20180701_1.2.840.113619.2.94.485650834948.2.8930447.19354060.1_2_512_512_\Osteo_Sarco_1.png","RPT")</f>
        <v/>
      </c>
      <c r="F1236" s="3" t="n">
        <v>149</v>
      </c>
      <c r="G1236" s="3" t="n">
        <v>9</v>
      </c>
      <c r="H1236" s="6" t="n">
        <v>22.23</v>
      </c>
      <c r="I1236" t="inlineStr">
        <is>
          <t>Sensation 64</t>
        </is>
      </c>
      <c r="J1236" t="inlineStr">
        <is>
          <t>With Contrast 3.0 B30f</t>
        </is>
      </c>
    </row>
    <row r="1237">
      <c r="A1237" s="2" t="n">
        <v>8475956</v>
      </c>
      <c r="B1237" s="2" t="n">
        <v>66</v>
      </c>
      <c r="C1237" s="2" t="inlineStr">
        <is>
          <t>M</t>
        </is>
      </c>
      <c r="D1237" s="2" t="n">
        <v>100</v>
      </c>
      <c r="E1237" s="4">
        <f>HYPERLINK("./Results/DLO\20200501_1.3.46.670589.33.1.63725648751166479800001.4901424780927538066_601_512_512_\Osteo_Sarco_1.png","RPT")</f>
        <v/>
      </c>
      <c r="F1237" s="3" t="n">
        <v>149</v>
      </c>
      <c r="G1237" s="3" t="n">
        <v>7</v>
      </c>
      <c r="H1237" s="7" t="n"/>
      <c r="I1237" t="inlineStr">
        <is>
          <t>Ingenuity Core 128</t>
        </is>
      </c>
      <c r="J1237" t="inlineStr">
        <is>
          <t>Post 3mm, iDose (3)</t>
        </is>
      </c>
    </row>
    <row r="1238">
      <c r="A1238" s="2" t="n">
        <v>6742206</v>
      </c>
      <c r="B1238" s="2" t="n">
        <v>66</v>
      </c>
      <c r="C1238" s="2" t="inlineStr">
        <is>
          <t>M</t>
        </is>
      </c>
      <c r="D1238" s="2" t="n">
        <v>100</v>
      </c>
      <c r="E1238" s="4">
        <f>HYPERLINK("./Results/DLO\20180201_1.3.12.2.1107.5.1.4.65253.30000018020121234697400000815_2_512_512_\Osteo_Sarco_1.png","RPT")</f>
        <v/>
      </c>
      <c r="F1238" s="3" t="n">
        <v>147</v>
      </c>
      <c r="G1238" s="3" t="n">
        <v>14</v>
      </c>
      <c r="H1238" s="6" t="n">
        <v>24.44</v>
      </c>
      <c r="I1238" t="inlineStr">
        <is>
          <t>SOMATOM Definition AS</t>
        </is>
      </c>
      <c r="J1238" t="inlineStr">
        <is>
          <t>With Contrast 3.0 B40f</t>
        </is>
      </c>
    </row>
    <row r="1239">
      <c r="A1239" s="2" t="n">
        <v>4744761</v>
      </c>
      <c r="B1239" s="2" t="n">
        <v>66</v>
      </c>
      <c r="C1239" s="2" t="inlineStr">
        <is>
          <t>M</t>
        </is>
      </c>
      <c r="D1239" s="2" t="n">
        <v>100</v>
      </c>
      <c r="E1239" s="4">
        <f>HYPERLINK("./Results/DLO\20180501_1.3.12.2.1107.5.1.4.54310.30000018052223090782800003705_2_512_512_\Osteo_Sarco_1.png","RPT")</f>
        <v/>
      </c>
      <c r="F1239" s="3" t="n">
        <v>146</v>
      </c>
      <c r="G1239" s="3" t="n">
        <v>11</v>
      </c>
      <c r="H1239" s="7" t="n"/>
      <c r="I1239" t="inlineStr">
        <is>
          <t>Sensation 64</t>
        </is>
      </c>
      <c r="J1239" t="inlineStr">
        <is>
          <t>With Contrast 3.0 B30f</t>
        </is>
      </c>
    </row>
    <row r="1240">
      <c r="A1240" s="2" t="n">
        <v>5028529</v>
      </c>
      <c r="B1240" s="2" t="n">
        <v>66</v>
      </c>
      <c r="C1240" s="2" t="inlineStr">
        <is>
          <t>F</t>
        </is>
      </c>
      <c r="D1240" s="2" t="n">
        <v>100</v>
      </c>
      <c r="E1240" s="4">
        <f>HYPERLINK("./Results/DLO\20190101_1.2.840.113619.2.94.485650834948.2.9373728.20451376.1_2_512_512_\Osteo_Sarco_1.png","RPT")</f>
        <v/>
      </c>
      <c r="F1240" s="3" t="n">
        <v>146</v>
      </c>
      <c r="G1240" s="3" t="n">
        <v>17</v>
      </c>
      <c r="H1240" s="7" t="n"/>
      <c r="I1240" t="inlineStr">
        <is>
          <t>Sensation 64</t>
        </is>
      </c>
      <c r="J1240" t="inlineStr">
        <is>
          <t>With Contrast 3.0 B30f</t>
        </is>
      </c>
    </row>
    <row r="1241">
      <c r="A1241" s="2" t="n">
        <v>8684770</v>
      </c>
      <c r="B1241" s="2" t="n">
        <v>66</v>
      </c>
      <c r="C1241" s="2" t="inlineStr">
        <is>
          <t>M</t>
        </is>
      </c>
      <c r="D1241" s="2" t="n">
        <v>100</v>
      </c>
      <c r="E1241" s="4">
        <f>HYPERLINK("./Results/DLO\20180401_1.3.12.2.1107.5.1.4.54310.30000018041623483203100008617_3_512_512_\Osteo_Sarco_1.png","RPT")</f>
        <v/>
      </c>
      <c r="F1241" s="3" t="n">
        <v>145</v>
      </c>
      <c r="G1241" s="3" t="n">
        <v>10</v>
      </c>
      <c r="H1241" s="7" t="n"/>
      <c r="I1241" t="inlineStr">
        <is>
          <t>Sensation 64</t>
        </is>
      </c>
      <c r="J1241" t="inlineStr">
        <is>
          <t>With Contrast 3.0 B30f</t>
        </is>
      </c>
    </row>
    <row r="1242">
      <c r="A1242" s="2" t="n">
        <v>6157329</v>
      </c>
      <c r="B1242" s="2" t="n">
        <v>66</v>
      </c>
      <c r="C1242" s="2" t="inlineStr">
        <is>
          <t>M</t>
        </is>
      </c>
      <c r="D1242" s="2" t="n">
        <v>100</v>
      </c>
      <c r="E1242" s="4">
        <f>HYPERLINK("./Results/DLO\20190101_1.3.46.670589.33.1.63684446430085656600001.5512956773004774568_201_512_512_\Osteo_Sarco_1.png","RPT")</f>
        <v/>
      </c>
      <c r="F1242" s="3" t="n">
        <v>141</v>
      </c>
      <c r="G1242" s="3" t="n">
        <v>5</v>
      </c>
      <c r="H1242" s="7" t="n"/>
      <c r="I1242" t="inlineStr">
        <is>
          <t>Ingenuity Core 128</t>
        </is>
      </c>
      <c r="J1242" t="inlineStr">
        <is>
          <t>Post 3mm, iDose (3)</t>
        </is>
      </c>
    </row>
    <row r="1243">
      <c r="A1243" s="2" t="n">
        <v>3283124</v>
      </c>
      <c r="B1243" s="2" t="n">
        <v>66</v>
      </c>
      <c r="C1243" s="2" t="inlineStr">
        <is>
          <t>M</t>
        </is>
      </c>
      <c r="D1243" s="2" t="n">
        <v>100</v>
      </c>
      <c r="E1243" s="4">
        <f>HYPERLINK("./Results/DLO\20180101_1.3.12.2.1107.5.1.4.65253.30000018012817275651600068993_2_512_512_\Osteo_Sarco_1.png","RPT")</f>
        <v/>
      </c>
      <c r="F1243" s="3" t="n">
        <v>140</v>
      </c>
      <c r="G1243" s="3" t="n">
        <v>6</v>
      </c>
      <c r="H1243" s="7" t="n"/>
      <c r="I1243" t="inlineStr">
        <is>
          <t>SOMATOM Definition AS</t>
        </is>
      </c>
      <c r="J1243" t="inlineStr">
        <is>
          <t>Pre 3.0 I40f</t>
        </is>
      </c>
    </row>
    <row r="1244">
      <c r="A1244" s="2" t="n">
        <v>9007728</v>
      </c>
      <c r="B1244" s="2" t="n">
        <v>66</v>
      </c>
      <c r="C1244" s="2" t="inlineStr">
        <is>
          <t>M</t>
        </is>
      </c>
      <c r="D1244" s="2" t="n">
        <v>100</v>
      </c>
      <c r="E1244" s="4">
        <f>HYPERLINK("./Results/DLO\20180901_1.3.12.2.1107.5.1.4.54310.30000018091023324887500007106_2_512_512_\Osteo_Sarco_1.png","RPT")</f>
        <v/>
      </c>
      <c r="F1244" s="3" t="n">
        <v>140</v>
      </c>
      <c r="G1244" s="3" t="n">
        <v>4</v>
      </c>
      <c r="H1244" s="6" t="n">
        <v>21.48</v>
      </c>
      <c r="I1244" t="inlineStr">
        <is>
          <t>Sensation 64</t>
        </is>
      </c>
      <c r="J1244" t="inlineStr">
        <is>
          <t>With Contrast 3.0 B30f</t>
        </is>
      </c>
    </row>
    <row r="1245">
      <c r="A1245" s="2" t="n">
        <v>5020837</v>
      </c>
      <c r="B1245" s="2" t="n">
        <v>66</v>
      </c>
      <c r="C1245" s="2" t="inlineStr">
        <is>
          <t>M</t>
        </is>
      </c>
      <c r="D1245" s="2" t="n">
        <v>100</v>
      </c>
      <c r="E1245" s="4">
        <f>HYPERLINK("./Results/DLO\20190901_1.3.12.2.1107.5.1.4.54310.30000019091521212910900016954_8_512_512_\Osteo_Sarco_1.png","RPT")</f>
        <v/>
      </c>
      <c r="F1245" s="3" t="n">
        <v>138</v>
      </c>
      <c r="G1245" s="3" t="n">
        <v>22</v>
      </c>
      <c r="H1245" s="6" t="n">
        <v>27.73</v>
      </c>
      <c r="I1245" t="inlineStr">
        <is>
          <t>Sensation 64</t>
        </is>
      </c>
      <c r="J1245" t="inlineStr">
        <is>
          <t>ABD Contrast 3.0 B30f</t>
        </is>
      </c>
    </row>
    <row r="1246">
      <c r="A1246" s="2" t="n">
        <v>6737408</v>
      </c>
      <c r="B1246" s="2" t="n">
        <v>66</v>
      </c>
      <c r="C1246" s="2" t="inlineStr">
        <is>
          <t>M</t>
        </is>
      </c>
      <c r="D1246" s="2" t="n">
        <v>100</v>
      </c>
      <c r="E1246" s="4">
        <f>HYPERLINK("./Results/DLO\20180501_1.3.12.2.1107.5.1.4.54310.30000018052723073112500005456_2_512_512_\Osteo_Sarco_1.png","RPT")</f>
        <v/>
      </c>
      <c r="F1246" s="3" t="n">
        <v>137</v>
      </c>
      <c r="G1246" s="3" t="n">
        <v>13</v>
      </c>
      <c r="H1246" s="6" t="n">
        <v>20.69</v>
      </c>
      <c r="I1246" t="inlineStr">
        <is>
          <t>Sensation 64</t>
        </is>
      </c>
      <c r="J1246" t="inlineStr">
        <is>
          <t>With Contrast 3.0 B30f</t>
        </is>
      </c>
    </row>
    <row r="1247">
      <c r="A1247" s="2" t="n">
        <v>8423858</v>
      </c>
      <c r="B1247" s="2" t="n">
        <v>66</v>
      </c>
      <c r="C1247" s="2" t="inlineStr">
        <is>
          <t>M</t>
        </is>
      </c>
      <c r="D1247" s="2" t="n">
        <v>100</v>
      </c>
      <c r="E1247" s="4">
        <f>HYPERLINK("./Results/DLO\20181101_1.3.12.2.1107.5.1.4.65253.30000018111118325192100023260_2_512_512_\Osteo_Sarco_1.png","RPT")</f>
        <v/>
      </c>
      <c r="F1247" s="3" t="n">
        <v>133</v>
      </c>
      <c r="G1247" s="3" t="n">
        <v>10</v>
      </c>
      <c r="H1247" s="6" t="n">
        <v>24.34</v>
      </c>
      <c r="I1247" t="inlineStr">
        <is>
          <t>SOMATOM Definition AS</t>
        </is>
      </c>
      <c r="J1247" t="inlineStr">
        <is>
          <t>W/O Contrast 2.0 B30f</t>
        </is>
      </c>
    </row>
    <row r="1248">
      <c r="A1248" s="2" t="n">
        <v>9438736</v>
      </c>
      <c r="B1248" s="2" t="n">
        <v>66</v>
      </c>
      <c r="C1248" s="2" t="inlineStr">
        <is>
          <t>M</t>
        </is>
      </c>
      <c r="D1248" s="2" t="n">
        <v>100</v>
      </c>
      <c r="E1248" s="4">
        <f>HYPERLINK("./Results/DLO\20191201_1.3.12.2.1107.5.1.4.54310.30000019120421024428100050475_3_512_512_\Osteo_Sarco_1.png","RPT")</f>
        <v/>
      </c>
      <c r="F1248" s="3" t="n">
        <v>132</v>
      </c>
      <c r="G1248" s="3" t="n">
        <v>9</v>
      </c>
      <c r="H1248" s="7" t="n"/>
      <c r="I1248" t="inlineStr">
        <is>
          <t>Sensation 64</t>
        </is>
      </c>
      <c r="J1248" t="inlineStr">
        <is>
          <t>Pre Contrast 3.0 B30f</t>
        </is>
      </c>
    </row>
    <row r="1249">
      <c r="A1249" s="2" t="n">
        <v>4170643</v>
      </c>
      <c r="B1249" s="2" t="n">
        <v>66</v>
      </c>
      <c r="C1249" s="2" t="inlineStr">
        <is>
          <t>M</t>
        </is>
      </c>
      <c r="D1249" s="2" t="n">
        <v>100</v>
      </c>
      <c r="E1249" s="4">
        <f>HYPERLINK("./Results/DLO\20200401_1.3.12.2.1107.5.1.4.54310.30000020040622271903100021882_5_512_512_\Osteo_Sarco_1.png","RPT")</f>
        <v/>
      </c>
      <c r="F1249" s="3" t="n">
        <v>129</v>
      </c>
      <c r="G1249" s="3" t="n">
        <v>4</v>
      </c>
      <c r="H1249" s="7" t="n"/>
      <c r="I1249" t="inlineStr">
        <is>
          <t>Sensation 64</t>
        </is>
      </c>
      <c r="J1249" t="inlineStr">
        <is>
          <t>Arterial 3.0 B30f</t>
        </is>
      </c>
    </row>
    <row r="1250">
      <c r="A1250" s="2" t="n">
        <v>5630554</v>
      </c>
      <c r="B1250" s="2" t="n">
        <v>66</v>
      </c>
      <c r="C1250" s="2" t="inlineStr">
        <is>
          <t>M</t>
        </is>
      </c>
      <c r="D1250" s="2" t="n">
        <v>100</v>
      </c>
      <c r="E1250" s="4">
        <f>HYPERLINK("./Results/DLO\20180801_1.3.46.670589.33.1.63668798435862452700001.5541412081777347536_201_512_512_\Osteo_Sarco_1.png","RPT")</f>
        <v/>
      </c>
      <c r="F1250" s="3" t="n">
        <v>126</v>
      </c>
      <c r="G1250" s="3" t="n">
        <v>6</v>
      </c>
      <c r="H1250" s="7" t="n"/>
      <c r="I1250" t="inlineStr">
        <is>
          <t>Ingenuity Core 128</t>
        </is>
      </c>
      <c r="J1250" t="inlineStr">
        <is>
          <t>Pre 100/68 i3, iDose (3)</t>
        </is>
      </c>
    </row>
    <row r="1251">
      <c r="A1251" s="2" t="n">
        <v>2099649</v>
      </c>
      <c r="B1251" s="2" t="n">
        <v>66</v>
      </c>
      <c r="C1251" s="2" t="inlineStr">
        <is>
          <t>F</t>
        </is>
      </c>
      <c r="D1251" s="2" t="n">
        <v>100</v>
      </c>
      <c r="E1251" s="4">
        <f>HYPERLINK("./Results/DLO\20190901_1.3.46.670589.33.1.63704330723635761800001.5199217792338424942_201_512_512_\Osteo_Sarco_1.png","RPT")</f>
        <v/>
      </c>
      <c r="F1251" s="3" t="n">
        <v>126</v>
      </c>
      <c r="G1251" s="3" t="n">
        <v>17</v>
      </c>
      <c r="H1251" s="7" t="n"/>
      <c r="I1251" t="inlineStr">
        <is>
          <t>Ingenuity Core 128</t>
        </is>
      </c>
      <c r="J1251" t="inlineStr">
        <is>
          <t>Pre 3mm, iDose (3)</t>
        </is>
      </c>
    </row>
    <row r="1252">
      <c r="A1252" s="2" t="n">
        <v>8245063</v>
      </c>
      <c r="B1252" s="2" t="n">
        <v>66</v>
      </c>
      <c r="C1252" s="2" t="inlineStr">
        <is>
          <t>M</t>
        </is>
      </c>
      <c r="D1252" s="2" t="n">
        <v>100</v>
      </c>
      <c r="E1252" s="4">
        <f>HYPERLINK("./Results/DLO\20181001_1.3.12.2.1107.5.1.4.54310.30000018101023215771800040784_2_512_512_\Osteo_Sarco_1.png","RPT")</f>
        <v/>
      </c>
      <c r="F1252" s="3" t="n">
        <v>124</v>
      </c>
      <c r="G1252" s="3" t="n">
        <v>15</v>
      </c>
      <c r="H1252" s="6" t="n">
        <v>24.99</v>
      </c>
      <c r="I1252" t="inlineStr">
        <is>
          <t>Sensation 64</t>
        </is>
      </c>
      <c r="J1252" t="inlineStr">
        <is>
          <t>Pre Contrast 3.0 B30f</t>
        </is>
      </c>
    </row>
    <row r="1253">
      <c r="A1253" s="2" t="n">
        <v>5730942</v>
      </c>
      <c r="B1253" s="2" t="n">
        <v>66</v>
      </c>
      <c r="C1253" s="2" t="inlineStr">
        <is>
          <t>M</t>
        </is>
      </c>
      <c r="D1253" s="2" t="n">
        <v>100</v>
      </c>
      <c r="E1253" s="4">
        <f>HYPERLINK("./Results/DLO\20190101_1.2.840.113619.2.311.7990823656808726515366221352532719773_303_512_512_\Osteo_Sarco_1.png","RPT")</f>
        <v/>
      </c>
      <c r="F1253" s="3" t="n">
        <v>124</v>
      </c>
      <c r="G1253" s="3" t="n">
        <v>17</v>
      </c>
      <c r="H1253" s="7" t="n"/>
      <c r="I1253" t="inlineStr">
        <is>
          <t>Revolution CT</t>
        </is>
      </c>
      <c r="J1253" t="inlineStr">
        <is>
          <t>ABD 2.5mm</t>
        </is>
      </c>
    </row>
    <row r="1254">
      <c r="A1254" s="2" t="n">
        <v>6184099</v>
      </c>
      <c r="B1254" s="2" t="n">
        <v>66</v>
      </c>
      <c r="C1254" s="2" t="inlineStr">
        <is>
          <t>F</t>
        </is>
      </c>
      <c r="D1254" s="2" t="n">
        <v>100</v>
      </c>
      <c r="E1254" s="4">
        <f>HYPERLINK("./Results/DLO\20190301_1.3.12.2.1107.5.1.4.54310.30000019030723310753100010436_3_512_512_\Osteo_Sarco_1.png","RPT")</f>
        <v/>
      </c>
      <c r="F1254" s="3" t="n">
        <v>124</v>
      </c>
      <c r="G1254" s="3" t="n">
        <v>10</v>
      </c>
      <c r="H1254" s="7" t="n"/>
      <c r="I1254" t="inlineStr">
        <is>
          <t>Sensation 64</t>
        </is>
      </c>
      <c r="J1254" t="inlineStr">
        <is>
          <t>Pre Contrast 3.0 B30f</t>
        </is>
      </c>
    </row>
    <row r="1255">
      <c r="A1255" s="2" t="n">
        <v>8332648</v>
      </c>
      <c r="B1255" s="2" t="n">
        <v>66</v>
      </c>
      <c r="C1255" s="2" t="inlineStr">
        <is>
          <t>M</t>
        </is>
      </c>
      <c r="D1255" s="2" t="n">
        <v>100</v>
      </c>
      <c r="E1255" s="4">
        <f>HYPERLINK("./Results/DLO\20180301_1.2.840.113619.2.416.181139148714382962716989907052394024392_2_512_512_\Osteo_Sarco_1.png","RPT")</f>
        <v/>
      </c>
      <c r="F1255" s="3" t="n">
        <v>123</v>
      </c>
      <c r="G1255" s="3" t="n">
        <v>7</v>
      </c>
      <c r="H1255" s="6" t="n">
        <v>22.66</v>
      </c>
      <c r="I1255" t="inlineStr">
        <is>
          <t>Revolution CT</t>
        </is>
      </c>
      <c r="J1255" t="inlineStr">
        <is>
          <t>ABD</t>
        </is>
      </c>
    </row>
    <row r="1256">
      <c r="A1256" s="2" t="n">
        <v>5024821</v>
      </c>
      <c r="B1256" s="2" t="n">
        <v>66</v>
      </c>
      <c r="C1256" s="2" t="inlineStr">
        <is>
          <t>F</t>
        </is>
      </c>
      <c r="D1256" s="2" t="n">
        <v>100</v>
      </c>
      <c r="E1256" s="4">
        <f>HYPERLINK("./Results/DLO\20181201_1.2.840.113619.2.416.165842334552648956713140646092288168656_304_512_512_\Osteo_Sarco_1.png","RPT")</f>
        <v/>
      </c>
      <c r="F1256" s="3" t="n">
        <v>123</v>
      </c>
      <c r="G1256" s="3" t="n">
        <v>12</v>
      </c>
      <c r="H1256" s="7" t="n"/>
      <c r="I1256" t="inlineStr">
        <is>
          <t>Revolution CT</t>
        </is>
      </c>
      <c r="J1256" t="inlineStr">
        <is>
          <t>ABD 2.5mm</t>
        </is>
      </c>
    </row>
    <row r="1257">
      <c r="A1257" s="2" t="n">
        <v>4641371</v>
      </c>
      <c r="B1257" s="2" t="n">
        <v>66</v>
      </c>
      <c r="C1257" s="2" t="inlineStr">
        <is>
          <t>M</t>
        </is>
      </c>
      <c r="D1257" s="2" t="n">
        <v>100</v>
      </c>
      <c r="E1257" s="4">
        <f>HYPERLINK("./Results/DLO\20180601_1.3.12.2.1107.5.1.4.54310.30000018053123133718700021380_3_512_512_\Osteo_Sarco_1.png","RPT")</f>
        <v/>
      </c>
      <c r="F1257" s="3" t="n">
        <v>122</v>
      </c>
      <c r="G1257" s="3" t="n">
        <v>8</v>
      </c>
      <c r="H1257" s="7" t="n"/>
      <c r="I1257" t="inlineStr">
        <is>
          <t>Sensation 64</t>
        </is>
      </c>
      <c r="J1257" t="inlineStr">
        <is>
          <t>Pre Contrast 3.0 B30f</t>
        </is>
      </c>
    </row>
    <row r="1258">
      <c r="A1258" s="2" t="n">
        <v>2687074</v>
      </c>
      <c r="B1258" s="2" t="n">
        <v>66</v>
      </c>
      <c r="C1258" s="2" t="inlineStr">
        <is>
          <t>F</t>
        </is>
      </c>
      <c r="D1258" s="2" t="n">
        <v>100</v>
      </c>
      <c r="E1258" s="4">
        <f>HYPERLINK("./Results/DLO\20190501_1.2.840.113619.2.416.214078016382213258817031895811490900043_310_512_512_\Osteo_Sarco_1.png","RPT")</f>
        <v/>
      </c>
      <c r="F1258" s="3" t="n">
        <v>115</v>
      </c>
      <c r="G1258" s="3" t="n">
        <v>11</v>
      </c>
      <c r="H1258" s="6" t="n">
        <v>23.29</v>
      </c>
      <c r="I1258" t="inlineStr">
        <is>
          <t>Revolution CT</t>
        </is>
      </c>
      <c r="J1258" t="inlineStr">
        <is>
          <t>ABD</t>
        </is>
      </c>
    </row>
    <row r="1259">
      <c r="A1259" s="2" t="n">
        <v>8442223</v>
      </c>
      <c r="B1259" s="2" t="n">
        <v>66</v>
      </c>
      <c r="C1259" s="2" t="inlineStr">
        <is>
          <t>F</t>
        </is>
      </c>
      <c r="D1259" s="2" t="n">
        <v>100</v>
      </c>
      <c r="E1259" s="4">
        <f>HYPERLINK("./Results/DLO\20190901_1.3.46.670589.33.1.63704934744198273100001.4899003395628805735_201_512_512_\Osteo_Sarco_1.png","RPT")</f>
        <v/>
      </c>
      <c r="F1259" s="3" t="n">
        <v>115</v>
      </c>
      <c r="G1259" s="3" t="n">
        <v>16</v>
      </c>
      <c r="H1259" s="7" t="n"/>
      <c r="I1259" t="inlineStr">
        <is>
          <t>Ingenuity Core 128</t>
        </is>
      </c>
      <c r="J1259" t="inlineStr">
        <is>
          <t>Pre 3mm, iDose (3)</t>
        </is>
      </c>
    </row>
    <row r="1260">
      <c r="A1260" s="2" t="n">
        <v>8438295</v>
      </c>
      <c r="B1260" s="2" t="n">
        <v>66</v>
      </c>
      <c r="C1260" s="2" t="inlineStr">
        <is>
          <t>F</t>
        </is>
      </c>
      <c r="D1260" s="2" t="n">
        <v>100</v>
      </c>
      <c r="E1260" s="4">
        <f>HYPERLINK("./Results/DLO\20190501_1.3.46.670589.33.1.63693427080520215000001.4661263248934935021_601_512_512_\Osteo_Sarco_1.png","RPT")</f>
        <v/>
      </c>
      <c r="F1260" s="3" t="n">
        <v>110</v>
      </c>
      <c r="G1260" s="3" t="n">
        <v>10</v>
      </c>
      <c r="H1260" s="7" t="n"/>
      <c r="I1260" t="inlineStr">
        <is>
          <t>Ingenuity Core 128</t>
        </is>
      </c>
      <c r="J1260" t="inlineStr">
        <is>
          <t>Post 3mm, iDose (3)</t>
        </is>
      </c>
    </row>
    <row r="1261">
      <c r="A1261" s="2" t="n">
        <v>4696788</v>
      </c>
      <c r="B1261" s="2" t="n">
        <v>66</v>
      </c>
      <c r="C1261" s="2" t="inlineStr">
        <is>
          <t>F</t>
        </is>
      </c>
      <c r="D1261" s="2" t="n">
        <v>100</v>
      </c>
      <c r="E1261" s="4">
        <f>HYPERLINK("./Results/DLO\20191101_1.3.46.670589.33.1.63709165083290443700001.4907982696734198968_201_512_512_\Osteo_Sarco_1.png","RPT")</f>
        <v/>
      </c>
      <c r="F1261" s="3" t="n">
        <v>110</v>
      </c>
      <c r="G1261" s="3" t="n">
        <v>8</v>
      </c>
      <c r="H1261" s="7" t="n"/>
      <c r="I1261" t="inlineStr">
        <is>
          <t>Ingenuity Core 128</t>
        </is>
      </c>
      <c r="J1261" t="inlineStr">
        <is>
          <t>Post 3mm, iDose (3)</t>
        </is>
      </c>
    </row>
    <row r="1262">
      <c r="A1262" s="2" t="n">
        <v>5624678</v>
      </c>
      <c r="B1262" s="2" t="n">
        <v>66</v>
      </c>
      <c r="C1262" s="2" t="inlineStr">
        <is>
          <t>M</t>
        </is>
      </c>
      <c r="D1262" s="2" t="n">
        <v>100</v>
      </c>
      <c r="E1262" s="4">
        <f>HYPERLINK("./Results/DLO\20180401_1.3.12.2.1107.5.1.4.54310.30000018041023080612500018031_2_512_512_\Osteo_Sarco_1.png","RPT")</f>
        <v/>
      </c>
      <c r="F1262" s="3" t="n">
        <v>109</v>
      </c>
      <c r="G1262" s="3" t="n">
        <v>7</v>
      </c>
      <c r="H1262" s="7" t="n"/>
      <c r="I1262" t="inlineStr">
        <is>
          <t>Sensation 64</t>
        </is>
      </c>
      <c r="J1262" t="inlineStr">
        <is>
          <t>With Contrast 3.0 B30f</t>
        </is>
      </c>
    </row>
    <row r="1263">
      <c r="A1263" s="2" t="n">
        <v>9860299</v>
      </c>
      <c r="B1263" s="2" t="n">
        <v>66</v>
      </c>
      <c r="C1263" s="2" t="inlineStr">
        <is>
          <t>F</t>
        </is>
      </c>
      <c r="D1263" s="2" t="n">
        <v>100</v>
      </c>
      <c r="E1263" s="4">
        <f>HYPERLINK("./Results/DLO\20191201_1.2.410.100011.172.24.16.221.6371218414650501061.3_3_512_512_\Osteo_Sarco_1.png","RPT")</f>
        <v/>
      </c>
      <c r="F1263" s="3" t="n">
        <v>108</v>
      </c>
      <c r="G1263" s="3" t="n">
        <v>15</v>
      </c>
      <c r="H1263" s="6" t="n">
        <v>29.13</v>
      </c>
      <c r="I1263" t="inlineStr">
        <is>
          <t>SOMATOM Definition Flabh</t>
        </is>
      </c>
      <c r="J1263" t="inlineStr">
        <is>
          <t>Pre 5.0 I30f 2</t>
        </is>
      </c>
    </row>
    <row r="1264">
      <c r="A1264" s="2" t="n">
        <v>5754546</v>
      </c>
      <c r="B1264" s="2" t="n">
        <v>66</v>
      </c>
      <c r="C1264" s="2" t="inlineStr">
        <is>
          <t>F</t>
        </is>
      </c>
      <c r="D1264" s="2" t="n">
        <v>100</v>
      </c>
      <c r="E1264" s="4">
        <f>HYPERLINK("./Results/DLO\20181201_1.2.840.113619.2.311.306356239874016523689850994089172424417_2_512_512_\Osteo_Sarco_1.png","RPT")</f>
        <v/>
      </c>
      <c r="F1264" s="3" t="n">
        <v>107</v>
      </c>
      <c r="G1264" s="3" t="n">
        <v>9</v>
      </c>
      <c r="H1264" s="7" t="n"/>
      <c r="I1264" t="inlineStr">
        <is>
          <t>Revolution CT</t>
        </is>
      </c>
      <c r="J1264" t="inlineStr">
        <is>
          <t>Pre</t>
        </is>
      </c>
    </row>
    <row r="1265">
      <c r="A1265" s="2" t="n">
        <v>3667291</v>
      </c>
      <c r="B1265" s="2" t="n">
        <v>66</v>
      </c>
      <c r="C1265" s="2" t="inlineStr">
        <is>
          <t>F</t>
        </is>
      </c>
      <c r="D1265" s="2" t="n">
        <v>100</v>
      </c>
      <c r="E1265" s="4">
        <f>HYPERLINK("./Results/DLO\20190301_1.3.12.2.1107.5.1.4.54310.30000019031523462951500000001_3_512_512_\Osteo_Sarco_1.png","RPT")</f>
        <v/>
      </c>
      <c r="F1265" s="3" t="n">
        <v>106</v>
      </c>
      <c r="G1265" s="3" t="n">
        <v>12</v>
      </c>
      <c r="H1265" s="6" t="n">
        <v>21.82</v>
      </c>
      <c r="I1265" t="inlineStr">
        <is>
          <t>Sensation 64</t>
        </is>
      </c>
      <c r="J1265" t="inlineStr">
        <is>
          <t>Pre Contrast 3.0 B30f</t>
        </is>
      </c>
    </row>
    <row r="1266">
      <c r="A1266" s="2" t="n">
        <v>2441172</v>
      </c>
      <c r="B1266" s="2" t="n">
        <v>66</v>
      </c>
      <c r="C1266" s="2" t="inlineStr">
        <is>
          <t>F</t>
        </is>
      </c>
      <c r="D1266" s="2" t="n">
        <v>100</v>
      </c>
      <c r="E1266" s="4">
        <f>HYPERLINK("./Results/DLO\20190901_1.3.12.2.1107.5.1.4.54310.30000019091621180282800035007_7_512_512_\Osteo_Sarco_1.png","RPT")</f>
        <v/>
      </c>
      <c r="F1266" s="3" t="n">
        <v>104</v>
      </c>
      <c r="G1266" s="3" t="n">
        <v>13</v>
      </c>
      <c r="H1266" s="6" t="n">
        <v>22.95</v>
      </c>
      <c r="I1266" t="inlineStr">
        <is>
          <t>Sensation 64</t>
        </is>
      </c>
      <c r="J1266" t="inlineStr">
        <is>
          <t>ABD Contrast 3.0 B30f</t>
        </is>
      </c>
    </row>
    <row r="1267">
      <c r="A1267" s="2" t="n">
        <v>8382147</v>
      </c>
      <c r="B1267" s="2" t="n">
        <v>66</v>
      </c>
      <c r="C1267" s="2" t="inlineStr">
        <is>
          <t>F</t>
        </is>
      </c>
      <c r="D1267" s="2" t="n">
        <v>100</v>
      </c>
      <c r="E1267" s="4">
        <f>HYPERLINK("./Results/DLO\20180801_1.3.12.2.1107.5.1.4.54310.30000018073123323842100005187_2_512_512_\Osteo_Sarco_1.png","RPT")</f>
        <v/>
      </c>
      <c r="F1267" s="3" t="n">
        <v>101</v>
      </c>
      <c r="G1267" s="3" t="n">
        <v>8</v>
      </c>
      <c r="H1267" s="7" t="n"/>
      <c r="I1267" t="inlineStr">
        <is>
          <t>Sensation 64</t>
        </is>
      </c>
      <c r="J1267" t="inlineStr">
        <is>
          <t>With Contrast 3.0 B30f</t>
        </is>
      </c>
    </row>
    <row r="1268">
      <c r="A1268" s="2" t="n">
        <v>5236593</v>
      </c>
      <c r="B1268" s="2" t="n">
        <v>67</v>
      </c>
      <c r="C1268" s="2" t="inlineStr">
        <is>
          <t>F</t>
        </is>
      </c>
      <c r="D1268" s="2" t="n">
        <v>100</v>
      </c>
      <c r="E1268" s="4">
        <f>HYPERLINK("./Results/DLO\20180101_1.3.12.2.1107.5.1.4.54310.30000018012423090118700012554_4_512_512_\Osteo_Sarco_1.png","RPT")</f>
        <v/>
      </c>
      <c r="F1268" s="3" t="n">
        <v>99</v>
      </c>
      <c r="G1268" s="3" t="n">
        <v>8</v>
      </c>
      <c r="H1268" s="7" t="n"/>
      <c r="I1268" t="inlineStr">
        <is>
          <t>Sensation 64</t>
        </is>
      </c>
      <c r="J1268" t="inlineStr">
        <is>
          <t>With Contrast 3.0 B30f</t>
        </is>
      </c>
    </row>
    <row r="1269">
      <c r="A1269" s="2" t="n">
        <v>5805773</v>
      </c>
      <c r="B1269" s="2" t="n">
        <v>67</v>
      </c>
      <c r="C1269" s="2" t="inlineStr">
        <is>
          <t>F</t>
        </is>
      </c>
      <c r="D1269" s="2" t="n">
        <v>100</v>
      </c>
      <c r="E1269" s="4">
        <f>HYPERLINK("./Results/DLO\20181101_1.2.840.113619.2.311.248521916460164517786700158751471377420_304_512_512_\Osteo_Sarco_1.png","RPT")</f>
        <v/>
      </c>
      <c r="F1269" s="3" t="n">
        <v>99</v>
      </c>
      <c r="G1269" s="3" t="n">
        <v>8</v>
      </c>
      <c r="H1269" s="7" t="n"/>
      <c r="I1269" t="inlineStr">
        <is>
          <t>Revolution CT</t>
        </is>
      </c>
      <c r="J1269" t="inlineStr">
        <is>
          <t>ABD 2.5mm</t>
        </is>
      </c>
    </row>
    <row r="1270">
      <c r="A1270" s="2" t="n">
        <v>5705372</v>
      </c>
      <c r="B1270" s="2" t="n">
        <v>67</v>
      </c>
      <c r="C1270" s="2" t="inlineStr">
        <is>
          <t>F</t>
        </is>
      </c>
      <c r="D1270" s="2" t="n">
        <v>100</v>
      </c>
      <c r="E1270" s="4">
        <f>HYPERLINK("./Results/DLO\20180901_1.3.12.2.1107.5.1.4.65253.30000018092821044478800047126_2_512_512_\Osteo_Sarco_1.png","RPT")</f>
        <v/>
      </c>
      <c r="F1270" s="3" t="n">
        <v>95</v>
      </c>
      <c r="G1270" s="3" t="n">
        <v>7</v>
      </c>
      <c r="H1270" s="6" t="n">
        <v>23.92</v>
      </c>
      <c r="I1270" t="inlineStr">
        <is>
          <t>SOMATOM Definition AS</t>
        </is>
      </c>
      <c r="J1270" t="inlineStr">
        <is>
          <t>Pre Contrast 3.0 B30f</t>
        </is>
      </c>
    </row>
    <row r="1271">
      <c r="A1271" s="2" t="n">
        <v>6279354</v>
      </c>
      <c r="B1271" s="2" t="n">
        <v>67</v>
      </c>
      <c r="C1271" s="2" t="inlineStr">
        <is>
          <t>F</t>
        </is>
      </c>
      <c r="D1271" s="2" t="n">
        <v>100</v>
      </c>
      <c r="E1271" s="4">
        <f>HYPERLINK("./Results/DLO\20200501_1.3.46.670589.33.1.63726082919716747900001.5672619739909241678_201_512_512_\Osteo_Sarco_1.png","RPT")</f>
        <v/>
      </c>
      <c r="F1271" s="3" t="n">
        <v>93</v>
      </c>
      <c r="G1271" s="3" t="n">
        <v>10</v>
      </c>
      <c r="H1271" s="7" t="n"/>
      <c r="I1271" t="inlineStr">
        <is>
          <t>Ingenuity Core 128</t>
        </is>
      </c>
      <c r="J1271" t="inlineStr">
        <is>
          <t>Post 3mm, iDose (3)</t>
        </is>
      </c>
    </row>
    <row r="1272">
      <c r="A1272" s="2" t="n">
        <v>8892368</v>
      </c>
      <c r="B1272" s="2" t="n">
        <v>67</v>
      </c>
      <c r="C1272" s="2" t="inlineStr">
        <is>
          <t>F</t>
        </is>
      </c>
      <c r="D1272" s="2" t="n">
        <v>100</v>
      </c>
      <c r="E1272" s="4">
        <f>HYPERLINK("./Results/DLO\20191201_1.3.12.2.1107.5.1.4.54310.30000019122321055301500059728_2_512_512_\Osteo_Sarco_1.png","RPT")</f>
        <v/>
      </c>
      <c r="F1272" s="3" t="n">
        <v>92</v>
      </c>
      <c r="G1272" s="3" t="n">
        <v>8</v>
      </c>
      <c r="H1272" s="7" t="n"/>
      <c r="I1272" t="inlineStr">
        <is>
          <t>Sensation 64</t>
        </is>
      </c>
      <c r="J1272" t="inlineStr">
        <is>
          <t>Pre Contrast 3.0 B30f</t>
        </is>
      </c>
    </row>
    <row r="1273">
      <c r="A1273" s="2" t="n">
        <v>5890265</v>
      </c>
      <c r="B1273" s="2" t="n">
        <v>67</v>
      </c>
      <c r="C1273" s="2" t="inlineStr">
        <is>
          <t>F</t>
        </is>
      </c>
      <c r="D1273" s="2" t="n">
        <v>100</v>
      </c>
      <c r="E1273" s="4">
        <f>HYPERLINK("./Results/DLO\20180501_1.2.840.113619.2.416.115527895837197382365569605534605733254_303_512_512_\Osteo_Sarco_1.png","RPT")</f>
        <v/>
      </c>
      <c r="F1273" s="3" t="n">
        <v>91</v>
      </c>
      <c r="G1273" s="3" t="n">
        <v>15</v>
      </c>
      <c r="H1273" s="7" t="n"/>
      <c r="I1273" t="inlineStr">
        <is>
          <t>Revolution CT</t>
        </is>
      </c>
      <c r="J1273" t="inlineStr">
        <is>
          <t>ABD 2.5mm</t>
        </is>
      </c>
    </row>
    <row r="1274">
      <c r="A1274" s="2" t="n">
        <v>8894980</v>
      </c>
      <c r="B1274" s="2" t="n">
        <v>67</v>
      </c>
      <c r="C1274" s="2" t="inlineStr">
        <is>
          <t>F</t>
        </is>
      </c>
      <c r="D1274" s="2" t="n">
        <v>100</v>
      </c>
      <c r="E1274" s="4">
        <f>HYPERLINK("./Results/DLO\20200601_1.3.46.670589.33.1.63727379250773662500001.5044675511251100013_201_512_512_\Osteo_Sarco_1.png","RPT")</f>
        <v/>
      </c>
      <c r="F1274" s="3" t="n">
        <v>90</v>
      </c>
      <c r="G1274" s="3" t="n">
        <v>11</v>
      </c>
      <c r="H1274" s="7" t="n"/>
      <c r="I1274" t="inlineStr">
        <is>
          <t>Ingenuity Core 128</t>
        </is>
      </c>
      <c r="J1274" t="inlineStr">
        <is>
          <t>Post 3mm, iDose (3)</t>
        </is>
      </c>
    </row>
    <row r="1275">
      <c r="A1275" s="2" t="n">
        <v>4551356</v>
      </c>
      <c r="B1275" s="2" t="n">
        <v>67</v>
      </c>
      <c r="C1275" s="2" t="inlineStr">
        <is>
          <t>F</t>
        </is>
      </c>
      <c r="D1275" s="2" t="n">
        <v>100</v>
      </c>
      <c r="E1275" s="4">
        <f>HYPERLINK("./Results/DLO\20190701_1.3.46.670589.33.1.63697574998334601400001.5446666441284663931_201_512_512_\Osteo_Sarco_1.png","RPT")</f>
        <v/>
      </c>
      <c r="F1275" s="3" t="n">
        <v>89</v>
      </c>
      <c r="G1275" s="3" t="n">
        <v>7</v>
      </c>
      <c r="H1275" s="7" t="n"/>
      <c r="I1275" t="inlineStr">
        <is>
          <t>Ingenuity Core 128</t>
        </is>
      </c>
      <c r="J1275" t="inlineStr">
        <is>
          <t>Post 3mm, iDose (3)</t>
        </is>
      </c>
    </row>
    <row r="1276">
      <c r="A1276" s="2" t="n">
        <v>2153180</v>
      </c>
      <c r="B1276" s="2" t="n">
        <v>67</v>
      </c>
      <c r="C1276" s="2" t="inlineStr">
        <is>
          <t>F</t>
        </is>
      </c>
      <c r="D1276" s="2" t="n">
        <v>100</v>
      </c>
      <c r="E1276" s="4">
        <f>HYPERLINK("./Results/DLO\20200201_1.3.12.2.1107.5.1.4.65253.30000020021921072563400052910_2_512_512_\Osteo_Sarco_1.png","RPT")</f>
        <v/>
      </c>
      <c r="F1276" s="3" t="n">
        <v>89</v>
      </c>
      <c r="G1276" s="3" t="n">
        <v>14</v>
      </c>
      <c r="H1276" s="7" t="n"/>
      <c r="I1276" t="inlineStr">
        <is>
          <t>SOMATOM Definition AS</t>
        </is>
      </c>
      <c r="J1276" t="inlineStr">
        <is>
          <t>W/O Contrast 2.0 B30f</t>
        </is>
      </c>
    </row>
    <row r="1277">
      <c r="A1277" s="2" t="n">
        <v>5305852</v>
      </c>
      <c r="B1277" s="2" t="n">
        <v>67</v>
      </c>
      <c r="C1277" s="2" t="inlineStr">
        <is>
          <t>F</t>
        </is>
      </c>
      <c r="D1277" s="2" t="n">
        <v>100</v>
      </c>
      <c r="E1277" s="4">
        <f>HYPERLINK("./Results/DLO\20181201_1.3.12.2.1107.5.1.4.65253.30000018120319331952300018973_2_512_512_\Osteo_Sarco_1.png","RPT")</f>
        <v/>
      </c>
      <c r="F1277" s="3" t="n">
        <v>86</v>
      </c>
      <c r="G1277" s="3" t="n">
        <v>9</v>
      </c>
      <c r="H1277" s="7" t="n"/>
      <c r="I1277" t="inlineStr">
        <is>
          <t>SOMATOM Definition AS</t>
        </is>
      </c>
      <c r="J1277" t="inlineStr">
        <is>
          <t>Pre Contrast 3.0 B30f</t>
        </is>
      </c>
    </row>
    <row r="1278">
      <c r="A1278" s="2" t="n">
        <v>9832186</v>
      </c>
      <c r="B1278" s="2" t="n">
        <v>67</v>
      </c>
      <c r="C1278" s="2" t="inlineStr">
        <is>
          <t>F</t>
        </is>
      </c>
      <c r="D1278" s="2" t="n">
        <v>100</v>
      </c>
      <c r="E1278" s="4">
        <f>HYPERLINK("./Results/DLO\20191101_1.2.840.113619.2.416.35332897924285766919360998210923878815_310_512_512_\Osteo_Sarco_1.png","RPT")</f>
        <v/>
      </c>
      <c r="F1278" s="3" t="n">
        <v>84</v>
      </c>
      <c r="G1278" s="3" t="n">
        <v>7</v>
      </c>
      <c r="H1278" s="7" t="n"/>
      <c r="I1278" t="inlineStr">
        <is>
          <t>Revolution CT</t>
        </is>
      </c>
      <c r="J1278" t="inlineStr">
        <is>
          <t>ABD</t>
        </is>
      </c>
    </row>
    <row r="1279">
      <c r="A1279" s="2" t="n">
        <v>2886673</v>
      </c>
      <c r="B1279" s="2" t="n">
        <v>67</v>
      </c>
      <c r="C1279" s="2" t="inlineStr">
        <is>
          <t>F</t>
        </is>
      </c>
      <c r="D1279" s="2" t="n">
        <v>100</v>
      </c>
      <c r="E1279" s="4">
        <f>HYPERLINK("./Results/DLO\20180501_1.3.46.670589.33.1.63661457736362369700001.5630304150178232838_201_512_512_\Osteo_Sarco_1.png","RPT")</f>
        <v/>
      </c>
      <c r="F1279" s="3" t="n">
        <v>80</v>
      </c>
      <c r="G1279" s="3" t="n">
        <v>10</v>
      </c>
      <c r="H1279" s="7" t="n"/>
      <c r="I1279" t="inlineStr">
        <is>
          <t>Ingenuity Core 128</t>
        </is>
      </c>
      <c r="J1279" t="inlineStr">
        <is>
          <t>Post 100/236 i3, iDose (3)</t>
        </is>
      </c>
    </row>
    <row r="1280">
      <c r="A1280" s="2" t="n">
        <v>9003229</v>
      </c>
      <c r="B1280" s="2" t="n">
        <v>67</v>
      </c>
      <c r="C1280" s="2" t="inlineStr">
        <is>
          <t>M</t>
        </is>
      </c>
      <c r="D1280" s="2" t="n">
        <v>100</v>
      </c>
      <c r="E1280" s="4">
        <f>HYPERLINK("./Results/DLO\20180601_1.2.840.113619.2.311.272396038590331126332112757001422471473_306_512_512_\Osteo_Sarco_1.png","RPT")</f>
        <v/>
      </c>
      <c r="F1280" s="3" t="n">
        <v>71</v>
      </c>
      <c r="G1280" s="3" t="n">
        <v>5</v>
      </c>
      <c r="H1280" s="6" t="n">
        <v>19.3</v>
      </c>
      <c r="I1280" t="inlineStr">
        <is>
          <t>Revolution CT</t>
        </is>
      </c>
      <c r="J1280" t="inlineStr">
        <is>
          <t>ABD</t>
        </is>
      </c>
    </row>
    <row r="1281">
      <c r="A1281" s="2" t="n">
        <v>4829702</v>
      </c>
      <c r="B1281" s="2" t="n">
        <v>67</v>
      </c>
      <c r="C1281" s="2" t="inlineStr">
        <is>
          <t>M</t>
        </is>
      </c>
      <c r="D1281" s="2" t="n">
        <v>100</v>
      </c>
      <c r="E1281" s="4">
        <f>HYPERLINK("./Results/DLO\20180501_1.3.46.670589.33.1.63661454134121333300001.5371884850050217737_201_512_512_\Osteo_Sarco_1.png","RPT")</f>
        <v/>
      </c>
      <c r="F1281" s="3" t="n">
        <v>181</v>
      </c>
      <c r="G1281" s="3" t="n">
        <v>8</v>
      </c>
      <c r="H1281" s="7" t="n"/>
      <c r="I1281" t="inlineStr">
        <is>
          <t>Ingenuity Core 128</t>
        </is>
      </c>
      <c r="J1281" t="inlineStr">
        <is>
          <t>Post 100/236 i3, iDose (3)</t>
        </is>
      </c>
    </row>
    <row r="1282">
      <c r="A1282" s="2" t="n">
        <v>5823733</v>
      </c>
      <c r="B1282" s="2" t="n">
        <v>67</v>
      </c>
      <c r="C1282" s="2" t="inlineStr">
        <is>
          <t>M</t>
        </is>
      </c>
      <c r="D1282" s="2" t="n">
        <v>100</v>
      </c>
      <c r="E1282" s="4">
        <f>HYPERLINK("./Results/DLO\20190401_1.3.46.670589.33.1.63689988101028911700001.4976408416331922324_201_512_512_\Osteo_Sarco_1.png","RPT")</f>
        <v/>
      </c>
      <c r="F1282" s="3" t="n">
        <v>177</v>
      </c>
      <c r="G1282" s="3" t="n">
        <v>14</v>
      </c>
      <c r="H1282" s="6" t="n">
        <v>29.93</v>
      </c>
      <c r="I1282" t="inlineStr">
        <is>
          <t>Ingenuity Core 128</t>
        </is>
      </c>
      <c r="J1282" t="inlineStr">
        <is>
          <t>Pre 3mm, iDose (3)</t>
        </is>
      </c>
    </row>
    <row r="1283">
      <c r="A1283" s="2" t="n">
        <v>2872235</v>
      </c>
      <c r="B1283" s="2" t="n">
        <v>67</v>
      </c>
      <c r="C1283" s="2" t="inlineStr">
        <is>
          <t>M</t>
        </is>
      </c>
      <c r="D1283" s="2" t="n">
        <v>100</v>
      </c>
      <c r="E1283" s="4">
        <f>HYPERLINK("./Results/DLO\20180201_1.3.46.670589.33.1.63654804731365775600001.5030564687055886797_201_512_512_\Osteo_Sarco_1.png","RPT")</f>
        <v/>
      </c>
      <c r="F1283" s="3" t="n">
        <v>173</v>
      </c>
      <c r="G1283" s="3" t="n">
        <v>8</v>
      </c>
      <c r="H1283" s="7" t="n"/>
      <c r="I1283" t="inlineStr">
        <is>
          <t>Ingenuity Core 128</t>
        </is>
      </c>
      <c r="J1283" t="inlineStr">
        <is>
          <t>Post 100/236 i3, iDose (3)</t>
        </is>
      </c>
    </row>
    <row r="1284">
      <c r="A1284" s="2" t="n">
        <v>5121596</v>
      </c>
      <c r="B1284" s="2" t="n">
        <v>67</v>
      </c>
      <c r="C1284" s="2" t="inlineStr">
        <is>
          <t>M</t>
        </is>
      </c>
      <c r="D1284" s="2" t="n">
        <v>100</v>
      </c>
      <c r="E1284" s="4">
        <f>HYPERLINK("./Results/DLO\20180801_1.3.12.2.1107.5.1.4.54310.30000018081923063898400033722_6_512_512_\Osteo_Sarco_1.png","RPT")</f>
        <v/>
      </c>
      <c r="F1284" s="3" t="n">
        <v>171</v>
      </c>
      <c r="G1284" s="3" t="n">
        <v>20</v>
      </c>
      <c r="H1284" s="6" t="n">
        <v>30.82</v>
      </c>
      <c r="I1284" t="inlineStr">
        <is>
          <t>Sensation 64</t>
        </is>
      </c>
      <c r="J1284" t="inlineStr">
        <is>
          <t>2min-delay 3.0 B30f</t>
        </is>
      </c>
    </row>
    <row r="1285">
      <c r="A1285" s="2" t="n">
        <v>8460265</v>
      </c>
      <c r="B1285" s="2" t="n">
        <v>67</v>
      </c>
      <c r="C1285" s="2" t="inlineStr">
        <is>
          <t>M</t>
        </is>
      </c>
      <c r="D1285" s="2" t="n">
        <v>100</v>
      </c>
      <c r="E1285" s="4">
        <f>HYPERLINK("./Results/DLO\20190701_1.3.46.670589.33.1.63698524284950858300001.4982583866864898951_701_512_512_\Osteo_Sarco_1.png","RPT")</f>
        <v/>
      </c>
      <c r="F1285" s="3" t="n">
        <v>169</v>
      </c>
      <c r="G1285" s="3" t="n">
        <v>14</v>
      </c>
      <c r="H1285" s="6" t="n">
        <v>25</v>
      </c>
      <c r="I1285" t="inlineStr">
        <is>
          <t>Ingenuity Core 128</t>
        </is>
      </c>
      <c r="J1285" t="inlineStr">
        <is>
          <t>Post 3mm, iDose (3)</t>
        </is>
      </c>
    </row>
    <row r="1286">
      <c r="A1286" s="2" t="n">
        <v>8389226</v>
      </c>
      <c r="B1286" s="2" t="n">
        <v>67</v>
      </c>
      <c r="C1286" s="2" t="inlineStr">
        <is>
          <t>M</t>
        </is>
      </c>
      <c r="D1286" s="2" t="n">
        <v>100</v>
      </c>
      <c r="E1286" s="4">
        <f>HYPERLINK("./Results/DLO\20190401_1.3.46.670589.33.1.63691173834391312400001.5662460587168457038_201_512_512_\Osteo_Sarco_1.png","RPT")</f>
        <v/>
      </c>
      <c r="F1286" s="3" t="n">
        <v>160</v>
      </c>
      <c r="G1286" s="3" t="n">
        <v>8</v>
      </c>
      <c r="H1286" s="7" t="n"/>
      <c r="I1286" t="inlineStr">
        <is>
          <t>Ingenuity Core 128</t>
        </is>
      </c>
      <c r="J1286" t="inlineStr">
        <is>
          <t>Post 3mm, iDose (3)</t>
        </is>
      </c>
    </row>
    <row r="1287">
      <c r="A1287" s="2" t="n">
        <v>9823402</v>
      </c>
      <c r="B1287" s="2" t="n">
        <v>67</v>
      </c>
      <c r="C1287" s="2" t="inlineStr">
        <is>
          <t>M</t>
        </is>
      </c>
      <c r="D1287" s="2" t="n">
        <v>100</v>
      </c>
      <c r="E1287" s="4">
        <f>HYPERLINK("./Results/DLO\20191201_1.2.840.113619.2.416.105405238692954636322104919181581189496_310_512_512_\Osteo_Sarco_1.png","RPT")</f>
        <v/>
      </c>
      <c r="F1287" s="3" t="n">
        <v>159</v>
      </c>
      <c r="G1287" s="3" t="n">
        <v>11</v>
      </c>
      <c r="H1287" s="6" t="n">
        <v>28.94</v>
      </c>
      <c r="I1287" t="inlineStr">
        <is>
          <t>Revolution CT</t>
        </is>
      </c>
      <c r="J1287" t="inlineStr">
        <is>
          <t>ABD</t>
        </is>
      </c>
    </row>
    <row r="1288">
      <c r="A1288" s="2" t="n">
        <v>5625574</v>
      </c>
      <c r="B1288" s="2" t="n">
        <v>67</v>
      </c>
      <c r="C1288" s="2" t="inlineStr">
        <is>
          <t>M</t>
        </is>
      </c>
      <c r="D1288" s="2" t="n">
        <v>100</v>
      </c>
      <c r="E1288" s="4">
        <f>HYPERLINK("./Results/DLO\20190901_1.3.12.2.1107.5.1.4.65253.30000019092020275833200016183_4_512_512_\Osteo_Sarco_1.png","RPT")</f>
        <v/>
      </c>
      <c r="F1288" s="3" t="n">
        <v>153</v>
      </c>
      <c r="G1288" s="3" t="n">
        <v>10</v>
      </c>
      <c r="H1288" s="6" t="n">
        <v>22.72</v>
      </c>
      <c r="I1288" t="inlineStr">
        <is>
          <t>SOMATOM Definition AS</t>
        </is>
      </c>
      <c r="J1288" t="inlineStr">
        <is>
          <t>Arterial Phase 3.0 B30f</t>
        </is>
      </c>
    </row>
    <row r="1289">
      <c r="A1289" s="2" t="n">
        <v>5257154</v>
      </c>
      <c r="B1289" s="2" t="n">
        <v>67</v>
      </c>
      <c r="C1289" s="2" t="inlineStr">
        <is>
          <t>M</t>
        </is>
      </c>
      <c r="D1289" s="2" t="n">
        <v>100</v>
      </c>
      <c r="E1289" s="4">
        <f>HYPERLINK("./Results/DLO\20180201_1.3.46.670589.33.1.63655060308702963100001.4645436660090006232_601_512_512_\Osteo_Sarco_1.png","RPT")</f>
        <v/>
      </c>
      <c r="F1289" s="3" t="n">
        <v>151</v>
      </c>
      <c r="G1289" s="3" t="n">
        <v>15</v>
      </c>
      <c r="H1289" s="7" t="n"/>
      <c r="I1289" t="inlineStr">
        <is>
          <t>Ingenuity Core 128</t>
        </is>
      </c>
      <c r="J1289" t="inlineStr">
        <is>
          <t>Post 100/236 i3, iDose (3)</t>
        </is>
      </c>
    </row>
    <row r="1290">
      <c r="A1290" s="2" t="n">
        <v>9896772</v>
      </c>
      <c r="B1290" s="2" t="n">
        <v>67</v>
      </c>
      <c r="C1290" s="2" t="inlineStr">
        <is>
          <t>M</t>
        </is>
      </c>
      <c r="D1290" s="2" t="n">
        <v>100</v>
      </c>
      <c r="E1290" s="4">
        <f>HYPERLINK("./Results/DLO\20200101_1.2.410.100011.172.24.16.221.6371511072592455131.2_2_512_512_\Osteo_Sarco_1.png","RPT")</f>
        <v/>
      </c>
      <c r="F1290" s="3" t="n">
        <v>144</v>
      </c>
      <c r="G1290" s="3" t="n">
        <v>7</v>
      </c>
      <c r="H1290" s="7" t="n"/>
      <c r="I1290" t="inlineStr">
        <is>
          <t>Sensation 64</t>
        </is>
      </c>
      <c r="J1290" t="inlineStr">
        <is>
          <t>artery CE 4.0 B40f</t>
        </is>
      </c>
    </row>
    <row r="1291">
      <c r="A1291" s="2" t="n">
        <v>5028658</v>
      </c>
      <c r="B1291" s="2" t="n">
        <v>67</v>
      </c>
      <c r="C1291" s="2" t="inlineStr">
        <is>
          <t>M</t>
        </is>
      </c>
      <c r="D1291" s="2" t="n">
        <v>100</v>
      </c>
      <c r="E1291" s="4">
        <f>HYPERLINK("./Results/DLO\20190401_1.2.840.113619.2.311.175268147669672622420680242319822346968_2_512_512_\Osteo_Sarco_1.png","RPT")</f>
        <v/>
      </c>
      <c r="F1291" s="3" t="n">
        <v>143</v>
      </c>
      <c r="G1291" s="3" t="n">
        <v>9</v>
      </c>
      <c r="H1291" s="6" t="n">
        <v>26.06</v>
      </c>
      <c r="I1291" t="inlineStr">
        <is>
          <t>Revolution CT</t>
        </is>
      </c>
      <c r="J1291" t="inlineStr">
        <is>
          <t>ABD</t>
        </is>
      </c>
    </row>
    <row r="1292">
      <c r="A1292" s="2" t="n">
        <v>2960118</v>
      </c>
      <c r="B1292" s="2" t="n">
        <v>67</v>
      </c>
      <c r="C1292" s="2" t="inlineStr">
        <is>
          <t>F</t>
        </is>
      </c>
      <c r="D1292" s="2" t="n">
        <v>100</v>
      </c>
      <c r="E1292" s="4">
        <f>HYPERLINK("./Results/DLO\20180401_1.2.840.113619.2.311.255058724106081607006541156769534954490_304_512_512_\Osteo_Sarco_1.png","RPT")</f>
        <v/>
      </c>
      <c r="F1292" s="3" t="n">
        <v>123</v>
      </c>
      <c r="G1292" s="3" t="n">
        <v>8</v>
      </c>
      <c r="H1292" s="7" t="n"/>
      <c r="I1292" t="inlineStr">
        <is>
          <t>Revolution CT</t>
        </is>
      </c>
      <c r="J1292" t="inlineStr">
        <is>
          <t>ABD 2.5mm</t>
        </is>
      </c>
    </row>
    <row r="1293">
      <c r="A1293" s="2" t="n">
        <v>5937806</v>
      </c>
      <c r="B1293" s="2" t="n">
        <v>67</v>
      </c>
      <c r="C1293" s="2" t="inlineStr">
        <is>
          <t>F</t>
        </is>
      </c>
      <c r="D1293" s="2" t="n">
        <v>100</v>
      </c>
      <c r="E1293" s="4">
        <f>HYPERLINK("./Results/DLO\20180601_1.2.840.113619.2.311.186271800135316577117641152222834887863_304_512_512_\Osteo_Sarco_1.png","RPT")</f>
        <v/>
      </c>
      <c r="F1293" s="3" t="n">
        <v>118</v>
      </c>
      <c r="G1293" s="3" t="n">
        <v>15</v>
      </c>
      <c r="H1293" s="7" t="n"/>
      <c r="I1293" t="inlineStr">
        <is>
          <t>Revolution CT</t>
        </is>
      </c>
      <c r="J1293" t="inlineStr">
        <is>
          <t>ABD 2.5mm</t>
        </is>
      </c>
    </row>
    <row r="1294">
      <c r="A1294" s="2" t="n">
        <v>5484235</v>
      </c>
      <c r="B1294" s="2" t="n">
        <v>67</v>
      </c>
      <c r="C1294" s="2" t="inlineStr">
        <is>
          <t>F</t>
        </is>
      </c>
      <c r="D1294" s="2" t="n">
        <v>100</v>
      </c>
      <c r="E1294" s="4">
        <f>HYPERLINK("./Results/DLO\20181201_1.3.46.670589.33.1.63681500115693411800001.4948518002026561601_201_512_512_\Osteo_Sarco_1.png","RPT")</f>
        <v/>
      </c>
      <c r="F1294" s="3" t="n">
        <v>118</v>
      </c>
      <c r="G1294" s="3" t="n">
        <v>15</v>
      </c>
      <c r="H1294" s="7" t="n"/>
      <c r="I1294" t="inlineStr">
        <is>
          <t>Ingenuity Core 128</t>
        </is>
      </c>
      <c r="J1294" t="inlineStr">
        <is>
          <t>Post 3mm, iDose (3)</t>
        </is>
      </c>
    </row>
    <row r="1295">
      <c r="A1295" s="2" t="n">
        <v>8674312</v>
      </c>
      <c r="B1295" s="2" t="n">
        <v>67</v>
      </c>
      <c r="C1295" s="2" t="inlineStr">
        <is>
          <t>F</t>
        </is>
      </c>
      <c r="D1295" s="2" t="n">
        <v>100</v>
      </c>
      <c r="E1295" s="4">
        <f>HYPERLINK("./Results/DLO\20200601_1.3.46.670589.33.1.63727912993715746900001.5065267205341911971_201_512_512_\Osteo_Sarco_1.png","RPT")</f>
        <v/>
      </c>
      <c r="F1295" s="3" t="n">
        <v>118</v>
      </c>
      <c r="G1295" s="3" t="n">
        <v>18</v>
      </c>
      <c r="H1295" s="6" t="n">
        <v>30.82</v>
      </c>
      <c r="I1295" t="inlineStr">
        <is>
          <t>Ingenuity Core 128</t>
        </is>
      </c>
      <c r="J1295" t="inlineStr">
        <is>
          <t>Post 3mm, iDose (3)</t>
        </is>
      </c>
    </row>
    <row r="1296">
      <c r="A1296" s="2" t="n">
        <v>6089611</v>
      </c>
      <c r="B1296" s="2" t="n">
        <v>67</v>
      </c>
      <c r="C1296" s="2" t="inlineStr">
        <is>
          <t>M</t>
        </is>
      </c>
      <c r="D1296" s="2" t="n">
        <v>100</v>
      </c>
      <c r="E1296" s="4">
        <f>HYPERLINK("./Results/DLO\20190101_1.3.46.670589.33.1.63683402715518691100001.5163604264464282391_201_512_512_\Osteo_Sarco_1.png","RPT")</f>
        <v/>
      </c>
      <c r="F1296" s="3" t="n">
        <v>117</v>
      </c>
      <c r="G1296" s="3" t="n">
        <v>9</v>
      </c>
      <c r="H1296" s="6" t="n">
        <v>23.39</v>
      </c>
      <c r="I1296" t="inlineStr">
        <is>
          <t>Ingenuity Core 128</t>
        </is>
      </c>
      <c r="J1296" t="inlineStr">
        <is>
          <t>Pre 3mm, iDose (4)</t>
        </is>
      </c>
    </row>
    <row r="1297">
      <c r="A1297" s="2" t="n">
        <v>6074632</v>
      </c>
      <c r="B1297" s="2" t="n">
        <v>67</v>
      </c>
      <c r="C1297" s="2" t="inlineStr">
        <is>
          <t>F</t>
        </is>
      </c>
      <c r="D1297" s="2" t="n">
        <v>100</v>
      </c>
      <c r="E1297" s="4">
        <f>HYPERLINK("./Results/DLO\20180601_1.3.12.2.1107.5.1.4.54310.30000018062123413862500001989_2_512_512_\Osteo_Sarco_1.png","RPT")</f>
        <v/>
      </c>
      <c r="F1297" s="3" t="n">
        <v>115</v>
      </c>
      <c r="G1297" s="3" t="n">
        <v>7</v>
      </c>
      <c r="H1297" s="6" t="n">
        <v>25.66</v>
      </c>
      <c r="I1297" t="inlineStr">
        <is>
          <t>Sensation 64</t>
        </is>
      </c>
      <c r="J1297" t="inlineStr">
        <is>
          <t>With Contrast 3.0 B30f</t>
        </is>
      </c>
    </row>
    <row r="1298">
      <c r="A1298" s="2" t="n">
        <v>3865090</v>
      </c>
      <c r="B1298" s="2" t="n">
        <v>67</v>
      </c>
      <c r="C1298" s="2" t="inlineStr">
        <is>
          <t>F</t>
        </is>
      </c>
      <c r="D1298" s="2" t="n">
        <v>100</v>
      </c>
      <c r="E1298" s="4">
        <f>HYPERLINK("./Results/DLO\20180601_1.3.12.2.1107.5.1.4.54310.30000018060423092392100012401_3_512_512_\Osteo_Sarco_1.png","RPT")</f>
        <v/>
      </c>
      <c r="F1298" s="3" t="n">
        <v>110</v>
      </c>
      <c r="G1298" s="3" t="n">
        <v>8</v>
      </c>
      <c r="H1298" s="7" t="n"/>
      <c r="I1298" t="inlineStr">
        <is>
          <t>Sensation 64</t>
        </is>
      </c>
      <c r="J1298" t="inlineStr">
        <is>
          <t>Pre Contrast 3.0 B30f</t>
        </is>
      </c>
    </row>
    <row r="1299">
      <c r="A1299" s="2" t="n">
        <v>3168798</v>
      </c>
      <c r="B1299" s="2" t="n">
        <v>67</v>
      </c>
      <c r="C1299" s="2" t="inlineStr">
        <is>
          <t>F</t>
        </is>
      </c>
      <c r="D1299" s="2" t="n">
        <v>100</v>
      </c>
      <c r="E1299" s="4">
        <f>HYPERLINK("./Results/DLO\20190601_1.3.12.2.1107.5.1.4.65253.30000019053020461533200227948_2_512_512_\Osteo_Sarco_1.png","RPT")</f>
        <v/>
      </c>
      <c r="F1299" s="3" t="n">
        <v>108</v>
      </c>
      <c r="G1299" s="3" t="n">
        <v>32</v>
      </c>
      <c r="H1299" s="6" t="n">
        <v>27.45</v>
      </c>
      <c r="I1299" t="inlineStr">
        <is>
          <t>SOMATOM Definition AS</t>
        </is>
      </c>
      <c r="J1299" t="inlineStr">
        <is>
          <t>ABD Contrast 3.0 B30f</t>
        </is>
      </c>
    </row>
    <row r="1300">
      <c r="A1300" s="2" t="n">
        <v>8621411</v>
      </c>
      <c r="B1300" s="2" t="n">
        <v>67</v>
      </c>
      <c r="C1300" s="2" t="inlineStr">
        <is>
          <t>F</t>
        </is>
      </c>
      <c r="D1300" s="2" t="n">
        <v>100</v>
      </c>
      <c r="E1300" s="4">
        <f>HYPERLINK("./Results/DLO\20180301_1.2.840.113619.2.94.485650834948.2.8688613.18759005.1_2_512_512_\Osteo_Sarco_1.png","RPT")</f>
        <v/>
      </c>
      <c r="F1300" s="3" t="n">
        <v>106</v>
      </c>
      <c r="G1300" s="3" t="n">
        <v>11</v>
      </c>
      <c r="H1300" s="6" t="n">
        <v>31.78</v>
      </c>
      <c r="I1300" t="inlineStr">
        <is>
          <t>Sensation 64</t>
        </is>
      </c>
      <c r="J1300" t="inlineStr">
        <is>
          <t>With Contrast 3.0 B30f</t>
        </is>
      </c>
    </row>
    <row r="1301">
      <c r="A1301" s="2" t="n">
        <v>1107944</v>
      </c>
      <c r="B1301" s="2" t="n">
        <v>67</v>
      </c>
      <c r="C1301" s="2" t="inlineStr">
        <is>
          <t>F</t>
        </is>
      </c>
      <c r="D1301" s="2" t="n">
        <v>100</v>
      </c>
      <c r="E1301" s="4">
        <f>HYPERLINK("./Results/DLO\20190201_1.3.46.670589.33.1.63686769815561759700001.5473070092519277682_201_512_512_\Osteo_Sarco_1.png","RPT")</f>
        <v/>
      </c>
      <c r="F1301" s="3" t="n">
        <v>104</v>
      </c>
      <c r="G1301" s="3" t="n">
        <v>5</v>
      </c>
      <c r="H1301" s="7" t="n"/>
      <c r="I1301" t="inlineStr">
        <is>
          <t>Ingenuity Core 128</t>
        </is>
      </c>
      <c r="J1301" t="inlineStr">
        <is>
          <t>Post 3mm, iDose (3)</t>
        </is>
      </c>
    </row>
    <row r="1302">
      <c r="A1302" s="2" t="n">
        <v>6114228</v>
      </c>
      <c r="B1302" s="2" t="n">
        <v>67</v>
      </c>
      <c r="C1302" s="2" t="inlineStr">
        <is>
          <t>F</t>
        </is>
      </c>
      <c r="D1302" s="2" t="n">
        <v>100</v>
      </c>
      <c r="E1302" s="4">
        <f>HYPERLINK("./Results/DLO\20181001_1.3.12.2.1107.5.1.4.65253.30000018100618142469100092529_2_512_512_\Osteo_Sarco_1.png","RPT")</f>
        <v/>
      </c>
      <c r="F1302" s="3" t="n">
        <v>100</v>
      </c>
      <c r="G1302" s="3" t="n">
        <v>11</v>
      </c>
      <c r="H1302" s="7" t="n"/>
      <c r="I1302" t="inlineStr">
        <is>
          <t>SOMATOM Definition AS</t>
        </is>
      </c>
      <c r="J1302" t="inlineStr">
        <is>
          <t>Pre Contrast 3.0 B30f</t>
        </is>
      </c>
    </row>
    <row r="1303">
      <c r="A1303" s="2" t="n">
        <v>5772707</v>
      </c>
      <c r="B1303" s="2" t="n">
        <v>67</v>
      </c>
      <c r="C1303" s="2" t="inlineStr">
        <is>
          <t>F</t>
        </is>
      </c>
      <c r="D1303" s="2" t="n">
        <v>100</v>
      </c>
      <c r="E1303" s="4">
        <f>HYPERLINK("./Results/DLO\20191001_1.3.12.2.1107.5.1.4.54310.30000019100721194125000024518_7_512_512_\Osteo_Sarco_1.png","RPT")</f>
        <v/>
      </c>
      <c r="F1303" s="3" t="n">
        <v>100</v>
      </c>
      <c r="G1303" s="3" t="n">
        <v>9</v>
      </c>
      <c r="H1303" s="7" t="n"/>
      <c r="I1303" t="inlineStr">
        <is>
          <t>Sensation 64</t>
        </is>
      </c>
      <c r="J1303" t="inlineStr">
        <is>
          <t>ABD Contrast 3.0 B30f</t>
        </is>
      </c>
    </row>
    <row r="1304">
      <c r="A1304" s="2" t="n">
        <v>9619353</v>
      </c>
      <c r="B1304" s="2" t="n">
        <v>68</v>
      </c>
      <c r="C1304" s="2" t="inlineStr">
        <is>
          <t>F</t>
        </is>
      </c>
      <c r="D1304" s="2" t="n">
        <v>100</v>
      </c>
      <c r="E1304" s="4">
        <f>HYPERLINK("./Results/DLO\20190401_1.3.12.2.1107.5.1.4.54310.30000019042123324396800044998_2_512_512_\Osteo_Sarco_1.png","RPT")</f>
        <v/>
      </c>
      <c r="F1304" s="3" t="n">
        <v>96</v>
      </c>
      <c r="G1304" s="3" t="n">
        <v>17</v>
      </c>
      <c r="H1304" s="7" t="n"/>
      <c r="I1304" t="inlineStr">
        <is>
          <t>Sensation 64</t>
        </is>
      </c>
      <c r="J1304" t="inlineStr">
        <is>
          <t>80sec Delay 3.0 B30f</t>
        </is>
      </c>
    </row>
    <row r="1305">
      <c r="A1305" s="2" t="n">
        <v>6031874</v>
      </c>
      <c r="B1305" s="2" t="n">
        <v>68</v>
      </c>
      <c r="C1305" s="2" t="inlineStr">
        <is>
          <t>F</t>
        </is>
      </c>
      <c r="D1305" s="2" t="n">
        <v>100</v>
      </c>
      <c r="E1305" s="4">
        <f>HYPERLINK("./Results/DLO\20180301_1.3.12.2.1107.5.1.4.54310.30000018030823112768700000667_2_512_512_\Osteo_Sarco_1.png","RPT")</f>
        <v/>
      </c>
      <c r="F1305" s="3" t="n">
        <v>95</v>
      </c>
      <c r="G1305" s="3" t="n">
        <v>7</v>
      </c>
      <c r="H1305" s="7" t="n"/>
      <c r="I1305" t="inlineStr">
        <is>
          <t>Sensation 64</t>
        </is>
      </c>
      <c r="J1305" t="inlineStr">
        <is>
          <t>Pre Contrast 3.0 B30f</t>
        </is>
      </c>
    </row>
    <row r="1306">
      <c r="A1306" s="2" t="n">
        <v>864318</v>
      </c>
      <c r="B1306" s="2" t="n">
        <v>68</v>
      </c>
      <c r="C1306" s="2" t="inlineStr">
        <is>
          <t>F</t>
        </is>
      </c>
      <c r="D1306" s="2" t="n">
        <v>100</v>
      </c>
      <c r="E1306" s="4">
        <f>HYPERLINK("./Results/DLO\20180101_1.3.12.2.1107.5.1.4.54310.30000018012523071743700028954_3_512_512_\Osteo_Sarco_1.png","RPT")</f>
        <v/>
      </c>
      <c r="F1306" s="3" t="n">
        <v>93</v>
      </c>
      <c r="G1306" s="3" t="n">
        <v>11</v>
      </c>
      <c r="H1306" s="6" t="n">
        <v>27.93</v>
      </c>
      <c r="I1306" t="inlineStr">
        <is>
          <t>Sensation 64</t>
        </is>
      </c>
      <c r="J1306" t="inlineStr">
        <is>
          <t>Pre Contrast 3.0 B30f</t>
        </is>
      </c>
    </row>
    <row r="1307">
      <c r="A1307" s="2" t="n">
        <v>8302038</v>
      </c>
      <c r="B1307" s="2" t="n">
        <v>68</v>
      </c>
      <c r="C1307" s="2" t="inlineStr">
        <is>
          <t>F</t>
        </is>
      </c>
      <c r="D1307" s="2" t="n">
        <v>100</v>
      </c>
      <c r="E1307" s="4">
        <f>HYPERLINK("./Results/DLO\20190801_1.2.840.113619.2.416.133650994262866721105960865692291052031_310_512_512_\Osteo_Sarco_1.png","RPT")</f>
        <v/>
      </c>
      <c r="F1307" s="3" t="n">
        <v>53</v>
      </c>
      <c r="G1307" s="3" t="n">
        <v>3</v>
      </c>
      <c r="H1307" s="6" t="n">
        <v>28.63</v>
      </c>
      <c r="I1307" t="inlineStr">
        <is>
          <t>Revolution CT</t>
        </is>
      </c>
      <c r="J1307" t="inlineStr">
        <is>
          <t>ABD</t>
        </is>
      </c>
    </row>
    <row r="1308">
      <c r="A1308" s="2" t="n">
        <v>1016097</v>
      </c>
      <c r="B1308" s="2" t="n">
        <v>68</v>
      </c>
      <c r="C1308" s="2" t="inlineStr">
        <is>
          <t>F</t>
        </is>
      </c>
      <c r="D1308" s="2" t="n">
        <v>100</v>
      </c>
      <c r="E1308" s="4">
        <f>HYPERLINK("./Results/DLO\20181001_1.3.12.2.1107.5.1.4.65253.30000018101713372436400044307_2_512_512_\Osteo_Sarco_1.png","RPT")</f>
        <v/>
      </c>
      <c r="F1308" s="3" t="n">
        <v>81</v>
      </c>
      <c r="G1308" s="3" t="n">
        <v>13</v>
      </c>
      <c r="H1308" s="6" t="n">
        <v>23.57</v>
      </c>
      <c r="I1308" t="inlineStr">
        <is>
          <t>SOMATOM Definition AS</t>
        </is>
      </c>
      <c r="J1308" t="inlineStr">
        <is>
          <t>Pre Contrast 3.0 B30f</t>
        </is>
      </c>
    </row>
    <row r="1309">
      <c r="A1309" s="2" t="n">
        <v>5168281</v>
      </c>
      <c r="B1309" s="2" t="n">
        <v>68</v>
      </c>
      <c r="C1309" s="2" t="inlineStr">
        <is>
          <t>F</t>
        </is>
      </c>
      <c r="D1309" s="2" t="n">
        <v>100</v>
      </c>
      <c r="E1309" s="4">
        <f>HYPERLINK("./Results/DLO\20180301_1.3.12.2.1107.5.1.4.54310.30000018030123102523400022446_3_512_512_\Osteo_Sarco_1.png","RPT")</f>
        <v/>
      </c>
      <c r="F1309" s="3" t="n">
        <v>79</v>
      </c>
      <c r="G1309" s="3" t="n">
        <v>11</v>
      </c>
      <c r="H1309" s="7" t="n"/>
      <c r="I1309" t="inlineStr">
        <is>
          <t>Sensation 64</t>
        </is>
      </c>
      <c r="J1309" t="inlineStr">
        <is>
          <t>Pre Contrast 3.0 B30f</t>
        </is>
      </c>
    </row>
    <row r="1310">
      <c r="A1310" s="2" t="n">
        <v>5571395</v>
      </c>
      <c r="B1310" s="2" t="n">
        <v>68</v>
      </c>
      <c r="C1310" s="2" t="inlineStr">
        <is>
          <t>F</t>
        </is>
      </c>
      <c r="D1310" s="2" t="n">
        <v>100</v>
      </c>
      <c r="E1310" s="4">
        <f>HYPERLINK("./Results/DLO\20181201_1.3.12.2.1107.5.1.4.65253.30000018120919480151100050130_2_512_512_\Osteo_Sarco_1.png","RPT")</f>
        <v/>
      </c>
      <c r="F1310" s="3" t="n">
        <v>72</v>
      </c>
      <c r="G1310" s="3" t="n">
        <v>8</v>
      </c>
      <c r="H1310" s="7" t="n"/>
      <c r="I1310" t="inlineStr">
        <is>
          <t>SOMATOM Definition AS</t>
        </is>
      </c>
      <c r="J1310" t="inlineStr">
        <is>
          <t>W/O Contrast 3.0 B30f</t>
        </is>
      </c>
    </row>
    <row r="1311">
      <c r="A1311" s="2" t="n">
        <v>5688780</v>
      </c>
      <c r="B1311" s="2" t="n">
        <v>68</v>
      </c>
      <c r="C1311" s="2" t="inlineStr">
        <is>
          <t>F</t>
        </is>
      </c>
      <c r="D1311" s="2" t="n">
        <v>100</v>
      </c>
      <c r="E1311" s="4">
        <f>HYPERLINK("./Results/DLO\20180601_1.2.410.100011.172.16.64.21.6371156806915472033.3_3_512_512_\Osteo_Sarco_1.png","RPT")</f>
        <v/>
      </c>
      <c r="F1311" s="3" t="n">
        <v>69</v>
      </c>
      <c r="G1311" s="3" t="n">
        <v>5</v>
      </c>
      <c r="H1311" s="7" t="n"/>
      <c r="I1311" t="inlineStr">
        <is>
          <t>LightSpeed VCT</t>
        </is>
      </c>
      <c r="J1311" t="inlineStr">
        <is>
          <t>Portal</t>
        </is>
      </c>
    </row>
    <row r="1312">
      <c r="A1312" s="2" t="n">
        <v>8798278</v>
      </c>
      <c r="B1312" s="2" t="n">
        <v>68</v>
      </c>
      <c r="C1312" s="2" t="inlineStr">
        <is>
          <t>F</t>
        </is>
      </c>
      <c r="D1312" s="2" t="n">
        <v>100</v>
      </c>
      <c r="E1312" s="4">
        <f>HYPERLINK("./Results/DLO\20190601_1.3.12.2.1107.5.1.4.65253.30000019062917252974700007476_3_512_512_\Osteo_Sarco_1.png","RPT")</f>
        <v/>
      </c>
      <c r="F1312" s="3" t="n">
        <v>46</v>
      </c>
      <c r="G1312" s="3" t="n">
        <v>17</v>
      </c>
      <c r="H1312" s="7" t="n"/>
      <c r="I1312" t="inlineStr">
        <is>
          <t>SOMATOM Definition AS</t>
        </is>
      </c>
      <c r="J1312" t="inlineStr">
        <is>
          <t>ABD Pre 3.0 B30f</t>
        </is>
      </c>
    </row>
    <row r="1313">
      <c r="A1313" s="2" t="n">
        <v>3199464</v>
      </c>
      <c r="B1313" s="2" t="n">
        <v>68</v>
      </c>
      <c r="C1313" s="2" t="inlineStr">
        <is>
          <t>M</t>
        </is>
      </c>
      <c r="D1313" s="2" t="n">
        <v>100</v>
      </c>
      <c r="E1313" s="4">
        <f>HYPERLINK("./Results/DLO\20190801_1.3.12.2.1107.5.1.4.54310.30000019081922300476500041829_5_512_512_\Osteo_Sarco_1.png","RPT")</f>
        <v/>
      </c>
      <c r="F1313" s="3" t="n">
        <v>182</v>
      </c>
      <c r="G1313" s="3" t="n">
        <v>4</v>
      </c>
      <c r="H1313" s="6" t="n">
        <v>26.77</v>
      </c>
      <c r="I1313" t="inlineStr">
        <is>
          <t>Sensation 64</t>
        </is>
      </c>
      <c r="J1313" t="inlineStr">
        <is>
          <t>Arterial 3.0 B30f</t>
        </is>
      </c>
    </row>
    <row r="1314">
      <c r="A1314" s="2" t="n">
        <v>8307310</v>
      </c>
      <c r="B1314" s="2" t="n">
        <v>68</v>
      </c>
      <c r="C1314" s="2" t="inlineStr">
        <is>
          <t>M</t>
        </is>
      </c>
      <c r="D1314" s="2" t="n">
        <v>100</v>
      </c>
      <c r="E1314" s="4">
        <f>HYPERLINK("./Results/DLO\20190301_1.3.46.670589.33.1.63688504523540847500001.4940562107571100627_201_512_512_\Osteo_Sarco_1.png","RPT")</f>
        <v/>
      </c>
      <c r="F1314" s="3" t="n">
        <v>180</v>
      </c>
      <c r="G1314" s="3" t="n">
        <v>10</v>
      </c>
      <c r="H1314" s="7" t="n"/>
      <c r="I1314" t="inlineStr">
        <is>
          <t>Ingenuity Core 128</t>
        </is>
      </c>
      <c r="J1314" t="inlineStr">
        <is>
          <t>Post 3mm, iDose (3)</t>
        </is>
      </c>
    </row>
    <row r="1315">
      <c r="A1315" s="2" t="n">
        <v>430440</v>
      </c>
      <c r="B1315" s="2" t="n">
        <v>68</v>
      </c>
      <c r="C1315" s="2" t="inlineStr">
        <is>
          <t>M</t>
        </is>
      </c>
      <c r="D1315" s="2" t="n">
        <v>100</v>
      </c>
      <c r="E1315" s="4">
        <f>HYPERLINK("./Results/DLO\20181101_1.3.12.2.1107.5.1.4.54310.30000018110823203071800002292_2_512_512_\Osteo_Sarco_1.png","RPT")</f>
        <v/>
      </c>
      <c r="F1315" s="3" t="n">
        <v>154</v>
      </c>
      <c r="G1315" s="3" t="n">
        <v>9</v>
      </c>
      <c r="H1315" s="6" t="n">
        <v>24.46</v>
      </c>
      <c r="I1315" t="inlineStr">
        <is>
          <t>Sensation 64</t>
        </is>
      </c>
      <c r="J1315" t="inlineStr">
        <is>
          <t>With Contrast 3.0 B30f</t>
        </is>
      </c>
    </row>
    <row r="1316">
      <c r="A1316" s="2" t="n">
        <v>5076709</v>
      </c>
      <c r="B1316" s="2" t="n">
        <v>68</v>
      </c>
      <c r="C1316" s="2" t="inlineStr">
        <is>
          <t>M</t>
        </is>
      </c>
      <c r="D1316" s="2" t="n">
        <v>100</v>
      </c>
      <c r="E1316" s="4">
        <f>HYPERLINK("./Results/DLO\20190901_1.3.12.2.1107.5.1.4.54310.30000019092421123476500046252_2_512_512_\Osteo_Sarco_1.png","RPT")</f>
        <v/>
      </c>
      <c r="F1316" s="3" t="n">
        <v>145</v>
      </c>
      <c r="G1316" s="3" t="n">
        <v>5</v>
      </c>
      <c r="H1316" s="7" t="n"/>
      <c r="I1316" t="inlineStr">
        <is>
          <t>Sensation 64</t>
        </is>
      </c>
      <c r="J1316" t="inlineStr">
        <is>
          <t>Pre Contrast 3.0 B30f</t>
        </is>
      </c>
    </row>
    <row r="1317">
      <c r="A1317" s="2" t="n">
        <v>8654236</v>
      </c>
      <c r="B1317" s="2" t="n">
        <v>68</v>
      </c>
      <c r="C1317" s="2" t="inlineStr">
        <is>
          <t>M</t>
        </is>
      </c>
      <c r="D1317" s="2" t="n">
        <v>100</v>
      </c>
      <c r="E1317" s="4">
        <f>HYPERLINK("./Results/DLO\20180501_1.2.840.113619.2.311.290502022480652180958928734265916203839_303_512_512_\Osteo_Sarco_1.png","RPT")</f>
        <v/>
      </c>
      <c r="F1317" s="3" t="n">
        <v>144</v>
      </c>
      <c r="G1317" s="3" t="n">
        <v>11</v>
      </c>
      <c r="H1317" s="7" t="n"/>
      <c r="I1317" t="inlineStr">
        <is>
          <t>Revolution CT</t>
        </is>
      </c>
      <c r="J1317" t="inlineStr">
        <is>
          <t>ABD 2.5mm</t>
        </is>
      </c>
    </row>
    <row r="1318">
      <c r="A1318" s="2" t="n">
        <v>1449355</v>
      </c>
      <c r="B1318" s="2" t="n">
        <v>68</v>
      </c>
      <c r="C1318" s="2" t="inlineStr">
        <is>
          <t>M</t>
        </is>
      </c>
      <c r="D1318" s="2" t="n">
        <v>100</v>
      </c>
      <c r="E1318" s="4">
        <f>HYPERLINK("./Results/DLO\20190601_1.3.46.670589.33.1.63696445817456110300001.4833599006298978964_201_512_512_\Osteo_Sarco_1.png","RPT")</f>
        <v/>
      </c>
      <c r="F1318" s="3" t="n">
        <v>142</v>
      </c>
      <c r="G1318" s="3" t="n">
        <v>5</v>
      </c>
      <c r="H1318" s="7" t="n"/>
      <c r="I1318" t="inlineStr">
        <is>
          <t>Ingenuity Core 128</t>
        </is>
      </c>
      <c r="J1318" t="inlineStr">
        <is>
          <t>Pre 3mm, iDose (4)</t>
        </is>
      </c>
    </row>
    <row r="1319">
      <c r="A1319" s="2" t="n">
        <v>4040592</v>
      </c>
      <c r="B1319" s="2" t="n">
        <v>68</v>
      </c>
      <c r="C1319" s="2" t="inlineStr">
        <is>
          <t>M</t>
        </is>
      </c>
      <c r="D1319" s="2" t="n">
        <v>100</v>
      </c>
      <c r="E1319" s="4">
        <f>HYPERLINK("./Results/DLO\20180801_1.2.840.113619.2.94.485650834948.2.9026367.19590909.1_2_512_512_\Osteo_Sarco_1.png","RPT")</f>
        <v/>
      </c>
      <c r="F1319" s="3" t="n">
        <v>140</v>
      </c>
      <c r="G1319" s="3" t="n">
        <v>7</v>
      </c>
      <c r="H1319" s="7" t="n"/>
      <c r="I1319" t="inlineStr">
        <is>
          <t>Sensation 64</t>
        </is>
      </c>
      <c r="J1319" t="inlineStr">
        <is>
          <t>With Contrast 3.0 B30f</t>
        </is>
      </c>
    </row>
    <row r="1320">
      <c r="A1320" s="2" t="n">
        <v>5660595</v>
      </c>
      <c r="B1320" s="2" t="n">
        <v>68</v>
      </c>
      <c r="C1320" s="2" t="inlineStr">
        <is>
          <t>M</t>
        </is>
      </c>
      <c r="D1320" s="2" t="n">
        <v>100</v>
      </c>
      <c r="E1320" s="4">
        <f>HYPERLINK("./Results/DLO\20190101_1.3.46.670589.33.1.63683668571173651000001.4801454442323783550_201_512_512_\Osteo_Sarco_1.png","RPT")</f>
        <v/>
      </c>
      <c r="F1320" s="3" t="n">
        <v>139</v>
      </c>
      <c r="G1320" s="3" t="n">
        <v>7</v>
      </c>
      <c r="H1320" s="7" t="n"/>
      <c r="I1320" t="inlineStr">
        <is>
          <t>Ingenuity Core 128</t>
        </is>
      </c>
      <c r="J1320" t="inlineStr">
        <is>
          <t>Post 3mm, iDose (3)</t>
        </is>
      </c>
    </row>
    <row r="1321">
      <c r="A1321" s="2" t="n">
        <v>9010931</v>
      </c>
      <c r="B1321" s="2" t="n">
        <v>68</v>
      </c>
      <c r="C1321" s="2" t="inlineStr">
        <is>
          <t>M</t>
        </is>
      </c>
      <c r="D1321" s="2" t="n">
        <v>100</v>
      </c>
      <c r="E1321" s="4">
        <f>HYPERLINK("./Results/DLO\20180601_1.3.12.2.1107.5.1.4.54310.30000018062723123140600035520_3_512_512_\Osteo_Sarco_1.png","RPT")</f>
        <v/>
      </c>
      <c r="F1321" s="3" t="n">
        <v>133</v>
      </c>
      <c r="G1321" s="3" t="n">
        <v>4</v>
      </c>
      <c r="H1321" s="6" t="n">
        <v>21.97</v>
      </c>
      <c r="I1321" t="inlineStr">
        <is>
          <t>Sensation 64</t>
        </is>
      </c>
      <c r="J1321" t="inlineStr">
        <is>
          <t>Pre Contrast 3.0 B30f</t>
        </is>
      </c>
    </row>
    <row r="1322">
      <c r="A1322" s="2" t="n">
        <v>4531938</v>
      </c>
      <c r="B1322" s="2" t="n">
        <v>68</v>
      </c>
      <c r="C1322" s="2" t="inlineStr">
        <is>
          <t>M</t>
        </is>
      </c>
      <c r="D1322" s="2" t="n">
        <v>100</v>
      </c>
      <c r="E1322" s="4">
        <f>HYPERLINK("./Results/DLO\20190901_1.2.840.113619.2.416.52194869075334542942366129792907591526_302_512_512_\Osteo_Sarco_1.png","RPT")</f>
        <v/>
      </c>
      <c r="F1322" s="3" t="n">
        <v>132</v>
      </c>
      <c r="G1322" s="3" t="n">
        <v>8</v>
      </c>
      <c r="H1322" s="7" t="n"/>
      <c r="I1322" t="inlineStr">
        <is>
          <t>Revolution CT</t>
        </is>
      </c>
      <c r="J1322" t="inlineStr">
        <is>
          <t>ABD</t>
        </is>
      </c>
    </row>
    <row r="1323">
      <c r="A1323" s="2" t="n">
        <v>6737744</v>
      </c>
      <c r="B1323" s="2" t="n">
        <v>68</v>
      </c>
      <c r="C1323" s="2" t="inlineStr">
        <is>
          <t>M</t>
        </is>
      </c>
      <c r="D1323" s="2" t="n">
        <v>100</v>
      </c>
      <c r="E1323" s="4">
        <f>HYPERLINK("./Results/DLO\20190401_1.2.840.113619.2.94.485650834948.2.9548469.20901478.1_2_512_512_\Osteo_Sarco_1.png","RPT")</f>
        <v/>
      </c>
      <c r="F1323" s="3" t="n">
        <v>131</v>
      </c>
      <c r="G1323" s="3" t="n">
        <v>11</v>
      </c>
      <c r="H1323" s="7" t="n"/>
      <c r="I1323" t="inlineStr">
        <is>
          <t>Sensation 64</t>
        </is>
      </c>
      <c r="J1323" t="inlineStr">
        <is>
          <t>With Contrast 3.0 B30f</t>
        </is>
      </c>
    </row>
    <row r="1324">
      <c r="A1324" s="2" t="n">
        <v>5509757</v>
      </c>
      <c r="B1324" s="2" t="n">
        <v>68</v>
      </c>
      <c r="C1324" s="2" t="inlineStr">
        <is>
          <t>M</t>
        </is>
      </c>
      <c r="D1324" s="2" t="n">
        <v>100</v>
      </c>
      <c r="E1324" s="4">
        <f>HYPERLINK("./Results/DLO\20190701_1.3.12.2.1107.5.1.4.65253.30000019072118114898500042662_2_512_512_\Osteo_Sarco_1.png","RPT")</f>
        <v/>
      </c>
      <c r="F1324" s="3" t="n">
        <v>131</v>
      </c>
      <c r="G1324" s="3" t="n">
        <v>7</v>
      </c>
      <c r="H1324" s="6" t="n">
        <v>18.71</v>
      </c>
      <c r="I1324" t="inlineStr">
        <is>
          <t>SOMATOM Definition AS</t>
        </is>
      </c>
      <c r="J1324" t="inlineStr">
        <is>
          <t>Pre Contrast 3.0 B30f</t>
        </is>
      </c>
    </row>
    <row r="1325">
      <c r="A1325" s="2" t="n">
        <v>9863749</v>
      </c>
      <c r="B1325" s="2" t="n">
        <v>68</v>
      </c>
      <c r="C1325" s="2" t="inlineStr">
        <is>
          <t>M</t>
        </is>
      </c>
      <c r="D1325" s="2" t="n">
        <v>100</v>
      </c>
      <c r="E1325" s="4">
        <f>HYPERLINK("./Results/DLO\20191201_1.3.12.2.1107.5.1.4.54310.30000019120822065890600063239_4_512_512_\Osteo_Sarco_1.png","RPT")</f>
        <v/>
      </c>
      <c r="F1325" s="3" t="n">
        <v>131</v>
      </c>
      <c r="G1325" s="3" t="n">
        <v>10</v>
      </c>
      <c r="H1325" s="6" t="n">
        <v>26.54</v>
      </c>
      <c r="I1325" t="inlineStr">
        <is>
          <t>Sensation 64</t>
        </is>
      </c>
      <c r="J1325" t="inlineStr">
        <is>
          <t>Arterial 3.0 B30f</t>
        </is>
      </c>
    </row>
    <row r="1326">
      <c r="A1326" s="2" t="n">
        <v>1961235</v>
      </c>
      <c r="B1326" s="2" t="n">
        <v>68</v>
      </c>
      <c r="C1326" s="2" t="inlineStr">
        <is>
          <t>F</t>
        </is>
      </c>
      <c r="D1326" s="2" t="n">
        <v>100</v>
      </c>
      <c r="E1326" s="4">
        <f>HYPERLINK("./Results/DLO\20180501_1.2.840.113619.2.94.485650834948.2.8817899.19077585.1_2_512_512_\Osteo_Sarco_1.png","RPT")</f>
        <v/>
      </c>
      <c r="F1326" s="3" t="n">
        <v>119</v>
      </c>
      <c r="G1326" s="3" t="n">
        <v>7</v>
      </c>
      <c r="H1326" s="7" t="n"/>
      <c r="I1326" t="inlineStr">
        <is>
          <t>Sensation 64</t>
        </is>
      </c>
      <c r="J1326" t="inlineStr">
        <is>
          <t>With Contrast 3.0 B30f</t>
        </is>
      </c>
    </row>
    <row r="1327">
      <c r="A1327" s="2" t="n">
        <v>5618028</v>
      </c>
      <c r="B1327" s="2" t="n">
        <v>68</v>
      </c>
      <c r="C1327" s="2" t="inlineStr">
        <is>
          <t>M</t>
        </is>
      </c>
      <c r="D1327" s="2" t="n">
        <v>100</v>
      </c>
      <c r="E1327" s="4">
        <f>HYPERLINK("./Results/DLO\20190301_1.3.12.2.1107.5.1.4.54310.30000019032423082598400001499_2_512_512_\Osteo_Sarco_1.png","RPT")</f>
        <v/>
      </c>
      <c r="F1327" s="3" t="n">
        <v>119</v>
      </c>
      <c r="G1327" s="3" t="n">
        <v>3</v>
      </c>
      <c r="H1327" s="7" t="n"/>
      <c r="I1327" t="inlineStr">
        <is>
          <t>Sensation 64</t>
        </is>
      </c>
      <c r="J1327" t="inlineStr">
        <is>
          <t>With Contrast 3.0 B30f</t>
        </is>
      </c>
    </row>
    <row r="1328">
      <c r="A1328" s="2" t="n">
        <v>8511452</v>
      </c>
      <c r="B1328" s="2" t="n">
        <v>68</v>
      </c>
      <c r="C1328" s="2" t="inlineStr">
        <is>
          <t>F</t>
        </is>
      </c>
      <c r="D1328" s="2" t="n">
        <v>100</v>
      </c>
      <c r="E1328" s="4">
        <f>HYPERLINK("./Results/DLO\20180501_1.2.840.113619.2.311.274493201254929751439311190708880637842_304_512_512_\Osteo_Sarco_1.png","RPT")</f>
        <v/>
      </c>
      <c r="F1328" s="3" t="n">
        <v>115</v>
      </c>
      <c r="G1328" s="3" t="n">
        <v>10</v>
      </c>
      <c r="H1328" s="7" t="n"/>
      <c r="I1328" t="inlineStr">
        <is>
          <t>Revolution CT</t>
        </is>
      </c>
      <c r="J1328" t="inlineStr">
        <is>
          <t>ABD 2.5mm</t>
        </is>
      </c>
    </row>
    <row r="1329">
      <c r="A1329" s="2" t="n">
        <v>4301491</v>
      </c>
      <c r="B1329" s="2" t="n">
        <v>68</v>
      </c>
      <c r="C1329" s="2" t="inlineStr">
        <is>
          <t>F</t>
        </is>
      </c>
      <c r="D1329" s="2" t="n">
        <v>100</v>
      </c>
      <c r="E1329" s="4">
        <f>HYPERLINK("./Results/DLO\20180101_1.3.12.2.1107.5.1.4.54310.30000018012923354459300021439_2_512_512_\Osteo_Sarco_1.png","RPT")</f>
        <v/>
      </c>
      <c r="F1329" s="3" t="n">
        <v>113</v>
      </c>
      <c r="G1329" s="3" t="n">
        <v>12</v>
      </c>
      <c r="H1329" s="6" t="n">
        <v>23.6</v>
      </c>
      <c r="I1329" t="inlineStr">
        <is>
          <t>Sensation 64</t>
        </is>
      </c>
      <c r="J1329" t="inlineStr">
        <is>
          <t>With Contrast 3.0 B30f</t>
        </is>
      </c>
    </row>
    <row r="1330">
      <c r="A1330" s="2" t="n">
        <v>6740027</v>
      </c>
      <c r="B1330" s="2" t="n">
        <v>68</v>
      </c>
      <c r="C1330" s="2" t="inlineStr">
        <is>
          <t>F</t>
        </is>
      </c>
      <c r="D1330" s="2" t="n">
        <v>100</v>
      </c>
      <c r="E1330" s="4">
        <f>HYPERLINK("./Results/DLO\20180401_1.3.12.2.1107.5.1.4.54310.30000018042223391226500011060_2_512_512_\Osteo_Sarco_1.png","RPT")</f>
        <v/>
      </c>
      <c r="F1330" s="3" t="n">
        <v>112</v>
      </c>
      <c r="G1330" s="3" t="n">
        <v>8</v>
      </c>
      <c r="H1330" s="7" t="n"/>
      <c r="I1330" t="inlineStr">
        <is>
          <t>Sensation 64</t>
        </is>
      </c>
      <c r="J1330" t="inlineStr">
        <is>
          <t>With Contrast 3.0 B30f</t>
        </is>
      </c>
    </row>
    <row r="1331">
      <c r="A1331" s="2" t="n">
        <v>5903760</v>
      </c>
      <c r="B1331" s="2" t="n">
        <v>68</v>
      </c>
      <c r="C1331" s="2" t="inlineStr">
        <is>
          <t>F</t>
        </is>
      </c>
      <c r="D1331" s="2" t="n">
        <v>100</v>
      </c>
      <c r="E1331" s="4">
        <f>HYPERLINK("./Results/DLO\20190201_1.3.12.2.1107.5.1.4.54310.30000019021023283385900036157_3_512_512_\Osteo_Sarco_1.png","RPT")</f>
        <v/>
      </c>
      <c r="F1331" s="3" t="n">
        <v>110</v>
      </c>
      <c r="G1331" s="3" t="n">
        <v>10</v>
      </c>
      <c r="H1331" s="7" t="n"/>
      <c r="I1331" t="inlineStr">
        <is>
          <t>Sensation 64</t>
        </is>
      </c>
      <c r="J1331" t="inlineStr">
        <is>
          <t>With Contrast 3.0 B30f</t>
        </is>
      </c>
    </row>
    <row r="1332">
      <c r="A1332" s="2" t="n">
        <v>9567235</v>
      </c>
      <c r="B1332" s="2" t="n">
        <v>68</v>
      </c>
      <c r="C1332" s="2" t="inlineStr">
        <is>
          <t>M</t>
        </is>
      </c>
      <c r="D1332" s="2" t="n">
        <v>100</v>
      </c>
      <c r="E1332" s="4">
        <f>HYPERLINK("./Results/DLO\20190401_1.3.12.2.1107.5.1.4.65253.30000019040419163826100029206_2_512_512_\Osteo_Sarco_1.png","RPT")</f>
        <v/>
      </c>
      <c r="F1332" s="3" t="n">
        <v>110</v>
      </c>
      <c r="G1332" s="3" t="n">
        <v>11</v>
      </c>
      <c r="H1332" s="6" t="n">
        <v>22.09</v>
      </c>
      <c r="I1332" t="inlineStr">
        <is>
          <t>SOMATOM Definition AS</t>
        </is>
      </c>
      <c r="J1332" t="inlineStr">
        <is>
          <t>With Contrast 3.0 B30f</t>
        </is>
      </c>
    </row>
    <row r="1333">
      <c r="A1333" s="2" t="n">
        <v>6262717</v>
      </c>
      <c r="B1333" s="2" t="n">
        <v>68</v>
      </c>
      <c r="C1333" s="2" t="inlineStr">
        <is>
          <t>F</t>
        </is>
      </c>
      <c r="D1333" s="2" t="n">
        <v>100</v>
      </c>
      <c r="E1333" s="4">
        <f>HYPERLINK("./Results/DLO\20190901_1.3.12.2.1107.5.1.4.54310.30000019091721201029600023701_7_512_512_\Osteo_Sarco_1.png","RPT")</f>
        <v/>
      </c>
      <c r="F1333" s="3" t="n">
        <v>110</v>
      </c>
      <c r="G1333" s="3" t="n">
        <v>5</v>
      </c>
      <c r="H1333" s="7" t="n"/>
      <c r="I1333" t="inlineStr">
        <is>
          <t>Sensation 64</t>
        </is>
      </c>
      <c r="J1333" t="inlineStr">
        <is>
          <t>ABD Contrast 3.0 B30f</t>
        </is>
      </c>
    </row>
    <row r="1334">
      <c r="A1334" s="2" t="n">
        <v>3522394</v>
      </c>
      <c r="B1334" s="2" t="n">
        <v>68</v>
      </c>
      <c r="C1334" s="2" t="inlineStr">
        <is>
          <t>M</t>
        </is>
      </c>
      <c r="D1334" s="2" t="n">
        <v>100</v>
      </c>
      <c r="E1334" s="4">
        <f>HYPERLINK("./Results/DLO\20190601_1.3.46.670589.33.1.63695513301208775400001.4835127059386656975_201_512_512_\Osteo_Sarco_1.png","RPT")</f>
        <v/>
      </c>
      <c r="F1334" s="3" t="n">
        <v>108</v>
      </c>
      <c r="G1334" s="3" t="n">
        <v>8</v>
      </c>
      <c r="H1334" s="7" t="n"/>
      <c r="I1334" t="inlineStr">
        <is>
          <t>Ingenuity Core 128</t>
        </is>
      </c>
      <c r="J1334" t="inlineStr">
        <is>
          <t>Pre 3mm, iDose (3)</t>
        </is>
      </c>
    </row>
    <row r="1335">
      <c r="A1335" s="2" t="n">
        <v>2511663</v>
      </c>
      <c r="B1335" s="2" t="n">
        <v>68</v>
      </c>
      <c r="C1335" s="2" t="inlineStr">
        <is>
          <t>F</t>
        </is>
      </c>
      <c r="D1335" s="2" t="n">
        <v>100</v>
      </c>
      <c r="E1335" s="4">
        <f>HYPERLINK("./Results/DLO\20190201_1.3.12.2.1107.5.1.4.54310.30000019022623324843700043277_4_512_512_\Osteo_Sarco_1.png","RPT")</f>
        <v/>
      </c>
      <c r="F1335" s="3" t="n">
        <v>106</v>
      </c>
      <c r="G1335" s="3" t="n">
        <v>14</v>
      </c>
      <c r="H1335" s="6" t="n">
        <v>24.81</v>
      </c>
      <c r="I1335" t="inlineStr">
        <is>
          <t>Sensation 64</t>
        </is>
      </c>
      <c r="J1335" t="inlineStr">
        <is>
          <t>Arterial 3.0 B30f</t>
        </is>
      </c>
    </row>
    <row r="1336">
      <c r="A1336" s="2" t="n">
        <v>9811263</v>
      </c>
      <c r="B1336" s="2" t="n">
        <v>68</v>
      </c>
      <c r="C1336" s="2" t="inlineStr">
        <is>
          <t>F</t>
        </is>
      </c>
      <c r="D1336" s="2" t="n">
        <v>100</v>
      </c>
      <c r="E1336" s="4">
        <f>HYPERLINK("./Results/DLO\20191001_1.3.12.2.1107.5.1.4.54310.30000019102222394959300056085_4_512_512_\Osteo_Sarco_1.png","RPT")</f>
        <v/>
      </c>
      <c r="F1336" s="3" t="n">
        <v>103</v>
      </c>
      <c r="G1336" s="3" t="n">
        <v>16</v>
      </c>
      <c r="H1336" s="6" t="n">
        <v>23.9</v>
      </c>
      <c r="I1336" t="inlineStr">
        <is>
          <t>Sensation 64</t>
        </is>
      </c>
      <c r="J1336" t="inlineStr">
        <is>
          <t>Arterial 3.0 B30f</t>
        </is>
      </c>
    </row>
    <row r="1337">
      <c r="A1337" s="2" t="n">
        <v>5452306</v>
      </c>
      <c r="B1337" s="2" t="n">
        <v>69</v>
      </c>
      <c r="C1337" s="2" t="inlineStr">
        <is>
          <t>M</t>
        </is>
      </c>
      <c r="D1337" s="2" t="n">
        <v>100</v>
      </c>
      <c r="E1337" s="4">
        <f>HYPERLINK("./Results/DLO\20180101_1.3.12.2.1107.5.1.4.65253.30000018011120330774800049996_2_512_512_\Osteo_Sarco_1.png","RPT")</f>
        <v/>
      </c>
      <c r="F1337" s="3" t="n">
        <v>98</v>
      </c>
      <c r="G1337" s="3" t="n">
        <v>15</v>
      </c>
      <c r="H1337" s="7" t="n"/>
      <c r="I1337" t="inlineStr">
        <is>
          <t>SOMATOM Definition AS</t>
        </is>
      </c>
      <c r="J1337" t="inlineStr">
        <is>
          <t>With Contrast 3.0 B40f</t>
        </is>
      </c>
    </row>
    <row r="1338">
      <c r="A1338" s="2" t="n">
        <v>8427417</v>
      </c>
      <c r="B1338" s="2" t="n">
        <v>69</v>
      </c>
      <c r="C1338" s="2" t="inlineStr">
        <is>
          <t>F</t>
        </is>
      </c>
      <c r="D1338" s="2" t="n">
        <v>100</v>
      </c>
      <c r="E1338" s="4">
        <f>HYPERLINK("./Results/DLO\20190101_1.3.12.2.1107.5.1.4.65253.30000019011421155662400009006_2_512_512_\Osteo_Sarco_1.png","RPT")</f>
        <v/>
      </c>
      <c r="F1338" s="3" t="n">
        <v>98</v>
      </c>
      <c r="G1338" s="3" t="n">
        <v>12</v>
      </c>
      <c r="H1338" s="6" t="n">
        <v>28.85</v>
      </c>
      <c r="I1338" t="inlineStr">
        <is>
          <t>SOMATOM Definition AS</t>
        </is>
      </c>
      <c r="J1338" t="inlineStr">
        <is>
          <t>With Contrast 3.0 B30f</t>
        </is>
      </c>
    </row>
    <row r="1339">
      <c r="A1339" s="2" t="n">
        <v>5819959</v>
      </c>
      <c r="B1339" s="2" t="n">
        <v>69</v>
      </c>
      <c r="C1339" s="2" t="inlineStr">
        <is>
          <t>F</t>
        </is>
      </c>
      <c r="D1339" s="2" t="n">
        <v>100</v>
      </c>
      <c r="E1339" s="4">
        <f>HYPERLINK("./Results/DLO\20180901_1.3.12.2.1107.5.1.4.54310.30000018091023324887500003980_2_512_512_\Osteo_Sarco_1.png","RPT")</f>
        <v/>
      </c>
      <c r="F1339" s="3" t="n">
        <v>97</v>
      </c>
      <c r="G1339" s="3" t="n">
        <v>10</v>
      </c>
      <c r="H1339" s="6" t="n">
        <v>24.27</v>
      </c>
      <c r="I1339" t="inlineStr">
        <is>
          <t>Sensation 64</t>
        </is>
      </c>
      <c r="J1339" t="inlineStr">
        <is>
          <t>With Contrast 3.0 B30f</t>
        </is>
      </c>
    </row>
    <row r="1340">
      <c r="A1340" s="2" t="n">
        <v>8250141</v>
      </c>
      <c r="B1340" s="2" t="n">
        <v>69</v>
      </c>
      <c r="C1340" s="2" t="inlineStr">
        <is>
          <t>F</t>
        </is>
      </c>
      <c r="D1340" s="2" t="n">
        <v>100</v>
      </c>
      <c r="E1340" s="4">
        <f>HYPERLINK("./Results/DLO\20180901_1.3.12.2.1107.5.1.4.54310.30000018092723151085900012250_3_512_512_\Osteo_Sarco_1.png","RPT")</f>
        <v/>
      </c>
      <c r="F1340" s="3" t="n">
        <v>96</v>
      </c>
      <c r="G1340" s="3" t="n">
        <v>10</v>
      </c>
      <c r="H1340" s="7" t="n"/>
      <c r="I1340" t="inlineStr">
        <is>
          <t>Sensation 64</t>
        </is>
      </c>
      <c r="J1340" t="inlineStr">
        <is>
          <t>Pre Contrast 3.0 B30f</t>
        </is>
      </c>
    </row>
    <row r="1341">
      <c r="A1341" s="2" t="n">
        <v>4008822</v>
      </c>
      <c r="B1341" s="2" t="n">
        <v>69</v>
      </c>
      <c r="C1341" s="2" t="inlineStr">
        <is>
          <t>F</t>
        </is>
      </c>
      <c r="D1341" s="2" t="n">
        <v>100</v>
      </c>
      <c r="E1341" s="4">
        <f>HYPERLINK("./Results/DLO\20181101_1.3.12.2.1107.5.1.4.65253.30000018103121235410400049809_2_512_512_\Osteo_Sarco_1.png","RPT")</f>
        <v/>
      </c>
      <c r="F1341" s="3" t="n">
        <v>82</v>
      </c>
      <c r="G1341" s="3" t="n">
        <v>8</v>
      </c>
      <c r="H1341" s="7" t="n"/>
      <c r="I1341" t="inlineStr">
        <is>
          <t>SOMATOM Definition AS</t>
        </is>
      </c>
      <c r="J1341" t="inlineStr">
        <is>
          <t>Pre Contrast 3.0 B30f</t>
        </is>
      </c>
    </row>
    <row r="1342">
      <c r="A1342" s="2" t="n">
        <v>5758067</v>
      </c>
      <c r="B1342" s="2" t="n">
        <v>69</v>
      </c>
      <c r="C1342" s="2" t="inlineStr">
        <is>
          <t>M</t>
        </is>
      </c>
      <c r="D1342" s="2" t="n">
        <v>100</v>
      </c>
      <c r="E1342" s="4">
        <f>HYPERLINK("./Results/DLO\20190601_1.2.840.113619.2.416.264738058683707158733281621632960057860_305_512_512_\Osteo_Sarco_1.png","RPT")</f>
        <v/>
      </c>
      <c r="F1342" s="3" t="n">
        <v>179</v>
      </c>
      <c r="G1342" s="3" t="n">
        <v>23</v>
      </c>
      <c r="H1342" s="6" t="n">
        <v>27.77</v>
      </c>
      <c r="I1342" t="inlineStr">
        <is>
          <t>Revolution CT</t>
        </is>
      </c>
      <c r="J1342" t="inlineStr">
        <is>
          <t>ABD 2.5mm</t>
        </is>
      </c>
    </row>
    <row r="1343">
      <c r="A1343" s="2" t="n">
        <v>2893688</v>
      </c>
      <c r="B1343" s="2" t="n">
        <v>69</v>
      </c>
      <c r="C1343" s="2" t="inlineStr">
        <is>
          <t>M</t>
        </is>
      </c>
      <c r="D1343" s="2" t="n">
        <v>100</v>
      </c>
      <c r="E1343" s="4">
        <f>HYPERLINK("./Results/DLO\20180601_1.3.12.2.1107.5.1.4.54310.30000018061823105095300000278_2_512_512_\Osteo_Sarco_1.png","RPT")</f>
        <v/>
      </c>
      <c r="F1343" s="3" t="n">
        <v>177</v>
      </c>
      <c r="G1343" s="3" t="n">
        <v>7</v>
      </c>
      <c r="H1343" s="6" t="n">
        <v>28.73</v>
      </c>
      <c r="I1343" t="inlineStr">
        <is>
          <t>Sensation 64</t>
        </is>
      </c>
      <c r="J1343" t="inlineStr">
        <is>
          <t>With Contrast 3.0 B30f</t>
        </is>
      </c>
    </row>
    <row r="1344">
      <c r="A1344" s="2" t="n">
        <v>5027476</v>
      </c>
      <c r="B1344" s="2" t="n">
        <v>69</v>
      </c>
      <c r="C1344" s="2" t="inlineStr">
        <is>
          <t>M</t>
        </is>
      </c>
      <c r="D1344" s="2" t="n">
        <v>100</v>
      </c>
      <c r="E1344" s="4">
        <f>HYPERLINK("./Results/DLO\20180701_1.3.12.2.1107.5.1.4.65253.30000018070121035264000062071_2_512_512_\Osteo_Sarco_1.png","RPT")</f>
        <v/>
      </c>
      <c r="F1344" s="3" t="n">
        <v>163</v>
      </c>
      <c r="G1344" s="3" t="n">
        <v>6</v>
      </c>
      <c r="H1344" s="7" t="n"/>
      <c r="I1344" t="inlineStr">
        <is>
          <t>SOMATOM Definition AS</t>
        </is>
      </c>
      <c r="J1344" t="inlineStr">
        <is>
          <t>W/O Contrast 2.0 B30f</t>
        </is>
      </c>
    </row>
    <row r="1345">
      <c r="A1345" s="2" t="n">
        <v>5631994</v>
      </c>
      <c r="B1345" s="2" t="n">
        <v>69</v>
      </c>
      <c r="C1345" s="2" t="inlineStr">
        <is>
          <t>M</t>
        </is>
      </c>
      <c r="D1345" s="2" t="n">
        <v>100</v>
      </c>
      <c r="E1345" s="4">
        <f>HYPERLINK("./Results/DLO\20191201_1.3.12.2.1107.5.1.4.54310.30000019120522423939000008876_5_512_512_\Osteo_Sarco_1.png","RPT")</f>
        <v/>
      </c>
      <c r="F1345" s="3" t="n">
        <v>163</v>
      </c>
      <c r="G1345" s="3" t="n">
        <v>13</v>
      </c>
      <c r="H1345" s="6" t="n">
        <v>27.43</v>
      </c>
      <c r="I1345" t="inlineStr">
        <is>
          <t>Sensation 64</t>
        </is>
      </c>
      <c r="J1345" t="inlineStr">
        <is>
          <t>Post ABD AXL 3mm B30f</t>
        </is>
      </c>
    </row>
    <row r="1346">
      <c r="A1346" s="2" t="n">
        <v>9564277</v>
      </c>
      <c r="B1346" s="2" t="n">
        <v>69</v>
      </c>
      <c r="C1346" s="2" t="inlineStr">
        <is>
          <t>M</t>
        </is>
      </c>
      <c r="D1346" s="2" t="n">
        <v>100</v>
      </c>
      <c r="E1346" s="4">
        <f>HYPERLINK("./Results/DLO\20190101_1.3.12.2.1107.5.1.4.54310.30000019011323092907800053428_3_512_512_\Osteo_Sarco_1.png","RPT")</f>
        <v/>
      </c>
      <c r="F1346" s="3" t="n">
        <v>162</v>
      </c>
      <c r="G1346" s="3" t="n">
        <v>18</v>
      </c>
      <c r="H1346" s="7" t="n"/>
      <c r="I1346" t="inlineStr">
        <is>
          <t>Sensation 64</t>
        </is>
      </c>
      <c r="J1346" t="inlineStr">
        <is>
          <t>Pre Contrast 3.0 B30f</t>
        </is>
      </c>
    </row>
    <row r="1347">
      <c r="A1347" s="2" t="n">
        <v>5264302</v>
      </c>
      <c r="B1347" s="2" t="n">
        <v>69</v>
      </c>
      <c r="C1347" s="2" t="inlineStr">
        <is>
          <t>M</t>
        </is>
      </c>
      <c r="D1347" s="2" t="n">
        <v>100</v>
      </c>
      <c r="E1347" s="4">
        <f>HYPERLINK("./Results/DLO\20190901_1.3.12.2.1107.5.1.4.65253.30000019092618364563400050700_5_512_512_\Osteo_Sarco_1.png","RPT")</f>
        <v/>
      </c>
      <c r="F1347" s="3" t="n">
        <v>153</v>
      </c>
      <c r="G1347" s="3" t="n">
        <v>5</v>
      </c>
      <c r="H1347" s="6" t="n">
        <v>22.84</v>
      </c>
      <c r="I1347" t="inlineStr">
        <is>
          <t>SOMATOM Definition AS</t>
        </is>
      </c>
      <c r="J1347" t="inlineStr">
        <is>
          <t>Arterial Phase 3.0 B30f</t>
        </is>
      </c>
    </row>
    <row r="1348">
      <c r="A1348" s="2" t="n">
        <v>1571269</v>
      </c>
      <c r="B1348" s="2" t="n">
        <v>69</v>
      </c>
      <c r="C1348" s="2" t="inlineStr">
        <is>
          <t>M</t>
        </is>
      </c>
      <c r="D1348" s="2" t="n">
        <v>100</v>
      </c>
      <c r="E1348" s="4">
        <f>HYPERLINK("./Results/DLO\20181201_1.3.12.2.1107.5.1.4.65253.30000018121320264867000019057_2_512_512_\Osteo_Sarco_1.png","RPT")</f>
        <v/>
      </c>
      <c r="F1348" s="3" t="n">
        <v>150</v>
      </c>
      <c r="G1348" s="3" t="n">
        <v>19</v>
      </c>
      <c r="H1348" s="7" t="n"/>
      <c r="I1348" t="inlineStr">
        <is>
          <t>SOMATOM Definition AS</t>
        </is>
      </c>
      <c r="J1348" t="inlineStr">
        <is>
          <t>W/O Contrast 2.0 B30f</t>
        </is>
      </c>
    </row>
    <row r="1349">
      <c r="A1349" s="2" t="n">
        <v>8952395</v>
      </c>
      <c r="B1349" s="2" t="n">
        <v>69</v>
      </c>
      <c r="C1349" s="2" t="inlineStr">
        <is>
          <t>M</t>
        </is>
      </c>
      <c r="D1349" s="2" t="n">
        <v>100</v>
      </c>
      <c r="E1349" s="4">
        <f>HYPERLINK("./Results/DLO\20180401_1.2.840.113619.2.311.261493547817559512786757142008239924660_304_512_512_\Osteo_Sarco_1.png","RPT")</f>
        <v/>
      </c>
      <c r="F1349" s="3" t="n">
        <v>148</v>
      </c>
      <c r="G1349" s="3" t="n">
        <v>16</v>
      </c>
      <c r="H1349" s="7" t="n"/>
      <c r="I1349" t="inlineStr">
        <is>
          <t>Revolution CT</t>
        </is>
      </c>
      <c r="J1349" t="inlineStr">
        <is>
          <t>ABD 2.5mm</t>
        </is>
      </c>
    </row>
    <row r="1350">
      <c r="A1350" s="2" t="n">
        <v>5842402</v>
      </c>
      <c r="B1350" s="2" t="n">
        <v>69</v>
      </c>
      <c r="C1350" s="2" t="inlineStr">
        <is>
          <t>M</t>
        </is>
      </c>
      <c r="D1350" s="2" t="n">
        <v>100</v>
      </c>
      <c r="E1350" s="4">
        <f>HYPERLINK("./Results/DLO\20190301_1.3.46.670589.33.1.63688583906906005200001.5312039362004656500_201_512_512_\Osteo_Sarco_1.png","RPT")</f>
        <v/>
      </c>
      <c r="F1350" s="3" t="n">
        <v>144</v>
      </c>
      <c r="G1350" s="3" t="n">
        <v>7</v>
      </c>
      <c r="H1350" s="7" t="n"/>
      <c r="I1350" t="inlineStr">
        <is>
          <t>Ingenuity Core 128</t>
        </is>
      </c>
      <c r="J1350" t="inlineStr">
        <is>
          <t>Post 3mm, iDose (3)</t>
        </is>
      </c>
    </row>
    <row r="1351">
      <c r="A1351" s="2" t="n">
        <v>9515861</v>
      </c>
      <c r="B1351" s="2" t="n">
        <v>69</v>
      </c>
      <c r="C1351" s="2" t="inlineStr">
        <is>
          <t>M</t>
        </is>
      </c>
      <c r="D1351" s="2" t="n">
        <v>100</v>
      </c>
      <c r="E1351" s="4">
        <f>HYPERLINK("./Results/DLO\20190601_1.3.12.2.1107.5.1.4.54310.30000019062322103253100033408_2_512_512_\Osteo_Sarco_1.png","RPT")</f>
        <v/>
      </c>
      <c r="F1351" s="3" t="n">
        <v>144</v>
      </c>
      <c r="G1351" s="3" t="n">
        <v>5</v>
      </c>
      <c r="H1351" s="6" t="n">
        <v>22.31</v>
      </c>
      <c r="I1351" t="inlineStr">
        <is>
          <t>Sensation 64</t>
        </is>
      </c>
      <c r="J1351" t="inlineStr">
        <is>
          <t>With Contrast 3.0 B30f</t>
        </is>
      </c>
    </row>
    <row r="1352">
      <c r="A1352" s="2" t="n">
        <v>5746540</v>
      </c>
      <c r="B1352" s="2" t="n">
        <v>69</v>
      </c>
      <c r="C1352" s="2" t="inlineStr">
        <is>
          <t>M</t>
        </is>
      </c>
      <c r="D1352" s="2" t="n">
        <v>100</v>
      </c>
      <c r="E1352" s="4">
        <f>HYPERLINK("./Results/DLO\20180701_1.3.12.2.1107.5.1.4.54310.30000018071523080648400004807_3_512_512_\Osteo_Sarco_1.png","RPT")</f>
        <v/>
      </c>
      <c r="F1352" s="3" t="n">
        <v>142</v>
      </c>
      <c r="G1352" s="3" t="n">
        <v>4</v>
      </c>
      <c r="H1352" s="7" t="n"/>
      <c r="I1352" t="inlineStr">
        <is>
          <t>Sensation 64</t>
        </is>
      </c>
      <c r="J1352" t="inlineStr">
        <is>
          <t>Pre Contrast 3.0 B30f</t>
        </is>
      </c>
    </row>
    <row r="1353">
      <c r="A1353" s="2" t="n">
        <v>3664219</v>
      </c>
      <c r="B1353" s="2" t="n">
        <v>69</v>
      </c>
      <c r="C1353" s="2" t="inlineStr">
        <is>
          <t>M</t>
        </is>
      </c>
      <c r="D1353" s="2" t="n">
        <v>100</v>
      </c>
      <c r="E1353" s="4">
        <f>HYPERLINK("./Results/DLO\20190801_1.3.12.2.1107.5.1.4.54310.30000019081522252218700011062_2_512_512_\Osteo_Sarco_1.png","RPT")</f>
        <v/>
      </c>
      <c r="F1353" s="3" t="n">
        <v>138</v>
      </c>
      <c r="G1353" s="3" t="n">
        <v>15</v>
      </c>
      <c r="H1353" s="7" t="n"/>
      <c r="I1353" t="inlineStr">
        <is>
          <t>Sensation 64</t>
        </is>
      </c>
      <c r="J1353" t="inlineStr">
        <is>
          <t>With Contrast 3.0 B30f</t>
        </is>
      </c>
    </row>
    <row r="1354">
      <c r="A1354" s="2" t="n">
        <v>4593574</v>
      </c>
      <c r="B1354" s="2" t="n">
        <v>69</v>
      </c>
      <c r="C1354" s="2" t="inlineStr">
        <is>
          <t>M</t>
        </is>
      </c>
      <c r="D1354" s="2" t="n">
        <v>100</v>
      </c>
      <c r="E1354" s="4">
        <f>HYPERLINK("./Results/DLO\20190101_1.3.12.2.1107.5.1.4.54310.30000019012123340096800009461_3_512_512_\Osteo_Sarco_1.png","RPT")</f>
        <v/>
      </c>
      <c r="F1354" s="3" t="n">
        <v>136</v>
      </c>
      <c r="G1354" s="3" t="n">
        <v>9</v>
      </c>
      <c r="H1354" s="7" t="n"/>
      <c r="I1354" t="inlineStr">
        <is>
          <t>Sensation 64</t>
        </is>
      </c>
      <c r="J1354" t="inlineStr">
        <is>
          <t>Pre Contrast 3.0 B30f</t>
        </is>
      </c>
    </row>
    <row r="1355">
      <c r="A1355" s="2" t="n">
        <v>3425505</v>
      </c>
      <c r="B1355" s="2" t="n">
        <v>69</v>
      </c>
      <c r="C1355" s="2" t="inlineStr">
        <is>
          <t>M</t>
        </is>
      </c>
      <c r="D1355" s="2" t="n">
        <v>100</v>
      </c>
      <c r="E1355" s="4">
        <f>HYPERLINK("./Results/DLO\20190401_1.3.12.2.1107.5.1.4.54310.30000019041423314437500003635_2_512_512_\Osteo_Sarco_1.png","RPT")</f>
        <v/>
      </c>
      <c r="F1355" s="3" t="n">
        <v>128</v>
      </c>
      <c r="G1355" s="3" t="n">
        <v>12</v>
      </c>
      <c r="H1355" s="7" t="n"/>
      <c r="I1355" t="inlineStr">
        <is>
          <t>Sensation 64</t>
        </is>
      </c>
      <c r="J1355" t="inlineStr">
        <is>
          <t>With Contrast 3.0 B30f</t>
        </is>
      </c>
    </row>
    <row r="1356">
      <c r="A1356" s="2" t="n">
        <v>4101600</v>
      </c>
      <c r="B1356" s="2" t="n">
        <v>69</v>
      </c>
      <c r="C1356" s="2" t="inlineStr">
        <is>
          <t>F</t>
        </is>
      </c>
      <c r="D1356" s="2" t="n">
        <v>100</v>
      </c>
      <c r="E1356" s="4">
        <f>HYPERLINK("./Results/DLO\20181201_1.3.12.2.1107.5.1.4.54310.30000018121323380560900019396_2_512_512_\Osteo_Sarco_1.png","RPT")</f>
        <v/>
      </c>
      <c r="F1356" s="3" t="n">
        <v>126</v>
      </c>
      <c r="G1356" s="3" t="n">
        <v>10</v>
      </c>
      <c r="H1356" s="6" t="n">
        <v>25.22</v>
      </c>
      <c r="I1356" t="inlineStr">
        <is>
          <t>Sensation 64</t>
        </is>
      </c>
      <c r="J1356" t="inlineStr">
        <is>
          <t>Pre Contrast 3.0 B30f</t>
        </is>
      </c>
    </row>
    <row r="1357">
      <c r="A1357" s="2" t="n">
        <v>3332411</v>
      </c>
      <c r="B1357" s="2" t="n">
        <v>69</v>
      </c>
      <c r="C1357" s="2" t="inlineStr">
        <is>
          <t>M</t>
        </is>
      </c>
      <c r="D1357" s="2" t="n">
        <v>100</v>
      </c>
      <c r="E1357" s="4">
        <f>HYPERLINK("./Results/DLO\20180901_1.3.12.2.1107.5.1.4.65253.30000018092221102831000012311_2_512_512_\Osteo_Sarco_1.png","RPT")</f>
        <v/>
      </c>
      <c r="F1357" s="3" t="n">
        <v>125</v>
      </c>
      <c r="G1357" s="3" t="n">
        <v>17</v>
      </c>
      <c r="H1357" s="6" t="n">
        <v>21.71</v>
      </c>
      <c r="I1357" t="inlineStr">
        <is>
          <t>SOMATOM Definition AS</t>
        </is>
      </c>
      <c r="J1357" t="inlineStr">
        <is>
          <t>Pre 3.0 B30f</t>
        </is>
      </c>
    </row>
    <row r="1358">
      <c r="A1358" s="2" t="n">
        <v>5919295</v>
      </c>
      <c r="B1358" s="2" t="n">
        <v>69</v>
      </c>
      <c r="C1358" s="2" t="inlineStr">
        <is>
          <t>F</t>
        </is>
      </c>
      <c r="D1358" s="2" t="n">
        <v>100</v>
      </c>
      <c r="E1358" s="4">
        <f>HYPERLINK("./Results/DLO\20190701_1.3.12.2.1107.5.1.4.54310.30000019063022203612500037578_2_512_512_\Osteo_Sarco_1.png","RPT")</f>
        <v/>
      </c>
      <c r="F1358" s="3" t="n">
        <v>125</v>
      </c>
      <c r="G1358" s="3" t="n">
        <v>14</v>
      </c>
      <c r="H1358" s="7" t="n"/>
      <c r="I1358" t="inlineStr">
        <is>
          <t>Sensation 64</t>
        </is>
      </c>
      <c r="J1358" t="inlineStr">
        <is>
          <t>With Contrast 3.0 B30f</t>
        </is>
      </c>
    </row>
    <row r="1359">
      <c r="A1359" s="2" t="n">
        <v>2606684</v>
      </c>
      <c r="B1359" s="2" t="n">
        <v>69</v>
      </c>
      <c r="C1359" s="2" t="inlineStr">
        <is>
          <t>M</t>
        </is>
      </c>
      <c r="D1359" s="2" t="n">
        <v>100</v>
      </c>
      <c r="E1359" s="4">
        <f>HYPERLINK("./Results/DLO\20180401_1.3.12.2.1107.5.1.4.65253.30000018040118401598400067143_2_512_512_\Osteo_Sarco_1.png","RPT")</f>
        <v/>
      </c>
      <c r="F1359" s="3" t="n">
        <v>123</v>
      </c>
      <c r="G1359" s="3" t="n">
        <v>10</v>
      </c>
      <c r="H1359" s="7" t="n"/>
      <c r="I1359" t="inlineStr">
        <is>
          <t>SOMATOM Definition AS</t>
        </is>
      </c>
      <c r="J1359" t="inlineStr">
        <is>
          <t>W/O Contrast 2.0 B30f</t>
        </is>
      </c>
    </row>
    <row r="1360">
      <c r="A1360" s="2" t="n">
        <v>4904754</v>
      </c>
      <c r="B1360" s="2" t="n">
        <v>69</v>
      </c>
      <c r="C1360" s="2" t="inlineStr">
        <is>
          <t>M</t>
        </is>
      </c>
      <c r="D1360" s="2" t="n">
        <v>100</v>
      </c>
      <c r="E1360" s="4">
        <f>HYPERLINK("./Results/DLO\20180401_1.3.12.2.1107.5.1.4.65253.30000018041121143193700008980_2_512_512_\Osteo_Sarco_1.png","RPT")</f>
        <v/>
      </c>
      <c r="F1360" s="3" t="n">
        <v>123</v>
      </c>
      <c r="G1360" s="3" t="n">
        <v>5</v>
      </c>
      <c r="H1360" s="6" t="n">
        <v>23.66</v>
      </c>
      <c r="I1360" t="inlineStr">
        <is>
          <t>SOMATOM Definition AS</t>
        </is>
      </c>
      <c r="J1360" t="inlineStr">
        <is>
          <t>W/O Contrast 2.0 B30f</t>
        </is>
      </c>
    </row>
    <row r="1361">
      <c r="A1361" s="2" t="n">
        <v>5470558</v>
      </c>
      <c r="B1361" s="2" t="n">
        <v>69</v>
      </c>
      <c r="C1361" s="2" t="inlineStr">
        <is>
          <t>F</t>
        </is>
      </c>
      <c r="D1361" s="2" t="n">
        <v>100</v>
      </c>
      <c r="E1361" s="4">
        <f>HYPERLINK("./Results/DLO\20180501_1.3.12.2.1107.5.1.4.65253.30000018050819363785800029008_2_512_512_\Osteo_Sarco_1.png","RPT")</f>
        <v/>
      </c>
      <c r="F1361" s="3" t="n">
        <v>122</v>
      </c>
      <c r="G1361" s="3" t="n">
        <v>13</v>
      </c>
      <c r="H1361" s="6" t="n">
        <v>31.24</v>
      </c>
      <c r="I1361" t="inlineStr">
        <is>
          <t>SOMATOM Definition AS</t>
        </is>
      </c>
      <c r="J1361" t="inlineStr">
        <is>
          <t>Pre Contrast 3.0 B30f</t>
        </is>
      </c>
    </row>
    <row r="1362">
      <c r="A1362" s="2" t="n">
        <v>4273411</v>
      </c>
      <c r="B1362" s="2" t="n">
        <v>69</v>
      </c>
      <c r="C1362" s="2" t="inlineStr">
        <is>
          <t>M</t>
        </is>
      </c>
      <c r="D1362" s="2" t="n">
        <v>100</v>
      </c>
      <c r="E1362" s="4">
        <f>HYPERLINK("./Results/DLO\20190701_1.3.12.2.1107.5.1.4.54310.30000019073021381285900057202_7_512_512_\Osteo_Sarco_1.png","RPT")</f>
        <v/>
      </c>
      <c r="F1362" s="3" t="n">
        <v>121</v>
      </c>
      <c r="G1362" s="3" t="n">
        <v>5</v>
      </c>
      <c r="H1362" s="7" t="n"/>
      <c r="I1362" t="inlineStr">
        <is>
          <t>Sensation 64</t>
        </is>
      </c>
      <c r="J1362" t="inlineStr">
        <is>
          <t>ABD Contrast 3.0 B30f</t>
        </is>
      </c>
    </row>
    <row r="1363">
      <c r="A1363" s="2" t="n">
        <v>9740012</v>
      </c>
      <c r="B1363" s="2" t="n">
        <v>69</v>
      </c>
      <c r="C1363" s="2" t="inlineStr">
        <is>
          <t>F</t>
        </is>
      </c>
      <c r="D1363" s="2" t="n">
        <v>100</v>
      </c>
      <c r="E1363" s="4">
        <f>HYPERLINK("./Results/DLO\20190701_1.3.12.2.1107.5.1.4.65253.30000019071820134931800073590_2_512_512_\Osteo_Sarco_1.png","RPT")</f>
        <v/>
      </c>
      <c r="F1363" s="3" t="n">
        <v>120</v>
      </c>
      <c r="G1363" s="3" t="n">
        <v>8</v>
      </c>
      <c r="H1363" s="7" t="n"/>
      <c r="I1363" t="inlineStr">
        <is>
          <t>SOMATOM Definition AS</t>
        </is>
      </c>
      <c r="J1363" t="inlineStr">
        <is>
          <t>Pre Contrast 3.0 B30f</t>
        </is>
      </c>
    </row>
    <row r="1364">
      <c r="A1364" s="2" t="n">
        <v>9648870</v>
      </c>
      <c r="B1364" s="2" t="n">
        <v>69</v>
      </c>
      <c r="C1364" s="2" t="inlineStr">
        <is>
          <t>F</t>
        </is>
      </c>
      <c r="D1364" s="2" t="n">
        <v>100</v>
      </c>
      <c r="E1364" s="4">
        <f>HYPERLINK("./Results/DLO\20190401_1.3.12.2.1107.5.1.4.65253.30000019041320084743000005272_2_512_512_\Osteo_Sarco_1.png","RPT")</f>
        <v/>
      </c>
      <c r="F1364" s="3" t="n">
        <v>116</v>
      </c>
      <c r="G1364" s="3" t="n">
        <v>28</v>
      </c>
      <c r="H1364" s="6" t="n">
        <v>24.46</v>
      </c>
      <c r="I1364" t="inlineStr">
        <is>
          <t>SOMATOM Definition AS</t>
        </is>
      </c>
      <c r="J1364" t="inlineStr">
        <is>
          <t>Pre Contrast 3.0 B30f</t>
        </is>
      </c>
    </row>
    <row r="1365">
      <c r="A1365" s="2" t="n">
        <v>5463208</v>
      </c>
      <c r="B1365" s="2" t="n">
        <v>69</v>
      </c>
      <c r="C1365" s="2" t="inlineStr">
        <is>
          <t>F</t>
        </is>
      </c>
      <c r="D1365" s="2" t="n">
        <v>100</v>
      </c>
      <c r="E1365" s="4">
        <f>HYPERLINK("./Results/DLO\20181001_1.3.12.2.1107.5.1.4.54310.30000018102823274178100030605_2_512_512_\Osteo_Sarco_1.png","RPT")</f>
        <v/>
      </c>
      <c r="F1365" s="3" t="n">
        <v>115</v>
      </c>
      <c r="G1365" s="3" t="n">
        <v>17</v>
      </c>
      <c r="H1365" s="6" t="n">
        <v>27.4</v>
      </c>
      <c r="I1365" t="inlineStr">
        <is>
          <t>Sensation 64</t>
        </is>
      </c>
      <c r="J1365" t="inlineStr">
        <is>
          <t>With Contrast 3.0 B30f</t>
        </is>
      </c>
    </row>
    <row r="1366">
      <c r="A1366" s="2" t="n">
        <v>5653425</v>
      </c>
      <c r="B1366" s="2" t="n">
        <v>69</v>
      </c>
      <c r="C1366" s="2" t="inlineStr">
        <is>
          <t>F</t>
        </is>
      </c>
      <c r="D1366" s="2" t="n">
        <v>100</v>
      </c>
      <c r="E1366" s="4">
        <f>HYPERLINK("./Results/DLO\20180401_1.3.12.2.1107.5.1.4.54310.30000018040923092617100006959_6_512_512_\Osteo_Sarco_1.png","RPT")</f>
        <v/>
      </c>
      <c r="F1366" s="3" t="n">
        <v>113</v>
      </c>
      <c r="G1366" s="3" t="n">
        <v>10</v>
      </c>
      <c r="H1366" s="6" t="n">
        <v>23.16</v>
      </c>
      <c r="I1366" t="inlineStr">
        <is>
          <t>Sensation 64</t>
        </is>
      </c>
      <c r="J1366" t="inlineStr">
        <is>
          <t>Arterial 3.0 B30f</t>
        </is>
      </c>
    </row>
    <row r="1367">
      <c r="A1367" s="2" t="n">
        <v>5781715</v>
      </c>
      <c r="B1367" s="2" t="n">
        <v>69</v>
      </c>
      <c r="C1367" s="2" t="inlineStr">
        <is>
          <t>F</t>
        </is>
      </c>
      <c r="D1367" s="2" t="n">
        <v>100</v>
      </c>
      <c r="E1367" s="4">
        <f>HYPERLINK("./Results/DLO\20180301_1.2.840.113619.2.311.124905906165194135210597018755892040295_305_512_512_\Osteo_Sarco_1.png","RPT")</f>
        <v/>
      </c>
      <c r="F1367" s="3" t="n">
        <v>105</v>
      </c>
      <c r="G1367" s="3" t="n">
        <v>7</v>
      </c>
      <c r="H1367" s="7" t="n"/>
      <c r="I1367" t="inlineStr">
        <is>
          <t>Revolution CT</t>
        </is>
      </c>
      <c r="J1367" t="inlineStr">
        <is>
          <t>ABD 2.5mm</t>
        </is>
      </c>
    </row>
    <row r="1368">
      <c r="A1368" s="2" t="n">
        <v>1678834</v>
      </c>
      <c r="B1368" s="2" t="n">
        <v>69</v>
      </c>
      <c r="C1368" s="2" t="inlineStr">
        <is>
          <t>F</t>
        </is>
      </c>
      <c r="D1368" s="2" t="n">
        <v>100</v>
      </c>
      <c r="E1368" s="4">
        <f>HYPERLINK("./Results/DLO\20180801_1.3.12.2.1107.5.1.4.54310.30000018081323504317100014176_2_512_512_\Osteo_Sarco_1.png","RPT")</f>
        <v/>
      </c>
      <c r="F1368" s="3" t="n">
        <v>103</v>
      </c>
      <c r="G1368" s="3" t="n">
        <v>19</v>
      </c>
      <c r="H1368" s="7" t="n"/>
      <c r="I1368" t="inlineStr">
        <is>
          <t>Sensation 64</t>
        </is>
      </c>
      <c r="J1368" t="inlineStr">
        <is>
          <t>With Contrast 3.0 B30f</t>
        </is>
      </c>
    </row>
    <row r="1369">
      <c r="A1369" s="2" t="n">
        <v>6178267</v>
      </c>
      <c r="B1369" s="2" t="n">
        <v>69</v>
      </c>
      <c r="C1369" s="2" t="inlineStr">
        <is>
          <t>F</t>
        </is>
      </c>
      <c r="D1369" s="2" t="n">
        <v>100</v>
      </c>
      <c r="E1369" s="4">
        <f>HYPERLINK("./Results/DLO\20190501_1.2.410.100011.172.16.64.21.6370932194344423462.6_6_512_512_\Osteo_Sarco_1.png","RPT")</f>
        <v/>
      </c>
      <c r="F1369" s="3" t="n">
        <v>103</v>
      </c>
      <c r="G1369" s="3" t="n">
        <v>7</v>
      </c>
      <c r="H1369" s="7" t="n"/>
      <c r="I1369" t="inlineStr">
        <is>
          <t>SOMATOM Definition Flabh</t>
        </is>
      </c>
      <c r="J1369" t="inlineStr">
        <is>
          <t>Delay Phase 3.0 I31f 2</t>
        </is>
      </c>
    </row>
    <row r="1370">
      <c r="A1370" s="2" t="n">
        <v>3182476</v>
      </c>
      <c r="B1370" s="2" t="n">
        <v>69</v>
      </c>
      <c r="C1370" s="2" t="inlineStr">
        <is>
          <t>F</t>
        </is>
      </c>
      <c r="D1370" s="2" t="n">
        <v>100</v>
      </c>
      <c r="E1370" s="4">
        <f>HYPERLINK("./Results/DLO\20180201_1.3.12.2.1107.5.1.4.54310.30000018013123112864000000999_2_512_512_\Osteo_Sarco_1.png","RPT")</f>
        <v/>
      </c>
      <c r="F1370" s="3" t="n">
        <v>102</v>
      </c>
      <c r="G1370" s="3" t="n">
        <v>8</v>
      </c>
      <c r="H1370" s="7" t="n"/>
      <c r="I1370" t="inlineStr">
        <is>
          <t>Sensation 64</t>
        </is>
      </c>
      <c r="J1370" t="inlineStr">
        <is>
          <t>With Contrast 3.0 B30f</t>
        </is>
      </c>
    </row>
    <row r="1371">
      <c r="A1371" s="2" t="n">
        <v>6003872</v>
      </c>
      <c r="B1371" s="2" t="n">
        <v>69</v>
      </c>
      <c r="C1371" s="2" t="inlineStr">
        <is>
          <t>F</t>
        </is>
      </c>
      <c r="D1371" s="2" t="n">
        <v>100</v>
      </c>
      <c r="E1371" s="4">
        <f>HYPERLINK("./Results/DLO\20200101_1.2.840.113619.2.416.149009598972117619391468344229248944616_310_512_512_\Osteo_Sarco_1.png","RPT")</f>
        <v/>
      </c>
      <c r="F1371" s="3" t="n">
        <v>102</v>
      </c>
      <c r="G1371" s="3" t="n">
        <v>11</v>
      </c>
      <c r="H1371" s="7" t="n"/>
      <c r="I1371" t="inlineStr">
        <is>
          <t>Revolution CT</t>
        </is>
      </c>
      <c r="J1371" t="inlineStr">
        <is>
          <t>ABD</t>
        </is>
      </c>
    </row>
    <row r="1372">
      <c r="A1372" s="2" t="n">
        <v>2667646</v>
      </c>
      <c r="B1372" s="2" t="n">
        <v>69</v>
      </c>
      <c r="C1372" s="2" t="inlineStr">
        <is>
          <t>F</t>
        </is>
      </c>
      <c r="D1372" s="2" t="n">
        <v>100</v>
      </c>
      <c r="E1372" s="4">
        <f>HYPERLINK("./Results/DLO\20180201_1.3.46.670589.33.1.63653599167888977900001.5098654067298782026_201_512_512_\Osteo_Sarco_1.png","RPT")</f>
        <v/>
      </c>
      <c r="F1372" s="3" t="n">
        <v>101</v>
      </c>
      <c r="G1372" s="3" t="n">
        <v>11</v>
      </c>
      <c r="H1372" s="7" t="n"/>
      <c r="I1372" t="inlineStr">
        <is>
          <t>Ingenuity Core 128</t>
        </is>
      </c>
      <c r="J1372" t="inlineStr">
        <is>
          <t>Post 100/236 i3, iDose (3)</t>
        </is>
      </c>
    </row>
    <row r="1373">
      <c r="A1373" s="2" t="n">
        <v>3623794</v>
      </c>
      <c r="B1373" s="2" t="n">
        <v>69</v>
      </c>
      <c r="C1373" s="2" t="inlineStr">
        <is>
          <t>F</t>
        </is>
      </c>
      <c r="D1373" s="2" t="n">
        <v>100</v>
      </c>
      <c r="E1373" s="4">
        <f>HYPERLINK("./Results/DLO\20180101_1.3.12.2.1107.5.1.4.65253.30000018011520001987000000418_2_512_512_\Osteo_Sarco_1.png","RPT")</f>
        <v/>
      </c>
      <c r="F1373" s="3" t="n">
        <v>100</v>
      </c>
      <c r="G1373" s="3" t="n">
        <v>17</v>
      </c>
      <c r="H1373" s="6" t="n">
        <v>25.13</v>
      </c>
      <c r="I1373" t="inlineStr">
        <is>
          <t>SOMATOM Definition AS</t>
        </is>
      </c>
      <c r="J1373" t="inlineStr">
        <is>
          <t>With Contrast 3.0 B40f</t>
        </is>
      </c>
    </row>
    <row r="1374">
      <c r="A1374" s="2" t="n">
        <v>5944187</v>
      </c>
      <c r="B1374" s="2" t="n">
        <v>69</v>
      </c>
      <c r="C1374" s="2" t="inlineStr">
        <is>
          <t>F</t>
        </is>
      </c>
      <c r="D1374" s="2" t="n">
        <v>100</v>
      </c>
      <c r="E1374" s="4">
        <f>HYPERLINK("./Results/DLO\20180801_1.2.840.113619.2.416.45048872566642099361423161177490276905_304_512_512_\Osteo_Sarco_1.png","RPT")</f>
        <v/>
      </c>
      <c r="F1374" s="3" t="n">
        <v>100</v>
      </c>
      <c r="G1374" s="3" t="n">
        <v>10</v>
      </c>
      <c r="H1374" s="6" t="n">
        <v>23.34</v>
      </c>
      <c r="I1374" t="inlineStr">
        <is>
          <t>Revolution CT</t>
        </is>
      </c>
      <c r="J1374" t="inlineStr">
        <is>
          <t>ABD 2.5mm</t>
        </is>
      </c>
    </row>
    <row r="1375">
      <c r="A1375" s="2" t="n">
        <v>367771</v>
      </c>
      <c r="B1375" s="2" t="n">
        <v>70</v>
      </c>
      <c r="C1375" s="2" t="inlineStr">
        <is>
          <t>F</t>
        </is>
      </c>
      <c r="D1375" s="2" t="n">
        <v>100</v>
      </c>
      <c r="E1375" s="4">
        <f>HYPERLINK("./Results/DLO\20180401_1.3.12.2.1107.5.1.4.65253.30000018042321504630500037793_2_512_512_\Osteo_Sarco_1.png","RPT")</f>
        <v/>
      </c>
      <c r="F1375" s="3" t="n">
        <v>95</v>
      </c>
      <c r="G1375" s="3" t="n">
        <v>10</v>
      </c>
      <c r="H1375" s="7" t="n"/>
      <c r="I1375" t="inlineStr">
        <is>
          <t>SOMATOM Definition AS</t>
        </is>
      </c>
      <c r="J1375" t="inlineStr">
        <is>
          <t>Pre Contrast 3.0 B30f</t>
        </is>
      </c>
    </row>
    <row r="1376">
      <c r="A1376" s="2" t="n">
        <v>5824691</v>
      </c>
      <c r="B1376" s="2" t="n">
        <v>70</v>
      </c>
      <c r="C1376" s="2" t="inlineStr">
        <is>
          <t>F</t>
        </is>
      </c>
      <c r="D1376" s="2" t="n">
        <v>100</v>
      </c>
      <c r="E1376" s="4">
        <f>HYPERLINK("./Results/DLO\20190801_1.3.46.670589.33.1.63701372980789609300001.5052972479635638783_201_512_512_\Osteo_Sarco_1.png","RPT")</f>
        <v/>
      </c>
      <c r="F1376" s="3" t="n">
        <v>91</v>
      </c>
      <c r="G1376" s="3" t="n">
        <v>8</v>
      </c>
      <c r="H1376" s="7" t="n"/>
      <c r="I1376" t="inlineStr">
        <is>
          <t>Ingenuity Core 128</t>
        </is>
      </c>
      <c r="J1376" t="inlineStr">
        <is>
          <t>Post 3mm, iDose (3)</t>
        </is>
      </c>
    </row>
    <row r="1377">
      <c r="A1377" s="2" t="n">
        <v>6741023</v>
      </c>
      <c r="B1377" s="2" t="n">
        <v>70</v>
      </c>
      <c r="C1377" s="2" t="inlineStr">
        <is>
          <t>F</t>
        </is>
      </c>
      <c r="D1377" s="2" t="n">
        <v>100</v>
      </c>
      <c r="E1377" s="4">
        <f>HYPERLINK("./Results/DLO\20180701_1.2.840.113619.2.94.485650834948.2.8982113.19481897.1_2_512_512_\Osteo_Sarco_1.png","RPT")</f>
        <v/>
      </c>
      <c r="F1377" s="3" t="n">
        <v>86</v>
      </c>
      <c r="G1377" s="3" t="n">
        <v>11</v>
      </c>
      <c r="H1377" s="7" t="n"/>
      <c r="I1377" t="inlineStr">
        <is>
          <t>SOMATOM Definition AS</t>
        </is>
      </c>
      <c r="J1377" t="inlineStr">
        <is>
          <t>With Contrast 3.0 B30f</t>
        </is>
      </c>
    </row>
    <row r="1378">
      <c r="A1378" s="2" t="n">
        <v>4837712</v>
      </c>
      <c r="B1378" s="2" t="n">
        <v>70</v>
      </c>
      <c r="C1378" s="2" t="inlineStr">
        <is>
          <t>F</t>
        </is>
      </c>
      <c r="D1378" s="2" t="n">
        <v>100</v>
      </c>
      <c r="E1378" s="4">
        <f>HYPERLINK("./Results/DLO\20181001_1.2.840.113619.2.311.106151623070903728898972185295736483887_304_512_512_\Osteo_Sarco_1.png","RPT")</f>
        <v/>
      </c>
      <c r="F1378" s="3" t="n">
        <v>86</v>
      </c>
      <c r="G1378" s="3" t="n">
        <v>7</v>
      </c>
      <c r="H1378" s="6" t="n">
        <v>20.5</v>
      </c>
      <c r="I1378" t="inlineStr">
        <is>
          <t>Revolution CT</t>
        </is>
      </c>
      <c r="J1378" t="inlineStr">
        <is>
          <t>ABD 2.5mm</t>
        </is>
      </c>
    </row>
    <row r="1379">
      <c r="A1379" s="2" t="n">
        <v>6179502</v>
      </c>
      <c r="B1379" s="2" t="n">
        <v>70</v>
      </c>
      <c r="C1379" s="2" t="inlineStr">
        <is>
          <t>F</t>
        </is>
      </c>
      <c r="D1379" s="2" t="n">
        <v>100</v>
      </c>
      <c r="E1379" s="4">
        <f>HYPERLINK("./Results/DLO\20180801_1.2.840.113619.2.94.485650834948.2.8992182.19505928.1_2_512_512_\Osteo_Sarco_1.png","RPT")</f>
        <v/>
      </c>
      <c r="F1379" s="3" t="n">
        <v>73</v>
      </c>
      <c r="G1379" s="3" t="n">
        <v>8</v>
      </c>
      <c r="H1379" s="7" t="n"/>
      <c r="I1379" t="inlineStr">
        <is>
          <t>Sensation 64</t>
        </is>
      </c>
      <c r="J1379" t="inlineStr">
        <is>
          <t>With Contrast 3.0 B30f</t>
        </is>
      </c>
    </row>
    <row r="1380">
      <c r="A1380" s="2" t="n">
        <v>904591</v>
      </c>
      <c r="B1380" s="2" t="n">
        <v>70</v>
      </c>
      <c r="C1380" s="2" t="inlineStr">
        <is>
          <t>F</t>
        </is>
      </c>
      <c r="D1380" s="2" t="n">
        <v>100</v>
      </c>
      <c r="E1380" s="4">
        <f>HYPERLINK("./Results/DLO\20190501_1.3.12.2.1107.5.1.4.54310.30000019051521013667100064058_2_512_512_\Osteo_Sarco_1.png","RPT")</f>
        <v/>
      </c>
      <c r="F1380" s="3" t="n">
        <v>62</v>
      </c>
      <c r="G1380" s="3" t="n">
        <v>9</v>
      </c>
      <c r="H1380" s="6" t="n">
        <v>17.69</v>
      </c>
      <c r="I1380" t="inlineStr">
        <is>
          <t>Sensation 64</t>
        </is>
      </c>
      <c r="J1380" t="inlineStr">
        <is>
          <t>With Contrast 3.0 B30f</t>
        </is>
      </c>
    </row>
    <row r="1381">
      <c r="A1381" s="2" t="n">
        <v>4740159</v>
      </c>
      <c r="B1381" s="2" t="n">
        <v>70</v>
      </c>
      <c r="C1381" s="2" t="inlineStr">
        <is>
          <t>F</t>
        </is>
      </c>
      <c r="D1381" s="2" t="n">
        <v>100</v>
      </c>
      <c r="E1381" s="4">
        <f>HYPERLINK("./Results/DLO\20180201_1.3.12.2.1107.5.1.4.65253.30000018021120242291700006549_2_512_512_\Osteo_Sarco_1.png","RPT")</f>
        <v/>
      </c>
      <c r="F1381" s="3" t="n">
        <v>60</v>
      </c>
      <c r="G1381" s="3" t="n">
        <v>12</v>
      </c>
      <c r="H1381" s="6" t="n">
        <v>18.73</v>
      </c>
      <c r="I1381" t="inlineStr">
        <is>
          <t>SOMATOM Definition AS</t>
        </is>
      </c>
      <c r="J1381" t="inlineStr">
        <is>
          <t>Non Contrast 3.0 B30f</t>
        </is>
      </c>
    </row>
    <row r="1382">
      <c r="A1382" s="2" t="n">
        <v>5852500</v>
      </c>
      <c r="B1382" s="2" t="n">
        <v>70</v>
      </c>
      <c r="C1382" s="2" t="inlineStr">
        <is>
          <t>M</t>
        </is>
      </c>
      <c r="D1382" s="2" t="n">
        <v>100</v>
      </c>
      <c r="E1382" s="4">
        <f>HYPERLINK("./Results/DLO\20181201_1.3.12.2.1107.5.1.4.65253.30000018122519362635700043746_2_512_512_\Osteo_Sarco_1.png","RPT")</f>
        <v/>
      </c>
      <c r="F1382" s="3" t="n">
        <v>195</v>
      </c>
      <c r="G1382" s="3" t="n">
        <v>19</v>
      </c>
      <c r="H1382" s="7" t="n"/>
      <c r="I1382" t="inlineStr">
        <is>
          <t>SOMATOM Definition AS</t>
        </is>
      </c>
      <c r="J1382" t="inlineStr">
        <is>
          <t>Pre Contrast 3.0 B30f</t>
        </is>
      </c>
    </row>
    <row r="1383">
      <c r="A1383" s="2" t="n">
        <v>3330200</v>
      </c>
      <c r="B1383" s="2" t="n">
        <v>70</v>
      </c>
      <c r="C1383" s="2" t="inlineStr">
        <is>
          <t>M</t>
        </is>
      </c>
      <c r="D1383" s="2" t="n">
        <v>100</v>
      </c>
      <c r="E1383" s="4">
        <f>HYPERLINK("./Results/DLO\20190201_1.3.46.670589.33.1.63685756205435972000001.5023518055279474837_501_512_512_\Osteo_Sarco_1.png","RPT")</f>
        <v/>
      </c>
      <c r="F1383" s="3" t="n">
        <v>167</v>
      </c>
      <c r="G1383" s="3" t="n">
        <v>8</v>
      </c>
      <c r="H1383" s="6" t="n">
        <v>25.03</v>
      </c>
      <c r="I1383" t="inlineStr">
        <is>
          <t>Ingenuity Core 128</t>
        </is>
      </c>
      <c r="J1383" t="inlineStr">
        <is>
          <t>Arterial 3mm, iDose (3)</t>
        </is>
      </c>
    </row>
    <row r="1384">
      <c r="A1384" s="2" t="n">
        <v>5686834</v>
      </c>
      <c r="B1384" s="2" t="n">
        <v>70</v>
      </c>
      <c r="C1384" s="2" t="inlineStr">
        <is>
          <t>M</t>
        </is>
      </c>
      <c r="D1384" s="2" t="n">
        <v>100</v>
      </c>
      <c r="E1384" s="4">
        <f>HYPERLINK("./Results/DLO\20180501_1.3.12.2.1107.5.1.4.65253.30000018052922105125000005100_3_512_512_\Osteo_Sarco_1.png","RPT")</f>
        <v/>
      </c>
      <c r="F1384" s="3" t="n">
        <v>142</v>
      </c>
      <c r="G1384" s="3" t="n">
        <v>14</v>
      </c>
      <c r="H1384" s="7" t="n"/>
      <c r="I1384" t="inlineStr">
        <is>
          <t>SOMATOM Definition AS</t>
        </is>
      </c>
      <c r="J1384" t="inlineStr">
        <is>
          <t>With Contrast 3.0 B30f</t>
        </is>
      </c>
    </row>
    <row r="1385">
      <c r="A1385" s="2" t="n">
        <v>6111301</v>
      </c>
      <c r="B1385" s="2" t="n">
        <v>70</v>
      </c>
      <c r="C1385" s="2" t="inlineStr">
        <is>
          <t>M</t>
        </is>
      </c>
      <c r="D1385" s="2" t="n">
        <v>100</v>
      </c>
      <c r="E1385" s="4">
        <f>HYPERLINK("./Results/DLO\20181201_1.2.840.113619.2.416.87665900451967536079546966158401543317_301_512_512_\Osteo_Sarco_1.png","RPT")</f>
        <v/>
      </c>
      <c r="F1385" s="3" t="n">
        <v>142</v>
      </c>
      <c r="G1385" s="3" t="n">
        <v>7</v>
      </c>
      <c r="H1385" s="6" t="n">
        <v>25.17</v>
      </c>
      <c r="I1385" t="inlineStr">
        <is>
          <t>Revolution CT</t>
        </is>
      </c>
      <c r="J1385" t="inlineStr">
        <is>
          <t>ARTERY</t>
        </is>
      </c>
    </row>
    <row r="1386">
      <c r="A1386" s="2" t="n">
        <v>9643269</v>
      </c>
      <c r="B1386" s="2" t="n">
        <v>70</v>
      </c>
      <c r="C1386" s="2" t="inlineStr">
        <is>
          <t>M</t>
        </is>
      </c>
      <c r="D1386" s="2" t="n">
        <v>100</v>
      </c>
      <c r="E1386" s="4">
        <f>HYPERLINK("./Results/DLO\20190401_1.3.12.2.1107.5.1.4.54310.30000019042223330837500052983_6_512_512_\Osteo_Sarco_1.png","RPT")</f>
        <v/>
      </c>
      <c r="F1386" s="3" t="n">
        <v>142</v>
      </c>
      <c r="G1386" s="3" t="n">
        <v>7</v>
      </c>
      <c r="H1386" s="6" t="n">
        <v>25.44</v>
      </c>
      <c r="I1386" t="inlineStr">
        <is>
          <t>Sensation 64</t>
        </is>
      </c>
      <c r="J1386" t="inlineStr">
        <is>
          <t>Portal 3.0 B30f</t>
        </is>
      </c>
    </row>
    <row r="1387">
      <c r="A1387" s="2" t="n">
        <v>8405801</v>
      </c>
      <c r="B1387" s="2" t="n">
        <v>70</v>
      </c>
      <c r="C1387" s="2" t="inlineStr">
        <is>
          <t>M</t>
        </is>
      </c>
      <c r="D1387" s="2" t="n">
        <v>100</v>
      </c>
      <c r="E1387" s="4">
        <f>HYPERLINK("./Results/DLO\20180201_1.2.840.113619.2.311.137116019944845267450278139592769872057_2_512_512_\Osteo_Sarco_1.png","RPT")</f>
        <v/>
      </c>
      <c r="F1387" s="3" t="n">
        <v>140</v>
      </c>
      <c r="G1387" s="3" t="n">
        <v>11</v>
      </c>
      <c r="H1387" s="6" t="n">
        <v>23.91</v>
      </c>
      <c r="I1387" t="inlineStr">
        <is>
          <t>Revolution CT</t>
        </is>
      </c>
      <c r="J1387" t="inlineStr">
        <is>
          <t>ABD</t>
        </is>
      </c>
    </row>
    <row r="1388">
      <c r="A1388" s="2" t="n">
        <v>6043443</v>
      </c>
      <c r="B1388" s="2" t="n">
        <v>70</v>
      </c>
      <c r="C1388" s="2" t="inlineStr">
        <is>
          <t>M</t>
        </is>
      </c>
      <c r="D1388" s="2" t="n">
        <v>100</v>
      </c>
      <c r="E1388" s="4">
        <f>HYPERLINK("./Results/DLO\20181101_1.3.12.2.1107.5.1.4.54310.30000018110723142843700015405_2_512_512_\Osteo_Sarco_1.png","RPT")</f>
        <v/>
      </c>
      <c r="F1388" s="3" t="n">
        <v>131</v>
      </c>
      <c r="G1388" s="3" t="n">
        <v>5</v>
      </c>
      <c r="H1388" s="7" t="n"/>
      <c r="I1388" t="inlineStr">
        <is>
          <t>Sensation 64</t>
        </is>
      </c>
      <c r="J1388" t="inlineStr">
        <is>
          <t>Pre Contrast 3.0 B30f</t>
        </is>
      </c>
    </row>
    <row r="1389">
      <c r="A1389" s="2" t="n">
        <v>6064983</v>
      </c>
      <c r="B1389" s="2" t="n">
        <v>70</v>
      </c>
      <c r="C1389" s="2" t="inlineStr">
        <is>
          <t>F</t>
        </is>
      </c>
      <c r="D1389" s="2" t="n">
        <v>100</v>
      </c>
      <c r="E1389" s="4">
        <f>HYPERLINK("./Results/DLO\20180501_1.3.12.2.1107.5.1.4.54310.30000018051323243418700012480_2_512_512_\Osteo_Sarco_1.png","RPT")</f>
        <v/>
      </c>
      <c r="F1389" s="3" t="n">
        <v>127</v>
      </c>
      <c r="G1389" s="3" t="n">
        <v>13</v>
      </c>
      <c r="H1389" s="6" t="n">
        <v>29.47</v>
      </c>
      <c r="I1389" t="inlineStr">
        <is>
          <t>Sensation 64</t>
        </is>
      </c>
      <c r="J1389" t="inlineStr">
        <is>
          <t>With Contrast 3.0 B30f</t>
        </is>
      </c>
    </row>
    <row r="1390">
      <c r="A1390" s="2" t="n">
        <v>5334907</v>
      </c>
      <c r="B1390" s="2" t="n">
        <v>70</v>
      </c>
      <c r="C1390" s="2" t="inlineStr">
        <is>
          <t>M</t>
        </is>
      </c>
      <c r="D1390" s="2" t="n">
        <v>100</v>
      </c>
      <c r="E1390" s="4">
        <f>HYPERLINK("./Results/DLO\20191101_1.3.12.2.1107.5.1.4.54310.30000019110422140768700000606_6_512_512_\Osteo_Sarco_1.png","RPT")</f>
        <v/>
      </c>
      <c r="F1390" s="3" t="n">
        <v>126</v>
      </c>
      <c r="G1390" s="3" t="n">
        <v>6</v>
      </c>
      <c r="H1390" s="6" t="n">
        <v>19.71</v>
      </c>
      <c r="I1390" t="inlineStr">
        <is>
          <t>Sensation 64</t>
        </is>
      </c>
      <c r="J1390" t="inlineStr">
        <is>
          <t>With Contrast 3.0 B30f</t>
        </is>
      </c>
    </row>
    <row r="1391">
      <c r="A1391" s="2" t="n">
        <v>8936171</v>
      </c>
      <c r="B1391" s="2" t="n">
        <v>70</v>
      </c>
      <c r="C1391" s="2" t="inlineStr">
        <is>
          <t>F</t>
        </is>
      </c>
      <c r="D1391" s="2" t="n">
        <v>100</v>
      </c>
      <c r="E1391" s="4">
        <f>HYPERLINK("./Results/DLO\20190101_1.3.12.2.1107.5.1.4.54310.30000019012723320014000045392_2_512_512_\Osteo_Sarco_1.png","RPT")</f>
        <v/>
      </c>
      <c r="F1391" s="3" t="n">
        <v>120</v>
      </c>
      <c r="G1391" s="3" t="n">
        <v>23</v>
      </c>
      <c r="H1391" s="7" t="n"/>
      <c r="I1391" t="inlineStr">
        <is>
          <t>Sensation 64</t>
        </is>
      </c>
      <c r="J1391" t="inlineStr">
        <is>
          <t>Pre Contrast 3.0 B30f</t>
        </is>
      </c>
    </row>
    <row r="1392">
      <c r="A1392" s="2" t="n">
        <v>8617768</v>
      </c>
      <c r="B1392" s="2" t="n">
        <v>70</v>
      </c>
      <c r="C1392" s="2" t="inlineStr">
        <is>
          <t>M</t>
        </is>
      </c>
      <c r="D1392" s="2" t="n">
        <v>100</v>
      </c>
      <c r="E1392" s="4">
        <f>HYPERLINK("./Results/DLO\20200601_1.3.12.2.1107.5.1.4.54310.30000020061621223378100026911_2_512_512_\Osteo_Sarco_1.png","RPT")</f>
        <v/>
      </c>
      <c r="F1392" s="3" t="n">
        <v>120</v>
      </c>
      <c r="G1392" s="3" t="n">
        <v>12</v>
      </c>
      <c r="H1392" s="6" t="n">
        <v>22.55</v>
      </c>
      <c r="I1392" t="inlineStr">
        <is>
          <t>Sensation 64</t>
        </is>
      </c>
      <c r="J1392" t="inlineStr">
        <is>
          <t>Non Contrast 2.0 B30f</t>
        </is>
      </c>
    </row>
    <row r="1393">
      <c r="A1393" s="2" t="n">
        <v>2813512</v>
      </c>
      <c r="B1393" s="2" t="n">
        <v>70</v>
      </c>
      <c r="C1393" s="2" t="inlineStr">
        <is>
          <t>F</t>
        </is>
      </c>
      <c r="D1393" s="2" t="n">
        <v>100</v>
      </c>
      <c r="E1393" s="4">
        <f>HYPERLINK("./Results/DLO\20200201_1.3.12.2.1107.5.1.4.65253.30000020020921082969400037685_7_512_512_\Osteo_Sarco_1.png","RPT")</f>
        <v/>
      </c>
      <c r="F1393" s="3" t="n">
        <v>119</v>
      </c>
      <c r="G1393" s="3" t="n">
        <v>27</v>
      </c>
      <c r="H1393" s="7" t="n"/>
      <c r="I1393" t="inlineStr">
        <is>
          <t>SOMATOM Definition AS</t>
        </is>
      </c>
      <c r="J1393" t="inlineStr">
        <is>
          <t>Portal Phase 3.0 B30f</t>
        </is>
      </c>
    </row>
    <row r="1394">
      <c r="A1394" s="2" t="n">
        <v>3375617</v>
      </c>
      <c r="B1394" s="2" t="n">
        <v>70</v>
      </c>
      <c r="C1394" s="2" t="inlineStr">
        <is>
          <t>F</t>
        </is>
      </c>
      <c r="D1394" s="2" t="n">
        <v>100</v>
      </c>
      <c r="E1394" s="4">
        <f>HYPERLINK("./Results/DLO\20180801_1.2.840.113619.2.416.219644516753919967614822264004661298111_304_512_512_\Osteo_Sarco_1.png","RPT")</f>
        <v/>
      </c>
      <c r="F1394" s="3" t="n">
        <v>118</v>
      </c>
      <c r="G1394" s="3" t="n">
        <v>12</v>
      </c>
      <c r="H1394" s="7" t="n"/>
      <c r="I1394" t="inlineStr">
        <is>
          <t>Revolution CT</t>
        </is>
      </c>
      <c r="J1394" t="inlineStr">
        <is>
          <t>ABD 2.5mm</t>
        </is>
      </c>
    </row>
    <row r="1395">
      <c r="A1395" s="2" t="n">
        <v>1711665</v>
      </c>
      <c r="B1395" s="2" t="n">
        <v>70</v>
      </c>
      <c r="C1395" s="2" t="inlineStr">
        <is>
          <t>F</t>
        </is>
      </c>
      <c r="D1395" s="2" t="n">
        <v>100</v>
      </c>
      <c r="E1395" s="4">
        <f>HYPERLINK("./Results/DLO\20180501_1.2.840.113619.2.416.56884268046232602318776149709939571757_304_512_512_\Osteo_Sarco_1.png","RPT")</f>
        <v/>
      </c>
      <c r="F1395" s="3" t="n">
        <v>117</v>
      </c>
      <c r="G1395" s="3" t="n">
        <v>10</v>
      </c>
      <c r="H1395" s="6" t="n">
        <v>24.99</v>
      </c>
      <c r="I1395" t="inlineStr">
        <is>
          <t>Revolution CT</t>
        </is>
      </c>
      <c r="J1395" t="inlineStr">
        <is>
          <t>ABD 2.5mm</t>
        </is>
      </c>
    </row>
    <row r="1396">
      <c r="A1396" s="2" t="n">
        <v>8743458</v>
      </c>
      <c r="B1396" s="2" t="n">
        <v>70</v>
      </c>
      <c r="C1396" s="2" t="inlineStr">
        <is>
          <t>F</t>
        </is>
      </c>
      <c r="D1396" s="2" t="n">
        <v>100</v>
      </c>
      <c r="E1396" s="4">
        <f>HYPERLINK("./Results/DLO\20180701_1.3.12.2.1107.5.1.4.54310.30000018070923233553100013190_2_512_512_\Osteo_Sarco_1.png","RPT")</f>
        <v/>
      </c>
      <c r="F1396" s="3" t="n">
        <v>117</v>
      </c>
      <c r="G1396" s="3" t="n">
        <v>19</v>
      </c>
      <c r="H1396" s="6" t="n">
        <v>29.86</v>
      </c>
      <c r="I1396" t="inlineStr">
        <is>
          <t>Sensation 64</t>
        </is>
      </c>
      <c r="J1396" t="inlineStr">
        <is>
          <t>With Contrast 3.0 B30f</t>
        </is>
      </c>
    </row>
    <row r="1397">
      <c r="A1397" s="2" t="n">
        <v>9563555</v>
      </c>
      <c r="B1397" s="2" t="n">
        <v>70</v>
      </c>
      <c r="C1397" s="2" t="inlineStr">
        <is>
          <t>F</t>
        </is>
      </c>
      <c r="D1397" s="2" t="n">
        <v>100</v>
      </c>
      <c r="E1397" s="4">
        <f>HYPERLINK("./Results/DLO\20190101_1.2.840.113619.2.311.270571338495570147260436258235010949022_2_512_512_\Osteo_Sarco_1.png","RPT")</f>
        <v/>
      </c>
      <c r="F1397" s="3" t="n">
        <v>117</v>
      </c>
      <c r="G1397" s="3" t="n">
        <v>8</v>
      </c>
      <c r="H1397" s="6" t="n">
        <v>26.3</v>
      </c>
      <c r="I1397" t="inlineStr">
        <is>
          <t>Revolution CT</t>
        </is>
      </c>
      <c r="J1397" t="inlineStr">
        <is>
          <t>Pre</t>
        </is>
      </c>
    </row>
    <row r="1398">
      <c r="A1398" s="2" t="n">
        <v>5050546</v>
      </c>
      <c r="B1398" s="2" t="n">
        <v>70</v>
      </c>
      <c r="C1398" s="2" t="inlineStr">
        <is>
          <t>F</t>
        </is>
      </c>
      <c r="D1398" s="2" t="n">
        <v>100</v>
      </c>
      <c r="E1398" s="4">
        <f>HYPERLINK("./Results/DLO\20190401_1.3.12.2.1107.5.1.4.65253.30000019041920290275200032908_2_512_512_\Osteo_Sarco_1.png","RPT")</f>
        <v/>
      </c>
      <c r="F1398" s="3" t="n">
        <v>116</v>
      </c>
      <c r="G1398" s="3" t="n">
        <v>13</v>
      </c>
      <c r="H1398" s="6" t="n">
        <v>29.73</v>
      </c>
      <c r="I1398" t="inlineStr">
        <is>
          <t>SOMATOM Definition AS</t>
        </is>
      </c>
      <c r="J1398" t="inlineStr">
        <is>
          <t>Pre Contrast 3.0 B30f</t>
        </is>
      </c>
    </row>
    <row r="1399">
      <c r="A1399" s="2" t="n">
        <v>3700767</v>
      </c>
      <c r="B1399" s="2" t="n">
        <v>70</v>
      </c>
      <c r="C1399" s="2" t="inlineStr">
        <is>
          <t>F</t>
        </is>
      </c>
      <c r="D1399" s="2" t="n">
        <v>100</v>
      </c>
      <c r="E1399" s="4">
        <f>HYPERLINK("./Results/DLO\20190701_1.3.12.2.1107.5.1.4.54310.30000019070322280493700014227_6_512_512_\Osteo_Sarco_1.png","RPT")</f>
        <v/>
      </c>
      <c r="F1399" s="3" t="n">
        <v>116</v>
      </c>
      <c r="G1399" s="3" t="n">
        <v>9</v>
      </c>
      <c r="H1399" s="6" t="n">
        <v>23.07</v>
      </c>
      <c r="I1399" t="inlineStr">
        <is>
          <t>Sensation 64</t>
        </is>
      </c>
      <c r="J1399" t="inlineStr">
        <is>
          <t>ABD Contrast 3.0 B30f</t>
        </is>
      </c>
    </row>
    <row r="1400">
      <c r="A1400" s="2" t="n">
        <v>5266746</v>
      </c>
      <c r="B1400" s="2" t="n">
        <v>70</v>
      </c>
      <c r="C1400" s="2" t="inlineStr">
        <is>
          <t>F</t>
        </is>
      </c>
      <c r="D1400" s="2" t="n">
        <v>100</v>
      </c>
      <c r="E1400" s="4">
        <f>HYPERLINK("./Results/DLO\20180301_1.3.12.2.1107.5.1.4.54310.30000018031300121125000018824_2_512_512_\Osteo_Sarco_1.png","RPT")</f>
        <v/>
      </c>
      <c r="F1400" s="3" t="n">
        <v>110</v>
      </c>
      <c r="G1400" s="3" t="n">
        <v>12</v>
      </c>
      <c r="H1400" s="6" t="n">
        <v>25.19</v>
      </c>
      <c r="I1400" t="inlineStr">
        <is>
          <t>Sensation 64</t>
        </is>
      </c>
      <c r="J1400" t="inlineStr">
        <is>
          <t>With Contrast 3.0 B30f</t>
        </is>
      </c>
    </row>
    <row r="1401">
      <c r="A1401" s="2" t="n">
        <v>1570118</v>
      </c>
      <c r="B1401" s="2" t="n">
        <v>70</v>
      </c>
      <c r="C1401" s="2" t="inlineStr">
        <is>
          <t>F</t>
        </is>
      </c>
      <c r="D1401" s="2" t="n">
        <v>100</v>
      </c>
      <c r="E1401" s="4">
        <f>HYPERLINK("./Results/DLO\20180501_1.2.840.113619.2.311.215885783448393362994551814396705847534_303_512_512_\Osteo_Sarco_1.png","RPT")</f>
        <v/>
      </c>
      <c r="F1401" s="3" t="n">
        <v>110</v>
      </c>
      <c r="G1401" s="3" t="n">
        <v>9</v>
      </c>
      <c r="H1401" s="7" t="n"/>
      <c r="I1401" t="inlineStr">
        <is>
          <t>Revolution CT</t>
        </is>
      </c>
      <c r="J1401" t="inlineStr">
        <is>
          <t>ABD 2.5mm</t>
        </is>
      </c>
    </row>
    <row r="1402">
      <c r="A1402" s="2" t="n">
        <v>5746425</v>
      </c>
      <c r="B1402" s="2" t="n">
        <v>70</v>
      </c>
      <c r="C1402" s="2" t="inlineStr">
        <is>
          <t>F</t>
        </is>
      </c>
      <c r="D1402" s="2" t="n">
        <v>100</v>
      </c>
      <c r="E1402" s="4">
        <f>HYPERLINK("./Results/DLO\20190201_1.2.840.113619.2.311.91670896944153389999196651187416161183_304_512_512_\Osteo_Sarco_1.png","RPT")</f>
        <v/>
      </c>
      <c r="F1402" s="3" t="n">
        <v>110</v>
      </c>
      <c r="G1402" s="3" t="n">
        <v>15</v>
      </c>
      <c r="H1402" s="7" t="n"/>
      <c r="I1402" t="inlineStr">
        <is>
          <t>Revolution CT</t>
        </is>
      </c>
      <c r="J1402" t="inlineStr">
        <is>
          <t>ABD 2.5mm</t>
        </is>
      </c>
    </row>
    <row r="1403">
      <c r="A1403" s="2" t="n">
        <v>9020569</v>
      </c>
      <c r="B1403" s="2" t="n">
        <v>70</v>
      </c>
      <c r="C1403" s="2" t="inlineStr">
        <is>
          <t>M</t>
        </is>
      </c>
      <c r="D1403" s="2" t="n">
        <v>100</v>
      </c>
      <c r="E1403" s="4">
        <f>HYPERLINK("./Results/DLO\20180901_1.3.12.2.1107.5.1.4.54310.30000018090523113204600026008_3_512_512_\Osteo_Sarco_1.png","RPT")</f>
        <v/>
      </c>
      <c r="F1403" s="3" t="n">
        <v>107</v>
      </c>
      <c r="G1403" s="3" t="n">
        <v>9</v>
      </c>
      <c r="H1403" s="6" t="n">
        <v>23.91</v>
      </c>
      <c r="I1403" t="inlineStr">
        <is>
          <t>Sensation 64</t>
        </is>
      </c>
      <c r="J1403" t="inlineStr">
        <is>
          <t>Pre Contrast 3.0 B30f</t>
        </is>
      </c>
    </row>
    <row r="1404">
      <c r="A1404" s="2" t="n">
        <v>5620325</v>
      </c>
      <c r="B1404" s="2" t="n">
        <v>70</v>
      </c>
      <c r="C1404" s="2" t="inlineStr">
        <is>
          <t>F</t>
        </is>
      </c>
      <c r="D1404" s="2" t="n">
        <v>100</v>
      </c>
      <c r="E1404" s="4">
        <f>HYPERLINK("./Results/DLO\20190401_1.3.12.2.1107.5.1.4.54310.30000019040823311228100020638_2_512_512_\Osteo_Sarco_1.png","RPT")</f>
        <v/>
      </c>
      <c r="F1404" s="3" t="n">
        <v>107</v>
      </c>
      <c r="G1404" s="3" t="n">
        <v>8</v>
      </c>
      <c r="H1404" s="6" t="n">
        <v>21.71</v>
      </c>
      <c r="I1404" t="inlineStr">
        <is>
          <t>Sensation 64</t>
        </is>
      </c>
      <c r="J1404" t="inlineStr">
        <is>
          <t>With Contrast 3.0 B30f</t>
        </is>
      </c>
    </row>
    <row r="1405">
      <c r="A1405" s="2" t="n">
        <v>8902746</v>
      </c>
      <c r="B1405" s="2" t="n">
        <v>70</v>
      </c>
      <c r="C1405" s="2" t="inlineStr">
        <is>
          <t>F</t>
        </is>
      </c>
      <c r="D1405" s="2" t="n">
        <v>100</v>
      </c>
      <c r="E1405" s="4">
        <f>HYPERLINK("./Results/DLO\20180701_1.3.12.2.1107.5.1.4.54310.30000018070523140267100036052_4_512_512_\Osteo_Sarco_1.png","RPT")</f>
        <v/>
      </c>
      <c r="F1405" s="3" t="n">
        <v>105</v>
      </c>
      <c r="G1405" s="3" t="n">
        <v>15</v>
      </c>
      <c r="H1405" s="6" t="n">
        <v>22.46</v>
      </c>
      <c r="I1405" t="inlineStr">
        <is>
          <t>Sensation 64</t>
        </is>
      </c>
      <c r="J1405" t="inlineStr">
        <is>
          <t>Arterial 3.0 B30f</t>
        </is>
      </c>
    </row>
    <row r="1406">
      <c r="A1406" s="2" t="n">
        <v>1523339</v>
      </c>
      <c r="B1406" s="2" t="n">
        <v>70</v>
      </c>
      <c r="C1406" s="2" t="inlineStr">
        <is>
          <t>F</t>
        </is>
      </c>
      <c r="D1406" s="2" t="n">
        <v>100</v>
      </c>
      <c r="E1406" s="4">
        <f>HYPERLINK("./Results/DLO\20180801_1.3.12.2.1107.5.1.4.54310.30000018073123323842100027244_2_512_512_\Osteo_Sarco_1.png","RPT")</f>
        <v/>
      </c>
      <c r="F1406" s="3" t="n">
        <v>105</v>
      </c>
      <c r="G1406" s="3" t="n">
        <v>15</v>
      </c>
      <c r="H1406" s="6" t="n">
        <v>29.41</v>
      </c>
      <c r="I1406" t="inlineStr">
        <is>
          <t>Sensation 64</t>
        </is>
      </c>
      <c r="J1406" t="inlineStr">
        <is>
          <t>With Contrast 3.0 B30f</t>
        </is>
      </c>
    </row>
    <row r="1407">
      <c r="A1407" s="2" t="n">
        <v>6078214</v>
      </c>
      <c r="B1407" s="2" t="n">
        <v>70</v>
      </c>
      <c r="C1407" s="2" t="inlineStr">
        <is>
          <t>F</t>
        </is>
      </c>
      <c r="D1407" s="2" t="n">
        <v>100</v>
      </c>
      <c r="E1407" s="4">
        <f>HYPERLINK("./Results/DLO\20190101_1.3.46.670589.33.1.63683771087581805600001.5097520679345661300_201_512_512_\Osteo_Sarco_1.png","RPT")</f>
        <v/>
      </c>
      <c r="F1407" s="3" t="n">
        <v>105</v>
      </c>
      <c r="G1407" s="3" t="n">
        <v>12</v>
      </c>
      <c r="H1407" s="7" t="n"/>
      <c r="I1407" t="inlineStr">
        <is>
          <t>Ingenuity Core 128</t>
        </is>
      </c>
      <c r="J1407" t="inlineStr">
        <is>
          <t>Post 3mm, iDose (3)</t>
        </is>
      </c>
    </row>
    <row r="1408">
      <c r="A1408" s="2" t="n">
        <v>5200529</v>
      </c>
      <c r="B1408" s="2" t="n">
        <v>70</v>
      </c>
      <c r="C1408" s="2" t="inlineStr">
        <is>
          <t>F</t>
        </is>
      </c>
      <c r="D1408" s="2" t="n">
        <v>100</v>
      </c>
      <c r="E1408" s="4">
        <f>HYPERLINK("./Results/DLO\20180701_1.2.840.113619.2.311.293637229565030878823533414550022550290_304_512_512_\Osteo_Sarco_1.png","RPT")</f>
        <v/>
      </c>
      <c r="F1408" s="3" t="n">
        <v>104</v>
      </c>
      <c r="G1408" s="3" t="n">
        <v>11</v>
      </c>
      <c r="H1408" s="7" t="n"/>
      <c r="I1408" t="inlineStr">
        <is>
          <t>Revolution CT</t>
        </is>
      </c>
      <c r="J1408" t="inlineStr">
        <is>
          <t>ABD 2.5mm</t>
        </is>
      </c>
    </row>
    <row r="1409">
      <c r="A1409" s="2" t="n">
        <v>5365307</v>
      </c>
      <c r="B1409" s="2" t="n">
        <v>70</v>
      </c>
      <c r="C1409" s="2" t="inlineStr">
        <is>
          <t>M</t>
        </is>
      </c>
      <c r="D1409" s="2" t="n">
        <v>100</v>
      </c>
      <c r="E1409" s="4">
        <f>HYPERLINK("./Results/DLO\20191101_1.3.12.2.1107.5.1.4.54310.30000019111421210187500007103_2_512_512_\Osteo_Sarco_1.png","RPT")</f>
        <v/>
      </c>
      <c r="F1409" s="3" t="n">
        <v>100</v>
      </c>
      <c r="G1409" s="3" t="n">
        <v>6</v>
      </c>
      <c r="H1409" s="7" t="n"/>
      <c r="I1409" t="inlineStr">
        <is>
          <t>Sensation 64</t>
        </is>
      </c>
      <c r="J1409" t="inlineStr">
        <is>
          <t>Pre Contrast 3.0 B30f</t>
        </is>
      </c>
    </row>
    <row r="1410">
      <c r="A1410" s="2" t="n">
        <v>3155129</v>
      </c>
      <c r="B1410" s="2" t="n">
        <v>71</v>
      </c>
      <c r="C1410" s="2" t="inlineStr">
        <is>
          <t>F</t>
        </is>
      </c>
      <c r="D1410" s="2" t="n">
        <v>100</v>
      </c>
      <c r="E1410" s="4">
        <f>HYPERLINK("./Results/DLO\20180401_1.3.12.2.1107.5.1.4.54310.30000018040423230757800002816_2_512_512_\Osteo_Sarco_1.png","RPT")</f>
        <v/>
      </c>
      <c r="F1410" s="3" t="n">
        <v>99</v>
      </c>
      <c r="G1410" s="3" t="n">
        <v>9</v>
      </c>
      <c r="H1410" s="7" t="n"/>
      <c r="I1410" t="inlineStr">
        <is>
          <t>Sensation 64</t>
        </is>
      </c>
      <c r="J1410" t="inlineStr">
        <is>
          <t>With Contrast 3.0 B30f</t>
        </is>
      </c>
    </row>
    <row r="1411">
      <c r="A1411" s="2" t="n">
        <v>9000422</v>
      </c>
      <c r="B1411" s="2" t="n">
        <v>71</v>
      </c>
      <c r="C1411" s="2" t="inlineStr">
        <is>
          <t>M</t>
        </is>
      </c>
      <c r="D1411" s="2" t="n">
        <v>100</v>
      </c>
      <c r="E1411" s="4">
        <f>HYPERLINK("./Results/DLO\20190101_1.3.12.2.1107.5.1.4.54310.30000019010323190642100047368_2_512_512_\Osteo_Sarco_1.png","RPT")</f>
        <v/>
      </c>
      <c r="F1411" s="3" t="n">
        <v>96</v>
      </c>
      <c r="G1411" s="3" t="n">
        <v>18</v>
      </c>
      <c r="H1411" s="6" t="n">
        <v>23.22</v>
      </c>
      <c r="I1411" t="inlineStr">
        <is>
          <t>Sensation 64</t>
        </is>
      </c>
      <c r="J1411" t="inlineStr">
        <is>
          <t>Non Contrast 2.0 B30f</t>
        </is>
      </c>
    </row>
    <row r="1412">
      <c r="A1412" s="2" t="n">
        <v>2360141</v>
      </c>
      <c r="B1412" s="2" t="n">
        <v>71</v>
      </c>
      <c r="C1412" s="2" t="inlineStr">
        <is>
          <t>F</t>
        </is>
      </c>
      <c r="D1412" s="2" t="n">
        <v>100</v>
      </c>
      <c r="E1412" s="4">
        <f>HYPERLINK("./Results/DLO\20200101_1.3.12.2.1107.5.1.4.65253.30000020011319395761900014840_2_512_512_\Osteo_Sarco_1.png","RPT")</f>
        <v/>
      </c>
      <c r="F1412" s="3" t="n">
        <v>96</v>
      </c>
      <c r="G1412" s="3" t="n">
        <v>13</v>
      </c>
      <c r="H1412" s="7" t="n"/>
      <c r="I1412" t="inlineStr">
        <is>
          <t>SOMATOM Definition AS</t>
        </is>
      </c>
      <c r="J1412" t="inlineStr">
        <is>
          <t>With Contrast 3.0 B30f</t>
        </is>
      </c>
    </row>
    <row r="1413">
      <c r="A1413" s="2" t="n">
        <v>2936416</v>
      </c>
      <c r="B1413" s="2" t="n">
        <v>71</v>
      </c>
      <c r="C1413" s="2" t="inlineStr">
        <is>
          <t>F</t>
        </is>
      </c>
      <c r="D1413" s="2" t="n">
        <v>100</v>
      </c>
      <c r="E1413" s="4">
        <f>HYPERLINK("./Results/DLO\20190401_1.3.12.2.1107.5.1.4.65253.30000019042803380059300002204_2_512_512_\Osteo_Sarco_1.png","RPT")</f>
        <v/>
      </c>
      <c r="F1413" s="3" t="n">
        <v>94</v>
      </c>
      <c r="G1413" s="3" t="n">
        <v>9</v>
      </c>
      <c r="H1413" s="6" t="n">
        <v>21.99</v>
      </c>
      <c r="I1413" t="inlineStr">
        <is>
          <t>SOMATOM Definition AS</t>
        </is>
      </c>
      <c r="J1413" t="inlineStr">
        <is>
          <t>With Contrast 3.0 B30f</t>
        </is>
      </c>
    </row>
    <row r="1414">
      <c r="A1414" s="2" t="n">
        <v>4430771</v>
      </c>
      <c r="B1414" s="2" t="n">
        <v>71</v>
      </c>
      <c r="C1414" s="2" t="inlineStr">
        <is>
          <t>F</t>
        </is>
      </c>
      <c r="D1414" s="2" t="n">
        <v>100</v>
      </c>
      <c r="E1414" s="4">
        <f>HYPERLINK("./Results/DLO\20200501_1.3.12.2.1107.5.1.4.54310.30000020051323212709300003419_2_512_512_\Osteo_Sarco_1.png","RPT")</f>
        <v/>
      </c>
      <c r="F1414" s="3" t="n">
        <v>93</v>
      </c>
      <c r="G1414" s="3" t="n">
        <v>6</v>
      </c>
      <c r="H1414" s="6" t="n">
        <v>17.5</v>
      </c>
      <c r="I1414" t="inlineStr">
        <is>
          <t>Sensation 64</t>
        </is>
      </c>
      <c r="J1414" t="inlineStr">
        <is>
          <t>With Contrast 3.0 B30f</t>
        </is>
      </c>
    </row>
    <row r="1415">
      <c r="A1415" s="2" t="n">
        <v>8643983</v>
      </c>
      <c r="B1415" s="2" t="n">
        <v>71</v>
      </c>
      <c r="C1415" s="2" t="inlineStr">
        <is>
          <t>F</t>
        </is>
      </c>
      <c r="D1415" s="2" t="n">
        <v>100</v>
      </c>
      <c r="E1415" s="4">
        <f>HYPERLINK("./Results/DLO\20190101_1.3.12.2.1107.5.1.4.65253.30000019010721490610100002581_2_512_512_\Osteo_Sarco_1.png","RPT")</f>
        <v/>
      </c>
      <c r="F1415" s="3" t="n">
        <v>90</v>
      </c>
      <c r="G1415" s="3" t="n">
        <v>8</v>
      </c>
      <c r="H1415" s="7" t="n"/>
      <c r="I1415" t="inlineStr">
        <is>
          <t>SOMATOM Definition AS</t>
        </is>
      </c>
      <c r="J1415" t="inlineStr">
        <is>
          <t>W/O Contrast 3.0 B30f</t>
        </is>
      </c>
    </row>
    <row r="1416">
      <c r="A1416" s="2" t="n">
        <v>5859043</v>
      </c>
      <c r="B1416" s="2" t="n">
        <v>71</v>
      </c>
      <c r="C1416" s="2" t="inlineStr">
        <is>
          <t>F</t>
        </is>
      </c>
      <c r="D1416" s="2" t="n">
        <v>100</v>
      </c>
      <c r="E1416" s="4">
        <f>HYPERLINK("./Results/DLO\20180101_1.3.12.2.1107.5.1.4.65253.30000018012518422276800019751_2_512_512_\Osteo_Sarco_1.png","RPT")</f>
        <v/>
      </c>
      <c r="F1416" s="3" t="n">
        <v>89</v>
      </c>
      <c r="G1416" s="3" t="n">
        <v>6</v>
      </c>
      <c r="H1416" s="7" t="n"/>
      <c r="I1416" t="inlineStr">
        <is>
          <t>SOMATOM Definition AS</t>
        </is>
      </c>
      <c r="J1416" t="inlineStr">
        <is>
          <t>Pre Contrast 3.0 B4Of</t>
        </is>
      </c>
    </row>
    <row r="1417">
      <c r="A1417" s="2" t="n">
        <v>2532183</v>
      </c>
      <c r="B1417" s="2" t="n">
        <v>71</v>
      </c>
      <c r="C1417" s="2" t="inlineStr">
        <is>
          <t>F</t>
        </is>
      </c>
      <c r="D1417" s="2" t="n">
        <v>100</v>
      </c>
      <c r="E1417" s="4">
        <f>HYPERLINK("./Results/DLO\20191101_1.2.840.113619.2.416.117615433373519038515427808731357590884_310_512_512_\Osteo_Sarco_1.png","RPT")</f>
        <v/>
      </c>
      <c r="F1417" s="3" t="n">
        <v>78</v>
      </c>
      <c r="G1417" s="3" t="n">
        <v>12</v>
      </c>
      <c r="H1417" s="6" t="n">
        <v>20.29</v>
      </c>
      <c r="I1417" t="inlineStr">
        <is>
          <t>Revolution CT</t>
        </is>
      </c>
      <c r="J1417" t="inlineStr">
        <is>
          <t>ABD</t>
        </is>
      </c>
    </row>
    <row r="1418">
      <c r="A1418" s="2" t="n">
        <v>1921000</v>
      </c>
      <c r="B1418" s="2" t="n">
        <v>71</v>
      </c>
      <c r="C1418" s="2" t="inlineStr">
        <is>
          <t>F</t>
        </is>
      </c>
      <c r="D1418" s="2" t="n">
        <v>100</v>
      </c>
      <c r="E1418" s="4">
        <f>HYPERLINK("./Results/DLO\20181001_1.3.12.2.1107.5.1.4.65253.30000018101620053752800053899_2_512_512_\Osteo_Sarco_1.png","RPT")</f>
        <v/>
      </c>
      <c r="F1418" s="3" t="n">
        <v>72</v>
      </c>
      <c r="G1418" s="3" t="n">
        <v>10</v>
      </c>
      <c r="H1418" s="7" t="n"/>
      <c r="I1418" t="inlineStr">
        <is>
          <t>SOMATOM Definition AS</t>
        </is>
      </c>
      <c r="J1418" t="inlineStr">
        <is>
          <t>Non Contrast 3.0 B30f</t>
        </is>
      </c>
    </row>
    <row r="1419">
      <c r="A1419" s="2" t="n">
        <v>1868319</v>
      </c>
      <c r="B1419" s="2" t="n">
        <v>71</v>
      </c>
      <c r="C1419" s="2" t="inlineStr">
        <is>
          <t>M</t>
        </is>
      </c>
      <c r="D1419" s="2" t="n">
        <v>100</v>
      </c>
      <c r="E1419" s="4">
        <f>HYPERLINK("./Results/DLO\20180701_1.3.12.2.1107.5.1.4.65253.30000018071221203865800050595_2_512_512_\Osteo_Sarco_1.png","RPT")</f>
        <v/>
      </c>
      <c r="F1419" s="3" t="n">
        <v>67</v>
      </c>
      <c r="G1419" s="3" t="n">
        <v>6</v>
      </c>
      <c r="H1419" s="6" t="n">
        <v>22.27</v>
      </c>
      <c r="I1419" t="inlineStr">
        <is>
          <t>SOMATOM Definition AS</t>
        </is>
      </c>
      <c r="J1419" t="inlineStr">
        <is>
          <t>Pre 3.0 B30f</t>
        </is>
      </c>
    </row>
    <row r="1420">
      <c r="A1420" s="2" t="n">
        <v>3041747</v>
      </c>
      <c r="B1420" s="2" t="n">
        <v>71</v>
      </c>
      <c r="C1420" s="2" t="inlineStr">
        <is>
          <t>M</t>
        </is>
      </c>
      <c r="D1420" s="2" t="n">
        <v>100</v>
      </c>
      <c r="E1420" s="4">
        <f>HYPERLINK("./Results/DLO\20180901_1.3.12.2.1107.5.1.4.54310.30000018090323110353100049562_2_512_512_\Osteo_Sarco_1.png","RPT")</f>
        <v/>
      </c>
      <c r="F1420" s="3" t="n">
        <v>165</v>
      </c>
      <c r="G1420" s="3" t="n">
        <v>27</v>
      </c>
      <c r="H1420" s="6" t="n">
        <v>28.41</v>
      </c>
      <c r="I1420" t="inlineStr">
        <is>
          <t>Sensation 64</t>
        </is>
      </c>
      <c r="J1420" t="inlineStr">
        <is>
          <t>Pre Contrast 3.0 B30f</t>
        </is>
      </c>
    </row>
    <row r="1421">
      <c r="A1421" s="2" t="n">
        <v>3045600</v>
      </c>
      <c r="B1421" s="2" t="n">
        <v>71</v>
      </c>
      <c r="C1421" s="2" t="inlineStr">
        <is>
          <t>M</t>
        </is>
      </c>
      <c r="D1421" s="2" t="n">
        <v>100</v>
      </c>
      <c r="E1421" s="4">
        <f>HYPERLINK("./Results/DLO\20180201_1.3.12.2.1107.5.1.4.65253.30000018020321595412000001197_2_512_512_\Osteo_Sarco_1.png","RPT")</f>
        <v/>
      </c>
      <c r="F1421" s="3" t="n">
        <v>157</v>
      </c>
      <c r="G1421" s="3" t="n">
        <v>6</v>
      </c>
      <c r="H1421" s="6" t="n">
        <v>25.26</v>
      </c>
      <c r="I1421" t="inlineStr">
        <is>
          <t>SOMATOM Definition AS</t>
        </is>
      </c>
      <c r="J1421" t="inlineStr">
        <is>
          <t>With Contrast 3.0 B40f</t>
        </is>
      </c>
    </row>
    <row r="1422">
      <c r="A1422" s="2" t="n">
        <v>8886866</v>
      </c>
      <c r="B1422" s="2" t="n">
        <v>71</v>
      </c>
      <c r="C1422" s="2" t="inlineStr">
        <is>
          <t>M</t>
        </is>
      </c>
      <c r="D1422" s="2" t="n">
        <v>100</v>
      </c>
      <c r="E1422" s="4">
        <f>HYPERLINK("./Results/DLO\20190701_1.3.12.2.1107.5.1.4.54310.30000019071022051254600023823_4_512_512_\Osteo_Sarco_1.png","RPT")</f>
        <v/>
      </c>
      <c r="F1422" s="3" t="n">
        <v>145</v>
      </c>
      <c r="G1422" s="3" t="n">
        <v>14</v>
      </c>
      <c r="H1422" s="7" t="n"/>
      <c r="I1422" t="inlineStr">
        <is>
          <t>Sensation 64</t>
        </is>
      </c>
      <c r="J1422" t="inlineStr">
        <is>
          <t>Non Contrast 2.0 B30f</t>
        </is>
      </c>
    </row>
    <row r="1423">
      <c r="A1423" s="2" t="n">
        <v>8301141</v>
      </c>
      <c r="B1423" s="2" t="n">
        <v>71</v>
      </c>
      <c r="C1423" s="2" t="inlineStr">
        <is>
          <t>M</t>
        </is>
      </c>
      <c r="D1423" s="2" t="n">
        <v>100</v>
      </c>
      <c r="E1423" s="4">
        <f>HYPERLINK("./Results/DLO\_1.2.410.100011.172.16.68.202.6366976474699110021.6.6_6_512_512_\Osteo_Sarco_1.png","RPT")</f>
        <v/>
      </c>
      <c r="F1423" s="3" t="n">
        <v>142</v>
      </c>
      <c r="G1423" s="3" t="n">
        <v>9</v>
      </c>
      <c r="H1423" s="6" t="n">
        <v>25.5</v>
      </c>
      <c r="I1423" t="inlineStr">
        <is>
          <t>Brilliance 64</t>
        </is>
      </c>
      <c r="J1423" t="inlineStr">
        <is>
          <t>Portal</t>
        </is>
      </c>
    </row>
    <row r="1424">
      <c r="A1424" s="2" t="n">
        <v>5814714</v>
      </c>
      <c r="B1424" s="2" t="n">
        <v>71</v>
      </c>
      <c r="C1424" s="2" t="inlineStr">
        <is>
          <t>M</t>
        </is>
      </c>
      <c r="D1424" s="2" t="n">
        <v>100</v>
      </c>
      <c r="E1424" s="4">
        <f>HYPERLINK("./Results/DLO\20180701_1.3.12.2.1107.5.1.4.65253.30000018070320313535300030041_2_512_512_\Osteo_Sarco_1.png","RPT")</f>
        <v/>
      </c>
      <c r="F1424" s="3" t="n">
        <v>141</v>
      </c>
      <c r="G1424" s="3" t="n">
        <v>20</v>
      </c>
      <c r="H1424" s="7" t="n"/>
      <c r="I1424" t="inlineStr">
        <is>
          <t>SOMATOM Definition AS</t>
        </is>
      </c>
      <c r="J1424" t="inlineStr">
        <is>
          <t>W/O Contrast 2.0 B30f</t>
        </is>
      </c>
    </row>
    <row r="1425">
      <c r="A1425" s="2" t="n">
        <v>2757823</v>
      </c>
      <c r="B1425" s="2" t="n">
        <v>71</v>
      </c>
      <c r="C1425" s="2" t="inlineStr">
        <is>
          <t>M</t>
        </is>
      </c>
      <c r="D1425" s="2" t="n">
        <v>100</v>
      </c>
      <c r="E1425" s="4">
        <f>HYPERLINK("./Results/DLO\20190501_1.3.12.2.1107.5.1.4.65253.30000019052919183478400046845_2_512_512_\Osteo_Sarco_1.png","RPT")</f>
        <v/>
      </c>
      <c r="F1425" s="3" t="n">
        <v>141</v>
      </c>
      <c r="G1425" s="3" t="n">
        <v>10</v>
      </c>
      <c r="H1425" s="7" t="n"/>
      <c r="I1425" t="inlineStr">
        <is>
          <t>SOMATOM Definition AS</t>
        </is>
      </c>
      <c r="J1425" t="inlineStr">
        <is>
          <t>Pre Contrast 3.0 B30f</t>
        </is>
      </c>
    </row>
    <row r="1426">
      <c r="A1426" s="2" t="n">
        <v>3940855</v>
      </c>
      <c r="B1426" s="2" t="n">
        <v>71</v>
      </c>
      <c r="C1426" s="2" t="inlineStr">
        <is>
          <t>M</t>
        </is>
      </c>
      <c r="D1426" s="2" t="n">
        <v>100</v>
      </c>
      <c r="E1426" s="4">
        <f>HYPERLINK("./Results/DLO\20191101_1.3.12.2.1107.5.1.4.65253.30000019111519431034800126976_4_512_512_\Osteo_Sarco_1.png","RPT")</f>
        <v/>
      </c>
      <c r="F1426" s="3" t="n">
        <v>141</v>
      </c>
      <c r="G1426" s="3" t="n">
        <v>12</v>
      </c>
      <c r="H1426" s="6" t="n">
        <v>25.66</v>
      </c>
      <c r="I1426" t="inlineStr">
        <is>
          <t>SOMATOM Definition AS</t>
        </is>
      </c>
      <c r="J1426" t="inlineStr">
        <is>
          <t>Portal Phase 3.0 B30f</t>
        </is>
      </c>
    </row>
    <row r="1427">
      <c r="A1427" s="2" t="n">
        <v>5025472</v>
      </c>
      <c r="B1427" s="2" t="n">
        <v>71</v>
      </c>
      <c r="C1427" s="2" t="inlineStr">
        <is>
          <t>M</t>
        </is>
      </c>
      <c r="D1427" s="2" t="n">
        <v>100</v>
      </c>
      <c r="E1427" s="4">
        <f>HYPERLINK("./Results/DLO\20190301_1.3.46.670589.33.1.63688156403785853000001.4920919614580405203_201_512_512_\Osteo_Sarco_1.png","RPT")</f>
        <v/>
      </c>
      <c r="F1427" s="3" t="n">
        <v>140</v>
      </c>
      <c r="G1427" s="3" t="n">
        <v>19</v>
      </c>
      <c r="H1427" s="7" t="n"/>
      <c r="I1427" t="inlineStr">
        <is>
          <t>Ingenuity Core 128</t>
        </is>
      </c>
      <c r="J1427" t="inlineStr">
        <is>
          <t>Post 3mm, iDose (3)</t>
        </is>
      </c>
    </row>
    <row r="1428">
      <c r="A1428" s="2" t="n">
        <v>9732595</v>
      </c>
      <c r="B1428" s="2" t="n">
        <v>71</v>
      </c>
      <c r="C1428" s="2" t="inlineStr">
        <is>
          <t>M</t>
        </is>
      </c>
      <c r="D1428" s="2" t="n">
        <v>100</v>
      </c>
      <c r="E1428" s="4">
        <f>HYPERLINK("./Results/DLO\20190701_1.2.410.100011.172.24.16.218.6369878026676547681.2_2_512_512_\Osteo_Sarco_1.png","RPT")</f>
        <v/>
      </c>
      <c r="F1428" s="3" t="n">
        <v>140</v>
      </c>
      <c r="G1428" s="3" t="n">
        <v>6</v>
      </c>
      <c r="H1428" s="7" t="n"/>
      <c r="I1428" t="inlineStr">
        <is>
          <t>Revolution CT</t>
        </is>
      </c>
      <c r="J1428" t="inlineStr">
        <is>
          <t>Artery 1.25</t>
        </is>
      </c>
    </row>
    <row r="1429">
      <c r="A1429" s="2" t="n">
        <v>5025808</v>
      </c>
      <c r="B1429" s="2" t="n">
        <v>71</v>
      </c>
      <c r="C1429" s="2" t="inlineStr">
        <is>
          <t>M</t>
        </is>
      </c>
      <c r="D1429" s="2" t="n">
        <v>100</v>
      </c>
      <c r="E1429" s="4">
        <f>HYPERLINK("./Results/DLO\20191001_1.3.12.2.1107.5.1.4.54310.30000019102122323492100020170_3_512_512_\Osteo_Sarco_1.png","RPT")</f>
        <v/>
      </c>
      <c r="F1429" s="3" t="n">
        <v>139</v>
      </c>
      <c r="G1429" s="3" t="n">
        <v>5</v>
      </c>
      <c r="H1429" s="7" t="n"/>
      <c r="I1429" t="inlineStr">
        <is>
          <t>Sensation 64</t>
        </is>
      </c>
      <c r="J1429" t="inlineStr">
        <is>
          <t>With Contrast 3.0 B30f</t>
        </is>
      </c>
    </row>
    <row r="1430">
      <c r="A1430" s="2" t="n">
        <v>4140146</v>
      </c>
      <c r="B1430" s="2" t="n">
        <v>71</v>
      </c>
      <c r="C1430" s="2" t="inlineStr">
        <is>
          <t>M</t>
        </is>
      </c>
      <c r="D1430" s="2" t="n">
        <v>100</v>
      </c>
      <c r="E1430" s="4">
        <f>HYPERLINK("./Results/DLO\20190401_1.3.12.2.1107.5.1.4.54310.30000019041723313521800018319_3_512_512_\Osteo_Sarco_1.png","RPT")</f>
        <v/>
      </c>
      <c r="F1430" s="3" t="n">
        <v>137</v>
      </c>
      <c r="G1430" s="3" t="n">
        <v>15</v>
      </c>
      <c r="H1430" s="6" t="n">
        <v>25.71</v>
      </c>
      <c r="I1430" t="inlineStr">
        <is>
          <t>Sensation 64</t>
        </is>
      </c>
      <c r="J1430" t="inlineStr">
        <is>
          <t>Pre Contrast 3.0 B30f</t>
        </is>
      </c>
    </row>
    <row r="1431">
      <c r="A1431" s="2" t="n">
        <v>3880041</v>
      </c>
      <c r="B1431" s="2" t="n">
        <v>71</v>
      </c>
      <c r="C1431" s="2" t="inlineStr">
        <is>
          <t>M</t>
        </is>
      </c>
      <c r="D1431" s="2" t="n">
        <v>100</v>
      </c>
      <c r="E1431" s="4">
        <f>HYPERLINK("./Results/DLO\20180401_1.2.840.113619.2.311.332815665336625417502743947018547384880_304_512_512_\Osteo_Sarco_1.png","RPT")</f>
        <v/>
      </c>
      <c r="F1431" s="3" t="n">
        <v>135</v>
      </c>
      <c r="G1431" s="3" t="n">
        <v>14</v>
      </c>
      <c r="H1431" s="6" t="n">
        <v>22.14</v>
      </c>
      <c r="I1431" t="inlineStr">
        <is>
          <t>Revolution CT</t>
        </is>
      </c>
      <c r="J1431" t="inlineStr">
        <is>
          <t>ABD 2.5mm</t>
        </is>
      </c>
    </row>
    <row r="1432">
      <c r="A1432" s="2" t="n">
        <v>9019431</v>
      </c>
      <c r="B1432" s="2" t="n">
        <v>71</v>
      </c>
      <c r="C1432" s="2" t="inlineStr">
        <is>
          <t>M</t>
        </is>
      </c>
      <c r="D1432" s="2" t="n">
        <v>100</v>
      </c>
      <c r="E1432" s="4">
        <f>HYPERLINK("./Results/DLO\20190801_1.3.12.2.1107.5.1.4.54310.30000019081822233132800006318_3_512_512_\Osteo_Sarco_1.png","RPT")</f>
        <v/>
      </c>
      <c r="F1432" s="3" t="n">
        <v>128</v>
      </c>
      <c r="G1432" s="3" t="n">
        <v>13</v>
      </c>
      <c r="H1432" s="7" t="n"/>
      <c r="I1432" t="inlineStr">
        <is>
          <t>Sensation 64</t>
        </is>
      </c>
      <c r="J1432" t="inlineStr">
        <is>
          <t>Pre Contrast 3.0 B30f</t>
        </is>
      </c>
    </row>
    <row r="1433">
      <c r="A1433" s="2" t="n">
        <v>9003758</v>
      </c>
      <c r="B1433" s="2" t="n">
        <v>71</v>
      </c>
      <c r="C1433" s="2" t="inlineStr">
        <is>
          <t>M</t>
        </is>
      </c>
      <c r="D1433" s="2" t="n">
        <v>100</v>
      </c>
      <c r="E1433" s="4">
        <f>HYPERLINK("./Results/DLO\20180301_1.2.840.113619.2.416.273500446796026859860975468821710879545_302_512_512_\Osteo_Sarco_1.png","RPT")</f>
        <v/>
      </c>
      <c r="F1433" s="3" t="n">
        <v>125</v>
      </c>
      <c r="G1433" s="3" t="n">
        <v>10</v>
      </c>
      <c r="H1433" s="7" t="n"/>
      <c r="I1433" t="inlineStr">
        <is>
          <t>Revolution CT</t>
        </is>
      </c>
      <c r="J1433" t="inlineStr">
        <is>
          <t>PORTAL</t>
        </is>
      </c>
    </row>
    <row r="1434">
      <c r="A1434" s="2" t="n">
        <v>9594132</v>
      </c>
      <c r="B1434" s="2" t="n">
        <v>71</v>
      </c>
      <c r="C1434" s="2" t="inlineStr">
        <is>
          <t>M</t>
        </is>
      </c>
      <c r="D1434" s="2" t="n">
        <v>100</v>
      </c>
      <c r="E1434" s="4">
        <f>HYPERLINK("./Results/DLO\20190301_1.3.12.2.1107.5.1.4.54310.30000019031723585393700003023_2_512_512_\Osteo_Sarco_1.png","RPT")</f>
        <v/>
      </c>
      <c r="F1434" s="3" t="n">
        <v>121</v>
      </c>
      <c r="G1434" s="3" t="n">
        <v>7</v>
      </c>
      <c r="H1434" s="6" t="n">
        <v>21.22</v>
      </c>
      <c r="I1434" t="inlineStr">
        <is>
          <t>Sensation 64</t>
        </is>
      </c>
      <c r="J1434" t="inlineStr">
        <is>
          <t>With Contrast 3.0 B30f</t>
        </is>
      </c>
    </row>
    <row r="1435">
      <c r="A1435" s="2" t="n">
        <v>3488109</v>
      </c>
      <c r="B1435" s="2" t="n">
        <v>71</v>
      </c>
      <c r="C1435" s="2" t="inlineStr">
        <is>
          <t>M</t>
        </is>
      </c>
      <c r="D1435" s="2" t="n">
        <v>100</v>
      </c>
      <c r="E1435" s="4">
        <f>HYPERLINK("./Results/DLO\20180501_1.3.12.2.1107.5.1.4.65253.30000018052921170848500075425_2_512_512_\Osteo_Sarco_1.png","RPT")</f>
        <v/>
      </c>
      <c r="F1435" s="3" t="n">
        <v>117</v>
      </c>
      <c r="G1435" s="3" t="n">
        <v>4</v>
      </c>
      <c r="H1435" s="7" t="n"/>
      <c r="I1435" t="inlineStr">
        <is>
          <t>SOMATOM Definition AS</t>
        </is>
      </c>
      <c r="J1435" t="inlineStr">
        <is>
          <t>With Contrast 3.0 B30f</t>
        </is>
      </c>
    </row>
    <row r="1436">
      <c r="A1436" s="2" t="n">
        <v>5664059</v>
      </c>
      <c r="B1436" s="2" t="n">
        <v>71</v>
      </c>
      <c r="C1436" s="2" t="inlineStr">
        <is>
          <t>M</t>
        </is>
      </c>
      <c r="D1436" s="2" t="n">
        <v>100</v>
      </c>
      <c r="E1436" s="4">
        <f>HYPERLINK("./Results/DLO\20180301_1.2.840.113619.2.311.10082742672200402137598027215649793261_2_512_512_\Osteo_Sarco_1.png","RPT")</f>
        <v/>
      </c>
      <c r="F1436" s="3" t="n">
        <v>110</v>
      </c>
      <c r="G1436" s="3" t="n">
        <v>11</v>
      </c>
      <c r="H1436" s="6" t="n">
        <v>24.43</v>
      </c>
      <c r="I1436" t="inlineStr">
        <is>
          <t>Revolution CT</t>
        </is>
      </c>
      <c r="J1436" t="inlineStr">
        <is>
          <t>Pre</t>
        </is>
      </c>
    </row>
    <row r="1437">
      <c r="A1437" s="2" t="n">
        <v>2607456</v>
      </c>
      <c r="B1437" s="2" t="n">
        <v>71</v>
      </c>
      <c r="C1437" s="2" t="inlineStr">
        <is>
          <t>F</t>
        </is>
      </c>
      <c r="D1437" s="2" t="n">
        <v>100</v>
      </c>
      <c r="E1437" s="4">
        <f>HYPERLINK("./Results/DLO\20180301_1.3.12.2.1107.5.1.4.54310.30000018031223122687500023822_3_512_512_\Osteo_Sarco_1.png","RPT")</f>
        <v/>
      </c>
      <c r="F1437" s="3" t="n">
        <v>108</v>
      </c>
      <c r="G1437" s="3" t="n">
        <v>11</v>
      </c>
      <c r="H1437" s="6" t="n">
        <v>28.17</v>
      </c>
      <c r="I1437" t="inlineStr">
        <is>
          <t>Sensation 64</t>
        </is>
      </c>
      <c r="J1437" t="inlineStr">
        <is>
          <t>Pre Contrast 3.0 B30f</t>
        </is>
      </c>
    </row>
    <row r="1438">
      <c r="A1438" s="2" t="n">
        <v>9838226</v>
      </c>
      <c r="B1438" s="2" t="n">
        <v>71</v>
      </c>
      <c r="C1438" s="2" t="inlineStr">
        <is>
          <t>F</t>
        </is>
      </c>
      <c r="D1438" s="2" t="n">
        <v>100</v>
      </c>
      <c r="E1438" s="4">
        <f>HYPERLINK("./Results/DLO\20191101_1.2.840.113619.2.416.277597838875436572900990895221757144278_310_512_512_\Osteo_Sarco_1.png","RPT")</f>
        <v/>
      </c>
      <c r="F1438" s="3" t="n">
        <v>108</v>
      </c>
      <c r="G1438" s="3" t="n">
        <v>10</v>
      </c>
      <c r="H1438" s="6" t="n">
        <v>25.85</v>
      </c>
      <c r="I1438" t="inlineStr">
        <is>
          <t>Revolution CT</t>
        </is>
      </c>
      <c r="J1438" t="inlineStr">
        <is>
          <t>ABD</t>
        </is>
      </c>
    </row>
    <row r="1439">
      <c r="A1439" s="2" t="n">
        <v>8541260</v>
      </c>
      <c r="B1439" s="2" t="n">
        <v>71</v>
      </c>
      <c r="C1439" s="2" t="inlineStr">
        <is>
          <t>F</t>
        </is>
      </c>
      <c r="D1439" s="2" t="n">
        <v>100</v>
      </c>
      <c r="E1439" s="4">
        <f>HYPERLINK("./Results/DLO\20200601_1.3.12.2.1107.5.1.4.65253.30000020062801121580100036510_6_512_512_\Osteo_Sarco_1.png","RPT")</f>
        <v/>
      </c>
      <c r="F1439" s="3" t="n">
        <v>106</v>
      </c>
      <c r="G1439" s="3" t="n">
        <v>14</v>
      </c>
      <c r="H1439" s="6" t="n">
        <v>28.44</v>
      </c>
      <c r="I1439" t="inlineStr">
        <is>
          <t>SOMATOM Definition AS</t>
        </is>
      </c>
      <c r="J1439" t="inlineStr">
        <is>
          <t>Portal Phase 3.0 B30f</t>
        </is>
      </c>
    </row>
    <row r="1440">
      <c r="A1440" s="2" t="n">
        <v>4589435</v>
      </c>
      <c r="B1440" s="2" t="n">
        <v>71</v>
      </c>
      <c r="C1440" s="2" t="inlineStr">
        <is>
          <t>F</t>
        </is>
      </c>
      <c r="D1440" s="2" t="n">
        <v>100</v>
      </c>
      <c r="E1440" s="4">
        <f>HYPERLINK("./Results/DLO\20181001_1.2.840.113619.2.311.339968714793963488570273759994790712575_304_512_512_\Osteo_Sarco_1.png","RPT")</f>
        <v/>
      </c>
      <c r="F1440" s="3" t="n">
        <v>103</v>
      </c>
      <c r="G1440" s="3" t="n">
        <v>17</v>
      </c>
      <c r="H1440" s="7" t="n"/>
      <c r="I1440" t="inlineStr">
        <is>
          <t>Revolution CT</t>
        </is>
      </c>
      <c r="J1440" t="inlineStr">
        <is>
          <t>ABD 2.5mm</t>
        </is>
      </c>
    </row>
    <row r="1441">
      <c r="A1441" s="2" t="n">
        <v>5543083</v>
      </c>
      <c r="B1441" s="2" t="n">
        <v>71</v>
      </c>
      <c r="C1441" s="2" t="inlineStr">
        <is>
          <t>F</t>
        </is>
      </c>
      <c r="D1441" s="2" t="n">
        <v>100</v>
      </c>
      <c r="E1441" s="4">
        <f>HYPERLINK("./Results/DLO\20181101_1.2.840.113619.2.94.485650834948.2.9222339.20072880.1_2_512_512_\Osteo_Sarco_1.png","RPT")</f>
        <v/>
      </c>
      <c r="F1441" s="3" t="n">
        <v>102</v>
      </c>
      <c r="G1441" s="3" t="n">
        <v>12</v>
      </c>
      <c r="H1441" s="6" t="n">
        <v>22.66</v>
      </c>
      <c r="I1441" t="inlineStr">
        <is>
          <t>Sensation 64</t>
        </is>
      </c>
      <c r="J1441" t="inlineStr">
        <is>
          <t>With Contrast 3.0 B30f</t>
        </is>
      </c>
    </row>
    <row r="1442">
      <c r="A1442" s="2" t="n">
        <v>2543270</v>
      </c>
      <c r="B1442" s="2" t="n">
        <v>71</v>
      </c>
      <c r="C1442" s="2" t="inlineStr">
        <is>
          <t>F</t>
        </is>
      </c>
      <c r="D1442" s="2" t="n">
        <v>100</v>
      </c>
      <c r="E1442" s="4">
        <f>HYPERLINK("./Results/DLO\20181101_1.3.12.2.1107.5.1.4.54310.30000018112823185235900017254_3_512_512_\Osteo_Sarco_1.png","RPT")</f>
        <v/>
      </c>
      <c r="F1442" s="3" t="n">
        <v>101</v>
      </c>
      <c r="G1442" s="3" t="n">
        <v>11</v>
      </c>
      <c r="H1442" s="6" t="n">
        <v>24.03</v>
      </c>
      <c r="I1442" t="inlineStr">
        <is>
          <t>Sensation 64</t>
        </is>
      </c>
      <c r="J1442" t="inlineStr">
        <is>
          <t>With Contrast 3.0 B30f</t>
        </is>
      </c>
    </row>
    <row r="1443">
      <c r="A1443" s="2" t="n">
        <v>8550585</v>
      </c>
      <c r="B1443" s="2" t="n">
        <v>71</v>
      </c>
      <c r="C1443" s="2" t="inlineStr">
        <is>
          <t>F</t>
        </is>
      </c>
      <c r="D1443" s="2" t="n">
        <v>100</v>
      </c>
      <c r="E1443" s="4">
        <f>HYPERLINK("./Results/DLO\20190501_1.3.12.2.1107.5.1.4.54310.30000019050621080129600039884_2_512_512_\Osteo_Sarco_1.png","RPT")</f>
        <v/>
      </c>
      <c r="F1443" s="3" t="n">
        <v>101</v>
      </c>
      <c r="G1443" s="3" t="n">
        <v>19</v>
      </c>
      <c r="H1443" s="6" t="n">
        <v>25.97</v>
      </c>
      <c r="I1443" t="inlineStr">
        <is>
          <t>Sensation 64</t>
        </is>
      </c>
      <c r="J1443" t="inlineStr">
        <is>
          <t>Pre Contrast 3.0 B30f</t>
        </is>
      </c>
    </row>
    <row r="1444">
      <c r="A1444" s="2" t="n">
        <v>5690482</v>
      </c>
      <c r="B1444" s="2" t="n">
        <v>71</v>
      </c>
      <c r="C1444" s="2" t="inlineStr">
        <is>
          <t>F</t>
        </is>
      </c>
      <c r="D1444" s="2" t="n">
        <v>100</v>
      </c>
      <c r="E1444" s="4">
        <f>HYPERLINK("./Results/DLO\20181101_1.3.12.2.1107.5.1.4.54310.30000018110623281529600007328_2_512_512_\Osteo_Sarco_1.png","RPT")</f>
        <v/>
      </c>
      <c r="F1444" s="3" t="n">
        <v>100</v>
      </c>
      <c r="G1444" s="3" t="n">
        <v>16</v>
      </c>
      <c r="H1444" s="7" t="n"/>
      <c r="I1444" t="inlineStr">
        <is>
          <t>Sensation 64</t>
        </is>
      </c>
      <c r="J1444" t="inlineStr">
        <is>
          <t>With Contrast 3.0 B30f</t>
        </is>
      </c>
    </row>
    <row r="1445">
      <c r="A1445" s="2" t="n">
        <v>5021061</v>
      </c>
      <c r="B1445" s="2" t="n">
        <v>71</v>
      </c>
      <c r="C1445" s="2" t="inlineStr">
        <is>
          <t>F</t>
        </is>
      </c>
      <c r="D1445" s="2" t="n">
        <v>100</v>
      </c>
      <c r="E1445" s="4">
        <f>HYPERLINK("./Results/DLO\20191201_1.3.12.2.1107.5.1.4.54310.30000019120222244193700047603_7_512_512_\Osteo_Sarco_1.png","RPT")</f>
        <v/>
      </c>
      <c r="F1445" s="3" t="n">
        <v>54</v>
      </c>
      <c r="G1445" s="3" t="n">
        <v>3</v>
      </c>
      <c r="H1445" s="6" t="n">
        <v>17.46</v>
      </c>
      <c r="I1445" t="inlineStr">
        <is>
          <t>Sensation 64</t>
        </is>
      </c>
      <c r="J1445" t="inlineStr">
        <is>
          <t>Portal 3.0 B30f</t>
        </is>
      </c>
    </row>
    <row r="1446">
      <c r="A1446" s="2" t="n">
        <v>5552894</v>
      </c>
      <c r="B1446" s="2" t="n">
        <v>72</v>
      </c>
      <c r="C1446" s="2" t="inlineStr">
        <is>
          <t>F</t>
        </is>
      </c>
      <c r="D1446" s="2" t="n">
        <v>100</v>
      </c>
      <c r="E1446" s="4">
        <f>HYPERLINK("./Results/DLO\20180601_1.2.840.113619.2.94.485650834948.2.8902960.19286451.1_2_512_512_\Osteo_Sarco_1.png","RPT")</f>
        <v/>
      </c>
      <c r="F1446" s="3" t="n">
        <v>98</v>
      </c>
      <c r="G1446" s="3" t="n">
        <v>8</v>
      </c>
      <c r="H1446" s="7" t="n"/>
      <c r="I1446" t="inlineStr">
        <is>
          <t>Sensation 64</t>
        </is>
      </c>
      <c r="J1446" t="inlineStr">
        <is>
          <t>With Contrast 3.0 B30f</t>
        </is>
      </c>
    </row>
    <row r="1447">
      <c r="A1447" s="2" t="n">
        <v>5804935</v>
      </c>
      <c r="B1447" s="2" t="n">
        <v>72</v>
      </c>
      <c r="C1447" s="2" t="inlineStr">
        <is>
          <t>F</t>
        </is>
      </c>
      <c r="D1447" s="2" t="n">
        <v>100</v>
      </c>
      <c r="E1447" s="4">
        <f>HYPERLINK("./Results/DLO\20190501_1.3.46.670589.33.1.63694111785475686500001.4888831504625242592_201_512_512_\Osteo_Sarco_1.png","RPT")</f>
        <v/>
      </c>
      <c r="F1447" s="3" t="n">
        <v>96</v>
      </c>
      <c r="G1447" s="3" t="n">
        <v>12</v>
      </c>
      <c r="H1447" s="7" t="n"/>
      <c r="I1447" t="inlineStr">
        <is>
          <t>Ingenuity Core 128</t>
        </is>
      </c>
      <c r="J1447" t="inlineStr">
        <is>
          <t>Post 3mm, iDose (3)</t>
        </is>
      </c>
    </row>
    <row r="1448">
      <c r="A1448" s="2" t="n">
        <v>5113232</v>
      </c>
      <c r="B1448" s="2" t="n">
        <v>72</v>
      </c>
      <c r="C1448" s="2" t="inlineStr">
        <is>
          <t>F</t>
        </is>
      </c>
      <c r="D1448" s="2" t="n">
        <v>100</v>
      </c>
      <c r="E1448" s="4">
        <f>HYPERLINK("./Results/DLO\20180401_1.3.12.2.1107.5.1.4.54310.30000018040423123057800056200_3_512_512_\Osteo_Sarco_1.png","RPT")</f>
        <v/>
      </c>
      <c r="F1448" s="3" t="n">
        <v>95</v>
      </c>
      <c r="G1448" s="3" t="n">
        <v>13</v>
      </c>
      <c r="H1448" s="6" t="n">
        <v>26.09</v>
      </c>
      <c r="I1448" t="inlineStr">
        <is>
          <t>Sensation 64</t>
        </is>
      </c>
      <c r="J1448" t="inlineStr">
        <is>
          <t>Pre Contrast 3.0 B30f</t>
        </is>
      </c>
    </row>
    <row r="1449">
      <c r="A1449" s="2" t="n">
        <v>5645020</v>
      </c>
      <c r="B1449" s="2" t="n">
        <v>72</v>
      </c>
      <c r="C1449" s="2" t="inlineStr">
        <is>
          <t>F</t>
        </is>
      </c>
      <c r="D1449" s="2" t="n">
        <v>100</v>
      </c>
      <c r="E1449" s="4">
        <f>HYPERLINK("./Results/DLO\20181101_1.2.840.113619.2.416.50207175848243095440013335394269227765_301_512_512_\Osteo_Sarco_1.png","RPT")</f>
        <v/>
      </c>
      <c r="F1449" s="3" t="n">
        <v>93</v>
      </c>
      <c r="G1449" s="3" t="n">
        <v>12</v>
      </c>
      <c r="H1449" s="7" t="n"/>
      <c r="I1449" t="inlineStr">
        <is>
          <t>Revolution CT</t>
        </is>
      </c>
      <c r="J1449" t="inlineStr">
        <is>
          <t>ARTERY</t>
        </is>
      </c>
    </row>
    <row r="1450">
      <c r="A1450" s="2" t="n">
        <v>9524838</v>
      </c>
      <c r="B1450" s="2" t="n">
        <v>72</v>
      </c>
      <c r="C1450" s="2" t="inlineStr">
        <is>
          <t>F</t>
        </is>
      </c>
      <c r="D1450" s="2" t="n">
        <v>100</v>
      </c>
      <c r="E1450" s="4">
        <f>HYPERLINK("./Results/DLO\20181201_1.3.12.2.1107.5.1.4.65253.30000018120222042451200003109_2_512_512_\Osteo_Sarco_1.png","RPT")</f>
        <v/>
      </c>
      <c r="F1450" s="3" t="n">
        <v>91</v>
      </c>
      <c r="G1450" s="3" t="n">
        <v>8</v>
      </c>
      <c r="H1450" s="7" t="n"/>
      <c r="I1450" t="inlineStr">
        <is>
          <t>SOMATOM Definition AS</t>
        </is>
      </c>
      <c r="J1450" t="inlineStr">
        <is>
          <t>With Contrast 3.0 B30f</t>
        </is>
      </c>
    </row>
    <row r="1451">
      <c r="A1451" s="2" t="n">
        <v>2882433</v>
      </c>
      <c r="B1451" s="2" t="n">
        <v>72</v>
      </c>
      <c r="C1451" s="2" t="inlineStr">
        <is>
          <t>F</t>
        </is>
      </c>
      <c r="D1451" s="2" t="n">
        <v>100</v>
      </c>
      <c r="E1451" s="4">
        <f>HYPERLINK("./Results/DLO\20190901_1.3.46.670589.33.1.63703034088474665400001.4702490203992275236_201_512_512_\Osteo_Sarco_1.png","RPT")</f>
        <v/>
      </c>
      <c r="F1451" s="3" t="n">
        <v>89</v>
      </c>
      <c r="G1451" s="3" t="n">
        <v>15</v>
      </c>
      <c r="H1451" s="7" t="n"/>
      <c r="I1451" t="inlineStr">
        <is>
          <t>Ingenuity Core 128</t>
        </is>
      </c>
      <c r="J1451" t="inlineStr">
        <is>
          <t>Pre 3mm, iDose (3)</t>
        </is>
      </c>
    </row>
    <row r="1452">
      <c r="A1452" s="2" t="n">
        <v>1245901</v>
      </c>
      <c r="B1452" s="2" t="n">
        <v>72</v>
      </c>
      <c r="C1452" s="2" t="inlineStr">
        <is>
          <t>F</t>
        </is>
      </c>
      <c r="D1452" s="2" t="n">
        <v>100</v>
      </c>
      <c r="E1452" s="4">
        <f>HYPERLINK("./Results/DLO\20190301_1.3.12.2.1107.5.1.4.65253.30000019030620083671800055861_2_512_512_\Osteo_Sarco_1.png","RPT")</f>
        <v/>
      </c>
      <c r="F1452" s="3" t="n">
        <v>88</v>
      </c>
      <c r="G1452" s="3" t="n">
        <v>9</v>
      </c>
      <c r="H1452" s="7" t="n"/>
      <c r="I1452" t="inlineStr">
        <is>
          <t>SOMATOM Definition AS</t>
        </is>
      </c>
      <c r="J1452" t="inlineStr">
        <is>
          <t>Pre Contrast 3.0 B30f</t>
        </is>
      </c>
    </row>
    <row r="1453">
      <c r="A1453" s="2" t="n">
        <v>9949157</v>
      </c>
      <c r="B1453" s="2" t="n">
        <v>72</v>
      </c>
      <c r="C1453" s="2" t="inlineStr">
        <is>
          <t>F</t>
        </is>
      </c>
      <c r="D1453" s="2" t="n">
        <v>100</v>
      </c>
      <c r="E1453" s="4">
        <f>HYPERLINK("./Results/DLO\20200301_1.3.12.2.1107.5.1.4.54310.30000020032921555831200028765_4_512_512_\Osteo_Sarco_1.png","RPT")</f>
        <v/>
      </c>
      <c r="F1453" s="3" t="n">
        <v>83</v>
      </c>
      <c r="G1453" s="3" t="n">
        <v>7</v>
      </c>
      <c r="H1453" s="6" t="n">
        <v>26.67</v>
      </c>
      <c r="I1453" t="inlineStr">
        <is>
          <t>Sensation 64</t>
        </is>
      </c>
      <c r="J1453" t="inlineStr">
        <is>
          <t>Arterial 3.0 B30f</t>
        </is>
      </c>
    </row>
    <row r="1454">
      <c r="A1454" s="2" t="n">
        <v>1372022</v>
      </c>
      <c r="B1454" s="2" t="n">
        <v>72</v>
      </c>
      <c r="C1454" s="2" t="inlineStr">
        <is>
          <t>F</t>
        </is>
      </c>
      <c r="D1454" s="2" t="n">
        <v>100</v>
      </c>
      <c r="E1454" s="4">
        <f>HYPERLINK("./Results/DLO\20180501_1.3.12.2.1107.5.1.4.54310.30000018051023125081200077188_2_512_512_\Osteo_Sarco_1.png","RPT")</f>
        <v/>
      </c>
      <c r="F1454" s="3" t="n">
        <v>79</v>
      </c>
      <c r="G1454" s="3" t="n">
        <v>9</v>
      </c>
      <c r="H1454" s="7" t="n"/>
      <c r="I1454" t="inlineStr">
        <is>
          <t>Sensation 64</t>
        </is>
      </c>
      <c r="J1454" t="inlineStr">
        <is>
          <t>With Contrast 3.0 B30f</t>
        </is>
      </c>
    </row>
    <row r="1455">
      <c r="A1455" s="2" t="n">
        <v>5659396</v>
      </c>
      <c r="B1455" s="2" t="n">
        <v>72</v>
      </c>
      <c r="C1455" s="2" t="inlineStr">
        <is>
          <t>F</t>
        </is>
      </c>
      <c r="D1455" s="2" t="n">
        <v>100</v>
      </c>
      <c r="E1455" s="4">
        <f>HYPERLINK("./Results/DLO\20180501_1.3.12.2.1107.5.1.4.54310.30000018051423153218700043813_3_512_512_\Osteo_Sarco_1.png","RPT")</f>
        <v/>
      </c>
      <c r="F1455" s="3" t="n">
        <v>73</v>
      </c>
      <c r="G1455" s="3" t="n">
        <v>12</v>
      </c>
      <c r="H1455" s="7" t="n"/>
      <c r="I1455" t="inlineStr">
        <is>
          <t>Sensation 64</t>
        </is>
      </c>
      <c r="J1455" t="inlineStr">
        <is>
          <t>With Contrast 3.0 B30f</t>
        </is>
      </c>
    </row>
    <row r="1456">
      <c r="A1456" s="2" t="n">
        <v>5642762</v>
      </c>
      <c r="B1456" s="2" t="n">
        <v>72</v>
      </c>
      <c r="C1456" s="2" t="inlineStr">
        <is>
          <t>M</t>
        </is>
      </c>
      <c r="D1456" s="2" t="n">
        <v>100</v>
      </c>
      <c r="E1456" s="4">
        <f>HYPERLINK("./Results/DLO\20200201_1.3.12.2.1107.5.1.4.65253.30000020020921082969400049669_5_512_512_\Osteo_Sarco_1.png","RPT")</f>
        <v/>
      </c>
      <c r="F1456" s="3" t="n">
        <v>173</v>
      </c>
      <c r="G1456" s="3" t="n">
        <v>14</v>
      </c>
      <c r="H1456" s="6" t="n">
        <v>28.79</v>
      </c>
      <c r="I1456" t="inlineStr">
        <is>
          <t>SOMATOM Definition AS</t>
        </is>
      </c>
      <c r="J1456" t="inlineStr">
        <is>
          <t>Arterial Phase 3.0 B30f</t>
        </is>
      </c>
    </row>
    <row r="1457">
      <c r="A1457" s="2" t="n">
        <v>5360671</v>
      </c>
      <c r="B1457" s="2" t="n">
        <v>72</v>
      </c>
      <c r="C1457" s="2" t="inlineStr">
        <is>
          <t>M</t>
        </is>
      </c>
      <c r="D1457" s="2" t="n">
        <v>100</v>
      </c>
      <c r="E1457" s="4">
        <f>HYPERLINK("./Results/DLO\20181101_1.2.840.113619.2.94.485650834948.2.9239674.20115816.1_2_512_512_\Osteo_Sarco_1.png","RPT")</f>
        <v/>
      </c>
      <c r="F1457" s="3" t="n">
        <v>156</v>
      </c>
      <c r="G1457" s="3" t="n">
        <v>12</v>
      </c>
      <c r="H1457" s="7" t="n"/>
      <c r="I1457" t="inlineStr">
        <is>
          <t>Sensation 64</t>
        </is>
      </c>
      <c r="J1457" t="inlineStr">
        <is>
          <t>With Contrast 3.0 B30f</t>
        </is>
      </c>
    </row>
    <row r="1458">
      <c r="A1458" s="2" t="n">
        <v>3099515</v>
      </c>
      <c r="B1458" s="2" t="n">
        <v>72</v>
      </c>
      <c r="C1458" s="2" t="inlineStr">
        <is>
          <t>M</t>
        </is>
      </c>
      <c r="D1458" s="2" t="n">
        <v>100</v>
      </c>
      <c r="E1458" s="4">
        <f>HYPERLINK("./Results/DLO\20180501_1.2.840.113619.2.311.225116642997979950190582868238639021301_303_512_512_\Osteo_Sarco_1.png","RPT")</f>
        <v/>
      </c>
      <c r="F1458" s="3" t="n">
        <v>151</v>
      </c>
      <c r="G1458" s="3" t="n">
        <v>9</v>
      </c>
      <c r="H1458" s="7" t="n"/>
      <c r="I1458" t="inlineStr">
        <is>
          <t>Revolution CT</t>
        </is>
      </c>
      <c r="J1458" t="inlineStr">
        <is>
          <t>ABD 2.5mm</t>
        </is>
      </c>
    </row>
    <row r="1459">
      <c r="A1459" s="2" t="n">
        <v>4972972</v>
      </c>
      <c r="B1459" s="2" t="n">
        <v>72</v>
      </c>
      <c r="C1459" s="2" t="inlineStr">
        <is>
          <t>M</t>
        </is>
      </c>
      <c r="D1459" s="2" t="n">
        <v>100</v>
      </c>
      <c r="E1459" s="4">
        <f>HYPERLINK("./Results/DLO\20190101_1.3.46.670589.33.1.63684289735410392000002.5448314313011867036_701_512_512_\Osteo_Sarco_1.png","RPT")</f>
        <v/>
      </c>
      <c r="F1459" s="3" t="n">
        <v>148</v>
      </c>
      <c r="G1459" s="3" t="n">
        <v>8</v>
      </c>
      <c r="H1459" s="6" t="n">
        <v>22.06</v>
      </c>
      <c r="I1459" t="inlineStr">
        <is>
          <t>Ingenuity Core 128</t>
        </is>
      </c>
      <c r="J1459" t="inlineStr">
        <is>
          <t>Delay 3mm, iDose (3)</t>
        </is>
      </c>
    </row>
    <row r="1460">
      <c r="A1460" s="2" t="n">
        <v>5287602</v>
      </c>
      <c r="B1460" s="2" t="n">
        <v>72</v>
      </c>
      <c r="C1460" s="2" t="inlineStr">
        <is>
          <t>M</t>
        </is>
      </c>
      <c r="D1460" s="2" t="n">
        <v>100</v>
      </c>
      <c r="E1460" s="4">
        <f>HYPERLINK("./Results/DLO\20190501_1.3.12.2.1107.5.1.4.54310.30000019052722543898400045315_2_512_512_\Osteo_Sarco_1.png","RPT")</f>
        <v/>
      </c>
      <c r="F1460" s="3" t="n">
        <v>148</v>
      </c>
      <c r="G1460" s="3" t="n">
        <v>9</v>
      </c>
      <c r="H1460" s="6" t="n">
        <v>22.39</v>
      </c>
      <c r="I1460" t="inlineStr">
        <is>
          <t>Sensation 64</t>
        </is>
      </c>
      <c r="J1460" t="inlineStr">
        <is>
          <t>Pre Contrast 3.0 B30f</t>
        </is>
      </c>
    </row>
    <row r="1461">
      <c r="A1461" s="2" t="n">
        <v>6002593</v>
      </c>
      <c r="B1461" s="2" t="n">
        <v>72</v>
      </c>
      <c r="C1461" s="2" t="inlineStr">
        <is>
          <t>M</t>
        </is>
      </c>
      <c r="D1461" s="2" t="n">
        <v>100</v>
      </c>
      <c r="E1461" s="4">
        <f>HYPERLINK("./Results/DLO\20191201_1.3.12.2.1107.5.1.4.65253.30000019121619470822300011121_2_512_512_\Osteo_Sarco_1.png","RPT")</f>
        <v/>
      </c>
      <c r="F1461" s="3" t="n">
        <v>148</v>
      </c>
      <c r="G1461" s="3" t="n">
        <v>23</v>
      </c>
      <c r="H1461" s="6" t="n">
        <v>26.04</v>
      </c>
      <c r="I1461" t="inlineStr">
        <is>
          <t>SOMATOM Definition AS</t>
        </is>
      </c>
      <c r="J1461" t="inlineStr">
        <is>
          <t>Pre Contrast 3.0 B30f</t>
        </is>
      </c>
    </row>
    <row r="1462">
      <c r="A1462" s="2" t="n">
        <v>6742129</v>
      </c>
      <c r="B1462" s="2" t="n">
        <v>72</v>
      </c>
      <c r="C1462" s="2" t="inlineStr">
        <is>
          <t>M</t>
        </is>
      </c>
      <c r="D1462" s="2" t="n">
        <v>100</v>
      </c>
      <c r="E1462" s="4">
        <f>HYPERLINK("./Results/DLO\20200601_1.3.12.2.1107.5.1.4.54310.30000020053121250062500015515_2_512_512_\Osteo_Sarco_1.png","RPT")</f>
        <v/>
      </c>
      <c r="F1462" s="3" t="n">
        <v>143</v>
      </c>
      <c r="G1462" s="3" t="n">
        <v>15</v>
      </c>
      <c r="H1462" s="6" t="n">
        <v>25.13</v>
      </c>
      <c r="I1462" t="inlineStr">
        <is>
          <t>Sensation 64</t>
        </is>
      </c>
      <c r="J1462" t="inlineStr">
        <is>
          <t>Pre ABD 3mm B30f</t>
        </is>
      </c>
    </row>
    <row r="1463">
      <c r="A1463" s="2" t="n">
        <v>3654626</v>
      </c>
      <c r="B1463" s="2" t="n">
        <v>72</v>
      </c>
      <c r="C1463" s="2" t="inlineStr">
        <is>
          <t>M</t>
        </is>
      </c>
      <c r="D1463" s="2" t="n">
        <v>100</v>
      </c>
      <c r="E1463" s="4">
        <f>HYPERLINK("./Results/DLO\20180601_1.3.12.2.1107.5.1.4.54310.30000018060623105240600007687_3_512_512_\Osteo_Sarco_1.png","RPT")</f>
        <v/>
      </c>
      <c r="F1463" s="3" t="n">
        <v>135</v>
      </c>
      <c r="G1463" s="3" t="n">
        <v>10</v>
      </c>
      <c r="H1463" s="7" t="n"/>
      <c r="I1463" t="inlineStr">
        <is>
          <t>Sensation 64</t>
        </is>
      </c>
      <c r="J1463" t="inlineStr">
        <is>
          <t>Pre Contrast 3.0 B30f</t>
        </is>
      </c>
    </row>
    <row r="1464">
      <c r="A1464" s="2" t="n">
        <v>3218792</v>
      </c>
      <c r="B1464" s="2" t="n">
        <v>72</v>
      </c>
      <c r="C1464" s="2" t="inlineStr">
        <is>
          <t>M</t>
        </is>
      </c>
      <c r="D1464" s="2" t="n">
        <v>100</v>
      </c>
      <c r="E1464" s="4">
        <f>HYPERLINK("./Results/DLO\20181201_1.3.12.2.1107.5.1.4.54310.30000018121923192868700009530_3_512_512_\Osteo_Sarco_1.png","RPT")</f>
        <v/>
      </c>
      <c r="F1464" s="3" t="n">
        <v>135</v>
      </c>
      <c r="G1464" s="3" t="n">
        <v>9</v>
      </c>
      <c r="H1464" s="7" t="n"/>
      <c r="I1464" t="inlineStr">
        <is>
          <t>Sensation 64</t>
        </is>
      </c>
      <c r="J1464" t="inlineStr">
        <is>
          <t>Pre Contrast 3.0 B30f</t>
        </is>
      </c>
    </row>
    <row r="1465">
      <c r="A1465" s="2" t="n">
        <v>5949111</v>
      </c>
      <c r="B1465" s="2" t="n">
        <v>72</v>
      </c>
      <c r="C1465" s="2" t="inlineStr">
        <is>
          <t>M</t>
        </is>
      </c>
      <c r="D1465" s="2" t="n">
        <v>100</v>
      </c>
      <c r="E1465" s="4">
        <f>HYPERLINK("./Results/DLO\20180701_1.3.12.2.1107.5.1.4.54310.30000018071723092825000003324_2_512_512_\Osteo_Sarco_1.png","RPT")</f>
        <v/>
      </c>
      <c r="F1465" s="3" t="n">
        <v>130</v>
      </c>
      <c r="G1465" s="3" t="n">
        <v>8</v>
      </c>
      <c r="H1465" s="7" t="n"/>
      <c r="I1465" t="inlineStr">
        <is>
          <t>Sensation 64</t>
        </is>
      </c>
      <c r="J1465" t="inlineStr">
        <is>
          <t>With Contrast 3.0 B30f</t>
        </is>
      </c>
    </row>
    <row r="1466">
      <c r="A1466" s="2" t="n">
        <v>4949859</v>
      </c>
      <c r="B1466" s="2" t="n">
        <v>72</v>
      </c>
      <c r="C1466" s="2" t="inlineStr">
        <is>
          <t>M</t>
        </is>
      </c>
      <c r="D1466" s="2" t="n">
        <v>100</v>
      </c>
      <c r="E1466" s="4">
        <f>HYPERLINK("./Results/DLO\20181101_1.2.840.113619.2.94.485650834948.2.9202646.20024301.1_2_512_512_\Osteo_Sarco_1.png","RPT")</f>
        <v/>
      </c>
      <c r="F1466" s="3" t="n">
        <v>130</v>
      </c>
      <c r="G1466" s="3" t="n">
        <v>8</v>
      </c>
      <c r="H1466" s="7" t="n"/>
      <c r="I1466" t="inlineStr">
        <is>
          <t>SOMATOM Definition AS</t>
        </is>
      </c>
      <c r="J1466" t="inlineStr">
        <is>
          <t>With Contrast 3.0 B30f</t>
        </is>
      </c>
    </row>
    <row r="1467">
      <c r="A1467" s="2" t="n">
        <v>2232894</v>
      </c>
      <c r="B1467" s="2" t="n">
        <v>72</v>
      </c>
      <c r="C1467" s="2" t="inlineStr">
        <is>
          <t>M</t>
        </is>
      </c>
      <c r="D1467" s="2" t="n">
        <v>100</v>
      </c>
      <c r="E1467" s="4">
        <f>HYPERLINK("./Results/DLO\20190301_1.2.840.113619.2.311.145619052004580723151782389662029415450_304_512_512_\Osteo_Sarco_1.png","RPT")</f>
        <v/>
      </c>
      <c r="F1467" s="3" t="n">
        <v>124</v>
      </c>
      <c r="G1467" s="3" t="n">
        <v>7</v>
      </c>
      <c r="H1467" s="7" t="n"/>
      <c r="I1467" t="inlineStr">
        <is>
          <t>Revolution CT</t>
        </is>
      </c>
      <c r="J1467" t="inlineStr">
        <is>
          <t>ABD 2.5mm</t>
        </is>
      </c>
    </row>
    <row r="1468">
      <c r="A1468" s="2" t="n">
        <v>5022194</v>
      </c>
      <c r="B1468" s="2" t="n">
        <v>72</v>
      </c>
      <c r="C1468" s="2" t="inlineStr">
        <is>
          <t>F</t>
        </is>
      </c>
      <c r="D1468" s="2" t="n">
        <v>100</v>
      </c>
      <c r="E1468" s="4">
        <f>HYPERLINK("./Results/DLO\20190801_1.3.46.670589.33.1.63700773959423045400001.4755149272344593140_201_512_512_\Osteo_Sarco_1.png","RPT")</f>
        <v/>
      </c>
      <c r="F1468" s="3" t="n">
        <v>120</v>
      </c>
      <c r="G1468" s="3" t="n">
        <v>10</v>
      </c>
      <c r="H1468" s="7" t="n"/>
      <c r="I1468" t="inlineStr">
        <is>
          <t>Ingenuity Core 128</t>
        </is>
      </c>
      <c r="J1468" t="inlineStr">
        <is>
          <t>Post 3mm, iDose (3)</t>
        </is>
      </c>
    </row>
    <row r="1469">
      <c r="A1469" s="2" t="n">
        <v>5952669</v>
      </c>
      <c r="B1469" s="2" t="n">
        <v>72</v>
      </c>
      <c r="C1469" s="2" t="inlineStr">
        <is>
          <t>F</t>
        </is>
      </c>
      <c r="D1469" s="2" t="n">
        <v>100</v>
      </c>
      <c r="E1469" s="4">
        <f>HYPERLINK("./Results/DLO\20190401_1.3.12.2.1107.5.1.4.65253.30000019042020064043600052473_4_512_512_\Osteo_Sarco_1.png","RPT")</f>
        <v/>
      </c>
      <c r="F1469" s="3" t="n">
        <v>119</v>
      </c>
      <c r="G1469" s="3" t="n">
        <v>11</v>
      </c>
      <c r="H1469" s="6" t="n">
        <v>28.2</v>
      </c>
      <c r="I1469" t="inlineStr">
        <is>
          <t>SOMATOM Definition AS</t>
        </is>
      </c>
      <c r="J1469" t="inlineStr">
        <is>
          <t>Arterial Phase 3.0 B30f</t>
        </is>
      </c>
    </row>
    <row r="1470">
      <c r="A1470" s="2" t="n">
        <v>9701651</v>
      </c>
      <c r="B1470" s="2" t="n">
        <v>72</v>
      </c>
      <c r="C1470" s="2" t="inlineStr">
        <is>
          <t>M</t>
        </is>
      </c>
      <c r="D1470" s="2" t="n">
        <v>100</v>
      </c>
      <c r="E1470" s="4">
        <f>HYPERLINK("./Results/DLO\20180301_1.2.840.113619.2.416.250278448695490410208438688090850232510_304_512_512_\Osteo_Sarco_1.png","RPT")</f>
        <v/>
      </c>
      <c r="F1470" s="3" t="n">
        <v>117</v>
      </c>
      <c r="G1470" s="3" t="n">
        <v>8</v>
      </c>
      <c r="H1470" s="7" t="n"/>
      <c r="I1470" t="inlineStr">
        <is>
          <t>Revolution CT</t>
        </is>
      </c>
      <c r="J1470" t="inlineStr">
        <is>
          <t>ABD 2.5mm</t>
        </is>
      </c>
    </row>
    <row r="1471">
      <c r="A1471" s="2" t="n">
        <v>2458139</v>
      </c>
      <c r="B1471" s="2" t="n">
        <v>72</v>
      </c>
      <c r="C1471" s="2" t="inlineStr">
        <is>
          <t>M</t>
        </is>
      </c>
      <c r="D1471" s="2" t="n">
        <v>100</v>
      </c>
      <c r="E1471" s="4">
        <f>HYPERLINK("./Results/DLO\20180801_1.3.12.2.1107.5.1.4.54310.30000018081923063898400001421_2_512_512_\Osteo_Sarco_1.png","RPT")</f>
        <v/>
      </c>
      <c r="F1471" s="3" t="n">
        <v>116</v>
      </c>
      <c r="G1471" s="3" t="n">
        <v>5</v>
      </c>
      <c r="H1471" s="7" t="n"/>
      <c r="I1471" t="inlineStr">
        <is>
          <t>Sensation 64</t>
        </is>
      </c>
      <c r="J1471" t="inlineStr">
        <is>
          <t>With Contrast 3.0 B30f</t>
        </is>
      </c>
    </row>
    <row r="1472">
      <c r="A1472" s="2" t="n">
        <v>4479852</v>
      </c>
      <c r="B1472" s="2" t="n">
        <v>72</v>
      </c>
      <c r="C1472" s="2" t="inlineStr">
        <is>
          <t>F</t>
        </is>
      </c>
      <c r="D1472" s="2" t="n">
        <v>100</v>
      </c>
      <c r="E1472" s="4">
        <f>HYPERLINK("./Results/DLO\20181201_1.3.46.670589.33.1.63679778431899635200001.4641894036049839341_201_512_512_\Osteo_Sarco_1.png","RPT")</f>
        <v/>
      </c>
      <c r="F1472" s="3" t="n">
        <v>110</v>
      </c>
      <c r="G1472" s="3" t="n">
        <v>11</v>
      </c>
      <c r="H1472" s="7" t="n"/>
      <c r="I1472" t="inlineStr">
        <is>
          <t>Ingenuity Core 128</t>
        </is>
      </c>
      <c r="J1472" t="inlineStr">
        <is>
          <t>Post 100/236 i3, iDose (3)</t>
        </is>
      </c>
    </row>
    <row r="1473">
      <c r="A1473" s="2" t="n">
        <v>8364859</v>
      </c>
      <c r="B1473" s="2" t="n">
        <v>72</v>
      </c>
      <c r="C1473" s="2" t="inlineStr">
        <is>
          <t>M</t>
        </is>
      </c>
      <c r="D1473" s="2" t="n">
        <v>100</v>
      </c>
      <c r="E1473" s="4">
        <f>HYPERLINK("./Results/DLO\20180701_1.3.12.2.1107.5.1.4.65253.30000018072918500783200074253_7_512_512_\Osteo_Sarco_1.png","RPT")</f>
        <v/>
      </c>
      <c r="F1473" s="3" t="n">
        <v>105</v>
      </c>
      <c r="G1473" s="3" t="n">
        <v>8</v>
      </c>
      <c r="H1473" s="6" t="n">
        <v>25.69</v>
      </c>
      <c r="I1473" t="inlineStr">
        <is>
          <t>SOMATOM Definition AS</t>
        </is>
      </c>
      <c r="J1473" t="inlineStr">
        <is>
          <t>Portal Phase 3.0 B30f</t>
        </is>
      </c>
    </row>
    <row r="1474">
      <c r="A1474" s="2" t="n">
        <v>4187486</v>
      </c>
      <c r="B1474" s="2" t="n">
        <v>72</v>
      </c>
      <c r="C1474" s="2" t="inlineStr">
        <is>
          <t>F</t>
        </is>
      </c>
      <c r="D1474" s="2" t="n">
        <v>100</v>
      </c>
      <c r="E1474" s="4">
        <f>HYPERLINK("./Results/DLO\20180601_1.3.12.2.1107.5.1.4.54310.30000018062723155698400018139_2_512_512_\Osteo_Sarco_1.png","RPT")</f>
        <v/>
      </c>
      <c r="F1474" s="3" t="n">
        <v>103</v>
      </c>
      <c r="G1474" s="3" t="n">
        <v>14</v>
      </c>
      <c r="H1474" s="7" t="n"/>
      <c r="I1474" t="inlineStr">
        <is>
          <t>Sensation 64</t>
        </is>
      </c>
      <c r="J1474" t="inlineStr">
        <is>
          <t>With Contrast 3.0 B30f</t>
        </is>
      </c>
    </row>
    <row r="1475">
      <c r="A1475" s="2" t="n">
        <v>5280595</v>
      </c>
      <c r="B1475" s="2" t="n">
        <v>72</v>
      </c>
      <c r="C1475" s="2" t="inlineStr">
        <is>
          <t>F</t>
        </is>
      </c>
      <c r="D1475" s="2" t="n">
        <v>100</v>
      </c>
      <c r="E1475" s="4">
        <f>HYPERLINK("./Results/DLO\20181001_1.2.840.113619.2.94.485650834948.2.9114798.19804605.1_2_512_512_\Osteo_Sarco_1.png","RPT")</f>
        <v/>
      </c>
      <c r="F1475" s="3" t="n">
        <v>102</v>
      </c>
      <c r="G1475" s="3" t="n">
        <v>11</v>
      </c>
      <c r="H1475" s="6" t="n">
        <v>26.37</v>
      </c>
      <c r="I1475" t="inlineStr">
        <is>
          <t>Sensation 64</t>
        </is>
      </c>
      <c r="J1475" t="inlineStr">
        <is>
          <t>With Contrast 3.0 B30f</t>
        </is>
      </c>
    </row>
    <row r="1476">
      <c r="A1476" s="2" t="n">
        <v>8689943</v>
      </c>
      <c r="B1476" s="2" t="n">
        <v>73</v>
      </c>
      <c r="C1476" s="2" t="inlineStr">
        <is>
          <t>F</t>
        </is>
      </c>
      <c r="D1476" s="2" t="n">
        <v>100</v>
      </c>
      <c r="E1476" s="4">
        <f>HYPERLINK("./Results/DLO\20190501_1.2.840.113619.2.416.238021537241742993107056252411115275506_310_512_512_\Osteo_Sarco_1.png","RPT")</f>
        <v/>
      </c>
      <c r="F1476" s="3" t="n">
        <v>99</v>
      </c>
      <c r="G1476" s="3" t="n">
        <v>11</v>
      </c>
      <c r="H1476" s="6" t="n">
        <v>25.49</v>
      </c>
      <c r="I1476" t="inlineStr">
        <is>
          <t>Revolution CT</t>
        </is>
      </c>
      <c r="J1476" t="inlineStr">
        <is>
          <t>ABD</t>
        </is>
      </c>
    </row>
    <row r="1477">
      <c r="A1477" s="2" t="n">
        <v>4316543</v>
      </c>
      <c r="B1477" s="2" t="n">
        <v>73</v>
      </c>
      <c r="C1477" s="2" t="inlineStr">
        <is>
          <t>F</t>
        </is>
      </c>
      <c r="D1477" s="2" t="n">
        <v>100</v>
      </c>
      <c r="E1477" s="4">
        <f>HYPERLINK("./Results/DLO\20180501_1.3.12.2.1107.5.1.4.54310.30000018052223090782800029638_2_512_512_\Osteo_Sarco_1.png","RPT")</f>
        <v/>
      </c>
      <c r="F1477" s="3" t="n">
        <v>94</v>
      </c>
      <c r="G1477" s="3" t="n">
        <v>12</v>
      </c>
      <c r="H1477" s="7" t="n"/>
      <c r="I1477" t="inlineStr">
        <is>
          <t>Sensation 64</t>
        </is>
      </c>
      <c r="J1477" t="inlineStr">
        <is>
          <t>Pre Contrast 3.0 B30f</t>
        </is>
      </c>
    </row>
    <row r="1478">
      <c r="A1478" s="2" t="n">
        <v>5596538</v>
      </c>
      <c r="B1478" s="2" t="n">
        <v>73</v>
      </c>
      <c r="C1478" s="2" t="inlineStr">
        <is>
          <t>M</t>
        </is>
      </c>
      <c r="D1478" s="2" t="n">
        <v>100</v>
      </c>
      <c r="E1478" s="4">
        <f>HYPERLINK("./Results/DLO\20180401_1.3.12.2.1107.5.1.4.54310.30000018040223110885900024268_2_512_512_\Osteo_Sarco_1.png","RPT")</f>
        <v/>
      </c>
      <c r="F1478" s="3" t="n">
        <v>220</v>
      </c>
      <c r="G1478" s="3" t="n">
        <v>21</v>
      </c>
      <c r="H1478" s="6" t="n">
        <v>32.27</v>
      </c>
      <c r="I1478" t="inlineStr">
        <is>
          <t>Sensation 64</t>
        </is>
      </c>
      <c r="J1478" t="inlineStr">
        <is>
          <t>Pre Contrast 3.0 B30f</t>
        </is>
      </c>
    </row>
    <row r="1479">
      <c r="A1479" s="2" t="n">
        <v>5022329</v>
      </c>
      <c r="B1479" s="2" t="n">
        <v>73</v>
      </c>
      <c r="C1479" s="2" t="inlineStr">
        <is>
          <t>M</t>
        </is>
      </c>
      <c r="D1479" s="2" t="n">
        <v>100</v>
      </c>
      <c r="E1479" s="4">
        <f>HYPERLINK("./Results/DLO\20180501_1.2.410.200069.80820110082.1130114.20250420110621079468_7413_512_512_\Osteo_Sarco_1.png","RPT")</f>
        <v/>
      </c>
      <c r="F1479" s="3" t="n">
        <v>173</v>
      </c>
      <c r="G1479" s="3" t="n">
        <v>13</v>
      </c>
      <c r="H1479" s="6" t="n">
        <v>28.08</v>
      </c>
      <c r="I1479" t="inlineStr">
        <is>
          <t>Sensation 64</t>
        </is>
      </c>
      <c r="J1479" t="inlineStr">
        <is>
          <t>N/A</t>
        </is>
      </c>
    </row>
    <row r="1480">
      <c r="A1480" s="2" t="n">
        <v>2854988</v>
      </c>
      <c r="B1480" s="2" t="n">
        <v>73</v>
      </c>
      <c r="C1480" s="2" t="inlineStr">
        <is>
          <t>M</t>
        </is>
      </c>
      <c r="D1480" s="2" t="n">
        <v>100</v>
      </c>
      <c r="E1480" s="4">
        <f>HYPERLINK("./Results/DLO\20181001_1.3.12.2.1107.5.1.4.65253.30000018100618142469100014918_2_512_512_\Osteo_Sarco_1.png","RPT")</f>
        <v/>
      </c>
      <c r="F1480" s="3" t="n">
        <v>160</v>
      </c>
      <c r="G1480" s="3" t="n">
        <v>14</v>
      </c>
      <c r="H1480" s="6" t="n">
        <v>25.45</v>
      </c>
      <c r="I1480" t="inlineStr">
        <is>
          <t>SOMATOM Definition AS</t>
        </is>
      </c>
      <c r="J1480" t="inlineStr">
        <is>
          <t>With Contrast 3.0 B30f</t>
        </is>
      </c>
    </row>
    <row r="1481">
      <c r="A1481" s="2" t="n">
        <v>8912422</v>
      </c>
      <c r="B1481" s="2" t="n">
        <v>73</v>
      </c>
      <c r="C1481" s="2" t="inlineStr">
        <is>
          <t>M</t>
        </is>
      </c>
      <c r="D1481" s="2" t="n">
        <v>100</v>
      </c>
      <c r="E1481" s="4">
        <f>HYPERLINK("./Results/DLO\20181201_1.3.12.2.1107.5.1.4.54310.30000018122623354740600020584_2_512_512_\Osteo_Sarco_1.png","RPT")</f>
        <v/>
      </c>
      <c r="F1481" s="3" t="n">
        <v>156</v>
      </c>
      <c r="G1481" s="3" t="n">
        <v>9</v>
      </c>
      <c r="H1481" s="7" t="n"/>
      <c r="I1481" t="inlineStr">
        <is>
          <t>Sensation 64</t>
        </is>
      </c>
      <c r="J1481" t="inlineStr">
        <is>
          <t>With Contrast 3.0 B30f</t>
        </is>
      </c>
    </row>
    <row r="1482">
      <c r="A1482" s="2" t="n">
        <v>5260892</v>
      </c>
      <c r="B1482" s="2" t="n">
        <v>73</v>
      </c>
      <c r="C1482" s="2" t="inlineStr">
        <is>
          <t>M</t>
        </is>
      </c>
      <c r="D1482" s="2" t="n">
        <v>100</v>
      </c>
      <c r="E1482" s="4">
        <f>HYPERLINK("./Results/DLO\20180501_1.2.840.113619.2.94.485650834948.2.8804919.19045618.1_2_512_512_\Osteo_Sarco_1.png","RPT")</f>
        <v/>
      </c>
      <c r="F1482" s="3" t="n">
        <v>153</v>
      </c>
      <c r="G1482" s="3" t="n">
        <v>15</v>
      </c>
      <c r="H1482" s="6" t="n">
        <v>29.65</v>
      </c>
      <c r="I1482" t="inlineStr">
        <is>
          <t>Sensation 64</t>
        </is>
      </c>
      <c r="J1482" t="inlineStr">
        <is>
          <t>With Contrast 3.0 B30f</t>
        </is>
      </c>
    </row>
    <row r="1483">
      <c r="A1483" s="2" t="n">
        <v>5022688</v>
      </c>
      <c r="B1483" s="2" t="n">
        <v>73</v>
      </c>
      <c r="C1483" s="2" t="inlineStr">
        <is>
          <t>M</t>
        </is>
      </c>
      <c r="D1483" s="2" t="n">
        <v>100</v>
      </c>
      <c r="E1483" s="4">
        <f>HYPERLINK("./Results/DLO\20180801_1.2.840.113619.2.311.38554280483013388122658541833592983706_304_512_512_\Osteo_Sarco_1.png","RPT")</f>
        <v/>
      </c>
      <c r="F1483" s="3" t="n">
        <v>141</v>
      </c>
      <c r="G1483" s="3" t="n">
        <v>10</v>
      </c>
      <c r="H1483" s="7" t="n"/>
      <c r="I1483" t="inlineStr">
        <is>
          <t>Revolution CT</t>
        </is>
      </c>
      <c r="J1483" t="inlineStr">
        <is>
          <t>ABD 2.5mm</t>
        </is>
      </c>
    </row>
    <row r="1484">
      <c r="A1484" s="2" t="n">
        <v>8706760</v>
      </c>
      <c r="B1484" s="2" t="n">
        <v>73</v>
      </c>
      <c r="C1484" s="2" t="inlineStr">
        <is>
          <t>M</t>
        </is>
      </c>
      <c r="D1484" s="2" t="n">
        <v>100</v>
      </c>
      <c r="E1484" s="4">
        <f>HYPERLINK("./Results/DLO\20180801_1.2.840.113619.2.416.222051058515175795670691389080448833197_301_512_512_\Osteo_Sarco_1.png","RPT")</f>
        <v/>
      </c>
      <c r="F1484" s="3" t="n">
        <v>130</v>
      </c>
      <c r="G1484" s="3" t="n">
        <v>10</v>
      </c>
      <c r="H1484" s="7" t="n"/>
      <c r="I1484" t="inlineStr">
        <is>
          <t>Revolution CT</t>
        </is>
      </c>
      <c r="J1484" t="inlineStr">
        <is>
          <t>ABD ARTERY 2.5</t>
        </is>
      </c>
    </row>
    <row r="1485">
      <c r="A1485" s="2" t="n">
        <v>6369526</v>
      </c>
      <c r="B1485" s="2" t="n">
        <v>73</v>
      </c>
      <c r="C1485" s="2" t="inlineStr">
        <is>
          <t>F</t>
        </is>
      </c>
      <c r="D1485" s="2" t="n">
        <v>100</v>
      </c>
      <c r="E1485" s="4">
        <f>HYPERLINK("./Results/DLO\20200401_1.2.840.113619.2.416.193355635255137334365889921381169163472_310_512_512_\Osteo_Sarco_1.png","RPT")</f>
        <v/>
      </c>
      <c r="F1485" s="3" t="n">
        <v>126</v>
      </c>
      <c r="G1485" s="3" t="n">
        <v>6</v>
      </c>
      <c r="H1485" s="6" t="n">
        <v>27.43</v>
      </c>
      <c r="I1485" t="inlineStr">
        <is>
          <t>Revolution CT</t>
        </is>
      </c>
      <c r="J1485" t="inlineStr">
        <is>
          <t>ABD</t>
        </is>
      </c>
    </row>
    <row r="1486">
      <c r="A1486" s="2" t="n">
        <v>5022827</v>
      </c>
      <c r="B1486" s="2" t="n">
        <v>73</v>
      </c>
      <c r="C1486" s="2" t="inlineStr">
        <is>
          <t>M</t>
        </is>
      </c>
      <c r="D1486" s="2" t="n">
        <v>100</v>
      </c>
      <c r="E1486" s="4">
        <f>HYPERLINK("./Results/DLO\20180101_1.2.840.113619.2.416.141693915725622232674221928128895133768_301_512_512_\Osteo_Sarco_1.png","RPT")</f>
        <v/>
      </c>
      <c r="F1486" s="3" t="n">
        <v>120</v>
      </c>
      <c r="G1486" s="3" t="n">
        <v>10</v>
      </c>
      <c r="H1486" s="6" t="n">
        <v>26.88</v>
      </c>
      <c r="I1486" t="inlineStr">
        <is>
          <t>Revolution CT</t>
        </is>
      </c>
      <c r="J1486" t="inlineStr">
        <is>
          <t>ARTERY</t>
        </is>
      </c>
    </row>
    <row r="1487">
      <c r="A1487" s="2" t="n">
        <v>5875134</v>
      </c>
      <c r="B1487" s="2" t="n">
        <v>73</v>
      </c>
      <c r="C1487" s="2" t="inlineStr">
        <is>
          <t>F</t>
        </is>
      </c>
      <c r="D1487" s="2" t="n">
        <v>100</v>
      </c>
      <c r="E1487" s="4">
        <f>HYPERLINK("./Results/DLO\20190101_1.3.12.2.1107.5.1.4.54310.30000019011323465885900006955_3_512_512_\Osteo_Sarco_1.png","RPT")</f>
        <v/>
      </c>
      <c r="F1487" s="3" t="n">
        <v>120</v>
      </c>
      <c r="G1487" s="3" t="n">
        <v>18</v>
      </c>
      <c r="H1487" s="6" t="n">
        <v>28.14</v>
      </c>
      <c r="I1487" t="inlineStr">
        <is>
          <t>Sensation 64</t>
        </is>
      </c>
      <c r="J1487" t="inlineStr">
        <is>
          <t>With Contrast 3.0 B30f</t>
        </is>
      </c>
    </row>
    <row r="1488">
      <c r="A1488" s="2" t="n">
        <v>9004662</v>
      </c>
      <c r="B1488" s="2" t="n">
        <v>73</v>
      </c>
      <c r="C1488" s="2" t="inlineStr">
        <is>
          <t>F</t>
        </is>
      </c>
      <c r="D1488" s="2" t="n">
        <v>100</v>
      </c>
      <c r="E1488" s="4">
        <f>HYPERLINK("./Results/DLO\20180701_1.3.12.2.1107.5.1.4.65253.30000018072219342987300077401_2_512_512_\Osteo_Sarco_1.png","RPT")</f>
        <v/>
      </c>
      <c r="F1488" s="3" t="n">
        <v>105</v>
      </c>
      <c r="G1488" s="3" t="n">
        <v>13</v>
      </c>
      <c r="H1488" s="6" t="n">
        <v>18.15</v>
      </c>
      <c r="I1488" t="inlineStr">
        <is>
          <t>SOMATOM Definition AS</t>
        </is>
      </c>
      <c r="J1488" t="inlineStr">
        <is>
          <t>Pre contrast 3.0 B30f</t>
        </is>
      </c>
    </row>
    <row r="1489">
      <c r="A1489" s="2" t="n">
        <v>661644</v>
      </c>
      <c r="B1489" s="2" t="n">
        <v>73</v>
      </c>
      <c r="C1489" s="2" t="inlineStr">
        <is>
          <t>F</t>
        </is>
      </c>
      <c r="D1489" s="2" t="n">
        <v>100</v>
      </c>
      <c r="E1489" s="4">
        <f>HYPERLINK("./Results/DLO\20180801_1.2.840.113619.2.311.304423198358690264546115946329690425877_304_512_512_\Osteo_Sarco_1.png","RPT")</f>
        <v/>
      </c>
      <c r="F1489" s="3" t="n">
        <v>106</v>
      </c>
      <c r="G1489" s="3" t="n">
        <v>15</v>
      </c>
      <c r="H1489" s="7" t="n"/>
      <c r="I1489" t="inlineStr">
        <is>
          <t>Revolution CT</t>
        </is>
      </c>
      <c r="J1489" t="inlineStr">
        <is>
          <t>ABD 2.5mm</t>
        </is>
      </c>
    </row>
    <row r="1490">
      <c r="A1490" s="2" t="n">
        <v>5676496</v>
      </c>
      <c r="B1490" s="2" t="n">
        <v>73</v>
      </c>
      <c r="C1490" s="2" t="inlineStr">
        <is>
          <t>F</t>
        </is>
      </c>
      <c r="D1490" s="2" t="n">
        <v>100</v>
      </c>
      <c r="E1490" s="4">
        <f>HYPERLINK("./Results/DLO\20200301_1.2.840.113619.2.416.271825025962137194551833047034998851668_310_512_512_\Osteo_Sarco_1.png","RPT")</f>
        <v/>
      </c>
      <c r="F1490" s="3" t="n">
        <v>105</v>
      </c>
      <c r="G1490" s="3" t="n">
        <v>13</v>
      </c>
      <c r="H1490" s="7" t="n"/>
      <c r="I1490" t="inlineStr">
        <is>
          <t>Revolution CT</t>
        </is>
      </c>
      <c r="J1490" t="inlineStr">
        <is>
          <t>ABD</t>
        </is>
      </c>
    </row>
    <row r="1491">
      <c r="A1491" s="2" t="n">
        <v>2695937</v>
      </c>
      <c r="B1491" s="2" t="n">
        <v>73</v>
      </c>
      <c r="C1491" s="2" t="inlineStr">
        <is>
          <t>M</t>
        </is>
      </c>
      <c r="D1491" s="2" t="n">
        <v>100</v>
      </c>
      <c r="E1491" s="4">
        <f>HYPERLINK("./Results/DLO\20200301_1.3.12.2.1107.5.1.4.54310.30000020030923001896800007245_4_512_512_\Osteo_Sarco_1.png","RPT")</f>
        <v/>
      </c>
      <c r="F1491" s="3" t="n">
        <v>103</v>
      </c>
      <c r="G1491" s="3" t="n">
        <v>6</v>
      </c>
      <c r="H1491" s="6" t="n">
        <v>20.03</v>
      </c>
      <c r="I1491" t="inlineStr">
        <is>
          <t>Sensation 64</t>
        </is>
      </c>
      <c r="J1491" t="inlineStr">
        <is>
          <t>Arterial 3.0 B30f</t>
        </is>
      </c>
    </row>
    <row r="1492">
      <c r="A1492" s="2" t="n">
        <v>8870722</v>
      </c>
      <c r="B1492" s="2" t="n">
        <v>73</v>
      </c>
      <c r="C1492" s="2" t="inlineStr">
        <is>
          <t>F</t>
        </is>
      </c>
      <c r="D1492" s="2" t="n">
        <v>100</v>
      </c>
      <c r="E1492" s="4">
        <f>HYPERLINK("./Results/DLO\20190901_1.3.12.2.1107.5.1.4.65253.30000019092420135070400008463_2_512_512_\Osteo_Sarco_1.png","RPT")</f>
        <v/>
      </c>
      <c r="F1492" s="3" t="n">
        <v>101</v>
      </c>
      <c r="G1492" s="3" t="n">
        <v>10</v>
      </c>
      <c r="H1492" s="6" t="n">
        <v>20.4</v>
      </c>
      <c r="I1492" t="inlineStr">
        <is>
          <t>SOMATOM Definition AS</t>
        </is>
      </c>
      <c r="J1492" t="inlineStr">
        <is>
          <t>Pre Contrast 3.0 B30f</t>
        </is>
      </c>
    </row>
    <row r="1493">
      <c r="A1493" s="2" t="n">
        <v>5202232</v>
      </c>
      <c r="B1493" s="2" t="n">
        <v>73</v>
      </c>
      <c r="C1493" s="2" t="inlineStr">
        <is>
          <t>F</t>
        </is>
      </c>
      <c r="D1493" s="2" t="n">
        <v>100</v>
      </c>
      <c r="E1493" s="4">
        <f>HYPERLINK("./Results/DLO\20200301_1.3.12.2.1107.5.1.4.54310.30000020032221101504600015323_2_512_512_\Osteo_Sarco_1.png","RPT")</f>
        <v/>
      </c>
      <c r="F1493" s="3" t="n">
        <v>101</v>
      </c>
      <c r="G1493" s="3" t="n">
        <v>20</v>
      </c>
      <c r="H1493" s="7" t="n"/>
      <c r="I1493" t="inlineStr">
        <is>
          <t>Sensation 64</t>
        </is>
      </c>
      <c r="J1493" t="inlineStr">
        <is>
          <t>With Contrast 3.0 B30f</t>
        </is>
      </c>
    </row>
    <row r="1494">
      <c r="A1494" s="2" t="n">
        <v>1902394</v>
      </c>
      <c r="B1494" s="2" t="n">
        <v>74</v>
      </c>
      <c r="C1494" s="2" t="inlineStr">
        <is>
          <t>F</t>
        </is>
      </c>
      <c r="D1494" s="2" t="n">
        <v>100</v>
      </c>
      <c r="E1494" s="4">
        <f>HYPERLINK("./Results/DLO\20180101_1.2.840.113619.2.94.485650834948.2.8588669.18515654.1_2_512_512_\Osteo_Sarco_1.png","RPT")</f>
        <v/>
      </c>
      <c r="F1494" s="3" t="n">
        <v>97</v>
      </c>
      <c r="G1494" s="3" t="n">
        <v>20</v>
      </c>
      <c r="H1494" s="6" t="n">
        <v>22.21</v>
      </c>
      <c r="I1494" t="inlineStr">
        <is>
          <t>Sensation 64</t>
        </is>
      </c>
      <c r="J1494" t="inlineStr">
        <is>
          <t>With Contrast 3.0 B30f</t>
        </is>
      </c>
    </row>
    <row r="1495">
      <c r="A1495" s="2" t="n">
        <v>8571194</v>
      </c>
      <c r="B1495" s="2" t="n">
        <v>74</v>
      </c>
      <c r="C1495" s="2" t="inlineStr">
        <is>
          <t>F</t>
        </is>
      </c>
      <c r="D1495" s="2" t="n">
        <v>100</v>
      </c>
      <c r="E1495" s="4">
        <f>HYPERLINK("./Results/DLO\20200501_1.3.12.2.1107.5.1.4.65253.30000020051820333120000066156_2_512_512_\Osteo_Sarco_1.png","RPT")</f>
        <v/>
      </c>
      <c r="F1495" s="3" t="n">
        <v>84</v>
      </c>
      <c r="G1495" s="3" t="n">
        <v>9</v>
      </c>
      <c r="H1495" s="6" t="n">
        <v>21.91</v>
      </c>
      <c r="I1495" t="inlineStr">
        <is>
          <t>SOMATOM Definition AS</t>
        </is>
      </c>
      <c r="J1495" t="inlineStr">
        <is>
          <t>ABD Pre 3.0 B30f</t>
        </is>
      </c>
    </row>
    <row r="1496">
      <c r="A1496" s="2" t="n">
        <v>5840530</v>
      </c>
      <c r="B1496" s="2" t="n">
        <v>74</v>
      </c>
      <c r="C1496" s="2" t="inlineStr">
        <is>
          <t>M</t>
        </is>
      </c>
      <c r="D1496" s="2" t="n">
        <v>100</v>
      </c>
      <c r="E1496" s="4">
        <f>HYPERLINK("./Results/DLO\20190801_1.3.12.2.1107.5.1.4.54310.30000019082922472159300007392_2_512_512_\Osteo_Sarco_1.png","RPT")</f>
        <v/>
      </c>
      <c r="F1496" s="3" t="n">
        <v>156</v>
      </c>
      <c r="G1496" s="3" t="n">
        <v>7</v>
      </c>
      <c r="H1496" s="7" t="n"/>
      <c r="I1496" t="inlineStr">
        <is>
          <t>Sensation 64</t>
        </is>
      </c>
      <c r="J1496" t="inlineStr">
        <is>
          <t>With Contrast 3.0 B30f</t>
        </is>
      </c>
    </row>
    <row r="1497">
      <c r="A1497" s="2" t="n">
        <v>5651763</v>
      </c>
      <c r="B1497" s="2" t="n">
        <v>74</v>
      </c>
      <c r="C1497" s="2" t="inlineStr">
        <is>
          <t>M</t>
        </is>
      </c>
      <c r="D1497" s="2" t="n">
        <v>100</v>
      </c>
      <c r="E1497" s="4">
        <f>HYPERLINK("./Results/DLO\20190301_1.3.46.670589.33.1.63687918527146067200001.5108936877755789988_201_512_512_\Osteo_Sarco_1.png","RPT")</f>
        <v/>
      </c>
      <c r="F1497" s="3" t="n">
        <v>149</v>
      </c>
      <c r="G1497" s="3" t="n">
        <v>11</v>
      </c>
      <c r="H1497" s="7" t="n"/>
      <c r="I1497" t="inlineStr">
        <is>
          <t>Ingenuity Core 128</t>
        </is>
      </c>
      <c r="J1497" t="inlineStr">
        <is>
          <t>Pre 3mm, iDose (3)</t>
        </is>
      </c>
    </row>
    <row r="1498">
      <c r="A1498" s="2" t="n">
        <v>8462272</v>
      </c>
      <c r="B1498" s="2" t="n">
        <v>74</v>
      </c>
      <c r="C1498" s="2" t="inlineStr">
        <is>
          <t>M</t>
        </is>
      </c>
      <c r="D1498" s="2" t="n">
        <v>100</v>
      </c>
      <c r="E1498" s="4">
        <f>HYPERLINK("./Results/DLO\20190201_1.2.840.113619.2.311.241932463631599160042163479503793194023_2_512_512_\Osteo_Sarco_1.png","RPT")</f>
        <v/>
      </c>
      <c r="F1498" s="3" t="n">
        <v>144</v>
      </c>
      <c r="G1498" s="3" t="n">
        <v>15</v>
      </c>
      <c r="H1498" s="6" t="n">
        <v>25.51</v>
      </c>
      <c r="I1498" t="inlineStr">
        <is>
          <t>Revolution CT</t>
        </is>
      </c>
      <c r="J1498" t="inlineStr">
        <is>
          <t>Pre</t>
        </is>
      </c>
    </row>
    <row r="1499">
      <c r="A1499" s="2" t="n">
        <v>5727873</v>
      </c>
      <c r="B1499" s="2" t="n">
        <v>74</v>
      </c>
      <c r="C1499" s="2" t="inlineStr">
        <is>
          <t>M</t>
        </is>
      </c>
      <c r="D1499" s="2" t="n">
        <v>100</v>
      </c>
      <c r="E1499" s="4">
        <f>HYPERLINK("./Results/DLO\20181101_1.3.12.2.1107.5.1.4.65253.30000018112119412174900007934_2_512_512_\Osteo_Sarco_1.png","RPT")</f>
        <v/>
      </c>
      <c r="F1499" s="3" t="n">
        <v>138</v>
      </c>
      <c r="G1499" s="3" t="n">
        <v>16</v>
      </c>
      <c r="H1499" s="6" t="n">
        <v>25.03</v>
      </c>
      <c r="I1499" t="inlineStr">
        <is>
          <t>SOMATOM Definition AS</t>
        </is>
      </c>
      <c r="J1499" t="inlineStr">
        <is>
          <t>Pre Contrast 3.0 B30f</t>
        </is>
      </c>
    </row>
    <row r="1500">
      <c r="A1500" s="2" t="n">
        <v>3993164</v>
      </c>
      <c r="B1500" s="2" t="n">
        <v>74</v>
      </c>
      <c r="C1500" s="2" t="inlineStr">
        <is>
          <t>M</t>
        </is>
      </c>
      <c r="D1500" s="2" t="n">
        <v>100</v>
      </c>
      <c r="E1500" s="4">
        <f>HYPERLINK("./Results/DLO\20180301_1.3.12.2.1107.5.1.4.54310.30000018032523091828100001024_3_512_512_\Osteo_Sarco_1.png","RPT")</f>
        <v/>
      </c>
      <c r="F1500" s="3" t="n">
        <v>127</v>
      </c>
      <c r="G1500" s="3" t="n">
        <v>5</v>
      </c>
      <c r="H1500" s="7" t="n"/>
      <c r="I1500" t="inlineStr">
        <is>
          <t>Sensation 64</t>
        </is>
      </c>
      <c r="J1500" t="inlineStr">
        <is>
          <t>With Contrast 3.0 B30f</t>
        </is>
      </c>
    </row>
    <row r="1501">
      <c r="A1501" s="2" t="n">
        <v>8941795</v>
      </c>
      <c r="B1501" s="2" t="n">
        <v>74</v>
      </c>
      <c r="C1501" s="2" t="inlineStr">
        <is>
          <t>M</t>
        </is>
      </c>
      <c r="D1501" s="2" t="n">
        <v>100</v>
      </c>
      <c r="E1501" s="4">
        <f>HYPERLINK("./Results/DLO\20180901_1.3.12.2.1107.5.1.4.54310.30000018092000193582800002826_2_512_512_\Osteo_Sarco_1.png","RPT")</f>
        <v/>
      </c>
      <c r="F1501" s="3" t="n">
        <v>125</v>
      </c>
      <c r="G1501" s="3" t="n">
        <v>16</v>
      </c>
      <c r="H1501" s="6" t="n">
        <v>25.5</v>
      </c>
      <c r="I1501" t="inlineStr">
        <is>
          <t>Sensation 64</t>
        </is>
      </c>
      <c r="J1501" t="inlineStr">
        <is>
          <t>With Contrast 3.0 B30f</t>
        </is>
      </c>
    </row>
    <row r="1502">
      <c r="A1502" s="2" t="n">
        <v>6089109</v>
      </c>
      <c r="B1502" s="2" t="n">
        <v>74</v>
      </c>
      <c r="C1502" s="2" t="inlineStr">
        <is>
          <t>M</t>
        </is>
      </c>
      <c r="D1502" s="2" t="n">
        <v>100</v>
      </c>
      <c r="E1502" s="4">
        <f>HYPERLINK("./Results/DLO\20180701_1.3.46.670589.33.1.63666292345729446000001.5588173470357710022_201_512_512_\Osteo_Sarco_1.png","RPT")</f>
        <v/>
      </c>
      <c r="F1502" s="3" t="n">
        <v>124</v>
      </c>
      <c r="G1502" s="3" t="n">
        <v>8</v>
      </c>
      <c r="H1502" s="7" t="n"/>
      <c r="I1502" t="inlineStr">
        <is>
          <t>Ingenuity Core 128</t>
        </is>
      </c>
      <c r="J1502" t="inlineStr">
        <is>
          <t>Pre 100/150 i4, iDose (4)</t>
        </is>
      </c>
    </row>
    <row r="1503">
      <c r="A1503" s="2" t="n">
        <v>3214132</v>
      </c>
      <c r="B1503" s="2" t="n">
        <v>74</v>
      </c>
      <c r="C1503" s="2" t="inlineStr">
        <is>
          <t>F</t>
        </is>
      </c>
      <c r="D1503" s="2" t="n">
        <v>100</v>
      </c>
      <c r="E1503" s="4">
        <f>HYPERLINK("./Results/DLO\20180701_1.3.12.2.1107.5.1.4.65253.30000018071720274464400001394_2_512_512_\Osteo_Sarco_1.png","RPT")</f>
        <v/>
      </c>
      <c r="F1503" s="3" t="n">
        <v>123</v>
      </c>
      <c r="G1503" s="3" t="n">
        <v>9</v>
      </c>
      <c r="H1503" s="7" t="n"/>
      <c r="I1503" t="inlineStr">
        <is>
          <t>SOMATOM Definition AS</t>
        </is>
      </c>
      <c r="J1503" t="inlineStr">
        <is>
          <t>With Contrast 3.0 B30f</t>
        </is>
      </c>
    </row>
    <row r="1504">
      <c r="A1504" s="2" t="n">
        <v>5656768</v>
      </c>
      <c r="B1504" s="2" t="n">
        <v>74</v>
      </c>
      <c r="C1504" s="2" t="inlineStr">
        <is>
          <t>F</t>
        </is>
      </c>
      <c r="D1504" s="2" t="n">
        <v>100</v>
      </c>
      <c r="E1504" s="4">
        <f>HYPERLINK("./Results/DLO\20180901_1.2.840.113619.2.416.136399769297756980383939241248645481788_2_512_512_\Osteo_Sarco_1.png","RPT")</f>
        <v/>
      </c>
      <c r="F1504" s="3" t="n">
        <v>122</v>
      </c>
      <c r="G1504" s="3" t="n">
        <v>12</v>
      </c>
      <c r="H1504" s="6" t="n">
        <v>27.06</v>
      </c>
      <c r="I1504" t="inlineStr">
        <is>
          <t>Revolution CT</t>
        </is>
      </c>
      <c r="J1504" t="inlineStr">
        <is>
          <t>Pre</t>
        </is>
      </c>
    </row>
    <row r="1505">
      <c r="A1505" s="2" t="n">
        <v>8429740</v>
      </c>
      <c r="B1505" s="2" t="n">
        <v>74</v>
      </c>
      <c r="C1505" s="2" t="inlineStr">
        <is>
          <t>M</t>
        </is>
      </c>
      <c r="D1505" s="2" t="n">
        <v>100</v>
      </c>
      <c r="E1505" s="4">
        <f>HYPERLINK("./Results/DLO\20180701_1.2.840.113619.2.311.8014371033188699789804096479788905407_304_512_512_\Osteo_Sarco_1.png","RPT")</f>
        <v/>
      </c>
      <c r="F1505" s="3" t="n">
        <v>120</v>
      </c>
      <c r="G1505" s="3" t="n">
        <v>10</v>
      </c>
      <c r="H1505" s="7" t="n"/>
      <c r="I1505" t="inlineStr">
        <is>
          <t>Revolution CT</t>
        </is>
      </c>
      <c r="J1505" t="inlineStr">
        <is>
          <t>ABD 2.5mm</t>
        </is>
      </c>
    </row>
    <row r="1506">
      <c r="A1506" s="2" t="n">
        <v>4452225</v>
      </c>
      <c r="B1506" s="2" t="n">
        <v>74</v>
      </c>
      <c r="C1506" s="2" t="inlineStr">
        <is>
          <t>M</t>
        </is>
      </c>
      <c r="D1506" s="2" t="n">
        <v>100</v>
      </c>
      <c r="E1506" s="4">
        <f>HYPERLINK("./Results/DLO\20190401_1.3.12.2.1107.5.1.4.54310.30000019041423314437500022642_6_512_512_\Osteo_Sarco_1.png","RPT")</f>
        <v/>
      </c>
      <c r="F1506" s="3" t="n">
        <v>119</v>
      </c>
      <c r="G1506" s="3" t="n">
        <v>7</v>
      </c>
      <c r="H1506" s="6" t="n">
        <v>22.04</v>
      </c>
      <c r="I1506" t="inlineStr">
        <is>
          <t>Sensation 64</t>
        </is>
      </c>
      <c r="J1506" t="inlineStr">
        <is>
          <t>2min-delay 3.0 B30f</t>
        </is>
      </c>
    </row>
    <row r="1507">
      <c r="A1507" s="2" t="n">
        <v>6046005</v>
      </c>
      <c r="B1507" s="2" t="n">
        <v>74</v>
      </c>
      <c r="C1507" s="2" t="inlineStr">
        <is>
          <t>F</t>
        </is>
      </c>
      <c r="D1507" s="2" t="n">
        <v>100</v>
      </c>
      <c r="E1507" s="4">
        <f>HYPERLINK("./Results/DLO\20200201_1.3.12.2.1107.5.1.4.65253.30000020021619583534800050262_3_512_512_\Osteo_Sarco_1.png","RPT")</f>
        <v/>
      </c>
      <c r="F1507" s="3" t="n">
        <v>106</v>
      </c>
      <c r="G1507" s="3" t="n">
        <v>10</v>
      </c>
      <c r="H1507" s="6" t="n">
        <v>25.12</v>
      </c>
      <c r="I1507" t="inlineStr">
        <is>
          <t>SOMATOM Definition AS</t>
        </is>
      </c>
      <c r="J1507" t="inlineStr">
        <is>
          <t>ABD Contrast 3.0 B30f</t>
        </is>
      </c>
    </row>
    <row r="1508">
      <c r="A1508" s="2" t="n">
        <v>9444634</v>
      </c>
      <c r="B1508" s="2" t="n">
        <v>74</v>
      </c>
      <c r="C1508" s="2" t="inlineStr">
        <is>
          <t>F</t>
        </is>
      </c>
      <c r="D1508" s="2" t="n">
        <v>100</v>
      </c>
      <c r="E1508" s="4">
        <f>HYPERLINK("./Results/DLO\20190401_1.3.46.670589.33.1.63689734513255367100001.5565621488823277177_301_512_512_\Osteo_Sarco_1.png","RPT")</f>
        <v/>
      </c>
      <c r="F1508" s="3" t="n">
        <v>103</v>
      </c>
      <c r="G1508" s="3" t="n">
        <v>22</v>
      </c>
      <c r="H1508" s="6" t="n">
        <v>25.24</v>
      </c>
      <c r="I1508" t="inlineStr">
        <is>
          <t>Ingenuity Core 128</t>
        </is>
      </c>
      <c r="J1508" t="inlineStr">
        <is>
          <t>Post 3mm, iDose (3)</t>
        </is>
      </c>
    </row>
    <row r="1509">
      <c r="A1509" s="2" t="n">
        <v>9621721</v>
      </c>
      <c r="B1509" s="2" t="n">
        <v>75</v>
      </c>
      <c r="C1509" s="2" t="inlineStr">
        <is>
          <t>F</t>
        </is>
      </c>
      <c r="D1509" s="2" t="n">
        <v>100</v>
      </c>
      <c r="E1509" s="4">
        <f>HYPERLINK("./Results/DLO\20190701_1.3.12.2.1107.5.1.4.65253.30000019071319043319600005017_2_512_512_\Osteo_Sarco_1.png","RPT")</f>
        <v/>
      </c>
      <c r="F1509" s="3" t="n">
        <v>97</v>
      </c>
      <c r="G1509" s="3" t="n">
        <v>16</v>
      </c>
      <c r="H1509" s="6" t="n">
        <v>22.86</v>
      </c>
      <c r="I1509" t="inlineStr">
        <is>
          <t>SOMATOM Definition AS</t>
        </is>
      </c>
      <c r="J1509" t="inlineStr">
        <is>
          <t>ABD Contrast 3.0 B30f</t>
        </is>
      </c>
    </row>
    <row r="1510">
      <c r="A1510" s="2" t="n">
        <v>8585674</v>
      </c>
      <c r="B1510" s="2" t="n">
        <v>75</v>
      </c>
      <c r="C1510" s="2" t="inlineStr">
        <is>
          <t>F</t>
        </is>
      </c>
      <c r="D1510" s="2" t="n">
        <v>100</v>
      </c>
      <c r="E1510" s="4">
        <f>HYPERLINK("./Results/DLO\20181201_1.2.840.113619.2.311.44177814717130615194885402707649469308_306_512_512_\Osteo_Sarco_1.png","RPT")</f>
        <v/>
      </c>
      <c r="F1510" s="3" t="n">
        <v>94</v>
      </c>
      <c r="G1510" s="3" t="n">
        <v>11</v>
      </c>
      <c r="H1510" s="7" t="n"/>
      <c r="I1510" t="inlineStr">
        <is>
          <t>Revolution CT</t>
        </is>
      </c>
      <c r="J1510" t="inlineStr">
        <is>
          <t>ABD POST 2.5mm</t>
        </is>
      </c>
    </row>
    <row r="1511">
      <c r="A1511" s="2" t="n">
        <v>2108454</v>
      </c>
      <c r="B1511" s="2" t="n">
        <v>75</v>
      </c>
      <c r="C1511" s="2" t="inlineStr">
        <is>
          <t>F</t>
        </is>
      </c>
      <c r="D1511" s="2" t="n">
        <v>100</v>
      </c>
      <c r="E1511" s="4">
        <f>HYPERLINK("./Results/DLO\20190701_1.3.46.670589.33.1.63699735826403075000001.5370741996698664963_501_512_512_\Osteo_Sarco_1.png","RPT")</f>
        <v/>
      </c>
      <c r="F1511" s="3" t="n">
        <v>94</v>
      </c>
      <c r="G1511" s="3" t="n">
        <v>12</v>
      </c>
      <c r="H1511" s="6" t="n">
        <v>25.09</v>
      </c>
      <c r="I1511" t="inlineStr">
        <is>
          <t>Ingenuity Core 128</t>
        </is>
      </c>
      <c r="J1511" t="inlineStr">
        <is>
          <t>Arterial 3mm, iDose (3)</t>
        </is>
      </c>
    </row>
    <row r="1512">
      <c r="A1512" s="2" t="n">
        <v>5766144</v>
      </c>
      <c r="B1512" s="2" t="n">
        <v>75</v>
      </c>
      <c r="C1512" s="2" t="inlineStr">
        <is>
          <t>F</t>
        </is>
      </c>
      <c r="D1512" s="2" t="n">
        <v>100</v>
      </c>
      <c r="E1512" s="4">
        <f>HYPERLINK("./Results/DLO\20180301_1.2.840.113619.2.94.485650834948.2.8703275.18794459.1_2_512_512_\Osteo_Sarco_1.png","RPT")</f>
        <v/>
      </c>
      <c r="F1512" s="3" t="n">
        <v>93</v>
      </c>
      <c r="G1512" s="3" t="n">
        <v>11</v>
      </c>
      <c r="H1512" s="6" t="n">
        <v>24.54</v>
      </c>
      <c r="I1512" t="inlineStr">
        <is>
          <t>Sensation 64</t>
        </is>
      </c>
      <c r="J1512" t="inlineStr">
        <is>
          <t>With Contrast 3.0 B30f</t>
        </is>
      </c>
    </row>
    <row r="1513">
      <c r="A1513" s="2" t="n">
        <v>5548883</v>
      </c>
      <c r="B1513" s="2" t="n">
        <v>75</v>
      </c>
      <c r="C1513" s="2" t="inlineStr">
        <is>
          <t>F</t>
        </is>
      </c>
      <c r="D1513" s="2" t="n">
        <v>100</v>
      </c>
      <c r="E1513" s="4">
        <f>HYPERLINK("./Results/DLO\20180201_1.2.840.113619.2.416.166248639203962835165404835407816155129_304_512_512_\Osteo_Sarco_1.png","RPT")</f>
        <v/>
      </c>
      <c r="F1513" s="3" t="n">
        <v>91</v>
      </c>
      <c r="G1513" s="3" t="n">
        <v>8</v>
      </c>
      <c r="H1513" s="7" t="n"/>
      <c r="I1513" t="inlineStr">
        <is>
          <t>Revolution CT</t>
        </is>
      </c>
      <c r="J1513" t="inlineStr">
        <is>
          <t>ABD 2.5mm</t>
        </is>
      </c>
    </row>
    <row r="1514">
      <c r="A1514" s="2" t="n">
        <v>6098094</v>
      </c>
      <c r="B1514" s="2" t="n">
        <v>75</v>
      </c>
      <c r="C1514" s="2" t="inlineStr">
        <is>
          <t>F</t>
        </is>
      </c>
      <c r="D1514" s="2" t="n">
        <v>100</v>
      </c>
      <c r="E1514" s="4">
        <f>HYPERLINK("./Results/DLO\20180501_1.2.840.113619.2.416.194217565130747503831839625396683643093_304_512_512_\Osteo_Sarco_1.png","RPT")</f>
        <v/>
      </c>
      <c r="F1514" s="3" t="n">
        <v>78</v>
      </c>
      <c r="G1514" s="3" t="n">
        <v>9</v>
      </c>
      <c r="H1514" s="7" t="n"/>
      <c r="I1514" t="inlineStr">
        <is>
          <t>Revolution CT</t>
        </is>
      </c>
      <c r="J1514" t="inlineStr">
        <is>
          <t>ABD 2.5mm</t>
        </is>
      </c>
    </row>
    <row r="1515">
      <c r="A1515" s="2" t="n">
        <v>9978341</v>
      </c>
      <c r="B1515" s="2" t="n">
        <v>75</v>
      </c>
      <c r="C1515" s="2" t="inlineStr">
        <is>
          <t>F</t>
        </is>
      </c>
      <c r="D1515" s="2" t="n">
        <v>100</v>
      </c>
      <c r="E1515" s="4">
        <f>HYPERLINK("./Results/DLO\20200401_1.2.410.100011.172.24.16.221.6372478949117346752.2_2_512_512_\Osteo_Sarco_1.png","RPT")</f>
        <v/>
      </c>
      <c r="F1515" s="3" t="n">
        <v>55</v>
      </c>
      <c r="G1515" s="3" t="n">
        <v>6</v>
      </c>
      <c r="H1515" s="6" t="n">
        <v>16.73</v>
      </c>
      <c r="I1515" t="inlineStr">
        <is>
          <t>SOMATOM Definition AS</t>
        </is>
      </c>
      <c r="J1515" t="inlineStr">
        <is>
          <t>Abd Non 5.0 I40f 1</t>
        </is>
      </c>
    </row>
    <row r="1516">
      <c r="A1516" s="2" t="n">
        <v>5021514</v>
      </c>
      <c r="B1516" s="2" t="n">
        <v>75</v>
      </c>
      <c r="C1516" s="2" t="inlineStr">
        <is>
          <t>M</t>
        </is>
      </c>
      <c r="D1516" s="2" t="n">
        <v>100</v>
      </c>
      <c r="E1516" s="4">
        <f>HYPERLINK("./Results/DLO\20180301_1.2.840.113619.2.94.485650834948.2.8710301.18811290.1_2_512_512_\Osteo_Sarco_1.png","RPT")</f>
        <v/>
      </c>
      <c r="F1516" s="3" t="n">
        <v>154</v>
      </c>
      <c r="G1516" s="3" t="n">
        <v>7</v>
      </c>
      <c r="H1516" s="7" t="n"/>
      <c r="I1516" t="inlineStr">
        <is>
          <t>Sensation 64</t>
        </is>
      </c>
      <c r="J1516" t="inlineStr">
        <is>
          <t>With Contrast 3.0 B30f</t>
        </is>
      </c>
    </row>
    <row r="1517">
      <c r="A1517" s="2" t="n">
        <v>2872237</v>
      </c>
      <c r="B1517" s="2" t="n">
        <v>75</v>
      </c>
      <c r="C1517" s="2" t="inlineStr">
        <is>
          <t>M</t>
        </is>
      </c>
      <c r="D1517" s="2" t="n">
        <v>100</v>
      </c>
      <c r="E1517" s="4">
        <f>HYPERLINK("./Results/DLO\20190401_1.2.840.113619.2.311.2466951019171132275197504599210760424_304_512_512_\Osteo_Sarco_1.png","RPT")</f>
        <v/>
      </c>
      <c r="F1517" s="3" t="n">
        <v>144</v>
      </c>
      <c r="G1517" s="3" t="n">
        <v>14</v>
      </c>
      <c r="H1517" s="6" t="n">
        <v>24.5</v>
      </c>
      <c r="I1517" t="inlineStr">
        <is>
          <t>Revolution CT</t>
        </is>
      </c>
      <c r="J1517" t="inlineStr">
        <is>
          <t>ABD 2.5mm</t>
        </is>
      </c>
    </row>
    <row r="1518">
      <c r="A1518" s="2" t="n">
        <v>6146474</v>
      </c>
      <c r="B1518" s="2" t="n">
        <v>75</v>
      </c>
      <c r="C1518" s="2" t="inlineStr">
        <is>
          <t>M</t>
        </is>
      </c>
      <c r="D1518" s="2" t="n">
        <v>100</v>
      </c>
      <c r="E1518" s="4">
        <f>HYPERLINK("./Results/DLO\20180201_1.3.46.670589.33.1.63653421153415251200001.5300598725391673700_201_512_512_\Osteo_Sarco_1.png","RPT")</f>
        <v/>
      </c>
      <c r="F1518" s="3" t="n">
        <v>133</v>
      </c>
      <c r="G1518" s="3" t="n">
        <v>6</v>
      </c>
      <c r="H1518" s="6" t="n">
        <v>22.86</v>
      </c>
      <c r="I1518" t="inlineStr">
        <is>
          <t>Ingenuity Core 128</t>
        </is>
      </c>
      <c r="J1518" t="inlineStr">
        <is>
          <t>Post 100/236 i3, iDose (3)</t>
        </is>
      </c>
    </row>
    <row r="1519">
      <c r="A1519" s="2" t="n">
        <v>4887285</v>
      </c>
      <c r="B1519" s="2" t="n">
        <v>75</v>
      </c>
      <c r="C1519" s="2" t="inlineStr">
        <is>
          <t>M</t>
        </is>
      </c>
      <c r="D1519" s="2" t="n">
        <v>100</v>
      </c>
      <c r="E1519" s="4">
        <f>HYPERLINK("./Results/DLO\20180401_1.3.46.670589.33.1.63660072731916299900001.5564941972707381748_201_512_512_\Osteo_Sarco_1.png","RPT")</f>
        <v/>
      </c>
      <c r="F1519" s="3" t="n">
        <v>131</v>
      </c>
      <c r="G1519" s="3" t="n">
        <v>10</v>
      </c>
      <c r="H1519" s="7" t="n"/>
      <c r="I1519" t="inlineStr">
        <is>
          <t>Ingenuity Core 128</t>
        </is>
      </c>
      <c r="J1519" t="inlineStr">
        <is>
          <t>Post 100/236 i3, iDose (3)</t>
        </is>
      </c>
    </row>
    <row r="1520">
      <c r="A1520" s="2" t="n">
        <v>4358398</v>
      </c>
      <c r="B1520" s="2" t="n">
        <v>75</v>
      </c>
      <c r="C1520" s="2" t="inlineStr">
        <is>
          <t>M</t>
        </is>
      </c>
      <c r="D1520" s="2" t="n">
        <v>100</v>
      </c>
      <c r="E1520" s="4">
        <f>HYPERLINK("./Results/DLO\20180101_1.2.840.113619.2.416.138045590590267921087699816531018828607_301_512_512_\Osteo_Sarco_1.png","RPT")</f>
        <v/>
      </c>
      <c r="F1520" s="3" t="n">
        <v>120</v>
      </c>
      <c r="G1520" s="3" t="n">
        <v>13</v>
      </c>
      <c r="H1520" s="7" t="n"/>
      <c r="I1520" t="inlineStr">
        <is>
          <t>Revolution CT</t>
        </is>
      </c>
      <c r="J1520" t="inlineStr">
        <is>
          <t>ARTERY</t>
        </is>
      </c>
    </row>
    <row r="1521">
      <c r="A1521" s="2" t="n">
        <v>539318</v>
      </c>
      <c r="B1521" s="2" t="n">
        <v>75</v>
      </c>
      <c r="C1521" s="2" t="inlineStr">
        <is>
          <t>F</t>
        </is>
      </c>
      <c r="D1521" s="2" t="n">
        <v>100</v>
      </c>
      <c r="E1521" s="4">
        <f>HYPERLINK("./Results/DLO\20200401_1.3.12.2.1107.5.1.4.65253.30000020042119430083000013970_2_512_512_\Osteo_Sarco_1.png","RPT")</f>
        <v/>
      </c>
      <c r="F1521" s="3" t="n">
        <v>115</v>
      </c>
      <c r="G1521" s="3" t="n">
        <v>17</v>
      </c>
      <c r="H1521" s="7" t="n"/>
      <c r="I1521" t="inlineStr">
        <is>
          <t>SOMATOM Definition AS</t>
        </is>
      </c>
      <c r="J1521" t="inlineStr">
        <is>
          <t>Pre Contrast 3.0 B30f</t>
        </is>
      </c>
    </row>
    <row r="1522">
      <c r="A1522" s="2" t="n">
        <v>2701680</v>
      </c>
      <c r="B1522" s="2" t="n">
        <v>75</v>
      </c>
      <c r="C1522" s="2" t="inlineStr">
        <is>
          <t>F</t>
        </is>
      </c>
      <c r="D1522" s="2" t="n">
        <v>100</v>
      </c>
      <c r="E1522" s="4">
        <f>HYPERLINK("./Results/DLO\20180801_1.3.12.2.1107.5.1.4.54310.30000018080123484515600008436_2_512_512_\Osteo_Sarco_1.png","RPT")</f>
        <v/>
      </c>
      <c r="F1522" s="3" t="n">
        <v>106</v>
      </c>
      <c r="G1522" s="3" t="n">
        <v>20</v>
      </c>
      <c r="H1522" s="7" t="n"/>
      <c r="I1522" t="inlineStr">
        <is>
          <t>Sensation 64</t>
        </is>
      </c>
      <c r="J1522" t="inlineStr">
        <is>
          <t>With Contrast 3.0 B30f</t>
        </is>
      </c>
    </row>
    <row r="1523">
      <c r="A1523" s="2" t="n">
        <v>5896020</v>
      </c>
      <c r="B1523" s="2" t="n">
        <v>75</v>
      </c>
      <c r="C1523" s="2" t="inlineStr">
        <is>
          <t>F</t>
        </is>
      </c>
      <c r="D1523" s="2" t="n">
        <v>100</v>
      </c>
      <c r="E1523" s="4">
        <f>HYPERLINK("./Results/DLO\20190701_1.2.410.100011.172.16.64.21.6369895840272863441.2_2_512_512_\Osteo_Sarco_1.png","RPT")</f>
        <v/>
      </c>
      <c r="F1523" s="3" t="n">
        <v>106</v>
      </c>
      <c r="G1523" s="3" t="n">
        <v>25</v>
      </c>
      <c r="H1523" s="6" t="n">
        <v>31.13</v>
      </c>
      <c r="I1523" t="inlineStr">
        <is>
          <t>SOMATOM Drive</t>
        </is>
      </c>
      <c r="J1523" t="inlineStr">
        <is>
          <t>Abd Pre 3.0 I40f 2</t>
        </is>
      </c>
    </row>
    <row r="1524">
      <c r="A1524" s="2" t="n">
        <v>3144533</v>
      </c>
      <c r="B1524" s="2" t="n">
        <v>75</v>
      </c>
      <c r="C1524" s="2" t="inlineStr">
        <is>
          <t>M</t>
        </is>
      </c>
      <c r="D1524" s="2" t="n">
        <v>100</v>
      </c>
      <c r="E1524" s="4">
        <f>HYPERLINK("./Results/DLO\20191101_1.3.46.670589.33.1.63708463151715004800001.5677583776894935191_201_512_512_\Osteo_Sarco_1.png","RPT")</f>
        <v/>
      </c>
      <c r="F1524" s="3" t="n">
        <v>106</v>
      </c>
      <c r="G1524" s="3" t="n">
        <v>13</v>
      </c>
      <c r="H1524" s="6" t="n">
        <v>22.14</v>
      </c>
      <c r="I1524" t="inlineStr">
        <is>
          <t>Ingenuity Core 128</t>
        </is>
      </c>
      <c r="J1524" t="inlineStr">
        <is>
          <t>Pre 3mm, iDose (4)</t>
        </is>
      </c>
    </row>
    <row r="1525">
      <c r="A1525" s="2" t="n">
        <v>8482759</v>
      </c>
      <c r="B1525" s="2" t="n">
        <v>75</v>
      </c>
      <c r="C1525" s="2" t="inlineStr">
        <is>
          <t>F</t>
        </is>
      </c>
      <c r="D1525" s="2" t="n">
        <v>100</v>
      </c>
      <c r="E1525" s="4">
        <f>HYPERLINK("./Results/DLO\20190401_1.3.12.2.1107.5.1.4.54310.30000019042323311359300046025_3_512_512_\Osteo_Sarco_1.png","RPT")</f>
        <v/>
      </c>
      <c r="F1525" s="3" t="n">
        <v>102</v>
      </c>
      <c r="G1525" s="3" t="n">
        <v>12</v>
      </c>
      <c r="H1525" s="6" t="n">
        <v>23.37</v>
      </c>
      <c r="I1525" t="inlineStr">
        <is>
          <t>Sensation 64</t>
        </is>
      </c>
      <c r="J1525" t="inlineStr">
        <is>
          <t>Pre Contrast 3.0 B30f</t>
        </is>
      </c>
    </row>
    <row r="1526">
      <c r="A1526" s="2" t="n">
        <v>9545040</v>
      </c>
      <c r="B1526" s="2" t="n">
        <v>76</v>
      </c>
      <c r="C1526" s="2" t="inlineStr">
        <is>
          <t>F</t>
        </is>
      </c>
      <c r="D1526" s="2" t="n">
        <v>100</v>
      </c>
      <c r="E1526" s="4">
        <f>HYPERLINK("./Results/DLO\20181201_1.3.12.2.1107.5.1.4.65253.30000018122119135859800001158_2_512_512_\Osteo_Sarco_1.png","RPT")</f>
        <v/>
      </c>
      <c r="F1526" s="3" t="n">
        <v>94</v>
      </c>
      <c r="G1526" s="3" t="n">
        <v>19</v>
      </c>
      <c r="H1526" s="6" t="n">
        <v>24.44</v>
      </c>
      <c r="I1526" t="inlineStr">
        <is>
          <t>SOMATOM Definition AS</t>
        </is>
      </c>
      <c r="J1526" t="inlineStr">
        <is>
          <t>W/O Contrast 3.0 B30f</t>
        </is>
      </c>
    </row>
    <row r="1527">
      <c r="A1527" s="2" t="n">
        <v>2718286</v>
      </c>
      <c r="B1527" s="2" t="n">
        <v>76</v>
      </c>
      <c r="C1527" s="2" t="inlineStr">
        <is>
          <t>F</t>
        </is>
      </c>
      <c r="D1527" s="2" t="n">
        <v>100</v>
      </c>
      <c r="E1527" s="4">
        <f>HYPERLINK("./Results/DLO\20180101_1.3.12.2.1107.5.1.4.65253.30000018010306282209700001614_2_512_512_\Osteo_Sarco_1.png","RPT")</f>
        <v/>
      </c>
      <c r="F1527" s="3" t="n">
        <v>92</v>
      </c>
      <c r="G1527" s="3" t="n">
        <v>9</v>
      </c>
      <c r="H1527" s="6" t="n">
        <v>17.9</v>
      </c>
      <c r="I1527" t="inlineStr">
        <is>
          <t>SOMATOM Definition AS</t>
        </is>
      </c>
      <c r="J1527" t="inlineStr">
        <is>
          <t>Pre Contrast 3.0 B4Of</t>
        </is>
      </c>
    </row>
    <row r="1528">
      <c r="A1528" s="2" t="n">
        <v>2631472</v>
      </c>
      <c r="B1528" s="2" t="n">
        <v>76</v>
      </c>
      <c r="C1528" s="2" t="inlineStr">
        <is>
          <t>F</t>
        </is>
      </c>
      <c r="D1528" s="2" t="n">
        <v>100</v>
      </c>
      <c r="E1528" s="4">
        <f>HYPERLINK("./Results/DLO\20180501_1.3.12.2.1107.5.1.4.65253.30000018053019070489500024086_2_512_512_\Osteo_Sarco_1.png","RPT")</f>
        <v/>
      </c>
      <c r="F1528" s="3" t="n">
        <v>81</v>
      </c>
      <c r="G1528" s="3" t="n">
        <v>11</v>
      </c>
      <c r="H1528" s="6" t="n">
        <v>20</v>
      </c>
      <c r="I1528" t="inlineStr">
        <is>
          <t>SOMATOM Definition AS</t>
        </is>
      </c>
      <c r="J1528" t="inlineStr">
        <is>
          <t>Pre Contrast 3.0 B30f</t>
        </is>
      </c>
    </row>
    <row r="1529">
      <c r="A1529" s="2" t="n">
        <v>6111798</v>
      </c>
      <c r="B1529" s="2" t="n">
        <v>76</v>
      </c>
      <c r="C1529" s="2" t="inlineStr">
        <is>
          <t>F</t>
        </is>
      </c>
      <c r="D1529" s="2" t="n">
        <v>100</v>
      </c>
      <c r="E1529" s="4">
        <f>HYPERLINK("./Results/DLO\20180901_1.3.12.2.1107.5.1.4.65253.30000018090819111472400061947_2_512_512_\Osteo_Sarco_1.png","RPT")</f>
        <v/>
      </c>
      <c r="F1529" s="3" t="n">
        <v>79</v>
      </c>
      <c r="G1529" s="3" t="n">
        <v>7</v>
      </c>
      <c r="H1529" s="6" t="n">
        <v>17.59</v>
      </c>
      <c r="I1529" t="inlineStr">
        <is>
          <t>SOMATOM Definition AS</t>
        </is>
      </c>
      <c r="J1529" t="inlineStr">
        <is>
          <t>Pre Contrast 3.0 B30f</t>
        </is>
      </c>
    </row>
    <row r="1530">
      <c r="A1530" s="2" t="n">
        <v>8814235</v>
      </c>
      <c r="B1530" s="2" t="n">
        <v>76</v>
      </c>
      <c r="C1530" s="2" t="inlineStr">
        <is>
          <t>M</t>
        </is>
      </c>
      <c r="D1530" s="2" t="n">
        <v>100</v>
      </c>
      <c r="E1530" s="4">
        <f>HYPERLINK("./Results/DLO\20180601_1.2.840.113619.2.311.177534952791975669386338442115929137366_304_512_512_\Osteo_Sarco_1.png","RPT")</f>
        <v/>
      </c>
      <c r="F1530" s="3" t="n">
        <v>74</v>
      </c>
      <c r="G1530" s="3" t="n">
        <v>11</v>
      </c>
      <c r="H1530" s="6" t="n">
        <v>23.03</v>
      </c>
      <c r="I1530" t="inlineStr">
        <is>
          <t>Revolution CT</t>
        </is>
      </c>
      <c r="J1530" t="inlineStr">
        <is>
          <t>ABD 2.5mm</t>
        </is>
      </c>
    </row>
    <row r="1531">
      <c r="A1531" s="2" t="n">
        <v>9870874</v>
      </c>
      <c r="B1531" s="2" t="n">
        <v>76</v>
      </c>
      <c r="C1531" s="2" t="inlineStr">
        <is>
          <t>F</t>
        </is>
      </c>
      <c r="D1531" s="2" t="n">
        <v>100</v>
      </c>
      <c r="E1531" s="4">
        <f>HYPERLINK("./Results/DLO\20191201_1.3.12.2.1107.5.1.4.65253.30000019122021324259600002978_4_512_512_\Osteo_Sarco_1.png","RPT")</f>
        <v/>
      </c>
      <c r="F1531" s="3" t="n">
        <v>67</v>
      </c>
      <c r="G1531" s="3" t="n">
        <v>10</v>
      </c>
      <c r="H1531" s="6" t="n">
        <v>19.4</v>
      </c>
      <c r="I1531" t="inlineStr">
        <is>
          <t>SOMATOM Definition AS</t>
        </is>
      </c>
      <c r="J1531" t="inlineStr">
        <is>
          <t>Arterial Phase 3.0 B30f</t>
        </is>
      </c>
    </row>
    <row r="1532">
      <c r="A1532" s="2" t="n">
        <v>447295</v>
      </c>
      <c r="B1532" s="2" t="n">
        <v>76</v>
      </c>
      <c r="C1532" s="2" t="inlineStr">
        <is>
          <t>M</t>
        </is>
      </c>
      <c r="D1532" s="2" t="n">
        <v>100</v>
      </c>
      <c r="E1532" s="4">
        <f>HYPERLINK("./Results/DLO\20180701_1.2.410.100011.172.16.68.201.6366914698072051853.3_3_512_512_\Osteo_Sarco_1.png","RPT")</f>
        <v/>
      </c>
      <c r="F1532" s="3" t="n">
        <v>200</v>
      </c>
      <c r="G1532" s="3" t="n">
        <v>14</v>
      </c>
      <c r="H1532" s="7" t="n"/>
      <c r="I1532" t="inlineStr">
        <is>
          <t>Sensation 64</t>
        </is>
      </c>
      <c r="J1532" t="inlineStr">
        <is>
          <t>Pre 3.0 B30f</t>
        </is>
      </c>
    </row>
    <row r="1533">
      <c r="A1533" s="2" t="n">
        <v>3425339</v>
      </c>
      <c r="B1533" s="2" t="n">
        <v>76</v>
      </c>
      <c r="C1533" s="2" t="inlineStr">
        <is>
          <t>M</t>
        </is>
      </c>
      <c r="D1533" s="2" t="n">
        <v>100</v>
      </c>
      <c r="E1533" s="4">
        <f>HYPERLINK("./Results/DLO\20191101_1.2.410.100011.172.24.16.220.6371113559944199438.2_2_512_512_\Osteo_Sarco_1.png","RPT")</f>
        <v/>
      </c>
      <c r="F1533" s="3" t="n">
        <v>198</v>
      </c>
      <c r="G1533" s="3" t="n">
        <v>35</v>
      </c>
      <c r="H1533" s="7" t="n"/>
      <c r="I1533" t="inlineStr">
        <is>
          <t>Ingenuity CT</t>
        </is>
      </c>
      <c r="J1533" t="inlineStr">
        <is>
          <t>NC, iDose (2)</t>
        </is>
      </c>
    </row>
    <row r="1534">
      <c r="A1534" s="2" t="n">
        <v>8965473</v>
      </c>
      <c r="B1534" s="2" t="n">
        <v>76</v>
      </c>
      <c r="C1534" s="2" t="inlineStr">
        <is>
          <t>M</t>
        </is>
      </c>
      <c r="D1534" s="2" t="n">
        <v>100</v>
      </c>
      <c r="E1534" s="4">
        <f>HYPERLINK("./Results/DLO\20191001_1.3.12.2.1107.5.1.4.65253.30000019100519580977000059851_3_512_512_\Osteo_Sarco_1.png","RPT")</f>
        <v/>
      </c>
      <c r="F1534" s="3" t="n">
        <v>155</v>
      </c>
      <c r="G1534" s="3" t="n">
        <v>13</v>
      </c>
      <c r="H1534" s="6" t="n">
        <v>29.04</v>
      </c>
      <c r="I1534" t="inlineStr">
        <is>
          <t>SOMATOM Definition AS</t>
        </is>
      </c>
      <c r="J1534" t="inlineStr">
        <is>
          <t>Post Contrast 3.0 B30f</t>
        </is>
      </c>
    </row>
    <row r="1535">
      <c r="A1535" s="2" t="n">
        <v>2198986</v>
      </c>
      <c r="B1535" s="2" t="n">
        <v>76</v>
      </c>
      <c r="C1535" s="2" t="inlineStr">
        <is>
          <t>M</t>
        </is>
      </c>
      <c r="D1535" s="2" t="n">
        <v>100</v>
      </c>
      <c r="E1535" s="4">
        <f>HYPERLINK("./Results/DLO\20180501_1.3.12.2.1107.5.1.4.65253.30000018052921170848500043898_3_512_512_\Osteo_Sarco_1.png","RPT")</f>
        <v/>
      </c>
      <c r="F1535" s="3" t="n">
        <v>145</v>
      </c>
      <c r="G1535" s="3" t="n">
        <v>6</v>
      </c>
      <c r="H1535" s="7" t="n"/>
      <c r="I1535" t="inlineStr">
        <is>
          <t>SOMATOM Definition AS</t>
        </is>
      </c>
      <c r="J1535" t="inlineStr">
        <is>
          <t>Post Contrast 3.0 B30f</t>
        </is>
      </c>
    </row>
    <row r="1536">
      <c r="A1536" s="2" t="n">
        <v>5242718</v>
      </c>
      <c r="B1536" s="2" t="n">
        <v>76</v>
      </c>
      <c r="C1536" s="2" t="inlineStr">
        <is>
          <t>M</t>
        </is>
      </c>
      <c r="D1536" s="2" t="n">
        <v>100</v>
      </c>
      <c r="E1536" s="4">
        <f>HYPERLINK("./Results/DLO\20180701_1.2.840.113619.2.416.318349980888175046052071015441522281950_301_512_512_\Osteo_Sarco_1.png","RPT")</f>
        <v/>
      </c>
      <c r="F1536" s="3" t="n">
        <v>142</v>
      </c>
      <c r="G1536" s="3" t="n">
        <v>12</v>
      </c>
      <c r="H1536" s="6" t="n">
        <v>23.77</v>
      </c>
      <c r="I1536" t="inlineStr">
        <is>
          <t>Revolution CT</t>
        </is>
      </c>
      <c r="J1536" t="inlineStr">
        <is>
          <t>ARTERY</t>
        </is>
      </c>
    </row>
    <row r="1537">
      <c r="A1537" s="2" t="n">
        <v>4646687</v>
      </c>
      <c r="B1537" s="2" t="n">
        <v>76</v>
      </c>
      <c r="C1537" s="2" t="inlineStr">
        <is>
          <t>M</t>
        </is>
      </c>
      <c r="D1537" s="2" t="n">
        <v>100</v>
      </c>
      <c r="E1537" s="4">
        <f>HYPERLINK("./Results/DLO\20180601_1.3.12.2.1107.5.1.4.65253.30000018062819202523300004840_4_512_512_\Osteo_Sarco_1.png","RPT")</f>
        <v/>
      </c>
      <c r="F1537" s="3" t="n">
        <v>139</v>
      </c>
      <c r="G1537" s="3" t="n">
        <v>10</v>
      </c>
      <c r="H1537" s="6" t="n">
        <v>24.26</v>
      </c>
      <c r="I1537" t="inlineStr">
        <is>
          <t>SOMATOM Definition AS</t>
        </is>
      </c>
      <c r="J1537" t="inlineStr">
        <is>
          <t>With Contrast 3.0 B30f</t>
        </is>
      </c>
    </row>
    <row r="1538">
      <c r="A1538" s="2" t="n">
        <v>9820791</v>
      </c>
      <c r="B1538" s="2" t="n">
        <v>76</v>
      </c>
      <c r="C1538" s="2" t="inlineStr">
        <is>
          <t>M</t>
        </is>
      </c>
      <c r="D1538" s="2" t="n">
        <v>100</v>
      </c>
      <c r="E1538" s="4">
        <f>HYPERLINK("./Results/DLO\20191001_1.3.12.2.1107.5.1.4.65253.30000019102319130874000002328_2_512_512_\Osteo_Sarco_1.png","RPT")</f>
        <v/>
      </c>
      <c r="F1538" s="3" t="n">
        <v>138</v>
      </c>
      <c r="G1538" s="3" t="n">
        <v>11</v>
      </c>
      <c r="H1538" s="6" t="n">
        <v>22.46</v>
      </c>
      <c r="I1538" t="inlineStr">
        <is>
          <t>SOMATOM Definition AS</t>
        </is>
      </c>
      <c r="J1538" t="inlineStr">
        <is>
          <t>ABD Contrast 3.0 B30f</t>
        </is>
      </c>
    </row>
    <row r="1539">
      <c r="A1539" s="2" t="n">
        <v>5052986</v>
      </c>
      <c r="B1539" s="2" t="n">
        <v>76</v>
      </c>
      <c r="C1539" s="2" t="inlineStr">
        <is>
          <t>M</t>
        </is>
      </c>
      <c r="D1539" s="2" t="n">
        <v>100</v>
      </c>
      <c r="E1539" s="4">
        <f>HYPERLINK("./Results/DLO\20180201_1.3.12.2.1107.5.1.4.65253.30000018021401161327500000322_8_512_512_\Osteo_Sarco_1.png","RPT")</f>
        <v/>
      </c>
      <c r="F1539" s="3" t="n">
        <v>137</v>
      </c>
      <c r="G1539" s="3" t="n">
        <v>7</v>
      </c>
      <c r="H1539" s="6" t="n">
        <v>21.88</v>
      </c>
      <c r="I1539" t="inlineStr">
        <is>
          <t>SOMATOM Definition AS</t>
        </is>
      </c>
      <c r="J1539" t="inlineStr">
        <is>
          <t>With Contrast 3.0 B30f</t>
        </is>
      </c>
    </row>
    <row r="1540">
      <c r="A1540" s="2" t="n">
        <v>5565803</v>
      </c>
      <c r="B1540" s="2" t="n">
        <v>76</v>
      </c>
      <c r="C1540" s="2" t="inlineStr">
        <is>
          <t>M</t>
        </is>
      </c>
      <c r="D1540" s="2" t="n">
        <v>100</v>
      </c>
      <c r="E1540" s="4">
        <f>HYPERLINK("./Results/DLO\20181101_1.2.840.113619.2.416.296336301592499214722029082889487001288_302_512_512_\Osteo_Sarco_1.png","RPT")</f>
        <v/>
      </c>
      <c r="F1540" s="3" t="n">
        <v>123</v>
      </c>
      <c r="G1540" s="3" t="n">
        <v>18</v>
      </c>
      <c r="H1540" s="7" t="n"/>
      <c r="I1540" t="inlineStr">
        <is>
          <t>Revolution CT</t>
        </is>
      </c>
      <c r="J1540" t="inlineStr">
        <is>
          <t>PORTAL</t>
        </is>
      </c>
    </row>
    <row r="1541">
      <c r="A1541" s="2" t="n">
        <v>5021356</v>
      </c>
      <c r="B1541" s="2" t="n">
        <v>76</v>
      </c>
      <c r="C1541" s="2" t="inlineStr">
        <is>
          <t>M</t>
        </is>
      </c>
      <c r="D1541" s="2" t="n">
        <v>100</v>
      </c>
      <c r="E1541" s="4">
        <f>HYPERLINK("./Results/DLO\20181201_1.3.12.2.1107.5.1.4.54310.30000018121223170937500000984_2_512_512_\Osteo_Sarco_1.png","RPT")</f>
        <v/>
      </c>
      <c r="F1541" s="3" t="n">
        <v>123</v>
      </c>
      <c r="G1541" s="3" t="n">
        <v>7</v>
      </c>
      <c r="H1541" s="6" t="n">
        <v>21.41</v>
      </c>
      <c r="I1541" t="inlineStr">
        <is>
          <t>Sensation 64</t>
        </is>
      </c>
      <c r="J1541" t="inlineStr">
        <is>
          <t>contrt Contrast 2.0 B30f</t>
        </is>
      </c>
    </row>
    <row r="1542">
      <c r="A1542" s="2" t="n">
        <v>8273608</v>
      </c>
      <c r="B1542" s="2" t="n">
        <v>76</v>
      </c>
      <c r="C1542" s="2" t="inlineStr">
        <is>
          <t>M</t>
        </is>
      </c>
      <c r="D1542" s="2" t="n">
        <v>100</v>
      </c>
      <c r="E1542" s="4">
        <f>HYPERLINK("./Results/DLO\20190701_1.2.840.113619.2.416.50770144934908106153876593372255961404_303_512_512_\Osteo_Sarco_1.png","RPT")</f>
        <v/>
      </c>
      <c r="F1542" s="3" t="n">
        <v>117</v>
      </c>
      <c r="G1542" s="3" t="n">
        <v>7</v>
      </c>
      <c r="H1542" s="6" t="n">
        <v>27.24</v>
      </c>
      <c r="I1542" t="inlineStr">
        <is>
          <t>Revolution CT</t>
        </is>
      </c>
      <c r="J1542" t="inlineStr">
        <is>
          <t>ABD</t>
        </is>
      </c>
    </row>
    <row r="1543">
      <c r="A1543" s="2" t="n">
        <v>5177782</v>
      </c>
      <c r="B1543" s="2" t="n">
        <v>76</v>
      </c>
      <c r="C1543" s="2" t="inlineStr">
        <is>
          <t>F</t>
        </is>
      </c>
      <c r="D1543" s="2" t="n">
        <v>100</v>
      </c>
      <c r="E1543" s="4">
        <f>HYPERLINK("./Results/DLO\20190501_1.3.46.670589.33.1.63692926668675021000001.4690990540733023597_201_512_512_\Osteo_Sarco_1.png","RPT")</f>
        <v/>
      </c>
      <c r="F1543" s="3" t="n">
        <v>116</v>
      </c>
      <c r="G1543" s="3" t="n">
        <v>22</v>
      </c>
      <c r="H1543" s="6" t="n">
        <v>28.28</v>
      </c>
      <c r="I1543" t="inlineStr">
        <is>
          <t>Ingenuity Core 128</t>
        </is>
      </c>
      <c r="J1543" t="inlineStr">
        <is>
          <t>Pre 3mm, iDose (3)</t>
        </is>
      </c>
    </row>
    <row r="1544">
      <c r="A1544" s="2" t="n">
        <v>6084551</v>
      </c>
      <c r="B1544" s="2" t="n">
        <v>76</v>
      </c>
      <c r="C1544" s="2" t="inlineStr">
        <is>
          <t>F</t>
        </is>
      </c>
      <c r="D1544" s="2" t="n">
        <v>100</v>
      </c>
      <c r="E1544" s="4">
        <f>HYPERLINK("./Results/DLO\20190701_1.3.12.2.1107.5.1.4.65253.30000019071419155512400039906_2_512_512_\Osteo_Sarco_1.png","RPT")</f>
        <v/>
      </c>
      <c r="F1544" s="3" t="n">
        <v>112</v>
      </c>
      <c r="G1544" s="3" t="n">
        <v>22</v>
      </c>
      <c r="H1544" s="7" t="n"/>
      <c r="I1544" t="inlineStr">
        <is>
          <t>SOMATOM Definition AS</t>
        </is>
      </c>
      <c r="J1544" t="inlineStr">
        <is>
          <t>Pre Contrast 3.0 B30f</t>
        </is>
      </c>
    </row>
    <row r="1545">
      <c r="A1545" s="2" t="n">
        <v>6059960</v>
      </c>
      <c r="B1545" s="2" t="n">
        <v>76</v>
      </c>
      <c r="C1545" s="2" t="inlineStr">
        <is>
          <t>M</t>
        </is>
      </c>
      <c r="D1545" s="2" t="n">
        <v>100</v>
      </c>
      <c r="E1545" s="4">
        <f>HYPERLINK("./Results/DLO\20190901_1.2.840.113619.2.416.277731931877409391759999252510998660959_302_512_512_\Osteo_Sarco_1.png","RPT")</f>
        <v/>
      </c>
      <c r="F1545" s="3" t="n">
        <v>112</v>
      </c>
      <c r="G1545" s="3" t="n">
        <v>10</v>
      </c>
      <c r="H1545" s="6" t="n">
        <v>22.24</v>
      </c>
      <c r="I1545" t="inlineStr">
        <is>
          <t>Revolution CT</t>
        </is>
      </c>
      <c r="J1545" t="inlineStr">
        <is>
          <t>ABD</t>
        </is>
      </c>
    </row>
    <row r="1546">
      <c r="A1546" s="2" t="n">
        <v>5022467</v>
      </c>
      <c r="B1546" s="2" t="n">
        <v>76</v>
      </c>
      <c r="C1546" s="2" t="inlineStr">
        <is>
          <t>M</t>
        </is>
      </c>
      <c r="D1546" s="2" t="n">
        <v>100</v>
      </c>
      <c r="E1546" s="4">
        <f>HYPERLINK("./Results/DLO\20190601_1.3.12.2.1107.5.1.4.54310.30000019061022370023400050777_6_512_512_\Osteo_Sarco_1.png","RPT")</f>
        <v/>
      </c>
      <c r="F1546" s="3" t="n">
        <v>108</v>
      </c>
      <c r="G1546" s="3" t="n">
        <v>7</v>
      </c>
      <c r="H1546" s="6" t="n">
        <v>23.33</v>
      </c>
      <c r="I1546" t="inlineStr">
        <is>
          <t>Sensation 64</t>
        </is>
      </c>
      <c r="J1546" t="inlineStr">
        <is>
          <t>ABD Non 2.0 B30f</t>
        </is>
      </c>
    </row>
    <row r="1547">
      <c r="A1547" s="2" t="n">
        <v>8244938</v>
      </c>
      <c r="B1547" s="2" t="n">
        <v>76</v>
      </c>
      <c r="C1547" s="2" t="inlineStr">
        <is>
          <t>F</t>
        </is>
      </c>
      <c r="D1547" s="2" t="n">
        <v>100</v>
      </c>
      <c r="E1547" s="4">
        <f>HYPERLINK("./Results/DLO\20181201_1.2.840.113619.2.416.62417209705805852455532695858807388859_304_512_512_\Osteo_Sarco_1.png","RPT")</f>
        <v/>
      </c>
      <c r="F1547" s="3" t="n">
        <v>106</v>
      </c>
      <c r="G1547" s="3" t="n">
        <v>14</v>
      </c>
      <c r="H1547" s="6" t="n">
        <v>24.82</v>
      </c>
      <c r="I1547" t="inlineStr">
        <is>
          <t>Revolution CT</t>
        </is>
      </c>
      <c r="J1547" t="inlineStr">
        <is>
          <t>ABD 2.5mm</t>
        </is>
      </c>
    </row>
    <row r="1548">
      <c r="A1548" s="2" t="n">
        <v>1785294</v>
      </c>
      <c r="B1548" s="2" t="n">
        <v>76</v>
      </c>
      <c r="C1548" s="2" t="inlineStr">
        <is>
          <t>M</t>
        </is>
      </c>
      <c r="D1548" s="2" t="n">
        <v>100</v>
      </c>
      <c r="E1548" s="4">
        <f>HYPERLINK("./Results/DLO\20181101_1.2.840.113619.2.311.298293438295719788525987873850220549623_303_512_512_\Osteo_Sarco_1.png","RPT")</f>
        <v/>
      </c>
      <c r="F1548" s="3" t="n">
        <v>102</v>
      </c>
      <c r="G1548" s="3" t="n">
        <v>8</v>
      </c>
      <c r="H1548" s="7" t="n"/>
      <c r="I1548" t="inlineStr">
        <is>
          <t>Revolution CT</t>
        </is>
      </c>
      <c r="J1548" t="inlineStr">
        <is>
          <t>ABD 2.5mm</t>
        </is>
      </c>
    </row>
    <row r="1549">
      <c r="A1549" s="2" t="n">
        <v>3062474</v>
      </c>
      <c r="B1549" s="2" t="n">
        <v>76</v>
      </c>
      <c r="C1549" s="2" t="inlineStr">
        <is>
          <t>F</t>
        </is>
      </c>
      <c r="D1549" s="2" t="n">
        <v>100</v>
      </c>
      <c r="E1549" s="4">
        <f>HYPERLINK("./Results/DLO\20181201_1.2.840.113619.2.311.31724804274345842400443967059906975900_304_512_512_\Osteo_Sarco_1.png","RPT")</f>
        <v/>
      </c>
      <c r="F1549" s="3" t="n">
        <v>101</v>
      </c>
      <c r="G1549" s="3" t="n">
        <v>7</v>
      </c>
      <c r="H1549" s="7" t="n"/>
      <c r="I1549" t="inlineStr">
        <is>
          <t>Revolution CT</t>
        </is>
      </c>
      <c r="J1549" t="inlineStr">
        <is>
          <t>ABD 2.5mm</t>
        </is>
      </c>
    </row>
    <row r="1550">
      <c r="A1550" s="2" t="n">
        <v>4512762</v>
      </c>
      <c r="B1550" s="2" t="n">
        <v>76</v>
      </c>
      <c r="C1550" s="2" t="inlineStr">
        <is>
          <t>F</t>
        </is>
      </c>
      <c r="D1550" s="2" t="n">
        <v>100</v>
      </c>
      <c r="E1550" s="4">
        <f>HYPERLINK("./Results/DLO\20190101_1.3.12.2.1107.5.1.4.54310.30000019012223310779600000457_3_512_512_\Osteo_Sarco_1.png","RPT")</f>
        <v/>
      </c>
      <c r="F1550" s="3" t="n">
        <v>101</v>
      </c>
      <c r="G1550" s="3" t="n">
        <v>14</v>
      </c>
      <c r="H1550" s="7" t="n"/>
      <c r="I1550" t="inlineStr">
        <is>
          <t>Sensation 64</t>
        </is>
      </c>
      <c r="J1550" t="inlineStr">
        <is>
          <t>Pre Contrast 3.0 B30f</t>
        </is>
      </c>
    </row>
    <row r="1551">
      <c r="A1551" s="2" t="n">
        <v>5448211</v>
      </c>
      <c r="B1551" s="2" t="n">
        <v>77</v>
      </c>
      <c r="C1551" s="2" t="inlineStr">
        <is>
          <t>F</t>
        </is>
      </c>
      <c r="D1551" s="2" t="n">
        <v>100</v>
      </c>
      <c r="E1551" s="4">
        <f>HYPERLINK("./Results/DLO\20180201_1.3.12.2.1107.5.1.4.65253.30000018020920272844000002319_2_512_512_\Osteo_Sarco_1.png","RPT")</f>
        <v/>
      </c>
      <c r="F1551" s="3" t="n">
        <v>99</v>
      </c>
      <c r="G1551" s="3" t="n">
        <v>10</v>
      </c>
      <c r="H1551" s="6" t="n">
        <v>22.77</v>
      </c>
      <c r="I1551" t="inlineStr">
        <is>
          <t>SOMATOM Definition AS</t>
        </is>
      </c>
      <c r="J1551" t="inlineStr">
        <is>
          <t>Pre Contrast 3.0 B30f</t>
        </is>
      </c>
    </row>
    <row r="1552">
      <c r="A1552" s="2" t="n">
        <v>2225776</v>
      </c>
      <c r="B1552" s="2" t="n">
        <v>77</v>
      </c>
      <c r="C1552" s="2" t="inlineStr">
        <is>
          <t>F</t>
        </is>
      </c>
      <c r="D1552" s="2" t="n">
        <v>100</v>
      </c>
      <c r="E1552" s="4">
        <f>HYPERLINK("./Results/DLO\20200501_1.3.12.2.1107.5.1.4.65253.30000020050321050221200019392_2_512_512_\Osteo_Sarco_1.png","RPT")</f>
        <v/>
      </c>
      <c r="F1552" s="3" t="n">
        <v>96</v>
      </c>
      <c r="G1552" s="3" t="n">
        <v>20</v>
      </c>
      <c r="H1552" s="6" t="n">
        <v>26.91</v>
      </c>
      <c r="I1552" t="inlineStr">
        <is>
          <t>SOMATOM Definition AS</t>
        </is>
      </c>
      <c r="J1552" t="inlineStr">
        <is>
          <t>Pre Contrast 3.0 B30f</t>
        </is>
      </c>
    </row>
    <row r="1553">
      <c r="A1553" s="2" t="n">
        <v>9632668</v>
      </c>
      <c r="B1553" s="2" t="n">
        <v>77</v>
      </c>
      <c r="C1553" s="2" t="inlineStr">
        <is>
          <t>F</t>
        </is>
      </c>
      <c r="D1553" s="2" t="n">
        <v>100</v>
      </c>
      <c r="E1553" s="4">
        <f>HYPERLINK("./Results/DLO\20190401_1.2.840.113619.2.311.63143454428418316884155720374328808121_304_512_512_\Osteo_Sarco_1.png","RPT")</f>
        <v/>
      </c>
      <c r="F1553" s="3" t="n">
        <v>72</v>
      </c>
      <c r="G1553" s="3" t="n">
        <v>8</v>
      </c>
      <c r="H1553" s="6" t="n">
        <v>18.09</v>
      </c>
      <c r="I1553" t="inlineStr">
        <is>
          <t>Revolution CT</t>
        </is>
      </c>
      <c r="J1553" t="inlineStr">
        <is>
          <t>ABD 2.5mm</t>
        </is>
      </c>
    </row>
    <row r="1554">
      <c r="A1554" s="2" t="n">
        <v>6729585</v>
      </c>
      <c r="B1554" s="2" t="n">
        <v>77</v>
      </c>
      <c r="C1554" s="2" t="inlineStr">
        <is>
          <t>F</t>
        </is>
      </c>
      <c r="D1554" s="2" t="n">
        <v>100</v>
      </c>
      <c r="E1554" s="4">
        <f>HYPERLINK("./Results/DLO\20191101_1.3.12.2.1107.5.1.4.54310.30000019110422140768700034279_3_512_512_\Osteo_Sarco_1.png","RPT")</f>
        <v/>
      </c>
      <c r="F1554" s="3" t="n">
        <v>64</v>
      </c>
      <c r="G1554" s="3" t="n">
        <v>8</v>
      </c>
      <c r="H1554" s="6" t="n">
        <v>23.26</v>
      </c>
      <c r="I1554" t="inlineStr">
        <is>
          <t>Sensation 64</t>
        </is>
      </c>
      <c r="J1554" t="inlineStr">
        <is>
          <t>ABD Pre 3.0 B30f</t>
        </is>
      </c>
    </row>
    <row r="1555">
      <c r="A1555" s="2" t="n">
        <v>544600</v>
      </c>
      <c r="B1555" s="2" t="n">
        <v>77</v>
      </c>
      <c r="C1555" s="2" t="inlineStr">
        <is>
          <t>M</t>
        </is>
      </c>
      <c r="D1555" s="2" t="n">
        <v>100</v>
      </c>
      <c r="E1555" s="4">
        <f>HYPERLINK("./Results/DLO\20180801_1.3.12.2.1107.5.1.4.65253.30000018080918545438200055531_3_512_512_\Osteo_Sarco_1.png","RPT")</f>
        <v/>
      </c>
      <c r="F1555" s="3" t="n">
        <v>182</v>
      </c>
      <c r="G1555" s="3" t="n">
        <v>11</v>
      </c>
      <c r="H1555" s="7" t="n"/>
      <c r="I1555" t="inlineStr">
        <is>
          <t>SOMATOM Definition AS</t>
        </is>
      </c>
      <c r="J1555" t="inlineStr">
        <is>
          <t>Post Contrast 3.0 B30f</t>
        </is>
      </c>
    </row>
    <row r="1556">
      <c r="A1556" s="2" t="n">
        <v>5023116</v>
      </c>
      <c r="B1556" s="2" t="n">
        <v>77</v>
      </c>
      <c r="C1556" s="2" t="inlineStr">
        <is>
          <t>M</t>
        </is>
      </c>
      <c r="D1556" s="2" t="n">
        <v>100</v>
      </c>
      <c r="E1556" s="4">
        <f>HYPERLINK("./Results/DLO\20181201_1.3.12.2.1107.5.1.4.54310.30000018121023224425000040326_2_512_512_\Osteo_Sarco_1.png","RPT")</f>
        <v/>
      </c>
      <c r="F1556" s="3" t="n">
        <v>147</v>
      </c>
      <c r="G1556" s="3" t="n">
        <v>10</v>
      </c>
      <c r="H1556" s="7" t="n"/>
      <c r="I1556" t="inlineStr">
        <is>
          <t>Sensation 64</t>
        </is>
      </c>
      <c r="J1556" t="inlineStr">
        <is>
          <t>Pre Contrast 3.0 B30f</t>
        </is>
      </c>
    </row>
    <row r="1557">
      <c r="A1557" s="2" t="n">
        <v>9834040</v>
      </c>
      <c r="B1557" s="2" t="n">
        <v>77</v>
      </c>
      <c r="C1557" s="2" t="inlineStr">
        <is>
          <t>M</t>
        </is>
      </c>
      <c r="D1557" s="2" t="n">
        <v>100</v>
      </c>
      <c r="E1557" s="4">
        <f>HYPERLINK("./Results/DLO\20191101_1.3.12.2.1107.5.1.4.54310.30000019112521162262500000467_2_512_512_\Osteo_Sarco_1.png","RPT")</f>
        <v/>
      </c>
      <c r="F1557" s="3" t="n">
        <v>142</v>
      </c>
      <c r="G1557" s="3" t="n">
        <v>14</v>
      </c>
      <c r="H1557" s="7" t="n"/>
      <c r="I1557" t="inlineStr">
        <is>
          <t>Sensation 64</t>
        </is>
      </c>
      <c r="J1557" t="inlineStr">
        <is>
          <t>Pre Contrast 3.0 B30f</t>
        </is>
      </c>
    </row>
    <row r="1558">
      <c r="A1558" s="2" t="n">
        <v>8957884</v>
      </c>
      <c r="B1558" s="2" t="n">
        <v>77</v>
      </c>
      <c r="C1558" s="2" t="inlineStr">
        <is>
          <t>M</t>
        </is>
      </c>
      <c r="D1558" s="2" t="n">
        <v>100</v>
      </c>
      <c r="E1558" s="4">
        <f>HYPERLINK("./Results/DLO\20200601_1.3.12.2.1107.5.1.4.54310.30000020060421022881200045564_8_512_512_\Osteo_Sarco_1.png","RPT")</f>
        <v/>
      </c>
      <c r="F1558" s="3" t="n">
        <v>131</v>
      </c>
      <c r="G1558" s="3" t="n">
        <v>10</v>
      </c>
      <c r="H1558" s="6" t="n">
        <v>23.68</v>
      </c>
      <c r="I1558" t="inlineStr">
        <is>
          <t>Sensation 64</t>
        </is>
      </c>
      <c r="J1558" t="inlineStr">
        <is>
          <t>Portal ABD AXI 3mm B30f</t>
        </is>
      </c>
    </row>
    <row r="1559">
      <c r="A1559" s="2" t="n">
        <v>5890129</v>
      </c>
      <c r="B1559" s="2" t="n">
        <v>77</v>
      </c>
      <c r="C1559" s="2" t="inlineStr">
        <is>
          <t>F</t>
        </is>
      </c>
      <c r="D1559" s="2" t="n">
        <v>100</v>
      </c>
      <c r="E1559" s="4">
        <f>HYPERLINK("./Results/DLO\20190201_1.3.12.2.1107.5.1.4.54310.30000019020723361360900041925_2_512_512_\Osteo_Sarco_1.png","RPT")</f>
        <v/>
      </c>
      <c r="F1559" s="3" t="n">
        <v>130</v>
      </c>
      <c r="G1559" s="3" t="n">
        <v>16</v>
      </c>
      <c r="H1559" s="7" t="n"/>
      <c r="I1559" t="inlineStr">
        <is>
          <t>Sensation 64</t>
        </is>
      </c>
      <c r="J1559" t="inlineStr">
        <is>
          <t>Pre Contrast 3.0 B30f</t>
        </is>
      </c>
    </row>
    <row r="1560">
      <c r="A1560" s="2" t="n">
        <v>5924943</v>
      </c>
      <c r="B1560" s="2" t="n">
        <v>77</v>
      </c>
      <c r="C1560" s="2" t="inlineStr">
        <is>
          <t>M</t>
        </is>
      </c>
      <c r="D1560" s="2" t="n">
        <v>100</v>
      </c>
      <c r="E1560" s="4">
        <f>HYPERLINK("./Results/DLO\20181201_1.2.410.200069.80820110082.1130114.20250420110620024739_7413_512_512_\Osteo_Sarco_1.png","RPT")</f>
        <v/>
      </c>
      <c r="F1560" s="3" t="n">
        <v>126</v>
      </c>
      <c r="G1560" s="3" t="n">
        <v>17</v>
      </c>
      <c r="H1560" s="6" t="n">
        <v>24.3</v>
      </c>
      <c r="I1560" t="inlineStr">
        <is>
          <t>Sensation 64</t>
        </is>
      </c>
      <c r="J1560" t="inlineStr">
        <is>
          <t>N/A</t>
        </is>
      </c>
    </row>
    <row r="1561">
      <c r="A1561" s="2" t="n">
        <v>1362439</v>
      </c>
      <c r="B1561" s="2" t="n">
        <v>77</v>
      </c>
      <c r="C1561" s="2" t="inlineStr">
        <is>
          <t>M</t>
        </is>
      </c>
      <c r="D1561" s="2" t="n">
        <v>100</v>
      </c>
      <c r="E1561" s="4">
        <f>HYPERLINK("./Results/DLO\20180101_1.2.840.113619.2.94.485650834948.2.8578359.18491102.1_2_512_512_\Osteo_Sarco_1.png","RPT")</f>
        <v/>
      </c>
      <c r="F1561" s="3" t="n">
        <v>124</v>
      </c>
      <c r="G1561" s="3" t="n">
        <v>7</v>
      </c>
      <c r="H1561" s="6" t="n">
        <v>22.41</v>
      </c>
      <c r="I1561" t="inlineStr">
        <is>
          <t>Revolution CT</t>
        </is>
      </c>
      <c r="J1561" t="inlineStr">
        <is>
          <t>ABD</t>
        </is>
      </c>
    </row>
    <row r="1562">
      <c r="A1562" s="2" t="n">
        <v>9006753</v>
      </c>
      <c r="B1562" s="2" t="n">
        <v>77</v>
      </c>
      <c r="C1562" s="2" t="inlineStr">
        <is>
          <t>M</t>
        </is>
      </c>
      <c r="D1562" s="2" t="n">
        <v>100</v>
      </c>
      <c r="E1562" s="4">
        <f>HYPERLINK("./Results/DLO\20180101_1.2.840.113619.2.94.485650834948.2.8579014.18492188.1_2_512_512_\Osteo_Sarco_1.png","RPT")</f>
        <v/>
      </c>
      <c r="F1562" s="3" t="n">
        <v>120</v>
      </c>
      <c r="G1562" s="3" t="n">
        <v>6</v>
      </c>
      <c r="H1562" s="7" t="n"/>
      <c r="I1562" t="inlineStr">
        <is>
          <t>SOMATOM Definition AS</t>
        </is>
      </c>
      <c r="J1562" t="inlineStr">
        <is>
          <t>With Contrast 3.0 B40f</t>
        </is>
      </c>
    </row>
    <row r="1563">
      <c r="A1563" s="2" t="n">
        <v>2735840</v>
      </c>
      <c r="B1563" s="2" t="n">
        <v>77</v>
      </c>
      <c r="C1563" s="2" t="inlineStr">
        <is>
          <t>M</t>
        </is>
      </c>
      <c r="D1563" s="2" t="n">
        <v>100</v>
      </c>
      <c r="E1563" s="4">
        <f>HYPERLINK("./Results/DLO\20190501_1.3.12.2.1107.5.1.4.54310.30000019052021130364000027778_2_512_512_\Osteo_Sarco_1.png","RPT")</f>
        <v/>
      </c>
      <c r="F1563" s="3" t="n">
        <v>120</v>
      </c>
      <c r="G1563" s="3" t="n">
        <v>14</v>
      </c>
      <c r="H1563" s="7" t="n"/>
      <c r="I1563" t="inlineStr">
        <is>
          <t>Sensation 64</t>
        </is>
      </c>
      <c r="J1563" t="inlineStr">
        <is>
          <t>ABD Pre 3.0 B30f</t>
        </is>
      </c>
    </row>
    <row r="1564">
      <c r="A1564" s="2" t="n">
        <v>8669156</v>
      </c>
      <c r="B1564" s="2" t="n">
        <v>77</v>
      </c>
      <c r="C1564" s="2" t="inlineStr">
        <is>
          <t>F</t>
        </is>
      </c>
      <c r="D1564" s="2" t="n">
        <v>100</v>
      </c>
      <c r="E1564" s="4">
        <f>HYPERLINK("./Results/DLO\20181201_1.3.12.2.1107.5.1.4.65253.30000018123019150732100021930_2_512_512_\Osteo_Sarco_1.png","RPT")</f>
        <v/>
      </c>
      <c r="F1564" s="3" t="n">
        <v>116</v>
      </c>
      <c r="G1564" s="3" t="n">
        <v>14</v>
      </c>
      <c r="H1564" s="6" t="n">
        <v>24.24</v>
      </c>
      <c r="I1564" t="inlineStr">
        <is>
          <t>SOMATOM Definition AS</t>
        </is>
      </c>
      <c r="J1564" t="inlineStr">
        <is>
          <t>Pre Contrast 3.0 B30f</t>
        </is>
      </c>
    </row>
    <row r="1565">
      <c r="A1565" s="2" t="n">
        <v>8815945</v>
      </c>
      <c r="B1565" s="2" t="n">
        <v>77</v>
      </c>
      <c r="C1565" s="2" t="inlineStr">
        <is>
          <t>F</t>
        </is>
      </c>
      <c r="D1565" s="2" t="n">
        <v>100</v>
      </c>
      <c r="E1565" s="4">
        <f>HYPERLINK("./Results/DLO\20181201_1.3.12.2.1107.5.1.4.54310.30000018122723303034300037345_2_512_512_\Osteo_Sarco_1.png","RPT")</f>
        <v/>
      </c>
      <c r="F1565" s="3" t="n">
        <v>113</v>
      </c>
      <c r="G1565" s="3" t="n">
        <v>11</v>
      </c>
      <c r="H1565" s="6" t="n">
        <v>25.39</v>
      </c>
      <c r="I1565" t="inlineStr">
        <is>
          <t>Sensation 64</t>
        </is>
      </c>
      <c r="J1565" t="inlineStr">
        <is>
          <t>Pre Contrast 3.0 B30f</t>
        </is>
      </c>
    </row>
    <row r="1566">
      <c r="A1566" s="2" t="n">
        <v>3849175</v>
      </c>
      <c r="B1566" s="2" t="n">
        <v>77</v>
      </c>
      <c r="C1566" s="2" t="inlineStr">
        <is>
          <t>M</t>
        </is>
      </c>
      <c r="D1566" s="2" t="n">
        <v>100</v>
      </c>
      <c r="E1566" s="4">
        <f>HYPERLINK("./Results/DLO\20191001_1.3.12.2.1107.5.1.4.65253.30000019101617195865400031186_2_512_512_\Osteo_Sarco_1.png","RPT")</f>
        <v/>
      </c>
      <c r="F1566" s="3" t="n">
        <v>106</v>
      </c>
      <c r="G1566" s="3" t="n">
        <v>7</v>
      </c>
      <c r="H1566" s="7" t="n"/>
      <c r="I1566" t="inlineStr">
        <is>
          <t>SOMATOM Definition AS</t>
        </is>
      </c>
      <c r="J1566" t="inlineStr">
        <is>
          <t>Pre Contrast 3.0 B30f</t>
        </is>
      </c>
    </row>
    <row r="1567">
      <c r="A1567" s="2" t="n">
        <v>3182202</v>
      </c>
      <c r="B1567" s="2" t="n">
        <v>77</v>
      </c>
      <c r="C1567" s="2" t="inlineStr">
        <is>
          <t>M</t>
        </is>
      </c>
      <c r="D1567" s="2" t="n">
        <v>100</v>
      </c>
      <c r="E1567" s="4">
        <f>HYPERLINK("./Results/DLO\20180101_1.3.12.2.1107.5.1.4.65253.30000018010820054430700019140_2_512_512_\Osteo_Sarco_1.png","RPT")</f>
        <v/>
      </c>
      <c r="F1567" s="3" t="n">
        <v>103</v>
      </c>
      <c r="G1567" s="3" t="n">
        <v>11</v>
      </c>
      <c r="H1567" s="7" t="n"/>
      <c r="I1567" t="inlineStr">
        <is>
          <t>SOMATOM Definition AS</t>
        </is>
      </c>
      <c r="J1567" t="inlineStr">
        <is>
          <t>Pre 3.0 I40f</t>
        </is>
      </c>
    </row>
    <row r="1568">
      <c r="A1568" s="2" t="n">
        <v>5558875</v>
      </c>
      <c r="B1568" s="2" t="n">
        <v>77</v>
      </c>
      <c r="C1568" s="2" t="inlineStr">
        <is>
          <t>F</t>
        </is>
      </c>
      <c r="D1568" s="2" t="n">
        <v>100</v>
      </c>
      <c r="E1568" s="4">
        <f>HYPERLINK("./Results/DLO\20180701_1.2.840.113619.2.311.155849126115524109894745708726937873298_304_512_512_\Osteo_Sarco_1.png","RPT")</f>
        <v/>
      </c>
      <c r="F1568" s="3" t="n">
        <v>103</v>
      </c>
      <c r="G1568" s="3" t="n">
        <v>19</v>
      </c>
      <c r="H1568" s="6" t="n">
        <v>25.29</v>
      </c>
      <c r="I1568" t="inlineStr">
        <is>
          <t>Revolution CT</t>
        </is>
      </c>
      <c r="J1568" t="inlineStr">
        <is>
          <t>ABD 2.5mm</t>
        </is>
      </c>
    </row>
    <row r="1569">
      <c r="A1569" s="2" t="n">
        <v>1892401</v>
      </c>
      <c r="B1569" s="2" t="n">
        <v>77</v>
      </c>
      <c r="C1569" s="2" t="inlineStr">
        <is>
          <t>M</t>
        </is>
      </c>
      <c r="D1569" s="2" t="n">
        <v>100</v>
      </c>
      <c r="E1569" s="4">
        <f>HYPERLINK("./Results/DLO\20191001_1.3.12.2.1107.5.1.4.54310.30000019100922061823400012333_4_512_512_\Osteo_Sarco_1.png","RPT")</f>
        <v/>
      </c>
      <c r="F1569" s="3" t="n">
        <v>101</v>
      </c>
      <c r="G1569" s="3" t="n">
        <v>7</v>
      </c>
      <c r="H1569" s="7" t="n"/>
      <c r="I1569" t="inlineStr">
        <is>
          <t>Sensation 64</t>
        </is>
      </c>
      <c r="J1569" t="inlineStr">
        <is>
          <t>Pre Contrast 3.0 B30f</t>
        </is>
      </c>
    </row>
    <row r="1570">
      <c r="A1570" s="2" t="n">
        <v>3300673</v>
      </c>
      <c r="B1570" s="2" t="n">
        <v>78</v>
      </c>
      <c r="C1570" s="2" t="inlineStr">
        <is>
          <t>F</t>
        </is>
      </c>
      <c r="D1570" s="2" t="n">
        <v>100</v>
      </c>
      <c r="E1570" s="4">
        <f>HYPERLINK("./Results/DLO\20181001_1.2.840.113619.2.94.485650834948.2.9171315.19945075.1_2_512_512_\Osteo_Sarco_1.png","RPT")</f>
        <v/>
      </c>
      <c r="F1570" s="3" t="n">
        <v>98</v>
      </c>
      <c r="G1570" s="3" t="n">
        <v>11</v>
      </c>
      <c r="H1570" s="7" t="n"/>
      <c r="I1570" t="inlineStr">
        <is>
          <t>Sensation 64</t>
        </is>
      </c>
      <c r="J1570" t="inlineStr">
        <is>
          <t>With Contrast 3.0 B30f</t>
        </is>
      </c>
    </row>
    <row r="1571">
      <c r="A1571" s="2" t="n">
        <v>5169511</v>
      </c>
      <c r="B1571" s="2" t="n">
        <v>78</v>
      </c>
      <c r="C1571" s="2" t="inlineStr">
        <is>
          <t>M</t>
        </is>
      </c>
      <c r="D1571" s="2" t="n">
        <v>100</v>
      </c>
      <c r="E1571" s="4">
        <f>HYPERLINK("./Results/DLO\20180601_1.3.12.2.1107.5.1.4.65253.30000018060620205455600061679_3_512_512_\Osteo_Sarco_1.png","RPT")</f>
        <v/>
      </c>
      <c r="F1571" s="3" t="n">
        <v>93</v>
      </c>
      <c r="G1571" s="3" t="n">
        <v>6</v>
      </c>
      <c r="H1571" s="6" t="n">
        <v>15.22</v>
      </c>
      <c r="I1571" t="inlineStr">
        <is>
          <t>SOMATOM Definition AS</t>
        </is>
      </c>
      <c r="J1571" t="inlineStr">
        <is>
          <t>Post Contrast 3.0 B30f</t>
        </is>
      </c>
    </row>
    <row r="1572">
      <c r="A1572" s="2" t="n">
        <v>1838092</v>
      </c>
      <c r="B1572" s="2" t="n">
        <v>78</v>
      </c>
      <c r="C1572" s="2" t="inlineStr">
        <is>
          <t>F</t>
        </is>
      </c>
      <c r="D1572" s="2" t="n">
        <v>100</v>
      </c>
      <c r="E1572" s="4">
        <f>HYPERLINK("./Results/DLO\20180501_1.3.12.2.1107.5.1.4.54310.30000018052023084193700009869_2_512_512_\Osteo_Sarco_1.png","RPT")</f>
        <v/>
      </c>
      <c r="F1572" s="3" t="n">
        <v>90</v>
      </c>
      <c r="G1572" s="3" t="n">
        <v>12</v>
      </c>
      <c r="H1572" s="7" t="n"/>
      <c r="I1572" t="inlineStr">
        <is>
          <t>Sensation 64</t>
        </is>
      </c>
      <c r="J1572" t="inlineStr">
        <is>
          <t>With Contrast 3.0 B30f</t>
        </is>
      </c>
    </row>
    <row r="1573">
      <c r="A1573" s="2" t="n">
        <v>5333239</v>
      </c>
      <c r="B1573" s="2" t="n">
        <v>78</v>
      </c>
      <c r="C1573" s="2" t="inlineStr">
        <is>
          <t>F</t>
        </is>
      </c>
      <c r="D1573" s="2" t="n">
        <v>100</v>
      </c>
      <c r="E1573" s="4">
        <f>HYPERLINK("./Results/DLO\20190901_1.3.12.2.1107.5.1.4.65253.30000019092317151984300068234_2_512_512_\Osteo_Sarco_1.png","RPT")</f>
        <v/>
      </c>
      <c r="F1573" s="3" t="n">
        <v>83</v>
      </c>
      <c r="G1573" s="3" t="n">
        <v>13</v>
      </c>
      <c r="H1573" s="7" t="n"/>
      <c r="I1573" t="inlineStr">
        <is>
          <t>SOMATOM Definition AS</t>
        </is>
      </c>
      <c r="J1573" t="inlineStr">
        <is>
          <t>Pre Contrast 3.0 B30f</t>
        </is>
      </c>
    </row>
    <row r="1574">
      <c r="A1574" s="2" t="n">
        <v>5801315</v>
      </c>
      <c r="B1574" s="2" t="n">
        <v>78</v>
      </c>
      <c r="C1574" s="2" t="inlineStr">
        <is>
          <t>F</t>
        </is>
      </c>
      <c r="D1574" s="2" t="n">
        <v>100</v>
      </c>
      <c r="E1574" s="4">
        <f>HYPERLINK("./Results/DLO\20200601_1.3.12.2.1107.5.1.4.65253.30000020062019122712500080876_2_512_512_\Osteo_Sarco_1.png","RPT")</f>
        <v/>
      </c>
      <c r="F1574" s="3" t="n">
        <v>77</v>
      </c>
      <c r="G1574" s="3" t="n">
        <v>13</v>
      </c>
      <c r="H1574" s="6" t="n">
        <v>20.4</v>
      </c>
      <c r="I1574" t="inlineStr">
        <is>
          <t>SOMATOM Definition AS</t>
        </is>
      </c>
      <c r="J1574" t="inlineStr">
        <is>
          <t>ABD Pre 3.0 B30f</t>
        </is>
      </c>
    </row>
    <row r="1575">
      <c r="A1575" s="2" t="n">
        <v>1435212</v>
      </c>
      <c r="B1575" s="2" t="n">
        <v>78</v>
      </c>
      <c r="C1575" s="2" t="inlineStr">
        <is>
          <t>M</t>
        </is>
      </c>
      <c r="D1575" s="2" t="n">
        <v>100</v>
      </c>
      <c r="E1575" s="4">
        <f>HYPERLINK("./Results/DLO\20191001_1.3.12.2.1107.5.1.4.65253.30000019100321095746700033600_2_512_512_\Osteo_Sarco_1.png","RPT")</f>
        <v/>
      </c>
      <c r="F1575" s="3" t="n">
        <v>152</v>
      </c>
      <c r="G1575" s="3" t="n">
        <v>18</v>
      </c>
      <c r="H1575" s="7" t="n"/>
      <c r="I1575" t="inlineStr">
        <is>
          <t>SOMATOM Definition AS</t>
        </is>
      </c>
      <c r="J1575" t="inlineStr">
        <is>
          <t>W/O</t>
        </is>
      </c>
    </row>
    <row r="1576">
      <c r="A1576" s="2" t="n">
        <v>9927741</v>
      </c>
      <c r="B1576" s="2" t="n">
        <v>78</v>
      </c>
      <c r="C1576" s="2" t="inlineStr">
        <is>
          <t>M</t>
        </is>
      </c>
      <c r="D1576" s="2" t="n">
        <v>100</v>
      </c>
      <c r="E1576" s="4">
        <f>HYPERLINK("./Results/DLO\20200201_1.3.12.2.1107.5.1.4.54310.30000020022521280475000025628_7_512_512_\Osteo_Sarco_1.png","RPT")</f>
        <v/>
      </c>
      <c r="F1576" s="3" t="n">
        <v>152</v>
      </c>
      <c r="G1576" s="3" t="n">
        <v>12</v>
      </c>
      <c r="H1576" s="6" t="n">
        <v>29.35</v>
      </c>
      <c r="I1576" t="inlineStr">
        <is>
          <t>Sensation 64</t>
        </is>
      </c>
      <c r="J1576" t="inlineStr">
        <is>
          <t>ABD 3mm B30f</t>
        </is>
      </c>
    </row>
    <row r="1577">
      <c r="A1577" s="2" t="n">
        <v>2385350</v>
      </c>
      <c r="B1577" s="2" t="n">
        <v>78</v>
      </c>
      <c r="C1577" s="2" t="inlineStr">
        <is>
          <t>M</t>
        </is>
      </c>
      <c r="D1577" s="2" t="n">
        <v>100</v>
      </c>
      <c r="E1577" s="4">
        <f>HYPERLINK("./Results/DLO\20190201_1.3.12.2.1107.5.1.4.54310.30000019022523304521800006387_2_512_512_\Osteo_Sarco_1.png","RPT")</f>
        <v/>
      </c>
      <c r="F1577" s="3" t="n">
        <v>147</v>
      </c>
      <c r="G1577" s="3" t="n">
        <v>9</v>
      </c>
      <c r="H1577" s="7" t="n"/>
      <c r="I1577" t="inlineStr">
        <is>
          <t>Sensation 64</t>
        </is>
      </c>
      <c r="J1577" t="inlineStr">
        <is>
          <t>With Contrast 3.0 B30f</t>
        </is>
      </c>
    </row>
    <row r="1578">
      <c r="A1578" s="2" t="n">
        <v>5022756</v>
      </c>
      <c r="B1578" s="2" t="n">
        <v>78</v>
      </c>
      <c r="C1578" s="2" t="inlineStr">
        <is>
          <t>M</t>
        </is>
      </c>
      <c r="D1578" s="2" t="n">
        <v>100</v>
      </c>
      <c r="E1578" s="4">
        <f>HYPERLINK("./Results/DLO\20180901_1.3.12.2.1107.5.1.4.54310.30000018090323110353100005471_2_512_512_\Osteo_Sarco_1.png","RPT")</f>
        <v/>
      </c>
      <c r="F1578" s="3" t="n">
        <v>142</v>
      </c>
      <c r="G1578" s="3" t="n">
        <v>18</v>
      </c>
      <c r="H1578" s="6" t="n">
        <v>23.21</v>
      </c>
      <c r="I1578" t="inlineStr">
        <is>
          <t>Sensation 64</t>
        </is>
      </c>
      <c r="J1578" t="inlineStr">
        <is>
          <t>With Contrast 3.0 B30f</t>
        </is>
      </c>
    </row>
    <row r="1579">
      <c r="A1579" s="2" t="n">
        <v>6125440</v>
      </c>
      <c r="B1579" s="2" t="n">
        <v>78</v>
      </c>
      <c r="C1579" s="2" t="inlineStr">
        <is>
          <t>M</t>
        </is>
      </c>
      <c r="D1579" s="2" t="n">
        <v>100</v>
      </c>
      <c r="E1579" s="4">
        <f>HYPERLINK("./Results/DLO\20190301_1.3.12.2.1107.5.1.4.54310.30000019031223312378100027373_3_512_512_\Osteo_Sarco_1.png","RPT")</f>
        <v/>
      </c>
      <c r="F1579" s="3" t="n">
        <v>136</v>
      </c>
      <c r="G1579" s="3" t="n">
        <v>11</v>
      </c>
      <c r="H1579" s="7" t="n"/>
      <c r="I1579" t="inlineStr">
        <is>
          <t>Sensation 64</t>
        </is>
      </c>
      <c r="J1579" t="inlineStr">
        <is>
          <t>Pre Contrast 3.0 B30f</t>
        </is>
      </c>
    </row>
    <row r="1580">
      <c r="A1580" s="2" t="n">
        <v>8936131</v>
      </c>
      <c r="B1580" s="2" t="n">
        <v>78</v>
      </c>
      <c r="C1580" s="2" t="inlineStr">
        <is>
          <t>M</t>
        </is>
      </c>
      <c r="D1580" s="2" t="n">
        <v>100</v>
      </c>
      <c r="E1580" s="4">
        <f>HYPERLINK("./Results/DLO\20180601_1.2.840.113619.2.94.485650834948.2.8914471.19315072.1_2_512_512_\Osteo_Sarco_1.png","RPT")</f>
        <v/>
      </c>
      <c r="F1580" s="3" t="n">
        <v>122</v>
      </c>
      <c r="G1580" s="3" t="n">
        <v>7</v>
      </c>
      <c r="H1580" s="6" t="n">
        <v>22.91</v>
      </c>
      <c r="I1580" t="inlineStr">
        <is>
          <t>Sensation 64</t>
        </is>
      </c>
      <c r="J1580" t="inlineStr">
        <is>
          <t>W/O Contrast 3.0 B30f</t>
        </is>
      </c>
    </row>
    <row r="1581">
      <c r="A1581" s="2" t="n">
        <v>8809988</v>
      </c>
      <c r="B1581" s="2" t="n">
        <v>78</v>
      </c>
      <c r="C1581" s="2" t="inlineStr">
        <is>
          <t>M</t>
        </is>
      </c>
      <c r="D1581" s="2" t="n">
        <v>100</v>
      </c>
      <c r="E1581" s="4">
        <f>HYPERLINK("./Results/DLO\20200401_1.2.840.113619.2.416.54791458026438959721957419352356827461_303_512_512_\Osteo_Sarco_1.png","RPT")</f>
        <v/>
      </c>
      <c r="F1581" s="3" t="n">
        <v>113</v>
      </c>
      <c r="G1581" s="3" t="n">
        <v>13</v>
      </c>
      <c r="H1581" s="7" t="n"/>
      <c r="I1581" t="inlineStr">
        <is>
          <t>Revolution CT</t>
        </is>
      </c>
      <c r="J1581" t="inlineStr">
        <is>
          <t>ABD</t>
        </is>
      </c>
    </row>
    <row r="1582">
      <c r="A1582" s="2" t="n">
        <v>9672180</v>
      </c>
      <c r="B1582" s="2" t="n">
        <v>78</v>
      </c>
      <c r="C1582" s="2" t="inlineStr">
        <is>
          <t>M</t>
        </is>
      </c>
      <c r="D1582" s="2" t="n">
        <v>100</v>
      </c>
      <c r="E1582" s="4">
        <f>HYPERLINK("./Results/DLO\20190601_1.3.12.2.1107.5.1.4.65253.30000019060908254536000004684_4_512_512_\Osteo_Sarco_1.png","RPT")</f>
        <v/>
      </c>
      <c r="F1582" s="3" t="n">
        <v>112</v>
      </c>
      <c r="G1582" s="3" t="n">
        <v>6</v>
      </c>
      <c r="H1582" s="7" t="n"/>
      <c r="I1582" t="inlineStr">
        <is>
          <t>SOMATOM Definition AS</t>
        </is>
      </c>
      <c r="J1582" t="inlineStr">
        <is>
          <t>Arterial Phase 3.0 B30f</t>
        </is>
      </c>
    </row>
    <row r="1583">
      <c r="A1583" s="2" t="n">
        <v>5028171</v>
      </c>
      <c r="B1583" s="2" t="n">
        <v>78</v>
      </c>
      <c r="C1583" s="2" t="inlineStr">
        <is>
          <t>F</t>
        </is>
      </c>
      <c r="D1583" s="2" t="n">
        <v>100</v>
      </c>
      <c r="E1583" s="4">
        <f>HYPERLINK("./Results/DLO\20190101_1.3.12.2.1107.5.1.4.65253.30000019012022133518900001455_2_512_512_\Osteo_Sarco_1.png","RPT")</f>
        <v/>
      </c>
      <c r="F1583" s="3" t="n">
        <v>106</v>
      </c>
      <c r="G1583" s="3" t="n">
        <v>12</v>
      </c>
      <c r="H1583" s="7" t="n"/>
      <c r="I1583" t="inlineStr">
        <is>
          <t>SOMATOM Definition AS</t>
        </is>
      </c>
      <c r="J1583" t="inlineStr">
        <is>
          <t>With Contrast 3.0 B30f</t>
        </is>
      </c>
    </row>
    <row r="1584">
      <c r="A1584" s="2" t="n">
        <v>2251638</v>
      </c>
      <c r="B1584" s="2" t="n">
        <v>78</v>
      </c>
      <c r="C1584" s="2" t="inlineStr">
        <is>
          <t>F</t>
        </is>
      </c>
      <c r="D1584" s="2" t="n">
        <v>100</v>
      </c>
      <c r="E1584" s="4">
        <f>HYPERLINK("./Results/DLO\20181201_1.2.840.113619.2.311.289367545112157463008900325805862007256_2_512_512_\Osteo_Sarco_1.png","RPT")</f>
        <v/>
      </c>
      <c r="F1584" s="3" t="n">
        <v>104</v>
      </c>
      <c r="G1584" s="3" t="n">
        <v>10</v>
      </c>
      <c r="H1584" s="7" t="n"/>
      <c r="I1584" t="inlineStr">
        <is>
          <t>Revolution CT</t>
        </is>
      </c>
      <c r="J1584" t="inlineStr">
        <is>
          <t>Pre</t>
        </is>
      </c>
    </row>
    <row r="1585">
      <c r="A1585" s="2" t="n">
        <v>5674632</v>
      </c>
      <c r="B1585" s="2" t="n">
        <v>78</v>
      </c>
      <c r="C1585" s="2" t="inlineStr">
        <is>
          <t>M</t>
        </is>
      </c>
      <c r="D1585" s="2" t="n">
        <v>100</v>
      </c>
      <c r="E1585" s="4">
        <f>HYPERLINK("./Results/DLO\20190901_1.3.12.2.1107.5.1.4.65253.30000019092020275833200034325_2_512_512_\Osteo_Sarco_1.png","RPT")</f>
        <v/>
      </c>
      <c r="F1585" s="3" t="n">
        <v>103</v>
      </c>
      <c r="G1585" s="3" t="n">
        <v>8</v>
      </c>
      <c r="H1585" s="6" t="n">
        <v>18.34</v>
      </c>
      <c r="I1585" t="inlineStr">
        <is>
          <t>SOMATOM Definition AS</t>
        </is>
      </c>
      <c r="J1585" t="inlineStr">
        <is>
          <t>Pre Contrast 3.0 B30f</t>
        </is>
      </c>
    </row>
    <row r="1586">
      <c r="A1586" s="2" t="n">
        <v>8456082</v>
      </c>
      <c r="B1586" s="2" t="n">
        <v>78</v>
      </c>
      <c r="C1586" s="2" t="inlineStr">
        <is>
          <t>M</t>
        </is>
      </c>
      <c r="D1586" s="2" t="n">
        <v>100</v>
      </c>
      <c r="E1586" s="4">
        <f>HYPERLINK("./Results/DLO\20190701_1.2.840.113619.2.416.244164162427698135645360262251438511761_310_512_512_\Osteo_Sarco_1.png","RPT")</f>
        <v/>
      </c>
      <c r="F1586" s="3" t="n">
        <v>102</v>
      </c>
      <c r="G1586" s="3" t="n">
        <v>13</v>
      </c>
      <c r="H1586" s="6" t="n">
        <v>20.75</v>
      </c>
      <c r="I1586" t="inlineStr">
        <is>
          <t>Revolution CT</t>
        </is>
      </c>
      <c r="J1586" t="inlineStr">
        <is>
          <t>ABD</t>
        </is>
      </c>
    </row>
    <row r="1587">
      <c r="A1587" s="2" t="n">
        <v>3970497</v>
      </c>
      <c r="B1587" s="2" t="n">
        <v>78</v>
      </c>
      <c r="C1587" s="2" t="inlineStr">
        <is>
          <t>F</t>
        </is>
      </c>
      <c r="D1587" s="2" t="n">
        <v>100</v>
      </c>
      <c r="E1587" s="4">
        <f>HYPERLINK("./Results/DLO\20180601_1.3.12.2.1107.5.1.4.65253.30000018060720115985100049033_3_512_512_\Osteo_Sarco_1.png","RPT")</f>
        <v/>
      </c>
      <c r="F1587" s="3" t="n">
        <v>101</v>
      </c>
      <c r="G1587" s="3" t="n">
        <v>32</v>
      </c>
      <c r="H1587" s="6" t="n">
        <v>32.19</v>
      </c>
      <c r="I1587" t="inlineStr">
        <is>
          <t>SOMATOM Definition AS</t>
        </is>
      </c>
      <c r="J1587" t="inlineStr">
        <is>
          <t>Post Contrast 3.0 B30f</t>
        </is>
      </c>
    </row>
    <row r="1588">
      <c r="A1588" s="2" t="n">
        <v>8259949</v>
      </c>
      <c r="B1588" s="2" t="n">
        <v>79</v>
      </c>
      <c r="C1588" s="2" t="inlineStr">
        <is>
          <t>F</t>
        </is>
      </c>
      <c r="D1588" s="2" t="n">
        <v>100</v>
      </c>
      <c r="E1588" s="4">
        <f>HYPERLINK("./Results/DLO\20180301_1.2.840.113619.2.416.220401143569796751845715289004034815014_2_512_512_\Osteo_Sarco_1.png","RPT")</f>
        <v/>
      </c>
      <c r="F1588" s="3" t="n">
        <v>87</v>
      </c>
      <c r="G1588" s="3" t="n">
        <v>10</v>
      </c>
      <c r="H1588" s="6" t="n">
        <v>20.27</v>
      </c>
      <c r="I1588" t="inlineStr">
        <is>
          <t>Revolution CT</t>
        </is>
      </c>
      <c r="J1588" t="inlineStr">
        <is>
          <t>Pre</t>
        </is>
      </c>
    </row>
    <row r="1589">
      <c r="A1589" s="2" t="n">
        <v>744167</v>
      </c>
      <c r="B1589" s="2" t="n">
        <v>79</v>
      </c>
      <c r="C1589" s="2" t="inlineStr">
        <is>
          <t>M</t>
        </is>
      </c>
      <c r="D1589" s="2" t="n">
        <v>100</v>
      </c>
      <c r="E1589" s="4">
        <f>HYPERLINK("./Results/DLO\20191201_1.3.12.2.1107.5.1.4.65253.30000019121021080330100034162_2_512_512_\Osteo_Sarco_1.png","RPT")</f>
        <v/>
      </c>
      <c r="F1589" s="3" t="n">
        <v>76</v>
      </c>
      <c r="G1589" s="3" t="n">
        <v>2</v>
      </c>
      <c r="H1589" s="6" t="n">
        <v>13.93</v>
      </c>
      <c r="I1589" t="inlineStr">
        <is>
          <t>SOMATOM Definition AS</t>
        </is>
      </c>
      <c r="J1589" t="inlineStr">
        <is>
          <t>ABD Contrast 3.0 B30f</t>
        </is>
      </c>
    </row>
    <row r="1590">
      <c r="A1590" s="2" t="n">
        <v>3523153</v>
      </c>
      <c r="B1590" s="2" t="n">
        <v>79</v>
      </c>
      <c r="C1590" s="2" t="inlineStr">
        <is>
          <t>F</t>
        </is>
      </c>
      <c r="D1590" s="2" t="n">
        <v>100</v>
      </c>
      <c r="E1590" s="4">
        <f>HYPERLINK("./Results/DLO\20200401_1.3.12.2.1107.5.1.4.54310.30000020042022091262500016248_2_512_512_\Osteo_Sarco_1.png","RPT")</f>
        <v/>
      </c>
      <c r="F1590" s="3" t="n">
        <v>72</v>
      </c>
      <c r="G1590" s="3" t="n">
        <v>8</v>
      </c>
      <c r="H1590" s="6" t="n">
        <v>19.6</v>
      </c>
      <c r="I1590" t="inlineStr">
        <is>
          <t>Sensation 64</t>
        </is>
      </c>
      <c r="J1590" t="inlineStr">
        <is>
          <t>With Contrast 3.0 B30f</t>
        </is>
      </c>
    </row>
    <row r="1591">
      <c r="A1591" s="2" t="n">
        <v>5441878</v>
      </c>
      <c r="B1591" s="2" t="n">
        <v>79</v>
      </c>
      <c r="C1591" s="2" t="inlineStr">
        <is>
          <t>M</t>
        </is>
      </c>
      <c r="D1591" s="2" t="n">
        <v>100</v>
      </c>
      <c r="E1591" s="4">
        <f>HYPERLINK("./Results/DLO\20190401_1.2.840.113619.2.311.286937726817803787484213265112037145672_2_512_512_\Osteo_Sarco_1.png","RPT")</f>
        <v/>
      </c>
      <c r="F1591" s="3" t="n">
        <v>157</v>
      </c>
      <c r="G1591" s="3" t="n">
        <v>17</v>
      </c>
      <c r="H1591" s="6" t="n">
        <v>27.68</v>
      </c>
      <c r="I1591" t="inlineStr">
        <is>
          <t>Revolution CT</t>
        </is>
      </c>
      <c r="J1591" t="inlineStr">
        <is>
          <t>Pre</t>
        </is>
      </c>
    </row>
    <row r="1592">
      <c r="A1592" s="2" t="n">
        <v>4070955</v>
      </c>
      <c r="B1592" s="2" t="n">
        <v>79</v>
      </c>
      <c r="C1592" s="2" t="inlineStr">
        <is>
          <t>M</t>
        </is>
      </c>
      <c r="D1592" s="2" t="n">
        <v>100</v>
      </c>
      <c r="E1592" s="4">
        <f>HYPERLINK("./Results/DLO\20181001_1.3.12.2.1107.5.1.4.65253.30000018103018572732600063522_2_512_512_\Osteo_Sarco_1.png","RPT")</f>
        <v/>
      </c>
      <c r="F1592" s="3" t="n">
        <v>140</v>
      </c>
      <c r="G1592" s="3" t="n">
        <v>7</v>
      </c>
      <c r="H1592" s="7" t="n"/>
      <c r="I1592" t="inlineStr">
        <is>
          <t>SOMATOM Definition AS</t>
        </is>
      </c>
      <c r="J1592" t="inlineStr">
        <is>
          <t>Pre Contrast 3.0 B30f</t>
        </is>
      </c>
    </row>
    <row r="1593">
      <c r="A1593" s="2" t="n">
        <v>9673004</v>
      </c>
      <c r="B1593" s="2" t="n">
        <v>79</v>
      </c>
      <c r="C1593" s="2" t="inlineStr">
        <is>
          <t>M</t>
        </is>
      </c>
      <c r="D1593" s="2" t="n">
        <v>100</v>
      </c>
      <c r="E1593" s="4">
        <f>HYPERLINK("./Results/DLO\20180901_1.2.840.113619.2.311.134282668679294739687551101612628638016_303_512_512_\Osteo_Sarco_1.png","RPT")</f>
        <v/>
      </c>
      <c r="F1593" s="3" t="n">
        <v>130</v>
      </c>
      <c r="G1593" s="3" t="n">
        <v>22</v>
      </c>
      <c r="H1593" s="6" t="n">
        <v>21.58</v>
      </c>
      <c r="I1593" t="inlineStr">
        <is>
          <t>Revolution CT</t>
        </is>
      </c>
      <c r="J1593" t="inlineStr">
        <is>
          <t>ABD 2.5mm</t>
        </is>
      </c>
    </row>
    <row r="1594">
      <c r="A1594" s="2" t="n">
        <v>1689397</v>
      </c>
      <c r="B1594" s="2" t="n">
        <v>79</v>
      </c>
      <c r="C1594" s="2" t="inlineStr">
        <is>
          <t>F</t>
        </is>
      </c>
      <c r="D1594" s="2" t="n">
        <v>100</v>
      </c>
      <c r="E1594" s="4">
        <f>HYPERLINK("./Results/DLO\20200101_1.2.410.100011.172.16.64.21.6371960568501637121.2_2_512_512_\Osteo_Sarco_1.png","RPT")</f>
        <v/>
      </c>
      <c r="F1594" s="3" t="n">
        <v>127</v>
      </c>
      <c r="G1594" s="3" t="n">
        <v>37</v>
      </c>
      <c r="H1594" s="6" t="n">
        <v>36.62</v>
      </c>
      <c r="I1594" t="inlineStr">
        <is>
          <t>SOMATOM Definition AS</t>
        </is>
      </c>
      <c r="J1594" t="inlineStr">
        <is>
          <t>Abdomen pre 5.0 I40f 2</t>
        </is>
      </c>
    </row>
    <row r="1595">
      <c r="A1595" s="2" t="n">
        <v>5088325</v>
      </c>
      <c r="B1595" s="2" t="n">
        <v>79</v>
      </c>
      <c r="C1595" s="2" t="inlineStr">
        <is>
          <t>M</t>
        </is>
      </c>
      <c r="D1595" s="2" t="n">
        <v>100</v>
      </c>
      <c r="E1595" s="4">
        <f>HYPERLINK("./Results/DLO\20190601_1.3.12.2.1107.5.1.4.54310.30000019061222141478100055577_2_512_512_\Osteo_Sarco_1.png","RPT")</f>
        <v/>
      </c>
      <c r="F1595" s="3" t="n">
        <v>126</v>
      </c>
      <c r="G1595" s="3" t="n">
        <v>8</v>
      </c>
      <c r="H1595" s="7" t="n"/>
      <c r="I1595" t="inlineStr">
        <is>
          <t>Sensation 64</t>
        </is>
      </c>
      <c r="J1595" t="inlineStr">
        <is>
          <t>With Contrast 3.0 B30f</t>
        </is>
      </c>
    </row>
    <row r="1596">
      <c r="A1596" s="2" t="n">
        <v>2196059</v>
      </c>
      <c r="B1596" s="2" t="n">
        <v>79</v>
      </c>
      <c r="C1596" s="2" t="inlineStr">
        <is>
          <t>M</t>
        </is>
      </c>
      <c r="D1596" s="2" t="n">
        <v>100</v>
      </c>
      <c r="E1596" s="4">
        <f>HYPERLINK("./Results/DLO\20190201_1.3.12.2.1107.5.1.4.65253.30000019022720201787000018748_2_512_512_\Osteo_Sarco_1.png","RPT")</f>
        <v/>
      </c>
      <c r="F1596" s="3" t="n">
        <v>119</v>
      </c>
      <c r="G1596" s="3" t="n">
        <v>11</v>
      </c>
      <c r="H1596" s="6" t="n">
        <v>24.22</v>
      </c>
      <c r="I1596" t="inlineStr">
        <is>
          <t>SOMATOM Definition AS</t>
        </is>
      </c>
      <c r="J1596" t="inlineStr">
        <is>
          <t>With Contrast 3.0 B30f</t>
        </is>
      </c>
    </row>
    <row r="1597">
      <c r="A1597" s="2" t="n">
        <v>2876647</v>
      </c>
      <c r="B1597" s="2" t="n">
        <v>79</v>
      </c>
      <c r="C1597" s="2" t="inlineStr">
        <is>
          <t>F</t>
        </is>
      </c>
      <c r="D1597" s="2" t="n">
        <v>100</v>
      </c>
      <c r="E1597" s="4">
        <f>HYPERLINK("./Results/DLO\20180801_1.3.12.2.1107.5.1.4.65253.30000018081320154583300058080_6_512_512_\Osteo_Sarco_1.png","RPT")</f>
        <v/>
      </c>
      <c r="F1597" s="3" t="n">
        <v>118</v>
      </c>
      <c r="G1597" s="3" t="n">
        <v>17</v>
      </c>
      <c r="H1597" s="6" t="n">
        <v>24.46</v>
      </c>
      <c r="I1597" t="inlineStr">
        <is>
          <t>SOMATOM Definition AS</t>
        </is>
      </c>
      <c r="J1597" t="inlineStr">
        <is>
          <t>Portal Phase 3.0 B30f</t>
        </is>
      </c>
    </row>
    <row r="1598">
      <c r="A1598" s="2" t="n">
        <v>6742113</v>
      </c>
      <c r="B1598" s="2" t="n">
        <v>79</v>
      </c>
      <c r="C1598" s="2" t="inlineStr">
        <is>
          <t>M</t>
        </is>
      </c>
      <c r="D1598" s="2" t="n">
        <v>100</v>
      </c>
      <c r="E1598" s="4">
        <f>HYPERLINK("./Results/DLO\20200401_1.3.12.2.1107.5.1.4.54310.30000020042222120845300008325_2_512_512_\Osteo_Sarco_1.png","RPT")</f>
        <v/>
      </c>
      <c r="F1598" s="3" t="n">
        <v>113</v>
      </c>
      <c r="G1598" s="3" t="n">
        <v>7</v>
      </c>
      <c r="H1598" s="6" t="n">
        <v>22.15</v>
      </c>
      <c r="I1598" t="inlineStr">
        <is>
          <t>Sensation 64</t>
        </is>
      </c>
      <c r="J1598" t="inlineStr">
        <is>
          <t>Pre ABD 3mm B30f</t>
        </is>
      </c>
    </row>
    <row r="1599">
      <c r="A1599" s="2" t="n">
        <v>1508345</v>
      </c>
      <c r="B1599" s="2" t="n">
        <v>80</v>
      </c>
      <c r="C1599" s="2" t="inlineStr">
        <is>
          <t>F</t>
        </is>
      </c>
      <c r="D1599" s="2" t="n">
        <v>100</v>
      </c>
      <c r="E1599" s="4">
        <f>HYPERLINK("./Results/DLO\20180701_1.2.840.113619.2.311.182450074522727492510918617727441679793_303_512_512_\Osteo_Sarco_1.png","RPT")</f>
        <v/>
      </c>
      <c r="F1599" s="3" t="n">
        <v>94</v>
      </c>
      <c r="G1599" s="3" t="n">
        <v>8</v>
      </c>
      <c r="H1599" s="6" t="n">
        <v>28.03</v>
      </c>
      <c r="I1599" t="inlineStr">
        <is>
          <t>Revolution CT</t>
        </is>
      </c>
      <c r="J1599" t="inlineStr">
        <is>
          <t>ABD 2.5mm</t>
        </is>
      </c>
    </row>
    <row r="1600">
      <c r="A1600" s="2" t="n">
        <v>5035048</v>
      </c>
      <c r="B1600" s="2" t="n">
        <v>80</v>
      </c>
      <c r="C1600" s="2" t="inlineStr">
        <is>
          <t>F</t>
        </is>
      </c>
      <c r="D1600" s="2" t="n">
        <v>100</v>
      </c>
      <c r="E1600" s="4">
        <f>HYPERLINK("./Results/DLO\20180301_1.3.12.2.1107.5.1.4.65253.30000018031217230778000043195_2_512_512_\Osteo_Sarco_1.png","RPT")</f>
        <v/>
      </c>
      <c r="F1600" s="3" t="n">
        <v>93</v>
      </c>
      <c r="G1600" s="3" t="n">
        <v>17</v>
      </c>
      <c r="H1600" s="6" t="n">
        <v>24.97</v>
      </c>
      <c r="I1600" t="inlineStr">
        <is>
          <t>SOMATOM Definition AS</t>
        </is>
      </c>
      <c r="J1600" t="inlineStr">
        <is>
          <t>Pre Contrast 3.0 B30f</t>
        </is>
      </c>
    </row>
    <row r="1601">
      <c r="A1601" s="2" t="n">
        <v>5023209</v>
      </c>
      <c r="B1601" s="2" t="n">
        <v>80</v>
      </c>
      <c r="C1601" s="2" t="inlineStr">
        <is>
          <t>F</t>
        </is>
      </c>
      <c r="D1601" s="2" t="n">
        <v>100</v>
      </c>
      <c r="E1601" s="4">
        <f>HYPERLINK("./Results/DLO\20190601_1.3.12.2.1107.5.1.4.54310.30000019062322103253100048119_2_512_512_\Osteo_Sarco_1.png","RPT")</f>
        <v/>
      </c>
      <c r="F1601" s="3" t="n">
        <v>73</v>
      </c>
      <c r="G1601" s="3" t="n">
        <v>6</v>
      </c>
      <c r="H1601" s="6" t="n">
        <v>19.35</v>
      </c>
      <c r="I1601" t="inlineStr">
        <is>
          <t>Sensation 64</t>
        </is>
      </c>
      <c r="J1601" t="inlineStr">
        <is>
          <t>With Contrast 3.0 B30f</t>
        </is>
      </c>
    </row>
    <row r="1602">
      <c r="A1602" s="2" t="n">
        <v>10813199</v>
      </c>
      <c r="B1602" s="2" t="n">
        <v>80</v>
      </c>
      <c r="C1602" s="2" t="inlineStr">
        <is>
          <t>M</t>
        </is>
      </c>
      <c r="D1602" s="2" t="n">
        <v>100</v>
      </c>
      <c r="E1602" s="4">
        <f>HYPERLINK("./Results/DLO\20200601_1.3.12.2.1107.5.1.4.65253.30000020061800460203000084648_2_512_512_\Osteo_Sarco_1.png","RPT")</f>
        <v/>
      </c>
      <c r="F1602" s="3" t="n">
        <v>63</v>
      </c>
      <c r="G1602" s="3" t="n">
        <v>6</v>
      </c>
      <c r="H1602" s="7" t="n"/>
      <c r="I1602" t="inlineStr">
        <is>
          <t>SOMATOM Definition AS</t>
        </is>
      </c>
      <c r="J1602" t="inlineStr">
        <is>
          <t>Pre Contrast 3.0 B30f</t>
        </is>
      </c>
    </row>
    <row r="1603">
      <c r="A1603" s="2" t="n">
        <v>6739511</v>
      </c>
      <c r="B1603" s="2" t="n">
        <v>80</v>
      </c>
      <c r="C1603" s="2" t="inlineStr">
        <is>
          <t>M</t>
        </is>
      </c>
      <c r="D1603" s="2" t="n">
        <v>100</v>
      </c>
      <c r="E1603" s="4">
        <f>HYPERLINK("./Results/DLO\20180301_1.2.840.113619.2.311.136348814162666371142249436415894442199_304_512_512_\Osteo_Sarco_1.png","RPT")</f>
        <v/>
      </c>
      <c r="F1603" s="3" t="n">
        <v>157</v>
      </c>
      <c r="G1603" s="3" t="n">
        <v>20</v>
      </c>
      <c r="H1603" s="7" t="n"/>
      <c r="I1603" t="inlineStr">
        <is>
          <t>Revolution CT</t>
        </is>
      </c>
      <c r="J1603" t="inlineStr">
        <is>
          <t>ABD 2.5mm</t>
        </is>
      </c>
    </row>
    <row r="1604">
      <c r="A1604" s="2" t="n">
        <v>3585425</v>
      </c>
      <c r="B1604" s="2" t="n">
        <v>80</v>
      </c>
      <c r="C1604" s="2" t="inlineStr">
        <is>
          <t>M</t>
        </is>
      </c>
      <c r="D1604" s="2" t="n">
        <v>100</v>
      </c>
      <c r="E1604" s="4">
        <f>HYPERLINK("./Results/DLO\20180101_1.3.12.2.1107.5.1.4.54310.30000018010823145746800001317_2_512_512_\Osteo_Sarco_1.png","RPT")</f>
        <v/>
      </c>
      <c r="F1604" s="3" t="n">
        <v>149</v>
      </c>
      <c r="G1604" s="3" t="n">
        <v>15</v>
      </c>
      <c r="H1604" s="6" t="n">
        <v>26</v>
      </c>
      <c r="I1604" t="inlineStr">
        <is>
          <t>Sensation 64</t>
        </is>
      </c>
      <c r="J1604" t="inlineStr">
        <is>
          <t>With Contrast 3.0 B30f</t>
        </is>
      </c>
    </row>
    <row r="1605">
      <c r="A1605" s="2" t="n">
        <v>5722860</v>
      </c>
      <c r="B1605" s="2" t="n">
        <v>80</v>
      </c>
      <c r="C1605" s="2" t="inlineStr">
        <is>
          <t>M</t>
        </is>
      </c>
      <c r="D1605" s="2" t="n">
        <v>100</v>
      </c>
      <c r="E1605" s="4">
        <f>HYPERLINK("./Results/DLO\20180901_1.2.840.113619.2.311.279552252626696162645614990672460968796_304_512_512_\Osteo_Sarco_1.png","RPT")</f>
        <v/>
      </c>
      <c r="F1605" s="3" t="n">
        <v>126</v>
      </c>
      <c r="G1605" s="3" t="n">
        <v>11</v>
      </c>
      <c r="H1605" s="6" t="n">
        <v>22.95</v>
      </c>
      <c r="I1605" t="inlineStr">
        <is>
          <t>Revolution CT</t>
        </is>
      </c>
      <c r="J1605" t="inlineStr">
        <is>
          <t>ABD 2.5mm</t>
        </is>
      </c>
    </row>
    <row r="1606">
      <c r="A1606" s="2" t="n">
        <v>4790131</v>
      </c>
      <c r="B1606" s="2" t="n">
        <v>80</v>
      </c>
      <c r="C1606" s="2" t="inlineStr">
        <is>
          <t>M</t>
        </is>
      </c>
      <c r="D1606" s="2" t="n">
        <v>100</v>
      </c>
      <c r="E1606" s="4">
        <f>HYPERLINK("./Results/DLO\20180201_1.2.840.113619.2.416.52271777149507895704758056803725176426_304_512_512_\Osteo_Sarco_1.png","RPT")</f>
        <v/>
      </c>
      <c r="F1606" s="3" t="n">
        <v>122</v>
      </c>
      <c r="G1606" s="3" t="n">
        <v>10</v>
      </c>
      <c r="H1606" s="7" t="n"/>
      <c r="I1606" t="inlineStr">
        <is>
          <t>Revolution CT</t>
        </is>
      </c>
      <c r="J1606" t="inlineStr">
        <is>
          <t>ABD 2.5mm</t>
        </is>
      </c>
    </row>
    <row r="1607">
      <c r="A1607" s="2" t="n">
        <v>5208114</v>
      </c>
      <c r="B1607" s="2" t="n">
        <v>80</v>
      </c>
      <c r="C1607" s="2" t="inlineStr">
        <is>
          <t>F</t>
        </is>
      </c>
      <c r="D1607" s="2" t="n">
        <v>100</v>
      </c>
      <c r="E1607" s="4">
        <f>HYPERLINK("./Results/DLO\20180301_1.3.12.2.1107.5.1.4.65253.30000018030417255907500113774_2_512_512_\Osteo_Sarco_1.png","RPT")</f>
        <v/>
      </c>
      <c r="F1607" s="3" t="n">
        <v>105</v>
      </c>
      <c r="G1607" s="3" t="n">
        <v>31</v>
      </c>
      <c r="H1607" s="6" t="n">
        <v>27.81</v>
      </c>
      <c r="I1607" t="inlineStr">
        <is>
          <t>SOMATOM Definition AS</t>
        </is>
      </c>
      <c r="J1607" t="inlineStr">
        <is>
          <t>W/O Contrast 2.0 B30f</t>
        </is>
      </c>
    </row>
    <row r="1608">
      <c r="A1608" s="2" t="n">
        <v>5596508</v>
      </c>
      <c r="B1608" s="2" t="n">
        <v>81</v>
      </c>
      <c r="C1608" s="2" t="inlineStr">
        <is>
          <t>F</t>
        </is>
      </c>
      <c r="D1608" s="2" t="n">
        <v>100</v>
      </c>
      <c r="E1608" s="4">
        <f>HYPERLINK("./Results/DLO\20190601_1.3.12.2.1107.5.1.4.65253.30000019060419442871400030242_2_512_512_\Osteo_Sarco_1.png","RPT")</f>
        <v/>
      </c>
      <c r="F1608" s="3" t="n">
        <v>95</v>
      </c>
      <c r="G1608" s="3" t="n">
        <v>12</v>
      </c>
      <c r="H1608" s="6" t="n">
        <v>16.41</v>
      </c>
      <c r="I1608" t="inlineStr">
        <is>
          <t>SOMATOM Definition AS</t>
        </is>
      </c>
      <c r="J1608" t="inlineStr">
        <is>
          <t>Pre Contrast 3.0 B30f</t>
        </is>
      </c>
    </row>
    <row r="1609">
      <c r="A1609" s="2" t="n">
        <v>4712256</v>
      </c>
      <c r="B1609" s="2" t="n">
        <v>81</v>
      </c>
      <c r="C1609" s="2" t="inlineStr">
        <is>
          <t>F</t>
        </is>
      </c>
      <c r="D1609" s="2" t="n">
        <v>100</v>
      </c>
      <c r="E1609" s="4">
        <f>HYPERLINK("./Results/DLO\20180801_1.3.12.2.1107.5.1.4.65253.30000018081320154583300041580_2_512_512_\Osteo_Sarco_1.png","RPT")</f>
        <v/>
      </c>
      <c r="F1609" s="3" t="n">
        <v>94</v>
      </c>
      <c r="G1609" s="3" t="n">
        <v>15</v>
      </c>
      <c r="H1609" s="6" t="n">
        <v>24.65</v>
      </c>
      <c r="I1609" t="inlineStr">
        <is>
          <t>SOMATOM Definition AS</t>
        </is>
      </c>
      <c r="J1609" t="inlineStr">
        <is>
          <t>Non Contrast 3.0 B30f</t>
        </is>
      </c>
    </row>
    <row r="1610">
      <c r="A1610" s="2" t="n">
        <v>6741613</v>
      </c>
      <c r="B1610" s="2" t="n">
        <v>81</v>
      </c>
      <c r="C1610" s="2" t="inlineStr">
        <is>
          <t>F</t>
        </is>
      </c>
      <c r="D1610" s="2" t="n">
        <v>100</v>
      </c>
      <c r="E1610" s="4">
        <f>HYPERLINK("./Results/DLO\20180401_1.3.12.2.1107.5.1.4.54310.30000018041623483203100009627_2_512_512_\Osteo_Sarco_1.png","RPT")</f>
        <v/>
      </c>
      <c r="F1610" s="3" t="n">
        <v>87</v>
      </c>
      <c r="G1610" s="3" t="n">
        <v>11</v>
      </c>
      <c r="H1610" s="6" t="n">
        <v>21.03</v>
      </c>
      <c r="I1610" t="inlineStr">
        <is>
          <t>Sensation 64</t>
        </is>
      </c>
      <c r="J1610" t="inlineStr">
        <is>
          <t>With Contrast 3.0 B30f</t>
        </is>
      </c>
    </row>
    <row r="1611">
      <c r="A1611" s="2" t="n">
        <v>5142895</v>
      </c>
      <c r="B1611" s="2" t="n">
        <v>81</v>
      </c>
      <c r="C1611" s="2" t="inlineStr">
        <is>
          <t>F</t>
        </is>
      </c>
      <c r="D1611" s="2" t="n">
        <v>100</v>
      </c>
      <c r="E1611" s="4">
        <f>HYPERLINK("./Results/DLO\20181101_1.3.12.2.1107.5.1.4.65253.30000018110400365192100004509_2_512_512_\Osteo_Sarco_1.png","RPT")</f>
        <v/>
      </c>
      <c r="F1611" s="3" t="n">
        <v>64</v>
      </c>
      <c r="G1611" s="3" t="n">
        <v>17</v>
      </c>
      <c r="H1611" s="6" t="n">
        <v>21.93</v>
      </c>
      <c r="I1611" t="inlineStr">
        <is>
          <t>SOMATOM Definition AS</t>
        </is>
      </c>
      <c r="J1611" t="inlineStr">
        <is>
          <t>W/O Contrast 3.0 B45f</t>
        </is>
      </c>
    </row>
    <row r="1612">
      <c r="A1612" s="2" t="n">
        <v>5619766</v>
      </c>
      <c r="B1612" s="2" t="n">
        <v>81</v>
      </c>
      <c r="C1612" s="2" t="inlineStr">
        <is>
          <t>M</t>
        </is>
      </c>
      <c r="D1612" s="2" t="n">
        <v>100</v>
      </c>
      <c r="E1612" s="4">
        <f>HYPERLINK("./Results/DLO\20190701_1.2.410.100011.172.24.16.220.6371164996448080291.1_1_512_512_\Osteo_Sarco_1.png","RPT")</f>
        <v/>
      </c>
      <c r="F1612" s="3" t="n">
        <v>176</v>
      </c>
      <c r="G1612" s="3" t="n">
        <v>14</v>
      </c>
      <c r="H1612" s="7" t="n"/>
      <c r="I1612" t="inlineStr">
        <is>
          <t>LightSpeed VCT</t>
        </is>
      </c>
      <c r="J1612" t="inlineStr">
        <is>
          <t>Pre</t>
        </is>
      </c>
    </row>
    <row r="1613">
      <c r="A1613" s="2" t="n">
        <v>5024998</v>
      </c>
      <c r="B1613" s="2" t="n">
        <v>81</v>
      </c>
      <c r="C1613" s="2" t="inlineStr">
        <is>
          <t>M</t>
        </is>
      </c>
      <c r="D1613" s="2" t="n">
        <v>100</v>
      </c>
      <c r="E1613" s="4">
        <f>HYPERLINK("./Results/DLO\20200601_1.3.46.670589.33.1.63727375003720744900001.5194852647031464990_201_512_512_\Osteo_Sarco_1.png","RPT")</f>
        <v/>
      </c>
      <c r="F1613" s="3" t="n">
        <v>129</v>
      </c>
      <c r="G1613" s="3" t="n">
        <v>14</v>
      </c>
      <c r="H1613" s="7" t="n"/>
      <c r="I1613" t="inlineStr">
        <is>
          <t>Ingenuity Core 128</t>
        </is>
      </c>
      <c r="J1613" t="inlineStr">
        <is>
          <t>Post 3mm, iDose (3)</t>
        </is>
      </c>
    </row>
    <row r="1614">
      <c r="A1614" s="2" t="n">
        <v>1621274</v>
      </c>
      <c r="B1614" s="2" t="n">
        <v>81</v>
      </c>
      <c r="C1614" s="2" t="inlineStr">
        <is>
          <t>M</t>
        </is>
      </c>
      <c r="D1614" s="2" t="n">
        <v>100</v>
      </c>
      <c r="E1614" s="4">
        <f>HYPERLINK("./Results/DLO\20190301_1.3.12.2.1107.5.1.4.65253.30000019031416485450100023084_2_512_512_\Osteo_Sarco_1.png","RPT")</f>
        <v/>
      </c>
      <c r="F1614" s="3" t="n">
        <v>127</v>
      </c>
      <c r="G1614" s="3" t="n">
        <v>24</v>
      </c>
      <c r="H1614" s="6" t="n">
        <v>23.88</v>
      </c>
      <c r="I1614" t="inlineStr">
        <is>
          <t>SOMATOM Definition AS</t>
        </is>
      </c>
      <c r="J1614" t="inlineStr">
        <is>
          <t>Pre Contrast 3.0 B30f</t>
        </is>
      </c>
    </row>
    <row r="1615">
      <c r="A1615" s="2" t="n">
        <v>5688455</v>
      </c>
      <c r="B1615" s="2" t="n">
        <v>81</v>
      </c>
      <c r="C1615" s="2" t="inlineStr">
        <is>
          <t>M</t>
        </is>
      </c>
      <c r="D1615" s="2" t="n">
        <v>100</v>
      </c>
      <c r="E1615" s="4">
        <f>HYPERLINK("./Results/DLO\20180101_1.3.12.2.1107.5.1.4.54310.30000018010823111673400016973_4_512_512_\Osteo_Sarco_1.png","RPT")</f>
        <v/>
      </c>
      <c r="F1615" s="3" t="n">
        <v>119</v>
      </c>
      <c r="G1615" s="3" t="n">
        <v>11</v>
      </c>
      <c r="H1615" s="7" t="n"/>
      <c r="I1615" t="inlineStr">
        <is>
          <t>Sensation 64</t>
        </is>
      </c>
      <c r="J1615" t="inlineStr">
        <is>
          <t>Pre Contrast 3.0 B30f</t>
        </is>
      </c>
    </row>
    <row r="1616">
      <c r="A1616" s="2" t="n">
        <v>5138913</v>
      </c>
      <c r="B1616" s="2" t="n">
        <v>81</v>
      </c>
      <c r="C1616" s="2" t="inlineStr">
        <is>
          <t>F</t>
        </is>
      </c>
      <c r="D1616" s="2" t="n">
        <v>100</v>
      </c>
      <c r="E1616" s="4">
        <f>HYPERLINK("./Results/DLO\20181101_1.3.12.2.1107.5.1.4.65253.30000018112720194887000014545_7_512_512_\Osteo_Sarco_1.png","RPT")</f>
        <v/>
      </c>
      <c r="F1616" s="3" t="n">
        <v>100</v>
      </c>
      <c r="G1616" s="3" t="n">
        <v>12</v>
      </c>
      <c r="H1616" s="6" t="n">
        <v>20.09</v>
      </c>
      <c r="I1616" t="inlineStr">
        <is>
          <t>SOMATOM Definition AS</t>
        </is>
      </c>
      <c r="J1616" t="inlineStr">
        <is>
          <t>Portal Phase 3.0 B30f</t>
        </is>
      </c>
    </row>
    <row r="1617">
      <c r="A1617" s="2" t="n">
        <v>9850610</v>
      </c>
      <c r="B1617" s="2" t="n">
        <v>81</v>
      </c>
      <c r="C1617" s="2" t="inlineStr">
        <is>
          <t>M</t>
        </is>
      </c>
      <c r="D1617" s="2" t="n">
        <v>100</v>
      </c>
      <c r="E1617" s="4">
        <f>HYPERLINK("./Results/DLO\20200601_1.3.12.2.1107.5.1.4.54310.30000020062222191839000044314_5_512_512_\Osteo_Sarco_1.png","RPT")</f>
        <v/>
      </c>
      <c r="F1617" s="3" t="n">
        <v>58</v>
      </c>
      <c r="G1617" s="3" t="n">
        <v>12</v>
      </c>
      <c r="H1617" s="7" t="n"/>
      <c r="I1617" t="inlineStr">
        <is>
          <t>Sensation 64</t>
        </is>
      </c>
      <c r="J1617" t="inlineStr">
        <is>
          <t>Arterial 3.0 B30f</t>
        </is>
      </c>
    </row>
    <row r="1618">
      <c r="A1618" s="2" t="n">
        <v>3485486</v>
      </c>
      <c r="B1618" s="2" t="n">
        <v>82</v>
      </c>
      <c r="C1618" s="2" t="inlineStr">
        <is>
          <t>F</t>
        </is>
      </c>
      <c r="D1618" s="2" t="n">
        <v>100</v>
      </c>
      <c r="E1618" s="4">
        <f>HYPERLINK("./Results/DLO\20190701_1.3.12.2.1107.5.1.4.54310.30000019072422211732800008245_2_512_512_\Osteo_Sarco_1.png","RPT")</f>
        <v/>
      </c>
      <c r="F1618" s="3" t="n">
        <v>99</v>
      </c>
      <c r="G1618" s="3" t="n">
        <v>11</v>
      </c>
      <c r="H1618" s="7" t="n"/>
      <c r="I1618" t="inlineStr">
        <is>
          <t>Sensation 64</t>
        </is>
      </c>
      <c r="J1618" t="inlineStr">
        <is>
          <t>With Contrast 3.0 B30f</t>
        </is>
      </c>
    </row>
    <row r="1619">
      <c r="A1619" s="2" t="n">
        <v>9942017</v>
      </c>
      <c r="B1619" s="2" t="n">
        <v>82</v>
      </c>
      <c r="C1619" s="2" t="inlineStr">
        <is>
          <t>F</t>
        </is>
      </c>
      <c r="D1619" s="2" t="n">
        <v>100</v>
      </c>
      <c r="E1619" s="4">
        <f>HYPERLINK("./Results/DLO\20200601_1.2.840.113619.2.416.148213329649745457942633441239482039034_307_512_512_\Osteo_Sarco_1.png","RPT")</f>
        <v/>
      </c>
      <c r="F1619" s="3" t="n">
        <v>92</v>
      </c>
      <c r="G1619" s="3" t="n">
        <v>11</v>
      </c>
      <c r="H1619" s="6" t="n">
        <v>24.68</v>
      </c>
      <c r="I1619" t="inlineStr">
        <is>
          <t>Revolution CT</t>
        </is>
      </c>
      <c r="J1619" t="inlineStr">
        <is>
          <t>ABD</t>
        </is>
      </c>
    </row>
    <row r="1620">
      <c r="A1620" s="2" t="n">
        <v>5714328</v>
      </c>
      <c r="B1620" s="2" t="n">
        <v>82</v>
      </c>
      <c r="C1620" s="2" t="inlineStr">
        <is>
          <t>M</t>
        </is>
      </c>
      <c r="D1620" s="2" t="n">
        <v>100</v>
      </c>
      <c r="E1620" s="4">
        <f>HYPERLINK("./Results/DLO\20191201_1.3.12.2.1107.5.1.4.65253.30000019121021080330100095587_2_512_512_\Osteo_Sarco_1.png","RPT")</f>
        <v/>
      </c>
      <c r="F1620" s="3" t="n">
        <v>145</v>
      </c>
      <c r="G1620" s="3" t="n">
        <v>18</v>
      </c>
      <c r="H1620" s="7" t="n"/>
      <c r="I1620" t="inlineStr">
        <is>
          <t>SOMATOM Definition AS</t>
        </is>
      </c>
      <c r="J1620" t="inlineStr">
        <is>
          <t>Pre Contrast 3.0 B30f</t>
        </is>
      </c>
    </row>
    <row r="1621">
      <c r="A1621" s="2" t="n">
        <v>5021777</v>
      </c>
      <c r="B1621" s="2" t="n">
        <v>82</v>
      </c>
      <c r="C1621" s="2" t="inlineStr">
        <is>
          <t>M</t>
        </is>
      </c>
      <c r="D1621" s="2" t="n">
        <v>100</v>
      </c>
      <c r="E1621" s="4">
        <f>HYPERLINK("./Results/DLO\20190501_1.3.12.2.1107.5.1.4.54310.30000019050821334617100001280_2_512_512_\Osteo_Sarco_1.png","RPT")</f>
        <v/>
      </c>
      <c r="F1621" s="3" t="n">
        <v>123</v>
      </c>
      <c r="G1621" s="3" t="n">
        <v>9</v>
      </c>
      <c r="H1621" s="7" t="n"/>
      <c r="I1621" t="inlineStr">
        <is>
          <t>Sensation 64</t>
        </is>
      </c>
      <c r="J1621" t="inlineStr">
        <is>
          <t>With Contrast 3.0 B30f</t>
        </is>
      </c>
    </row>
    <row r="1622">
      <c r="A1622" s="2" t="n">
        <v>8613491</v>
      </c>
      <c r="B1622" s="2" t="n">
        <v>82</v>
      </c>
      <c r="C1622" s="2" t="inlineStr">
        <is>
          <t>F</t>
        </is>
      </c>
      <c r="D1622" s="2" t="n">
        <v>100</v>
      </c>
      <c r="E1622" s="4">
        <f>HYPERLINK("./Results/DLO\20190301_1.3.12.2.1107.5.1.4.54310.30000019032023314110900006053_3_512_512_\Osteo_Sarco_1.png","RPT")</f>
        <v/>
      </c>
      <c r="F1622" s="3" t="n">
        <v>112</v>
      </c>
      <c r="G1622" s="3" t="n">
        <v>20</v>
      </c>
      <c r="H1622" s="6" t="n">
        <v>26.12</v>
      </c>
      <c r="I1622" t="inlineStr">
        <is>
          <t>Sensation 64</t>
        </is>
      </c>
      <c r="J1622" t="inlineStr">
        <is>
          <t>Pre Contrast 3.0 B30f</t>
        </is>
      </c>
    </row>
    <row r="1623">
      <c r="A1623" s="2" t="n">
        <v>5343075</v>
      </c>
      <c r="B1623" s="2" t="n">
        <v>82</v>
      </c>
      <c r="C1623" s="2" t="inlineStr">
        <is>
          <t>M</t>
        </is>
      </c>
      <c r="D1623" s="2" t="n">
        <v>100</v>
      </c>
      <c r="E1623" s="4">
        <f>HYPERLINK("./Results/DLO\20180301_1.3.12.2.1107.5.1.4.54310.30000018032823073635900038208_3_512_512_\Osteo_Sarco_1.png","RPT")</f>
        <v/>
      </c>
      <c r="F1623" s="3" t="n">
        <v>104</v>
      </c>
      <c r="G1623" s="3" t="n">
        <v>12</v>
      </c>
      <c r="H1623" s="7" t="n"/>
      <c r="I1623" t="inlineStr">
        <is>
          <t>Sensation 64</t>
        </is>
      </c>
      <c r="J1623" t="inlineStr">
        <is>
          <t>With Contrast 3.0 B30f</t>
        </is>
      </c>
    </row>
    <row r="1624">
      <c r="A1624" s="2" t="n">
        <v>136174</v>
      </c>
      <c r="B1624" s="2" t="n">
        <v>82</v>
      </c>
      <c r="C1624" s="2" t="inlineStr">
        <is>
          <t>F</t>
        </is>
      </c>
      <c r="D1624" s="2" t="n">
        <v>100</v>
      </c>
      <c r="E1624" s="4">
        <f>HYPERLINK("./Results/DLO\20180701_1.3.12.2.1107.5.1.4.65253.30000018071618482874300019308_2_512_512_\Osteo_Sarco_1.png","RPT")</f>
        <v/>
      </c>
      <c r="F1624" s="3" t="n">
        <v>102</v>
      </c>
      <c r="G1624" s="3" t="n">
        <v>11</v>
      </c>
      <c r="H1624" s="6" t="n">
        <v>23.23</v>
      </c>
      <c r="I1624" t="inlineStr">
        <is>
          <t>SOMATOM Definition AS</t>
        </is>
      </c>
      <c r="J1624" t="inlineStr">
        <is>
          <t>Pre Contrast 3.0 B30f</t>
        </is>
      </c>
    </row>
    <row r="1625">
      <c r="A1625" s="2" t="n">
        <v>8929407</v>
      </c>
      <c r="B1625" s="2" t="n">
        <v>82</v>
      </c>
      <c r="C1625" s="2" t="inlineStr">
        <is>
          <t>F</t>
        </is>
      </c>
      <c r="D1625" s="2" t="n">
        <v>100</v>
      </c>
      <c r="E1625" s="4">
        <f>HYPERLINK("./Results/DLO\20180901_1.2.840.113619.2.416.118868988063980936536036493667038446030_301_512_512_\Osteo_Sarco_1.png","RPT")</f>
        <v/>
      </c>
      <c r="F1625" s="3" t="n">
        <v>101</v>
      </c>
      <c r="G1625" s="3" t="n">
        <v>23</v>
      </c>
      <c r="H1625" s="6" t="n">
        <v>25.38</v>
      </c>
      <c r="I1625" t="inlineStr">
        <is>
          <t>Revolution CT</t>
        </is>
      </c>
      <c r="J1625" t="inlineStr">
        <is>
          <t>ARTERY</t>
        </is>
      </c>
    </row>
    <row r="1626">
      <c r="A1626" s="2" t="n">
        <v>5108850</v>
      </c>
      <c r="B1626" s="2" t="n">
        <v>83</v>
      </c>
      <c r="C1626" s="2" t="inlineStr">
        <is>
          <t>F</t>
        </is>
      </c>
      <c r="D1626" s="2" t="n">
        <v>100</v>
      </c>
      <c r="E1626" s="4">
        <f>HYPERLINK("./Results/DLO\20181001_1.3.12.2.1107.5.1.4.65253.30000018100320583328000050595_2_512_512_\Osteo_Sarco_1.png","RPT")</f>
        <v/>
      </c>
      <c r="F1626" s="3" t="n">
        <v>96</v>
      </c>
      <c r="G1626" s="3" t="n">
        <v>22</v>
      </c>
      <c r="H1626" s="6" t="n">
        <v>22.22</v>
      </c>
      <c r="I1626" t="inlineStr">
        <is>
          <t>SOMATOM Definition AS</t>
        </is>
      </c>
      <c r="J1626" t="inlineStr">
        <is>
          <t>W/O Contrast 2.0 B30f</t>
        </is>
      </c>
    </row>
    <row r="1627">
      <c r="A1627" s="2" t="n">
        <v>2734032</v>
      </c>
      <c r="B1627" s="2" t="n">
        <v>83</v>
      </c>
      <c r="C1627" s="2" t="inlineStr">
        <is>
          <t>F</t>
        </is>
      </c>
      <c r="D1627" s="2" t="n">
        <v>100</v>
      </c>
      <c r="E1627" s="4">
        <f>HYPERLINK("./Results/DLO\20200501_1.3.12.2.1107.5.1.4.65253.30000020050620362504600011318_3_512_512_\Osteo_Sarco_1.png","RPT")</f>
        <v/>
      </c>
      <c r="F1627" s="3" t="n">
        <v>93</v>
      </c>
      <c r="G1627" s="3" t="n">
        <v>17</v>
      </c>
      <c r="H1627" s="6" t="n">
        <v>23.81</v>
      </c>
      <c r="I1627" t="inlineStr">
        <is>
          <t>SOMATOM Definition AS</t>
        </is>
      </c>
      <c r="J1627" t="inlineStr">
        <is>
          <t>W/O Contrast 2.0 B30f</t>
        </is>
      </c>
    </row>
    <row r="1628">
      <c r="A1628" s="2" t="n">
        <v>4291924</v>
      </c>
      <c r="B1628" s="2" t="n">
        <v>83</v>
      </c>
      <c r="C1628" s="2" t="inlineStr">
        <is>
          <t>F</t>
        </is>
      </c>
      <c r="D1628" s="2" t="n">
        <v>100</v>
      </c>
      <c r="E1628" s="4">
        <f>HYPERLINK("./Results/DLO\20180401_1.3.12.2.1107.5.1.4.65253.30000018042720352388000015408_2_512_512_\Osteo_Sarco_1.png","RPT")</f>
        <v/>
      </c>
      <c r="F1628" s="3" t="n">
        <v>83</v>
      </c>
      <c r="G1628" s="3" t="n">
        <v>18</v>
      </c>
      <c r="H1628" s="6" t="n">
        <v>28.04</v>
      </c>
      <c r="I1628" t="inlineStr">
        <is>
          <t>SOMATOM Definition AS</t>
        </is>
      </c>
      <c r="J1628" t="inlineStr">
        <is>
          <t>Pre Contrast 3.0 B30f</t>
        </is>
      </c>
    </row>
    <row r="1629">
      <c r="A1629" s="2" t="n">
        <v>8907310</v>
      </c>
      <c r="B1629" s="2" t="n">
        <v>83</v>
      </c>
      <c r="C1629" s="2" t="inlineStr">
        <is>
          <t>M</t>
        </is>
      </c>
      <c r="D1629" s="2" t="n">
        <v>100</v>
      </c>
      <c r="E1629" s="4">
        <f>HYPERLINK("./Results/DLO\20180701_1.3.12.2.1107.5.1.4.65253.30000018072219342987300075521_2_512_512_\Osteo_Sarco_1.png","RPT")</f>
        <v/>
      </c>
      <c r="F1629" s="3" t="n">
        <v>145</v>
      </c>
      <c r="G1629" s="3" t="n">
        <v>10</v>
      </c>
      <c r="H1629" s="7" t="n"/>
      <c r="I1629" t="inlineStr">
        <is>
          <t>SOMATOM Definition AS</t>
        </is>
      </c>
      <c r="J1629" t="inlineStr">
        <is>
          <t>With Contrast 3.0 B30f</t>
        </is>
      </c>
    </row>
    <row r="1630">
      <c r="A1630" s="2" t="n">
        <v>5856244</v>
      </c>
      <c r="B1630" s="2" t="n">
        <v>83</v>
      </c>
      <c r="C1630" s="2" t="inlineStr">
        <is>
          <t>M</t>
        </is>
      </c>
      <c r="D1630" s="2" t="n">
        <v>100</v>
      </c>
      <c r="E1630" s="4">
        <f>HYPERLINK("./Results/DLO\20181201_1.2.840.113619.2.416.142682466471300637703753703857156472490_304_512_512_\Osteo_Sarco_1.png","RPT")</f>
        <v/>
      </c>
      <c r="F1630" s="3" t="n">
        <v>132</v>
      </c>
      <c r="G1630" s="3" t="n">
        <v>13</v>
      </c>
      <c r="H1630" s="6" t="n">
        <v>23.98</v>
      </c>
      <c r="I1630" t="inlineStr">
        <is>
          <t>Revolution CT</t>
        </is>
      </c>
      <c r="J1630" t="inlineStr">
        <is>
          <t>PRE 2.5mm</t>
        </is>
      </c>
    </row>
    <row r="1631">
      <c r="A1631" s="2" t="n">
        <v>801577</v>
      </c>
      <c r="B1631" s="2" t="n">
        <v>84</v>
      </c>
      <c r="C1631" s="2" t="inlineStr">
        <is>
          <t>F</t>
        </is>
      </c>
      <c r="D1631" s="2" t="n">
        <v>100</v>
      </c>
      <c r="E1631" s="4">
        <f>HYPERLINK("./Results/DLO\20181001_1.3.12.2.1107.5.1.4.65253.30000018100818173011100033690_2_512_512_\Osteo_Sarco_1.png","RPT")</f>
        <v/>
      </c>
      <c r="F1631" s="3" t="n">
        <v>98</v>
      </c>
      <c r="G1631" s="3" t="n">
        <v>12</v>
      </c>
      <c r="H1631" s="6" t="n">
        <v>25.63</v>
      </c>
      <c r="I1631" t="inlineStr">
        <is>
          <t>SOMATOM Definition AS</t>
        </is>
      </c>
      <c r="J1631" t="inlineStr">
        <is>
          <t>Non Contrast 3.0 B30f</t>
        </is>
      </c>
    </row>
    <row r="1632">
      <c r="A1632" s="2" t="n">
        <v>1395549</v>
      </c>
      <c r="B1632" s="2" t="n">
        <v>84</v>
      </c>
      <c r="C1632" s="2" t="inlineStr">
        <is>
          <t>F</t>
        </is>
      </c>
      <c r="D1632" s="2" t="n">
        <v>100</v>
      </c>
      <c r="E1632" s="4">
        <f>HYPERLINK("./Results/DLO\20191001_1.2.840.113619.2.416.148477046486740372876569506252593743220_310_512_512_\Osteo_Sarco_1.png","RPT")</f>
        <v/>
      </c>
      <c r="F1632" s="3" t="n">
        <v>98</v>
      </c>
      <c r="G1632" s="3" t="n">
        <v>12</v>
      </c>
      <c r="H1632" s="7" t="n"/>
      <c r="I1632" t="inlineStr">
        <is>
          <t>Revolution CT</t>
        </is>
      </c>
      <c r="J1632" t="inlineStr">
        <is>
          <t>ABD</t>
        </is>
      </c>
    </row>
    <row r="1633">
      <c r="A1633" s="2" t="n">
        <v>6069218</v>
      </c>
      <c r="B1633" s="2" t="n">
        <v>84</v>
      </c>
      <c r="C1633" s="2" t="inlineStr">
        <is>
          <t>F</t>
        </is>
      </c>
      <c r="D1633" s="2" t="n">
        <v>100</v>
      </c>
      <c r="E1633" s="4">
        <f>HYPERLINK("./Results/DLO\20181101_1.3.12.2.1107.5.1.4.65253.30000018112521135692300035874_2_512_512_\Osteo_Sarco_1.png","RPT")</f>
        <v/>
      </c>
      <c r="F1633" s="3" t="n">
        <v>95</v>
      </c>
      <c r="G1633" s="3" t="n">
        <v>20</v>
      </c>
      <c r="H1633" s="6" t="n">
        <v>16.65</v>
      </c>
      <c r="I1633" t="inlineStr">
        <is>
          <t>SOMATOM Definition AS</t>
        </is>
      </c>
      <c r="J1633" t="inlineStr">
        <is>
          <t>Non Contrast 3.0 B30f</t>
        </is>
      </c>
    </row>
    <row r="1634">
      <c r="A1634" s="2" t="n">
        <v>5629083</v>
      </c>
      <c r="B1634" s="2" t="n">
        <v>84</v>
      </c>
      <c r="C1634" s="2" t="inlineStr">
        <is>
          <t>M</t>
        </is>
      </c>
      <c r="D1634" s="2" t="n">
        <v>100</v>
      </c>
      <c r="E1634" s="4">
        <f>HYPERLINK("./Results/DLO\20181001_1.3.12.2.1107.5.1.4.54310.30000018101823125084300025468_2_512_512_\Osteo_Sarco_1.png","RPT")</f>
        <v/>
      </c>
      <c r="F1634" s="3" t="n">
        <v>139</v>
      </c>
      <c r="G1634" s="3" t="n">
        <v>12</v>
      </c>
      <c r="H1634" s="6" t="n">
        <v>22.41</v>
      </c>
      <c r="I1634" t="inlineStr">
        <is>
          <t>Sensation 64</t>
        </is>
      </c>
      <c r="J1634" t="inlineStr">
        <is>
          <t>Pre Contrast 3.0 B30f</t>
        </is>
      </c>
    </row>
    <row r="1635">
      <c r="A1635" s="2" t="n">
        <v>2387082</v>
      </c>
      <c r="B1635" s="2" t="n">
        <v>84</v>
      </c>
      <c r="C1635" s="2" t="inlineStr">
        <is>
          <t>M</t>
        </is>
      </c>
      <c r="D1635" s="2" t="n">
        <v>100</v>
      </c>
      <c r="E1635" s="4">
        <f>HYPERLINK("./Results/DLO\20200301_1.3.12.2.1107.5.1.4.65253.30000020030419535544500011956_2_512_512_\Osteo_Sarco_1.png","RPT")</f>
        <v/>
      </c>
      <c r="F1635" s="3" t="n">
        <v>119</v>
      </c>
      <c r="G1635" s="3" t="n">
        <v>13</v>
      </c>
      <c r="H1635" s="6" t="n">
        <v>20.28</v>
      </c>
      <c r="I1635" t="inlineStr">
        <is>
          <t>SOMATOM Definition AS</t>
        </is>
      </c>
      <c r="J1635" t="inlineStr">
        <is>
          <t>Pre Contrast 3.0 B30f</t>
        </is>
      </c>
    </row>
    <row r="1636">
      <c r="A1636" s="2" t="n">
        <v>3485295</v>
      </c>
      <c r="B1636" s="2" t="n">
        <v>84</v>
      </c>
      <c r="C1636" s="2" t="inlineStr">
        <is>
          <t>M</t>
        </is>
      </c>
      <c r="D1636" s="2" t="n">
        <v>100</v>
      </c>
      <c r="E1636" s="4">
        <f>HYPERLINK("./Results/DLO\20181201_1.2.840.113619.2.94.485650834948.2.9243414.20124962.1_2_512_512_\Osteo_Sarco_1.png","RPT")</f>
        <v/>
      </c>
      <c r="F1636" s="3" t="n">
        <v>109</v>
      </c>
      <c r="G1636" s="3" t="n">
        <v>14</v>
      </c>
      <c r="H1636" s="6" t="n">
        <v>27.87</v>
      </c>
      <c r="I1636" t="inlineStr">
        <is>
          <t>Sensation 64</t>
        </is>
      </c>
      <c r="J1636" t="inlineStr">
        <is>
          <t>With Contrast 3.0 B30f</t>
        </is>
      </c>
    </row>
    <row r="1637">
      <c r="A1637" s="2" t="n">
        <v>4019898</v>
      </c>
      <c r="B1637" s="2" t="n">
        <v>84</v>
      </c>
      <c r="C1637" s="2" t="inlineStr">
        <is>
          <t>M</t>
        </is>
      </c>
      <c r="D1637" s="2" t="n">
        <v>100</v>
      </c>
      <c r="E1637" s="4">
        <f>HYPERLINK("./Results/DLO\20200501_1.3.12.2.1107.5.1.4.54310.30000020051022522803100003409_2_512_512_\Osteo_Sarco_1.png","RPT")</f>
        <v/>
      </c>
      <c r="F1637" s="3" t="n">
        <v>104</v>
      </c>
      <c r="G1637" s="3" t="n">
        <v>17</v>
      </c>
      <c r="H1637" s="7" t="n"/>
      <c r="I1637" t="inlineStr">
        <is>
          <t>Sensation 64</t>
        </is>
      </c>
      <c r="J1637" t="inlineStr">
        <is>
          <t>With Contrast 3.0 B30f</t>
        </is>
      </c>
    </row>
    <row r="1638">
      <c r="A1638" s="2" t="n">
        <v>5711938</v>
      </c>
      <c r="B1638" s="2" t="n">
        <v>84</v>
      </c>
      <c r="C1638" s="2" t="inlineStr">
        <is>
          <t>F</t>
        </is>
      </c>
      <c r="D1638" s="2" t="n">
        <v>100</v>
      </c>
      <c r="E1638" s="4">
        <f>HYPERLINK("./Results/DLO\20190101_1.3.12.2.1107.5.1.4.65253.30000019012019405677600069461_2_512_512_\Osteo_Sarco_1.png","RPT")</f>
        <v/>
      </c>
      <c r="F1638" s="3" t="n">
        <v>102</v>
      </c>
      <c r="G1638" s="3" t="n">
        <v>36</v>
      </c>
      <c r="H1638" s="6" t="n">
        <v>24.24</v>
      </c>
      <c r="I1638" t="inlineStr">
        <is>
          <t>SOMATOM Definition AS</t>
        </is>
      </c>
      <c r="J1638" t="inlineStr">
        <is>
          <t>Non Contrast 3.0 B30f</t>
        </is>
      </c>
    </row>
    <row r="1639">
      <c r="A1639" s="2" t="n">
        <v>6084951</v>
      </c>
      <c r="B1639" s="2" t="n">
        <v>85</v>
      </c>
      <c r="C1639" s="2" t="inlineStr">
        <is>
          <t>M</t>
        </is>
      </c>
      <c r="D1639" s="2" t="n">
        <v>100</v>
      </c>
      <c r="E1639" s="4">
        <f>HYPERLINK("./Results/DLO\20191201_1.3.12.2.1107.5.1.4.65253.30000019120220324052100058356_3_512_512_\Osteo_Sarco_1.png","RPT")</f>
        <v/>
      </c>
      <c r="F1639" s="3" t="n">
        <v>103</v>
      </c>
      <c r="G1639" s="3" t="n">
        <v>8</v>
      </c>
      <c r="H1639" s="6" t="n">
        <v>18.91</v>
      </c>
      <c r="I1639" t="inlineStr">
        <is>
          <t>SOMATOM Definition AS</t>
        </is>
      </c>
      <c r="J1639" t="inlineStr">
        <is>
          <t>With Contrast 3.0 B30f</t>
        </is>
      </c>
    </row>
    <row r="1640">
      <c r="A1640" s="2" t="n">
        <v>5637199</v>
      </c>
      <c r="B1640" s="2" t="n">
        <v>86</v>
      </c>
      <c r="C1640" s="2" t="inlineStr">
        <is>
          <t>F</t>
        </is>
      </c>
      <c r="D1640" s="2" t="n">
        <v>100</v>
      </c>
      <c r="E1640" s="4">
        <f>HYPERLINK("./Results/DLO\20180101_1.3.12.2.1107.5.1.4.65253.30000018011817521172800012294_2_512_512_\Osteo_Sarco_1.png","RPT")</f>
        <v/>
      </c>
      <c r="F1640" s="3" t="n">
        <v>94</v>
      </c>
      <c r="G1640" s="3" t="n">
        <v>21</v>
      </c>
      <c r="H1640" s="7" t="n"/>
      <c r="I1640" t="inlineStr">
        <is>
          <t>SOMATOM Definition AS</t>
        </is>
      </c>
      <c r="J1640" t="inlineStr">
        <is>
          <t>Pre 3.0 I40f</t>
        </is>
      </c>
    </row>
    <row r="1641">
      <c r="A1641" s="2" t="n">
        <v>8423022</v>
      </c>
      <c r="B1641" s="2" t="n">
        <v>86</v>
      </c>
      <c r="C1641" s="2" t="inlineStr">
        <is>
          <t>M</t>
        </is>
      </c>
      <c r="D1641" s="2" t="n">
        <v>100</v>
      </c>
      <c r="E1641" s="4">
        <f>HYPERLINK("./Results/DLO\20180101_1.2.840.113619.2.311.305265965492533481822607514998030992112_304_512_512_\Osteo_Sarco_1.png","RPT")</f>
        <v/>
      </c>
      <c r="F1641" s="3" t="n">
        <v>112</v>
      </c>
      <c r="G1641" s="3" t="n">
        <v>15</v>
      </c>
      <c r="H1641" s="6" t="n">
        <v>26.61</v>
      </c>
      <c r="I1641" t="inlineStr">
        <is>
          <t>Revolution CT</t>
        </is>
      </c>
      <c r="J1641" t="inlineStr">
        <is>
          <t>ABD 2.5mm</t>
        </is>
      </c>
    </row>
    <row r="1642">
      <c r="A1642" s="2" t="n">
        <v>5921801</v>
      </c>
      <c r="B1642" s="2" t="n">
        <v>86</v>
      </c>
      <c r="C1642" s="2" t="inlineStr">
        <is>
          <t>F</t>
        </is>
      </c>
      <c r="D1642" s="2" t="n">
        <v>100</v>
      </c>
      <c r="E1642" s="4">
        <f>HYPERLINK("./Results/DLO\20190701_1.3.12.2.1107.5.1.4.65253.30000019071118201205600080479_2_512_512_\Osteo_Sarco_1.png","RPT")</f>
        <v/>
      </c>
      <c r="F1642" s="3" t="n">
        <v>103</v>
      </c>
      <c r="G1642" s="3" t="n">
        <v>28</v>
      </c>
      <c r="H1642" s="6" t="n">
        <v>24.03</v>
      </c>
      <c r="I1642" t="inlineStr">
        <is>
          <t>SOMATOM Definition AS</t>
        </is>
      </c>
      <c r="J1642" t="inlineStr">
        <is>
          <t>Pre Contrast 3.0 B30f</t>
        </is>
      </c>
    </row>
    <row r="1643">
      <c r="A1643" s="2" t="n">
        <v>3531827</v>
      </c>
      <c r="B1643" s="2" t="n">
        <v>86</v>
      </c>
      <c r="C1643" s="2" t="inlineStr">
        <is>
          <t>M</t>
        </is>
      </c>
      <c r="D1643" s="2" t="n">
        <v>100</v>
      </c>
      <c r="E1643" s="4">
        <f>HYPERLINK("./Results/DLO\20181101_1.3.12.2.1107.5.1.4.65253.30000018111118325192100063459_2_512_512_\Osteo_Sarco_1.png","RPT")</f>
        <v/>
      </c>
      <c r="F1643" s="3" t="n">
        <v>102</v>
      </c>
      <c r="G1643" s="3" t="n">
        <v>21</v>
      </c>
      <c r="H1643" s="6" t="n">
        <v>22.31</v>
      </c>
      <c r="I1643" t="inlineStr">
        <is>
          <t>SOMATOM Definition AS</t>
        </is>
      </c>
      <c r="J1643" t="inlineStr">
        <is>
          <t>Non Contrast 3.0 B30f</t>
        </is>
      </c>
    </row>
    <row r="1644">
      <c r="A1644" s="2" t="n">
        <v>6021518</v>
      </c>
      <c r="B1644" s="2" t="n">
        <v>86</v>
      </c>
      <c r="C1644" s="2" t="inlineStr">
        <is>
          <t>F</t>
        </is>
      </c>
      <c r="D1644" s="2" t="n">
        <v>100</v>
      </c>
      <c r="E1644" s="4">
        <f>HYPERLINK("./Results/DLO\20190701_1.3.12.2.1107.5.1.4.65253.30000019072118114898500113589_2_512_512_\Osteo_Sarco_1.png","RPT")</f>
        <v/>
      </c>
      <c r="F1644" s="3" t="n">
        <v>102</v>
      </c>
      <c r="G1644" s="3" t="n">
        <v>20</v>
      </c>
      <c r="H1644" s="6" t="n">
        <v>22.31</v>
      </c>
      <c r="I1644" t="inlineStr">
        <is>
          <t>SOMATOM Definition AS</t>
        </is>
      </c>
      <c r="J1644" t="inlineStr">
        <is>
          <t>Pre Contrast 3.0 B30f</t>
        </is>
      </c>
    </row>
    <row r="1645">
      <c r="A1645" s="2" t="n">
        <v>5405423</v>
      </c>
      <c r="B1645" s="2" t="n">
        <v>87</v>
      </c>
      <c r="C1645" s="2" t="inlineStr">
        <is>
          <t>F</t>
        </is>
      </c>
      <c r="D1645" s="2" t="n">
        <v>100</v>
      </c>
      <c r="E1645" s="4">
        <f>HYPERLINK("./Results/DLO\20180101_1.3.12.2.1107.5.1.4.54310.30000018011423091487500019075_2_512_512_\Osteo_Sarco_1.png","RPT")</f>
        <v/>
      </c>
      <c r="F1645" s="3" t="n">
        <v>88</v>
      </c>
      <c r="G1645" s="3" t="n">
        <v>16</v>
      </c>
      <c r="H1645" s="6" t="n">
        <v>24.1</v>
      </c>
      <c r="I1645" t="inlineStr">
        <is>
          <t>Sensation 64</t>
        </is>
      </c>
      <c r="J1645" t="inlineStr">
        <is>
          <t>With Contrast 3.0 B30f</t>
        </is>
      </c>
    </row>
    <row r="1646">
      <c r="A1646" s="2" t="n">
        <v>5059092</v>
      </c>
      <c r="B1646" s="2" t="n">
        <v>87</v>
      </c>
      <c r="C1646" s="2" t="inlineStr">
        <is>
          <t>F</t>
        </is>
      </c>
      <c r="D1646" s="2" t="n">
        <v>100</v>
      </c>
      <c r="E1646" s="4">
        <f>HYPERLINK("./Results/DLO\20200501_1.3.12.2.1107.5.1.4.65253.30000020051020482806800068798_2_512_512_\Osteo_Sarco_1.png","RPT")</f>
        <v/>
      </c>
      <c r="F1646" s="3" t="n">
        <v>80</v>
      </c>
      <c r="G1646" s="3" t="n">
        <v>28</v>
      </c>
      <c r="H1646" s="6" t="n">
        <v>25.57</v>
      </c>
      <c r="I1646" t="inlineStr">
        <is>
          <t>SOMATOM Definition AS</t>
        </is>
      </c>
      <c r="J1646" t="inlineStr">
        <is>
          <t>ABD Pre 3.0 B30f</t>
        </is>
      </c>
    </row>
    <row r="1647">
      <c r="A1647" s="2" t="n">
        <v>8367607</v>
      </c>
      <c r="B1647" s="2" t="n">
        <v>87</v>
      </c>
      <c r="C1647" s="2" t="inlineStr">
        <is>
          <t>F</t>
        </is>
      </c>
      <c r="D1647" s="2" t="n">
        <v>100</v>
      </c>
      <c r="E1647" s="4">
        <f>HYPERLINK("./Results/DLO\20190501_1.3.12.2.1107.5.1.4.65253.30000019051319530377800131672_2_512_512_\Osteo_Sarco_1.png","RPT")</f>
        <v/>
      </c>
      <c r="F1647" s="3" t="n">
        <v>76</v>
      </c>
      <c r="G1647" s="3" t="n">
        <v>19</v>
      </c>
      <c r="H1647" s="6" t="n">
        <v>24.3</v>
      </c>
      <c r="I1647" t="inlineStr">
        <is>
          <t>SOMATOM Definition AS</t>
        </is>
      </c>
      <c r="J1647" t="inlineStr">
        <is>
          <t>Pre Contrast 3.0 B30f</t>
        </is>
      </c>
    </row>
    <row r="1648">
      <c r="A1648" s="2" t="n">
        <v>4219201</v>
      </c>
      <c r="B1648" s="2" t="n">
        <v>88</v>
      </c>
      <c r="C1648" s="2" t="inlineStr">
        <is>
          <t>F</t>
        </is>
      </c>
      <c r="D1648" s="2" t="n">
        <v>100</v>
      </c>
      <c r="E1648" s="4">
        <f>HYPERLINK("./Results/DLO\20180801_1.3.12.2.1107.5.1.4.65253.30000018081219302026900042768_2_512_512_\Osteo_Sarco_1.png","RPT")</f>
        <v/>
      </c>
      <c r="F1648" s="3" t="n">
        <v>115</v>
      </c>
      <c r="G1648" s="3" t="n">
        <v>27</v>
      </c>
      <c r="H1648" s="6" t="n">
        <v>26.77</v>
      </c>
      <c r="I1648" t="inlineStr">
        <is>
          <t>SOMATOM Definition AS</t>
        </is>
      </c>
      <c r="J1648" t="inlineStr">
        <is>
          <t>W/O Contrast 2.0 B30f</t>
        </is>
      </c>
    </row>
    <row r="1649">
      <c r="A1649" s="2" t="n">
        <v>5026272</v>
      </c>
      <c r="B1649" s="2" t="n">
        <v>89</v>
      </c>
      <c r="C1649" s="2" t="inlineStr">
        <is>
          <t>M</t>
        </is>
      </c>
      <c r="D1649" s="2" t="n">
        <v>100</v>
      </c>
      <c r="E1649" s="4">
        <f>HYPERLINK("./Results/DLO\20190601_1.3.12.2.1107.5.1.4.65253.30000019061021122786800040717_6_512_512_\Osteo_Sarco_1.png","RPT")</f>
        <v/>
      </c>
      <c r="F1649" s="3" t="n">
        <v>137</v>
      </c>
      <c r="G1649" s="3" t="n">
        <v>19</v>
      </c>
      <c r="H1649" s="7" t="n"/>
      <c r="I1649" t="inlineStr">
        <is>
          <t>SOMATOM Definition AS</t>
        </is>
      </c>
      <c r="J1649" t="inlineStr">
        <is>
          <t>W/O ABD 2.0 B30f</t>
        </is>
      </c>
    </row>
    <row r="1650">
      <c r="A1650" s="2" t="n">
        <v>3876935</v>
      </c>
      <c r="B1650" s="2" t="n">
        <v>90</v>
      </c>
      <c r="C1650" s="2" t="inlineStr">
        <is>
          <t>M</t>
        </is>
      </c>
      <c r="D1650" s="2" t="n">
        <v>100</v>
      </c>
      <c r="E1650" s="4">
        <f>HYPERLINK("./Results/DLO\20190901_1.3.12.2.1107.5.1.4.65253.30000019092420135070400042791_2_512_512_\Osteo_Sarco_1.png","RPT")</f>
        <v/>
      </c>
      <c r="F1650" s="3" t="n">
        <v>92</v>
      </c>
      <c r="G1650" s="3" t="n">
        <v>18</v>
      </c>
      <c r="H1650" s="6" t="n">
        <v>17.97</v>
      </c>
      <c r="I1650" t="inlineStr">
        <is>
          <t>SOMATOM Definition AS</t>
        </is>
      </c>
      <c r="J1650" t="inlineStr">
        <is>
          <t>W/O Contrast 2.0 B30f</t>
        </is>
      </c>
    </row>
    <row r="1651">
      <c r="A1651" s="2" t="n">
        <v>3360184</v>
      </c>
      <c r="B1651" s="2" t="n">
        <v>91</v>
      </c>
      <c r="C1651" s="2" t="inlineStr">
        <is>
          <t>F</t>
        </is>
      </c>
      <c r="D1651" s="2" t="n">
        <v>100</v>
      </c>
      <c r="E1651" s="4">
        <f>HYPERLINK("./Results/DLO\20190801_1.3.12.2.1107.5.1.4.65253.30000019080319364173000072945_2_512_512_\Osteo_Sarco_1.png","RPT")</f>
        <v/>
      </c>
      <c r="F1651" s="3" t="n">
        <v>87</v>
      </c>
      <c r="G1651" s="3" t="n">
        <v>13</v>
      </c>
      <c r="H1651" s="6" t="n">
        <v>18.72</v>
      </c>
      <c r="I1651" t="inlineStr">
        <is>
          <t>SOMATOM Definition AS</t>
        </is>
      </c>
      <c r="J1651" t="inlineStr">
        <is>
          <t>Pre Contrast 3.0 B30f</t>
        </is>
      </c>
    </row>
    <row r="1652">
      <c r="A1652" s="2" t="n">
        <v>4304084</v>
      </c>
      <c r="B1652" s="2" t="n">
        <v>91</v>
      </c>
      <c r="C1652" s="2" t="inlineStr">
        <is>
          <t>F</t>
        </is>
      </c>
      <c r="D1652" s="2" t="n">
        <v>100</v>
      </c>
      <c r="E1652" s="4">
        <f>HYPERLINK("./Results/DLO\20180601_1.3.12.2.1107.5.1.4.65253.30000018061820521553400035424_2_512_512_\Osteo_Sarco_1.png","RPT")</f>
        <v/>
      </c>
      <c r="F1652" s="3" t="n">
        <v>61</v>
      </c>
      <c r="G1652" s="3" t="n">
        <v>13</v>
      </c>
      <c r="H1652" s="6" t="n">
        <v>14.79</v>
      </c>
      <c r="I1652" t="inlineStr">
        <is>
          <t>SOMATOM Definition AS</t>
        </is>
      </c>
      <c r="J1652" t="inlineStr">
        <is>
          <t>Pre Contrast 3.0 B30f</t>
        </is>
      </c>
    </row>
    <row r="1653">
      <c r="A1653" s="2" t="n">
        <v>9970750</v>
      </c>
      <c r="B1653" s="2" t="inlineStr">
        <is>
          <t>N/A</t>
        </is>
      </c>
      <c r="C1653" s="2" t="inlineStr">
        <is>
          <t>F</t>
        </is>
      </c>
      <c r="D1653" s="2" t="n">
        <v>100</v>
      </c>
      <c r="E1653" s="4">
        <f>HYPERLINK("./Results/DLO\20180501_1.2.410.100011.172.16.64.21.6372452732875738442.2_2_512_512_\Osteo_Sarco_1.png","RPT")</f>
        <v/>
      </c>
      <c r="F1653" s="3" t="n">
        <v>103</v>
      </c>
      <c r="G1653" s="3" t="n">
        <v>12</v>
      </c>
      <c r="H1653" s="7" t="n"/>
      <c r="I1653" t="inlineStr">
        <is>
          <t>Optima CT660</t>
        </is>
      </c>
      <c r="J1653" t="inlineStr">
        <is>
          <t>PRE-AXI 3.75</t>
        </is>
      </c>
    </row>
  </sheetData>
  <autoFilter ref="A1:H2374">
    <sortState ref="A3:H2374">
      <sortCondition ref="B1:B2374"/>
    </sortState>
  </autoFilter>
  <pageMargins left="0.75" right="0.75" top="1" bottom="1" header="0.5" footer="0.5"/>
  <pageSetup orientation="portrait" paperSize="9" fitToHeight="0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2025-12-22T09:10:57Z</dcterms:created>
  <dcterms:modified xmlns:dcterms="http://purl.org/dc/terms/" xmlns:xsi="http://www.w3.org/2001/XMLSchema-instance" xsi:type="dcterms:W3CDTF">2026-06-19T09:42:27Z</dcterms:modified>
  <cp:lastModifiedBy>전장훈</cp:lastModifiedBy>
  <cp:version>1000.0100.01</cp:version>
  <cp:revision>2</cp:revision>
</cp:coreProperties>
</file>